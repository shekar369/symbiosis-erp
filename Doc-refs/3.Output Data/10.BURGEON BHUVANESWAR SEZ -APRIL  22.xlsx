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28"/>
  <workbookPr defaultThemeVersion="124226"/>
  <mc:AlternateContent xmlns:mc="http://schemas.openxmlformats.org/markup-compatibility/2006">
    <mc:Choice Requires="x15">
      <x15ac:absPath xmlns:x15ac="http://schemas.microsoft.com/office/spreadsheetml/2010/11/ac" url="C:\Users\admin\Desktop\burgeon complted april 22\BURGEON-BHUVANESWAR-APRIL 22\"/>
    </mc:Choice>
  </mc:AlternateContent>
  <xr:revisionPtr revIDLastSave="0" documentId="13_ncr:1_{F9557B6F-1E66-49D0-98C6-93199D57D3FC}" xr6:coauthVersionLast="46" xr6:coauthVersionMax="46" xr10:uidLastSave="{00000000-0000-0000-0000-000000000000}"/>
  <bookViews>
    <workbookView xWindow="-120" yWindow="-120" windowWidth="15600" windowHeight="11160" tabRatio="852" xr2:uid="{00000000-000D-0000-FFFF-FFFF00000000}"/>
  </bookViews>
  <sheets>
    <sheet name="ORRISA APRIL 22WM Reg" sheetId="15" r:id="rId1"/>
    <sheet name="0422Master" sheetId="1" r:id="rId2"/>
    <sheet name="04-22Equal remu" sheetId="13" r:id="rId3"/>
    <sheet name="04-22M Roll" sheetId="2" r:id="rId4"/>
    <sheet name="Leave Reg" sheetId="11" r:id="rId5"/>
    <sheet name="wages Reg" sheetId="3" r:id="rId6"/>
    <sheet name="Emp Cards" sheetId="10" r:id="rId7"/>
    <sheet name="wage sllips" sheetId="4" r:id="rId8"/>
    <sheet name="APRIL 22Bonus" sheetId="12" r:id="rId9"/>
    <sheet name="Ded" sheetId="5" r:id="rId10"/>
    <sheet name="Fines" sheetId="7" r:id="rId11"/>
    <sheet name="Advances" sheetId="6" r:id="rId12"/>
    <sheet name="Overtime" sheetId="8" r:id="rId13"/>
    <sheet name="Accident" sheetId="22" r:id="rId14"/>
    <sheet name="ESI cards Reg" sheetId="16" r:id="rId15"/>
    <sheet name="Form-I" sheetId="19" r:id="rId16"/>
    <sheet name="Form-2" sheetId="20" r:id="rId17"/>
    <sheet name="Form 11" sheetId="17" r:id="rId18"/>
    <sheet name="Form-F" sheetId="18" r:id="rId19"/>
    <sheet name="Serive Certificate" sheetId="21" r:id="rId20"/>
    <sheet name="Sheet1" sheetId="23" r:id="rId21"/>
  </sheets>
  <definedNames>
    <definedName name="_edn1" localSheetId="4">'Leave Reg'!#REF!</definedName>
    <definedName name="_ednref1" localSheetId="4">'Leave Reg'!#REF!</definedName>
    <definedName name="_xlnm._FilterDatabase" localSheetId="1" hidden="1">'0422Master'!$D$3:$D$25</definedName>
  </definedNames>
  <calcPr calcId="191029"/>
</workbook>
</file>

<file path=xl/calcChain.xml><?xml version="1.0" encoding="utf-8"?>
<calcChain xmlns="http://schemas.openxmlformats.org/spreadsheetml/2006/main">
  <c r="H51" i="4" l="1"/>
  <c r="R51" i="4" s="1"/>
  <c r="M16" i="11"/>
  <c r="M17" i="11" s="1"/>
  <c r="M18" i="11" s="1"/>
  <c r="A61" i="11"/>
  <c r="A16" i="11"/>
  <c r="A60" i="11"/>
  <c r="M61" i="11"/>
  <c r="M62" i="11" s="1"/>
  <c r="H61" i="11"/>
  <c r="H62" i="11" s="1"/>
  <c r="H63" i="11" s="1"/>
  <c r="X16" i="1" l="1"/>
  <c r="AG15" i="1" l="1"/>
  <c r="AL15" i="1" s="1"/>
  <c r="AL17" i="1" s="1"/>
  <c r="AG14" i="1"/>
  <c r="AC16" i="1" l="1"/>
  <c r="AD16" i="1"/>
  <c r="AE16" i="1"/>
  <c r="AF16" i="1"/>
  <c r="AQ16" i="1" l="1"/>
  <c r="AG16" i="1"/>
  <c r="AN16" i="1" l="1"/>
  <c r="AO16" i="1"/>
  <c r="AP16" i="1"/>
  <c r="F5" i="15"/>
  <c r="Q11" i="12"/>
  <c r="Q10" i="12"/>
  <c r="P11" i="12"/>
  <c r="P10" i="12"/>
  <c r="O11" i="12"/>
  <c r="O10" i="12"/>
  <c r="N11" i="12"/>
  <c r="N10" i="12"/>
  <c r="M11" i="12"/>
  <c r="M10" i="12"/>
  <c r="H11" i="12"/>
  <c r="H10" i="12"/>
  <c r="F11" i="12"/>
  <c r="F10" i="12"/>
  <c r="M4" i="12"/>
  <c r="AJ16" i="1"/>
  <c r="AI16" i="1"/>
  <c r="AH16" i="1"/>
  <c r="Y16" i="1"/>
  <c r="D6" i="13"/>
  <c r="D9" i="3"/>
  <c r="F16" i="8"/>
  <c r="H16" i="5"/>
  <c r="E14" i="4"/>
  <c r="O14" i="4" s="1"/>
  <c r="E57" i="4"/>
  <c r="O57" i="4" s="1"/>
  <c r="E55" i="4"/>
  <c r="O55" i="4" s="1"/>
  <c r="E12" i="4"/>
  <c r="O12" i="4" s="1"/>
  <c r="J28" i="10"/>
  <c r="J83" i="10"/>
  <c r="H81" i="10"/>
  <c r="H26" i="10"/>
  <c r="AL14" i="1"/>
  <c r="AR14" i="1"/>
  <c r="V15" i="3"/>
  <c r="W15" i="3"/>
  <c r="X15" i="3"/>
  <c r="Y15" i="3"/>
  <c r="Z15" i="3"/>
  <c r="T15" i="3"/>
  <c r="S15" i="3"/>
  <c r="R15" i="3"/>
  <c r="Q15" i="3"/>
  <c r="P15" i="3"/>
  <c r="O15" i="3"/>
  <c r="N15" i="3"/>
  <c r="M15" i="3"/>
  <c r="L15" i="3"/>
  <c r="H15" i="3"/>
  <c r="E16" i="3"/>
  <c r="E15" i="3"/>
  <c r="U15" i="3" l="1"/>
  <c r="AS14" i="1"/>
  <c r="J34" i="10" s="1"/>
  <c r="AA15" i="3"/>
  <c r="AB15" i="3" s="1"/>
  <c r="G10" i="12"/>
  <c r="E23" i="4"/>
  <c r="O23" i="4" s="1"/>
  <c r="K15" i="3"/>
  <c r="F12" i="22" l="1"/>
  <c r="G21" i="13" l="1"/>
  <c r="F21" i="13"/>
  <c r="F20" i="13"/>
  <c r="E21" i="13"/>
  <c r="E20" i="13"/>
  <c r="H63" i="10"/>
  <c r="H62" i="10"/>
  <c r="H8" i="10"/>
  <c r="H7" i="10"/>
  <c r="D9" i="2" l="1"/>
  <c r="F16" i="6" l="1"/>
  <c r="H16" i="7"/>
  <c r="L33" i="10"/>
  <c r="K33" i="10"/>
  <c r="I33" i="10"/>
  <c r="G33" i="10"/>
  <c r="E33" i="10"/>
  <c r="H24" i="10"/>
  <c r="H8" i="4" l="1"/>
  <c r="R8" i="4" s="1"/>
  <c r="A21" i="13" l="1"/>
  <c r="A20" i="13"/>
  <c r="E53" i="4" l="1"/>
  <c r="J32" i="10" l="1"/>
  <c r="AI15" i="2"/>
  <c r="AI16" i="2" l="1"/>
  <c r="L52" i="11" l="1"/>
  <c r="L8" i="11"/>
  <c r="A15" i="11" l="1"/>
  <c r="H49" i="11"/>
  <c r="H5" i="11"/>
  <c r="L70" i="4"/>
  <c r="L27" i="4"/>
  <c r="K45" i="4"/>
  <c r="K44" i="4"/>
  <c r="K2" i="4"/>
  <c r="K1" i="4"/>
  <c r="Q11" i="15"/>
  <c r="P11" i="15"/>
  <c r="O11" i="15"/>
  <c r="U14" i="1"/>
  <c r="U15" i="1"/>
  <c r="G20" i="13" l="1"/>
  <c r="C22" i="13"/>
  <c r="AR15" i="1" l="1"/>
  <c r="AR16" i="1" s="1"/>
  <c r="O8" i="15"/>
  <c r="H20" i="13" l="1"/>
  <c r="AL16" i="1"/>
  <c r="G21" i="21"/>
  <c r="B21" i="21"/>
  <c r="G19" i="21"/>
  <c r="G13" i="21"/>
  <c r="B13" i="21"/>
  <c r="G11" i="21"/>
  <c r="B11" i="21"/>
  <c r="C739" i="18"/>
  <c r="C738" i="18"/>
  <c r="C688" i="18"/>
  <c r="A686" i="18"/>
  <c r="A685" i="18"/>
  <c r="C671" i="18"/>
  <c r="C670" i="18"/>
  <c r="C620" i="18"/>
  <c r="A618" i="18"/>
  <c r="A617" i="18"/>
  <c r="C603" i="18"/>
  <c r="B603" i="18"/>
  <c r="C602" i="18"/>
  <c r="B587" i="18"/>
  <c r="B604" i="18" s="1"/>
  <c r="B607" i="18" s="1"/>
  <c r="C585" i="18"/>
  <c r="C584" i="18"/>
  <c r="C583" i="18"/>
  <c r="C581" i="18"/>
  <c r="C580" i="18"/>
  <c r="C579" i="18"/>
  <c r="C576" i="18"/>
  <c r="C575" i="18"/>
  <c r="A569" i="18"/>
  <c r="C552" i="18"/>
  <c r="A550" i="18"/>
  <c r="A549" i="18"/>
  <c r="C535" i="18"/>
  <c r="B535" i="18"/>
  <c r="C534" i="18"/>
  <c r="B519" i="18"/>
  <c r="B536" i="18" s="1"/>
  <c r="B539" i="18" s="1"/>
  <c r="C517" i="18"/>
  <c r="C516" i="18"/>
  <c r="C515" i="18"/>
  <c r="C513" i="18"/>
  <c r="C512" i="18"/>
  <c r="C511" i="18"/>
  <c r="C508" i="18"/>
  <c r="C507" i="18"/>
  <c r="A501" i="18"/>
  <c r="C484" i="18"/>
  <c r="A482" i="18"/>
  <c r="A481" i="18"/>
  <c r="C467" i="18"/>
  <c r="B467" i="18"/>
  <c r="C466" i="18"/>
  <c r="B451" i="18"/>
  <c r="B468" i="18" s="1"/>
  <c r="B471" i="18" s="1"/>
  <c r="C449" i="18"/>
  <c r="C448" i="18"/>
  <c r="C447" i="18"/>
  <c r="C445" i="18"/>
  <c r="C444" i="18"/>
  <c r="C443" i="18"/>
  <c r="C440" i="18"/>
  <c r="C439" i="18"/>
  <c r="A433" i="18"/>
  <c r="C416" i="18"/>
  <c r="A414" i="18"/>
  <c r="A413" i="18"/>
  <c r="C399" i="18"/>
  <c r="B399" i="18"/>
  <c r="C398" i="18"/>
  <c r="B383" i="18"/>
  <c r="B400" i="18" s="1"/>
  <c r="B403" i="18" s="1"/>
  <c r="C381" i="18"/>
  <c r="C380" i="18"/>
  <c r="C379" i="18"/>
  <c r="C377" i="18"/>
  <c r="C376" i="18"/>
  <c r="C375" i="18"/>
  <c r="C372" i="18"/>
  <c r="C371" i="18"/>
  <c r="A365" i="18"/>
  <c r="C348" i="18"/>
  <c r="A346" i="18"/>
  <c r="A345" i="18"/>
  <c r="C331" i="18"/>
  <c r="B331" i="18"/>
  <c r="C330" i="18"/>
  <c r="B315" i="18"/>
  <c r="B332" i="18" s="1"/>
  <c r="B335" i="18" s="1"/>
  <c r="C313" i="18"/>
  <c r="C312" i="18"/>
  <c r="C311" i="18"/>
  <c r="C309" i="18"/>
  <c r="C308" i="18"/>
  <c r="C307" i="18"/>
  <c r="C304" i="18"/>
  <c r="C303" i="18"/>
  <c r="A297" i="18"/>
  <c r="C280" i="18"/>
  <c r="A278" i="18"/>
  <c r="A277" i="18"/>
  <c r="C263" i="18"/>
  <c r="B263" i="18"/>
  <c r="C262" i="18"/>
  <c r="B247" i="18"/>
  <c r="B264" i="18" s="1"/>
  <c r="B267" i="18" s="1"/>
  <c r="C245" i="18"/>
  <c r="C244" i="18"/>
  <c r="C243" i="18"/>
  <c r="C241" i="18"/>
  <c r="C240" i="18"/>
  <c r="C239" i="18"/>
  <c r="C236" i="18"/>
  <c r="C235" i="18"/>
  <c r="A229" i="18"/>
  <c r="C212" i="18"/>
  <c r="A210" i="18"/>
  <c r="A209" i="18"/>
  <c r="C195" i="18"/>
  <c r="B195" i="18"/>
  <c r="C194" i="18"/>
  <c r="B179" i="18"/>
  <c r="B196" i="18" s="1"/>
  <c r="B199" i="18" s="1"/>
  <c r="C177" i="18"/>
  <c r="C176" i="18"/>
  <c r="C175" i="18"/>
  <c r="C173" i="18"/>
  <c r="C172" i="18"/>
  <c r="C171" i="18"/>
  <c r="C168" i="18"/>
  <c r="C167" i="18"/>
  <c r="A161" i="18"/>
  <c r="C144" i="18"/>
  <c r="A142" i="18"/>
  <c r="A141" i="18"/>
  <c r="C127" i="18"/>
  <c r="B127" i="18"/>
  <c r="C126" i="18"/>
  <c r="B111" i="18"/>
  <c r="B128" i="18" s="1"/>
  <c r="B131" i="18" s="1"/>
  <c r="C109" i="18"/>
  <c r="C108" i="18"/>
  <c r="C107" i="18"/>
  <c r="C105" i="18"/>
  <c r="C104" i="18"/>
  <c r="C103" i="18"/>
  <c r="C100" i="18"/>
  <c r="C99" i="18"/>
  <c r="A93" i="18"/>
  <c r="C76" i="18"/>
  <c r="A74" i="18"/>
  <c r="A73" i="18"/>
  <c r="C59" i="18"/>
  <c r="B59" i="18"/>
  <c r="C58" i="18"/>
  <c r="B43" i="18"/>
  <c r="B60" i="18" s="1"/>
  <c r="B63" i="18" s="1"/>
  <c r="C41" i="18"/>
  <c r="C40" i="18"/>
  <c r="C39" i="18"/>
  <c r="C37" i="18"/>
  <c r="C36" i="18"/>
  <c r="C35" i="18"/>
  <c r="C32" i="18"/>
  <c r="C31" i="18"/>
  <c r="A25" i="18"/>
  <c r="C8" i="18"/>
  <c r="A6" i="18"/>
  <c r="A5" i="18"/>
  <c r="B597" i="17"/>
  <c r="J596" i="17"/>
  <c r="E596" i="17"/>
  <c r="I563" i="17"/>
  <c r="J562" i="17"/>
  <c r="B543" i="17"/>
  <c r="J542" i="17"/>
  <c r="E542" i="17"/>
  <c r="H514" i="17"/>
  <c r="H513" i="17"/>
  <c r="I509" i="17"/>
  <c r="J508" i="17"/>
  <c r="C503" i="17"/>
  <c r="B489" i="17"/>
  <c r="J488" i="17"/>
  <c r="E488" i="17"/>
  <c r="D485" i="17"/>
  <c r="H460" i="17"/>
  <c r="H459" i="17"/>
  <c r="H457" i="17"/>
  <c r="H456" i="17"/>
  <c r="I455" i="17"/>
  <c r="J454" i="17"/>
  <c r="K453" i="17"/>
  <c r="C449" i="17"/>
  <c r="B435" i="17"/>
  <c r="J434" i="17"/>
  <c r="E434" i="17"/>
  <c r="D431" i="17"/>
  <c r="H406" i="17"/>
  <c r="H405" i="17"/>
  <c r="H403" i="17"/>
  <c r="H402" i="17"/>
  <c r="I400" i="17"/>
  <c r="J399" i="17"/>
  <c r="K398" i="17"/>
  <c r="C393" i="17"/>
  <c r="B379" i="17"/>
  <c r="J378" i="17"/>
  <c r="E378" i="17"/>
  <c r="D375" i="17"/>
  <c r="H350" i="17"/>
  <c r="H349" i="17"/>
  <c r="H347" i="17"/>
  <c r="H346" i="17"/>
  <c r="I344" i="17"/>
  <c r="J343" i="17"/>
  <c r="K342" i="17"/>
  <c r="C338" i="17"/>
  <c r="B324" i="17"/>
  <c r="J323" i="17"/>
  <c r="E323" i="17"/>
  <c r="D319" i="17"/>
  <c r="H294" i="17"/>
  <c r="H293" i="17"/>
  <c r="H291" i="17"/>
  <c r="H290" i="17"/>
  <c r="I288" i="17"/>
  <c r="J287" i="17"/>
  <c r="K286" i="17"/>
  <c r="C282" i="17"/>
  <c r="B268" i="17"/>
  <c r="J267" i="17"/>
  <c r="E267" i="17"/>
  <c r="D263" i="17"/>
  <c r="H238" i="17"/>
  <c r="H237" i="17"/>
  <c r="H235" i="17"/>
  <c r="H234" i="17"/>
  <c r="I232" i="17"/>
  <c r="J231" i="17"/>
  <c r="K230" i="17"/>
  <c r="B212" i="17"/>
  <c r="J211" i="17"/>
  <c r="E211" i="17"/>
  <c r="D207" i="17"/>
  <c r="C226" i="17" s="1"/>
  <c r="H182" i="17"/>
  <c r="H181" i="17"/>
  <c r="H179" i="17"/>
  <c r="H178" i="17"/>
  <c r="I176" i="17"/>
  <c r="J175" i="17"/>
  <c r="K174" i="17"/>
  <c r="B156" i="17"/>
  <c r="J155" i="17"/>
  <c r="E155" i="17"/>
  <c r="D151" i="17"/>
  <c r="C170" i="17" s="1"/>
  <c r="H126" i="17"/>
  <c r="H125" i="17"/>
  <c r="H123" i="17"/>
  <c r="H122" i="17"/>
  <c r="I120" i="17"/>
  <c r="J119" i="17"/>
  <c r="K118" i="17"/>
  <c r="B99" i="17"/>
  <c r="J98" i="17"/>
  <c r="E98" i="17"/>
  <c r="D94" i="17"/>
  <c r="C113" i="17" s="1"/>
  <c r="H69" i="17"/>
  <c r="H68" i="17"/>
  <c r="H66" i="17"/>
  <c r="H65" i="17"/>
  <c r="I63" i="17"/>
  <c r="J62" i="17"/>
  <c r="K61" i="17"/>
  <c r="B42" i="17"/>
  <c r="J41" i="17"/>
  <c r="E41" i="17"/>
  <c r="D37" i="17"/>
  <c r="C56" i="17" s="1"/>
  <c r="H12" i="17"/>
  <c r="H11" i="17"/>
  <c r="H9" i="17"/>
  <c r="H8" i="17"/>
  <c r="I5" i="17"/>
  <c r="J4" i="17"/>
  <c r="K3" i="17"/>
  <c r="F587" i="20"/>
  <c r="F586" i="20"/>
  <c r="H549" i="20"/>
  <c r="H548" i="20"/>
  <c r="H547" i="20"/>
  <c r="H544" i="20"/>
  <c r="H543" i="20"/>
  <c r="H542" i="20"/>
  <c r="H541" i="20"/>
  <c r="F536" i="20"/>
  <c r="F535" i="20"/>
  <c r="H498" i="20"/>
  <c r="H497" i="20"/>
  <c r="H496" i="20"/>
  <c r="H493" i="20"/>
  <c r="H492" i="20"/>
  <c r="H491" i="20"/>
  <c r="H490" i="20"/>
  <c r="F485" i="20"/>
  <c r="B485" i="20"/>
  <c r="F484" i="20"/>
  <c r="K481" i="20"/>
  <c r="C479" i="20"/>
  <c r="B452" i="20"/>
  <c r="H446" i="20"/>
  <c r="H445" i="20"/>
  <c r="H444" i="20"/>
  <c r="H441" i="20"/>
  <c r="H440" i="20"/>
  <c r="H439" i="20"/>
  <c r="H438" i="20"/>
  <c r="F432" i="20"/>
  <c r="B432" i="20"/>
  <c r="F431" i="20"/>
  <c r="K427" i="20"/>
  <c r="C425" i="20"/>
  <c r="B398" i="20"/>
  <c r="H392" i="20"/>
  <c r="H391" i="20"/>
  <c r="H390" i="20"/>
  <c r="H387" i="20"/>
  <c r="H386" i="20"/>
  <c r="H385" i="20"/>
  <c r="H384" i="20"/>
  <c r="F378" i="20"/>
  <c r="B378" i="20"/>
  <c r="F377" i="20"/>
  <c r="K373" i="20"/>
  <c r="C371" i="20"/>
  <c r="B344" i="20"/>
  <c r="H338" i="20"/>
  <c r="H337" i="20"/>
  <c r="H336" i="20"/>
  <c r="H333" i="20"/>
  <c r="H332" i="20"/>
  <c r="H331" i="20"/>
  <c r="H330" i="20"/>
  <c r="F323" i="20"/>
  <c r="B323" i="20"/>
  <c r="F322" i="20"/>
  <c r="K318" i="20"/>
  <c r="C316" i="20"/>
  <c r="B289" i="20"/>
  <c r="H283" i="20"/>
  <c r="H282" i="20"/>
  <c r="H281" i="20"/>
  <c r="H278" i="20"/>
  <c r="H277" i="20"/>
  <c r="H276" i="20"/>
  <c r="H275" i="20"/>
  <c r="F270" i="20"/>
  <c r="B270" i="20"/>
  <c r="F269" i="20"/>
  <c r="K265" i="20"/>
  <c r="C263" i="20"/>
  <c r="B236" i="20"/>
  <c r="H230" i="20"/>
  <c r="H229" i="20"/>
  <c r="H228" i="20"/>
  <c r="H225" i="20"/>
  <c r="H224" i="20"/>
  <c r="H223" i="20"/>
  <c r="H222" i="20"/>
  <c r="F216" i="20"/>
  <c r="B216" i="20"/>
  <c r="F215" i="20"/>
  <c r="K211" i="20"/>
  <c r="C209" i="20"/>
  <c r="B182" i="20"/>
  <c r="H176" i="20"/>
  <c r="H175" i="20"/>
  <c r="H174" i="20"/>
  <c r="H171" i="20"/>
  <c r="H170" i="20"/>
  <c r="H169" i="20"/>
  <c r="H168" i="20"/>
  <c r="F162" i="20"/>
  <c r="B162" i="20"/>
  <c r="F161" i="20"/>
  <c r="C155" i="20"/>
  <c r="B128" i="20"/>
  <c r="H122" i="20"/>
  <c r="H121" i="20"/>
  <c r="H120" i="20"/>
  <c r="H117" i="20"/>
  <c r="H116" i="20"/>
  <c r="H115" i="20"/>
  <c r="H114" i="20"/>
  <c r="F108" i="20"/>
  <c r="B108" i="20"/>
  <c r="F107" i="20"/>
  <c r="K103" i="20"/>
  <c r="C101" i="20"/>
  <c r="B74" i="20"/>
  <c r="H68" i="20"/>
  <c r="H67" i="20"/>
  <c r="H66" i="20"/>
  <c r="H63" i="20"/>
  <c r="H62" i="20"/>
  <c r="H61" i="20"/>
  <c r="H60" i="20"/>
  <c r="F54" i="20"/>
  <c r="B54" i="20"/>
  <c r="F53" i="20"/>
  <c r="K49" i="20"/>
  <c r="C47" i="20"/>
  <c r="B20" i="20"/>
  <c r="H14" i="20"/>
  <c r="H13" i="20"/>
  <c r="H12" i="20"/>
  <c r="H9" i="20"/>
  <c r="H8" i="20"/>
  <c r="H7" i="20"/>
  <c r="H6" i="20"/>
  <c r="F576" i="19"/>
  <c r="B576" i="19"/>
  <c r="F575" i="19"/>
  <c r="K570" i="19"/>
  <c r="B561" i="19"/>
  <c r="H556" i="19"/>
  <c r="H555" i="19"/>
  <c r="H554" i="19"/>
  <c r="H553" i="19"/>
  <c r="H552" i="19"/>
  <c r="H551" i="19"/>
  <c r="H548" i="19"/>
  <c r="H547" i="19"/>
  <c r="H546" i="19"/>
  <c r="H545" i="19"/>
  <c r="H543" i="19"/>
  <c r="B542" i="19"/>
  <c r="H541" i="19"/>
  <c r="H535" i="19"/>
  <c r="B535" i="19"/>
  <c r="H533" i="19"/>
  <c r="B533" i="19"/>
  <c r="F525" i="19"/>
  <c r="B525" i="19"/>
  <c r="F524" i="19"/>
  <c r="K521" i="19"/>
  <c r="B512" i="19"/>
  <c r="H507" i="19"/>
  <c r="H506" i="19"/>
  <c r="H505" i="19"/>
  <c r="H504" i="19"/>
  <c r="H503" i="19"/>
  <c r="H502" i="19"/>
  <c r="H499" i="19"/>
  <c r="H498" i="19"/>
  <c r="H497" i="19"/>
  <c r="H496" i="19"/>
  <c r="H494" i="19"/>
  <c r="B493" i="19"/>
  <c r="H492" i="19"/>
  <c r="H486" i="19"/>
  <c r="B486" i="19"/>
  <c r="H484" i="19"/>
  <c r="B484" i="19"/>
  <c r="F474" i="19"/>
  <c r="B474" i="19"/>
  <c r="F473" i="19"/>
  <c r="K468" i="19"/>
  <c r="B458" i="19"/>
  <c r="H453" i="19"/>
  <c r="H452" i="19"/>
  <c r="H451" i="19"/>
  <c r="H450" i="19"/>
  <c r="H449" i="19"/>
  <c r="H448" i="19"/>
  <c r="H445" i="19"/>
  <c r="H444" i="19"/>
  <c r="H443" i="19"/>
  <c r="H442" i="19"/>
  <c r="H440" i="19"/>
  <c r="B439" i="19"/>
  <c r="H438" i="19"/>
  <c r="H432" i="19"/>
  <c r="B432" i="19"/>
  <c r="H430" i="19"/>
  <c r="B430" i="19"/>
  <c r="F421" i="19"/>
  <c r="B421" i="19"/>
  <c r="F420" i="19"/>
  <c r="K415" i="19"/>
  <c r="B406" i="19"/>
  <c r="H401" i="19"/>
  <c r="H400" i="19"/>
  <c r="H399" i="19"/>
  <c r="H398" i="19"/>
  <c r="H397" i="19"/>
  <c r="H396" i="19"/>
  <c r="H393" i="19"/>
  <c r="H392" i="19"/>
  <c r="H391" i="19"/>
  <c r="H390" i="19"/>
  <c r="H388" i="19"/>
  <c r="B387" i="19"/>
  <c r="H386" i="19"/>
  <c r="H380" i="19"/>
  <c r="B380" i="19"/>
  <c r="H378" i="19"/>
  <c r="B378" i="19"/>
  <c r="F369" i="19"/>
  <c r="B369" i="19"/>
  <c r="F368" i="19"/>
  <c r="K363" i="19"/>
  <c r="B353" i="19"/>
  <c r="H348" i="19"/>
  <c r="H347" i="19"/>
  <c r="H346" i="19"/>
  <c r="H345" i="19"/>
  <c r="H344" i="19"/>
  <c r="H343" i="19"/>
  <c r="H340" i="19"/>
  <c r="H339" i="19"/>
  <c r="H338" i="19"/>
  <c r="H337" i="19"/>
  <c r="H335" i="19"/>
  <c r="B334" i="19"/>
  <c r="H333" i="19"/>
  <c r="H327" i="19"/>
  <c r="B327" i="19"/>
  <c r="H325" i="19"/>
  <c r="B325" i="19"/>
  <c r="F316" i="19"/>
  <c r="B316" i="19"/>
  <c r="F315" i="19"/>
  <c r="K310" i="19"/>
  <c r="B300" i="19"/>
  <c r="H295" i="19"/>
  <c r="H294" i="19"/>
  <c r="H293" i="19"/>
  <c r="H292" i="19"/>
  <c r="H291" i="19"/>
  <c r="H290" i="19"/>
  <c r="H287" i="19"/>
  <c r="H286" i="19"/>
  <c r="H285" i="19"/>
  <c r="H284" i="19"/>
  <c r="H282" i="19"/>
  <c r="B281" i="19"/>
  <c r="H280" i="19"/>
  <c r="H274" i="19"/>
  <c r="B274" i="19"/>
  <c r="H272" i="19"/>
  <c r="B272" i="19"/>
  <c r="F263" i="19"/>
  <c r="B263" i="19"/>
  <c r="F262" i="19"/>
  <c r="K257" i="19"/>
  <c r="B247" i="19"/>
  <c r="H242" i="19"/>
  <c r="H241" i="19"/>
  <c r="H240" i="19"/>
  <c r="H239" i="19"/>
  <c r="H238" i="19"/>
  <c r="H237" i="19"/>
  <c r="H234" i="19"/>
  <c r="H233" i="19"/>
  <c r="H232" i="19"/>
  <c r="H231" i="19"/>
  <c r="H229" i="19"/>
  <c r="B228" i="19"/>
  <c r="H227" i="19"/>
  <c r="H221" i="19"/>
  <c r="B221" i="19"/>
  <c r="H219" i="19"/>
  <c r="B219" i="19"/>
  <c r="F210" i="19"/>
  <c r="B210" i="19"/>
  <c r="F209" i="19"/>
  <c r="K204" i="19"/>
  <c r="B194" i="19"/>
  <c r="H189" i="19"/>
  <c r="H188" i="19"/>
  <c r="H187" i="19"/>
  <c r="H186" i="19"/>
  <c r="H185" i="19"/>
  <c r="H184" i="19"/>
  <c r="H181" i="19"/>
  <c r="H180" i="19"/>
  <c r="H179" i="19"/>
  <c r="H178" i="19"/>
  <c r="H176" i="19"/>
  <c r="B175" i="19"/>
  <c r="H174" i="19"/>
  <c r="H168" i="19"/>
  <c r="B168" i="19"/>
  <c r="H166" i="19"/>
  <c r="B166" i="19"/>
  <c r="F157" i="19"/>
  <c r="B157" i="19"/>
  <c r="F156" i="19"/>
  <c r="K151" i="19"/>
  <c r="B141" i="19"/>
  <c r="H136" i="19"/>
  <c r="H135" i="19"/>
  <c r="H134" i="19"/>
  <c r="H133" i="19"/>
  <c r="H132" i="19"/>
  <c r="H131" i="19"/>
  <c r="H128" i="19"/>
  <c r="H127" i="19"/>
  <c r="H126" i="19"/>
  <c r="H125" i="19"/>
  <c r="H123" i="19"/>
  <c r="B122" i="19"/>
  <c r="H121" i="19"/>
  <c r="H115" i="19"/>
  <c r="B115" i="19"/>
  <c r="H113" i="19"/>
  <c r="B113" i="19"/>
  <c r="F103" i="19"/>
  <c r="B103" i="19"/>
  <c r="F102" i="19"/>
  <c r="K97" i="19"/>
  <c r="B87" i="19"/>
  <c r="H82" i="19"/>
  <c r="H81" i="19"/>
  <c r="H80" i="19"/>
  <c r="H79" i="19"/>
  <c r="H78" i="19"/>
  <c r="H77" i="19"/>
  <c r="H74" i="19"/>
  <c r="H73" i="19"/>
  <c r="H72" i="19"/>
  <c r="H71" i="19"/>
  <c r="H69" i="19"/>
  <c r="B68" i="19"/>
  <c r="H67" i="19"/>
  <c r="H61" i="19"/>
  <c r="B61" i="19"/>
  <c r="H59" i="19"/>
  <c r="B59" i="19"/>
  <c r="F51" i="19"/>
  <c r="B51" i="19"/>
  <c r="F50" i="19"/>
  <c r="K45" i="19"/>
  <c r="B35" i="19"/>
  <c r="H30" i="19"/>
  <c r="H29" i="19"/>
  <c r="H28" i="19"/>
  <c r="H27" i="19"/>
  <c r="H26" i="19"/>
  <c r="H25" i="19"/>
  <c r="H22" i="19"/>
  <c r="H21" i="19"/>
  <c r="H20" i="19"/>
  <c r="H19" i="19"/>
  <c r="H9" i="19"/>
  <c r="H7" i="19"/>
  <c r="D4" i="16"/>
  <c r="C4" i="16"/>
  <c r="D3" i="16"/>
  <c r="C3" i="16"/>
  <c r="C1" i="16"/>
  <c r="E11" i="12"/>
  <c r="C11" i="12"/>
  <c r="B11" i="12"/>
  <c r="E10" i="12"/>
  <c r="C10" i="12"/>
  <c r="B10" i="12"/>
  <c r="D5" i="12"/>
  <c r="F9" i="8"/>
  <c r="F8" i="8"/>
  <c r="D7" i="8"/>
  <c r="B6" i="8"/>
  <c r="B5" i="8"/>
  <c r="D4" i="8"/>
  <c r="E9" i="6"/>
  <c r="E8" i="6"/>
  <c r="D7" i="6"/>
  <c r="B6" i="6"/>
  <c r="B5" i="6"/>
  <c r="D4" i="6"/>
  <c r="E9" i="7"/>
  <c r="E8" i="7"/>
  <c r="D7" i="7"/>
  <c r="B6" i="7"/>
  <c r="B5" i="7"/>
  <c r="D4" i="7"/>
  <c r="E9" i="5"/>
  <c r="E8" i="5"/>
  <c r="D7" i="5"/>
  <c r="B6" i="5"/>
  <c r="B5" i="5"/>
  <c r="D4" i="5"/>
  <c r="H68" i="4"/>
  <c r="R68" i="4" s="1"/>
  <c r="G68" i="4"/>
  <c r="Q68" i="4" s="1"/>
  <c r="F68" i="4"/>
  <c r="P68" i="4" s="1"/>
  <c r="E68" i="4"/>
  <c r="O68" i="4" s="1"/>
  <c r="D68" i="4"/>
  <c r="O62" i="4"/>
  <c r="O53" i="4"/>
  <c r="E51" i="4"/>
  <c r="O51" i="4" s="1"/>
  <c r="B49" i="4"/>
  <c r="L49" i="4" s="1"/>
  <c r="B48" i="4"/>
  <c r="L48" i="4" s="1"/>
  <c r="D47" i="4"/>
  <c r="N47" i="4" s="1"/>
  <c r="I25" i="4"/>
  <c r="E27" i="4" s="1"/>
  <c r="O27" i="4" s="1"/>
  <c r="H25" i="4"/>
  <c r="R25" i="4" s="1"/>
  <c r="G25" i="4"/>
  <c r="Q25" i="4" s="1"/>
  <c r="F25" i="4"/>
  <c r="P25" i="4" s="1"/>
  <c r="E25" i="4"/>
  <c r="O25" i="4" s="1"/>
  <c r="D25" i="4"/>
  <c r="N25" i="4" s="1"/>
  <c r="O19" i="4"/>
  <c r="E10" i="4"/>
  <c r="O10" i="4" s="1"/>
  <c r="E8" i="4"/>
  <c r="O8" i="4" s="1"/>
  <c r="B6" i="4"/>
  <c r="L6" i="4" s="1"/>
  <c r="B5" i="4"/>
  <c r="L5" i="4" s="1"/>
  <c r="D4" i="4"/>
  <c r="N4" i="4" s="1"/>
  <c r="L88" i="10"/>
  <c r="K88" i="10"/>
  <c r="I88" i="10"/>
  <c r="G88" i="10"/>
  <c r="E88" i="10"/>
  <c r="H80" i="10"/>
  <c r="H79" i="10"/>
  <c r="H78" i="10"/>
  <c r="H77" i="10"/>
  <c r="H76" i="10"/>
  <c r="H75" i="10"/>
  <c r="H74" i="10"/>
  <c r="H72" i="10"/>
  <c r="B71" i="10"/>
  <c r="H70" i="10"/>
  <c r="B63" i="10"/>
  <c r="B62" i="10"/>
  <c r="H25" i="10"/>
  <c r="H23" i="10"/>
  <c r="H22" i="10"/>
  <c r="H21" i="10"/>
  <c r="H20" i="10"/>
  <c r="H19" i="10"/>
  <c r="H17" i="10"/>
  <c r="B16" i="10"/>
  <c r="H15" i="10"/>
  <c r="B8" i="10"/>
  <c r="B7" i="10"/>
  <c r="AE16" i="3"/>
  <c r="AD16" i="3"/>
  <c r="AC16" i="3"/>
  <c r="Z16" i="3"/>
  <c r="Z17" i="3" s="1"/>
  <c r="Y16" i="3"/>
  <c r="Y17" i="3" s="1"/>
  <c r="X16" i="3"/>
  <c r="X17" i="3" s="1"/>
  <c r="W16" i="3"/>
  <c r="W17" i="3" s="1"/>
  <c r="V16" i="3"/>
  <c r="V17" i="3" s="1"/>
  <c r="U16" i="3"/>
  <c r="T16" i="3"/>
  <c r="T17" i="3" s="1"/>
  <c r="S16" i="3"/>
  <c r="S17" i="3" s="1"/>
  <c r="R16" i="3"/>
  <c r="R17" i="3" s="1"/>
  <c r="Q16" i="3"/>
  <c r="Q17" i="3" s="1"/>
  <c r="P16" i="3"/>
  <c r="P17" i="3" s="1"/>
  <c r="O16" i="3"/>
  <c r="O17" i="3" s="1"/>
  <c r="N16" i="3"/>
  <c r="N17" i="3" s="1"/>
  <c r="M16" i="3"/>
  <c r="M17" i="3" s="1"/>
  <c r="L16" i="3"/>
  <c r="L17" i="3" s="1"/>
  <c r="J16" i="3"/>
  <c r="I16" i="3"/>
  <c r="H16" i="3"/>
  <c r="H17" i="3" s="1"/>
  <c r="G16" i="3"/>
  <c r="F16" i="3"/>
  <c r="D16" i="3"/>
  <c r="C16" i="3"/>
  <c r="B16" i="3"/>
  <c r="AE15" i="3"/>
  <c r="AD15" i="3"/>
  <c r="AC15" i="3"/>
  <c r="J15" i="3"/>
  <c r="I15" i="3"/>
  <c r="G15" i="3"/>
  <c r="F15" i="3"/>
  <c r="D15" i="3"/>
  <c r="C15" i="3"/>
  <c r="B15" i="3"/>
  <c r="AA10" i="3"/>
  <c r="AA9" i="3"/>
  <c r="D7" i="3"/>
  <c r="D6" i="3"/>
  <c r="D5" i="3"/>
  <c r="B50" i="11"/>
  <c r="B49" i="11"/>
  <c r="D48" i="11"/>
  <c r="B6" i="11"/>
  <c r="B5" i="11"/>
  <c r="D4" i="11"/>
  <c r="D16" i="2"/>
  <c r="C16" i="2"/>
  <c r="B16" i="2"/>
  <c r="D15" i="2"/>
  <c r="C15" i="2"/>
  <c r="B15" i="2"/>
  <c r="Z10" i="2"/>
  <c r="H17" i="19" s="1"/>
  <c r="Z9" i="2"/>
  <c r="H15" i="19" s="1"/>
  <c r="D7" i="2"/>
  <c r="B16" i="19" s="1"/>
  <c r="D6" i="2"/>
  <c r="B9" i="19" s="1"/>
  <c r="D5" i="2"/>
  <c r="B7" i="19" s="1"/>
  <c r="D22" i="13"/>
  <c r="C14" i="13" s="1"/>
  <c r="H21" i="13"/>
  <c r="C16" i="13"/>
  <c r="F13" i="13"/>
  <c r="F12" i="13"/>
  <c r="F9" i="13"/>
  <c r="F8" i="13"/>
  <c r="AS15" i="1"/>
  <c r="Q44" i="15"/>
  <c r="P44" i="15"/>
  <c r="O44" i="15"/>
  <c r="N44" i="15"/>
  <c r="M44" i="15"/>
  <c r="L44" i="15"/>
  <c r="K44" i="15"/>
  <c r="J44" i="15"/>
  <c r="I44" i="15"/>
  <c r="H44" i="15"/>
  <c r="G44" i="15"/>
  <c r="F44" i="15"/>
  <c r="E44" i="15"/>
  <c r="D44" i="15"/>
  <c r="C44" i="15"/>
  <c r="B44" i="15"/>
  <c r="A44" i="15"/>
  <c r="N14" i="15"/>
  <c r="M14" i="15"/>
  <c r="L14" i="15"/>
  <c r="K14" i="15"/>
  <c r="J14" i="15"/>
  <c r="I14" i="15"/>
  <c r="H14" i="15"/>
  <c r="G14" i="15"/>
  <c r="F14" i="15"/>
  <c r="E14" i="15"/>
  <c r="D14" i="15"/>
  <c r="C14" i="15"/>
  <c r="B14" i="15"/>
  <c r="A14" i="15"/>
  <c r="N13" i="15"/>
  <c r="M13" i="15"/>
  <c r="L13" i="15"/>
  <c r="K13" i="15"/>
  <c r="J13" i="15"/>
  <c r="I13" i="15"/>
  <c r="H13" i="15"/>
  <c r="G13" i="15"/>
  <c r="F13" i="15"/>
  <c r="E13" i="15"/>
  <c r="D13" i="15"/>
  <c r="C13" i="15"/>
  <c r="B13" i="15"/>
  <c r="A13" i="15"/>
  <c r="O7" i="15"/>
  <c r="F4" i="15"/>
  <c r="F3" i="15"/>
  <c r="J17" i="3" l="1"/>
  <c r="K16" i="3"/>
  <c r="K17" i="3" s="1"/>
  <c r="J89" i="10"/>
  <c r="AS16" i="1"/>
  <c r="G11" i="12"/>
  <c r="J87" i="10"/>
  <c r="E66" i="4"/>
  <c r="O66" i="4" s="1"/>
  <c r="I17" i="3"/>
  <c r="I68" i="4"/>
  <c r="S68" i="4" s="1"/>
  <c r="AA16" i="3"/>
  <c r="AA17" i="3" s="1"/>
  <c r="U17" i="3"/>
  <c r="N68" i="4"/>
  <c r="S25" i="4"/>
  <c r="E70" i="4" l="1"/>
  <c r="O70" i="4" s="1"/>
  <c r="AB16" i="3"/>
  <c r="AB17" i="3" s="1"/>
</calcChain>
</file>

<file path=xl/sharedStrings.xml><?xml version="1.0" encoding="utf-8"?>
<sst xmlns="http://schemas.openxmlformats.org/spreadsheetml/2006/main" count="3168" uniqueCount="475">
  <si>
    <t>(Vide Rule 75 of Contract Labour (Regulation and Abolition) Act Odisha Rules 1975)</t>
  </si>
  <si>
    <t>Name and address of Contractor:</t>
  </si>
  <si>
    <t>Name and address of Establishemnt in/
under which contract is carried on:</t>
  </si>
  <si>
    <t>Nature and location of work:</t>
  </si>
  <si>
    <t>IT SUPPORTIVE SERVICES</t>
  </si>
  <si>
    <t>Name and address of Principal Employer:</t>
  </si>
  <si>
    <t>Wage period: Monthly</t>
  </si>
  <si>
    <t>software Engineer</t>
  </si>
  <si>
    <t>Serial No. in the
 Register of Workmen</t>
  </si>
  <si>
    <t>Name of 
Workman</t>
  </si>
  <si>
    <t xml:space="preserve">Age </t>
  </si>
  <si>
    <t>Sex</t>
  </si>
  <si>
    <t>Father's /Husband Name</t>
  </si>
  <si>
    <t>Designation /
 Nature of Work 
Done</t>
  </si>
  <si>
    <t>Permanent Address</t>
  </si>
  <si>
    <t>Present Address</t>
  </si>
  <si>
    <t>Date of Commencement of Employment</t>
  </si>
  <si>
    <t>Date of termination of Employment</t>
  </si>
  <si>
    <t>Reasons for termination</t>
  </si>
  <si>
    <t>Signature or thumb impression of Workman</t>
  </si>
  <si>
    <t>Remarks</t>
  </si>
  <si>
    <t>EPF Number</t>
  </si>
  <si>
    <t>ESI Number</t>
  </si>
  <si>
    <t>No.of Days
 worked</t>
  </si>
  <si>
    <t>Unit of 
work done</t>
  </si>
  <si>
    <t>Monthly rate of wages/
piece rate</t>
  </si>
  <si>
    <t>Basic
 wages</t>
  </si>
  <si>
    <t>Dearness 
Allowances</t>
  </si>
  <si>
    <t>Over
time</t>
  </si>
  <si>
    <t>Other cash payments      (Nature of payments
 to be indicated)</t>
  </si>
  <si>
    <t>HRA</t>
  </si>
  <si>
    <t>CONVEYANCE</t>
  </si>
  <si>
    <t>MEDICAL ALLOWANCES</t>
  </si>
  <si>
    <t>SPECIAL ALLOWNANCES</t>
  </si>
  <si>
    <t>Total</t>
  </si>
  <si>
    <t>BONUS</t>
  </si>
  <si>
    <t>GRATUITY</t>
  </si>
  <si>
    <t>LTA/L.E</t>
  </si>
  <si>
    <t>ARREAR AMOUNT</t>
  </si>
  <si>
    <t>TOTAL AMOUNT</t>
  </si>
  <si>
    <t>Deductions, if any, 
(Indicate nature)</t>
  </si>
  <si>
    <t>Net Amount 
paid</t>
  </si>
  <si>
    <t>Time and Date of Payment</t>
  </si>
  <si>
    <t>Place of Payment</t>
  </si>
  <si>
    <t>Signature/Thumb
Impression of workman</t>
  </si>
  <si>
    <t>Initial of Contractor
 or his representative</t>
  </si>
  <si>
    <t>ESI</t>
  </si>
  <si>
    <t>PF</t>
  </si>
  <si>
    <t>PT</t>
  </si>
  <si>
    <t>TDS</t>
  </si>
  <si>
    <t>Advance</t>
  </si>
  <si>
    <t>Total Deductions</t>
  </si>
  <si>
    <t>Male</t>
  </si>
  <si>
    <r>
      <t xml:space="preserve">                                                                                                                                               </t>
    </r>
    <r>
      <rPr>
        <b/>
        <sz val="25"/>
        <color indexed="8"/>
        <rFont val="Arial Black"/>
        <family val="2"/>
      </rPr>
      <t xml:space="preserve">FORM - IX REGISTER OF WORKMEN EMPLOYED BY CONTRACTOR
</t>
    </r>
  </si>
  <si>
    <t xml:space="preserve">                                                           (Vide Rule 74 of Contract Labour (Regulation and Abolition) act Odisha. Rules 1975)</t>
  </si>
  <si>
    <t>Name and address of Establishemnt in/ under which conctract is carried on:</t>
  </si>
  <si>
    <t xml:space="preserve">Name of the Principle </t>
  </si>
  <si>
    <t>Employer</t>
  </si>
  <si>
    <r>
      <rPr>
        <b/>
        <sz val="25"/>
        <color indexed="8"/>
        <rFont val="Calibri"/>
        <family val="2"/>
      </rPr>
      <t xml:space="preserve">FORM - XII MUSTER ROLL
</t>
    </r>
    <r>
      <rPr>
        <sz val="11"/>
        <color theme="1"/>
        <rFont val="Calibri"/>
        <family val="2"/>
        <scheme val="minor"/>
      </rPr>
      <t>[Vide Rule 77 (2) (a) (i) of Contract Labour (Reg. &amp; Abolition) act Odisha Rules 1975]</t>
    </r>
  </si>
  <si>
    <t>S.No</t>
  </si>
  <si>
    <t>Father's/ 
Husband's Name</t>
  </si>
  <si>
    <t>P</t>
  </si>
  <si>
    <t>WO</t>
  </si>
  <si>
    <t xml:space="preserve">Signature of the Contractor with Seal </t>
  </si>
  <si>
    <t xml:space="preserve">                                  FORM 8  REGISTER OF LEAVE</t>
  </si>
  <si>
    <t xml:space="preserve">                                                            (Vide Rule 15(2) Odisha Shops &amp; Establishment Rules 1958 )</t>
  </si>
  <si>
    <t>Name of the Employer/Establishment:</t>
  </si>
  <si>
    <t xml:space="preserve">Name of the Employee: </t>
  </si>
  <si>
    <t>Registration Certificate Number:</t>
  </si>
  <si>
    <t xml:space="preserve">Adult, male or female, or child………….    </t>
  </si>
  <si>
    <t>Adult</t>
  </si>
  <si>
    <t>Name of employment, if any</t>
  </si>
  <si>
    <t>Monthly or weekly rate of pay or wages</t>
  </si>
  <si>
    <t>Date of employment</t>
  </si>
  <si>
    <t>Leave earned</t>
  </si>
  <si>
    <t>Period of leave refused to be carried over</t>
  </si>
  <si>
    <t>Leave availed</t>
  </si>
  <si>
    <t>Balance of leave at credit</t>
  </si>
  <si>
    <t>Sickness leave</t>
  </si>
  <si>
    <t>Balance after each occasion</t>
  </si>
  <si>
    <t>Signature or thumb impression of the employee</t>
  </si>
  <si>
    <t>Signature of employer</t>
  </si>
  <si>
    <t>From</t>
  </si>
  <si>
    <t>To</t>
  </si>
  <si>
    <t>Number of days</t>
  </si>
  <si>
    <t>At credit</t>
  </si>
  <si>
    <t>Earned</t>
  </si>
  <si>
    <t>Number of days availed</t>
  </si>
  <si>
    <r>
      <rPr>
        <b/>
        <sz val="25"/>
        <color indexed="8"/>
        <rFont val="Calibri"/>
        <family val="2"/>
      </rPr>
      <t xml:space="preserve">FORM - XIII REGISTER OF WAGES
</t>
    </r>
    <r>
      <rPr>
        <sz val="11"/>
        <color theme="1"/>
        <rFont val="Calibri"/>
        <family val="2"/>
        <scheme val="minor"/>
      </rPr>
      <t>[Vide Rule 77 (2) (a) (i) of Contract Labour (Reg. &amp; Abolition) Act Odisha Rules 1975]</t>
    </r>
  </si>
  <si>
    <t>FORM X</t>
  </si>
  <si>
    <t>EMPLOYMENT  CARD</t>
  </si>
  <si>
    <t>(Vide Rule 75 of Contract Labour (R&amp;A) act Odisha Rules, 1975)</t>
  </si>
  <si>
    <t>Name and Address of the Contractor</t>
  </si>
  <si>
    <t>Name and Address of the Establishment in/under which Contract is carried on:</t>
  </si>
  <si>
    <t xml:space="preserve">                          </t>
  </si>
  <si>
    <t>Nature of work and location of work:</t>
  </si>
  <si>
    <t>ODISSA</t>
  </si>
  <si>
    <t>1. Name of the Workman and address</t>
  </si>
  <si>
    <t>2. S.No. in the Register of Workmen
     Employed</t>
  </si>
  <si>
    <t>3. Nature of Employment /Designation</t>
  </si>
  <si>
    <t>4. Date of entry into service</t>
  </si>
  <si>
    <t>5. ESI No.</t>
  </si>
  <si>
    <t>6.PF No.</t>
  </si>
  <si>
    <t>7. Wage rate (With particulars of unit in
     case of piece - work)</t>
  </si>
  <si>
    <t>8. Wage period</t>
  </si>
  <si>
    <t>9. Tenure of Employment</t>
  </si>
  <si>
    <t>AS PER CONTRACT</t>
  </si>
  <si>
    <t>10.No. of days worked in a month</t>
  </si>
  <si>
    <t>11. No. of units worked in case of piece rate workers</t>
  </si>
  <si>
    <t>N/A</t>
  </si>
  <si>
    <t>12. Rate of daily wages / piece rate</t>
  </si>
  <si>
    <t>13. Amount of overtime wages</t>
  </si>
  <si>
    <t>14. Gross wages payable</t>
  </si>
  <si>
    <t>MED</t>
  </si>
  <si>
    <t>15. Deductions, if any,</t>
  </si>
  <si>
    <t>16. Net amount of wages paid</t>
  </si>
  <si>
    <t>Signature of the Representative</t>
  </si>
  <si>
    <t>of Contractor</t>
  </si>
  <si>
    <t>Form XV - WAGE SLIP</t>
  </si>
  <si>
    <t>[Vide rule 77 (2) (b) of the Contract Labour (Regulation and Abolition) act Odisha Rules, 1975]</t>
  </si>
  <si>
    <t>Name and address of Contractor</t>
  </si>
  <si>
    <t>Name and Father's / Husband's name of the workman</t>
  </si>
  <si>
    <t>Nature and location of work</t>
  </si>
  <si>
    <t>For the Week / Fortnight / Month ending</t>
  </si>
  <si>
    <t>No. of days worked</t>
  </si>
  <si>
    <t>No. of units worked in case of piece rate workers :</t>
  </si>
  <si>
    <t>Rate of daily wages / piece rate</t>
  </si>
  <si>
    <t>Amount of overtime wages</t>
  </si>
  <si>
    <t>Nil</t>
  </si>
  <si>
    <t>Gross wages payble</t>
  </si>
  <si>
    <t>EPF</t>
  </si>
  <si>
    <t>MEDICAL</t>
  </si>
  <si>
    <t>TOTAL</t>
  </si>
  <si>
    <t>Deductions, if any</t>
  </si>
  <si>
    <t>Actual  wages paid</t>
  </si>
  <si>
    <t>Initial of the Contractor or his representative</t>
  </si>
  <si>
    <t>Actual wages paid</t>
  </si>
  <si>
    <t>FORM XVI- REGISTER OF DEDUCTIONS FOR DAMAGE OR LOSS</t>
  </si>
  <si>
    <t>(Vide Rule 77(2) (d) (i) of Contract Labour (Regulation and Abolition) act Odisha Rules1975)</t>
  </si>
  <si>
    <r>
      <t xml:space="preserve">Name and address of Contractor: </t>
    </r>
    <r>
      <rPr>
        <b/>
        <sz val="9"/>
        <rFont val="Arial"/>
        <family val="2"/>
      </rPr>
      <t xml:space="preserve">GROTECH LANDSCAPE DEVELOPERS PVT.LTD. </t>
    </r>
  </si>
  <si>
    <t xml:space="preserve">Name and address of the establishment in  / under which contract is carried on:                             </t>
  </si>
  <si>
    <t xml:space="preserve">Nature and Location of Work: </t>
  </si>
  <si>
    <t xml:space="preserve">Name and address of principal employer: </t>
  </si>
  <si>
    <t>Name of workman</t>
  </si>
  <si>
    <t>Father's / Husband's Name</t>
  </si>
  <si>
    <t>Designation / Nature of employment</t>
  </si>
  <si>
    <t>Particulars of damage or loss</t>
  </si>
  <si>
    <t>Date of Damage or loss</t>
  </si>
  <si>
    <t>Whether workman showed cause against deduction</t>
  </si>
  <si>
    <t>Name of person in whose presence employee's explanation was heard</t>
  </si>
  <si>
    <t>Amount of deduction impossed</t>
  </si>
  <si>
    <t>Date of recovery</t>
  </si>
  <si>
    <t>No.of Instalments</t>
  </si>
  <si>
    <t>First Instalment</t>
  </si>
  <si>
    <t>Last instalment</t>
  </si>
  <si>
    <t xml:space="preserve">                    NO EMPLOYEE WAS IMPOSED DEDUCTIONS FOR DAMAGE OR LOSS FOR THE MONTH OF </t>
  </si>
  <si>
    <t xml:space="preserve">         </t>
  </si>
  <si>
    <t>FORM XVII- REGISTER OF FINES</t>
  </si>
  <si>
    <t>(Vide Rule 77(2) (d) (i) of Contract Labour (Regulation and Abolition) Act Odisha Rules 1975)</t>
  </si>
  <si>
    <t xml:space="preserve">Name and address of Contractor: </t>
  </si>
  <si>
    <t>Act/Omission for which fine imposed</t>
  </si>
  <si>
    <t>Date of offence</t>
  </si>
  <si>
    <t>Whether workman showed cause against fine</t>
  </si>
  <si>
    <t>Wage-period and wge payable</t>
  </si>
  <si>
    <t>Amount of fine Imposed</t>
  </si>
  <si>
    <t>Date on which fine realised</t>
  </si>
  <si>
    <t xml:space="preserve">NO EMPLOYEE WAS IMPOSED FINESFOR THE MONTH OF </t>
  </si>
  <si>
    <t>FORM XVIII- REGISTER OF ADVANCES</t>
  </si>
  <si>
    <r>
      <t xml:space="preserve">Name and address of Contractor: </t>
    </r>
    <r>
      <rPr>
        <b/>
        <sz val="9"/>
        <rFont val="Arial"/>
        <family val="2"/>
      </rPr>
      <t xml:space="preserve"> </t>
    </r>
  </si>
  <si>
    <t>Wage period and wages payable</t>
  </si>
  <si>
    <t>Date and amount of advance given</t>
  </si>
  <si>
    <t>Purpose(s) for which advance made</t>
  </si>
  <si>
    <t>Number of instalments by which advance to be repaid</t>
  </si>
  <si>
    <t>Date and amount of each instalment repaid</t>
  </si>
  <si>
    <t>Date on which last instalment was repaid</t>
  </si>
  <si>
    <t xml:space="preserve">NO EMPLOYEE TAKEN ADVANCE FOR THE MONTH OF </t>
  </si>
  <si>
    <t>FORM XIX- REGISTER OF OVERTIME</t>
  </si>
  <si>
    <t>(Vide Rule 77(2) (c) (i) of Contract Labour (Regulation and Abolition) Act Odisha Rules 1975)</t>
  </si>
  <si>
    <r>
      <t xml:space="preserve">Name and address of Contractor: </t>
    </r>
    <r>
      <rPr>
        <b/>
        <sz val="10"/>
        <rFont val="Arial"/>
        <family val="2"/>
      </rPr>
      <t xml:space="preserve">GROTECH LANDSCAPE DEVELOPERS PVT.LTD.    </t>
    </r>
    <r>
      <rPr>
        <sz val="10"/>
        <rFont val="Arial"/>
        <family val="2"/>
      </rPr>
      <t xml:space="preserve">                                                                                                                                                                    E-35 GREATER KAILASH ENCLAVE-1 NEW DELHI</t>
    </r>
  </si>
  <si>
    <t xml:space="preserve">Name and address of the establishment in  which under contract is carried on: </t>
  </si>
  <si>
    <t>Date on which overtime worked</t>
  </si>
  <si>
    <t>Total overtime worked or production in case of piece-rates</t>
  </si>
  <si>
    <t>Normal rate of wages</t>
  </si>
  <si>
    <t>Overtime rate of wages</t>
  </si>
  <si>
    <t>overtime earnings</t>
  </si>
  <si>
    <t>Total Earnings</t>
  </si>
  <si>
    <t>Date on which overtime wages paid</t>
  </si>
  <si>
    <t xml:space="preserve">NO EMPLOYEE DONE OVERTIME FOR THE MONTH OF </t>
  </si>
  <si>
    <t>Age</t>
  </si>
  <si>
    <t>Insurance Number</t>
  </si>
  <si>
    <t>Shift,Department and occupation of employee</t>
  </si>
  <si>
    <t>Name,address and occupation of the two witnesses</t>
  </si>
  <si>
    <t xml:space="preserve">               NO ACCIDENT OCCURRED  FOR THE MONTH OF </t>
  </si>
  <si>
    <t>BONUS REGISTER</t>
  </si>
  <si>
    <t>FORM "c" ( See rule 4 [c] )</t>
  </si>
  <si>
    <t>Name of the Establishment : _____________________________</t>
  </si>
  <si>
    <r>
      <t xml:space="preserve">Financial  year </t>
    </r>
    <r>
      <rPr>
        <sz val="12"/>
        <rFont val="Times New Roman"/>
        <family val="1"/>
      </rPr>
      <t>_____</t>
    </r>
  </si>
  <si>
    <t>Sr. No</t>
  </si>
  <si>
    <t>Name of the Employee</t>
  </si>
  <si>
    <t>Father's Name / Husband's Name</t>
  </si>
  <si>
    <t>Whether he has completed 15 yrs of age at the beginning of the accounting year</t>
  </si>
  <si>
    <t>Designation</t>
  </si>
  <si>
    <t>Total Salary or wages in the year</t>
  </si>
  <si>
    <t>Amt. of bonus payable under section 10 or section 11 as the case may be Ex gratia</t>
  </si>
  <si>
    <t>DEDUCTIONS</t>
  </si>
  <si>
    <t>Total Sum Deducted (Col. 9,10 and 11)</t>
  </si>
  <si>
    <t>Net Amount payable (Col. 8 minus Col. 12)</t>
  </si>
  <si>
    <t>Amount Actually paid</t>
  </si>
  <si>
    <t>Date on which paid</t>
  </si>
  <si>
    <t>Signature / Thumb impression of the employee</t>
  </si>
  <si>
    <t>Puja Bonus or other customary bonus paid during the accounting year</t>
  </si>
  <si>
    <t>Interim Bonus or bonus paid in advance</t>
  </si>
  <si>
    <t>Deduction on account of financial loss if any caused by misconduct of the employee</t>
  </si>
  <si>
    <t>Account Number</t>
  </si>
  <si>
    <t>YES</t>
  </si>
  <si>
    <t>Form D</t>
  </si>
  <si>
    <t xml:space="preserve">(See rule 6) </t>
  </si>
  <si>
    <t xml:space="preserve">Register to be maintained by the employer under rule 6 of the Equal Remuneration Rules, 1976 </t>
  </si>
  <si>
    <t>Name and address of Contractor :</t>
  </si>
  <si>
    <t xml:space="preserve">Name and address of establishment in/under which contract is carried on : </t>
  </si>
  <si>
    <t xml:space="preserve">Name and address of Principal Employer : </t>
  </si>
  <si>
    <t>Total number of men workers employed</t>
  </si>
  <si>
    <t>Total number of women workers employed</t>
  </si>
  <si>
    <t>Components of remuneration</t>
  </si>
  <si>
    <t>Category of workers</t>
  </si>
  <si>
    <t>Brief Description of work</t>
  </si>
  <si>
    <t>No of women employed</t>
  </si>
  <si>
    <t>No. of men employed</t>
  </si>
  <si>
    <t>Rate or remuneration paid</t>
  </si>
  <si>
    <t>Basic wage &amp; Dearness Allowance</t>
  </si>
  <si>
    <t>House Rent allowance</t>
  </si>
  <si>
    <t>Other allowances</t>
  </si>
  <si>
    <t>Cash value of concessional supply of essential commodities</t>
  </si>
  <si>
    <t xml:space="preserve">Name of the Client         </t>
  </si>
  <si>
    <t>Primary Work Place/ Location</t>
  </si>
  <si>
    <t>Infosys Limited</t>
  </si>
  <si>
    <t>Bhubaneswar</t>
  </si>
  <si>
    <t>,</t>
  </si>
  <si>
    <t>ESI PAHECHAN CARDS ISSUE REGISTER</t>
  </si>
  <si>
    <t>Issue Date</t>
  </si>
  <si>
    <t>Signature</t>
  </si>
  <si>
    <t>FORM I</t>
  </si>
  <si>
    <t>NOMINATION AND DECLARATION FORM</t>
  </si>
  <si>
    <t>(Vide Rule 3 of Payment of wages Act  Central &amp; A.P Rules, 1936)</t>
  </si>
  <si>
    <t>1. Name of the person making nomination</t>
  </si>
  <si>
    <t xml:space="preserve">2. Father's/Husband name
     </t>
  </si>
  <si>
    <t>3. Date of Birth</t>
  </si>
  <si>
    <t>4. Sex</t>
  </si>
  <si>
    <t>5. Marital Status</t>
  </si>
  <si>
    <t>Un-Married</t>
  </si>
  <si>
    <t>6.Address</t>
  </si>
  <si>
    <t>Permanent</t>
  </si>
  <si>
    <t>Temporary</t>
  </si>
  <si>
    <t xml:space="preserve">I hereby nominate the person(s)/cancel the nomination made by me previously and nominate the person(s) mentioned below to </t>
  </si>
  <si>
    <t>receive any amount due to me from the employer,in the event to my death.</t>
  </si>
  <si>
    <t>Name of the Nominee/nominees</t>
  </si>
  <si>
    <t>Address</t>
  </si>
  <si>
    <t>Nominee's relationship With the member</t>
  </si>
  <si>
    <t>Date of Birth</t>
  </si>
  <si>
    <t>Total amount of Share of accumulations</t>
  </si>
  <si>
    <t>If the nominee is minor,name,relationship and address of the guardian</t>
  </si>
  <si>
    <t>Same as permanant address</t>
  </si>
  <si>
    <t>Father</t>
  </si>
  <si>
    <t>54 years</t>
  </si>
  <si>
    <t>1.Certified that I have no family and should I acquire a family hereafter,the above nomination shall be deemed as cancelled.</t>
  </si>
  <si>
    <t>2.Certified that my father/mother is/ are dependent upon me.</t>
  </si>
  <si>
    <t>3.Strike out whichever is not applicable.</t>
  </si>
  <si>
    <t>Signature or the thumb impression of the employed person</t>
  </si>
  <si>
    <t>CERTIFCATE BY EMPLOYER</t>
  </si>
  <si>
    <t xml:space="preserve"> Certified that the above declaration and nomination has been signed/thumb impressed before me by Shri/Smt/Kum</t>
  </si>
  <si>
    <t>employed in my establishment after he/she has read the entry/entries have been read over to him/her by me and got confirmed by him/her.</t>
  </si>
  <si>
    <t>Signature or the employer or other authorized officer of the establiment and Designation</t>
  </si>
  <si>
    <t>Place</t>
  </si>
  <si>
    <t>Hyderabad</t>
  </si>
  <si>
    <t>Date</t>
  </si>
  <si>
    <t>(FORM 2 REVISED)</t>
  </si>
  <si>
    <t>NOMINATION AND DECLARATION FORM FOR UNEXEMPTED/EXEMPTED ESTABLISHMENTS</t>
  </si>
  <si>
    <t>Declaration and Nomination Form under the Employees Provident Funds and Employees Pension Schemes</t>
  </si>
  <si>
    <t xml:space="preserve">                        (Paragraph 33 and 61(1) of the Employees Provident Fund Scheme 1952 and Paragraph 18 of the Employees Pension Scheme 1995)</t>
  </si>
  <si>
    <t>PART-A(EPF)</t>
  </si>
  <si>
    <t>Same as Permanant Address</t>
  </si>
  <si>
    <t>55 Years</t>
  </si>
  <si>
    <t>Strike out whichever is not applicable</t>
  </si>
  <si>
    <t>Signature/or thumb impression of the subscriber</t>
  </si>
  <si>
    <t>PART (EPS)</t>
  </si>
  <si>
    <t>Para 18</t>
  </si>
  <si>
    <t xml:space="preserve">I hereby furnish below particulars of the members of my family who would be eligible to receive Widow/Children Pension in the event of </t>
  </si>
  <si>
    <t>my premature death in service</t>
  </si>
  <si>
    <t>Name &amp; Address of the Family Member</t>
  </si>
  <si>
    <t>Relationship with the member</t>
  </si>
  <si>
    <t xml:space="preserve">                                             </t>
  </si>
  <si>
    <t>Certified that I have no family as defined in para 2 (vii) of the Employees's Family Pension Scheme 1995 and should I acquire a family hereafter</t>
  </si>
  <si>
    <t>I shall furnish Particulars there on in the above form.</t>
  </si>
  <si>
    <t>I hereby nominate the following person for receiving the monthly widow pension (admissible under para 16 2 (a) (1) &amp; (ii) in the even of my death</t>
  </si>
  <si>
    <t>without leaving any eligible member for receiving pension.</t>
  </si>
  <si>
    <t>Name and Address of the nominee</t>
  </si>
  <si>
    <t>Relationship with member</t>
  </si>
  <si>
    <t>Signature or thumb impression of the subscriber</t>
  </si>
  <si>
    <t xml:space="preserve">New Form No. 11 - Declaration Form  </t>
  </si>
  <si>
    <t xml:space="preserve">                                                                                                                                 (To be retained by t he employer for future reference)</t>
  </si>
  <si>
    <t>EMPLOYEES' PROVIDENT FUND ORGANIZATION</t>
  </si>
  <si>
    <t>Emp Code:</t>
  </si>
  <si>
    <t>Employees' Provident Funds Scheme, 1952 (Paragraph 34 &amp; 57) &amp;</t>
  </si>
  <si>
    <t>Company</t>
  </si>
  <si>
    <t>The Employees' Pension Scheme, 1995 (Paragraph 24)</t>
  </si>
  <si>
    <t>Name of the Member</t>
  </si>
  <si>
    <t>Fathers' Name</t>
  </si>
  <si>
    <t>Husband's Name</t>
  </si>
  <si>
    <t xml:space="preserve"> </t>
  </si>
  <si>
    <t>(Please tick whichever is applicable)</t>
  </si>
  <si>
    <t>Date of Birth (DD/MM/YYYY)</t>
  </si>
  <si>
    <t>Gender (Male/Female/Transgender)</t>
  </si>
  <si>
    <t>Marital Status(married / Unmarried / Widow/divorce)</t>
  </si>
  <si>
    <t>UNMARRIED</t>
  </si>
  <si>
    <t>(a)</t>
  </si>
  <si>
    <t>Email Id</t>
  </si>
  <si>
    <t>(b)</t>
  </si>
  <si>
    <t>Mobile No.</t>
  </si>
  <si>
    <t>Whether earlier a member of the Employees' Provident Fund Scheme, 1952 ?</t>
  </si>
  <si>
    <t>Yes</t>
  </si>
  <si>
    <t>No</t>
  </si>
  <si>
    <t>Whether earlier a member of the Employees' Pension  Scheme, 1995?</t>
  </si>
  <si>
    <r>
      <rPr>
        <b/>
        <sz val="7"/>
        <rFont val="Tahoma"/>
        <family val="2"/>
      </rPr>
      <t>Previous employment details</t>
    </r>
    <r>
      <rPr>
        <b/>
        <sz val="6"/>
        <rFont val="Tahoma"/>
        <family val="2"/>
      </rPr>
      <t xml:space="preserve"> [if Yes to 7 &amp;/or 8 above] </t>
    </r>
  </si>
  <si>
    <t>a)</t>
  </si>
  <si>
    <t>Universal Account Number</t>
  </si>
  <si>
    <t>b)</t>
  </si>
  <si>
    <t>Previous PF Account Number</t>
  </si>
  <si>
    <t>C)</t>
  </si>
  <si>
    <t xml:space="preserve">Date of exit from previous employment (DD/MM/YYYY) </t>
  </si>
  <si>
    <t>d)</t>
  </si>
  <si>
    <t>Scheme Certificate No. (if issued)</t>
  </si>
  <si>
    <t>e)</t>
  </si>
  <si>
    <t>Pension Payment Order (PPO) No. (if issued)</t>
  </si>
  <si>
    <t>International Worker</t>
  </si>
  <si>
    <t>If yes, state country of origin(India/Name of other country)</t>
  </si>
  <si>
    <t>Passport No.</t>
  </si>
  <si>
    <t>Validity of passport [(DD/MM/YYYY) to (DD/MM/YYYY)]</t>
  </si>
  <si>
    <t>KYC Details (attach self attested copies of following KYCs)</t>
  </si>
  <si>
    <t>Bank Account No. &amp; IFS Code</t>
  </si>
  <si>
    <t>AADHAR No.</t>
  </si>
  <si>
    <t>c)</t>
  </si>
  <si>
    <t>Permanent Account No. (PAN), if available</t>
  </si>
  <si>
    <t>UNDERTAKING</t>
  </si>
  <si>
    <t>1)</t>
  </si>
  <si>
    <t>Certified that the particulars are true to the best of my knowledge.</t>
  </si>
  <si>
    <t>2)</t>
  </si>
  <si>
    <t>I authorize EPFO to use my Aadhar for verification/authentication/eKYC purpose for service delivery.</t>
  </si>
  <si>
    <t>3)</t>
  </si>
  <si>
    <t>Kindly transfer the funds and service details, if applicable from the previous PF account as declared above to the present P.F.  Account (The Transfer would be possible  only if the identified KYC details approved by previous employer has been verified by present employer</t>
  </si>
  <si>
    <t>4)</t>
  </si>
  <si>
    <t>In case of changes in above details, the same will be intimated to employer at the earliest.</t>
  </si>
  <si>
    <t>Date :</t>
  </si>
  <si>
    <t>Place:</t>
  </si>
  <si>
    <t>Signature of Member</t>
  </si>
  <si>
    <t>DECLARATION BY PRESENT EMPLOYER</t>
  </si>
  <si>
    <t>A)</t>
  </si>
  <si>
    <t>The member Mr./Ms./Mrs.</t>
  </si>
  <si>
    <t>has joined on</t>
  </si>
  <si>
    <t>and has been allotted PF Number</t>
  </si>
  <si>
    <t>B)</t>
  </si>
  <si>
    <t>In case the person was earlier not a member of EPF Scheme, 1952 and EPS, 1995:</t>
  </si>
  <si>
    <t>(Post allotment of UAN) The UAN allotted for the member is</t>
  </si>
  <si>
    <t>Please Tick the Appropriate Option:</t>
  </si>
  <si>
    <t>The KYC details of the above member in the UAN database</t>
  </si>
  <si>
    <t>Have not been uploaded</t>
  </si>
  <si>
    <t>Have been uploaded but not approved</t>
  </si>
  <si>
    <t>Have been uploaded and approved with DSC</t>
  </si>
  <si>
    <t>In case the person was earlier a member of EPF Scheme, 1952 and EPS, 1995:</t>
  </si>
  <si>
    <t>The above PF Account Number/ UAN of the member as mentioned in (A) above has been tagged with his/her UAN/Previous Member ID as declared by member.</t>
  </si>
  <si>
    <t>The KYC details of the above member in the UAN database have been approved with DSC and transfer request has been generated on portal.</t>
  </si>
  <si>
    <t>As the DSC of establishment are not registered with EPFO, the member has been informed to file physical claim (Form 13) for transfer of funds</t>
  </si>
  <si>
    <t>from his previous establishment.</t>
  </si>
  <si>
    <t>Signature of Employer with seal of Establishment</t>
  </si>
  <si>
    <t>Unmarried</t>
  </si>
  <si>
    <t>Un married</t>
  </si>
  <si>
    <t>F O R M – F</t>
  </si>
  <si>
    <t>[See sub-Rule (1) of Rule 6] The Payment of Gratuity Rules, 1973:</t>
  </si>
  <si>
    <t>NOMINATION</t>
  </si>
  <si>
    <t>1. I, Shri / Shrimati / Kumari</t>
  </si>
  <si>
    <t>whose particulars are given in the statement below, hereby nominate the person(s) mentioned below to receive the gratuity payable after my death as also the gratuity standing to my credit in the event of my death before that amount has become payable, or having become payable has not been paid and direct that the said amount of gratuity shall be paid in proportion indicated against the name(s) of the nominee(s).</t>
  </si>
  <si>
    <t>2. I hereby certify that the person(s) mentioned is a /are member(s) of my family within the meaning of clause (h) of Section 2 of the Payment of Gratuity Act, 1972.</t>
  </si>
  <si>
    <t>3. I hereby declare that I have no family within the meaning of clause (h) of Section 2 of the said Act.</t>
  </si>
  <si>
    <t>4. (a) My father/mother/parents is/are not dependent on me</t>
  </si>
  <si>
    <t xml:space="preserve">    (b) My husband’s father/mother/parents is/are not dependent on my husband.</t>
  </si>
  <si>
    <t>5. I have excluded my husband from my family by a notice dated the ……………. to the Controlling Authority in terms of the proviso to clause (h) of Section 2 of the said Act.</t>
  </si>
  <si>
    <t>6. Nomination made herein invalidates my previous nomination.</t>
  </si>
  <si>
    <t>NOMINEE(S)</t>
  </si>
  <si>
    <t>Name in full with full address of nominee(s):</t>
  </si>
  <si>
    <t>Relationship with the empliyee</t>
  </si>
  <si>
    <t>Age of
nominee:</t>
  </si>
  <si>
    <t>Proportion by which the gratuity will be shared:</t>
  </si>
  <si>
    <t>54 Years</t>
  </si>
  <si>
    <t>STATEMENT</t>
  </si>
  <si>
    <t>1. Name of employee in full:</t>
  </si>
  <si>
    <t>2. Sex:</t>
  </si>
  <si>
    <t>3. Religion:</t>
  </si>
  <si>
    <t>Muslim</t>
  </si>
  <si>
    <t>4. Whether unmarried/married/widow/widower:</t>
  </si>
  <si>
    <t>5. Department/Branch/Section where employed:</t>
  </si>
  <si>
    <t>6. Post held with Ticket No. or Serial No. if any:</t>
  </si>
  <si>
    <t>7. Date of appointment:</t>
  </si>
  <si>
    <t>8. Permanent address:</t>
  </si>
  <si>
    <t xml:space="preserve">Date: </t>
  </si>
  <si>
    <t>Signature/Thumb impression of the employee</t>
  </si>
  <si>
    <t>Declaration by witnesses:</t>
  </si>
  <si>
    <t>Nomination signed/thumb impressed before me:</t>
  </si>
  <si>
    <t>Name in full and full address of witnesses:</t>
  </si>
  <si>
    <t>Signature of witnesses:</t>
  </si>
  <si>
    <t>Certificate by the Employer</t>
  </si>
  <si>
    <t>Certified that the particulars of the above nomination have been verified and recorded in t his establishment</t>
  </si>
  <si>
    <t>Employer's reference No, if any</t>
  </si>
  <si>
    <t xml:space="preserve">Signature of the employer/Officer authorized </t>
  </si>
  <si>
    <t xml:space="preserve">Name address of the establishment or rubber stamp there of </t>
  </si>
  <si>
    <t xml:space="preserve">                                                                     Acknowledgment by the Employee</t>
  </si>
  <si>
    <t>Received the duplicate of the nomination in Form 'F'Filled by me and duly certified by  the employer</t>
  </si>
  <si>
    <t>Note: Strike out words/paragraph not applicable</t>
  </si>
  <si>
    <t>Signature of the Employee</t>
  </si>
  <si>
    <t>Hindu</t>
  </si>
  <si>
    <t>FORM XV</t>
  </si>
  <si>
    <t>[Vide rule 77 of Contract Labour (Regul. &amp; Abolition) Central &amp; A.P. Rules, 1971]</t>
  </si>
  <si>
    <t>SERVICE CERTIFICATE</t>
  </si>
  <si>
    <t>Name and address of establishment in /
under which contract is caried on :</t>
  </si>
  <si>
    <t>Nature and Location of work:</t>
  </si>
  <si>
    <t>Name and address of Principal Employer :</t>
  </si>
  <si>
    <t>Name and address of the workman :</t>
  </si>
  <si>
    <t>Age or date of Birth                         :</t>
  </si>
  <si>
    <t>Identification Marks                         :</t>
  </si>
  <si>
    <t>Father's / Husband's Name              :</t>
  </si>
  <si>
    <t>Sl.No.</t>
  </si>
  <si>
    <t>Total period for which employed</t>
  </si>
  <si>
    <t>Nature of work done</t>
  </si>
  <si>
    <t>Rate of wage ( with particulars of units in case of piece work)</t>
  </si>
  <si>
    <t>Signature of the Employer with Seal</t>
  </si>
  <si>
    <t>KRANTHI KUMAR VEDULLA</t>
  </si>
  <si>
    <t>Vipin U.N</t>
  </si>
  <si>
    <t>05.02.1992</t>
  </si>
  <si>
    <t>Kamini Venkatarami Reddy</t>
  </si>
  <si>
    <t>1/93 , Sanagala Guduru, Putluru (M), Anantapur (D), Andhra pradesh, 515411</t>
  </si>
  <si>
    <t>ICICI</t>
  </si>
  <si>
    <t>NA</t>
  </si>
  <si>
    <t>28/02/1991</t>
  </si>
  <si>
    <t>GANGA G</t>
  </si>
  <si>
    <t>#30 "Rajeevam" Ground Floor 2nd cross,Green Garden Layout,12th Main NRI Layout Varanasi,Jinekethimmanahali, Ramamurthy Nagar ,Bangalore - 560036</t>
  </si>
  <si>
    <t>INFOSYS LIMITED, IL BHUBANESHWAR-STP,UNIT-II</t>
  </si>
  <si>
    <t>Plot No E/4,Info city,Chandaka Industrial, Bhubaneswar,Odisha - 751024</t>
  </si>
  <si>
    <t>Burgeon IT Services Pvt.Ltd.</t>
  </si>
  <si>
    <t>Siri Mansion LIGB 436 Dr.A S Rao Nagar,Hyderabad</t>
  </si>
  <si>
    <t>Senior Network Engineer</t>
  </si>
  <si>
    <t>Senior IT Endpoint Engineer</t>
  </si>
  <si>
    <t>A/C'403901506350</t>
  </si>
  <si>
    <t>A/C025201526367</t>
  </si>
  <si>
    <t>FORM 11</t>
  </si>
  <si>
    <t>ACCIDENT BOOK</t>
  </si>
  <si>
    <t>EMPLOYEE STATE INSURANCE CORPORATION</t>
  </si>
  <si>
    <t>(Regulation 66)</t>
  </si>
  <si>
    <t>Date of Notice</t>
  </si>
  <si>
    <t>Time of Notice</t>
  </si>
  <si>
    <t>Name and Address of the Injured Person</t>
  </si>
  <si>
    <t>Details of Injury</t>
  </si>
  <si>
    <t>Signature and designation of the person who makes the entry in the accident book</t>
  </si>
  <si>
    <t>Remarks if any</t>
  </si>
  <si>
    <t>What exactly was the injured person doing at the time of accident</t>
  </si>
  <si>
    <t>Name,Occupation,address and signature or the thumb impression of the person(s) giving notice</t>
  </si>
  <si>
    <t>Cause</t>
  </si>
  <si>
    <t>Nature</t>
  </si>
  <si>
    <t xml:space="preserve">Date </t>
  </si>
  <si>
    <t>Time</t>
  </si>
  <si>
    <r>
      <t xml:space="preserve">                                                                                         </t>
    </r>
    <r>
      <rPr>
        <b/>
        <sz val="25"/>
        <rFont val="Calibri"/>
        <family val="2"/>
      </rPr>
      <t xml:space="preserve">FORM - XIII REGISTER OF WORKMEN EMPLOYED BY CONTRACTOR
</t>
    </r>
  </si>
  <si>
    <t>No. of days worked in the month</t>
  </si>
  <si>
    <t>IT SUPPORTIVE SERVICES &amp; BHUBANESWAR</t>
  </si>
  <si>
    <t>MEDICAL/Advance</t>
  </si>
  <si>
    <t>Signature of the Contractor with Seal</t>
  </si>
  <si>
    <t>LESS DAYS</t>
  </si>
  <si>
    <t>2022-23</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</si>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</sst>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mmmm/yyyy"/>
    <numFmt numFmtId="165" formatCode="[$-409]d/mmm/yy;@"/>
    <numFmt numFmtId="166" formatCode="###,##0"/>
    <numFmt numFmtId="167" formatCode="_(* #,##0_);_(* \(#,##0\);_(* &quot;-&quot;??_);_(@_)"/>
    <numFmt numFmtId="168" formatCode="0.0"/>
  </numFmts>
  <fonts count="87">
    <font>
      <sz val="11"/>
      <color theme="1"/>
      <name val="Calibri"/>
      <family val="2"/>
      <scheme val="minor"/>
    </font>
    <font>
      <sz val="11"/>
      <color theme="1"/>
      <name val="Calibri"/>
      <family val="2"/>
      <scheme val="minor"/>
    </font>
    <font>
      <b/>
      <sz val="11"/>
      <color theme="1"/>
      <name val="Calibri"/>
      <family val="2"/>
      <scheme val="minor"/>
    </font>
    <font>
      <b/>
      <sz val="25"/>
      <color indexed="8"/>
      <name val="Calibri"/>
      <family val="2"/>
    </font>
    <font>
      <b/>
      <sz val="10"/>
      <name val="Times New Roman"/>
      <family val="1"/>
    </font>
    <font>
      <sz val="12"/>
      <color theme="1"/>
      <name val="Calibri"/>
      <family val="2"/>
      <scheme val="minor"/>
    </font>
    <font>
      <sz val="10"/>
      <name val="Times New Roman"/>
      <family val="1"/>
    </font>
    <font>
      <sz val="25"/>
      <name val="Arial"/>
      <family val="2"/>
    </font>
    <font>
      <sz val="10"/>
      <name val="Arial"/>
      <family val="2"/>
    </font>
    <font>
      <b/>
      <sz val="10"/>
      <name val="Arial"/>
      <family val="2"/>
    </font>
    <font>
      <sz val="11"/>
      <name val="Calibri"/>
      <family val="2"/>
      <scheme val="minor"/>
    </font>
    <font>
      <b/>
      <sz val="12"/>
      <color theme="1"/>
      <name val="Calibri"/>
      <family val="2"/>
      <scheme val="minor"/>
    </font>
    <font>
      <b/>
      <sz val="8"/>
      <color theme="1"/>
      <name val="Calibri"/>
      <family val="2"/>
      <scheme val="minor"/>
    </font>
    <font>
      <sz val="10"/>
      <name val="Calibri"/>
      <family val="2"/>
      <scheme val="minor"/>
    </font>
    <font>
      <sz val="10"/>
      <name val="Cambria"/>
      <family val="1"/>
      <scheme val="major"/>
    </font>
    <font>
      <sz val="12"/>
      <name val="Cambria"/>
      <family val="1"/>
      <scheme val="major"/>
    </font>
    <font>
      <sz val="14"/>
      <name val="Calibri"/>
      <family val="2"/>
      <scheme val="minor"/>
    </font>
    <font>
      <sz val="10"/>
      <name val="Arial Narrow"/>
      <family val="2"/>
    </font>
    <font>
      <sz val="10"/>
      <name val="VERDANA"/>
      <family val="2"/>
    </font>
    <font>
      <sz val="12"/>
      <name val="Calibri"/>
      <family val="2"/>
      <scheme val="minor"/>
    </font>
    <font>
      <b/>
      <sz val="12"/>
      <name val="Arial"/>
      <family val="2"/>
    </font>
    <font>
      <sz val="10"/>
      <color indexed="8"/>
      <name val="Arial"/>
      <family val="2"/>
    </font>
    <font>
      <sz val="10"/>
      <color theme="1"/>
      <name val="Arial"/>
      <family val="2"/>
    </font>
    <font>
      <b/>
      <sz val="20"/>
      <name val="Arial"/>
      <family val="2"/>
    </font>
    <font>
      <sz val="9"/>
      <name val="Arial"/>
      <family val="2"/>
    </font>
    <font>
      <b/>
      <sz val="9"/>
      <name val="Arial"/>
      <family val="2"/>
    </font>
    <font>
      <b/>
      <sz val="22"/>
      <name val="Arial"/>
      <family val="2"/>
    </font>
    <font>
      <sz val="11"/>
      <name val="Arial"/>
      <family val="2"/>
    </font>
    <font>
      <b/>
      <sz val="18"/>
      <name val="Arial"/>
      <family val="2"/>
    </font>
    <font>
      <b/>
      <sz val="25"/>
      <color theme="1"/>
      <name val="Calibri"/>
      <family val="2"/>
      <scheme val="minor"/>
    </font>
    <font>
      <sz val="18"/>
      <color theme="1"/>
      <name val="Calibri"/>
      <family val="2"/>
      <scheme val="minor"/>
    </font>
    <font>
      <b/>
      <sz val="11"/>
      <color rgb="FF000000"/>
      <name val="Calibri"/>
      <family val="2"/>
      <scheme val="minor"/>
    </font>
    <font>
      <b/>
      <u/>
      <sz val="14"/>
      <name val="Imprint MT Shadow"/>
      <family val="5"/>
    </font>
    <font>
      <sz val="12"/>
      <name val="Imprint MT Shadow"/>
      <family val="5"/>
    </font>
    <font>
      <b/>
      <sz val="12"/>
      <name val="Times New Roman"/>
      <family val="1"/>
    </font>
    <font>
      <sz val="12"/>
      <name val="Times New Roman"/>
      <family val="1"/>
    </font>
    <font>
      <sz val="10.5"/>
      <name val="Times New Roman"/>
      <family val="1"/>
    </font>
    <font>
      <b/>
      <sz val="10.5"/>
      <name val="Times New Roman"/>
      <family val="1"/>
    </font>
    <font>
      <sz val="9"/>
      <name val="Times New Roman"/>
      <family val="1"/>
    </font>
    <font>
      <b/>
      <sz val="9"/>
      <name val="Times New Roman"/>
      <family val="1"/>
    </font>
    <font>
      <sz val="11"/>
      <name val="Times New Roman"/>
      <family val="1"/>
    </font>
    <font>
      <b/>
      <sz val="9"/>
      <name val="VERDANA"/>
      <family val="2"/>
    </font>
    <font>
      <i/>
      <sz val="9"/>
      <name val="Verdana"/>
      <family val="2"/>
    </font>
    <font>
      <b/>
      <sz val="14"/>
      <name val="Calibri"/>
      <family val="2"/>
      <scheme val="minor"/>
    </font>
    <font>
      <b/>
      <sz val="11"/>
      <name val="Calibri"/>
      <family val="2"/>
      <scheme val="minor"/>
    </font>
    <font>
      <b/>
      <sz val="16"/>
      <name val="Calibri"/>
      <family val="2"/>
      <scheme val="minor"/>
    </font>
    <font>
      <sz val="9"/>
      <name val="VERDANA"/>
      <family val="2"/>
    </font>
    <font>
      <b/>
      <sz val="8"/>
      <name val="Verdana"/>
      <family val="2"/>
    </font>
    <font>
      <b/>
      <sz val="11"/>
      <name val="Arial"/>
      <family val="2"/>
    </font>
    <font>
      <b/>
      <sz val="12"/>
      <name val="VERDANA"/>
      <family val="2"/>
    </font>
    <font>
      <sz val="11"/>
      <color theme="1"/>
      <name val="Arial Black"/>
      <family val="2"/>
    </font>
    <font>
      <b/>
      <sz val="25"/>
      <color indexed="8"/>
      <name val="Arial Black"/>
      <family val="2"/>
    </font>
    <font>
      <b/>
      <sz val="14"/>
      <color theme="1"/>
      <name val="Calibri"/>
      <family val="2"/>
      <scheme val="minor"/>
    </font>
    <font>
      <b/>
      <sz val="18"/>
      <color theme="1"/>
      <name val="Calibri"/>
      <family val="2"/>
      <scheme val="minor"/>
    </font>
    <font>
      <sz val="16"/>
      <color theme="1"/>
      <name val="Calibri"/>
      <family val="2"/>
      <scheme val="minor"/>
    </font>
    <font>
      <sz val="8"/>
      <name val="Tahoma"/>
      <family val="2"/>
    </font>
    <font>
      <sz val="10"/>
      <name val="Tahoma"/>
      <family val="2"/>
    </font>
    <font>
      <sz val="9"/>
      <name val="Tahoma"/>
      <family val="2"/>
    </font>
    <font>
      <b/>
      <sz val="6"/>
      <name val="Tahoma"/>
      <family val="2"/>
    </font>
    <font>
      <b/>
      <sz val="7"/>
      <name val="Tahoma"/>
      <family val="2"/>
    </font>
    <font>
      <sz val="10"/>
      <color theme="1"/>
      <name val="Calibri"/>
      <family val="2"/>
      <scheme val="minor"/>
    </font>
    <font>
      <b/>
      <u/>
      <sz val="11"/>
      <color theme="1"/>
      <name val="Calibri"/>
      <family val="2"/>
      <scheme val="minor"/>
    </font>
    <font>
      <b/>
      <sz val="9"/>
      <color theme="1"/>
      <name val="Calibri"/>
      <family val="2"/>
      <scheme val="minor"/>
    </font>
    <font>
      <b/>
      <sz val="9"/>
      <name val="Tahoma"/>
      <family val="2"/>
    </font>
    <font>
      <b/>
      <sz val="10"/>
      <name val="Cambria"/>
      <family val="1"/>
      <scheme val="major"/>
    </font>
    <font>
      <sz val="8"/>
      <color theme="1"/>
      <name val="Calibri"/>
      <family val="2"/>
      <scheme val="minor"/>
    </font>
    <font>
      <sz val="9"/>
      <color theme="1"/>
      <name val="Calibri"/>
      <family val="2"/>
      <scheme val="minor"/>
    </font>
    <font>
      <sz val="11"/>
      <color rgb="FF000000"/>
      <name val="Calibri"/>
      <family val="2"/>
      <scheme val="minor"/>
    </font>
    <font>
      <sz val="9.5"/>
      <color theme="1"/>
      <name val="Calibri"/>
      <family val="2"/>
      <scheme val="minor"/>
    </font>
    <font>
      <b/>
      <sz val="16"/>
      <name val="Arial"/>
      <family val="2"/>
    </font>
    <font>
      <i/>
      <sz val="10"/>
      <name val="Arial"/>
      <family val="2"/>
    </font>
    <font>
      <b/>
      <sz val="14"/>
      <name val="Arial"/>
      <family val="2"/>
    </font>
    <font>
      <sz val="8"/>
      <name val="Arial"/>
      <family val="2"/>
    </font>
    <font>
      <sz val="10"/>
      <color indexed="8"/>
      <name val="Arial1"/>
      <charset val="1"/>
    </font>
    <font>
      <sz val="10"/>
      <name val="Arial"/>
      <family val="2"/>
      <charset val="1"/>
    </font>
    <font>
      <sz val="12"/>
      <color rgb="FF000000"/>
      <name val="Arial"/>
      <family val="2"/>
    </font>
    <font>
      <sz val="10"/>
      <name val="Book Antiqua"/>
      <family val="1"/>
    </font>
    <font>
      <sz val="10"/>
      <name val="Calibri"/>
      <family val="2"/>
    </font>
    <font>
      <u/>
      <sz val="10"/>
      <name val="Arial"/>
      <family val="2"/>
    </font>
    <font>
      <sz val="12"/>
      <color theme="1"/>
      <name val="Cambria"/>
      <family val="1"/>
      <scheme val="major"/>
    </font>
    <font>
      <b/>
      <sz val="10"/>
      <name val="Calibri"/>
      <family val="2"/>
      <scheme val="minor"/>
    </font>
    <font>
      <b/>
      <sz val="12"/>
      <name val="Cambria"/>
      <family val="1"/>
      <scheme val="major"/>
    </font>
    <font>
      <b/>
      <sz val="25"/>
      <name val="Calibri"/>
      <family val="2"/>
    </font>
    <font>
      <b/>
      <sz val="12"/>
      <name val="Calibri"/>
      <family val="2"/>
      <scheme val="minor"/>
    </font>
    <font>
      <b/>
      <sz val="8"/>
      <name val="Calibri"/>
      <family val="2"/>
      <scheme val="minor"/>
    </font>
    <font>
      <sz val="12"/>
      <name val="Arial"/>
      <family val="2"/>
    </font>
    <font>
      <b/>
      <u val="double"/>
      <sz val="2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2"/>
        <bgColor indexed="64"/>
      </patternFill>
    </fill>
    <fill>
      <patternFill patternType="solid">
        <fgColor theme="0" tint="-4.9989318521683403E-2"/>
        <bgColor indexed="64"/>
      </patternFill>
    </fill>
    <fill>
      <patternFill patternType="solid">
        <fgColor rgb="FFFFFF00"/>
        <bgColor indexed="64"/>
      </patternFill>
    </fill>
  </fills>
  <borders count="57">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style="medium">
        <color indexed="64"/>
      </top>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medium">
        <color indexed="64"/>
      </left>
      <right style="medium">
        <color indexed="64"/>
      </right>
      <top/>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s>
  <cellStyleXfs count="9">
    <xf numFmtId="0" fontId="0" fillId="0" borderId="0"/>
    <xf numFmtId="0" fontId="8" fillId="0" borderId="0" applyFont="0" applyFill="0" applyBorder="0" applyAlignment="0" applyProtection="0"/>
    <xf numFmtId="0" fontId="1" fillId="0" borderId="0"/>
    <xf numFmtId="0" fontId="8" fillId="0" borderId="0"/>
    <xf numFmtId="0" fontId="1" fillId="0" borderId="0"/>
    <xf numFmtId="9" fontId="1" fillId="0" borderId="0" applyFont="0" applyFill="0" applyBorder="0" applyAlignment="0" applyProtection="0"/>
    <xf numFmtId="0" fontId="73" fillId="0" borderId="0"/>
    <xf numFmtId="0" fontId="74" fillId="0" borderId="0"/>
    <xf numFmtId="43" fontId="1" fillId="0" borderId="0" applyFont="0" applyFill="0" applyBorder="0" applyAlignment="0" applyProtection="0"/>
  </cellStyleXfs>
  <cellXfs count="935">
    <xf numFmtId="0" fontId="0" fillId="0" borderId="0" xfId="0"/>
    <xf numFmtId="0" fontId="4" fillId="0" borderId="0" xfId="0" applyFont="1"/>
    <xf numFmtId="0" fontId="5" fillId="0" borderId="0" xfId="0" applyFont="1"/>
    <xf numFmtId="0" fontId="6" fillId="0" borderId="0" xfId="0" applyFont="1"/>
    <xf numFmtId="0" fontId="2" fillId="0" borderId="0" xfId="0" applyFont="1" applyAlignment="1"/>
    <xf numFmtId="0" fontId="7" fillId="0" borderId="0" xfId="0" applyFont="1" applyBorder="1" applyAlignment="1"/>
    <xf numFmtId="0" fontId="2" fillId="0" borderId="0" xfId="0" applyFont="1" applyAlignment="1">
      <alignment horizontal="center"/>
    </xf>
    <xf numFmtId="0" fontId="8" fillId="0" borderId="0" xfId="0" applyFont="1"/>
    <xf numFmtId="0" fontId="0" fillId="0" borderId="0" xfId="0" applyAlignment="1">
      <alignment horizontal="left"/>
    </xf>
    <xf numFmtId="0" fontId="0" fillId="0" borderId="0" xfId="0" applyAlignment="1">
      <alignment horizontal="center"/>
    </xf>
    <xf numFmtId="0" fontId="7" fillId="0" borderId="0" xfId="0" applyFont="1" applyBorder="1" applyAlignment="1">
      <alignment horizontal="center"/>
    </xf>
    <xf numFmtId="0" fontId="9" fillId="0" borderId="0" xfId="0" applyFont="1"/>
    <xf numFmtId="0" fontId="10" fillId="0" borderId="0" xfId="0" applyFont="1" applyBorder="1" applyAlignment="1">
      <alignment horizontal="left"/>
    </xf>
    <xf numFmtId="17" fontId="2" fillId="0" borderId="0" xfId="0" applyNumberFormat="1" applyFont="1"/>
    <xf numFmtId="0" fontId="10" fillId="0" borderId="0" xfId="0" applyFont="1" applyBorder="1" applyAlignment="1"/>
    <xf numFmtId="0" fontId="10" fillId="0" borderId="0" xfId="0" applyFont="1" applyBorder="1" applyAlignment="1">
      <alignment horizontal="center"/>
    </xf>
    <xf numFmtId="0" fontId="0" fillId="2" borderId="0" xfId="0" applyFill="1"/>
    <xf numFmtId="0" fontId="2" fillId="3" borderId="3" xfId="0" applyFont="1" applyFill="1" applyBorder="1" applyAlignment="1">
      <alignment horizontal="center" vertical="center"/>
    </xf>
    <xf numFmtId="0" fontId="0" fillId="0" borderId="0" xfId="0" applyAlignment="1">
      <alignment vertical="center"/>
    </xf>
    <xf numFmtId="0" fontId="8" fillId="0" borderId="0" xfId="3" applyAlignment="1">
      <alignment horizontal="center"/>
    </xf>
    <xf numFmtId="0" fontId="9" fillId="0" borderId="0" xfId="3" applyFont="1" applyAlignment="1">
      <alignment vertical="center"/>
    </xf>
    <xf numFmtId="0" fontId="20" fillId="0" borderId="0" xfId="3" applyFont="1" applyAlignment="1">
      <alignment vertical="center"/>
    </xf>
    <xf numFmtId="0" fontId="8" fillId="0" borderId="0" xfId="3"/>
    <xf numFmtId="1" fontId="13" fillId="2" borderId="0" xfId="0" applyNumberFormat="1" applyFont="1" applyFill="1" applyBorder="1" applyAlignment="1">
      <alignment horizontal="center"/>
    </xf>
    <xf numFmtId="1" fontId="14" fillId="2" borderId="0" xfId="0" applyNumberFormat="1" applyFont="1" applyFill="1" applyBorder="1" applyAlignment="1">
      <alignment horizontal="left"/>
    </xf>
    <xf numFmtId="0" fontId="15" fillId="2" borderId="0" xfId="0" applyFont="1" applyFill="1" applyBorder="1" applyAlignment="1"/>
    <xf numFmtId="1" fontId="13" fillId="2" borderId="0" xfId="0" applyNumberFormat="1" applyFont="1" applyFill="1" applyBorder="1"/>
    <xf numFmtId="0" fontId="0" fillId="0" borderId="0" xfId="0" applyBorder="1"/>
    <xf numFmtId="1" fontId="14" fillId="2" borderId="0" xfId="1" applyNumberFormat="1" applyFont="1" applyFill="1" applyBorder="1" applyAlignment="1">
      <alignment horizontal="center"/>
    </xf>
    <xf numFmtId="1" fontId="13" fillId="2" borderId="0" xfId="1" applyNumberFormat="1" applyFont="1" applyFill="1" applyBorder="1" applyAlignment="1">
      <alignment horizontal="center"/>
    </xf>
    <xf numFmtId="1" fontId="13" fillId="2" borderId="0" xfId="0" applyNumberFormat="1" applyFont="1" applyFill="1" applyBorder="1" applyAlignment="1">
      <alignment horizontal="center" vertical="center"/>
    </xf>
    <xf numFmtId="1" fontId="13" fillId="2" borderId="0" xfId="1" applyNumberFormat="1" applyFont="1" applyFill="1" applyBorder="1"/>
    <xf numFmtId="1" fontId="10" fillId="2" borderId="0" xfId="0" applyNumberFormat="1" applyFont="1" applyFill="1" applyBorder="1"/>
    <xf numFmtId="0" fontId="2" fillId="0" borderId="0" xfId="0" applyFont="1" applyAlignment="1">
      <alignment wrapText="1"/>
    </xf>
    <xf numFmtId="0" fontId="2" fillId="0" borderId="0" xfId="0" applyFont="1" applyAlignment="1">
      <alignment vertical="center"/>
    </xf>
    <xf numFmtId="0" fontId="15" fillId="2" borderId="9" xfId="0" applyFont="1" applyFill="1" applyBorder="1" applyAlignment="1"/>
    <xf numFmtId="0" fontId="0" fillId="0" borderId="20" xfId="0" applyBorder="1"/>
    <xf numFmtId="0" fontId="2" fillId="0" borderId="19" xfId="0" applyFont="1" applyBorder="1" applyAlignment="1">
      <alignment vertical="center"/>
    </xf>
    <xf numFmtId="0" fontId="0" fillId="0" borderId="0" xfId="0" applyAlignment="1">
      <alignment wrapText="1"/>
    </xf>
    <xf numFmtId="0" fontId="0" fillId="0" borderId="0" xfId="0" applyAlignment="1"/>
    <xf numFmtId="0" fontId="0" fillId="0" borderId="28" xfId="0" applyBorder="1"/>
    <xf numFmtId="0" fontId="0" fillId="0" borderId="29" xfId="0" applyBorder="1"/>
    <xf numFmtId="0" fontId="9" fillId="0" borderId="0" xfId="0" applyFont="1" applyBorder="1"/>
    <xf numFmtId="0" fontId="8" fillId="0" borderId="28" xfId="0" applyFont="1" applyBorder="1"/>
    <xf numFmtId="0" fontId="8" fillId="0" borderId="0" xfId="0" applyFont="1" applyBorder="1"/>
    <xf numFmtId="0" fontId="8" fillId="0" borderId="25" xfId="0" applyFont="1" applyBorder="1"/>
    <xf numFmtId="0" fontId="0" fillId="0" borderId="25" xfId="0" applyBorder="1"/>
    <xf numFmtId="17" fontId="9" fillId="0" borderId="25" xfId="0" applyNumberFormat="1" applyFont="1" applyBorder="1" applyAlignment="1"/>
    <xf numFmtId="0" fontId="9" fillId="0" borderId="28" xfId="0" applyFont="1" applyBorder="1"/>
    <xf numFmtId="2" fontId="8" fillId="0" borderId="25" xfId="0" applyNumberFormat="1" applyFont="1" applyBorder="1"/>
    <xf numFmtId="0" fontId="9" fillId="0" borderId="25" xfId="0" applyFont="1" applyBorder="1"/>
    <xf numFmtId="1" fontId="8" fillId="0" borderId="25" xfId="0" applyNumberFormat="1" applyFont="1" applyBorder="1"/>
    <xf numFmtId="0" fontId="0" fillId="0" borderId="31" xfId="0" applyBorder="1"/>
    <xf numFmtId="0" fontId="0" fillId="0" borderId="32" xfId="0" applyBorder="1"/>
    <xf numFmtId="0" fontId="0" fillId="0" borderId="33" xfId="0" applyBorder="1"/>
    <xf numFmtId="0" fontId="0" fillId="0" borderId="31" xfId="0" applyBorder="1" applyAlignment="1"/>
    <xf numFmtId="0" fontId="0" fillId="0" borderId="16" xfId="0" applyBorder="1" applyAlignment="1"/>
    <xf numFmtId="0" fontId="0" fillId="0" borderId="17" xfId="0" applyBorder="1" applyAlignment="1"/>
    <xf numFmtId="0" fontId="24" fillId="0" borderId="34" xfId="0" applyNumberFormat="1" applyFont="1" applyFill="1" applyBorder="1" applyAlignment="1" applyProtection="1">
      <alignment vertical="top"/>
    </xf>
    <xf numFmtId="0" fontId="8" fillId="0" borderId="35" xfId="0" applyNumberFormat="1" applyFont="1" applyFill="1" applyBorder="1" applyAlignment="1" applyProtection="1">
      <alignment vertical="top"/>
    </xf>
    <xf numFmtId="0" fontId="8" fillId="0" borderId="36" xfId="0" applyNumberFormat="1" applyFont="1" applyFill="1" applyBorder="1" applyAlignment="1" applyProtection="1">
      <alignment vertical="top"/>
    </xf>
    <xf numFmtId="0" fontId="8" fillId="0" borderId="22" xfId="0" applyNumberFormat="1" applyFont="1" applyFill="1" applyBorder="1" applyAlignment="1" applyProtection="1">
      <alignment vertical="top"/>
    </xf>
    <xf numFmtId="0" fontId="8" fillId="0" borderId="0" xfId="0" applyNumberFormat="1" applyFont="1" applyFill="1" applyBorder="1" applyAlignment="1" applyProtection="1">
      <alignment vertical="top"/>
    </xf>
    <xf numFmtId="0" fontId="8" fillId="0" borderId="37" xfId="0" applyNumberFormat="1" applyFont="1" applyFill="1" applyBorder="1" applyAlignment="1" applyProtection="1">
      <alignment vertical="top"/>
    </xf>
    <xf numFmtId="0" fontId="8" fillId="0" borderId="13" xfId="0" applyNumberFormat="1" applyFont="1" applyFill="1" applyBorder="1" applyAlignment="1" applyProtection="1">
      <alignment vertical="top"/>
    </xf>
    <xf numFmtId="0" fontId="8" fillId="0" borderId="25" xfId="0" applyNumberFormat="1" applyFont="1" applyFill="1" applyBorder="1" applyAlignment="1" applyProtection="1">
      <alignment vertical="top"/>
    </xf>
    <xf numFmtId="0" fontId="8" fillId="0" borderId="18" xfId="0" applyNumberFormat="1" applyFont="1" applyFill="1" applyBorder="1" applyAlignment="1" applyProtection="1">
      <alignment vertical="top"/>
    </xf>
    <xf numFmtId="0" fontId="8" fillId="0" borderId="34" xfId="0" applyNumberFormat="1" applyFont="1" applyFill="1" applyBorder="1" applyAlignment="1" applyProtection="1">
      <alignment vertical="top"/>
    </xf>
    <xf numFmtId="0" fontId="9" fillId="0" borderId="22" xfId="0" applyNumberFormat="1" applyFont="1" applyFill="1" applyBorder="1" applyAlignment="1" applyProtection="1">
      <alignment vertical="top"/>
    </xf>
    <xf numFmtId="0" fontId="9" fillId="3" borderId="9" xfId="0" applyNumberFormat="1" applyFont="1" applyFill="1" applyBorder="1" applyAlignment="1" applyProtection="1">
      <alignment vertical="top"/>
    </xf>
    <xf numFmtId="0" fontId="8" fillId="0" borderId="15" xfId="0" applyNumberFormat="1" applyFont="1" applyFill="1" applyBorder="1" applyAlignment="1" applyProtection="1">
      <alignment vertical="top"/>
    </xf>
    <xf numFmtId="0" fontId="9" fillId="3" borderId="9" xfId="0" applyNumberFormat="1" applyFont="1" applyFill="1" applyBorder="1" applyAlignment="1" applyProtection="1">
      <alignment horizontal="center" vertical="top"/>
    </xf>
    <xf numFmtId="0" fontId="9" fillId="3" borderId="13" xfId="0" applyNumberFormat="1" applyFont="1" applyFill="1" applyBorder="1" applyAlignment="1" applyProtection="1">
      <alignment horizontal="center" vertical="top"/>
    </xf>
    <xf numFmtId="0" fontId="9" fillId="3" borderId="9" xfId="0" applyNumberFormat="1" applyFont="1" applyFill="1" applyBorder="1" applyAlignment="1" applyProtection="1">
      <alignment vertical="top" wrapText="1"/>
    </xf>
    <xf numFmtId="0" fontId="9" fillId="3" borderId="18" xfId="0" applyNumberFormat="1" applyFont="1" applyFill="1" applyBorder="1" applyAlignment="1" applyProtection="1">
      <alignment horizontal="center" vertical="top"/>
    </xf>
    <xf numFmtId="0" fontId="9" fillId="3" borderId="20" xfId="0" applyNumberFormat="1" applyFont="1" applyFill="1" applyBorder="1" applyAlignment="1" applyProtection="1">
      <alignment vertical="top"/>
    </xf>
    <xf numFmtId="0" fontId="0" fillId="0" borderId="36" xfId="0" applyBorder="1"/>
    <xf numFmtId="0" fontId="0" fillId="0" borderId="37" xfId="0" applyBorder="1"/>
    <xf numFmtId="0" fontId="8" fillId="0" borderId="9" xfId="0" applyNumberFormat="1" applyFont="1" applyFill="1" applyBorder="1" applyAlignment="1" applyProtection="1">
      <alignment vertical="top"/>
    </xf>
    <xf numFmtId="0" fontId="0" fillId="0" borderId="30" xfId="0" applyBorder="1"/>
    <xf numFmtId="0" fontId="0" fillId="0" borderId="23" xfId="0" applyBorder="1"/>
    <xf numFmtId="0" fontId="8" fillId="0" borderId="21" xfId="0" applyNumberFormat="1" applyFont="1" applyFill="1" applyBorder="1" applyAlignment="1" applyProtection="1">
      <alignment vertical="top"/>
    </xf>
    <xf numFmtId="0" fontId="8" fillId="0" borderId="30" xfId="0" applyNumberFormat="1" applyFont="1" applyFill="1" applyBorder="1" applyAlignment="1" applyProtection="1">
      <alignment vertical="top"/>
    </xf>
    <xf numFmtId="0" fontId="8" fillId="0" borderId="23" xfId="0" applyNumberFormat="1" applyFont="1" applyFill="1" applyBorder="1" applyAlignment="1" applyProtection="1">
      <alignment vertical="top"/>
    </xf>
    <xf numFmtId="17" fontId="9" fillId="0" borderId="23" xfId="0" applyNumberFormat="1" applyFont="1" applyFill="1" applyBorder="1" applyAlignment="1" applyProtection="1">
      <alignment vertical="top"/>
    </xf>
    <xf numFmtId="0" fontId="0" fillId="0" borderId="22" xfId="0" applyBorder="1"/>
    <xf numFmtId="0" fontId="0" fillId="0" borderId="13" xfId="0" applyBorder="1"/>
    <xf numFmtId="0" fontId="0" fillId="0" borderId="18" xfId="0" applyBorder="1"/>
    <xf numFmtId="0" fontId="0" fillId="0" borderId="0" xfId="0" applyAlignment="1">
      <alignment horizontal="center"/>
    </xf>
    <xf numFmtId="0" fontId="9" fillId="3" borderId="9" xfId="0" applyNumberFormat="1" applyFont="1" applyFill="1" applyBorder="1" applyAlignment="1" applyProtection="1">
      <alignment horizontal="center" vertical="center" textRotation="90"/>
    </xf>
    <xf numFmtId="0" fontId="8" fillId="0" borderId="0" xfId="0" applyNumberFormat="1" applyFont="1" applyFill="1" applyBorder="1" applyAlignment="1" applyProtection="1">
      <alignment vertical="top" wrapText="1"/>
    </xf>
    <xf numFmtId="0" fontId="8" fillId="0" borderId="38" xfId="0" applyNumberFormat="1" applyFont="1" applyFill="1" applyBorder="1" applyAlignment="1" applyProtection="1">
      <alignment vertical="top"/>
    </xf>
    <xf numFmtId="0" fontId="8" fillId="0" borderId="39" xfId="0" applyNumberFormat="1" applyFont="1" applyFill="1" applyBorder="1" applyAlignment="1" applyProtection="1">
      <alignment vertical="top"/>
    </xf>
    <xf numFmtId="0" fontId="8" fillId="0" borderId="40" xfId="0" applyNumberFormat="1" applyFont="1" applyFill="1" applyBorder="1" applyAlignment="1" applyProtection="1">
      <alignment vertical="top"/>
    </xf>
    <xf numFmtId="0" fontId="9" fillId="3" borderId="9" xfId="0" applyNumberFormat="1" applyFont="1" applyFill="1" applyBorder="1" applyAlignment="1" applyProtection="1">
      <alignment vertical="center" textRotation="90" wrapText="1"/>
    </xf>
    <xf numFmtId="0" fontId="9" fillId="3" borderId="18" xfId="0" applyNumberFormat="1" applyFont="1" applyFill="1" applyBorder="1" applyAlignment="1" applyProtection="1">
      <alignment horizontal="center" vertical="top" textRotation="90"/>
    </xf>
    <xf numFmtId="0" fontId="0" fillId="0" borderId="26" xfId="0" applyBorder="1"/>
    <xf numFmtId="0" fontId="0" fillId="0" borderId="14" xfId="0" applyBorder="1"/>
    <xf numFmtId="0" fontId="0" fillId="0" borderId="27" xfId="0" applyBorder="1"/>
    <xf numFmtId="0" fontId="0" fillId="0" borderId="28" xfId="0" applyBorder="1" applyAlignment="1"/>
    <xf numFmtId="0" fontId="0" fillId="0" borderId="0" xfId="0" applyBorder="1" applyAlignment="1"/>
    <xf numFmtId="0" fontId="0" fillId="0" borderId="29" xfId="0" applyBorder="1" applyAlignment="1"/>
    <xf numFmtId="0" fontId="2" fillId="0" borderId="28" xfId="0" applyFont="1" applyBorder="1" applyAlignment="1"/>
    <xf numFmtId="0" fontId="0" fillId="0" borderId="33" xfId="0" applyBorder="1" applyAlignment="1"/>
    <xf numFmtId="0" fontId="0" fillId="0" borderId="32" xfId="0" applyBorder="1" applyAlignment="1"/>
    <xf numFmtId="0" fontId="2" fillId="0" borderId="26" xfId="0" applyFont="1" applyBorder="1"/>
    <xf numFmtId="0" fontId="2" fillId="0" borderId="14" xfId="0" applyFont="1" applyBorder="1"/>
    <xf numFmtId="0" fontId="2" fillId="0" borderId="27" xfId="0" applyFont="1" applyBorder="1"/>
    <xf numFmtId="0" fontId="2" fillId="0" borderId="0" xfId="0" applyFont="1" applyBorder="1" applyAlignment="1"/>
    <xf numFmtId="0" fontId="2" fillId="0" borderId="29" xfId="0" applyFont="1" applyBorder="1" applyAlignment="1"/>
    <xf numFmtId="0" fontId="2" fillId="0" borderId="33" xfId="0" applyFont="1" applyBorder="1" applyAlignment="1"/>
    <xf numFmtId="0" fontId="2" fillId="0" borderId="31" xfId="0" applyFont="1" applyBorder="1" applyAlignment="1"/>
    <xf numFmtId="0" fontId="2" fillId="0" borderId="32" xfId="0" applyFont="1" applyBorder="1" applyAlignment="1"/>
    <xf numFmtId="0" fontId="0" fillId="0" borderId="28" xfId="0" applyBorder="1" applyAlignment="1">
      <alignment vertical="center"/>
    </xf>
    <xf numFmtId="0" fontId="31" fillId="0" borderId="21" xfId="0" applyFont="1" applyBorder="1"/>
    <xf numFmtId="0" fontId="2" fillId="0" borderId="25" xfId="0" applyFont="1" applyBorder="1" applyAlignment="1">
      <alignment horizontal="center" vertical="center"/>
    </xf>
    <xf numFmtId="0" fontId="2" fillId="0" borderId="43" xfId="0" applyFont="1" applyBorder="1" applyAlignment="1">
      <alignment horizontal="center" vertical="center"/>
    </xf>
    <xf numFmtId="0" fontId="31" fillId="0" borderId="34" xfId="0" applyFont="1" applyBorder="1"/>
    <xf numFmtId="0" fontId="2" fillId="0" borderId="35" xfId="0" applyFont="1" applyBorder="1"/>
    <xf numFmtId="0" fontId="2" fillId="0" borderId="36" xfId="0" applyFont="1" applyBorder="1"/>
    <xf numFmtId="0" fontId="0" fillId="0" borderId="34" xfId="0" applyBorder="1"/>
    <xf numFmtId="0" fontId="0" fillId="0" borderId="35" xfId="0" applyBorder="1"/>
    <xf numFmtId="0" fontId="0" fillId="0" borderId="45" xfId="0" applyBorder="1"/>
    <xf numFmtId="0" fontId="31" fillId="0" borderId="13" xfId="0" applyFont="1" applyBorder="1"/>
    <xf numFmtId="0" fontId="2" fillId="0" borderId="25" xfId="0" applyFont="1" applyBorder="1"/>
    <xf numFmtId="0" fontId="2" fillId="0" borderId="18" xfId="0" applyFont="1" applyBorder="1"/>
    <xf numFmtId="0" fontId="0" fillId="0" borderId="43" xfId="0" applyBorder="1"/>
    <xf numFmtId="1" fontId="2" fillId="0" borderId="41" xfId="0" applyNumberFormat="1" applyFont="1" applyBorder="1" applyAlignment="1">
      <alignment horizontal="center" vertical="center"/>
    </xf>
    <xf numFmtId="0" fontId="0" fillId="0" borderId="26" xfId="0" applyBorder="1" applyAlignment="1"/>
    <xf numFmtId="0" fontId="34" fillId="0" borderId="0" xfId="0" applyFont="1" applyAlignment="1"/>
    <xf numFmtId="0" fontId="35" fillId="0" borderId="0" xfId="0" applyFont="1" applyAlignment="1">
      <alignment wrapText="1"/>
    </xf>
    <xf numFmtId="0" fontId="35" fillId="0" borderId="0" xfId="0" applyFont="1" applyAlignment="1"/>
    <xf numFmtId="0" fontId="36" fillId="0" borderId="0" xfId="0" applyFont="1" applyAlignment="1">
      <alignment horizontal="center"/>
    </xf>
    <xf numFmtId="0" fontId="36" fillId="0" borderId="0" xfId="0" applyFont="1" applyAlignment="1">
      <alignment wrapText="1"/>
    </xf>
    <xf numFmtId="0" fontId="36" fillId="0" borderId="0" xfId="0" applyFont="1"/>
    <xf numFmtId="0" fontId="37" fillId="0" borderId="0" xfId="0" applyFont="1"/>
    <xf numFmtId="0" fontId="38" fillId="0" borderId="9" xfId="0" applyFont="1" applyBorder="1" applyAlignment="1">
      <alignment horizontal="center" vertical="center" wrapText="1"/>
    </xf>
    <xf numFmtId="0" fontId="37" fillId="0" borderId="11" xfId="0" applyFont="1" applyBorder="1" applyAlignment="1">
      <alignment horizontal="center" wrapText="1"/>
    </xf>
    <xf numFmtId="0" fontId="39" fillId="0" borderId="0" xfId="0" applyFont="1" applyAlignment="1">
      <alignment horizontal="center" vertical="center" wrapText="1"/>
    </xf>
    <xf numFmtId="0" fontId="0" fillId="0" borderId="9" xfId="0" applyBorder="1" applyAlignment="1">
      <alignment horizontal="center"/>
    </xf>
    <xf numFmtId="0" fontId="41" fillId="2" borderId="14" xfId="0" applyFont="1" applyFill="1" applyBorder="1" applyAlignment="1">
      <alignment horizontal="center" vertical="top" wrapText="1"/>
    </xf>
    <xf numFmtId="0" fontId="41" fillId="2" borderId="27" xfId="0" applyFont="1" applyFill="1" applyBorder="1" applyAlignment="1">
      <alignment horizontal="center" vertical="top" wrapText="1"/>
    </xf>
    <xf numFmtId="0" fontId="41" fillId="2" borderId="29" xfId="0" applyFont="1" applyFill="1" applyBorder="1" applyAlignment="1">
      <alignment horizontal="center" vertical="top" wrapText="1"/>
    </xf>
    <xf numFmtId="0" fontId="0" fillId="2" borderId="29" xfId="0" applyFont="1" applyFill="1" applyBorder="1" applyAlignment="1">
      <alignment horizontal="center" vertical="top" wrapText="1"/>
    </xf>
    <xf numFmtId="0" fontId="42" fillId="2" borderId="29" xfId="0" applyFont="1" applyFill="1" applyBorder="1" applyAlignment="1">
      <alignment horizontal="center" vertical="top" wrapText="1"/>
    </xf>
    <xf numFmtId="0" fontId="43" fillId="2" borderId="28" xfId="0" applyFont="1" applyFill="1" applyBorder="1" applyAlignment="1">
      <alignment horizontal="center" vertical="top" wrapText="1"/>
    </xf>
    <xf numFmtId="0" fontId="43" fillId="2" borderId="0" xfId="0" applyFont="1" applyFill="1" applyBorder="1" applyAlignment="1">
      <alignment horizontal="center" vertical="top" wrapText="1"/>
    </xf>
    <xf numFmtId="0" fontId="43" fillId="2" borderId="29" xfId="0" applyFont="1" applyFill="1" applyBorder="1" applyAlignment="1">
      <alignment horizontal="center" vertical="top" wrapText="1"/>
    </xf>
    <xf numFmtId="0" fontId="44" fillId="2" borderId="28" xfId="0" applyFont="1" applyFill="1" applyBorder="1" applyAlignment="1">
      <alignment horizontal="left" vertical="center"/>
    </xf>
    <xf numFmtId="0" fontId="44" fillId="2" borderId="0" xfId="0" applyFont="1" applyFill="1" applyBorder="1" applyAlignment="1">
      <alignment horizontal="left" vertical="center"/>
    </xf>
    <xf numFmtId="0" fontId="10" fillId="0" borderId="0" xfId="0" applyFont="1" applyBorder="1" applyAlignment="1">
      <alignment horizontal="left" vertical="center"/>
    </xf>
    <xf numFmtId="0" fontId="44" fillId="2" borderId="28" xfId="0" applyFont="1" applyFill="1" applyBorder="1" applyAlignment="1"/>
    <xf numFmtId="0" fontId="44" fillId="2" borderId="0" xfId="0" applyFont="1" applyFill="1" applyBorder="1" applyAlignment="1">
      <alignment horizontal="center"/>
    </xf>
    <xf numFmtId="0" fontId="44" fillId="0" borderId="0" xfId="0" applyFont="1" applyBorder="1" applyAlignment="1">
      <alignment horizontal="center"/>
    </xf>
    <xf numFmtId="0" fontId="44" fillId="2" borderId="0" xfId="0" applyFont="1" applyFill="1" applyBorder="1" applyAlignment="1">
      <alignment horizontal="center" wrapText="1"/>
    </xf>
    <xf numFmtId="0" fontId="44" fillId="2" borderId="0" xfId="0" applyFont="1" applyFill="1" applyBorder="1" applyAlignment="1"/>
    <xf numFmtId="0" fontId="44" fillId="2" borderId="29" xfId="0" applyFont="1" applyFill="1" applyBorder="1" applyAlignment="1"/>
    <xf numFmtId="0" fontId="45" fillId="2" borderId="28" xfId="0" applyFont="1" applyFill="1" applyBorder="1" applyAlignment="1"/>
    <xf numFmtId="0" fontId="45" fillId="2" borderId="0" xfId="0" applyFont="1" applyFill="1" applyBorder="1" applyAlignment="1">
      <alignment horizontal="center"/>
    </xf>
    <xf numFmtId="0" fontId="45" fillId="2" borderId="0" xfId="0" applyFont="1" applyFill="1" applyBorder="1" applyAlignment="1">
      <alignment vertical="center"/>
    </xf>
    <xf numFmtId="0" fontId="45" fillId="2" borderId="0" xfId="0" applyFont="1" applyFill="1" applyBorder="1"/>
    <xf numFmtId="0" fontId="45" fillId="2" borderId="29" xfId="0" applyFont="1" applyFill="1" applyBorder="1"/>
    <xf numFmtId="0" fontId="41" fillId="2" borderId="0" xfId="0" applyFont="1" applyFill="1" applyBorder="1" applyAlignment="1">
      <alignment vertical="top" wrapText="1"/>
    </xf>
    <xf numFmtId="0" fontId="46" fillId="2" borderId="0" xfId="0" applyFont="1" applyFill="1" applyBorder="1" applyAlignment="1">
      <alignment vertical="top" wrapText="1"/>
    </xf>
    <xf numFmtId="0" fontId="46" fillId="2" borderId="0" xfId="0" applyFont="1" applyFill="1" applyBorder="1" applyAlignment="1">
      <alignment horizontal="justify" vertical="top" wrapText="1"/>
    </xf>
    <xf numFmtId="0" fontId="46" fillId="2" borderId="29" xfId="0" applyFont="1" applyFill="1" applyBorder="1" applyAlignment="1">
      <alignment horizontal="justify" vertical="top" wrapText="1"/>
    </xf>
    <xf numFmtId="0" fontId="0" fillId="2" borderId="29" xfId="0" applyFont="1" applyFill="1" applyBorder="1" applyAlignment="1">
      <alignment horizontal="justify" vertical="top" wrapText="1"/>
    </xf>
    <xf numFmtId="0" fontId="47" fillId="2" borderId="28" xfId="0" applyFont="1" applyFill="1" applyBorder="1" applyAlignment="1">
      <alignment horizontal="center" vertical="top" wrapText="1"/>
    </xf>
    <xf numFmtId="0" fontId="47" fillId="2" borderId="29" xfId="0" applyFont="1" applyFill="1" applyBorder="1" applyAlignment="1">
      <alignment horizontal="center" vertical="top" wrapText="1"/>
    </xf>
    <xf numFmtId="0" fontId="47" fillId="2" borderId="47" xfId="0" applyFont="1" applyFill="1" applyBorder="1" applyAlignment="1">
      <alignment horizontal="center" vertical="center" wrapText="1"/>
    </xf>
    <xf numFmtId="0" fontId="47" fillId="2" borderId="42" xfId="0" applyFont="1" applyFill="1" applyBorder="1" applyAlignment="1">
      <alignment horizontal="center" vertical="center" wrapText="1"/>
    </xf>
    <xf numFmtId="0" fontId="0" fillId="0" borderId="48" xfId="0" applyBorder="1" applyAlignment="1">
      <alignment vertical="center"/>
    </xf>
    <xf numFmtId="0" fontId="0" fillId="0" borderId="41" xfId="0" applyBorder="1" applyAlignment="1">
      <alignment horizontal="center" vertical="center"/>
    </xf>
    <xf numFmtId="0" fontId="48" fillId="0" borderId="9" xfId="0" applyFont="1" applyBorder="1" applyAlignment="1">
      <alignment horizontal="center" vertical="center"/>
    </xf>
    <xf numFmtId="0" fontId="2" fillId="0" borderId="0" xfId="0" applyFont="1"/>
    <xf numFmtId="0" fontId="8" fillId="2" borderId="0" xfId="0" applyFont="1" applyFill="1"/>
    <xf numFmtId="0" fontId="50" fillId="0" borderId="0" xfId="0" applyFont="1" applyAlignment="1"/>
    <xf numFmtId="1" fontId="24" fillId="2" borderId="0" xfId="1" applyNumberFormat="1" applyFont="1" applyFill="1" applyBorder="1" applyAlignment="1"/>
    <xf numFmtId="1" fontId="2" fillId="0" borderId="28" xfId="0" applyNumberFormat="1" applyFont="1" applyBorder="1" applyAlignment="1"/>
    <xf numFmtId="0" fontId="2" fillId="0" borderId="35" xfId="0" applyFont="1" applyBorder="1" applyAlignment="1">
      <alignment horizontal="left" vertical="center"/>
    </xf>
    <xf numFmtId="0" fontId="2" fillId="0" borderId="36" xfId="0" applyFont="1" applyBorder="1" applyAlignment="1">
      <alignment horizontal="left" vertical="center"/>
    </xf>
    <xf numFmtId="0" fontId="2" fillId="0" borderId="34" xfId="0" applyFont="1" applyBorder="1" applyAlignment="1">
      <alignment horizontal="center" vertical="center"/>
    </xf>
    <xf numFmtId="0" fontId="2" fillId="0" borderId="35" xfId="0" applyFont="1" applyBorder="1" applyAlignment="1">
      <alignment horizontal="center" vertical="center"/>
    </xf>
    <xf numFmtId="1" fontId="2" fillId="0" borderId="35" xfId="0" applyNumberFormat="1" applyFont="1" applyBorder="1" applyAlignment="1">
      <alignment horizontal="center" vertical="center"/>
    </xf>
    <xf numFmtId="0" fontId="2" fillId="0" borderId="45" xfId="0" applyFont="1" applyBorder="1" applyAlignment="1">
      <alignment horizontal="center" vertical="center"/>
    </xf>
    <xf numFmtId="0" fontId="2" fillId="0" borderId="0" xfId="0" applyFont="1" applyBorder="1"/>
    <xf numFmtId="1" fontId="2" fillId="0" borderId="30" xfId="0" applyNumberFormat="1" applyFont="1" applyBorder="1" applyAlignment="1">
      <alignment horizontal="center" vertical="center"/>
    </xf>
    <xf numFmtId="0" fontId="31" fillId="0" borderId="21" xfId="5" applyNumberFormat="1" applyFont="1" applyBorder="1"/>
    <xf numFmtId="0" fontId="2" fillId="0" borderId="21" xfId="0" applyFont="1" applyBorder="1" applyAlignment="1">
      <alignment horizontal="right" vertical="center"/>
    </xf>
    <xf numFmtId="1" fontId="0" fillId="0" borderId="30" xfId="0" applyNumberFormat="1" applyBorder="1"/>
    <xf numFmtId="0" fontId="52" fillId="0" borderId="0" xfId="0" applyFont="1" applyBorder="1"/>
    <xf numFmtId="0" fontId="0" fillId="0" borderId="31" xfId="0" applyFont="1" applyBorder="1"/>
    <xf numFmtId="0" fontId="0" fillId="0" borderId="0" xfId="0" applyFont="1" applyBorder="1"/>
    <xf numFmtId="0" fontId="31" fillId="0" borderId="0" xfId="0" applyFont="1" applyBorder="1"/>
    <xf numFmtId="0" fontId="2" fillId="0" borderId="0" xfId="0" applyFont="1" applyBorder="1" applyAlignment="1">
      <alignment horizontal="center" wrapText="1"/>
    </xf>
    <xf numFmtId="0" fontId="2" fillId="0" borderId="29" xfId="0" applyFont="1" applyBorder="1" applyAlignment="1">
      <alignment horizontal="center" vertical="center"/>
    </xf>
    <xf numFmtId="0" fontId="29" fillId="0" borderId="14" xfId="0" applyFont="1" applyBorder="1" applyAlignment="1"/>
    <xf numFmtId="0" fontId="29" fillId="0" borderId="27" xfId="0" applyFont="1" applyBorder="1" applyAlignment="1"/>
    <xf numFmtId="0" fontId="53" fillId="0" borderId="14" xfId="0" applyFont="1" applyBorder="1" applyAlignment="1"/>
    <xf numFmtId="0" fontId="0" fillId="0" borderId="0" xfId="0" applyFont="1" applyBorder="1" applyAlignment="1">
      <alignment vertical="top"/>
    </xf>
    <xf numFmtId="0" fontId="2" fillId="0" borderId="0" xfId="0" applyFont="1" applyBorder="1" applyAlignment="1">
      <alignment vertical="center" wrapText="1"/>
    </xf>
    <xf numFmtId="0" fontId="0" fillId="0" borderId="0" xfId="0" applyBorder="1" applyAlignment="1">
      <alignment vertical="top"/>
    </xf>
    <xf numFmtId="0" fontId="2" fillId="0" borderId="30" xfId="0" applyFont="1" applyBorder="1"/>
    <xf numFmtId="0" fontId="2" fillId="0" borderId="23" xfId="0" applyFont="1" applyBorder="1"/>
    <xf numFmtId="0" fontId="2" fillId="0" borderId="21" xfId="0" applyFont="1" applyBorder="1"/>
    <xf numFmtId="0" fontId="0" fillId="0" borderId="21" xfId="0" applyBorder="1"/>
    <xf numFmtId="0" fontId="0" fillId="0" borderId="30" xfId="0" applyBorder="1" applyAlignment="1"/>
    <xf numFmtId="0" fontId="2" fillId="0" borderId="21" xfId="0" applyFont="1" applyBorder="1" applyAlignment="1">
      <alignment horizontal="center" wrapText="1"/>
    </xf>
    <xf numFmtId="0" fontId="2" fillId="0" borderId="21" xfId="0" applyFont="1" applyBorder="1" applyAlignment="1">
      <alignment horizontal="left" wrapText="1"/>
    </xf>
    <xf numFmtId="0" fontId="0" fillId="0" borderId="0" xfId="0" applyFill="1" applyBorder="1"/>
    <xf numFmtId="0" fontId="2" fillId="0" borderId="29" xfId="0" applyFont="1" applyBorder="1" applyAlignment="1">
      <alignment vertical="center" wrapText="1"/>
    </xf>
    <xf numFmtId="0" fontId="0" fillId="0" borderId="44" xfId="0" applyBorder="1"/>
    <xf numFmtId="0" fontId="55" fillId="2" borderId="36" xfId="0" applyFont="1" applyFill="1" applyBorder="1" applyAlignment="1" applyProtection="1">
      <alignment vertical="center"/>
    </xf>
    <xf numFmtId="0" fontId="55" fillId="2" borderId="13" xfId="0" applyFont="1" applyFill="1" applyBorder="1" applyAlignment="1" applyProtection="1">
      <alignment vertical="center"/>
    </xf>
    <xf numFmtId="0" fontId="55" fillId="2" borderId="25" xfId="0" applyFont="1" applyFill="1" applyBorder="1" applyAlignment="1" applyProtection="1">
      <alignment vertical="center"/>
    </xf>
    <xf numFmtId="0" fontId="55" fillId="2" borderId="18" xfId="0" applyFont="1" applyFill="1" applyBorder="1" applyAlignment="1" applyProtection="1">
      <alignment vertical="center"/>
    </xf>
    <xf numFmtId="0" fontId="55" fillId="2" borderId="0" xfId="0" applyFont="1" applyFill="1" applyBorder="1" applyAlignment="1" applyProtection="1">
      <alignment vertical="center"/>
    </xf>
    <xf numFmtId="0" fontId="55" fillId="2" borderId="0" xfId="0" applyFont="1" applyFill="1" applyBorder="1" applyAlignment="1" applyProtection="1">
      <alignment horizontal="center" vertical="center"/>
    </xf>
    <xf numFmtId="0" fontId="55" fillId="2" borderId="30" xfId="0" applyFont="1" applyFill="1" applyBorder="1" applyAlignment="1" applyProtection="1">
      <alignment vertical="center"/>
    </xf>
    <xf numFmtId="0" fontId="55" fillId="2" borderId="23" xfId="0" applyFont="1" applyFill="1" applyBorder="1" applyAlignment="1" applyProtection="1">
      <alignment vertical="center"/>
    </xf>
    <xf numFmtId="0" fontId="2" fillId="0" borderId="21" xfId="0" applyFont="1" applyBorder="1" applyAlignment="1">
      <alignment horizontal="left" vertical="center"/>
    </xf>
    <xf numFmtId="0" fontId="2" fillId="0" borderId="30" xfId="0" applyFont="1" applyBorder="1" applyAlignment="1">
      <alignment horizontal="left" vertical="center"/>
    </xf>
    <xf numFmtId="0" fontId="2" fillId="0" borderId="23" xfId="0" applyFont="1" applyBorder="1" applyAlignment="1">
      <alignment horizontal="left" vertical="center"/>
    </xf>
    <xf numFmtId="0" fontId="30" fillId="0" borderId="0" xfId="0" applyFont="1" applyBorder="1" applyAlignment="1"/>
    <xf numFmtId="0" fontId="5" fillId="0" borderId="0" xfId="0" applyFont="1" applyBorder="1" applyAlignment="1"/>
    <xf numFmtId="0" fontId="5" fillId="0" borderId="21" xfId="0" applyFont="1" applyBorder="1" applyAlignment="1"/>
    <xf numFmtId="0" fontId="5" fillId="0" borderId="34" xfId="0" applyFont="1" applyBorder="1" applyAlignment="1"/>
    <xf numFmtId="0" fontId="30" fillId="0" borderId="35" xfId="0" applyFont="1" applyBorder="1" applyAlignment="1"/>
    <xf numFmtId="0" fontId="5" fillId="0" borderId="30" xfId="0" applyFont="1" applyBorder="1" applyAlignment="1"/>
    <xf numFmtId="0" fontId="55" fillId="0" borderId="21" xfId="0" applyFont="1" applyFill="1" applyBorder="1" applyAlignment="1" applyProtection="1">
      <alignment vertical="center"/>
    </xf>
    <xf numFmtId="0" fontId="56" fillId="2" borderId="35" xfId="0" applyFont="1" applyFill="1" applyBorder="1" applyAlignment="1" applyProtection="1">
      <alignment horizontal="center" vertical="center"/>
      <protection locked="0"/>
    </xf>
    <xf numFmtId="0" fontId="55" fillId="2" borderId="21" xfId="0" applyFont="1" applyFill="1" applyBorder="1" applyAlignment="1" applyProtection="1">
      <alignment vertical="center"/>
    </xf>
    <xf numFmtId="0" fontId="11" fillId="0" borderId="0" xfId="0" applyFont="1" applyBorder="1" applyAlignment="1"/>
    <xf numFmtId="0" fontId="2" fillId="0" borderId="0" xfId="0" applyFont="1" applyBorder="1" applyAlignment="1">
      <alignment vertical="top"/>
    </xf>
    <xf numFmtId="0" fontId="55" fillId="2" borderId="0" xfId="0" applyFont="1" applyFill="1" applyBorder="1" applyAlignment="1" applyProtection="1">
      <alignment vertical="center" wrapText="1"/>
    </xf>
    <xf numFmtId="0" fontId="55" fillId="2" borderId="21" xfId="0" applyFont="1" applyFill="1" applyBorder="1" applyAlignment="1" applyProtection="1">
      <alignment vertical="center" wrapText="1"/>
    </xf>
    <xf numFmtId="0" fontId="55" fillId="2" borderId="23" xfId="0" applyFont="1" applyFill="1" applyBorder="1" applyAlignment="1" applyProtection="1">
      <alignment vertical="center" wrapText="1"/>
    </xf>
    <xf numFmtId="0" fontId="58" fillId="2" borderId="0" xfId="0" applyFont="1" applyFill="1" applyBorder="1" applyAlignment="1" applyProtection="1">
      <alignment vertical="center"/>
    </xf>
    <xf numFmtId="0" fontId="58" fillId="2" borderId="30" xfId="0" applyFont="1" applyFill="1" applyBorder="1" applyAlignment="1" applyProtection="1">
      <alignment vertical="center"/>
    </xf>
    <xf numFmtId="0" fontId="61" fillId="0" borderId="0" xfId="0" applyFont="1" applyBorder="1" applyAlignment="1">
      <alignment horizontal="left" vertical="center"/>
    </xf>
    <xf numFmtId="0" fontId="61" fillId="0" borderId="0" xfId="0" applyFont="1" applyBorder="1"/>
    <xf numFmtId="0" fontId="57" fillId="2" borderId="0" xfId="0" applyFont="1" applyFill="1" applyBorder="1" applyAlignment="1" applyProtection="1">
      <alignment vertical="center"/>
    </xf>
    <xf numFmtId="0" fontId="62" fillId="0" borderId="0" xfId="0" applyFont="1" applyBorder="1" applyAlignment="1">
      <alignment horizontal="left" vertical="top" wrapText="1"/>
    </xf>
    <xf numFmtId="1" fontId="2" fillId="0" borderId="0" xfId="0" applyNumberFormat="1" applyFont="1" applyBorder="1"/>
    <xf numFmtId="14" fontId="2" fillId="0" borderId="0" xfId="0" applyNumberFormat="1" applyFont="1" applyBorder="1" applyAlignment="1">
      <alignment horizontal="center"/>
    </xf>
    <xf numFmtId="0" fontId="11" fillId="0" borderId="30" xfId="0" applyFont="1" applyBorder="1" applyAlignment="1"/>
    <xf numFmtId="0" fontId="65" fillId="0" borderId="30" xfId="0" applyFont="1" applyBorder="1" applyAlignment="1">
      <alignment horizontal="left" vertical="center"/>
    </xf>
    <xf numFmtId="0" fontId="65" fillId="0" borderId="23" xfId="0" applyFont="1" applyBorder="1" applyAlignment="1">
      <alignment horizontal="left" vertical="center"/>
    </xf>
    <xf numFmtId="0" fontId="66" fillId="0" borderId="21" xfId="0" applyFont="1" applyBorder="1" applyAlignment="1">
      <alignment horizontal="left" vertical="center"/>
    </xf>
    <xf numFmtId="0" fontId="66" fillId="0" borderId="0" xfId="0" applyFont="1" applyBorder="1" applyAlignment="1">
      <alignment horizontal="left" vertical="center"/>
    </xf>
    <xf numFmtId="0" fontId="66" fillId="0" borderId="0" xfId="0" applyFont="1" applyBorder="1"/>
    <xf numFmtId="0" fontId="67" fillId="0" borderId="0" xfId="0" applyFont="1" applyBorder="1"/>
    <xf numFmtId="0" fontId="67" fillId="0" borderId="0" xfId="5" applyNumberFormat="1" applyFont="1" applyBorder="1"/>
    <xf numFmtId="0" fontId="68" fillId="0" borderId="0" xfId="0" applyFont="1" applyBorder="1"/>
    <xf numFmtId="0" fontId="30" fillId="0" borderId="29" xfId="0" applyFont="1" applyBorder="1" applyAlignment="1"/>
    <xf numFmtId="0" fontId="0" fillId="0" borderId="0" xfId="0" applyFont="1" applyBorder="1" applyAlignment="1"/>
    <xf numFmtId="0" fontId="65" fillId="0" borderId="0" xfId="0" applyFont="1" applyBorder="1" applyAlignment="1">
      <alignment horizontal="left" vertical="center"/>
    </xf>
    <xf numFmtId="0" fontId="30" fillId="0" borderId="45" xfId="0" applyFont="1" applyBorder="1" applyAlignment="1"/>
    <xf numFmtId="0" fontId="5" fillId="0" borderId="44" xfId="0" applyFont="1" applyBorder="1" applyAlignment="1"/>
    <xf numFmtId="0" fontId="55" fillId="2" borderId="44" xfId="0" applyFont="1" applyFill="1" applyBorder="1" applyAlignment="1" applyProtection="1">
      <alignment vertical="center"/>
    </xf>
    <xf numFmtId="0" fontId="0" fillId="0" borderId="28" xfId="0" applyFill="1" applyBorder="1"/>
    <xf numFmtId="0" fontId="55" fillId="2" borderId="41" xfId="0" applyFont="1" applyFill="1" applyBorder="1" applyAlignment="1" applyProtection="1">
      <alignment horizontal="center" vertical="center"/>
    </xf>
    <xf numFmtId="0" fontId="58" fillId="2" borderId="44" xfId="0" applyFont="1" applyFill="1" applyBorder="1" applyAlignment="1" applyProtection="1">
      <alignment vertical="center"/>
    </xf>
    <xf numFmtId="0" fontId="62" fillId="0" borderId="29" xfId="0" applyFont="1" applyBorder="1" applyAlignment="1">
      <alignment horizontal="left" vertical="top" wrapText="1"/>
    </xf>
    <xf numFmtId="0" fontId="57" fillId="2" borderId="29" xfId="0" applyFont="1" applyFill="1" applyBorder="1" applyAlignment="1" applyProtection="1">
      <alignment vertical="center"/>
    </xf>
    <xf numFmtId="0" fontId="0" fillId="0" borderId="0" xfId="0" applyBorder="1" applyAlignment="1">
      <alignment vertical="center"/>
    </xf>
    <xf numFmtId="1" fontId="0" fillId="0" borderId="0" xfId="0" applyNumberFormat="1" applyBorder="1"/>
    <xf numFmtId="2" fontId="2" fillId="0" borderId="0" xfId="0" applyNumberFormat="1" applyFont="1" applyBorder="1" applyAlignment="1">
      <alignment horizontal="center" vertical="center"/>
    </xf>
    <xf numFmtId="0" fontId="71" fillId="0" borderId="0" xfId="0" applyFont="1" applyBorder="1" applyAlignment="1">
      <alignment vertical="center"/>
    </xf>
    <xf numFmtId="0" fontId="27" fillId="0" borderId="28" xfId="0" applyFont="1" applyBorder="1"/>
    <xf numFmtId="0" fontId="27" fillId="0" borderId="28" xfId="0" applyFont="1" applyBorder="1" applyAlignment="1"/>
    <xf numFmtId="0" fontId="71" fillId="0" borderId="28" xfId="0" applyFont="1" applyBorder="1" applyAlignment="1">
      <alignment horizontal="left" vertical="center" wrapText="1"/>
    </xf>
    <xf numFmtId="0" fontId="0" fillId="0" borderId="0" xfId="0" applyBorder="1" applyAlignment="1">
      <alignment horizontal="left"/>
    </xf>
    <xf numFmtId="0" fontId="0" fillId="0" borderId="28" xfId="0" applyBorder="1" applyAlignment="1">
      <alignment vertical="center" wrapText="1"/>
    </xf>
    <xf numFmtId="0" fontId="0" fillId="0" borderId="0" xfId="0" applyBorder="1" applyAlignment="1">
      <alignment vertical="center" wrapText="1"/>
    </xf>
    <xf numFmtId="0" fontId="0" fillId="0" borderId="29" xfId="0" applyBorder="1" applyAlignment="1">
      <alignment vertical="center" wrapText="1"/>
    </xf>
    <xf numFmtId="0" fontId="27" fillId="0" borderId="0" xfId="0" applyFont="1" applyBorder="1"/>
    <xf numFmtId="0" fontId="27" fillId="0" borderId="29" xfId="0" applyFont="1" applyBorder="1"/>
    <xf numFmtId="0" fontId="27" fillId="0" borderId="48" xfId="0" applyFont="1" applyBorder="1" applyAlignment="1">
      <alignment horizontal="center" vertical="center" wrapText="1"/>
    </xf>
    <xf numFmtId="0" fontId="27" fillId="0" borderId="41" xfId="0" applyFont="1" applyBorder="1" applyAlignment="1">
      <alignment horizontal="center" vertical="center" wrapText="1"/>
    </xf>
    <xf numFmtId="0" fontId="0" fillId="0" borderId="48" xfId="0" applyBorder="1" applyAlignment="1">
      <alignment horizontal="center"/>
    </xf>
    <xf numFmtId="0" fontId="0" fillId="0" borderId="41" xfId="0" applyBorder="1"/>
    <xf numFmtId="0" fontId="24" fillId="0" borderId="0" xfId="0" applyFont="1" applyBorder="1"/>
    <xf numFmtId="0" fontId="0" fillId="0" borderId="29" xfId="0" applyBorder="1" applyAlignment="1">
      <alignment horizontal="left" vertical="center"/>
    </xf>
    <xf numFmtId="0" fontId="9" fillId="0" borderId="28" xfId="0" applyFont="1" applyBorder="1" applyAlignment="1">
      <alignment vertical="center"/>
    </xf>
    <xf numFmtId="0" fontId="27" fillId="0" borderId="0" xfId="0" applyFont="1" applyBorder="1" applyAlignment="1">
      <alignment horizontal="center"/>
    </xf>
    <xf numFmtId="1" fontId="11" fillId="0" borderId="0" xfId="0" applyNumberFormat="1" applyFont="1" applyBorder="1" applyAlignment="1"/>
    <xf numFmtId="0" fontId="0" fillId="0" borderId="8" xfId="0" applyBorder="1" applyAlignment="1"/>
    <xf numFmtId="0" fontId="27" fillId="0" borderId="15" xfId="0" applyFont="1" applyBorder="1" applyAlignment="1"/>
    <xf numFmtId="0" fontId="2" fillId="0" borderId="16" xfId="0" applyFont="1" applyBorder="1" applyAlignment="1"/>
    <xf numFmtId="0" fontId="0" fillId="0" borderId="48" xfId="0" applyBorder="1" applyAlignment="1"/>
    <xf numFmtId="0" fontId="27" fillId="0" borderId="33" xfId="0" applyFont="1" applyFill="1" applyBorder="1"/>
    <xf numFmtId="0" fontId="72" fillId="0" borderId="48" xfId="0" applyFont="1" applyBorder="1" applyAlignment="1">
      <alignment horizontal="center"/>
    </xf>
    <xf numFmtId="0" fontId="72" fillId="0" borderId="41" xfId="0" applyFont="1" applyBorder="1" applyAlignment="1">
      <alignment horizontal="center"/>
    </xf>
    <xf numFmtId="0" fontId="8" fillId="0" borderId="16" xfId="0" applyFont="1" applyBorder="1" applyAlignment="1"/>
    <xf numFmtId="0" fontId="0" fillId="0" borderId="14" xfId="0" applyBorder="1" applyAlignment="1"/>
    <xf numFmtId="0" fontId="0" fillId="0" borderId="27" xfId="0" applyBorder="1" applyAlignment="1"/>
    <xf numFmtId="14" fontId="0" fillId="0" borderId="0" xfId="0" applyNumberFormat="1" applyBorder="1"/>
    <xf numFmtId="0" fontId="67" fillId="0" borderId="21" xfId="0" applyFont="1" applyBorder="1"/>
    <xf numFmtId="0" fontId="0" fillId="0" borderId="21" xfId="0" applyFont="1" applyBorder="1"/>
    <xf numFmtId="14" fontId="0" fillId="0" borderId="31" xfId="0" applyNumberFormat="1" applyBorder="1"/>
    <xf numFmtId="14" fontId="0" fillId="0" borderId="0" xfId="0" applyNumberFormat="1" applyFont="1" applyBorder="1" applyAlignment="1"/>
    <xf numFmtId="1" fontId="30" fillId="0" borderId="35" xfId="0" applyNumberFormat="1" applyFont="1" applyBorder="1" applyAlignment="1"/>
    <xf numFmtId="14" fontId="2" fillId="0" borderId="0" xfId="0" applyNumberFormat="1" applyFont="1" applyBorder="1"/>
    <xf numFmtId="1" fontId="11" fillId="0" borderId="30" xfId="0" applyNumberFormat="1" applyFont="1" applyBorder="1" applyAlignment="1"/>
    <xf numFmtId="9" fontId="0" fillId="0" borderId="29" xfId="0" applyNumberFormat="1" applyBorder="1" applyAlignment="1">
      <alignment horizontal="center"/>
    </xf>
    <xf numFmtId="14" fontId="27" fillId="0" borderId="0" xfId="0" applyNumberFormat="1" applyFont="1" applyBorder="1"/>
    <xf numFmtId="1" fontId="0" fillId="0" borderId="28" xfId="0" applyNumberFormat="1" applyBorder="1"/>
    <xf numFmtId="0" fontId="0" fillId="0" borderId="50" xfId="0" applyBorder="1"/>
    <xf numFmtId="0" fontId="8" fillId="0" borderId="28" xfId="0" applyFont="1" applyBorder="1" applyAlignment="1"/>
    <xf numFmtId="0" fontId="8" fillId="0" borderId="0" xfId="0" applyFont="1" applyBorder="1" applyAlignment="1"/>
    <xf numFmtId="1" fontId="8" fillId="0" borderId="0" xfId="0" applyNumberFormat="1" applyFont="1" applyBorder="1"/>
    <xf numFmtId="0" fontId="8" fillId="0" borderId="50" xfId="0" applyFont="1" applyBorder="1"/>
    <xf numFmtId="0" fontId="8" fillId="0" borderId="50" xfId="0" applyFont="1" applyFill="1" applyBorder="1"/>
    <xf numFmtId="1" fontId="8" fillId="0" borderId="50" xfId="0" applyNumberFormat="1" applyFont="1" applyBorder="1"/>
    <xf numFmtId="1" fontId="0" fillId="0" borderId="50" xfId="0" applyNumberFormat="1" applyBorder="1"/>
    <xf numFmtId="14" fontId="15" fillId="2" borderId="9" xfId="0" applyNumberFormat="1" applyFont="1" applyFill="1" applyBorder="1" applyAlignment="1"/>
    <xf numFmtId="0" fontId="7" fillId="2" borderId="0" xfId="0" applyFont="1" applyFill="1" applyBorder="1" applyAlignment="1"/>
    <xf numFmtId="0" fontId="7" fillId="2" borderId="0" xfId="0" applyFont="1" applyFill="1" applyBorder="1" applyAlignment="1">
      <alignment horizontal="center"/>
    </xf>
    <xf numFmtId="0" fontId="10" fillId="2" borderId="0" xfId="0" applyFont="1" applyFill="1" applyBorder="1" applyAlignment="1">
      <alignment horizontal="left"/>
    </xf>
    <xf numFmtId="0" fontId="10" fillId="2" borderId="0" xfId="0" applyFont="1" applyFill="1" applyBorder="1" applyAlignment="1"/>
    <xf numFmtId="0" fontId="10" fillId="2" borderId="0" xfId="0" applyFont="1" applyFill="1" applyBorder="1" applyAlignment="1">
      <alignment horizontal="center"/>
    </xf>
    <xf numFmtId="1" fontId="13" fillId="2" borderId="0" xfId="0" applyNumberFormat="1" applyFont="1" applyFill="1" applyBorder="1" applyAlignment="1">
      <alignment horizontal="left" vertical="center"/>
    </xf>
    <xf numFmtId="0" fontId="4" fillId="2" borderId="0" xfId="0" applyFont="1" applyFill="1" applyAlignment="1">
      <alignment horizontal="left" vertical="center"/>
    </xf>
    <xf numFmtId="0" fontId="8" fillId="2" borderId="0" xfId="0" applyFont="1" applyFill="1" applyAlignment="1">
      <alignment horizontal="left" vertical="center"/>
    </xf>
    <xf numFmtId="0" fontId="9" fillId="2" borderId="0" xfId="0" applyFont="1" applyFill="1" applyAlignment="1">
      <alignment horizontal="left" vertical="center"/>
    </xf>
    <xf numFmtId="0" fontId="6" fillId="2" borderId="50" xfId="0" applyFont="1" applyFill="1" applyBorder="1" applyAlignment="1">
      <alignment horizontal="left" vertical="center" wrapText="1"/>
    </xf>
    <xf numFmtId="0" fontId="13" fillId="2" borderId="50" xfId="0" applyFont="1" applyFill="1" applyBorder="1" applyAlignment="1">
      <alignment horizontal="left" vertical="center" wrapText="1"/>
    </xf>
    <xf numFmtId="0" fontId="15" fillId="2" borderId="0" xfId="0" applyFont="1" applyFill="1" applyBorder="1" applyAlignment="1">
      <alignment horizontal="left" vertical="center"/>
    </xf>
    <xf numFmtId="1" fontId="13" fillId="2" borderId="0" xfId="1" applyNumberFormat="1" applyFont="1" applyFill="1" applyBorder="1" applyAlignment="1">
      <alignment horizontal="left" vertical="center"/>
    </xf>
    <xf numFmtId="1" fontId="64" fillId="2" borderId="0" xfId="0" applyNumberFormat="1" applyFont="1" applyFill="1" applyBorder="1" applyAlignment="1">
      <alignment horizontal="left" vertical="center"/>
    </xf>
    <xf numFmtId="1" fontId="17" fillId="2" borderId="0" xfId="0" applyNumberFormat="1" applyFont="1" applyFill="1" applyBorder="1" applyAlignment="1">
      <alignment horizontal="left" vertical="center"/>
    </xf>
    <xf numFmtId="1" fontId="18" fillId="2" borderId="0" xfId="0" applyNumberFormat="1" applyFont="1" applyFill="1" applyBorder="1" applyAlignment="1">
      <alignment horizontal="left" vertical="center"/>
    </xf>
    <xf numFmtId="1" fontId="16" fillId="2" borderId="0" xfId="2" quotePrefix="1" applyNumberFormat="1" applyFont="1" applyFill="1" applyBorder="1" applyAlignment="1">
      <alignment horizontal="left"/>
    </xf>
    <xf numFmtId="1" fontId="19" fillId="2" borderId="0" xfId="2" quotePrefix="1" applyNumberFormat="1" applyFont="1" applyFill="1" applyBorder="1" applyAlignment="1"/>
    <xf numFmtId="0" fontId="0" fillId="2" borderId="0" xfId="0" applyFill="1" applyBorder="1"/>
    <xf numFmtId="1" fontId="13" fillId="2" borderId="0" xfId="0" applyNumberFormat="1" applyFont="1" applyFill="1" applyBorder="1" applyAlignment="1">
      <alignment horizontal="left" vertical="center" wrapText="1"/>
    </xf>
    <xf numFmtId="1" fontId="13" fillId="2" borderId="50" xfId="0" applyNumberFormat="1" applyFont="1" applyFill="1" applyBorder="1" applyAlignment="1">
      <alignment horizontal="left" vertical="center" wrapText="1"/>
    </xf>
    <xf numFmtId="0" fontId="77" fillId="2" borderId="50" xfId="0" applyFont="1" applyFill="1" applyBorder="1" applyAlignment="1">
      <alignment horizontal="left" vertical="center" wrapText="1"/>
    </xf>
    <xf numFmtId="0" fontId="0" fillId="0" borderId="50" xfId="0" applyBorder="1" applyAlignment="1">
      <alignment horizontal="center"/>
    </xf>
    <xf numFmtId="0" fontId="14" fillId="2" borderId="50" xfId="0" applyFont="1" applyFill="1" applyBorder="1" applyAlignment="1">
      <alignment horizontal="left" vertical="center" wrapText="1"/>
    </xf>
    <xf numFmtId="167" fontId="76" fillId="2" borderId="50" xfId="8" applyNumberFormat="1" applyFont="1" applyFill="1" applyBorder="1" applyAlignment="1">
      <alignment horizontal="left" vertical="center" wrapText="1"/>
    </xf>
    <xf numFmtId="1" fontId="13" fillId="2" borderId="50" xfId="1" applyNumberFormat="1" applyFont="1" applyFill="1" applyBorder="1" applyAlignment="1">
      <alignment horizontal="left" vertical="center" wrapText="1"/>
    </xf>
    <xf numFmtId="1" fontId="13" fillId="2" borderId="50" xfId="1" applyNumberFormat="1" applyFont="1" applyFill="1" applyBorder="1" applyAlignment="1">
      <alignment horizontal="left" wrapText="1"/>
    </xf>
    <xf numFmtId="14" fontId="13" fillId="2" borderId="50" xfId="0" applyNumberFormat="1" applyFont="1" applyFill="1" applyBorder="1" applyAlignment="1">
      <alignment horizontal="center" vertical="center" wrapText="1"/>
    </xf>
    <xf numFmtId="1" fontId="13" fillId="2" borderId="50" xfId="0" applyNumberFormat="1" applyFont="1" applyFill="1" applyBorder="1" applyAlignment="1">
      <alignment horizontal="left" wrapText="1"/>
    </xf>
    <xf numFmtId="0" fontId="74" fillId="2" borderId="50" xfId="7" applyFont="1" applyFill="1" applyBorder="1" applyAlignment="1">
      <alignment horizontal="left" vertical="center" wrapText="1"/>
    </xf>
    <xf numFmtId="1" fontId="22" fillId="2" borderId="21" xfId="0" applyNumberFormat="1" applyFont="1" applyFill="1" applyBorder="1" applyAlignment="1">
      <alignment horizontal="center" vertical="top"/>
    </xf>
    <xf numFmtId="1" fontId="13" fillId="2" borderId="50" xfId="0" applyNumberFormat="1" applyFont="1" applyFill="1" applyBorder="1" applyAlignment="1">
      <alignment horizontal="left"/>
    </xf>
    <xf numFmtId="1" fontId="13" fillId="2" borderId="50" xfId="1" applyNumberFormat="1" applyFont="1" applyFill="1" applyBorder="1" applyAlignment="1">
      <alignment horizontal="left"/>
    </xf>
    <xf numFmtId="1" fontId="13" fillId="2" borderId="50" xfId="0" applyNumberFormat="1" applyFont="1" applyFill="1" applyBorder="1" applyAlignment="1">
      <alignment horizontal="left" vertical="center"/>
    </xf>
    <xf numFmtId="1" fontId="13" fillId="2" borderId="50" xfId="1" applyNumberFormat="1" applyFont="1" applyFill="1" applyBorder="1" applyAlignment="1">
      <alignment horizontal="left" vertical="center"/>
    </xf>
    <xf numFmtId="1" fontId="16" fillId="2" borderId="50" xfId="0" applyNumberFormat="1" applyFont="1" applyFill="1" applyBorder="1" applyAlignment="1">
      <alignment horizontal="left"/>
    </xf>
    <xf numFmtId="0" fontId="15" fillId="2" borderId="50" xfId="0" applyFont="1" applyFill="1" applyBorder="1" applyAlignment="1"/>
    <xf numFmtId="1" fontId="22" fillId="0" borderId="50" xfId="0" applyNumberFormat="1" applyFont="1" applyFill="1" applyBorder="1" applyAlignment="1">
      <alignment horizontal="center" vertical="top"/>
    </xf>
    <xf numFmtId="0" fontId="9" fillId="3" borderId="21" xfId="0" applyFont="1" applyFill="1" applyBorder="1" applyAlignment="1">
      <alignment horizontal="center" vertical="center" wrapText="1"/>
    </xf>
    <xf numFmtId="0" fontId="9" fillId="3" borderId="30" xfId="0" applyFont="1" applyFill="1" applyBorder="1" applyAlignment="1">
      <alignment horizontal="center" vertical="center" wrapText="1"/>
    </xf>
    <xf numFmtId="0" fontId="9" fillId="3" borderId="23" xfId="0" applyFont="1" applyFill="1" applyBorder="1" applyAlignment="1">
      <alignment horizontal="center" vertical="center" wrapText="1"/>
    </xf>
    <xf numFmtId="0" fontId="5" fillId="0" borderId="32" xfId="0" applyFont="1" applyBorder="1" applyAlignment="1">
      <alignment vertical="center" textRotation="90" wrapText="1"/>
    </xf>
    <xf numFmtId="0" fontId="5" fillId="0" borderId="20" xfId="0" applyFont="1" applyBorder="1" applyAlignment="1">
      <alignment horizontal="center" vertical="center" wrapText="1"/>
    </xf>
    <xf numFmtId="0" fontId="5" fillId="0" borderId="32" xfId="0" applyFont="1" applyBorder="1" applyAlignment="1">
      <alignment horizontal="center" vertical="center" wrapText="1"/>
    </xf>
    <xf numFmtId="1" fontId="15" fillId="2" borderId="0" xfId="0" applyNumberFormat="1" applyFont="1" applyFill="1" applyBorder="1" applyAlignment="1">
      <alignment horizontal="left"/>
    </xf>
    <xf numFmtId="0" fontId="5" fillId="0" borderId="0" xfId="0" applyFont="1" applyBorder="1"/>
    <xf numFmtId="0" fontId="24" fillId="0" borderId="28" xfId="0" applyNumberFormat="1" applyFont="1" applyFill="1" applyBorder="1" applyAlignment="1" applyProtection="1">
      <alignment vertical="top"/>
    </xf>
    <xf numFmtId="0" fontId="8" fillId="0" borderId="28" xfId="0" applyNumberFormat="1" applyFont="1" applyFill="1" applyBorder="1" applyAlignment="1" applyProtection="1">
      <alignment vertical="top"/>
    </xf>
    <xf numFmtId="0" fontId="8" fillId="0" borderId="31" xfId="0" applyNumberFormat="1" applyFont="1" applyFill="1" applyBorder="1" applyAlignment="1" applyProtection="1">
      <alignment vertical="top"/>
    </xf>
    <xf numFmtId="14" fontId="8" fillId="0" borderId="31" xfId="0" applyNumberFormat="1" applyFont="1" applyFill="1" applyBorder="1" applyAlignment="1" applyProtection="1">
      <alignment vertical="top"/>
    </xf>
    <xf numFmtId="0" fontId="5" fillId="0" borderId="52" xfId="0" applyFont="1" applyBorder="1" applyAlignment="1">
      <alignment horizontal="center" vertical="center" wrapText="1"/>
    </xf>
    <xf numFmtId="0" fontId="5" fillId="0" borderId="29" xfId="0" applyFont="1" applyBorder="1" applyAlignment="1">
      <alignment horizontal="center" vertical="center" wrapText="1"/>
    </xf>
    <xf numFmtId="0" fontId="0" fillId="0" borderId="53" xfId="0" applyBorder="1"/>
    <xf numFmtId="0" fontId="0" fillId="0" borderId="54" xfId="0" applyBorder="1"/>
    <xf numFmtId="0" fontId="11" fillId="0" borderId="48" xfId="0" applyFont="1" applyBorder="1" applyAlignment="1">
      <alignment horizontal="center" vertical="center"/>
    </xf>
    <xf numFmtId="0" fontId="0" fillId="0" borderId="48" xfId="0" applyBorder="1"/>
    <xf numFmtId="0" fontId="0" fillId="0" borderId="55" xfId="0" applyBorder="1"/>
    <xf numFmtId="0" fontId="9" fillId="0" borderId="0" xfId="0" applyNumberFormat="1" applyFont="1" applyFill="1" applyBorder="1" applyAlignment="1" applyProtection="1">
      <alignment vertical="top"/>
    </xf>
    <xf numFmtId="14" fontId="0" fillId="0" borderId="50" xfId="0" applyNumberFormat="1" applyBorder="1"/>
    <xf numFmtId="0" fontId="21" fillId="2" borderId="50" xfId="0" applyFont="1" applyFill="1" applyBorder="1" applyAlignment="1">
      <alignment horizontal="center" vertical="center"/>
    </xf>
    <xf numFmtId="0" fontId="0" fillId="2" borderId="50" xfId="0" applyFill="1" applyBorder="1" applyAlignment="1">
      <alignment horizontal="center" vertical="top"/>
    </xf>
    <xf numFmtId="0" fontId="15" fillId="2" borderId="50" xfId="0" applyFont="1" applyFill="1" applyBorder="1" applyAlignment="1">
      <alignment horizontal="left" vertical="center" wrapText="1"/>
    </xf>
    <xf numFmtId="1" fontId="13" fillId="2" borderId="50" xfId="2" quotePrefix="1" applyNumberFormat="1" applyFont="1" applyFill="1" applyBorder="1" applyAlignment="1">
      <alignment horizontal="left" vertical="center"/>
    </xf>
    <xf numFmtId="0" fontId="2" fillId="0" borderId="28" xfId="0" applyFont="1" applyBorder="1"/>
    <xf numFmtId="0" fontId="0" fillId="0" borderId="50" xfId="0" applyBorder="1" applyAlignment="1"/>
    <xf numFmtId="0" fontId="2" fillId="0" borderId="50" xfId="0" applyFont="1" applyBorder="1" applyAlignment="1"/>
    <xf numFmtId="0" fontId="0" fillId="0" borderId="50" xfId="0" applyFont="1" applyBorder="1" applyAlignment="1">
      <alignment horizontal="center" vertical="center"/>
    </xf>
    <xf numFmtId="0" fontId="9" fillId="0" borderId="0" xfId="3" applyFont="1" applyAlignment="1">
      <alignment horizontal="center" vertical="center"/>
    </xf>
    <xf numFmtId="0" fontId="2" fillId="0" borderId="0" xfId="0" applyFont="1" applyAlignment="1">
      <alignment horizontal="left"/>
    </xf>
    <xf numFmtId="0" fontId="2" fillId="3" borderId="2"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0" fillId="0" borderId="0" xfId="0" applyAlignment="1">
      <alignment horizontal="center"/>
    </xf>
    <xf numFmtId="0" fontId="12" fillId="3" borderId="2" xfId="0" applyFont="1" applyFill="1" applyBorder="1" applyAlignment="1">
      <alignment horizontal="center" vertical="center" wrapText="1"/>
    </xf>
    <xf numFmtId="0" fontId="12" fillId="3" borderId="9" xfId="0" applyFont="1" applyFill="1" applyBorder="1" applyAlignment="1">
      <alignment horizontal="center" vertical="center" wrapText="1"/>
    </xf>
    <xf numFmtId="0" fontId="2" fillId="3" borderId="9" xfId="0" applyFont="1" applyFill="1" applyBorder="1" applyAlignment="1">
      <alignment horizontal="center" vertical="center"/>
    </xf>
    <xf numFmtId="0" fontId="8" fillId="0" borderId="0" xfId="0" applyFont="1" applyBorder="1" applyAlignment="1">
      <alignment horizontal="left"/>
    </xf>
    <xf numFmtId="0" fontId="8" fillId="0" borderId="0" xfId="0" applyFont="1" applyBorder="1" applyAlignment="1">
      <alignment horizontal="left" vertical="center" wrapText="1"/>
    </xf>
    <xf numFmtId="0" fontId="0" fillId="0" borderId="28" xfId="0" applyBorder="1" applyAlignment="1">
      <alignment horizontal="center"/>
    </xf>
    <xf numFmtId="0" fontId="0" fillId="0" borderId="0" xfId="0" applyBorder="1" applyAlignment="1">
      <alignment horizontal="center"/>
    </xf>
    <xf numFmtId="0" fontId="0" fillId="0" borderId="29" xfId="0" applyBorder="1" applyAlignment="1">
      <alignment horizontal="center"/>
    </xf>
    <xf numFmtId="0" fontId="9" fillId="3" borderId="19" xfId="0" applyNumberFormat="1" applyFont="1" applyFill="1" applyBorder="1" applyAlignment="1" applyProtection="1">
      <alignment horizontal="center" vertical="top" wrapText="1"/>
    </xf>
    <xf numFmtId="0" fontId="9" fillId="3" borderId="20" xfId="0" applyNumberFormat="1" applyFont="1" applyFill="1" applyBorder="1" applyAlignment="1" applyProtection="1">
      <alignment horizontal="center" vertical="top" wrapText="1"/>
    </xf>
    <xf numFmtId="0" fontId="9" fillId="3" borderId="9" xfId="0" applyNumberFormat="1" applyFont="1" applyFill="1" applyBorder="1" applyAlignment="1" applyProtection="1">
      <alignment horizontal="center" vertical="top" wrapText="1"/>
    </xf>
    <xf numFmtId="0" fontId="32" fillId="0" borderId="0" xfId="0" applyFont="1" applyAlignment="1">
      <alignment horizontal="center"/>
    </xf>
    <xf numFmtId="0" fontId="33" fillId="0" borderId="0" xfId="0" applyFont="1" applyAlignment="1">
      <alignment horizontal="center"/>
    </xf>
    <xf numFmtId="0" fontId="47" fillId="2" borderId="0" xfId="0" applyFont="1" applyFill="1" applyBorder="1" applyAlignment="1">
      <alignment horizontal="center" vertical="top" wrapText="1"/>
    </xf>
    <xf numFmtId="0" fontId="46" fillId="2" borderId="28" xfId="0" applyFont="1" applyFill="1" applyBorder="1" applyAlignment="1">
      <alignment horizontal="left" vertical="top" wrapText="1"/>
    </xf>
    <xf numFmtId="0" fontId="46" fillId="2" borderId="0" xfId="0" applyFont="1" applyFill="1" applyBorder="1" applyAlignment="1">
      <alignment horizontal="left" vertical="top" wrapText="1"/>
    </xf>
    <xf numFmtId="0" fontId="0" fillId="2" borderId="0" xfId="0" applyFont="1" applyFill="1" applyBorder="1" applyAlignment="1">
      <alignment horizontal="justify" vertical="top" wrapText="1"/>
    </xf>
    <xf numFmtId="0" fontId="41" fillId="2" borderId="0" xfId="0" applyFont="1" applyFill="1" applyBorder="1" applyAlignment="1">
      <alignment horizontal="center" vertical="top" wrapText="1"/>
    </xf>
    <xf numFmtId="0" fontId="0" fillId="2" borderId="0" xfId="0" applyFont="1" applyFill="1" applyBorder="1" applyAlignment="1">
      <alignment horizontal="center" vertical="top" wrapText="1"/>
    </xf>
    <xf numFmtId="0" fontId="42" fillId="2" borderId="28" xfId="0" applyFont="1" applyFill="1" applyBorder="1" applyAlignment="1">
      <alignment horizontal="center" vertical="top" wrapText="1"/>
    </xf>
    <xf numFmtId="0" fontId="42" fillId="2" borderId="0" xfId="0" applyFont="1" applyFill="1" applyBorder="1" applyAlignment="1">
      <alignment horizontal="center" vertical="top" wrapText="1"/>
    </xf>
    <xf numFmtId="1" fontId="2" fillId="0" borderId="0" xfId="0" applyNumberFormat="1" applyFont="1" applyBorder="1" applyAlignment="1">
      <alignment horizontal="center" vertical="center"/>
    </xf>
    <xf numFmtId="0" fontId="2" fillId="0" borderId="0" xfId="0" applyFont="1" applyBorder="1" applyAlignment="1">
      <alignment horizontal="center" vertical="center"/>
    </xf>
    <xf numFmtId="0" fontId="2" fillId="0" borderId="0" xfId="0" applyFont="1" applyBorder="1" applyAlignment="1">
      <alignment horizontal="left" vertical="center"/>
    </xf>
    <xf numFmtId="1" fontId="2" fillId="0" borderId="21" xfId="0" applyNumberFormat="1" applyFont="1" applyBorder="1" applyAlignment="1">
      <alignment horizontal="center" vertical="center"/>
    </xf>
    <xf numFmtId="0" fontId="2" fillId="0" borderId="30" xfId="0" applyFont="1" applyBorder="1" applyAlignment="1">
      <alignment horizontal="center" vertical="center"/>
    </xf>
    <xf numFmtId="0" fontId="2" fillId="0" borderId="44" xfId="0" applyFont="1" applyBorder="1" applyAlignment="1">
      <alignment horizontal="center" vertical="center"/>
    </xf>
    <xf numFmtId="1" fontId="2" fillId="0" borderId="21" xfId="0" applyNumberFormat="1" applyFont="1" applyBorder="1" applyAlignment="1">
      <alignment horizontal="center" vertical="center" wrapText="1"/>
    </xf>
    <xf numFmtId="1" fontId="2" fillId="0" borderId="23" xfId="0" applyNumberFormat="1" applyFont="1" applyBorder="1" applyAlignment="1">
      <alignment horizontal="center" vertical="center" wrapText="1"/>
    </xf>
    <xf numFmtId="0" fontId="2" fillId="0" borderId="21" xfId="0" applyFont="1" applyBorder="1" applyAlignment="1">
      <alignment horizontal="center" vertical="center"/>
    </xf>
    <xf numFmtId="0" fontId="2" fillId="0" borderId="23" xfId="0" applyFont="1" applyBorder="1" applyAlignment="1">
      <alignment horizontal="center" vertical="center"/>
    </xf>
    <xf numFmtId="0" fontId="55" fillId="2" borderId="21" xfId="0" applyFont="1" applyFill="1" applyBorder="1" applyAlignment="1" applyProtection="1">
      <alignment horizontal="center" vertical="center"/>
    </xf>
    <xf numFmtId="1" fontId="2" fillId="0" borderId="0" xfId="0" applyNumberFormat="1" applyFont="1" applyBorder="1" applyAlignment="1">
      <alignment horizontal="center" vertical="center" wrapText="1"/>
    </xf>
    <xf numFmtId="0" fontId="55" fillId="2" borderId="35" xfId="0" applyFont="1" applyFill="1" applyBorder="1" applyAlignment="1" applyProtection="1">
      <alignment vertical="center"/>
    </xf>
    <xf numFmtId="0" fontId="0" fillId="0" borderId="41" xfId="0" applyBorder="1" applyAlignment="1">
      <alignment horizontal="center"/>
    </xf>
    <xf numFmtId="0" fontId="8" fillId="0" borderId="28" xfId="0" applyFont="1" applyBorder="1" applyAlignment="1">
      <alignment horizontal="left" vertical="center"/>
    </xf>
    <xf numFmtId="0" fontId="8" fillId="0" borderId="0" xfId="0" applyFont="1" applyBorder="1" applyAlignment="1">
      <alignment horizontal="left" vertical="center"/>
    </xf>
    <xf numFmtId="0" fontId="8" fillId="0" borderId="29" xfId="0" applyFont="1" applyBorder="1" applyAlignment="1">
      <alignment horizontal="left" vertical="center"/>
    </xf>
    <xf numFmtId="0" fontId="0" fillId="0" borderId="28" xfId="0" applyBorder="1" applyAlignment="1">
      <alignment horizontal="left" vertical="center" wrapText="1"/>
    </xf>
    <xf numFmtId="0" fontId="0" fillId="0" borderId="0" xfId="0" applyBorder="1" applyAlignment="1">
      <alignment horizontal="left" vertical="center" wrapText="1"/>
    </xf>
    <xf numFmtId="0" fontId="0" fillId="0" borderId="29" xfId="0" applyBorder="1" applyAlignment="1">
      <alignment horizontal="left" vertical="center" wrapText="1"/>
    </xf>
    <xf numFmtId="0" fontId="9" fillId="0" borderId="0" xfId="0" applyFont="1" applyBorder="1" applyAlignment="1">
      <alignment horizontal="left"/>
    </xf>
    <xf numFmtId="0" fontId="0" fillId="0" borderId="0" xfId="0" applyBorder="1" applyAlignment="1">
      <alignment horizontal="center" vertical="center"/>
    </xf>
    <xf numFmtId="1" fontId="13" fillId="2" borderId="50" xfId="0" applyNumberFormat="1" applyFont="1" applyFill="1" applyBorder="1" applyAlignment="1">
      <alignment horizontal="center"/>
    </xf>
    <xf numFmtId="1" fontId="21" fillId="2" borderId="50" xfId="0" applyNumberFormat="1" applyFont="1" applyFill="1" applyBorder="1" applyAlignment="1">
      <alignment horizontal="left" vertical="top"/>
    </xf>
    <xf numFmtId="1" fontId="22" fillId="0" borderId="50" xfId="0" applyNumberFormat="1" applyFont="1" applyFill="1" applyBorder="1" applyAlignment="1">
      <alignment horizontal="center" vertical="top" wrapText="1"/>
    </xf>
    <xf numFmtId="14" fontId="22" fillId="0" borderId="50" xfId="0" applyNumberFormat="1" applyFont="1" applyFill="1" applyBorder="1" applyAlignment="1">
      <alignment horizontal="center" vertical="top"/>
    </xf>
    <xf numFmtId="1" fontId="13" fillId="2" borderId="50" xfId="0" applyNumberFormat="1" applyFont="1" applyFill="1" applyBorder="1"/>
    <xf numFmtId="1" fontId="21" fillId="2" borderId="50" xfId="0" applyNumberFormat="1" applyFont="1" applyFill="1" applyBorder="1" applyAlignment="1">
      <alignment horizontal="center" vertical="top"/>
    </xf>
    <xf numFmtId="0" fontId="2" fillId="3" borderId="50" xfId="0" applyFont="1" applyFill="1" applyBorder="1" applyAlignment="1">
      <alignment horizontal="center"/>
    </xf>
    <xf numFmtId="0" fontId="2" fillId="3" borderId="50" xfId="0" applyFont="1" applyFill="1" applyBorder="1" applyAlignment="1">
      <alignment horizontal="center" wrapText="1"/>
    </xf>
    <xf numFmtId="1" fontId="13" fillId="2" borderId="50" xfId="1" applyNumberFormat="1" applyFont="1" applyFill="1" applyBorder="1" applyAlignment="1">
      <alignment horizontal="center"/>
    </xf>
    <xf numFmtId="1" fontId="0" fillId="0" borderId="50" xfId="0" applyNumberFormat="1" applyFill="1" applyBorder="1" applyAlignment="1">
      <alignment horizontal="center"/>
    </xf>
    <xf numFmtId="1" fontId="13" fillId="2" borderId="50" xfId="0" applyNumberFormat="1" applyFont="1" applyFill="1" applyBorder="1" applyAlignment="1">
      <alignment horizontal="center" vertical="center"/>
    </xf>
    <xf numFmtId="1" fontId="13" fillId="2" borderId="50" xfId="1" applyNumberFormat="1" applyFont="1" applyFill="1" applyBorder="1"/>
    <xf numFmtId="14" fontId="13" fillId="2" borderId="50" xfId="0" applyNumberFormat="1" applyFont="1" applyFill="1" applyBorder="1"/>
    <xf numFmtId="1" fontId="19" fillId="2" borderId="50" xfId="2" quotePrefix="1" applyNumberFormat="1" applyFont="1" applyFill="1" applyBorder="1" applyAlignment="1">
      <alignment horizontal="left"/>
    </xf>
    <xf numFmtId="1" fontId="16" fillId="2" borderId="50" xfId="0" applyNumberFormat="1" applyFont="1" applyFill="1" applyBorder="1"/>
    <xf numFmtId="0" fontId="2" fillId="0" borderId="50" xfId="0" applyFont="1" applyBorder="1" applyAlignment="1">
      <alignment horizontal="center" vertical="center"/>
    </xf>
    <xf numFmtId="1" fontId="2" fillId="0" borderId="50" xfId="0" applyNumberFormat="1" applyFont="1" applyBorder="1" applyAlignment="1">
      <alignment horizontal="center" vertical="center"/>
    </xf>
    <xf numFmtId="0" fontId="8" fillId="0" borderId="50" xfId="0" applyNumberFormat="1" applyFont="1" applyFill="1" applyBorder="1" applyAlignment="1" applyProtection="1">
      <alignment vertical="top"/>
    </xf>
    <xf numFmtId="0" fontId="9" fillId="3" borderId="51" xfId="0" applyNumberFormat="1" applyFont="1" applyFill="1" applyBorder="1" applyAlignment="1" applyProtection="1">
      <alignment horizontal="center" vertical="top" wrapText="1"/>
    </xf>
    <xf numFmtId="0" fontId="9" fillId="3" borderId="50" xfId="0" applyNumberFormat="1" applyFont="1" applyFill="1" applyBorder="1" applyAlignment="1" applyProtection="1">
      <alignment vertical="top" wrapText="1"/>
    </xf>
    <xf numFmtId="0" fontId="9" fillId="3" borderId="50" xfId="0" applyNumberFormat="1" applyFont="1" applyFill="1" applyBorder="1" applyAlignment="1" applyProtection="1">
      <alignment horizontal="center" vertical="top" wrapText="1"/>
    </xf>
    <xf numFmtId="0" fontId="9" fillId="3" borderId="50" xfId="0" applyNumberFormat="1" applyFont="1" applyFill="1" applyBorder="1" applyAlignment="1" applyProtection="1">
      <alignment vertical="top"/>
    </xf>
    <xf numFmtId="0" fontId="9" fillId="3" borderId="50" xfId="0" applyNumberFormat="1" applyFont="1" applyFill="1" applyBorder="1" applyAlignment="1" applyProtection="1">
      <alignment horizontal="center" vertical="top"/>
    </xf>
    <xf numFmtId="0" fontId="8" fillId="0" borderId="51" xfId="0" applyNumberFormat="1" applyFont="1" applyFill="1" applyBorder="1" applyAlignment="1" applyProtection="1">
      <alignment vertical="top"/>
    </xf>
    <xf numFmtId="0" fontId="8" fillId="0" borderId="16" xfId="0" applyNumberFormat="1" applyFont="1" applyFill="1" applyBorder="1" applyAlignment="1" applyProtection="1">
      <alignment vertical="top"/>
    </xf>
    <xf numFmtId="0" fontId="8" fillId="0" borderId="17" xfId="0" applyNumberFormat="1" applyFont="1" applyFill="1" applyBorder="1" applyAlignment="1" applyProtection="1">
      <alignment vertical="top"/>
    </xf>
    <xf numFmtId="17" fontId="8" fillId="0" borderId="23" xfId="0" applyNumberFormat="1" applyFont="1" applyFill="1" applyBorder="1" applyAlignment="1" applyProtection="1">
      <alignment vertical="top"/>
    </xf>
    <xf numFmtId="0" fontId="8" fillId="0" borderId="50" xfId="0" applyNumberFormat="1" applyFont="1" applyFill="1" applyBorder="1" applyAlignment="1" applyProtection="1">
      <alignment vertical="top"/>
      <protection locked="0"/>
    </xf>
    <xf numFmtId="0" fontId="27" fillId="0" borderId="50" xfId="0" applyNumberFormat="1" applyFont="1" applyFill="1" applyBorder="1" applyAlignment="1" applyProtection="1">
      <alignment vertical="top"/>
    </xf>
    <xf numFmtId="0" fontId="37" fillId="0" borderId="51" xfId="0" applyFont="1" applyBorder="1" applyAlignment="1">
      <alignment horizontal="center" wrapText="1"/>
    </xf>
    <xf numFmtId="0" fontId="0" fillId="0" borderId="51" xfId="0" applyBorder="1" applyAlignment="1">
      <alignment horizontal="center"/>
    </xf>
    <xf numFmtId="0" fontId="0" fillId="0" borderId="51" xfId="0" applyBorder="1" applyAlignment="1">
      <alignment horizontal="center" wrapText="1"/>
    </xf>
    <xf numFmtId="0" fontId="0" fillId="0" borderId="50" xfId="0" applyBorder="1" applyAlignment="1">
      <alignment horizontal="center" wrapText="1"/>
    </xf>
    <xf numFmtId="1" fontId="5" fillId="2" borderId="50" xfId="4" applyNumberFormat="1" applyFont="1" applyFill="1" applyBorder="1" applyAlignment="1">
      <alignment horizontal="left"/>
    </xf>
    <xf numFmtId="0" fontId="0" fillId="0" borderId="50" xfId="0" applyBorder="1" applyAlignment="1">
      <alignment horizontal="left" wrapText="1"/>
    </xf>
    <xf numFmtId="1" fontId="40" fillId="2" borderId="50" xfId="0" applyNumberFormat="1" applyFont="1" applyFill="1" applyBorder="1" applyAlignment="1">
      <alignment vertical="top"/>
    </xf>
    <xf numFmtId="0" fontId="40" fillId="2" borderId="50" xfId="0" applyFont="1" applyFill="1" applyBorder="1"/>
    <xf numFmtId="1" fontId="40" fillId="2" borderId="50" xfId="0" applyNumberFormat="1" applyFont="1" applyFill="1" applyBorder="1"/>
    <xf numFmtId="0" fontId="5" fillId="2" borderId="50" xfId="4" applyFont="1" applyFill="1" applyBorder="1" applyAlignment="1">
      <alignment horizontal="left"/>
    </xf>
    <xf numFmtId="1" fontId="5" fillId="2" borderId="50" xfId="4" quotePrefix="1" applyNumberFormat="1" applyFont="1" applyFill="1" applyBorder="1" applyAlignment="1">
      <alignment horizontal="left"/>
    </xf>
    <xf numFmtId="0" fontId="47" fillId="2" borderId="51" xfId="0" applyFont="1" applyFill="1" applyBorder="1" applyAlignment="1">
      <alignment horizontal="center" vertical="center" wrapText="1"/>
    </xf>
    <xf numFmtId="0" fontId="0" fillId="0" borderId="50" xfId="0" applyBorder="1" applyAlignment="1">
      <alignment horizontal="center" vertical="center"/>
    </xf>
    <xf numFmtId="166" fontId="0" fillId="0" borderId="50" xfId="0" applyNumberFormat="1" applyFont="1" applyFill="1" applyBorder="1" applyAlignment="1">
      <alignment horizontal="center" vertical="center"/>
    </xf>
    <xf numFmtId="0" fontId="0" fillId="0" borderId="50" xfId="0" applyFont="1" applyBorder="1" applyAlignment="1">
      <alignment vertical="center"/>
    </xf>
    <xf numFmtId="0" fontId="2" fillId="0" borderId="50" xfId="0" applyFont="1" applyBorder="1"/>
    <xf numFmtId="0" fontId="2" fillId="0" borderId="50" xfId="0" applyFont="1" applyBorder="1" applyAlignment="1">
      <alignment horizontal="center" wrapText="1"/>
    </xf>
    <xf numFmtId="9" fontId="0" fillId="0" borderId="50" xfId="0" applyNumberFormat="1" applyBorder="1"/>
    <xf numFmtId="1" fontId="2" fillId="0" borderId="50" xfId="0" applyNumberFormat="1" applyFont="1" applyBorder="1" applyAlignment="1">
      <alignment horizontal="center" vertical="center" wrapText="1"/>
    </xf>
    <xf numFmtId="0" fontId="55" fillId="2" borderId="50" xfId="0" applyFont="1" applyFill="1" applyBorder="1" applyAlignment="1" applyProtection="1">
      <alignment vertical="center" wrapText="1"/>
    </xf>
    <xf numFmtId="0" fontId="27" fillId="0" borderId="50" xfId="0" applyFont="1" applyBorder="1" applyAlignment="1">
      <alignment horizontal="center" vertical="center" wrapText="1"/>
    </xf>
    <xf numFmtId="0" fontId="0" fillId="0" borderId="50" xfId="0" applyBorder="1" applyAlignment="1">
      <alignment horizontal="center" vertical="center" wrapText="1"/>
    </xf>
    <xf numFmtId="0" fontId="72" fillId="0" borderId="50" xfId="0" applyFont="1" applyBorder="1" applyAlignment="1">
      <alignment horizontal="center"/>
    </xf>
    <xf numFmtId="0" fontId="78" fillId="0" borderId="0" xfId="0" applyFont="1" applyBorder="1"/>
    <xf numFmtId="0" fontId="9" fillId="3" borderId="12" xfId="0" applyFont="1" applyFill="1" applyBorder="1" applyAlignment="1">
      <alignment wrapText="1"/>
    </xf>
    <xf numFmtId="14" fontId="13" fillId="2" borderId="50" xfId="0" applyNumberFormat="1" applyFont="1" applyFill="1" applyBorder="1" applyAlignment="1">
      <alignment horizontal="center" wrapText="1"/>
    </xf>
    <xf numFmtId="1" fontId="13" fillId="2" borderId="50" xfId="2" applyNumberFormat="1" applyFont="1" applyFill="1" applyBorder="1" applyAlignment="1">
      <alignment horizontal="left" wrapText="1"/>
    </xf>
    <xf numFmtId="0" fontId="15" fillId="2" borderId="50" xfId="0" applyFont="1" applyFill="1" applyBorder="1" applyAlignment="1">
      <alignment horizontal="left" vertical="center"/>
    </xf>
    <xf numFmtId="0" fontId="74" fillId="2" borderId="50" xfId="7" applyFont="1" applyFill="1" applyBorder="1" applyAlignment="1">
      <alignment horizontal="center" vertical="center"/>
    </xf>
    <xf numFmtId="1" fontId="21" fillId="2" borderId="50" xfId="0" applyNumberFormat="1" applyFont="1" applyFill="1" applyBorder="1" applyAlignment="1">
      <alignment horizontal="left" vertical="center"/>
    </xf>
    <xf numFmtId="14" fontId="22" fillId="0" borderId="50" xfId="0" applyNumberFormat="1" applyFont="1" applyFill="1" applyBorder="1" applyAlignment="1">
      <alignment horizontal="center" vertical="center"/>
    </xf>
    <xf numFmtId="0" fontId="2" fillId="2" borderId="8" xfId="0" applyFont="1" applyFill="1" applyBorder="1" applyAlignment="1"/>
    <xf numFmtId="0" fontId="2" fillId="3" borderId="49" xfId="0" applyFont="1" applyFill="1" applyBorder="1" applyAlignment="1">
      <alignment wrapText="1"/>
    </xf>
    <xf numFmtId="0" fontId="2" fillId="3" borderId="12" xfId="0" applyFont="1" applyFill="1" applyBorder="1" applyAlignment="1">
      <alignment wrapText="1"/>
    </xf>
    <xf numFmtId="0" fontId="9" fillId="4" borderId="50" xfId="0" applyFont="1" applyFill="1" applyBorder="1" applyAlignment="1">
      <alignment horizontal="center" vertical="center" wrapText="1"/>
    </xf>
    <xf numFmtId="0" fontId="9" fillId="4" borderId="23" xfId="0" applyFont="1" applyFill="1" applyBorder="1" applyAlignment="1">
      <alignment horizontal="center" vertical="center" wrapText="1"/>
    </xf>
    <xf numFmtId="0" fontId="2" fillId="4" borderId="9" xfId="0" applyFont="1" applyFill="1" applyBorder="1" applyAlignment="1"/>
    <xf numFmtId="0" fontId="9" fillId="4" borderId="9" xfId="0" applyFont="1" applyFill="1" applyBorder="1" applyAlignment="1">
      <alignment wrapText="1"/>
    </xf>
    <xf numFmtId="1" fontId="10" fillId="2" borderId="50" xfId="0" quotePrefix="1" applyNumberFormat="1" applyFont="1" applyFill="1" applyBorder="1" applyAlignment="1">
      <alignment horizontal="left" vertical="center" wrapText="1"/>
    </xf>
    <xf numFmtId="0" fontId="2" fillId="3" borderId="24" xfId="0" applyFont="1" applyFill="1" applyBorder="1" applyAlignment="1">
      <alignment horizontal="center" vertical="center" wrapText="1"/>
    </xf>
    <xf numFmtId="0" fontId="2" fillId="3" borderId="18" xfId="0" applyFont="1" applyFill="1" applyBorder="1" applyAlignment="1">
      <alignment horizontal="center" vertical="center" wrapText="1"/>
    </xf>
    <xf numFmtId="0" fontId="2" fillId="0" borderId="0" xfId="0" applyFont="1" applyBorder="1" applyAlignment="1">
      <alignment horizontal="left"/>
    </xf>
    <xf numFmtId="0" fontId="0" fillId="0" borderId="28" xfId="0" applyBorder="1" applyAlignment="1">
      <alignment horizontal="center"/>
    </xf>
    <xf numFmtId="0" fontId="0" fillId="0" borderId="50" xfId="0" applyBorder="1" applyAlignment="1">
      <alignment horizontal="center"/>
    </xf>
    <xf numFmtId="14" fontId="6" fillId="2" borderId="50" xfId="0" applyNumberFormat="1" applyFont="1" applyFill="1" applyBorder="1" applyAlignment="1">
      <alignment horizontal="left" vertical="center"/>
    </xf>
    <xf numFmtId="0" fontId="15" fillId="2" borderId="50" xfId="0" applyFont="1" applyFill="1" applyBorder="1" applyAlignment="1">
      <alignment vertical="center"/>
    </xf>
    <xf numFmtId="14" fontId="15" fillId="2" borderId="50" xfId="0" applyNumberFormat="1" applyFont="1" applyFill="1" applyBorder="1" applyAlignment="1">
      <alignment horizontal="center" vertical="center"/>
    </xf>
    <xf numFmtId="0" fontId="15" fillId="2" borderId="50" xfId="0" applyFont="1" applyFill="1" applyBorder="1" applyAlignment="1">
      <alignment horizontal="center" vertical="center"/>
    </xf>
    <xf numFmtId="1" fontId="22" fillId="0" borderId="50" xfId="0" applyNumberFormat="1" applyFont="1" applyFill="1" applyBorder="1" applyAlignment="1">
      <alignment horizontal="center" vertical="center"/>
    </xf>
    <xf numFmtId="14" fontId="15" fillId="2" borderId="9" xfId="0" applyNumberFormat="1" applyFont="1" applyFill="1" applyBorder="1" applyAlignment="1">
      <alignment horizontal="center" vertical="center"/>
    </xf>
    <xf numFmtId="0" fontId="15" fillId="2" borderId="9" xfId="0" applyFont="1" applyFill="1" applyBorder="1" applyAlignment="1">
      <alignment horizontal="center" vertical="center"/>
    </xf>
    <xf numFmtId="0" fontId="75" fillId="0" borderId="0" xfId="0" applyFont="1" applyBorder="1"/>
    <xf numFmtId="0" fontId="4" fillId="0" borderId="0" xfId="0" applyFont="1" applyBorder="1"/>
    <xf numFmtId="0" fontId="4" fillId="0" borderId="29" xfId="0" applyFont="1" applyBorder="1"/>
    <xf numFmtId="0" fontId="2" fillId="0" borderId="28" xfId="0" applyFont="1" applyBorder="1" applyAlignment="1">
      <alignment horizontal="center"/>
    </xf>
    <xf numFmtId="0" fontId="8" fillId="2" borderId="0" xfId="0" applyFont="1" applyFill="1" applyBorder="1"/>
    <xf numFmtId="0" fontId="8" fillId="0" borderId="29" xfId="0" applyFont="1" applyBorder="1"/>
    <xf numFmtId="0" fontId="9" fillId="0" borderId="29" xfId="0" applyFont="1" applyBorder="1"/>
    <xf numFmtId="17" fontId="2" fillId="0" borderId="0" xfId="0" applyNumberFormat="1" applyFont="1" applyBorder="1" applyAlignment="1">
      <alignment horizontal="center"/>
    </xf>
    <xf numFmtId="17" fontId="2" fillId="0" borderId="0" xfId="0" applyNumberFormat="1" applyFont="1" applyBorder="1"/>
    <xf numFmtId="17" fontId="2" fillId="0" borderId="29" xfId="0" applyNumberFormat="1" applyFont="1" applyBorder="1"/>
    <xf numFmtId="0" fontId="2" fillId="3" borderId="27" xfId="0" applyFont="1" applyFill="1" applyBorder="1" applyAlignment="1">
      <alignment horizontal="center" vertical="center" wrapText="1"/>
    </xf>
    <xf numFmtId="0" fontId="2" fillId="3" borderId="43" xfId="0" applyFont="1" applyFill="1" applyBorder="1" applyAlignment="1">
      <alignment horizontal="center" vertical="center" wrapText="1"/>
    </xf>
    <xf numFmtId="1" fontId="13" fillId="2" borderId="48" xfId="0" applyNumberFormat="1" applyFont="1" applyFill="1" applyBorder="1" applyAlignment="1">
      <alignment horizontal="center" vertical="center"/>
    </xf>
    <xf numFmtId="1" fontId="22" fillId="0" borderId="41" xfId="0" applyNumberFormat="1" applyFont="1" applyFill="1" applyBorder="1" applyAlignment="1">
      <alignment horizontal="center" vertical="top"/>
    </xf>
    <xf numFmtId="1" fontId="13" fillId="2" borderId="48" xfId="0" applyNumberFormat="1" applyFont="1" applyFill="1" applyBorder="1" applyAlignment="1">
      <alignment horizontal="center"/>
    </xf>
    <xf numFmtId="1" fontId="13" fillId="2" borderId="55" xfId="0" applyNumberFormat="1" applyFont="1" applyFill="1" applyBorder="1" applyAlignment="1">
      <alignment horizontal="center"/>
    </xf>
    <xf numFmtId="1" fontId="21" fillId="2" borderId="53" xfId="0" applyNumberFormat="1" applyFont="1" applyFill="1" applyBorder="1" applyAlignment="1">
      <alignment horizontal="left" vertical="top"/>
    </xf>
    <xf numFmtId="14" fontId="15" fillId="2" borderId="56" xfId="0" applyNumberFormat="1" applyFont="1" applyFill="1" applyBorder="1" applyAlignment="1"/>
    <xf numFmtId="0" fontId="15" fillId="2" borderId="56" xfId="0" applyFont="1" applyFill="1" applyBorder="1" applyAlignment="1"/>
    <xf numFmtId="1" fontId="22" fillId="0" borderId="53" xfId="0" applyNumberFormat="1" applyFont="1" applyFill="1" applyBorder="1" applyAlignment="1">
      <alignment horizontal="center" vertical="top"/>
    </xf>
    <xf numFmtId="14" fontId="22" fillId="0" borderId="53" xfId="0" applyNumberFormat="1" applyFont="1" applyFill="1" applyBorder="1" applyAlignment="1">
      <alignment horizontal="center" vertical="top"/>
    </xf>
    <xf numFmtId="1" fontId="22" fillId="0" borderId="54" xfId="0" applyNumberFormat="1" applyFont="1" applyFill="1" applyBorder="1" applyAlignment="1">
      <alignment horizontal="center" vertical="top"/>
    </xf>
    <xf numFmtId="1" fontId="22" fillId="0" borderId="21" xfId="0" applyNumberFormat="1" applyFont="1" applyFill="1" applyBorder="1" applyAlignment="1">
      <alignment horizontal="center" vertical="center"/>
    </xf>
    <xf numFmtId="0" fontId="11" fillId="2" borderId="48" xfId="0" applyFont="1" applyFill="1" applyBorder="1" applyAlignment="1">
      <alignment horizontal="center" vertical="center" wrapText="1"/>
    </xf>
    <xf numFmtId="1" fontId="15" fillId="2" borderId="50" xfId="0" applyNumberFormat="1" applyFont="1" applyFill="1" applyBorder="1" applyAlignment="1">
      <alignment horizontal="center"/>
    </xf>
    <xf numFmtId="14" fontId="0" fillId="2" borderId="50" xfId="0" applyNumberFormat="1" applyFill="1" applyBorder="1"/>
    <xf numFmtId="14" fontId="0" fillId="2" borderId="50" xfId="0" applyNumberFormat="1" applyFill="1" applyBorder="1" applyAlignment="1">
      <alignment horizontal="left"/>
    </xf>
    <xf numFmtId="0" fontId="0" fillId="2" borderId="50" xfId="0" applyFill="1" applyBorder="1" applyAlignment="1">
      <alignment horizontal="center"/>
    </xf>
    <xf numFmtId="14" fontId="0" fillId="2" borderId="50" xfId="0" applyNumberFormat="1" applyFill="1" applyBorder="1" applyAlignment="1">
      <alignment horizontal="center"/>
    </xf>
    <xf numFmtId="0" fontId="79" fillId="2" borderId="50" xfId="0" applyFont="1" applyFill="1" applyBorder="1" applyAlignment="1">
      <alignment horizontal="center"/>
    </xf>
    <xf numFmtId="1" fontId="15" fillId="2" borderId="50" xfId="0" applyNumberFormat="1" applyFont="1" applyFill="1" applyBorder="1" applyAlignment="1">
      <alignment horizontal="center" vertical="center"/>
    </xf>
    <xf numFmtId="1" fontId="22" fillId="0" borderId="50" xfId="0" applyNumberFormat="1" applyFont="1" applyFill="1" applyBorder="1" applyAlignment="1">
      <alignment horizontal="left" vertical="center"/>
    </xf>
    <xf numFmtId="15" fontId="0" fillId="2" borderId="50" xfId="0" applyNumberFormat="1" applyFill="1" applyBorder="1" applyAlignment="1">
      <alignment horizontal="left"/>
    </xf>
    <xf numFmtId="0" fontId="0" fillId="0" borderId="50" xfId="0" applyBorder="1" applyAlignment="1">
      <alignment horizontal="center"/>
    </xf>
    <xf numFmtId="168" fontId="0" fillId="2" borderId="50" xfId="0" applyNumberFormat="1" applyFill="1" applyBorder="1" applyAlignment="1">
      <alignment horizontal="center"/>
    </xf>
    <xf numFmtId="1" fontId="80" fillId="2" borderId="50" xfId="0" applyNumberFormat="1" applyFont="1" applyFill="1" applyBorder="1" applyAlignment="1">
      <alignment horizontal="center"/>
    </xf>
    <xf numFmtId="1" fontId="64" fillId="2" borderId="50" xfId="0" applyNumberFormat="1" applyFont="1" applyFill="1" applyBorder="1" applyAlignment="1">
      <alignment horizontal="left"/>
    </xf>
    <xf numFmtId="0" fontId="81" fillId="2" borderId="50" xfId="0" applyFont="1" applyFill="1" applyBorder="1" applyAlignment="1"/>
    <xf numFmtId="1" fontId="80" fillId="2" borderId="50" xfId="0" applyNumberFormat="1" applyFont="1" applyFill="1" applyBorder="1"/>
    <xf numFmtId="1" fontId="64" fillId="2" borderId="50" xfId="1" applyNumberFormat="1" applyFont="1" applyFill="1" applyBorder="1" applyAlignment="1">
      <alignment horizontal="center"/>
    </xf>
    <xf numFmtId="1" fontId="80" fillId="2" borderId="50" xfId="1" applyNumberFormat="1" applyFont="1" applyFill="1" applyBorder="1" applyAlignment="1">
      <alignment horizontal="center"/>
    </xf>
    <xf numFmtId="1" fontId="44" fillId="2" borderId="50" xfId="0" applyNumberFormat="1" applyFont="1" applyFill="1" applyBorder="1"/>
    <xf numFmtId="0" fontId="9" fillId="3" borderId="36" xfId="0" applyNumberFormat="1" applyFont="1" applyFill="1" applyBorder="1" applyAlignment="1" applyProtection="1">
      <alignment horizontal="center" vertical="top" wrapText="1"/>
    </xf>
    <xf numFmtId="0" fontId="9" fillId="3" borderId="18" xfId="0" applyNumberFormat="1" applyFont="1" applyFill="1" applyBorder="1" applyAlignment="1" applyProtection="1">
      <alignment horizontal="center" vertical="top" wrapText="1"/>
    </xf>
    <xf numFmtId="0" fontId="0" fillId="0" borderId="50" xfId="0" applyBorder="1" applyAlignment="1">
      <alignment horizontal="center"/>
    </xf>
    <xf numFmtId="0" fontId="9" fillId="0" borderId="34" xfId="0" applyNumberFormat="1" applyFont="1" applyFill="1" applyBorder="1" applyAlignment="1" applyProtection="1">
      <alignment horizontal="center" vertical="top"/>
    </xf>
    <xf numFmtId="0" fontId="9" fillId="3" borderId="34" xfId="0" applyNumberFormat="1" applyFont="1" applyFill="1" applyBorder="1" applyAlignment="1" applyProtection="1">
      <alignment horizontal="left" vertical="center" textRotation="90" wrapText="1"/>
    </xf>
    <xf numFmtId="0" fontId="9" fillId="3" borderId="18" xfId="0" applyNumberFormat="1" applyFont="1" applyFill="1" applyBorder="1" applyAlignment="1" applyProtection="1">
      <alignment horizontal="center" vertical="top" textRotation="90" wrapText="1"/>
    </xf>
    <xf numFmtId="0" fontId="8" fillId="5" borderId="50" xfId="0" applyNumberFormat="1" applyFont="1" applyFill="1" applyBorder="1" applyAlignment="1" applyProtection="1">
      <alignment vertical="top"/>
    </xf>
    <xf numFmtId="0" fontId="8" fillId="5" borderId="9" xfId="0" applyNumberFormat="1" applyFont="1" applyFill="1" applyBorder="1" applyAlignment="1" applyProtection="1">
      <alignment vertical="top"/>
    </xf>
    <xf numFmtId="17" fontId="8" fillId="0" borderId="23" xfId="0" applyNumberFormat="1" applyFont="1" applyBorder="1" applyAlignment="1">
      <alignment vertical="top"/>
    </xf>
    <xf numFmtId="14" fontId="0" fillId="0" borderId="50" xfId="0" applyNumberFormat="1" applyBorder="1" applyAlignment="1">
      <alignment horizontal="center"/>
    </xf>
    <xf numFmtId="0" fontId="0" fillId="0" borderId="50" xfId="0" applyBorder="1" applyAlignment="1">
      <alignment horizontal="center"/>
    </xf>
    <xf numFmtId="1" fontId="0" fillId="2" borderId="50" xfId="0" applyNumberFormat="1" applyFill="1" applyBorder="1" applyAlignment="1">
      <alignment horizontal="center" vertical="center"/>
    </xf>
    <xf numFmtId="0" fontId="2" fillId="3" borderId="3" xfId="0" applyFont="1" applyFill="1" applyBorder="1" applyAlignment="1">
      <alignment horizontal="center" vertical="center" wrapText="1"/>
    </xf>
    <xf numFmtId="14" fontId="0" fillId="0" borderId="50" xfId="0" applyNumberFormat="1" applyBorder="1" applyAlignment="1">
      <alignment horizontal="center"/>
    </xf>
    <xf numFmtId="0" fontId="0" fillId="0" borderId="50" xfId="0" applyBorder="1" applyAlignment="1">
      <alignment horizontal="center"/>
    </xf>
    <xf numFmtId="0" fontId="4" fillId="2" borderId="0" xfId="0" applyFont="1" applyFill="1"/>
    <xf numFmtId="0" fontId="9" fillId="2" borderId="0" xfId="0" applyFont="1" applyFill="1"/>
    <xf numFmtId="14" fontId="15" fillId="2" borderId="50" xfId="0" applyNumberFormat="1" applyFont="1" applyFill="1" applyBorder="1" applyAlignment="1">
      <alignment horizontal="left"/>
    </xf>
    <xf numFmtId="1" fontId="15" fillId="2" borderId="50" xfId="1" applyNumberFormat="1" applyFont="1" applyFill="1" applyBorder="1" applyAlignment="1">
      <alignment horizontal="center"/>
    </xf>
    <xf numFmtId="1" fontId="15" fillId="2" borderId="50" xfId="1" applyNumberFormat="1" applyFont="1" applyFill="1" applyBorder="1"/>
    <xf numFmtId="0" fontId="10" fillId="2" borderId="0" xfId="0" applyFont="1" applyFill="1" applyAlignment="1">
      <alignment vertical="center"/>
    </xf>
    <xf numFmtId="0" fontId="10" fillId="2" borderId="0" xfId="0" applyFont="1" applyFill="1" applyAlignment="1">
      <alignment horizontal="left" vertical="center"/>
    </xf>
    <xf numFmtId="0" fontId="10" fillId="2" borderId="0" xfId="0" applyFont="1" applyFill="1" applyAlignment="1">
      <alignment horizontal="left" vertical="center" wrapText="1"/>
    </xf>
    <xf numFmtId="0" fontId="10" fillId="2" borderId="0" xfId="0" applyFont="1" applyFill="1" applyAlignment="1"/>
    <xf numFmtId="0" fontId="10" fillId="2" borderId="0" xfId="0" applyFont="1" applyFill="1" applyAlignment="1">
      <alignment horizontal="center" vertical="center"/>
    </xf>
    <xf numFmtId="0" fontId="19" fillId="2" borderId="0" xfId="0" applyFont="1" applyFill="1" applyAlignment="1">
      <alignment horizontal="left" vertical="center"/>
    </xf>
    <xf numFmtId="0" fontId="10" fillId="2" borderId="0" xfId="0" applyFont="1" applyFill="1"/>
    <xf numFmtId="0" fontId="10" fillId="2" borderId="0" xfId="0" applyFont="1" applyFill="1" applyAlignment="1">
      <alignment horizontal="center"/>
    </xf>
    <xf numFmtId="0" fontId="10" fillId="2" borderId="0" xfId="0" applyFont="1" applyFill="1" applyBorder="1"/>
    <xf numFmtId="0" fontId="44" fillId="2" borderId="0" xfId="0" applyFont="1" applyFill="1" applyAlignment="1">
      <alignment horizontal="left" vertical="center"/>
    </xf>
    <xf numFmtId="0" fontId="44" fillId="2" borderId="0" xfId="0" applyFont="1" applyFill="1" applyAlignment="1"/>
    <xf numFmtId="0" fontId="44" fillId="2" borderId="0" xfId="0" applyFont="1" applyFill="1" applyAlignment="1">
      <alignment horizontal="center" vertical="center"/>
    </xf>
    <xf numFmtId="0" fontId="10" fillId="2" borderId="0" xfId="0" applyFont="1" applyFill="1" applyAlignment="1">
      <alignment horizontal="left"/>
    </xf>
    <xf numFmtId="0" fontId="44" fillId="2" borderId="0" xfId="0" applyFont="1" applyFill="1" applyAlignment="1">
      <alignment horizontal="left"/>
    </xf>
    <xf numFmtId="17" fontId="44" fillId="2" borderId="0" xfId="0" applyNumberFormat="1" applyFont="1" applyFill="1" applyAlignment="1">
      <alignment horizontal="left" vertical="center"/>
    </xf>
    <xf numFmtId="0" fontId="44" fillId="2" borderId="0" xfId="0" applyFont="1" applyFill="1" applyAlignment="1">
      <alignment horizontal="center"/>
    </xf>
    <xf numFmtId="0" fontId="44" fillId="2" borderId="50" xfId="0" applyFont="1" applyFill="1" applyBorder="1" applyAlignment="1">
      <alignment horizontal="left" vertical="center"/>
    </xf>
    <xf numFmtId="0" fontId="44" fillId="2" borderId="50" xfId="0" applyFont="1" applyFill="1" applyBorder="1" applyAlignment="1">
      <alignment horizontal="left" vertical="center" wrapText="1"/>
    </xf>
    <xf numFmtId="0" fontId="84" fillId="2" borderId="50" xfId="0" applyFont="1" applyFill="1" applyBorder="1" applyAlignment="1">
      <alignment horizontal="left" vertical="center" wrapText="1"/>
    </xf>
    <xf numFmtId="0" fontId="44" fillId="2" borderId="50" xfId="0" applyFont="1" applyFill="1" applyBorder="1" applyAlignment="1">
      <alignment horizontal="center" vertical="center"/>
    </xf>
    <xf numFmtId="0" fontId="44" fillId="2" borderId="50" xfId="0" applyFont="1" applyFill="1" applyBorder="1" applyAlignment="1">
      <alignment horizontal="center" vertical="center" wrapText="1"/>
    </xf>
    <xf numFmtId="0" fontId="10" fillId="2" borderId="0" xfId="0" applyFont="1" applyFill="1" applyBorder="1" applyAlignment="1">
      <alignment vertical="center"/>
    </xf>
    <xf numFmtId="0" fontId="10" fillId="2" borderId="51" xfId="0" applyFont="1" applyFill="1" applyBorder="1" applyAlignment="1">
      <alignment horizontal="left" vertical="center"/>
    </xf>
    <xf numFmtId="0" fontId="44" fillId="2" borderId="51" xfId="0" applyFont="1" applyFill="1" applyBorder="1" applyAlignment="1">
      <alignment horizontal="left" vertical="center" wrapText="1"/>
    </xf>
    <xf numFmtId="0" fontId="84" fillId="2" borderId="51" xfId="0" applyFont="1" applyFill="1" applyBorder="1" applyAlignment="1">
      <alignment horizontal="left" vertical="center" wrapText="1"/>
    </xf>
    <xf numFmtId="0" fontId="44" fillId="2" borderId="51" xfId="0" applyFont="1" applyFill="1" applyBorder="1" applyAlignment="1">
      <alignment horizontal="center" vertical="center"/>
    </xf>
    <xf numFmtId="0" fontId="44" fillId="2" borderId="51" xfId="0" applyFont="1" applyFill="1" applyBorder="1" applyAlignment="1">
      <alignment horizontal="center"/>
    </xf>
    <xf numFmtId="0" fontId="44" fillId="2" borderId="51" xfId="0" applyFont="1" applyFill="1" applyBorder="1" applyAlignment="1">
      <alignment horizontal="center" wrapText="1"/>
    </xf>
    <xf numFmtId="0" fontId="44" fillId="2" borderId="51" xfId="0" applyFont="1" applyFill="1" applyBorder="1" applyAlignment="1">
      <alignment horizontal="center" vertical="center" wrapText="1"/>
    </xf>
    <xf numFmtId="1" fontId="13" fillId="2" borderId="50" xfId="0" applyNumberFormat="1" applyFont="1" applyFill="1" applyBorder="1" applyAlignment="1">
      <alignment horizontal="center" vertical="center" wrapText="1"/>
    </xf>
    <xf numFmtId="0" fontId="10" fillId="2" borderId="50" xfId="0" applyFont="1" applyFill="1" applyBorder="1" applyAlignment="1">
      <alignment horizontal="left"/>
    </xf>
    <xf numFmtId="0" fontId="10" fillId="2" borderId="50" xfId="0" applyFont="1" applyFill="1" applyBorder="1" applyAlignment="1">
      <alignment horizontal="left" vertical="top" wrapText="1"/>
    </xf>
    <xf numFmtId="0" fontId="85" fillId="2" borderId="50" xfId="0" applyFont="1" applyFill="1" applyBorder="1" applyAlignment="1">
      <alignment horizontal="left"/>
    </xf>
    <xf numFmtId="1" fontId="8" fillId="2" borderId="50" xfId="0" applyNumberFormat="1" applyFont="1" applyFill="1" applyBorder="1" applyAlignment="1">
      <alignment horizontal="left" vertical="top"/>
    </xf>
    <xf numFmtId="1" fontId="10" fillId="2" borderId="50" xfId="0" applyNumberFormat="1" applyFont="1" applyFill="1" applyBorder="1" applyAlignment="1">
      <alignment horizontal="left" vertical="center"/>
    </xf>
    <xf numFmtId="1" fontId="13" fillId="2" borderId="50" xfId="0" applyNumberFormat="1" applyFont="1" applyFill="1" applyBorder="1" applyAlignment="1">
      <alignment vertical="center" wrapText="1"/>
    </xf>
    <xf numFmtId="0" fontId="13" fillId="2" borderId="0" xfId="0" applyFont="1" applyFill="1" applyBorder="1" applyAlignment="1">
      <alignment horizontal="center" vertical="center" wrapText="1"/>
    </xf>
    <xf numFmtId="0" fontId="8" fillId="2" borderId="50" xfId="0" applyFont="1" applyFill="1" applyBorder="1" applyAlignment="1">
      <alignment horizontal="left" vertical="center" wrapText="1"/>
    </xf>
    <xf numFmtId="1" fontId="8" fillId="2" borderId="50" xfId="0" applyNumberFormat="1" applyFont="1" applyFill="1" applyBorder="1" applyAlignment="1">
      <alignment horizontal="left" vertical="center" wrapText="1"/>
    </xf>
    <xf numFmtId="0" fontId="15" fillId="2" borderId="50" xfId="0" applyFont="1" applyFill="1" applyBorder="1" applyAlignment="1">
      <alignment horizontal="center"/>
    </xf>
    <xf numFmtId="0" fontId="13" fillId="2" borderId="0" xfId="0" applyFont="1" applyFill="1" applyBorder="1" applyAlignment="1">
      <alignment wrapText="1"/>
    </xf>
    <xf numFmtId="15" fontId="6" fillId="2" borderId="50" xfId="0" applyNumberFormat="1" applyFont="1" applyFill="1" applyBorder="1" applyAlignment="1">
      <alignment horizontal="left" vertical="center" wrapText="1"/>
    </xf>
    <xf numFmtId="15" fontId="13" fillId="2" borderId="50" xfId="0" applyNumberFormat="1" applyFont="1" applyFill="1" applyBorder="1" applyAlignment="1">
      <alignment horizontal="left" vertical="center" wrapText="1"/>
    </xf>
    <xf numFmtId="0" fontId="6" fillId="2" borderId="50" xfId="0" quotePrefix="1" applyFont="1" applyFill="1" applyBorder="1" applyAlignment="1">
      <alignment horizontal="left" vertical="center" wrapText="1"/>
    </xf>
    <xf numFmtId="14" fontId="8" fillId="2" borderId="0" xfId="0" applyNumberFormat="1" applyFont="1" applyFill="1" applyBorder="1" applyAlignment="1">
      <alignment horizontal="left" vertical="center"/>
    </xf>
    <xf numFmtId="1" fontId="8" fillId="2" borderId="0" xfId="0" applyNumberFormat="1" applyFont="1" applyFill="1" applyBorder="1" applyAlignment="1">
      <alignment horizontal="left" vertical="center"/>
    </xf>
    <xf numFmtId="0" fontId="10" fillId="2" borderId="0" xfId="0" applyFont="1" applyFill="1" applyBorder="1" applyAlignment="1">
      <alignment horizontal="left" vertical="center"/>
    </xf>
    <xf numFmtId="0" fontId="0" fillId="0" borderId="50" xfId="0" applyBorder="1" applyAlignment="1">
      <alignment horizontal="center"/>
    </xf>
    <xf numFmtId="14" fontId="0" fillId="0" borderId="50" xfId="0" applyNumberFormat="1" applyBorder="1" applyAlignment="1">
      <alignment horizontal="center" wrapText="1"/>
    </xf>
    <xf numFmtId="1" fontId="5" fillId="2" borderId="50" xfId="0" quotePrefix="1" applyNumberFormat="1" applyFont="1" applyFill="1" applyBorder="1" applyAlignment="1">
      <alignment horizontal="left"/>
    </xf>
    <xf numFmtId="0" fontId="0" fillId="0" borderId="50" xfId="0" applyBorder="1" applyAlignment="1">
      <alignment horizontal="center"/>
    </xf>
    <xf numFmtId="1" fontId="0" fillId="0" borderId="0" xfId="0" applyNumberFormat="1" applyAlignment="1">
      <alignment horizontal="center"/>
    </xf>
    <xf numFmtId="0" fontId="0" fillId="0" borderId="50" xfId="0" applyBorder="1" applyAlignment="1">
      <alignment horizontal="center"/>
    </xf>
    <xf numFmtId="0" fontId="0" fillId="0" borderId="0" xfId="0" applyBorder="1" applyAlignment="1">
      <alignment horizontal="center"/>
    </xf>
    <xf numFmtId="1" fontId="21" fillId="2" borderId="0" xfId="0" applyNumberFormat="1" applyFont="1" applyFill="1" applyBorder="1" applyAlignment="1">
      <alignment horizontal="left" vertical="top"/>
    </xf>
    <xf numFmtId="1" fontId="22" fillId="2" borderId="0" xfId="0" applyNumberFormat="1" applyFont="1" applyFill="1" applyBorder="1" applyAlignment="1">
      <alignment horizontal="center" vertical="top"/>
    </xf>
    <xf numFmtId="0" fontId="21" fillId="2" borderId="0" xfId="0" applyFont="1" applyFill="1" applyBorder="1" applyAlignment="1">
      <alignment horizontal="center" vertical="center"/>
    </xf>
    <xf numFmtId="0" fontId="0" fillId="2" borderId="0" xfId="0" applyFill="1" applyBorder="1" applyAlignment="1">
      <alignment horizontal="center" vertical="top"/>
    </xf>
    <xf numFmtId="0" fontId="0" fillId="0" borderId="50" xfId="0" applyBorder="1" applyAlignment="1">
      <alignment horizontal="center"/>
    </xf>
    <xf numFmtId="0" fontId="0" fillId="0" borderId="47" xfId="0" applyBorder="1"/>
    <xf numFmtId="0" fontId="79" fillId="2" borderId="51" xfId="0" applyFont="1" applyFill="1" applyBorder="1" applyAlignment="1">
      <alignment horizontal="center"/>
    </xf>
    <xf numFmtId="14" fontId="0" fillId="0" borderId="51" xfId="0" applyNumberFormat="1" applyBorder="1"/>
    <xf numFmtId="0" fontId="0" fillId="2" borderId="51" xfId="0" applyFill="1" applyBorder="1" applyAlignment="1">
      <alignment horizontal="center"/>
    </xf>
    <xf numFmtId="0" fontId="0" fillId="0" borderId="51" xfId="0" applyBorder="1"/>
    <xf numFmtId="0" fontId="0" fillId="0" borderId="42" xfId="0" applyBorder="1"/>
    <xf numFmtId="0" fontId="0" fillId="0" borderId="50" xfId="0" applyBorder="1" applyAlignment="1">
      <alignment horizontal="center"/>
    </xf>
    <xf numFmtId="0" fontId="15" fillId="2" borderId="9" xfId="0" applyFont="1" applyFill="1" applyBorder="1" applyAlignment="1">
      <alignment horizontal="left" vertical="center"/>
    </xf>
    <xf numFmtId="1" fontId="15" fillId="2" borderId="50" xfId="1" applyNumberFormat="1" applyFont="1" applyFill="1" applyBorder="1" applyAlignment="1">
      <alignment horizontal="center" vertical="center"/>
    </xf>
    <xf numFmtId="1" fontId="16" fillId="2" borderId="50" xfId="0" applyNumberFormat="1" applyFont="1" applyFill="1" applyBorder="1" applyAlignment="1">
      <alignment horizontal="left" vertical="center"/>
    </xf>
    <xf numFmtId="1" fontId="16" fillId="2" borderId="50" xfId="1" applyNumberFormat="1" applyFont="1" applyFill="1" applyBorder="1" applyAlignment="1">
      <alignment horizontal="left" vertical="center"/>
    </xf>
    <xf numFmtId="1" fontId="16" fillId="2" borderId="50" xfId="0" applyNumberFormat="1" applyFont="1" applyFill="1" applyBorder="1" applyAlignment="1">
      <alignment vertical="center" wrapText="1"/>
    </xf>
    <xf numFmtId="1" fontId="16" fillId="2" borderId="50" xfId="1" applyNumberFormat="1" applyFont="1" applyFill="1" applyBorder="1" applyAlignment="1">
      <alignment vertical="center" wrapText="1"/>
    </xf>
    <xf numFmtId="1" fontId="16" fillId="2" borderId="50" xfId="0" applyNumberFormat="1" applyFont="1" applyFill="1" applyBorder="1" applyAlignment="1">
      <alignment horizontal="left" vertical="center" wrapText="1"/>
    </xf>
    <xf numFmtId="0" fontId="79" fillId="2" borderId="50" xfId="0" applyFont="1" applyFill="1" applyBorder="1" applyAlignment="1"/>
    <xf numFmtId="1" fontId="45" fillId="2" borderId="50" xfId="1" applyNumberFormat="1" applyFont="1" applyFill="1" applyBorder="1" applyAlignment="1">
      <alignment horizontal="right" vertical="center"/>
    </xf>
    <xf numFmtId="0" fontId="0" fillId="0" borderId="50" xfId="0" applyBorder="1" applyAlignment="1">
      <alignment horizontal="center"/>
    </xf>
    <xf numFmtId="0" fontId="0" fillId="0" borderId="53" xfId="0" applyBorder="1" applyAlignment="1">
      <alignment horizontal="center"/>
    </xf>
    <xf numFmtId="0" fontId="0" fillId="0" borderId="0" xfId="0" applyAlignment="1">
      <alignment horizontal="center"/>
    </xf>
    <xf numFmtId="0" fontId="9" fillId="0" borderId="0" xfId="3" applyFont="1" applyBorder="1" applyAlignment="1">
      <alignment horizontal="center" vertical="center"/>
    </xf>
    <xf numFmtId="17" fontId="0" fillId="0" borderId="0" xfId="0" applyNumberFormat="1" applyAlignment="1">
      <alignment horizontal="left"/>
    </xf>
    <xf numFmtId="1" fontId="48" fillId="0" borderId="50" xfId="0" applyNumberFormat="1" applyFont="1" applyFill="1" applyBorder="1" applyAlignment="1">
      <alignment horizontal="left" vertical="center"/>
    </xf>
    <xf numFmtId="1" fontId="48" fillId="2" borderId="50" xfId="0" applyNumberFormat="1" applyFont="1" applyFill="1" applyBorder="1" applyAlignment="1">
      <alignment horizontal="left" vertical="center"/>
    </xf>
    <xf numFmtId="0" fontId="21" fillId="6" borderId="50" xfId="0" applyFont="1" applyFill="1" applyBorder="1" applyAlignment="1">
      <alignment horizontal="center" vertical="center"/>
    </xf>
    <xf numFmtId="0" fontId="9" fillId="0" borderId="0" xfId="3" applyFont="1" applyAlignment="1">
      <alignment horizontal="center" vertical="center"/>
    </xf>
    <xf numFmtId="0" fontId="50" fillId="0" borderId="26" xfId="0" applyFont="1" applyBorder="1" applyAlignment="1">
      <alignment vertical="center" wrapText="1"/>
    </xf>
    <xf numFmtId="0" fontId="50" fillId="0" borderId="14" xfId="0" applyFont="1" applyBorder="1" applyAlignment="1">
      <alignment vertical="center"/>
    </xf>
    <xf numFmtId="0" fontId="50" fillId="0" borderId="27" xfId="0" applyFont="1" applyBorder="1" applyAlignment="1">
      <alignment vertical="center"/>
    </xf>
    <xf numFmtId="0" fontId="2" fillId="2" borderId="28" xfId="0" applyFont="1" applyFill="1" applyBorder="1" applyAlignment="1">
      <alignment horizontal="left"/>
    </xf>
    <xf numFmtId="0" fontId="2" fillId="2" borderId="0" xfId="0" applyFont="1" applyFill="1" applyBorder="1" applyAlignment="1">
      <alignment horizontal="left"/>
    </xf>
    <xf numFmtId="0" fontId="2" fillId="0" borderId="28" xfId="0" applyFont="1" applyBorder="1" applyAlignment="1">
      <alignment horizontal="left"/>
    </xf>
    <xf numFmtId="0" fontId="2" fillId="0" borderId="0" xfId="0" applyFont="1" applyBorder="1" applyAlignment="1">
      <alignment horizontal="left"/>
    </xf>
    <xf numFmtId="0" fontId="2" fillId="3" borderId="1"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13" xfId="0" applyFont="1" applyFill="1" applyBorder="1" applyAlignment="1">
      <alignment horizontal="center" vertical="center"/>
    </xf>
    <xf numFmtId="0" fontId="2" fillId="3" borderId="24" xfId="0" applyFont="1" applyFill="1" applyBorder="1" applyAlignment="1">
      <alignment horizontal="center" vertical="center" wrapText="1"/>
    </xf>
    <xf numFmtId="0" fontId="2" fillId="3" borderId="18" xfId="0" applyFont="1" applyFill="1" applyBorder="1" applyAlignment="1">
      <alignment horizontal="center" vertical="center" wrapText="1"/>
    </xf>
    <xf numFmtId="0" fontId="44" fillId="2" borderId="50" xfId="0" applyFont="1" applyFill="1" applyBorder="1" applyAlignment="1">
      <alignment horizontal="center" vertical="center" wrapText="1"/>
    </xf>
    <xf numFmtId="0" fontId="84" fillId="2" borderId="50" xfId="0" applyFont="1" applyFill="1" applyBorder="1" applyAlignment="1">
      <alignment horizontal="left" vertical="center" wrapText="1"/>
    </xf>
    <xf numFmtId="0" fontId="44" fillId="2" borderId="50" xfId="0" applyFont="1" applyFill="1" applyBorder="1" applyAlignment="1">
      <alignment horizontal="center" vertical="center"/>
    </xf>
    <xf numFmtId="0" fontId="44" fillId="2" borderId="50" xfId="0" applyFont="1" applyFill="1" applyBorder="1" applyAlignment="1">
      <alignment horizontal="left" vertical="center" wrapText="1"/>
    </xf>
    <xf numFmtId="0" fontId="44" fillId="2" borderId="50" xfId="0" applyFont="1" applyFill="1" applyBorder="1" applyAlignment="1">
      <alignment horizontal="left" vertical="center"/>
    </xf>
    <xf numFmtId="0" fontId="44" fillId="2" borderId="0" xfId="0" applyFont="1" applyFill="1" applyAlignment="1">
      <alignment horizontal="right" vertical="center" wrapText="1"/>
    </xf>
    <xf numFmtId="0" fontId="44" fillId="2" borderId="0" xfId="0" applyFont="1" applyFill="1" applyAlignment="1">
      <alignment horizontal="left"/>
    </xf>
    <xf numFmtId="0" fontId="83" fillId="2" borderId="50" xfId="0" applyFont="1" applyFill="1" applyBorder="1" applyAlignment="1">
      <alignment horizontal="left" vertical="center" wrapText="1"/>
    </xf>
    <xf numFmtId="17" fontId="86" fillId="2" borderId="50" xfId="0" applyNumberFormat="1" applyFont="1" applyFill="1" applyBorder="1" applyAlignment="1">
      <alignment horizontal="center" vertical="center"/>
    </xf>
    <xf numFmtId="165" fontId="44" fillId="0" borderId="0" xfId="0" applyNumberFormat="1" applyFont="1" applyBorder="1" applyAlignment="1">
      <alignment horizontal="left" vertical="center" wrapText="1"/>
    </xf>
    <xf numFmtId="165" fontId="44" fillId="0" borderId="29" xfId="0" applyNumberFormat="1" applyFont="1" applyBorder="1" applyAlignment="1">
      <alignment horizontal="left" vertical="center" wrapText="1"/>
    </xf>
    <xf numFmtId="0" fontId="49" fillId="2" borderId="26" xfId="0" applyFont="1" applyFill="1" applyBorder="1" applyAlignment="1">
      <alignment horizontal="center" vertical="top" wrapText="1"/>
    </xf>
    <xf numFmtId="0" fontId="49" fillId="2" borderId="14" xfId="0" applyFont="1" applyFill="1" applyBorder="1" applyAlignment="1">
      <alignment horizontal="center" vertical="top" wrapText="1"/>
    </xf>
    <xf numFmtId="0" fontId="41" fillId="2" borderId="28" xfId="0" applyFont="1" applyFill="1" applyBorder="1" applyAlignment="1">
      <alignment horizontal="center" vertical="top" wrapText="1"/>
    </xf>
    <xf numFmtId="0" fontId="41" fillId="2" borderId="0" xfId="0" applyFont="1" applyFill="1" applyBorder="1" applyAlignment="1">
      <alignment horizontal="center" vertical="top" wrapText="1"/>
    </xf>
    <xf numFmtId="0" fontId="0" fillId="2" borderId="28" xfId="0" applyFont="1" applyFill="1" applyBorder="1" applyAlignment="1">
      <alignment horizontal="center" vertical="top" wrapText="1"/>
    </xf>
    <xf numFmtId="0" fontId="0" fillId="2" borderId="0" xfId="0" applyFont="1" applyFill="1" applyBorder="1" applyAlignment="1">
      <alignment horizontal="center" vertical="top" wrapText="1"/>
    </xf>
    <xf numFmtId="0" fontId="42" fillId="2" borderId="28" xfId="0" applyFont="1" applyFill="1" applyBorder="1" applyAlignment="1">
      <alignment horizontal="center" vertical="top" wrapText="1"/>
    </xf>
    <xf numFmtId="0" fontId="42" fillId="2" borderId="0" xfId="0" applyFont="1" applyFill="1" applyBorder="1" applyAlignment="1">
      <alignment horizontal="center" vertical="top" wrapText="1"/>
    </xf>
    <xf numFmtId="164" fontId="43" fillId="2" borderId="0" xfId="0" applyNumberFormat="1" applyFont="1" applyFill="1" applyBorder="1" applyAlignment="1">
      <alignment horizontal="center" vertical="top" wrapText="1"/>
    </xf>
    <xf numFmtId="0" fontId="47" fillId="2" borderId="25" xfId="0" applyFont="1" applyFill="1" applyBorder="1" applyAlignment="1">
      <alignment horizontal="center" vertical="top" wrapText="1"/>
    </xf>
    <xf numFmtId="0" fontId="47" fillId="2" borderId="0" xfId="0" applyFont="1" applyFill="1" applyBorder="1" applyAlignment="1">
      <alignment horizontal="center" vertical="top" wrapText="1"/>
    </xf>
    <xf numFmtId="0" fontId="46" fillId="2" borderId="28" xfId="0" applyFont="1" applyFill="1" applyBorder="1" applyAlignment="1">
      <alignment horizontal="left" vertical="top" wrapText="1"/>
    </xf>
    <xf numFmtId="0" fontId="46" fillId="2" borderId="0" xfId="0" applyFont="1" applyFill="1" applyBorder="1" applyAlignment="1">
      <alignment horizontal="left" vertical="top" wrapText="1"/>
    </xf>
    <xf numFmtId="0" fontId="0" fillId="2" borderId="28" xfId="0" applyFont="1" applyFill="1" applyBorder="1" applyAlignment="1">
      <alignment horizontal="justify" vertical="top" wrapText="1"/>
    </xf>
    <xf numFmtId="0" fontId="0" fillId="2" borderId="0" xfId="0" applyFont="1" applyFill="1" applyBorder="1" applyAlignment="1">
      <alignment horizontal="justify" vertical="top" wrapText="1"/>
    </xf>
    <xf numFmtId="0" fontId="0" fillId="0" borderId="0" xfId="0" applyAlignment="1">
      <alignment horizontal="center" wrapText="1"/>
    </xf>
    <xf numFmtId="0" fontId="0" fillId="0" borderId="0" xfId="0" applyAlignment="1">
      <alignment horizontal="center"/>
    </xf>
    <xf numFmtId="0" fontId="2" fillId="0" borderId="0" xfId="0" applyFont="1" applyAlignment="1">
      <alignment horizontal="left"/>
    </xf>
    <xf numFmtId="0" fontId="9" fillId="0" borderId="0" xfId="3" applyFont="1" applyBorder="1" applyAlignment="1">
      <alignment horizontal="center" vertical="center"/>
    </xf>
    <xf numFmtId="0" fontId="5" fillId="0" borderId="52" xfId="0" applyFont="1" applyBorder="1" applyAlignment="1">
      <alignment vertical="center" textRotation="90" wrapText="1"/>
    </xf>
    <xf numFmtId="0" fontId="5" fillId="0" borderId="20" xfId="0" applyFont="1" applyBorder="1" applyAlignment="1">
      <alignment vertical="center" textRotation="90" wrapText="1"/>
    </xf>
    <xf numFmtId="0" fontId="5" fillId="0" borderId="33" xfId="0" applyFont="1" applyBorder="1" applyAlignment="1">
      <alignment vertical="center" wrapText="1"/>
    </xf>
    <xf numFmtId="0" fontId="5" fillId="0" borderId="31" xfId="0" applyFont="1" applyBorder="1" applyAlignment="1">
      <alignment vertical="center" wrapText="1"/>
    </xf>
    <xf numFmtId="0" fontId="5" fillId="0" borderId="32" xfId="0" applyFont="1" applyBorder="1" applyAlignment="1">
      <alignment vertical="center" wrapText="1"/>
    </xf>
    <xf numFmtId="0" fontId="28" fillId="0" borderId="26" xfId="0" applyNumberFormat="1" applyFont="1" applyFill="1" applyBorder="1" applyAlignment="1" applyProtection="1">
      <alignment horizontal="center" vertical="center"/>
    </xf>
    <xf numFmtId="0" fontId="28" fillId="0" borderId="14" xfId="0" applyNumberFormat="1" applyFont="1" applyFill="1" applyBorder="1" applyAlignment="1" applyProtection="1">
      <alignment horizontal="center" vertical="center"/>
    </xf>
    <xf numFmtId="0" fontId="28" fillId="0" borderId="33" xfId="0" applyNumberFormat="1" applyFont="1" applyFill="1" applyBorder="1" applyAlignment="1" applyProtection="1">
      <alignment horizontal="center" vertical="center"/>
    </xf>
    <xf numFmtId="0" fontId="28" fillId="0" borderId="31" xfId="0" applyNumberFormat="1" applyFont="1" applyFill="1" applyBorder="1" applyAlignment="1" applyProtection="1">
      <alignment horizontal="center" vertical="center"/>
    </xf>
    <xf numFmtId="0" fontId="8" fillId="0" borderId="26" xfId="0" applyNumberFormat="1" applyFont="1" applyFill="1" applyBorder="1" applyAlignment="1" applyProtection="1">
      <alignment horizontal="center" vertical="top"/>
    </xf>
    <xf numFmtId="0" fontId="8" fillId="0" borderId="14" xfId="0" applyNumberFormat="1" applyFont="1" applyFill="1" applyBorder="1" applyAlignment="1" applyProtection="1">
      <alignment horizontal="center" vertical="top"/>
    </xf>
    <xf numFmtId="0" fontId="8" fillId="0" borderId="28" xfId="0" applyNumberFormat="1" applyFont="1" applyFill="1" applyBorder="1" applyAlignment="1" applyProtection="1">
      <alignment horizontal="left" vertical="top"/>
    </xf>
    <xf numFmtId="0" fontId="8" fillId="0" borderId="0" xfId="0" applyNumberFormat="1" applyFont="1" applyFill="1" applyBorder="1" applyAlignment="1" applyProtection="1">
      <alignment horizontal="left" vertical="top"/>
    </xf>
    <xf numFmtId="0" fontId="8" fillId="0" borderId="33" xfId="0" applyNumberFormat="1" applyFont="1" applyFill="1" applyBorder="1" applyAlignment="1" applyProtection="1">
      <alignment horizontal="left" vertical="top"/>
    </xf>
    <xf numFmtId="0" fontId="8" fillId="0" borderId="31" xfId="0" applyNumberFormat="1" applyFont="1" applyFill="1" applyBorder="1" applyAlignment="1" applyProtection="1">
      <alignment horizontal="left" vertical="top"/>
    </xf>
    <xf numFmtId="0" fontId="2" fillId="0" borderId="0" xfId="0" applyFont="1" applyAlignment="1">
      <alignment horizontal="center" wrapText="1"/>
    </xf>
    <xf numFmtId="0" fontId="2" fillId="3" borderId="1"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2" xfId="0" applyFont="1" applyFill="1" applyBorder="1" applyAlignment="1">
      <alignment horizontal="center" vertical="center" wrapText="1"/>
    </xf>
    <xf numFmtId="0" fontId="2" fillId="3" borderId="9" xfId="0" applyFont="1" applyFill="1" applyBorder="1" applyAlignment="1">
      <alignment horizontal="center" vertical="center"/>
    </xf>
    <xf numFmtId="0" fontId="2" fillId="3" borderId="9"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1" fillId="3" borderId="9"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2" fillId="3" borderId="9" xfId="0" applyFont="1" applyFill="1" applyBorder="1" applyAlignment="1">
      <alignment horizontal="center" vertical="center" wrapText="1"/>
    </xf>
    <xf numFmtId="0" fontId="2" fillId="3" borderId="2" xfId="0" applyFont="1" applyFill="1" applyBorder="1" applyAlignment="1">
      <alignment horizontal="center" vertical="center"/>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1" fontId="0" fillId="0" borderId="21" xfId="0" applyNumberFormat="1" applyBorder="1" applyAlignment="1">
      <alignment horizontal="center"/>
    </xf>
    <xf numFmtId="1" fontId="0" fillId="0" borderId="30" xfId="0" applyNumberFormat="1" applyBorder="1" applyAlignment="1">
      <alignment horizontal="center"/>
    </xf>
    <xf numFmtId="1" fontId="0" fillId="0" borderId="44" xfId="0" applyNumberFormat="1" applyBorder="1" applyAlignment="1">
      <alignment horizontal="center"/>
    </xf>
    <xf numFmtId="0" fontId="29" fillId="0" borderId="14" xfId="0" applyFont="1" applyBorder="1" applyAlignment="1">
      <alignment horizontal="center"/>
    </xf>
    <xf numFmtId="0" fontId="0" fillId="0" borderId="14" xfId="0" applyBorder="1" applyAlignment="1">
      <alignment horizontal="center"/>
    </xf>
    <xf numFmtId="0" fontId="0" fillId="0" borderId="27" xfId="0" applyBorder="1" applyAlignment="1">
      <alignment horizontal="center"/>
    </xf>
    <xf numFmtId="0" fontId="30" fillId="0" borderId="0" xfId="0" applyFont="1" applyBorder="1" applyAlignment="1">
      <alignment horizontal="center"/>
    </xf>
    <xf numFmtId="0" fontId="30" fillId="0" borderId="29" xfId="0" applyFont="1" applyBorder="1" applyAlignment="1">
      <alignment horizontal="center"/>
    </xf>
    <xf numFmtId="0" fontId="2" fillId="0" borderId="50" xfId="0" applyFont="1" applyBorder="1" applyAlignment="1">
      <alignment horizontal="left" vertical="center" wrapText="1"/>
    </xf>
    <xf numFmtId="1" fontId="2" fillId="0" borderId="50" xfId="0" applyNumberFormat="1" applyFont="1" applyBorder="1" applyAlignment="1">
      <alignment horizontal="center" vertical="center"/>
    </xf>
    <xf numFmtId="0" fontId="2" fillId="0" borderId="50" xfId="0" applyFont="1" applyBorder="1" applyAlignment="1">
      <alignment horizontal="center" vertical="center"/>
    </xf>
    <xf numFmtId="0" fontId="2" fillId="0" borderId="41" xfId="0" applyFont="1" applyBorder="1" applyAlignment="1">
      <alignment horizontal="center" vertical="center"/>
    </xf>
    <xf numFmtId="0" fontId="2" fillId="0" borderId="50" xfId="0" applyFont="1" applyBorder="1" applyAlignment="1">
      <alignment horizontal="left" vertical="center"/>
    </xf>
    <xf numFmtId="0" fontId="5" fillId="0" borderId="31" xfId="0" applyFont="1" applyBorder="1" applyAlignment="1">
      <alignment horizontal="center"/>
    </xf>
    <xf numFmtId="0" fontId="5" fillId="0" borderId="32" xfId="0" applyFont="1" applyBorder="1" applyAlignment="1">
      <alignment horizontal="center"/>
    </xf>
    <xf numFmtId="0" fontId="2" fillId="0" borderId="0" xfId="0" applyFont="1" applyBorder="1" applyAlignment="1">
      <alignment horizontal="left" vertical="top"/>
    </xf>
    <xf numFmtId="0" fontId="2" fillId="0" borderId="0" xfId="0" applyFont="1" applyBorder="1" applyAlignment="1">
      <alignment horizontal="left" vertical="center" wrapText="1"/>
    </xf>
    <xf numFmtId="0" fontId="2" fillId="0" borderId="29" xfId="0" applyFont="1" applyBorder="1" applyAlignment="1">
      <alignment horizontal="left" vertical="center" wrapText="1"/>
    </xf>
    <xf numFmtId="0" fontId="2" fillId="0" borderId="29" xfId="0" applyFont="1" applyBorder="1" applyAlignment="1">
      <alignment horizontal="left"/>
    </xf>
    <xf numFmtId="17" fontId="2" fillId="0" borderId="50" xfId="0" applyNumberFormat="1" applyFont="1" applyBorder="1" applyAlignment="1">
      <alignment horizontal="center" vertical="center"/>
    </xf>
    <xf numFmtId="14" fontId="2" fillId="0" borderId="51" xfId="0" applyNumberFormat="1" applyFont="1" applyBorder="1" applyAlignment="1">
      <alignment horizontal="center" vertical="center"/>
    </xf>
    <xf numFmtId="0" fontId="2" fillId="0" borderId="51" xfId="0" applyFont="1" applyBorder="1" applyAlignment="1">
      <alignment horizontal="center" vertical="center"/>
    </xf>
    <xf numFmtId="0" fontId="2" fillId="0" borderId="42" xfId="0" applyFont="1" applyBorder="1" applyAlignment="1">
      <alignment horizontal="center" vertical="center"/>
    </xf>
    <xf numFmtId="0" fontId="2" fillId="0" borderId="9" xfId="0" applyFont="1" applyBorder="1" applyAlignment="1">
      <alignment horizontal="left" vertical="center" wrapText="1"/>
    </xf>
    <xf numFmtId="1" fontId="2" fillId="0" borderId="9" xfId="0" applyNumberFormat="1"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3" fillId="0" borderId="26" xfId="0" applyFont="1" applyBorder="1" applyAlignment="1">
      <alignment horizontal="center"/>
    </xf>
    <xf numFmtId="0" fontId="23" fillId="0" borderId="14" xfId="0" applyFont="1" applyBorder="1" applyAlignment="1">
      <alignment horizontal="center"/>
    </xf>
    <xf numFmtId="0" fontId="23" fillId="0" borderId="27" xfId="0" applyFont="1" applyBorder="1" applyAlignment="1">
      <alignment horizontal="center"/>
    </xf>
    <xf numFmtId="0" fontId="8" fillId="0" borderId="0" xfId="0" applyFont="1" applyBorder="1" applyAlignment="1">
      <alignment horizontal="left"/>
    </xf>
    <xf numFmtId="0" fontId="8" fillId="0" borderId="28" xfId="0" applyFont="1" applyBorder="1" applyAlignment="1">
      <alignment horizontal="left" vertical="center" wrapText="1"/>
    </xf>
    <xf numFmtId="0" fontId="8" fillId="0" borderId="0" xfId="0" applyFont="1" applyBorder="1" applyAlignment="1">
      <alignment horizontal="left" vertical="center" wrapText="1"/>
    </xf>
    <xf numFmtId="0" fontId="8" fillId="0" borderId="28" xfId="0" applyFont="1" applyBorder="1" applyAlignment="1">
      <alignment horizontal="left"/>
    </xf>
    <xf numFmtId="0" fontId="0" fillId="0" borderId="28" xfId="0" applyBorder="1" applyAlignment="1">
      <alignment horizontal="center"/>
    </xf>
    <xf numFmtId="0" fontId="0" fillId="0" borderId="0" xfId="0" applyBorder="1" applyAlignment="1">
      <alignment horizontal="center"/>
    </xf>
    <xf numFmtId="0" fontId="0" fillId="0" borderId="29" xfId="0" applyBorder="1" applyAlignment="1">
      <alignment horizontal="center"/>
    </xf>
    <xf numFmtId="0" fontId="37" fillId="0" borderId="51" xfId="0" applyFont="1" applyBorder="1" applyAlignment="1">
      <alignment horizontal="center" wrapText="1"/>
    </xf>
    <xf numFmtId="0" fontId="37" fillId="0" borderId="9" xfId="0" applyFont="1" applyBorder="1" applyAlignment="1">
      <alignment horizontal="center" wrapText="1"/>
    </xf>
    <xf numFmtId="0" fontId="32" fillId="0" borderId="0" xfId="0" applyFont="1" applyAlignment="1">
      <alignment horizontal="center"/>
    </xf>
    <xf numFmtId="0" fontId="33" fillId="0" borderId="0" xfId="0" applyFont="1" applyAlignment="1">
      <alignment horizontal="center"/>
    </xf>
    <xf numFmtId="0" fontId="36" fillId="0" borderId="51" xfId="0" applyFont="1" applyBorder="1" applyAlignment="1">
      <alignment horizontal="center" vertical="center" wrapText="1"/>
    </xf>
    <xf numFmtId="0" fontId="36" fillId="0" borderId="9" xfId="0" applyFont="1" applyBorder="1" applyAlignment="1">
      <alignment horizontal="center" vertical="center" wrapText="1"/>
    </xf>
    <xf numFmtId="0" fontId="36" fillId="0" borderId="50" xfId="0" applyFont="1" applyBorder="1" applyAlignment="1">
      <alignment horizontal="center" vertical="center" wrapText="1"/>
    </xf>
    <xf numFmtId="0" fontId="36" fillId="0" borderId="50" xfId="0" applyFont="1" applyBorder="1" applyAlignment="1">
      <alignment horizontal="center" wrapText="1"/>
    </xf>
    <xf numFmtId="0" fontId="36" fillId="0" borderId="51" xfId="0" applyFont="1" applyBorder="1" applyAlignment="1">
      <alignment horizontal="center" wrapText="1"/>
    </xf>
    <xf numFmtId="0" fontId="36" fillId="0" borderId="9" xfId="0" applyFont="1" applyBorder="1" applyAlignment="1">
      <alignment horizontal="center" wrapText="1"/>
    </xf>
    <xf numFmtId="0" fontId="37" fillId="0" borderId="50" xfId="0" applyFont="1" applyBorder="1" applyAlignment="1">
      <alignment horizontal="center"/>
    </xf>
    <xf numFmtId="0" fontId="37" fillId="0" borderId="50" xfId="0" applyFont="1" applyBorder="1" applyAlignment="1">
      <alignment horizontal="center" wrapText="1"/>
    </xf>
    <xf numFmtId="0" fontId="9" fillId="3" borderId="50" xfId="0" applyNumberFormat="1" applyFont="1" applyFill="1" applyBorder="1" applyAlignment="1" applyProtection="1">
      <alignment horizontal="left" vertical="top" wrapText="1"/>
    </xf>
    <xf numFmtId="0" fontId="9" fillId="3" borderId="50" xfId="0" applyNumberFormat="1" applyFont="1" applyFill="1" applyBorder="1" applyAlignment="1" applyProtection="1">
      <alignment horizontal="center" vertical="top" wrapText="1"/>
    </xf>
    <xf numFmtId="0" fontId="23" fillId="0" borderId="50" xfId="0" applyNumberFormat="1" applyFont="1" applyFill="1" applyBorder="1" applyAlignment="1" applyProtection="1">
      <alignment horizontal="center" vertical="center"/>
    </xf>
    <xf numFmtId="0" fontId="8" fillId="0" borderId="50" xfId="0" applyNumberFormat="1" applyFont="1" applyFill="1" applyBorder="1" applyAlignment="1" applyProtection="1">
      <alignment horizontal="center" vertical="top"/>
    </xf>
    <xf numFmtId="0" fontId="8" fillId="0" borderId="15" xfId="0" applyNumberFormat="1" applyFont="1" applyFill="1" applyBorder="1" applyAlignment="1" applyProtection="1">
      <alignment horizontal="right" vertical="top"/>
    </xf>
    <xf numFmtId="0" fontId="8" fillId="0" borderId="16" xfId="0" applyNumberFormat="1" applyFont="1" applyFill="1" applyBorder="1" applyAlignment="1" applyProtection="1">
      <alignment horizontal="right" vertical="top"/>
    </xf>
    <xf numFmtId="0" fontId="8" fillId="0" borderId="17" xfId="0" applyNumberFormat="1" applyFont="1" applyFill="1" applyBorder="1" applyAlignment="1" applyProtection="1">
      <alignment horizontal="right" vertical="top"/>
    </xf>
    <xf numFmtId="0" fontId="9" fillId="3" borderId="19" xfId="0" applyNumberFormat="1" applyFont="1" applyFill="1" applyBorder="1" applyAlignment="1" applyProtection="1">
      <alignment horizontal="center" vertical="top" wrapText="1"/>
    </xf>
    <xf numFmtId="0" fontId="9" fillId="3" borderId="20" xfId="0" applyNumberFormat="1" applyFont="1" applyFill="1" applyBorder="1" applyAlignment="1" applyProtection="1">
      <alignment horizontal="center" vertical="top" wrapText="1"/>
    </xf>
    <xf numFmtId="0" fontId="26" fillId="0" borderId="50" xfId="0" applyNumberFormat="1" applyFont="1" applyFill="1" applyBorder="1" applyAlignment="1" applyProtection="1">
      <alignment horizontal="center" vertical="center"/>
    </xf>
    <xf numFmtId="0" fontId="9" fillId="3" borderId="19" xfId="0" applyNumberFormat="1" applyFont="1" applyFill="1" applyBorder="1" applyAlignment="1" applyProtection="1">
      <alignment horizontal="left" vertical="top" wrapText="1"/>
    </xf>
    <xf numFmtId="0" fontId="9" fillId="3" borderId="20" xfId="0" applyNumberFormat="1" applyFont="1" applyFill="1" applyBorder="1" applyAlignment="1" applyProtection="1">
      <alignment horizontal="left" vertical="top" wrapText="1"/>
    </xf>
    <xf numFmtId="0" fontId="9" fillId="0" borderId="21" xfId="0" applyNumberFormat="1" applyFont="1" applyFill="1" applyBorder="1" applyAlignment="1" applyProtection="1">
      <alignment horizontal="right" vertical="top"/>
    </xf>
    <xf numFmtId="0" fontId="9" fillId="0" borderId="30" xfId="0" applyNumberFormat="1" applyFont="1" applyFill="1" applyBorder="1" applyAlignment="1" applyProtection="1">
      <alignment horizontal="right" vertical="top"/>
    </xf>
    <xf numFmtId="0" fontId="9" fillId="0" borderId="23" xfId="0" applyNumberFormat="1" applyFont="1" applyFill="1" applyBorder="1" applyAlignment="1" applyProtection="1">
      <alignment horizontal="right" vertical="top"/>
    </xf>
    <xf numFmtId="0" fontId="8" fillId="0" borderId="51" xfId="0" applyNumberFormat="1" applyFont="1" applyFill="1" applyBorder="1" applyAlignment="1" applyProtection="1">
      <alignment horizontal="center" vertical="top"/>
    </xf>
    <xf numFmtId="0" fontId="9" fillId="3" borderId="9" xfId="0" applyNumberFormat="1" applyFont="1" applyFill="1" applyBorder="1" applyAlignment="1" applyProtection="1">
      <alignment horizontal="left" vertical="top" wrapText="1"/>
    </xf>
    <xf numFmtId="0" fontId="9" fillId="3" borderId="9" xfId="0" applyNumberFormat="1" applyFont="1" applyFill="1" applyBorder="1" applyAlignment="1" applyProtection="1">
      <alignment horizontal="center" vertical="top" wrapText="1"/>
    </xf>
    <xf numFmtId="0" fontId="9" fillId="3" borderId="11" xfId="0" applyNumberFormat="1" applyFont="1" applyFill="1" applyBorder="1" applyAlignment="1" applyProtection="1">
      <alignment horizontal="center" vertical="top" wrapText="1"/>
    </xf>
    <xf numFmtId="0" fontId="8" fillId="0" borderId="21" xfId="0" applyNumberFormat="1" applyFont="1" applyFill="1" applyBorder="1" applyAlignment="1" applyProtection="1">
      <alignment horizontal="right" vertical="top"/>
    </xf>
    <xf numFmtId="0" fontId="8" fillId="0" borderId="30" xfId="0" applyNumberFormat="1" applyFont="1" applyFill="1" applyBorder="1" applyAlignment="1" applyProtection="1">
      <alignment horizontal="right" vertical="top"/>
    </xf>
    <xf numFmtId="0" fontId="8" fillId="0" borderId="23" xfId="0" applyNumberFormat="1" applyFont="1" applyFill="1" applyBorder="1" applyAlignment="1" applyProtection="1">
      <alignment horizontal="right" vertical="top"/>
    </xf>
    <xf numFmtId="0" fontId="9" fillId="3" borderId="21" xfId="0" applyNumberFormat="1" applyFont="1" applyFill="1" applyBorder="1" applyAlignment="1" applyProtection="1">
      <alignment horizontal="center" vertical="top" wrapText="1"/>
    </xf>
    <xf numFmtId="0" fontId="9" fillId="3" borderId="23" xfId="0" applyNumberFormat="1" applyFont="1" applyFill="1" applyBorder="1" applyAlignment="1" applyProtection="1">
      <alignment horizontal="left" vertical="top" wrapText="1"/>
    </xf>
    <xf numFmtId="0" fontId="9" fillId="3" borderId="51" xfId="0" applyNumberFormat="1" applyFont="1" applyFill="1" applyBorder="1" applyAlignment="1" applyProtection="1">
      <alignment horizontal="center" vertical="center" textRotation="90" wrapText="1"/>
    </xf>
    <xf numFmtId="0" fontId="9" fillId="3" borderId="11" xfId="0" applyNumberFormat="1" applyFont="1" applyFill="1" applyBorder="1" applyAlignment="1" applyProtection="1">
      <alignment horizontal="center" vertical="center" textRotation="90" wrapText="1"/>
    </xf>
    <xf numFmtId="0" fontId="9" fillId="3" borderId="9" xfId="0" applyNumberFormat="1" applyFont="1" applyFill="1" applyBorder="1" applyAlignment="1" applyProtection="1">
      <alignment horizontal="center" vertical="center" textRotation="90" wrapText="1"/>
    </xf>
    <xf numFmtId="0" fontId="9" fillId="3" borderId="51" xfId="0" applyNumberFormat="1" applyFont="1" applyFill="1" applyBorder="1" applyAlignment="1" applyProtection="1">
      <alignment horizontal="center" vertical="top" textRotation="90" wrapText="1"/>
    </xf>
    <xf numFmtId="0" fontId="9" fillId="3" borderId="11" xfId="0" applyNumberFormat="1" applyFont="1" applyFill="1" applyBorder="1" applyAlignment="1" applyProtection="1">
      <alignment horizontal="center" vertical="top" textRotation="90" wrapText="1"/>
    </xf>
    <xf numFmtId="0" fontId="9" fillId="3" borderId="9" xfId="0" applyNumberFormat="1" applyFont="1" applyFill="1" applyBorder="1" applyAlignment="1" applyProtection="1">
      <alignment horizontal="center" vertical="top" textRotation="90" wrapText="1"/>
    </xf>
    <xf numFmtId="0" fontId="9" fillId="3" borderId="51" xfId="0" applyNumberFormat="1" applyFont="1" applyFill="1" applyBorder="1" applyAlignment="1" applyProtection="1">
      <alignment horizontal="center" vertical="center" textRotation="90"/>
    </xf>
    <xf numFmtId="0" fontId="9" fillId="3" borderId="11" xfId="0" applyNumberFormat="1" applyFont="1" applyFill="1" applyBorder="1" applyAlignment="1" applyProtection="1">
      <alignment horizontal="center" vertical="center" textRotation="90"/>
    </xf>
    <xf numFmtId="0" fontId="9" fillId="3" borderId="9" xfId="0" applyNumberFormat="1" applyFont="1" applyFill="1" applyBorder="1" applyAlignment="1" applyProtection="1">
      <alignment horizontal="center" vertical="center" textRotation="90"/>
    </xf>
    <xf numFmtId="0" fontId="23" fillId="0" borderId="34" xfId="0" applyNumberFormat="1" applyFont="1" applyFill="1" applyBorder="1" applyAlignment="1" applyProtection="1">
      <alignment horizontal="center" vertical="center"/>
    </xf>
    <xf numFmtId="0" fontId="23" fillId="0" borderId="35" xfId="0" applyNumberFormat="1" applyFont="1" applyFill="1" applyBorder="1" applyAlignment="1" applyProtection="1">
      <alignment horizontal="center" vertical="center"/>
    </xf>
    <xf numFmtId="0" fontId="23" fillId="0" borderId="36" xfId="0" applyNumberFormat="1" applyFont="1" applyFill="1" applyBorder="1" applyAlignment="1" applyProtection="1">
      <alignment horizontal="center" vertical="center"/>
    </xf>
    <xf numFmtId="0" fontId="23" fillId="0" borderId="13" xfId="0" applyNumberFormat="1" applyFont="1" applyFill="1" applyBorder="1" applyAlignment="1" applyProtection="1">
      <alignment horizontal="center" vertical="center"/>
    </xf>
    <xf numFmtId="0" fontId="23" fillId="0" borderId="25" xfId="0" applyNumberFormat="1" applyFont="1" applyFill="1" applyBorder="1" applyAlignment="1" applyProtection="1">
      <alignment horizontal="center" vertical="center"/>
    </xf>
    <xf numFmtId="0" fontId="23" fillId="0" borderId="18" xfId="0" applyNumberFormat="1" applyFont="1" applyFill="1" applyBorder="1" applyAlignment="1" applyProtection="1">
      <alignment horizontal="center" vertical="center"/>
    </xf>
    <xf numFmtId="0" fontId="9" fillId="0" borderId="50" xfId="0" applyNumberFormat="1" applyFont="1" applyFill="1" applyBorder="1" applyAlignment="1" applyProtection="1">
      <alignment horizontal="center" vertical="top"/>
    </xf>
    <xf numFmtId="0" fontId="8" fillId="0" borderId="50" xfId="0" applyNumberFormat="1" applyFont="1" applyFill="1" applyBorder="1" applyAlignment="1" applyProtection="1">
      <alignment horizontal="left" vertical="top"/>
    </xf>
    <xf numFmtId="0" fontId="8" fillId="0" borderId="51" xfId="0" applyNumberFormat="1" applyFont="1" applyFill="1" applyBorder="1" applyAlignment="1" applyProtection="1">
      <alignment horizontal="left" vertical="top"/>
    </xf>
    <xf numFmtId="0" fontId="9" fillId="3" borderId="34" xfId="0" applyNumberFormat="1" applyFont="1" applyFill="1" applyBorder="1" applyAlignment="1" applyProtection="1">
      <alignment horizontal="center" vertical="center" wrapText="1"/>
    </xf>
    <xf numFmtId="0" fontId="9" fillId="3" borderId="35" xfId="0" applyNumberFormat="1" applyFont="1" applyFill="1" applyBorder="1" applyAlignment="1" applyProtection="1">
      <alignment horizontal="center" vertical="center" wrapText="1"/>
    </xf>
    <xf numFmtId="0" fontId="9" fillId="3" borderId="13" xfId="0" applyNumberFormat="1" applyFont="1" applyFill="1" applyBorder="1" applyAlignment="1" applyProtection="1">
      <alignment horizontal="center" vertical="center" wrapText="1"/>
    </xf>
    <xf numFmtId="0" fontId="9" fillId="3" borderId="25" xfId="0" applyNumberFormat="1" applyFont="1" applyFill="1" applyBorder="1" applyAlignment="1" applyProtection="1">
      <alignment horizontal="center" vertical="center" wrapText="1"/>
    </xf>
    <xf numFmtId="0" fontId="9" fillId="3" borderId="23" xfId="0" applyNumberFormat="1" applyFont="1" applyFill="1" applyBorder="1" applyAlignment="1" applyProtection="1">
      <alignment horizontal="left" vertical="top" textRotation="90" wrapText="1"/>
    </xf>
    <xf numFmtId="0" fontId="9" fillId="3" borderId="50" xfId="0" applyNumberFormat="1" applyFont="1" applyFill="1" applyBorder="1" applyAlignment="1" applyProtection="1">
      <alignment horizontal="left" vertical="top" textRotation="90" wrapText="1"/>
    </xf>
    <xf numFmtId="1" fontId="2" fillId="0" borderId="21" xfId="0" applyNumberFormat="1" applyFont="1" applyBorder="1" applyAlignment="1">
      <alignment horizontal="center" vertical="center"/>
    </xf>
    <xf numFmtId="0" fontId="2" fillId="0" borderId="30" xfId="0" applyFont="1" applyBorder="1" applyAlignment="1">
      <alignment horizontal="center" vertical="center"/>
    </xf>
    <xf numFmtId="0" fontId="2" fillId="0" borderId="44" xfId="0" applyFont="1" applyBorder="1" applyAlignment="1">
      <alignment horizontal="center" vertical="center"/>
    </xf>
    <xf numFmtId="1" fontId="2" fillId="0" borderId="21" xfId="0" applyNumberFormat="1" applyFont="1" applyBorder="1" applyAlignment="1">
      <alignment horizontal="center" vertical="center" wrapText="1"/>
    </xf>
    <xf numFmtId="1" fontId="2" fillId="0" borderId="23" xfId="0" applyNumberFormat="1" applyFont="1" applyBorder="1" applyAlignment="1">
      <alignment horizontal="center" vertical="center" wrapText="1"/>
    </xf>
    <xf numFmtId="1" fontId="2" fillId="0" borderId="44" xfId="0" applyNumberFormat="1" applyFont="1" applyBorder="1" applyAlignment="1">
      <alignment horizontal="center" vertical="center" wrapText="1"/>
    </xf>
    <xf numFmtId="0" fontId="0" fillId="0" borderId="21" xfId="0" applyBorder="1" applyAlignment="1">
      <alignment horizontal="center"/>
    </xf>
    <xf numFmtId="0" fontId="0" fillId="0" borderId="23" xfId="0" applyBorder="1" applyAlignment="1">
      <alignment horizontal="center"/>
    </xf>
    <xf numFmtId="14" fontId="2" fillId="0" borderId="50" xfId="0" applyNumberFormat="1" applyFont="1" applyBorder="1" applyAlignment="1">
      <alignment horizontal="center" vertical="center"/>
    </xf>
    <xf numFmtId="1" fontId="2" fillId="0" borderId="21" xfId="0" applyNumberFormat="1" applyFont="1" applyBorder="1" applyAlignment="1">
      <alignment horizontal="center"/>
    </xf>
    <xf numFmtId="1" fontId="2" fillId="0" borderId="30" xfId="0" applyNumberFormat="1" applyFont="1" applyBorder="1" applyAlignment="1">
      <alignment horizontal="center"/>
    </xf>
    <xf numFmtId="1" fontId="2" fillId="0" borderId="44" xfId="0" applyNumberFormat="1" applyFont="1" applyBorder="1" applyAlignment="1">
      <alignment horizontal="center"/>
    </xf>
    <xf numFmtId="1" fontId="2" fillId="0" borderId="0" xfId="0" applyNumberFormat="1" applyFont="1" applyBorder="1" applyAlignment="1">
      <alignment horizontal="center" vertical="center"/>
    </xf>
    <xf numFmtId="0" fontId="2" fillId="0" borderId="0" xfId="0" applyFont="1" applyBorder="1" applyAlignment="1">
      <alignment horizontal="center" vertical="center"/>
    </xf>
    <xf numFmtId="0" fontId="0" fillId="0" borderId="44" xfId="0" applyBorder="1" applyAlignment="1">
      <alignment horizontal="center"/>
    </xf>
    <xf numFmtId="0" fontId="2" fillId="0" borderId="0" xfId="0" applyFont="1" applyBorder="1" applyAlignment="1">
      <alignment horizontal="left" vertical="center"/>
    </xf>
    <xf numFmtId="14" fontId="2" fillId="0" borderId="0" xfId="0" applyNumberFormat="1" applyFont="1" applyBorder="1" applyAlignment="1">
      <alignment horizontal="center" vertical="center"/>
    </xf>
    <xf numFmtId="0" fontId="5" fillId="0" borderId="0" xfId="0" applyFont="1" applyBorder="1" applyAlignment="1">
      <alignment horizontal="center"/>
    </xf>
    <xf numFmtId="17" fontId="2" fillId="0" borderId="0" xfId="0" applyNumberFormat="1" applyFont="1" applyBorder="1" applyAlignment="1">
      <alignment horizontal="center" vertical="center"/>
    </xf>
    <xf numFmtId="0" fontId="29" fillId="0" borderId="0" xfId="0" applyFont="1" applyBorder="1" applyAlignment="1">
      <alignment horizontal="center"/>
    </xf>
    <xf numFmtId="0" fontId="0" fillId="0" borderId="30" xfId="0" applyBorder="1" applyAlignment="1">
      <alignment horizontal="center"/>
    </xf>
    <xf numFmtId="1" fontId="2" fillId="0" borderId="30" xfId="0" applyNumberFormat="1" applyFont="1" applyBorder="1" applyAlignment="1">
      <alignment horizontal="center" vertical="center" wrapText="1"/>
    </xf>
    <xf numFmtId="0" fontId="54" fillId="0" borderId="0" xfId="0" applyFont="1" applyBorder="1" applyAlignment="1">
      <alignment horizontal="center"/>
    </xf>
    <xf numFmtId="0" fontId="54" fillId="0" borderId="29" xfId="0" applyFont="1" applyBorder="1" applyAlignment="1">
      <alignment horizontal="center"/>
    </xf>
    <xf numFmtId="0" fontId="5" fillId="0" borderId="29" xfId="0" applyFont="1" applyBorder="1" applyAlignment="1">
      <alignment horizontal="center"/>
    </xf>
    <xf numFmtId="0" fontId="2" fillId="0" borderId="21" xfId="0" applyFont="1" applyBorder="1" applyAlignment="1">
      <alignment horizontal="center" vertical="center"/>
    </xf>
    <xf numFmtId="0" fontId="2" fillId="0" borderId="23" xfId="0" applyFont="1" applyBorder="1" applyAlignment="1">
      <alignment horizontal="center" vertical="center"/>
    </xf>
    <xf numFmtId="0" fontId="2" fillId="0" borderId="21" xfId="0" applyFont="1" applyBorder="1" applyAlignment="1">
      <alignment horizontal="center"/>
    </xf>
    <xf numFmtId="0" fontId="2" fillId="0" borderId="30" xfId="0" applyFont="1" applyBorder="1" applyAlignment="1">
      <alignment horizontal="center"/>
    </xf>
    <xf numFmtId="0" fontId="2" fillId="0" borderId="44" xfId="0" applyFont="1" applyBorder="1" applyAlignment="1">
      <alignment horizontal="center"/>
    </xf>
    <xf numFmtId="1" fontId="2" fillId="0" borderId="30" xfId="0" applyNumberFormat="1" applyFont="1" applyBorder="1" applyAlignment="1">
      <alignment horizontal="left" vertical="center" wrapText="1"/>
    </xf>
    <xf numFmtId="1" fontId="2" fillId="0" borderId="44" xfId="0" applyNumberFormat="1" applyFont="1" applyBorder="1" applyAlignment="1">
      <alignment horizontal="left" vertical="center" wrapText="1"/>
    </xf>
    <xf numFmtId="0" fontId="55" fillId="2" borderId="21" xfId="0" applyFont="1" applyFill="1" applyBorder="1" applyAlignment="1" applyProtection="1">
      <alignment horizontal="center" vertical="center"/>
    </xf>
    <xf numFmtId="0" fontId="55" fillId="2" borderId="30" xfId="0" applyFont="1" applyFill="1" applyBorder="1" applyAlignment="1" applyProtection="1">
      <alignment horizontal="center" vertical="center"/>
    </xf>
    <xf numFmtId="0" fontId="55" fillId="2" borderId="44" xfId="0" applyFont="1" applyFill="1" applyBorder="1" applyAlignment="1" applyProtection="1">
      <alignment horizontal="center" vertical="center"/>
    </xf>
    <xf numFmtId="0" fontId="0" fillId="0" borderId="21" xfId="0" applyFont="1" applyBorder="1" applyAlignment="1">
      <alignment horizontal="left"/>
    </xf>
    <xf numFmtId="0" fontId="0" fillId="0" borderId="30" xfId="0" applyFont="1" applyBorder="1" applyAlignment="1">
      <alignment horizontal="left"/>
    </xf>
    <xf numFmtId="0" fontId="2" fillId="0" borderId="21" xfId="0" applyFont="1" applyBorder="1" applyAlignment="1">
      <alignment horizontal="left"/>
    </xf>
    <xf numFmtId="0" fontId="2" fillId="0" borderId="30" xfId="0" applyFont="1" applyBorder="1" applyAlignment="1">
      <alignment horizontal="left"/>
    </xf>
    <xf numFmtId="0" fontId="2" fillId="0" borderId="44" xfId="0" applyFont="1" applyBorder="1" applyAlignment="1">
      <alignment horizontal="left"/>
    </xf>
    <xf numFmtId="0" fontId="55" fillId="2" borderId="23" xfId="0" applyFont="1" applyFill="1" applyBorder="1" applyAlignment="1" applyProtection="1">
      <alignment horizontal="center" vertical="center"/>
    </xf>
    <xf numFmtId="1" fontId="2" fillId="0" borderId="0" xfId="0" applyNumberFormat="1" applyFont="1" applyBorder="1" applyAlignment="1">
      <alignment horizontal="center" vertical="center" wrapText="1"/>
    </xf>
    <xf numFmtId="1" fontId="2" fillId="0" borderId="29" xfId="0" applyNumberFormat="1" applyFont="1" applyBorder="1" applyAlignment="1">
      <alignment horizontal="center" vertical="center" wrapText="1"/>
    </xf>
    <xf numFmtId="0" fontId="66" fillId="0" borderId="0" xfId="0" applyFont="1" applyBorder="1" applyAlignment="1">
      <alignment vertical="center" wrapText="1"/>
    </xf>
    <xf numFmtId="0" fontId="66" fillId="0" borderId="29" xfId="0" applyFont="1" applyBorder="1" applyAlignment="1">
      <alignment vertical="center" wrapText="1"/>
    </xf>
    <xf numFmtId="0" fontId="0" fillId="0" borderId="0" xfId="0" applyBorder="1" applyAlignment="1">
      <alignment horizontal="right"/>
    </xf>
    <xf numFmtId="1" fontId="63" fillId="2" borderId="0" xfId="0" applyNumberFormat="1" applyFont="1" applyFill="1" applyBorder="1" applyAlignment="1" applyProtection="1">
      <alignment horizontal="center" vertical="center"/>
    </xf>
    <xf numFmtId="0" fontId="63" fillId="2" borderId="0" xfId="0" applyFont="1" applyFill="1" applyBorder="1" applyAlignment="1" applyProtection="1">
      <alignment horizontal="center" vertical="center"/>
    </xf>
    <xf numFmtId="0" fontId="0" fillId="0" borderId="0" xfId="0" applyFont="1" applyBorder="1" applyAlignment="1">
      <alignment horizontal="left"/>
    </xf>
    <xf numFmtId="0" fontId="0" fillId="0" borderId="29" xfId="0" applyFont="1" applyBorder="1" applyAlignment="1">
      <alignment horizontal="left"/>
    </xf>
    <xf numFmtId="0" fontId="60" fillId="0" borderId="0" xfId="0" applyFont="1" applyBorder="1" applyAlignment="1">
      <alignment horizontal="center"/>
    </xf>
    <xf numFmtId="0" fontId="60" fillId="0" borderId="29" xfId="0" applyFont="1" applyBorder="1" applyAlignment="1">
      <alignment horizontal="center"/>
    </xf>
    <xf numFmtId="0" fontId="55" fillId="2" borderId="34" xfId="0" applyFont="1" applyFill="1" applyBorder="1" applyAlignment="1" applyProtection="1">
      <alignment vertical="center"/>
    </xf>
    <xf numFmtId="0" fontId="55" fillId="2" borderId="35" xfId="0" applyFont="1" applyFill="1" applyBorder="1" applyAlignment="1" applyProtection="1">
      <alignment vertical="center"/>
    </xf>
    <xf numFmtId="0" fontId="55" fillId="2" borderId="34" xfId="0" applyFont="1" applyFill="1" applyBorder="1" applyAlignment="1" applyProtection="1">
      <alignment horizontal="center" vertical="center"/>
    </xf>
    <xf numFmtId="0" fontId="55" fillId="2" borderId="35" xfId="0" applyFont="1" applyFill="1" applyBorder="1" applyAlignment="1" applyProtection="1">
      <alignment horizontal="center" vertical="center"/>
    </xf>
    <xf numFmtId="0" fontId="55" fillId="2" borderId="45" xfId="0" applyFont="1" applyFill="1" applyBorder="1" applyAlignment="1" applyProtection="1">
      <alignment horizontal="center" vertical="center"/>
    </xf>
    <xf numFmtId="0" fontId="55" fillId="2" borderId="13" xfId="0" applyFont="1" applyFill="1" applyBorder="1" applyAlignment="1" applyProtection="1">
      <alignment horizontal="center" vertical="center"/>
    </xf>
    <xf numFmtId="0" fontId="55" fillId="2" borderId="25" xfId="0" applyFont="1" applyFill="1" applyBorder="1" applyAlignment="1" applyProtection="1">
      <alignment horizontal="center" vertical="center"/>
    </xf>
    <xf numFmtId="0" fontId="55" fillId="2" borderId="43" xfId="0" applyFont="1" applyFill="1" applyBorder="1" applyAlignment="1" applyProtection="1">
      <alignment horizontal="center" vertical="center"/>
    </xf>
    <xf numFmtId="0" fontId="0" fillId="0" borderId="28" xfId="0" applyBorder="1" applyAlignment="1">
      <alignment horizontal="left" vertical="center" wrapText="1"/>
    </xf>
    <xf numFmtId="0" fontId="0" fillId="0" borderId="0" xfId="0" applyBorder="1" applyAlignment="1">
      <alignment horizontal="left" vertical="center" wrapText="1"/>
    </xf>
    <xf numFmtId="0" fontId="0" fillId="0" borderId="29" xfId="0" applyBorder="1" applyAlignment="1">
      <alignment horizontal="left" vertical="center" wrapText="1"/>
    </xf>
    <xf numFmtId="0" fontId="48" fillId="0" borderId="0" xfId="0" applyFont="1" applyBorder="1" applyAlignment="1">
      <alignment horizontal="left"/>
    </xf>
    <xf numFmtId="0" fontId="48" fillId="0" borderId="29" xfId="0" applyFont="1" applyBorder="1" applyAlignment="1">
      <alignment horizontal="left"/>
    </xf>
    <xf numFmtId="0" fontId="8" fillId="0" borderId="28" xfId="0" applyFont="1" applyBorder="1" applyAlignment="1">
      <alignment horizontal="left" vertical="center"/>
    </xf>
    <xf numFmtId="0" fontId="8" fillId="0" borderId="0" xfId="0" applyFont="1" applyBorder="1" applyAlignment="1">
      <alignment horizontal="left" vertical="center"/>
    </xf>
    <xf numFmtId="0" fontId="8" fillId="0" borderId="29" xfId="0" applyFont="1" applyBorder="1" applyAlignment="1">
      <alignment horizontal="left" vertical="center"/>
    </xf>
    <xf numFmtId="0" fontId="9" fillId="0" borderId="0" xfId="0" applyFont="1" applyBorder="1" applyAlignment="1">
      <alignment horizontal="left" vertical="center" wrapText="1"/>
    </xf>
    <xf numFmtId="0" fontId="9" fillId="0" borderId="29" xfId="0" applyFont="1" applyBorder="1" applyAlignment="1">
      <alignment horizontal="left" vertical="center" wrapText="1"/>
    </xf>
    <xf numFmtId="0" fontId="48" fillId="0" borderId="28" xfId="0" applyFont="1" applyBorder="1" applyAlignment="1">
      <alignment horizontal="center"/>
    </xf>
    <xf numFmtId="0" fontId="48" fillId="0" borderId="0" xfId="0" applyFont="1" applyBorder="1" applyAlignment="1">
      <alignment horizontal="center"/>
    </xf>
    <xf numFmtId="0" fontId="48" fillId="0" borderId="29" xfId="0" applyFont="1" applyBorder="1" applyAlignment="1">
      <alignment horizontal="center"/>
    </xf>
    <xf numFmtId="0" fontId="27" fillId="0" borderId="28" xfId="0" applyFont="1" applyBorder="1" applyAlignment="1">
      <alignment horizontal="left"/>
    </xf>
    <xf numFmtId="0" fontId="27" fillId="0" borderId="0" xfId="0" applyFont="1" applyBorder="1" applyAlignment="1">
      <alignment horizontal="left"/>
    </xf>
    <xf numFmtId="0" fontId="27" fillId="0" borderId="29" xfId="0" applyFont="1" applyBorder="1" applyAlignment="1">
      <alignment horizontal="left"/>
    </xf>
    <xf numFmtId="0" fontId="27" fillId="0" borderId="48" xfId="0" applyFont="1" applyBorder="1" applyAlignment="1">
      <alignment horizontal="left"/>
    </xf>
    <xf numFmtId="0" fontId="27" fillId="0" borderId="50" xfId="0" applyFont="1" applyBorder="1" applyAlignment="1">
      <alignment horizontal="left"/>
    </xf>
    <xf numFmtId="0" fontId="0" fillId="0" borderId="50" xfId="0" applyBorder="1" applyAlignment="1">
      <alignment horizontal="center"/>
    </xf>
    <xf numFmtId="0" fontId="0" fillId="0" borderId="41" xfId="0" applyBorder="1" applyAlignment="1">
      <alignment horizontal="center"/>
    </xf>
    <xf numFmtId="0" fontId="27" fillId="0" borderId="28" xfId="0" applyFont="1" applyBorder="1" applyAlignment="1">
      <alignment horizontal="justify" vertical="justify" wrapText="1"/>
    </xf>
    <xf numFmtId="0" fontId="27" fillId="0" borderId="0" xfId="0" applyFont="1" applyBorder="1" applyAlignment="1">
      <alignment horizontal="justify" vertical="justify" wrapText="1"/>
    </xf>
    <xf numFmtId="0" fontId="27" fillId="0" borderId="29" xfId="0" applyFont="1" applyBorder="1" applyAlignment="1">
      <alignment horizontal="justify" vertical="justify" wrapText="1"/>
    </xf>
    <xf numFmtId="0" fontId="69" fillId="0" borderId="26" xfId="0" applyFont="1" applyBorder="1" applyAlignment="1">
      <alignment horizontal="center"/>
    </xf>
    <xf numFmtId="0" fontId="69" fillId="0" borderId="14" xfId="0" applyFont="1" applyBorder="1" applyAlignment="1">
      <alignment horizontal="center"/>
    </xf>
    <xf numFmtId="0" fontId="69" fillId="0" borderId="27" xfId="0" applyFont="1" applyBorder="1" applyAlignment="1">
      <alignment horizontal="center"/>
    </xf>
    <xf numFmtId="0" fontId="70" fillId="0" borderId="28" xfId="0" applyFont="1" applyBorder="1" applyAlignment="1">
      <alignment horizontal="center"/>
    </xf>
    <xf numFmtId="0" fontId="70" fillId="0" borderId="0" xfId="0" applyFont="1" applyBorder="1" applyAlignment="1">
      <alignment horizontal="center"/>
    </xf>
    <xf numFmtId="0" fontId="70" fillId="0" borderId="29" xfId="0" applyFont="1" applyBorder="1" applyAlignment="1">
      <alignment horizontal="center"/>
    </xf>
    <xf numFmtId="0" fontId="71" fillId="0" borderId="28" xfId="0" applyFont="1" applyBorder="1" applyAlignment="1">
      <alignment horizontal="center"/>
    </xf>
    <xf numFmtId="0" fontId="71" fillId="0" borderId="0" xfId="0" applyFont="1" applyBorder="1" applyAlignment="1">
      <alignment horizontal="center"/>
    </xf>
    <xf numFmtId="0" fontId="71" fillId="0" borderId="29" xfId="0" applyFont="1" applyBorder="1" applyAlignment="1">
      <alignment horizontal="center"/>
    </xf>
    <xf numFmtId="1" fontId="0" fillId="0" borderId="50" xfId="0" applyNumberFormat="1" applyBorder="1" applyAlignment="1">
      <alignment horizontal="center"/>
    </xf>
    <xf numFmtId="14" fontId="0" fillId="0" borderId="50" xfId="0" applyNumberFormat="1" applyBorder="1" applyAlignment="1">
      <alignment horizontal="center"/>
    </xf>
    <xf numFmtId="0" fontId="0" fillId="0" borderId="0" xfId="0" applyBorder="1" applyAlignment="1">
      <alignment horizontal="center" vertical="center"/>
    </xf>
    <xf numFmtId="0" fontId="0" fillId="0" borderId="0" xfId="0" applyBorder="1" applyAlignment="1">
      <alignment horizontal="center" wrapText="1"/>
    </xf>
    <xf numFmtId="0" fontId="28" fillId="0" borderId="0" xfId="0" applyFont="1" applyBorder="1" applyAlignment="1">
      <alignment horizontal="center"/>
    </xf>
    <xf numFmtId="0" fontId="9" fillId="0" borderId="0" xfId="0" applyFont="1" applyBorder="1" applyAlignment="1">
      <alignment horizontal="left"/>
    </xf>
    <xf numFmtId="0" fontId="0" fillId="0" borderId="49" xfId="0" applyBorder="1" applyAlignment="1">
      <alignment horizontal="center" vertical="center" wrapText="1"/>
    </xf>
    <xf numFmtId="0" fontId="0" fillId="0" borderId="48" xfId="0" applyBorder="1" applyAlignment="1">
      <alignment horizontal="center" vertical="center" wrapText="1"/>
    </xf>
    <xf numFmtId="0" fontId="0" fillId="0" borderId="12" xfId="0" applyBorder="1" applyAlignment="1">
      <alignment horizontal="center" vertical="center" wrapText="1"/>
    </xf>
    <xf numFmtId="0" fontId="0" fillId="0" borderId="50" xfId="0" applyBorder="1" applyAlignment="1">
      <alignment horizontal="center" vertical="center" wrapText="1"/>
    </xf>
    <xf numFmtId="0" fontId="0" fillId="0" borderId="46" xfId="0" applyBorder="1" applyAlignment="1">
      <alignment horizontal="center" vertical="center" wrapText="1"/>
    </xf>
    <xf numFmtId="0" fontId="0" fillId="0" borderId="41" xfId="0" applyBorder="1" applyAlignment="1">
      <alignment horizontal="center" vertical="center" wrapText="1"/>
    </xf>
    <xf numFmtId="0" fontId="72" fillId="0" borderId="50" xfId="0" applyFont="1" applyBorder="1" applyAlignment="1">
      <alignment horizontal="center"/>
    </xf>
    <xf numFmtId="0" fontId="0" fillId="0" borderId="31" xfId="0" applyBorder="1" applyAlignment="1">
      <alignment horizontal="center"/>
    </xf>
  </cellXfs>
  <cellStyles count="9">
    <cellStyle name="Comma" xfId="8" builtinId="3"/>
    <cellStyle name="Comma 2" xfId="1" xr:uid="{00000000-0005-0000-0000-000001000000}"/>
    <cellStyle name="Excel Built-in Normal 1" xfId="6" xr:uid="{00000000-0005-0000-0000-000002000000}"/>
    <cellStyle name="Excel Built-in Normal 2" xfId="7" xr:uid="{00000000-0005-0000-0000-000003000000}"/>
    <cellStyle name="Normal" xfId="0" builtinId="0"/>
    <cellStyle name="Normal 2" xfId="3" xr:uid="{00000000-0005-0000-0000-000005000000}"/>
    <cellStyle name="Normal 4 3 3 2 2" xfId="2" xr:uid="{00000000-0005-0000-0000-000006000000}"/>
    <cellStyle name="Normal 4 3 3 2 2 2" xfId="4" xr:uid="{00000000-0005-0000-0000-000007000000}"/>
    <cellStyle name="Percent" xfId="5"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emf"/></Relationships>
</file>

<file path=xl/drawings/_rels/drawing13.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14</xdr:col>
      <xdr:colOff>361950</xdr:colOff>
      <xdr:row>12</xdr:row>
      <xdr:rowOff>9526</xdr:rowOff>
    </xdr:from>
    <xdr:to>
      <xdr:col>14</xdr:col>
      <xdr:colOff>1228725</xdr:colOff>
      <xdr:row>12</xdr:row>
      <xdr:rowOff>418382</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449300" y="4581526"/>
          <a:ext cx="866775" cy="408856"/>
        </a:xfrm>
        <a:prstGeom prst="rect">
          <a:avLst/>
        </a:prstGeom>
      </xdr:spPr>
    </xdr:pic>
    <xdr:clientData/>
  </xdr:twoCellAnchor>
  <xdr:twoCellAnchor editAs="oneCell">
    <xdr:from>
      <xdr:col>14</xdr:col>
      <xdr:colOff>352425</xdr:colOff>
      <xdr:row>13</xdr:row>
      <xdr:rowOff>57150</xdr:rowOff>
    </xdr:from>
    <xdr:to>
      <xdr:col>14</xdr:col>
      <xdr:colOff>1209675</xdr:colOff>
      <xdr:row>13</xdr:row>
      <xdr:rowOff>418097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439775" y="5057775"/>
          <a:ext cx="857250" cy="360947"/>
        </a:xfrm>
        <a:prstGeom prst="rect">
          <a:avLst/>
        </a:prstGeom>
      </xdr:spPr>
    </xdr:pic>
    <xdr:clientData/>
  </xdr:twoCellAnchor>
  <xdr:twoCellAnchor editAs="oneCell">
    <xdr:from>
      <xdr:col>14</xdr:col>
      <xdr:colOff>152400</xdr:colOff>
      <xdr:row>17</xdr:row>
      <xdr:rowOff>266700</xdr:rowOff>
    </xdr:from>
    <xdr:to>
      <xdr:col>15</xdr:col>
      <xdr:colOff>741383</xdr:colOff>
      <xdr:row>24</xdr:row>
      <xdr:rowOff>180975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239750" y="6638925"/>
          <a:ext cx="2360633" cy="13430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266700</xdr:colOff>
      <xdr:row>20</xdr:row>
      <xdr:rowOff>238125</xdr:rowOff>
    </xdr:from>
    <xdr:to>
      <xdr:col>23</xdr:col>
      <xdr:colOff>168976</xdr:colOff>
      <xdr:row>23</xdr:row>
      <xdr:rowOff>254721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72175" y="6124575"/>
          <a:ext cx="1902526" cy="9595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31</xdr:row>
      <xdr:rowOff>0</xdr:rowOff>
    </xdr:from>
    <xdr:to>
      <xdr:col>11</xdr:col>
      <xdr:colOff>188026</xdr:colOff>
      <xdr:row>36</xdr:row>
      <xdr:rowOff>7071</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62750" y="9420225"/>
          <a:ext cx="1902526" cy="959571"/>
        </a:xfrm>
        <a:prstGeom prst="rect">
          <a:avLst/>
        </a:prstGeom>
      </xdr:spPr>
    </xdr:pic>
    <xdr:clientData/>
  </xdr:twoCellAnchor>
  <xdr:twoCellAnchor editAs="oneCell">
    <xdr:from>
      <xdr:col>8</xdr:col>
      <xdr:colOff>85725</xdr:colOff>
      <xdr:row>77</xdr:row>
      <xdr:rowOff>142875</xdr:rowOff>
    </xdr:from>
    <xdr:to>
      <xdr:col>10</xdr:col>
      <xdr:colOff>552450</xdr:colOff>
      <xdr:row>84</xdr:row>
      <xdr:rowOff>95250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53150" y="19659600"/>
          <a:ext cx="2076450" cy="12858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19</xdr:col>
      <xdr:colOff>857250</xdr:colOff>
      <xdr:row>20</xdr:row>
      <xdr:rowOff>171450</xdr:rowOff>
    </xdr:from>
    <xdr:to>
      <xdr:col>22</xdr:col>
      <xdr:colOff>321376</xdr:colOff>
      <xdr:row>25</xdr:row>
      <xdr:rowOff>130896</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887825" y="5924550"/>
          <a:ext cx="1902526" cy="95957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40</xdr:row>
      <xdr:rowOff>0</xdr:rowOff>
    </xdr:from>
    <xdr:to>
      <xdr:col>9</xdr:col>
      <xdr:colOff>84117</xdr:colOff>
      <xdr:row>45</xdr:row>
      <xdr:rowOff>7071</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36818" y="10962409"/>
          <a:ext cx="1902526" cy="959571"/>
        </a:xfrm>
        <a:prstGeom prst="rect">
          <a:avLst/>
        </a:prstGeom>
      </xdr:spPr>
    </xdr:pic>
    <xdr:clientData/>
  </xdr:twoCellAnchor>
  <xdr:twoCellAnchor editAs="oneCell">
    <xdr:from>
      <xdr:col>6</xdr:col>
      <xdr:colOff>0</xdr:colOff>
      <xdr:row>95</xdr:row>
      <xdr:rowOff>0</xdr:rowOff>
    </xdr:from>
    <xdr:to>
      <xdr:col>9</xdr:col>
      <xdr:colOff>84117</xdr:colOff>
      <xdr:row>100</xdr:row>
      <xdr:rowOff>7071</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36818" y="24790977"/>
          <a:ext cx="1902526" cy="95957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0</xdr:colOff>
      <xdr:row>33</xdr:row>
      <xdr:rowOff>0</xdr:rowOff>
    </xdr:from>
    <xdr:to>
      <xdr:col>7</xdr:col>
      <xdr:colOff>73726</xdr:colOff>
      <xdr:row>38</xdr:row>
      <xdr:rowOff>7071</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24100" y="6486525"/>
          <a:ext cx="1902526" cy="959571"/>
        </a:xfrm>
        <a:prstGeom prst="rect">
          <a:avLst/>
        </a:prstGeom>
      </xdr:spPr>
    </xdr:pic>
    <xdr:clientData/>
  </xdr:twoCellAnchor>
  <xdr:twoCellAnchor editAs="oneCell">
    <xdr:from>
      <xdr:col>13</xdr:col>
      <xdr:colOff>0</xdr:colOff>
      <xdr:row>33</xdr:row>
      <xdr:rowOff>0</xdr:rowOff>
    </xdr:from>
    <xdr:to>
      <xdr:col>16</xdr:col>
      <xdr:colOff>73726</xdr:colOff>
      <xdr:row>38</xdr:row>
      <xdr:rowOff>7071</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86675" y="6486525"/>
          <a:ext cx="1902526" cy="959571"/>
        </a:xfrm>
        <a:prstGeom prst="rect">
          <a:avLst/>
        </a:prstGeom>
      </xdr:spPr>
    </xdr:pic>
    <xdr:clientData/>
  </xdr:twoCellAnchor>
  <xdr:twoCellAnchor editAs="oneCell">
    <xdr:from>
      <xdr:col>3</xdr:col>
      <xdr:colOff>0</xdr:colOff>
      <xdr:row>76</xdr:row>
      <xdr:rowOff>0</xdr:rowOff>
    </xdr:from>
    <xdr:to>
      <xdr:col>6</xdr:col>
      <xdr:colOff>73726</xdr:colOff>
      <xdr:row>81</xdr:row>
      <xdr:rowOff>7071</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4500" y="14839950"/>
          <a:ext cx="1902526" cy="959571"/>
        </a:xfrm>
        <a:prstGeom prst="rect">
          <a:avLst/>
        </a:prstGeom>
      </xdr:spPr>
    </xdr:pic>
    <xdr:clientData/>
  </xdr:twoCellAnchor>
  <xdr:twoCellAnchor editAs="oneCell">
    <xdr:from>
      <xdr:col>13</xdr:col>
      <xdr:colOff>0</xdr:colOff>
      <xdr:row>76</xdr:row>
      <xdr:rowOff>0</xdr:rowOff>
    </xdr:from>
    <xdr:to>
      <xdr:col>16</xdr:col>
      <xdr:colOff>73726</xdr:colOff>
      <xdr:row>81</xdr:row>
      <xdr:rowOff>7071</xdr:rowOff>
    </xdr:to>
    <xdr:pic>
      <xdr:nvPicPr>
        <xdr:cNvPr id="5" name="Picture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86675" y="14839950"/>
          <a:ext cx="1902526" cy="95957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47625</xdr:colOff>
      <xdr:row>30</xdr:row>
      <xdr:rowOff>28575</xdr:rowOff>
    </xdr:from>
    <xdr:to>
      <xdr:col>8</xdr:col>
      <xdr:colOff>121351</xdr:colOff>
      <xdr:row>35</xdr:row>
      <xdr:rowOff>35646</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10200" y="6353175"/>
          <a:ext cx="1902526" cy="95957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76200</xdr:colOff>
      <xdr:row>29</xdr:row>
      <xdr:rowOff>123825</xdr:rowOff>
    </xdr:from>
    <xdr:to>
      <xdr:col>8</xdr:col>
      <xdr:colOff>149926</xdr:colOff>
      <xdr:row>34</xdr:row>
      <xdr:rowOff>130896</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62600" y="6134100"/>
          <a:ext cx="1902526" cy="95957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28575</xdr:colOff>
      <xdr:row>33</xdr:row>
      <xdr:rowOff>161925</xdr:rowOff>
    </xdr:from>
    <xdr:to>
      <xdr:col>9</xdr:col>
      <xdr:colOff>102301</xdr:colOff>
      <xdr:row>38</xdr:row>
      <xdr:rowOff>168996</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05525" y="7086600"/>
          <a:ext cx="1902526" cy="95957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104775</xdr:colOff>
      <xdr:row>31</xdr:row>
      <xdr:rowOff>104775</xdr:rowOff>
    </xdr:from>
    <xdr:to>
      <xdr:col>9</xdr:col>
      <xdr:colOff>178501</xdr:colOff>
      <xdr:row>36</xdr:row>
      <xdr:rowOff>111846</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10200" y="7115175"/>
          <a:ext cx="1902526" cy="95957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209550</xdr:colOff>
      <xdr:row>21</xdr:row>
      <xdr:rowOff>47625</xdr:rowOff>
    </xdr:from>
    <xdr:to>
      <xdr:col>13</xdr:col>
      <xdr:colOff>245176</xdr:colOff>
      <xdr:row>26</xdr:row>
      <xdr:rowOff>54696</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81725" y="6362700"/>
          <a:ext cx="1902526" cy="95957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493569</xdr:colOff>
      <xdr:row>3</xdr:row>
      <xdr:rowOff>65937</xdr:rowOff>
    </xdr:to>
    <xdr:pic>
      <xdr:nvPicPr>
        <xdr:cNvPr id="2" name="Picture 7">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754100"/>
          <a:ext cx="1103169" cy="942237"/>
        </a:xfrm>
        <a:prstGeom prst="rect">
          <a:avLst/>
        </a:prstGeom>
        <a:solidFill>
          <a:srgbClr val="FFFFFF"/>
        </a:solidFill>
        <a:ln w="9525">
          <a:noFill/>
          <a:miter lim="800000"/>
          <a:headEnd/>
          <a:tailEnd/>
        </a:ln>
      </xdr:spPr>
    </xdr:pic>
    <xdr:clientData/>
  </xdr:twoCellAnchor>
  <xdr:twoCellAnchor editAs="oneCell">
    <xdr:from>
      <xdr:col>0</xdr:col>
      <xdr:colOff>0</xdr:colOff>
      <xdr:row>54</xdr:row>
      <xdr:rowOff>0</xdr:rowOff>
    </xdr:from>
    <xdr:to>
      <xdr:col>1</xdr:col>
      <xdr:colOff>493569</xdr:colOff>
      <xdr:row>57</xdr:row>
      <xdr:rowOff>65937</xdr:rowOff>
    </xdr:to>
    <xdr:pic>
      <xdr:nvPicPr>
        <xdr:cNvPr id="3" name="Picture 7">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099705" cy="940505"/>
        </a:xfrm>
        <a:prstGeom prst="rect">
          <a:avLst/>
        </a:prstGeom>
        <a:solidFill>
          <a:srgbClr val="FFFFFF"/>
        </a:solidFill>
        <a:ln w="9525">
          <a:noFill/>
          <a:miter lim="800000"/>
          <a:headEnd/>
          <a:tailEnd/>
        </a:ln>
      </xdr:spPr>
    </xdr:pic>
    <xdr:clientData/>
  </xdr:twoCellAnchor>
  <xdr:twoCellAnchor editAs="oneCell">
    <xdr:from>
      <xdr:col>0</xdr:col>
      <xdr:colOff>0</xdr:colOff>
      <xdr:row>108</xdr:row>
      <xdr:rowOff>0</xdr:rowOff>
    </xdr:from>
    <xdr:to>
      <xdr:col>1</xdr:col>
      <xdr:colOff>493569</xdr:colOff>
      <xdr:row>111</xdr:row>
      <xdr:rowOff>65937</xdr:rowOff>
    </xdr:to>
    <xdr:pic>
      <xdr:nvPicPr>
        <xdr:cNvPr id="4" name="Picture 7">
          <a:extLst>
            <a:ext uri="{FF2B5EF4-FFF2-40B4-BE49-F238E27FC236}">
              <a16:creationId xmlns:a16="http://schemas.microsoft.com/office/drawing/2014/main" id="{00000000-0008-0000-10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162</xdr:row>
      <xdr:rowOff>0</xdr:rowOff>
    </xdr:from>
    <xdr:to>
      <xdr:col>1</xdr:col>
      <xdr:colOff>493569</xdr:colOff>
      <xdr:row>165</xdr:row>
      <xdr:rowOff>65937</xdr:rowOff>
    </xdr:to>
    <xdr:pic>
      <xdr:nvPicPr>
        <xdr:cNvPr id="5" name="Picture 7">
          <a:extLst>
            <a:ext uri="{FF2B5EF4-FFF2-40B4-BE49-F238E27FC236}">
              <a16:creationId xmlns:a16="http://schemas.microsoft.com/office/drawing/2014/main" id="{00000000-0008-0000-10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216</xdr:row>
      <xdr:rowOff>0</xdr:rowOff>
    </xdr:from>
    <xdr:to>
      <xdr:col>1</xdr:col>
      <xdr:colOff>493569</xdr:colOff>
      <xdr:row>219</xdr:row>
      <xdr:rowOff>65937</xdr:rowOff>
    </xdr:to>
    <xdr:pic>
      <xdr:nvPicPr>
        <xdr:cNvPr id="6" name="Picture 7">
          <a:extLst>
            <a:ext uri="{FF2B5EF4-FFF2-40B4-BE49-F238E27FC236}">
              <a16:creationId xmlns:a16="http://schemas.microsoft.com/office/drawing/2014/main" id="{00000000-0008-0000-10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270</xdr:row>
      <xdr:rowOff>0</xdr:rowOff>
    </xdr:from>
    <xdr:to>
      <xdr:col>1</xdr:col>
      <xdr:colOff>493569</xdr:colOff>
      <xdr:row>273</xdr:row>
      <xdr:rowOff>65937</xdr:rowOff>
    </xdr:to>
    <xdr:pic>
      <xdr:nvPicPr>
        <xdr:cNvPr id="7" name="Picture 7">
          <a:extLst>
            <a:ext uri="{FF2B5EF4-FFF2-40B4-BE49-F238E27FC236}">
              <a16:creationId xmlns:a16="http://schemas.microsoft.com/office/drawing/2014/main" id="{00000000-0008-0000-10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324</xdr:row>
      <xdr:rowOff>0</xdr:rowOff>
    </xdr:from>
    <xdr:to>
      <xdr:col>1</xdr:col>
      <xdr:colOff>493569</xdr:colOff>
      <xdr:row>327</xdr:row>
      <xdr:rowOff>65937</xdr:rowOff>
    </xdr:to>
    <xdr:pic>
      <xdr:nvPicPr>
        <xdr:cNvPr id="8" name="Picture 7">
          <a:extLst>
            <a:ext uri="{FF2B5EF4-FFF2-40B4-BE49-F238E27FC236}">
              <a16:creationId xmlns:a16="http://schemas.microsoft.com/office/drawing/2014/main" id="{00000000-0008-0000-10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378</xdr:row>
      <xdr:rowOff>0</xdr:rowOff>
    </xdr:from>
    <xdr:to>
      <xdr:col>1</xdr:col>
      <xdr:colOff>493569</xdr:colOff>
      <xdr:row>381</xdr:row>
      <xdr:rowOff>65937</xdr:rowOff>
    </xdr:to>
    <xdr:pic>
      <xdr:nvPicPr>
        <xdr:cNvPr id="9" name="Picture 7">
          <a:extLst>
            <a:ext uri="{FF2B5EF4-FFF2-40B4-BE49-F238E27FC236}">
              <a16:creationId xmlns:a16="http://schemas.microsoft.com/office/drawing/2014/main" id="{00000000-0008-0000-10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432</xdr:row>
      <xdr:rowOff>138545</xdr:rowOff>
    </xdr:from>
    <xdr:to>
      <xdr:col>1</xdr:col>
      <xdr:colOff>493569</xdr:colOff>
      <xdr:row>435</xdr:row>
      <xdr:rowOff>51954</xdr:rowOff>
    </xdr:to>
    <xdr:pic>
      <xdr:nvPicPr>
        <xdr:cNvPr id="10" name="Picture 7">
          <a:extLst>
            <a:ext uri="{FF2B5EF4-FFF2-40B4-BE49-F238E27FC236}">
              <a16:creationId xmlns:a16="http://schemas.microsoft.com/office/drawing/2014/main" id="{00000000-0008-0000-10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057045"/>
          <a:ext cx="1099705" cy="787977"/>
        </a:xfrm>
        <a:prstGeom prst="rect">
          <a:avLst/>
        </a:prstGeom>
        <a:solidFill>
          <a:srgbClr val="FFFFFF"/>
        </a:solidFill>
        <a:ln w="9525">
          <a:noFill/>
          <a:miter lim="800000"/>
          <a:headEnd/>
          <a:tailEnd/>
        </a:ln>
      </xdr:spPr>
    </xdr:pic>
    <xdr:clientData/>
  </xdr:twoCellAnchor>
  <xdr:twoCellAnchor editAs="oneCell">
    <xdr:from>
      <xdr:col>0</xdr:col>
      <xdr:colOff>0</xdr:colOff>
      <xdr:row>485</xdr:row>
      <xdr:rowOff>138545</xdr:rowOff>
    </xdr:from>
    <xdr:to>
      <xdr:col>1</xdr:col>
      <xdr:colOff>493569</xdr:colOff>
      <xdr:row>488</xdr:row>
      <xdr:rowOff>129886</xdr:rowOff>
    </xdr:to>
    <xdr:pic>
      <xdr:nvPicPr>
        <xdr:cNvPr id="11" name="Picture 7">
          <a:extLst>
            <a:ext uri="{FF2B5EF4-FFF2-40B4-BE49-F238E27FC236}">
              <a16:creationId xmlns:a16="http://schemas.microsoft.com/office/drawing/2014/main" id="{00000000-0008-0000-1000-00000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057045"/>
          <a:ext cx="1099705" cy="787977"/>
        </a:xfrm>
        <a:prstGeom prst="rect">
          <a:avLst/>
        </a:prstGeom>
        <a:solidFill>
          <a:srgbClr val="FFFFFF"/>
        </a:solidFill>
        <a:ln w="9525">
          <a:noFill/>
          <a:miter lim="800000"/>
          <a:headEnd/>
          <a:tailEnd/>
        </a:ln>
      </xdr:spPr>
    </xdr:pic>
    <xdr:clientData/>
  </xdr:twoCellAnchor>
  <xdr:twoCellAnchor editAs="oneCell">
    <xdr:from>
      <xdr:col>0</xdr:col>
      <xdr:colOff>0</xdr:colOff>
      <xdr:row>536</xdr:row>
      <xdr:rowOff>138545</xdr:rowOff>
    </xdr:from>
    <xdr:to>
      <xdr:col>1</xdr:col>
      <xdr:colOff>493569</xdr:colOff>
      <xdr:row>539</xdr:row>
      <xdr:rowOff>155863</xdr:rowOff>
    </xdr:to>
    <xdr:pic>
      <xdr:nvPicPr>
        <xdr:cNvPr id="12" name="Picture 7">
          <a:extLst>
            <a:ext uri="{FF2B5EF4-FFF2-40B4-BE49-F238E27FC236}">
              <a16:creationId xmlns:a16="http://schemas.microsoft.com/office/drawing/2014/main" id="{00000000-0008-0000-1000-00000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23833659"/>
          <a:ext cx="1099705" cy="978477"/>
        </a:xfrm>
        <a:prstGeom prst="rect">
          <a:avLst/>
        </a:prstGeom>
        <a:solidFill>
          <a:srgbClr val="FFFFFF"/>
        </a:solid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207818</xdr:colOff>
      <xdr:row>0</xdr:row>
      <xdr:rowOff>77932</xdr:rowOff>
    </xdr:from>
    <xdr:to>
      <xdr:col>1</xdr:col>
      <xdr:colOff>457027</xdr:colOff>
      <xdr:row>3</xdr:row>
      <xdr:rowOff>116725</xdr:rowOff>
    </xdr:to>
    <xdr:pic>
      <xdr:nvPicPr>
        <xdr:cNvPr id="5" name="Picture 7">
          <a:extLst>
            <a:ext uri="{FF2B5EF4-FFF2-40B4-BE49-F238E27FC236}">
              <a16:creationId xmlns:a16="http://schemas.microsoft.com/office/drawing/2014/main" id="{00000000-0008-0000-11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7818" y="77932"/>
          <a:ext cx="855345" cy="731520"/>
        </a:xfrm>
        <a:prstGeom prst="rect">
          <a:avLst/>
        </a:prstGeom>
        <a:solidFill>
          <a:srgbClr val="FFFFFF"/>
        </a:solidFill>
        <a:ln w="9525">
          <a:noFill/>
          <a:miter lim="800000"/>
          <a:headEnd/>
          <a:tailEnd/>
        </a:ln>
      </xdr:spPr>
    </xdr:pic>
    <xdr:clientData/>
  </xdr:twoCellAnchor>
  <xdr:twoCellAnchor editAs="oneCell">
    <xdr:from>
      <xdr:col>0</xdr:col>
      <xdr:colOff>112568</xdr:colOff>
      <xdr:row>58</xdr:row>
      <xdr:rowOff>112568</xdr:rowOff>
    </xdr:from>
    <xdr:to>
      <xdr:col>1</xdr:col>
      <xdr:colOff>294410</xdr:colOff>
      <xdr:row>60</xdr:row>
      <xdr:rowOff>272239</xdr:rowOff>
    </xdr:to>
    <xdr:pic>
      <xdr:nvPicPr>
        <xdr:cNvPr id="3" name="Picture 7">
          <a:extLst>
            <a:ext uri="{FF2B5EF4-FFF2-40B4-BE49-F238E27FC236}">
              <a16:creationId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13880523"/>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115</xdr:row>
      <xdr:rowOff>112568</xdr:rowOff>
    </xdr:from>
    <xdr:to>
      <xdr:col>1</xdr:col>
      <xdr:colOff>294410</xdr:colOff>
      <xdr:row>117</xdr:row>
      <xdr:rowOff>272239</xdr:rowOff>
    </xdr:to>
    <xdr:pic>
      <xdr:nvPicPr>
        <xdr:cNvPr id="4" name="Picture 7">
          <a:extLst>
            <a:ext uri="{FF2B5EF4-FFF2-40B4-BE49-F238E27FC236}">
              <a16:creationId xmlns:a16="http://schemas.microsoft.com/office/drawing/2014/main" id="{00000000-0008-0000-11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13880523"/>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171</xdr:row>
      <xdr:rowOff>112568</xdr:rowOff>
    </xdr:from>
    <xdr:to>
      <xdr:col>1</xdr:col>
      <xdr:colOff>294410</xdr:colOff>
      <xdr:row>173</xdr:row>
      <xdr:rowOff>272239</xdr:rowOff>
    </xdr:to>
    <xdr:pic>
      <xdr:nvPicPr>
        <xdr:cNvPr id="6" name="Picture 7">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27544568"/>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227</xdr:row>
      <xdr:rowOff>112568</xdr:rowOff>
    </xdr:from>
    <xdr:to>
      <xdr:col>1</xdr:col>
      <xdr:colOff>294410</xdr:colOff>
      <xdr:row>229</xdr:row>
      <xdr:rowOff>272239</xdr:rowOff>
    </xdr:to>
    <xdr:pic>
      <xdr:nvPicPr>
        <xdr:cNvPr id="7" name="Picture 7">
          <a:extLst>
            <a:ext uri="{FF2B5EF4-FFF2-40B4-BE49-F238E27FC236}">
              <a16:creationId xmlns:a16="http://schemas.microsoft.com/office/drawing/2014/main" id="{00000000-0008-0000-11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41251909"/>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283</xdr:row>
      <xdr:rowOff>112568</xdr:rowOff>
    </xdr:from>
    <xdr:to>
      <xdr:col>1</xdr:col>
      <xdr:colOff>294410</xdr:colOff>
      <xdr:row>285</xdr:row>
      <xdr:rowOff>186514</xdr:rowOff>
    </xdr:to>
    <xdr:pic>
      <xdr:nvPicPr>
        <xdr:cNvPr id="8" name="Picture 7">
          <a:extLst>
            <a:ext uri="{FF2B5EF4-FFF2-40B4-BE49-F238E27FC236}">
              <a16:creationId xmlns:a16="http://schemas.microsoft.com/office/drawing/2014/main" id="{00000000-0008-0000-11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41251909"/>
          <a:ext cx="787978" cy="869716"/>
        </a:xfrm>
        <a:prstGeom prst="rect">
          <a:avLst/>
        </a:prstGeom>
        <a:solidFill>
          <a:srgbClr val="FFFFFF"/>
        </a:solidFill>
        <a:ln w="9525">
          <a:noFill/>
          <a:miter lim="800000"/>
          <a:headEnd/>
          <a:tailEnd/>
        </a:ln>
      </xdr:spPr>
    </xdr:pic>
    <xdr:clientData/>
  </xdr:twoCellAnchor>
  <xdr:twoCellAnchor editAs="oneCell">
    <xdr:from>
      <xdr:col>0</xdr:col>
      <xdr:colOff>95250</xdr:colOff>
      <xdr:row>339</xdr:row>
      <xdr:rowOff>164522</xdr:rowOff>
    </xdr:from>
    <xdr:to>
      <xdr:col>1</xdr:col>
      <xdr:colOff>277092</xdr:colOff>
      <xdr:row>342</xdr:row>
      <xdr:rowOff>69272</xdr:rowOff>
    </xdr:to>
    <xdr:pic>
      <xdr:nvPicPr>
        <xdr:cNvPr id="9" name="Picture 8">
          <a:extLst>
            <a:ext uri="{FF2B5EF4-FFF2-40B4-BE49-F238E27FC236}">
              <a16:creationId xmlns:a16="http://schemas.microsoft.com/office/drawing/2014/main" id="{00000000-0008-0000-11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82391249"/>
          <a:ext cx="787978" cy="580159"/>
        </a:xfrm>
        <a:prstGeom prst="rect">
          <a:avLst/>
        </a:prstGeom>
        <a:solidFill>
          <a:srgbClr val="FFFFFF"/>
        </a:solidFill>
        <a:ln w="9525">
          <a:noFill/>
          <a:miter lim="800000"/>
          <a:headEnd/>
          <a:tailEnd/>
        </a:ln>
      </xdr:spPr>
    </xdr:pic>
    <xdr:clientData/>
  </xdr:twoCellAnchor>
  <xdr:twoCellAnchor editAs="oneCell">
    <xdr:from>
      <xdr:col>0</xdr:col>
      <xdr:colOff>95250</xdr:colOff>
      <xdr:row>395</xdr:row>
      <xdr:rowOff>138545</xdr:rowOff>
    </xdr:from>
    <xdr:to>
      <xdr:col>1</xdr:col>
      <xdr:colOff>277092</xdr:colOff>
      <xdr:row>398</xdr:row>
      <xdr:rowOff>147205</xdr:rowOff>
    </xdr:to>
    <xdr:pic>
      <xdr:nvPicPr>
        <xdr:cNvPr id="10" name="Picture 9">
          <a:extLst>
            <a:ext uri="{FF2B5EF4-FFF2-40B4-BE49-F238E27FC236}">
              <a16:creationId xmlns:a16="http://schemas.microsoft.com/office/drawing/2014/main" id="{00000000-0008-0000-11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96159204"/>
          <a:ext cx="787978" cy="684069"/>
        </a:xfrm>
        <a:prstGeom prst="rect">
          <a:avLst/>
        </a:prstGeom>
        <a:solidFill>
          <a:srgbClr val="FFFFFF"/>
        </a:solidFill>
        <a:ln w="9525">
          <a:noFill/>
          <a:miter lim="800000"/>
          <a:headEnd/>
          <a:tailEnd/>
        </a:ln>
      </xdr:spPr>
    </xdr:pic>
    <xdr:clientData/>
  </xdr:twoCellAnchor>
  <xdr:twoCellAnchor editAs="oneCell">
    <xdr:from>
      <xdr:col>0</xdr:col>
      <xdr:colOff>95250</xdr:colOff>
      <xdr:row>450</xdr:row>
      <xdr:rowOff>164522</xdr:rowOff>
    </xdr:from>
    <xdr:to>
      <xdr:col>1</xdr:col>
      <xdr:colOff>277092</xdr:colOff>
      <xdr:row>453</xdr:row>
      <xdr:rowOff>346363</xdr:rowOff>
    </xdr:to>
    <xdr:pic>
      <xdr:nvPicPr>
        <xdr:cNvPr id="11" name="Picture 10">
          <a:extLst>
            <a:ext uri="{FF2B5EF4-FFF2-40B4-BE49-F238E27FC236}">
              <a16:creationId xmlns:a16="http://schemas.microsoft.com/office/drawing/2014/main" id="{00000000-0008-0000-1100-00000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82391249"/>
          <a:ext cx="787978" cy="580159"/>
        </a:xfrm>
        <a:prstGeom prst="rect">
          <a:avLst/>
        </a:prstGeom>
        <a:solidFill>
          <a:srgbClr val="FFFFFF"/>
        </a:solidFill>
        <a:ln w="9525">
          <a:noFill/>
          <a:miter lim="800000"/>
          <a:headEnd/>
          <a:tailEnd/>
        </a:ln>
      </xdr:spPr>
    </xdr:pic>
    <xdr:clientData/>
  </xdr:twoCellAnchor>
  <xdr:twoCellAnchor editAs="oneCell">
    <xdr:from>
      <xdr:col>0</xdr:col>
      <xdr:colOff>95250</xdr:colOff>
      <xdr:row>504</xdr:row>
      <xdr:rowOff>164522</xdr:rowOff>
    </xdr:from>
    <xdr:to>
      <xdr:col>1</xdr:col>
      <xdr:colOff>277092</xdr:colOff>
      <xdr:row>508</xdr:row>
      <xdr:rowOff>43295</xdr:rowOff>
    </xdr:to>
    <xdr:pic>
      <xdr:nvPicPr>
        <xdr:cNvPr id="12" name="Picture 11">
          <a:extLst>
            <a:ext uri="{FF2B5EF4-FFF2-40B4-BE49-F238E27FC236}">
              <a16:creationId xmlns:a16="http://schemas.microsoft.com/office/drawing/2014/main" id="{00000000-0008-0000-1100-00000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109909840"/>
          <a:ext cx="787978" cy="969818"/>
        </a:xfrm>
        <a:prstGeom prst="rect">
          <a:avLst/>
        </a:prstGeom>
        <a:solidFill>
          <a:srgbClr val="FFFFFF"/>
        </a:solidFill>
        <a:ln w="9525">
          <a:noFill/>
          <a:miter lim="800000"/>
          <a:headEnd/>
          <a:tailEnd/>
        </a:ln>
      </xdr:spPr>
    </xdr:pic>
    <xdr:clientData/>
  </xdr:twoCellAnchor>
  <xdr:twoCellAnchor editAs="oneCell">
    <xdr:from>
      <xdr:col>0</xdr:col>
      <xdr:colOff>95250</xdr:colOff>
      <xdr:row>558</xdr:row>
      <xdr:rowOff>164522</xdr:rowOff>
    </xdr:from>
    <xdr:to>
      <xdr:col>1</xdr:col>
      <xdr:colOff>277092</xdr:colOff>
      <xdr:row>561</xdr:row>
      <xdr:rowOff>90054</xdr:rowOff>
    </xdr:to>
    <xdr:pic>
      <xdr:nvPicPr>
        <xdr:cNvPr id="13" name="Picture 12">
          <a:extLst>
            <a:ext uri="{FF2B5EF4-FFF2-40B4-BE49-F238E27FC236}">
              <a16:creationId xmlns:a16="http://schemas.microsoft.com/office/drawing/2014/main" id="{00000000-0008-0000-1100-00000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109909840"/>
          <a:ext cx="787978" cy="969818"/>
        </a:xfrm>
        <a:prstGeom prst="rect">
          <a:avLst/>
        </a:prstGeom>
        <a:solidFill>
          <a:srgbClr val="FFFFFF"/>
        </a:solid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H44"/>
  <sheetViews>
    <sheetView tabSelected="1" workbookViewId="0">
      <selection activeCell="F13" sqref="F13"/>
    </sheetView>
  </sheetViews>
  <sheetFormatPr defaultRowHeight="15"/>
  <cols>
    <col min="1" max="1" width="11" style="88" customWidth="1"/>
    <col min="2" max="2" width="27.5703125" customWidth="1"/>
    <col min="3" max="3" width="14" bestFit="1" customWidth="1"/>
    <col min="4" max="4" width="9.85546875" customWidth="1"/>
    <col min="5" max="5" width="28.140625" customWidth="1"/>
    <col min="6" max="6" width="23.85546875" customWidth="1"/>
    <col min="7" max="7" width="27.42578125" customWidth="1"/>
    <col min="8" max="8" width="23.42578125" hidden="1" customWidth="1"/>
    <col min="9" max="9" width="25.5703125" hidden="1" customWidth="1"/>
    <col min="10" max="10" width="31.42578125" customWidth="1"/>
    <col min="11" max="11" width="25.85546875" hidden="1" customWidth="1"/>
    <col min="12" max="12" width="24.5703125" hidden="1" customWidth="1"/>
    <col min="13" max="13" width="26.7109375" hidden="1" customWidth="1"/>
    <col min="14" max="14" width="23" customWidth="1"/>
    <col min="15" max="15" width="26.5703125" customWidth="1"/>
    <col min="16" max="17" width="23" customWidth="1"/>
    <col min="18" max="18" width="27.140625" customWidth="1"/>
  </cols>
  <sheetData>
    <row r="1" spans="1:18" s="176" customFormat="1" ht="91.5" customHeight="1">
      <c r="A1" s="658" t="s">
        <v>53</v>
      </c>
      <c r="B1" s="659"/>
      <c r="C1" s="659"/>
      <c r="D1" s="659"/>
      <c r="E1" s="659"/>
      <c r="F1" s="659"/>
      <c r="G1" s="659"/>
      <c r="H1" s="659"/>
      <c r="I1" s="659"/>
      <c r="J1" s="659"/>
      <c r="K1" s="659"/>
      <c r="L1" s="659"/>
      <c r="M1" s="659"/>
      <c r="N1" s="659"/>
      <c r="O1" s="659"/>
      <c r="P1" s="659"/>
      <c r="Q1" s="659"/>
      <c r="R1" s="660"/>
    </row>
    <row r="2" spans="1:18" ht="28.5" customHeight="1">
      <c r="A2" s="503"/>
      <c r="B2" s="27"/>
      <c r="C2" s="27"/>
      <c r="D2" s="27"/>
      <c r="E2" s="27"/>
      <c r="F2" s="27"/>
      <c r="G2" s="27"/>
      <c r="H2" s="27"/>
      <c r="I2" s="100" t="s">
        <v>54</v>
      </c>
      <c r="J2" s="27"/>
      <c r="K2" s="27"/>
      <c r="L2" s="27"/>
      <c r="M2" s="27"/>
      <c r="N2" s="27"/>
      <c r="O2" s="27"/>
      <c r="P2" s="27"/>
      <c r="Q2" s="27"/>
      <c r="R2" s="41"/>
    </row>
    <row r="3" spans="1:18" ht="43.5" customHeight="1">
      <c r="A3" s="661" t="s">
        <v>1</v>
      </c>
      <c r="B3" s="662"/>
      <c r="C3" s="662"/>
      <c r="D3" s="502"/>
      <c r="E3" s="502"/>
      <c r="F3" s="512" t="str">
        <f>'0422Master'!AO5</f>
        <v>Burgeon IT Services Pvt.Ltd.</v>
      </c>
      <c r="G3" s="513"/>
      <c r="H3" s="513"/>
      <c r="I3" s="513"/>
      <c r="J3" s="513"/>
      <c r="K3" s="27"/>
      <c r="L3" s="513" t="s">
        <v>55</v>
      </c>
      <c r="M3" s="27"/>
      <c r="N3" s="513"/>
      <c r="O3" s="513"/>
      <c r="P3" s="513"/>
      <c r="Q3" s="513"/>
      <c r="R3" s="514"/>
    </row>
    <row r="4" spans="1:18" ht="20.45" customHeight="1">
      <c r="A4" s="515"/>
      <c r="B4" s="27"/>
      <c r="C4" s="27"/>
      <c r="D4" s="27"/>
      <c r="E4" s="27"/>
      <c r="F4" s="44" t="str">
        <f>'0422Master'!F6</f>
        <v>Siri Mansion LIGB 436 Dr.A S Rao Nagar,Hyderabad</v>
      </c>
      <c r="G4" s="44"/>
      <c r="H4" s="44"/>
      <c r="I4" s="44"/>
      <c r="J4" s="44"/>
      <c r="K4" s="516"/>
      <c r="L4" s="44"/>
      <c r="M4" s="27"/>
      <c r="N4" s="44"/>
      <c r="O4" s="44"/>
      <c r="P4" s="44"/>
      <c r="Q4" s="44"/>
      <c r="R4" s="517"/>
    </row>
    <row r="5" spans="1:18">
      <c r="A5" s="663" t="s">
        <v>3</v>
      </c>
      <c r="B5" s="664"/>
      <c r="C5" s="664"/>
      <c r="D5" s="502"/>
      <c r="E5" s="502"/>
      <c r="F5" s="42" t="str">
        <f>'0422Master'!F8</f>
        <v>IT SUPPORTIVE SERVICES &amp; BHUBANESWAR</v>
      </c>
      <c r="G5" s="42"/>
      <c r="H5" s="42"/>
      <c r="I5" s="42"/>
      <c r="J5" s="42"/>
      <c r="K5" s="42"/>
      <c r="L5" s="42"/>
      <c r="M5" s="42"/>
      <c r="N5" s="42"/>
      <c r="O5" s="42"/>
      <c r="P5" s="42"/>
      <c r="Q5" s="42"/>
      <c r="R5" s="518"/>
    </row>
    <row r="6" spans="1:18">
      <c r="A6" s="515"/>
      <c r="B6" s="27"/>
      <c r="C6" s="27"/>
      <c r="D6" s="27"/>
      <c r="E6" s="27"/>
      <c r="F6" s="27"/>
      <c r="G6" s="27"/>
      <c r="H6" s="27"/>
      <c r="I6" s="27"/>
      <c r="J6" s="27"/>
      <c r="K6" s="27"/>
      <c r="L6" s="27"/>
      <c r="M6" s="27"/>
      <c r="N6" s="27"/>
      <c r="O6" s="27"/>
      <c r="P6" s="27"/>
      <c r="Q6" s="27"/>
      <c r="R6" s="41"/>
    </row>
    <row r="7" spans="1:18" ht="15" customHeight="1">
      <c r="A7" s="663"/>
      <c r="B7" s="664"/>
      <c r="C7" s="664"/>
      <c r="D7" s="27"/>
      <c r="E7" s="502"/>
      <c r="F7" s="519"/>
      <c r="G7" s="520"/>
      <c r="H7" s="520"/>
      <c r="I7" s="520"/>
      <c r="J7" s="520"/>
      <c r="K7" s="27"/>
      <c r="L7" s="520" t="s">
        <v>5</v>
      </c>
      <c r="M7" s="27"/>
      <c r="N7" s="520" t="s">
        <v>56</v>
      </c>
      <c r="O7" s="520" t="str">
        <f>'0422Master'!AO8</f>
        <v>INFOSYS LIMITED, IL BHUBANESHWAR-STP,UNIT-II</v>
      </c>
      <c r="P7" s="520"/>
      <c r="Q7" s="520"/>
      <c r="R7" s="521"/>
    </row>
    <row r="8" spans="1:18" ht="17.45" customHeight="1">
      <c r="A8" s="503"/>
      <c r="B8" s="27"/>
      <c r="C8" s="27"/>
      <c r="D8" s="27"/>
      <c r="E8" s="27"/>
      <c r="F8" s="27"/>
      <c r="G8" s="27"/>
      <c r="H8" s="27"/>
      <c r="I8" s="27"/>
      <c r="J8" s="27"/>
      <c r="K8" s="27"/>
      <c r="L8" s="27"/>
      <c r="M8" s="27"/>
      <c r="N8" s="27" t="s">
        <v>57</v>
      </c>
      <c r="O8" s="27" t="str">
        <f>'0422Master'!AO10</f>
        <v>Plot No E/4,Info city,Chandaka Industrial, Bhubaneswar,Odisha - 751024</v>
      </c>
      <c r="P8" s="27"/>
      <c r="Q8" s="27"/>
      <c r="R8" s="41"/>
    </row>
    <row r="9" spans="1:18">
      <c r="A9" s="503"/>
      <c r="B9" s="27"/>
      <c r="C9" s="335"/>
      <c r="D9" s="335"/>
      <c r="E9" s="335"/>
      <c r="F9" s="27"/>
      <c r="G9" s="27"/>
      <c r="H9" s="27"/>
      <c r="I9" s="27"/>
      <c r="J9" s="27"/>
      <c r="K9" s="27"/>
      <c r="L9" s="27"/>
      <c r="M9" s="27"/>
      <c r="N9" s="27"/>
      <c r="O9" s="27"/>
      <c r="P9" s="27"/>
      <c r="Q9" s="27"/>
      <c r="R9" s="41"/>
    </row>
    <row r="10" spans="1:18" ht="15.75" thickBot="1">
      <c r="A10" s="503"/>
      <c r="B10" s="27"/>
      <c r="C10" s="27"/>
      <c r="D10" s="27"/>
      <c r="E10" s="27"/>
      <c r="F10" s="27"/>
      <c r="G10" s="27"/>
      <c r="H10" s="27"/>
      <c r="I10" s="27"/>
      <c r="J10" s="27"/>
      <c r="K10" s="27"/>
      <c r="L10" s="27"/>
      <c r="M10" s="27"/>
      <c r="N10" s="27"/>
      <c r="O10" s="27"/>
      <c r="P10" s="27"/>
      <c r="Q10" s="27"/>
      <c r="R10" s="41"/>
    </row>
    <row r="11" spans="1:18" s="18" customFormat="1" ht="36.6" customHeight="1">
      <c r="A11" s="665" t="s">
        <v>8</v>
      </c>
      <c r="B11" s="667" t="s">
        <v>9</v>
      </c>
      <c r="C11" s="37" t="s">
        <v>10</v>
      </c>
      <c r="D11" s="37" t="s">
        <v>11</v>
      </c>
      <c r="E11" s="37" t="s">
        <v>12</v>
      </c>
      <c r="F11" s="669" t="s">
        <v>13</v>
      </c>
      <c r="G11" s="500" t="s">
        <v>14</v>
      </c>
      <c r="H11" s="500"/>
      <c r="I11" s="500"/>
      <c r="J11" s="500" t="s">
        <v>15</v>
      </c>
      <c r="K11" s="500"/>
      <c r="L11" s="500"/>
      <c r="M11" s="500"/>
      <c r="N11" s="500" t="s">
        <v>16</v>
      </c>
      <c r="O11" s="500" t="str">
        <f>'0422Master'!O12</f>
        <v>Date of termination of Employment</v>
      </c>
      <c r="P11" s="500" t="str">
        <f>'0422Master'!P12</f>
        <v>Reasons for termination</v>
      </c>
      <c r="Q11" s="500" t="str">
        <f>'0422Master'!Q12</f>
        <v>Signature or thumb impression of Workman</v>
      </c>
      <c r="R11" s="522" t="s">
        <v>20</v>
      </c>
    </row>
    <row r="12" spans="1:18" ht="47.25" customHeight="1" thickBot="1">
      <c r="A12" s="666"/>
      <c r="B12" s="668"/>
      <c r="C12" s="36"/>
      <c r="D12" s="36"/>
      <c r="E12" s="36"/>
      <c r="F12" s="670"/>
      <c r="G12" s="501"/>
      <c r="H12" s="501"/>
      <c r="I12" s="501"/>
      <c r="J12" s="501"/>
      <c r="K12" s="501"/>
      <c r="L12" s="501"/>
      <c r="M12" s="501"/>
      <c r="N12" s="501"/>
      <c r="O12" s="501"/>
      <c r="P12" s="501"/>
      <c r="Q12" s="501"/>
      <c r="R12" s="523"/>
    </row>
    <row r="13" spans="1:18" ht="62.25" customHeight="1">
      <c r="A13" s="524">
        <f>'0422Master'!A14</f>
        <v>1</v>
      </c>
      <c r="B13" s="654" t="str">
        <f>'0422Master'!B14</f>
        <v>KRANTHI KUMAR VEDULLA</v>
      </c>
      <c r="C13" s="507" t="str">
        <f>'0422Master'!C14</f>
        <v>05.02.1992</v>
      </c>
      <c r="D13" s="508" t="str">
        <f>'0422Master'!D14</f>
        <v>Male</v>
      </c>
      <c r="E13" s="508" t="str">
        <f>'0422Master'!E14</f>
        <v>Kamini Venkatarami Reddy</v>
      </c>
      <c r="F13" s="509" t="str">
        <f>'0422Master'!F14</f>
        <v>Senior Network Engineer</v>
      </c>
      <c r="G13" s="434" t="str">
        <f>'0422Master'!G14</f>
        <v>1/93 , Sanagala Guduru, Putluru (M), Anantapur (D), Andhra pradesh, 515411</v>
      </c>
      <c r="H13" s="354">
        <f>'0422Master'!H14</f>
        <v>0</v>
      </c>
      <c r="I13" s="354">
        <f>'0422Master'!I14</f>
        <v>0</v>
      </c>
      <c r="J13" s="434" t="str">
        <f>'0422Master'!J14</f>
        <v>1/93 , Sanagala Guduru, Putluru (M), Anantapur (D), Andhra pradesh, 515411</v>
      </c>
      <c r="K13" s="354">
        <f>'0422Master'!K14</f>
        <v>0</v>
      </c>
      <c r="L13" s="354">
        <f>'0422Master'!L14</f>
        <v>0</v>
      </c>
      <c r="M13" s="354">
        <f>'0422Master'!M14</f>
        <v>0</v>
      </c>
      <c r="N13" s="491">
        <f>'0422Master'!N14</f>
        <v>44181</v>
      </c>
      <c r="O13" s="354"/>
      <c r="P13" s="354"/>
      <c r="Q13" s="354"/>
      <c r="R13" s="525"/>
    </row>
    <row r="14" spans="1:18" ht="54" customHeight="1">
      <c r="A14" s="524">
        <f>'0422Master'!A15</f>
        <v>2</v>
      </c>
      <c r="B14" s="655" t="str">
        <f>'0422Master'!B15</f>
        <v>Vipin U.N</v>
      </c>
      <c r="C14" s="510" t="str">
        <f>'0422Master'!C15</f>
        <v>28/02/1991</v>
      </c>
      <c r="D14" s="511" t="str">
        <f>'0422Master'!D15</f>
        <v>Male</v>
      </c>
      <c r="E14" s="640" t="str">
        <f>'0422Master'!E15</f>
        <v>GANGA G</v>
      </c>
      <c r="F14" s="509" t="str">
        <f>'0422Master'!F15</f>
        <v>Senior IT Endpoint Engineer</v>
      </c>
      <c r="G14" s="434" t="str">
        <f>'0422Master'!G15</f>
        <v>#30 "Rajeevam" Ground Floor 2nd cross,Green Garden Layout,12th Main NRI Layout Varanasi,Jinekethimmanahali, Ramamurthy Nagar ,Bangalore - 560036</v>
      </c>
      <c r="H14" s="354">
        <f>'0422Master'!H15</f>
        <v>0</v>
      </c>
      <c r="I14" s="354">
        <f>'0422Master'!I15</f>
        <v>0</v>
      </c>
      <c r="J14" s="434" t="str">
        <f>'0422Master'!J15</f>
        <v>#30 "Rajeevam" Ground Floor 2nd cross,Green Garden Layout,12th Main NRI Layout Varanasi,Jinekethimmanahali, Ramamurthy Nagar ,Bangalore - 560036</v>
      </c>
      <c r="K14" s="354">
        <f>'0422Master'!K15</f>
        <v>0</v>
      </c>
      <c r="L14" s="354">
        <f>'0422Master'!L15</f>
        <v>0</v>
      </c>
      <c r="M14" s="354">
        <f>'0422Master'!M15</f>
        <v>0</v>
      </c>
      <c r="N14" s="491">
        <f>'0422Master'!N15</f>
        <v>44181</v>
      </c>
      <c r="O14" s="354"/>
      <c r="P14" s="354"/>
      <c r="Q14" s="354"/>
      <c r="R14" s="525"/>
    </row>
    <row r="15" spans="1:18" ht="25.15" customHeight="1">
      <c r="A15" s="526"/>
      <c r="B15" s="433"/>
      <c r="C15" s="316"/>
      <c r="D15" s="35"/>
      <c r="E15" s="35"/>
      <c r="F15" s="354"/>
      <c r="G15" s="354"/>
      <c r="H15" s="354"/>
      <c r="I15" s="354"/>
      <c r="J15" s="354"/>
      <c r="K15" s="354"/>
      <c r="L15" s="354"/>
      <c r="M15" s="354"/>
      <c r="N15" s="435"/>
      <c r="O15" s="354"/>
      <c r="P15" s="354"/>
      <c r="Q15" s="354"/>
      <c r="R15" s="525"/>
    </row>
    <row r="16" spans="1:18" ht="25.15" customHeight="1">
      <c r="A16" s="526"/>
      <c r="B16" s="433"/>
      <c r="C16" s="316"/>
      <c r="D16" s="35"/>
      <c r="E16" s="35"/>
      <c r="F16" s="354"/>
      <c r="G16" s="354"/>
      <c r="H16" s="354"/>
      <c r="I16" s="354"/>
      <c r="J16" s="354"/>
      <c r="K16" s="354"/>
      <c r="L16" s="354"/>
      <c r="M16" s="354"/>
      <c r="N16" s="435"/>
      <c r="O16" s="354"/>
      <c r="P16" s="354"/>
      <c r="Q16" s="354"/>
      <c r="R16" s="525"/>
    </row>
    <row r="17" spans="1:242" ht="25.15" customHeight="1" thickBot="1">
      <c r="A17" s="527"/>
      <c r="B17" s="528"/>
      <c r="C17" s="529"/>
      <c r="D17" s="530"/>
      <c r="E17" s="530"/>
      <c r="F17" s="531"/>
      <c r="G17" s="531"/>
      <c r="H17" s="531"/>
      <c r="I17" s="531"/>
      <c r="J17" s="531"/>
      <c r="K17" s="531"/>
      <c r="L17" s="531"/>
      <c r="M17" s="531"/>
      <c r="N17" s="532"/>
      <c r="O17" s="531"/>
      <c r="P17" s="531"/>
      <c r="Q17" s="531"/>
      <c r="R17" s="533"/>
    </row>
    <row r="18" spans="1:242" ht="22.5" customHeight="1">
      <c r="A18" s="23"/>
      <c r="B18" s="24"/>
      <c r="C18" s="25"/>
      <c r="D18" s="25"/>
      <c r="E18" s="25"/>
      <c r="F18" s="26"/>
      <c r="G18" s="26"/>
      <c r="H18" s="26"/>
      <c r="I18" s="26"/>
      <c r="J18" s="26"/>
      <c r="K18" s="26"/>
      <c r="L18" s="26"/>
      <c r="M18" s="26"/>
      <c r="N18" s="26"/>
      <c r="O18" s="26"/>
      <c r="P18" s="26"/>
      <c r="Q18" s="26"/>
      <c r="R18" s="26"/>
    </row>
    <row r="19" spans="1:242">
      <c r="A19" s="19"/>
      <c r="B19" s="657"/>
      <c r="C19" s="657"/>
      <c r="D19" s="384"/>
      <c r="E19" s="384"/>
      <c r="F19" s="19"/>
      <c r="G19" s="19"/>
      <c r="H19" s="19"/>
      <c r="I19" s="19"/>
      <c r="J19" s="19"/>
      <c r="K19" s="19"/>
      <c r="L19" s="19"/>
      <c r="M19" s="19"/>
      <c r="N19" s="19"/>
      <c r="O19" s="19"/>
      <c r="P19" s="19"/>
      <c r="Q19" s="19"/>
      <c r="R19" s="19"/>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22"/>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22"/>
      <c r="ES19" s="22"/>
      <c r="ET19" s="22"/>
      <c r="EU19" s="22"/>
      <c r="EV19" s="22"/>
      <c r="EW19" s="22"/>
      <c r="EX19" s="22"/>
      <c r="EY19" s="22"/>
      <c r="EZ19" s="22"/>
      <c r="FA19" s="22"/>
      <c r="FB19" s="22"/>
      <c r="FC19" s="22"/>
      <c r="FD19" s="22"/>
      <c r="FE19" s="22"/>
      <c r="FF19" s="22"/>
      <c r="FG19" s="22"/>
      <c r="FH19" s="22"/>
      <c r="FI19" s="22"/>
      <c r="FJ19" s="22"/>
      <c r="FK19" s="22"/>
      <c r="FL19" s="22"/>
      <c r="FM19" s="22"/>
      <c r="FN19" s="22"/>
      <c r="FO19" s="22"/>
      <c r="FP19" s="22"/>
      <c r="FQ19" s="22"/>
      <c r="FR19" s="22"/>
      <c r="FS19" s="22"/>
      <c r="FT19" s="22"/>
      <c r="FU19" s="22"/>
      <c r="FV19" s="22"/>
      <c r="FW19" s="22"/>
      <c r="FX19" s="22"/>
      <c r="FY19" s="22"/>
      <c r="FZ19" s="22"/>
      <c r="GA19" s="22"/>
      <c r="GB19" s="22"/>
      <c r="GC19" s="22"/>
      <c r="GD19" s="22"/>
      <c r="GE19" s="22"/>
      <c r="GF19" s="22"/>
      <c r="GG19" s="22"/>
      <c r="GH19" s="22"/>
      <c r="GI19" s="22"/>
      <c r="GJ19" s="22"/>
      <c r="GK19" s="22"/>
      <c r="GL19" s="22"/>
      <c r="GM19" s="22"/>
      <c r="GN19" s="22"/>
      <c r="GO19" s="22"/>
      <c r="GP19" s="22"/>
      <c r="GQ19" s="22"/>
      <c r="GR19" s="22"/>
      <c r="GS19" s="22"/>
      <c r="GT19" s="22"/>
      <c r="GU19" s="22"/>
      <c r="GV19" s="22"/>
      <c r="GW19" s="22"/>
      <c r="GX19" s="22"/>
      <c r="GY19" s="22"/>
      <c r="GZ19" s="22"/>
      <c r="HA19" s="22"/>
      <c r="HB19" s="22"/>
      <c r="HC19" s="22"/>
      <c r="HD19" s="22"/>
      <c r="HE19" s="22"/>
      <c r="HF19" s="22"/>
      <c r="HG19" s="22"/>
      <c r="HH19" s="22"/>
      <c r="HI19" s="22"/>
      <c r="HJ19" s="22"/>
      <c r="HK19" s="22"/>
      <c r="HL19" s="22"/>
      <c r="HM19" s="22"/>
      <c r="HN19" s="22"/>
      <c r="HO19" s="22"/>
      <c r="HP19" s="22"/>
      <c r="HQ19" s="22"/>
      <c r="HR19" s="22"/>
      <c r="HS19" s="22"/>
      <c r="HT19" s="22"/>
      <c r="HU19" s="22"/>
      <c r="HV19" s="22"/>
      <c r="HW19" s="22"/>
      <c r="HX19" s="22"/>
      <c r="HY19" s="22"/>
      <c r="HZ19" s="22"/>
      <c r="IA19" s="22"/>
      <c r="IB19" s="22"/>
      <c r="IC19" s="22"/>
      <c r="ID19" s="22"/>
      <c r="IE19" s="22"/>
      <c r="IF19" s="22"/>
      <c r="IG19" s="22"/>
      <c r="IH19" s="22"/>
    </row>
    <row r="27" spans="1:242">
      <c r="O27" s="174" t="s">
        <v>471</v>
      </c>
      <c r="P27" s="174"/>
    </row>
    <row r="44" spans="1:18" ht="25.15" customHeight="1">
      <c r="A44" s="432" t="e">
        <f>'0422Master'!#REF!</f>
        <v>#REF!</v>
      </c>
      <c r="B44" s="437" t="e">
        <f>'0422Master'!#REF!</f>
        <v>#REF!</v>
      </c>
      <c r="C44" s="316" t="e">
        <f>'0422Master'!#REF!</f>
        <v>#REF!</v>
      </c>
      <c r="D44" s="35" t="e">
        <f>'0422Master'!#REF!</f>
        <v>#REF!</v>
      </c>
      <c r="E44" s="35" t="e">
        <f>'0422Master'!#REF!</f>
        <v>#REF!</v>
      </c>
      <c r="F44" s="354" t="e">
        <f>'0422Master'!#REF!</f>
        <v>#REF!</v>
      </c>
      <c r="G44" s="354" t="e">
        <f>'0422Master'!#REF!</f>
        <v>#REF!</v>
      </c>
      <c r="H44" s="354" t="e">
        <f>'0422Master'!#REF!</f>
        <v>#REF!</v>
      </c>
      <c r="I44" s="354" t="e">
        <f>'0422Master'!#REF!</f>
        <v>#REF!</v>
      </c>
      <c r="J44" s="354" t="e">
        <f>'0422Master'!#REF!</f>
        <v>#REF!</v>
      </c>
      <c r="K44" s="354" t="e">
        <f>'0422Master'!#REF!</f>
        <v>#REF!</v>
      </c>
      <c r="L44" s="354" t="e">
        <f>'0422Master'!#REF!</f>
        <v>#REF!</v>
      </c>
      <c r="M44" s="354" t="e">
        <f>'0422Master'!#REF!</f>
        <v>#REF!</v>
      </c>
      <c r="N44" s="435" t="e">
        <f>'0422Master'!#REF!</f>
        <v>#REF!</v>
      </c>
      <c r="O44" s="354" t="e">
        <f>'0422Master'!#REF!</f>
        <v>#REF!</v>
      </c>
      <c r="P44" s="354" t="e">
        <f>'0422Master'!#REF!</f>
        <v>#REF!</v>
      </c>
      <c r="Q44" s="354" t="e">
        <f>'0422Master'!#REF!</f>
        <v>#REF!</v>
      </c>
      <c r="R44" s="354"/>
    </row>
  </sheetData>
  <mergeCells count="8">
    <mergeCell ref="B19:C19"/>
    <mergeCell ref="A1:R1"/>
    <mergeCell ref="A3:C3"/>
    <mergeCell ref="A5:C5"/>
    <mergeCell ref="A7:C7"/>
    <mergeCell ref="A11:A12"/>
    <mergeCell ref="B11:B12"/>
    <mergeCell ref="F11:F12"/>
  </mergeCells>
  <printOptions horizontalCentered="1" verticalCentered="1"/>
  <pageMargins left="0" right="0" top="0" bottom="0" header="0.31496062992125984" footer="0.31496062992125984"/>
  <pageSetup paperSize="9" scale="45" orientation="landscape" horizontalDpi="4294967293"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A24"/>
  <sheetViews>
    <sheetView topLeftCell="A7" workbookViewId="0">
      <pane xSplit="2" ySplit="7" topLeftCell="AO14" activePane="bottomRight" state="frozen"/>
      <selection activeCell="A7" sqref="A7"/>
      <selection pane="topRight" activeCell="C7" sqref="C7"/>
      <selection pane="bottomLeft" activeCell="A14" sqref="A14"/>
      <selection pane="bottomRight" activeCell="AT14" sqref="AT14"/>
    </sheetView>
  </sheetViews>
  <sheetFormatPr defaultColWidth="11.85546875" defaultRowHeight="44.25" customHeight="1"/>
  <cols>
    <col min="1" max="1" width="8" style="578" customWidth="1"/>
    <col min="2" max="2" width="21.85546875" style="575" customWidth="1"/>
    <col min="3" max="3" width="10.28515625" style="575" customWidth="1"/>
    <col min="4" max="4" width="7.85546875" style="575" customWidth="1"/>
    <col min="5" max="5" width="15.85546875" style="575" customWidth="1"/>
    <col min="6" max="6" width="23.85546875" style="575" customWidth="1"/>
    <col min="7" max="7" width="42.85546875" style="575" customWidth="1"/>
    <col min="8" max="9" width="11.85546875" style="575" customWidth="1"/>
    <col min="10" max="10" width="54.85546875" style="575" customWidth="1"/>
    <col min="11" max="13" width="11.85546875" style="575" customWidth="1"/>
    <col min="14" max="14" width="14.7109375" style="575" customWidth="1"/>
    <col min="15" max="18" width="11.85546875" style="575" customWidth="1"/>
    <col min="19" max="19" width="14.140625" style="575" customWidth="1"/>
    <col min="20" max="20" width="8.42578125" style="575" customWidth="1"/>
    <col min="21" max="21" width="12.28515625" style="575" customWidth="1"/>
    <col min="22" max="22" width="4.85546875" style="575" customWidth="1"/>
    <col min="23" max="23" width="6.7109375" style="575" customWidth="1"/>
    <col min="24" max="24" width="11.85546875" style="579"/>
    <col min="25" max="27" width="11.85546875" style="575"/>
    <col min="28" max="28" width="7.7109375" style="575" customWidth="1"/>
    <col min="29" max="32" width="11.85546875" style="575"/>
    <col min="33" max="38" width="11.85546875" style="580"/>
    <col min="39" max="44" width="11.85546875" style="581"/>
    <col min="45" max="47" width="11.85546875" style="580"/>
    <col min="48" max="48" width="22.28515625" style="580" bestFit="1" customWidth="1"/>
    <col min="49" max="49" width="11.85546875" style="580"/>
    <col min="50" max="16384" width="11.85546875" style="582"/>
  </cols>
  <sheetData>
    <row r="3" spans="1:53" s="320" customFormat="1" ht="44.25" customHeight="1">
      <c r="A3" s="574" t="s">
        <v>467</v>
      </c>
      <c r="B3" s="575"/>
      <c r="C3" s="575"/>
      <c r="D3" s="575"/>
      <c r="E3" s="575"/>
      <c r="F3" s="575"/>
      <c r="G3" s="575"/>
      <c r="H3" s="575"/>
      <c r="I3" s="575"/>
      <c r="J3" s="575"/>
      <c r="K3" s="576"/>
      <c r="L3" s="575"/>
      <c r="M3" s="575"/>
      <c r="N3" s="575"/>
      <c r="O3" s="575"/>
      <c r="P3" s="575"/>
      <c r="Q3" s="575"/>
      <c r="R3" s="575"/>
      <c r="S3" s="575"/>
      <c r="T3" s="575"/>
      <c r="U3" s="575"/>
      <c r="V3" s="575"/>
      <c r="W3" s="575"/>
      <c r="X3" s="575"/>
      <c r="Y3" s="575"/>
      <c r="Z3" s="575"/>
      <c r="AA3" s="575"/>
      <c r="AB3" s="575"/>
      <c r="AC3" s="575"/>
      <c r="AD3" s="575"/>
      <c r="AE3" s="575"/>
      <c r="AF3" s="575"/>
      <c r="AG3" s="577"/>
      <c r="AH3" s="577"/>
      <c r="AI3" s="577"/>
      <c r="AJ3" s="577"/>
      <c r="AK3" s="577"/>
      <c r="AL3" s="577"/>
      <c r="AM3" s="577"/>
      <c r="AN3" s="577"/>
      <c r="AO3" s="577"/>
      <c r="AP3" s="577"/>
      <c r="AQ3" s="577"/>
      <c r="AR3" s="577"/>
      <c r="AS3" s="577"/>
      <c r="AT3" s="577"/>
      <c r="AU3" s="577"/>
      <c r="AV3" s="577"/>
      <c r="AW3" s="577"/>
    </row>
    <row r="4" spans="1:53" ht="44.25" customHeight="1">
      <c r="B4" s="574" t="s">
        <v>0</v>
      </c>
    </row>
    <row r="5" spans="1:53" ht="24" customHeight="1">
      <c r="A5" s="677" t="s">
        <v>1</v>
      </c>
      <c r="B5" s="677"/>
      <c r="C5" s="677"/>
      <c r="D5" s="583"/>
      <c r="E5" s="583"/>
      <c r="F5" s="569" t="s">
        <v>445</v>
      </c>
      <c r="G5" s="583"/>
      <c r="H5" s="583"/>
      <c r="I5" s="323"/>
      <c r="J5" s="323"/>
      <c r="K5" s="323"/>
      <c r="L5" s="323"/>
      <c r="M5" s="323"/>
      <c r="N5" s="323"/>
      <c r="O5" s="323"/>
      <c r="P5" s="323"/>
      <c r="Q5" s="323"/>
      <c r="R5" s="323"/>
      <c r="S5" s="323"/>
      <c r="T5" s="323"/>
      <c r="U5" s="323"/>
      <c r="AA5" s="676" t="s">
        <v>2</v>
      </c>
      <c r="AB5" s="676"/>
      <c r="AC5" s="676"/>
      <c r="AD5" s="676"/>
      <c r="AE5" s="676"/>
      <c r="AF5" s="676"/>
      <c r="AG5" s="676"/>
      <c r="AH5" s="676"/>
      <c r="AI5" s="676"/>
      <c r="AJ5" s="676"/>
      <c r="AK5" s="676"/>
      <c r="AL5" s="676"/>
      <c r="AM5" s="676"/>
      <c r="AN5" s="676"/>
      <c r="AO5" s="569" t="s">
        <v>445</v>
      </c>
      <c r="AP5" s="584"/>
      <c r="AQ5" s="584"/>
      <c r="AR5" s="584"/>
      <c r="AS5" s="584"/>
      <c r="AT5" s="584"/>
      <c r="AU5" s="584"/>
      <c r="AV5" s="584"/>
      <c r="AW5" s="584"/>
      <c r="AX5" s="317"/>
      <c r="AY5" s="317"/>
      <c r="AZ5" s="317"/>
      <c r="BA5" s="317"/>
    </row>
    <row r="6" spans="1:53" ht="24" customHeight="1">
      <c r="A6" s="585"/>
      <c r="F6" s="175" t="s">
        <v>446</v>
      </c>
      <c r="I6" s="324"/>
      <c r="J6" s="324"/>
      <c r="K6" s="324"/>
      <c r="L6" s="324"/>
      <c r="M6" s="324"/>
      <c r="N6" s="324"/>
      <c r="O6" s="324"/>
      <c r="P6" s="324"/>
      <c r="Q6" s="324"/>
      <c r="R6" s="324"/>
      <c r="S6" s="324"/>
      <c r="T6" s="324"/>
      <c r="U6" s="324"/>
      <c r="AG6" s="586"/>
      <c r="AH6" s="586"/>
      <c r="AI6" s="586"/>
      <c r="AJ6" s="586"/>
      <c r="AK6" s="586"/>
      <c r="AL6" s="586"/>
      <c r="AO6" s="175" t="s">
        <v>446</v>
      </c>
      <c r="AP6" s="580"/>
      <c r="AQ6" s="580"/>
      <c r="AR6" s="318"/>
      <c r="AS6" s="318"/>
      <c r="AT6" s="318"/>
      <c r="AU6" s="318"/>
      <c r="AV6" s="318"/>
      <c r="AW6" s="318"/>
      <c r="AX6" s="318"/>
      <c r="AY6" s="318"/>
      <c r="AZ6" s="318"/>
      <c r="BA6" s="318"/>
    </row>
    <row r="7" spans="1:53" ht="24" customHeight="1">
      <c r="A7" s="585"/>
      <c r="F7" s="324"/>
      <c r="I7" s="324"/>
      <c r="J7" s="324"/>
      <c r="K7" s="324"/>
      <c r="L7" s="324"/>
      <c r="M7" s="324"/>
      <c r="N7" s="324"/>
      <c r="O7" s="324"/>
      <c r="P7" s="324"/>
      <c r="Q7" s="324"/>
      <c r="R7" s="324"/>
      <c r="S7" s="324"/>
      <c r="T7" s="324"/>
      <c r="U7" s="324"/>
      <c r="AG7" s="586"/>
      <c r="AH7" s="586"/>
      <c r="AI7" s="586"/>
      <c r="AJ7" s="586"/>
      <c r="AK7" s="586"/>
      <c r="AL7" s="586"/>
      <c r="AO7" s="175"/>
      <c r="AP7" s="580"/>
      <c r="AQ7" s="580"/>
      <c r="AR7" s="318"/>
      <c r="AS7" s="318"/>
      <c r="AT7" s="318"/>
      <c r="AU7" s="318"/>
      <c r="AV7" s="318"/>
      <c r="AW7" s="318"/>
      <c r="AX7" s="318"/>
      <c r="AY7" s="318"/>
      <c r="AZ7" s="318"/>
      <c r="BA7" s="318"/>
    </row>
    <row r="8" spans="1:53" ht="24" customHeight="1">
      <c r="A8" s="677" t="s">
        <v>3</v>
      </c>
      <c r="B8" s="677"/>
      <c r="C8" s="677"/>
      <c r="D8" s="583"/>
      <c r="E8" s="583"/>
      <c r="F8" s="570" t="s">
        <v>469</v>
      </c>
      <c r="G8" s="325"/>
      <c r="H8" s="325"/>
      <c r="I8" s="325"/>
      <c r="J8" s="325"/>
      <c r="K8" s="325"/>
      <c r="L8" s="325"/>
      <c r="M8" s="325"/>
      <c r="N8" s="325"/>
      <c r="O8" s="325"/>
      <c r="P8" s="325"/>
      <c r="Q8" s="325"/>
      <c r="R8" s="325"/>
      <c r="S8" s="325"/>
      <c r="T8" s="325"/>
      <c r="U8" s="325"/>
      <c r="AG8" s="586"/>
      <c r="AH8" s="586"/>
      <c r="AI8" s="586"/>
      <c r="AJ8" s="587" t="s">
        <v>5</v>
      </c>
      <c r="AK8" s="586"/>
      <c r="AL8" s="586"/>
      <c r="AO8" s="587" t="s">
        <v>443</v>
      </c>
      <c r="AP8" s="319"/>
      <c r="AQ8" s="319"/>
      <c r="AR8" s="319"/>
      <c r="AS8" s="319"/>
      <c r="AT8" s="319"/>
      <c r="AU8" s="319"/>
      <c r="AV8" s="319"/>
      <c r="AW8" s="319"/>
      <c r="AX8" s="319"/>
      <c r="AY8" s="319"/>
      <c r="AZ8" s="319"/>
      <c r="BA8" s="319"/>
    </row>
    <row r="9" spans="1:53" ht="26.25" customHeight="1">
      <c r="A9" s="677" t="s">
        <v>6</v>
      </c>
      <c r="B9" s="677"/>
      <c r="C9" s="677"/>
      <c r="D9" s="679">
        <v>44652</v>
      </c>
      <c r="E9" s="679"/>
      <c r="G9" s="588"/>
      <c r="H9" s="588"/>
      <c r="I9" s="588"/>
      <c r="J9" s="588"/>
      <c r="K9" s="588"/>
      <c r="L9" s="588"/>
      <c r="M9" s="588"/>
      <c r="N9" s="588"/>
      <c r="O9" s="588"/>
      <c r="P9" s="588"/>
      <c r="Q9" s="588"/>
      <c r="R9" s="588"/>
      <c r="S9" s="588"/>
      <c r="T9" s="588"/>
      <c r="U9" s="588"/>
      <c r="AB9" s="583"/>
      <c r="AC9" s="583"/>
      <c r="AD9" s="583"/>
      <c r="AE9" s="583"/>
      <c r="AF9" s="583"/>
      <c r="AH9" s="589"/>
      <c r="AI9" s="589"/>
      <c r="AQ9" s="584"/>
      <c r="AR9" s="584"/>
      <c r="AS9" s="584"/>
      <c r="AT9" s="584"/>
      <c r="AU9" s="584"/>
      <c r="AV9" s="317"/>
      <c r="AW9" s="317"/>
      <c r="AX9" s="317"/>
      <c r="AY9" s="317"/>
    </row>
    <row r="10" spans="1:53" ht="24" hidden="1" customHeight="1">
      <c r="AO10" s="320" t="s">
        <v>444</v>
      </c>
      <c r="AP10" s="321"/>
      <c r="AQ10" s="321"/>
      <c r="AR10" s="318"/>
      <c r="AS10" s="318"/>
      <c r="AT10" s="318"/>
      <c r="AU10" s="318"/>
      <c r="AV10" s="318"/>
      <c r="AW10" s="318"/>
      <c r="AX10" s="318"/>
      <c r="AY10" s="318"/>
    </row>
    <row r="11" spans="1:53" ht="24" hidden="1" customHeight="1">
      <c r="F11" s="575" t="s">
        <v>7</v>
      </c>
    </row>
    <row r="12" spans="1:53" s="595" customFormat="1" ht="44.25" customHeight="1">
      <c r="A12" s="671" t="s">
        <v>8</v>
      </c>
      <c r="B12" s="674" t="s">
        <v>9</v>
      </c>
      <c r="C12" s="590" t="s">
        <v>10</v>
      </c>
      <c r="D12" s="590" t="s">
        <v>11</v>
      </c>
      <c r="E12" s="591" t="s">
        <v>12</v>
      </c>
      <c r="F12" s="674" t="s">
        <v>13</v>
      </c>
      <c r="G12" s="591" t="s">
        <v>14</v>
      </c>
      <c r="H12" s="591"/>
      <c r="I12" s="591"/>
      <c r="J12" s="591" t="s">
        <v>15</v>
      </c>
      <c r="K12" s="591"/>
      <c r="L12" s="591"/>
      <c r="M12" s="591"/>
      <c r="N12" s="591" t="s">
        <v>16</v>
      </c>
      <c r="O12" s="591" t="s">
        <v>17</v>
      </c>
      <c r="P12" s="591" t="s">
        <v>18</v>
      </c>
      <c r="Q12" s="591" t="s">
        <v>19</v>
      </c>
      <c r="R12" s="591" t="s">
        <v>20</v>
      </c>
      <c r="S12" s="591" t="s">
        <v>21</v>
      </c>
      <c r="T12" s="591" t="s">
        <v>22</v>
      </c>
      <c r="U12" s="674" t="s">
        <v>9</v>
      </c>
      <c r="V12" s="674" t="s">
        <v>23</v>
      </c>
      <c r="W12" s="674" t="s">
        <v>24</v>
      </c>
      <c r="X12" s="678" t="s">
        <v>25</v>
      </c>
      <c r="Y12" s="674" t="s">
        <v>26</v>
      </c>
      <c r="Z12" s="674" t="s">
        <v>27</v>
      </c>
      <c r="AA12" s="674" t="s">
        <v>28</v>
      </c>
      <c r="AB12" s="672" t="s">
        <v>29</v>
      </c>
      <c r="AC12" s="592" t="s">
        <v>30</v>
      </c>
      <c r="AD12" s="592" t="s">
        <v>31</v>
      </c>
      <c r="AE12" s="592" t="s">
        <v>32</v>
      </c>
      <c r="AF12" s="592" t="s">
        <v>33</v>
      </c>
      <c r="AG12" s="673" t="s">
        <v>34</v>
      </c>
      <c r="AH12" s="593" t="s">
        <v>35</v>
      </c>
      <c r="AI12" s="593" t="s">
        <v>36</v>
      </c>
      <c r="AJ12" s="593" t="s">
        <v>37</v>
      </c>
      <c r="AK12" s="594" t="s">
        <v>38</v>
      </c>
      <c r="AL12" s="594" t="s">
        <v>39</v>
      </c>
      <c r="AM12" s="671" t="s">
        <v>40</v>
      </c>
      <c r="AN12" s="671"/>
      <c r="AO12" s="671"/>
      <c r="AP12" s="671"/>
      <c r="AQ12" s="671"/>
      <c r="AR12" s="671"/>
      <c r="AS12" s="671" t="s">
        <v>41</v>
      </c>
      <c r="AT12" s="671" t="s">
        <v>42</v>
      </c>
      <c r="AU12" s="594" t="s">
        <v>43</v>
      </c>
      <c r="AV12" s="671" t="s">
        <v>44</v>
      </c>
      <c r="AW12" s="671" t="s">
        <v>45</v>
      </c>
    </row>
    <row r="13" spans="1:53" ht="30">
      <c r="A13" s="671"/>
      <c r="B13" s="675"/>
      <c r="C13" s="596"/>
      <c r="D13" s="596"/>
      <c r="E13" s="596"/>
      <c r="F13" s="674"/>
      <c r="G13" s="597"/>
      <c r="H13" s="597"/>
      <c r="I13" s="597"/>
      <c r="J13" s="597"/>
      <c r="K13" s="597"/>
      <c r="L13" s="597"/>
      <c r="M13" s="597"/>
      <c r="N13" s="597"/>
      <c r="O13" s="597"/>
      <c r="P13" s="597"/>
      <c r="Q13" s="597"/>
      <c r="R13" s="597"/>
      <c r="T13" s="597"/>
      <c r="U13" s="675"/>
      <c r="V13" s="674"/>
      <c r="W13" s="674"/>
      <c r="X13" s="678"/>
      <c r="Y13" s="674"/>
      <c r="Z13" s="674"/>
      <c r="AA13" s="674"/>
      <c r="AB13" s="672"/>
      <c r="AC13" s="598"/>
      <c r="AD13" s="598"/>
      <c r="AE13" s="598"/>
      <c r="AF13" s="598"/>
      <c r="AG13" s="673"/>
      <c r="AH13" s="599"/>
      <c r="AI13" s="599"/>
      <c r="AJ13" s="599"/>
      <c r="AK13" s="599"/>
      <c r="AL13" s="599"/>
      <c r="AM13" s="600" t="s">
        <v>46</v>
      </c>
      <c r="AN13" s="600" t="s">
        <v>47</v>
      </c>
      <c r="AO13" s="600" t="s">
        <v>48</v>
      </c>
      <c r="AP13" s="600" t="s">
        <v>49</v>
      </c>
      <c r="AQ13" s="601" t="s">
        <v>470</v>
      </c>
      <c r="AR13" s="601" t="s">
        <v>51</v>
      </c>
      <c r="AS13" s="671"/>
      <c r="AT13" s="671"/>
      <c r="AU13" s="602"/>
      <c r="AV13" s="671"/>
      <c r="AW13" s="671"/>
    </row>
    <row r="14" spans="1:53" s="610" customFormat="1" ht="47.1" customHeight="1">
      <c r="A14" s="603">
        <v>1</v>
      </c>
      <c r="B14" s="488" t="s">
        <v>433</v>
      </c>
      <c r="C14" s="505" t="s">
        <v>435</v>
      </c>
      <c r="D14" s="488" t="s">
        <v>52</v>
      </c>
      <c r="E14" s="326" t="s">
        <v>436</v>
      </c>
      <c r="F14" s="604" t="s">
        <v>447</v>
      </c>
      <c r="G14" s="605" t="s">
        <v>437</v>
      </c>
      <c r="H14" s="348"/>
      <c r="I14" s="606"/>
      <c r="J14" s="605" t="s">
        <v>437</v>
      </c>
      <c r="K14" s="606"/>
      <c r="L14" s="348"/>
      <c r="M14" s="607"/>
      <c r="N14" s="571">
        <v>44181</v>
      </c>
      <c r="O14" s="607"/>
      <c r="P14" s="607"/>
      <c r="Q14" s="607"/>
      <c r="R14" s="607"/>
      <c r="S14" s="608">
        <v>101135871959</v>
      </c>
      <c r="T14" s="489" t="s">
        <v>439</v>
      </c>
      <c r="U14" s="338" t="str">
        <f>B14</f>
        <v>KRANTHI KUMAR VEDULLA</v>
      </c>
      <c r="V14" s="572">
        <v>30</v>
      </c>
      <c r="W14" s="349"/>
      <c r="X14" s="536">
        <v>84912</v>
      </c>
      <c r="Y14" s="573">
        <v>50947.199999999997</v>
      </c>
      <c r="Z14" s="350">
        <v>0</v>
      </c>
      <c r="AA14" s="350">
        <v>0</v>
      </c>
      <c r="AB14" s="349"/>
      <c r="AC14" s="351">
        <v>20378.88</v>
      </c>
      <c r="AD14" s="351">
        <v>2083</v>
      </c>
      <c r="AE14" s="351">
        <v>2083</v>
      </c>
      <c r="AF14" s="351">
        <v>9532.9199999999983</v>
      </c>
      <c r="AG14" s="641">
        <f>Y14+AC14+AD14+AE14+AF14</f>
        <v>85025</v>
      </c>
      <c r="AH14" s="642">
        <v>1554.6089999999999</v>
      </c>
      <c r="AI14" s="642">
        <v>2450.5603199999996</v>
      </c>
      <c r="AJ14" s="642">
        <v>4245.5999999999995</v>
      </c>
      <c r="AK14" s="642">
        <v>0</v>
      </c>
      <c r="AL14" s="643">
        <f>AG14+AH14+AI14+AJ14+AK14</f>
        <v>93275.769320000007</v>
      </c>
      <c r="AM14" s="644"/>
      <c r="AN14" s="645">
        <v>1800</v>
      </c>
      <c r="AO14" s="645">
        <v>200</v>
      </c>
      <c r="AP14" s="647"/>
      <c r="AQ14" s="644">
        <v>392</v>
      </c>
      <c r="AR14" s="645">
        <f t="shared" ref="AR14" si="0">SUM(AM14:AQ14)</f>
        <v>2392</v>
      </c>
      <c r="AS14" s="648">
        <f>AL14-AR14</f>
        <v>90883.769320000007</v>
      </c>
      <c r="AT14" s="344">
        <v>44686</v>
      </c>
      <c r="AU14" s="442" t="s">
        <v>438</v>
      </c>
      <c r="AV14" s="379" t="s">
        <v>449</v>
      </c>
      <c r="AW14" s="352"/>
    </row>
    <row r="15" spans="1:53" s="614" customFormat="1" ht="47.45" customHeight="1">
      <c r="A15" s="603">
        <v>2</v>
      </c>
      <c r="B15" s="488" t="s">
        <v>434</v>
      </c>
      <c r="C15" s="505" t="s">
        <v>440</v>
      </c>
      <c r="D15" s="378" t="s">
        <v>52</v>
      </c>
      <c r="E15" s="326" t="s">
        <v>441</v>
      </c>
      <c r="F15" s="604" t="s">
        <v>448</v>
      </c>
      <c r="G15" s="326" t="s">
        <v>442</v>
      </c>
      <c r="H15" s="337"/>
      <c r="I15" s="611"/>
      <c r="J15" s="327" t="s">
        <v>442</v>
      </c>
      <c r="K15" s="337"/>
      <c r="L15" s="337"/>
      <c r="M15" s="612"/>
      <c r="N15" s="571">
        <v>44181</v>
      </c>
      <c r="O15" s="612"/>
      <c r="P15" s="612"/>
      <c r="Q15" s="612"/>
      <c r="R15" s="612"/>
      <c r="S15" s="499">
        <v>101329723141</v>
      </c>
      <c r="T15" s="489" t="s">
        <v>439</v>
      </c>
      <c r="U15" s="338" t="str">
        <f>B15</f>
        <v>Vipin U.N</v>
      </c>
      <c r="V15" s="572">
        <v>8</v>
      </c>
      <c r="W15" s="342"/>
      <c r="X15" s="613">
        <v>105304</v>
      </c>
      <c r="Y15" s="573">
        <v>16848.64</v>
      </c>
      <c r="Z15" s="337">
        <v>0</v>
      </c>
      <c r="AA15" s="337">
        <v>0</v>
      </c>
      <c r="AB15" s="342"/>
      <c r="AC15" s="342">
        <v>6739.4560000000001</v>
      </c>
      <c r="AD15" s="342">
        <v>555</v>
      </c>
      <c r="AE15" s="342">
        <v>555</v>
      </c>
      <c r="AF15" s="351">
        <v>3495.970666666668</v>
      </c>
      <c r="AG15" s="641">
        <f>Y15+AC15+AD15+AE15+AF15</f>
        <v>28194.066666666666</v>
      </c>
      <c r="AH15" s="646">
        <v>1554.6089999999999</v>
      </c>
      <c r="AI15" s="646">
        <v>810.41958399999987</v>
      </c>
      <c r="AJ15" s="646">
        <v>1404.0533333333333</v>
      </c>
      <c r="AK15" s="646">
        <v>0</v>
      </c>
      <c r="AL15" s="643">
        <f>AG15+AH15+AI15+AJ15+AK15</f>
        <v>31963.148583999999</v>
      </c>
      <c r="AM15" s="644"/>
      <c r="AN15" s="645">
        <v>1800</v>
      </c>
      <c r="AO15" s="645">
        <v>200</v>
      </c>
      <c r="AP15" s="647"/>
      <c r="AQ15" s="644">
        <v>392</v>
      </c>
      <c r="AR15" s="645">
        <f t="shared" ref="AR15" si="1">SUM(AM15:AQ15)</f>
        <v>2392</v>
      </c>
      <c r="AS15" s="648">
        <f>AL15-AR15</f>
        <v>29571.148583999999</v>
      </c>
      <c r="AT15" s="344">
        <v>44686</v>
      </c>
      <c r="AU15" s="442" t="s">
        <v>438</v>
      </c>
      <c r="AV15" s="487" t="s">
        <v>450</v>
      </c>
      <c r="AW15" s="345"/>
    </row>
    <row r="16" spans="1:53" s="614" customFormat="1" ht="29.45" customHeight="1">
      <c r="A16" s="603"/>
      <c r="B16" s="338"/>
      <c r="C16" s="615"/>
      <c r="D16" s="340"/>
      <c r="E16" s="338"/>
      <c r="F16" s="611"/>
      <c r="G16" s="338"/>
      <c r="H16" s="337"/>
      <c r="I16" s="611"/>
      <c r="J16" s="338"/>
      <c r="K16" s="611"/>
      <c r="L16" s="611"/>
      <c r="M16" s="612"/>
      <c r="N16" s="616"/>
      <c r="O16" s="612"/>
      <c r="P16" s="612"/>
      <c r="Q16" s="612"/>
      <c r="R16" s="612"/>
      <c r="S16" s="617"/>
      <c r="T16" s="346"/>
      <c r="U16" s="338"/>
      <c r="V16" s="341"/>
      <c r="W16" s="342"/>
      <c r="X16" s="337">
        <f>SUM(X14:X15)</f>
        <v>190216</v>
      </c>
      <c r="Y16" s="343">
        <f>SUM(Y14:Y15)</f>
        <v>67795.839999999997</v>
      </c>
      <c r="Z16" s="345"/>
      <c r="AA16" s="345"/>
      <c r="AB16" s="343"/>
      <c r="AC16" s="343">
        <f>SUM(AC14:AC15)</f>
        <v>27118.336000000003</v>
      </c>
      <c r="AD16" s="343">
        <f>SUM(AD14:AD15)</f>
        <v>2638</v>
      </c>
      <c r="AE16" s="343">
        <f>SUM(AE14:AE15)</f>
        <v>2638</v>
      </c>
      <c r="AF16" s="343">
        <f>SUM(AF14:AF15)</f>
        <v>13028.890666666666</v>
      </c>
      <c r="AG16" s="343">
        <f>SUM(AG14:AG15)</f>
        <v>113219.06666666667</v>
      </c>
      <c r="AH16" s="345">
        <f t="shared" ref="AH16:AJ16" si="2">SUM(AH14:AH15)</f>
        <v>3109.2179999999998</v>
      </c>
      <c r="AI16" s="345">
        <f t="shared" si="2"/>
        <v>3260.9799039999994</v>
      </c>
      <c r="AJ16" s="345">
        <f t="shared" si="2"/>
        <v>5649.6533333333327</v>
      </c>
      <c r="AK16" s="345"/>
      <c r="AL16" s="343">
        <f>SUM(AL14:AL15)</f>
        <v>125238.917904</v>
      </c>
      <c r="AM16" s="345"/>
      <c r="AN16" s="343">
        <f t="shared" ref="AN16:AS16" si="3">SUM(AN14:AN15)</f>
        <v>3600</v>
      </c>
      <c r="AO16" s="343">
        <f t="shared" si="3"/>
        <v>400</v>
      </c>
      <c r="AP16" s="345">
        <f t="shared" si="3"/>
        <v>0</v>
      </c>
      <c r="AQ16" s="609">
        <f t="shared" si="3"/>
        <v>784</v>
      </c>
      <c r="AR16" s="343">
        <f t="shared" si="3"/>
        <v>4784</v>
      </c>
      <c r="AS16" s="343">
        <f t="shared" si="3"/>
        <v>120454.917904</v>
      </c>
      <c r="AT16" s="486"/>
      <c r="AU16" s="345"/>
      <c r="AV16" s="487"/>
      <c r="AW16" s="345"/>
    </row>
    <row r="17" spans="1:49" ht="17.25" customHeight="1">
      <c r="A17" s="30"/>
      <c r="B17" s="330"/>
      <c r="C17" s="328"/>
      <c r="D17" s="328"/>
      <c r="E17" s="328"/>
      <c r="F17" s="322"/>
      <c r="G17" s="322"/>
      <c r="H17" s="322"/>
      <c r="I17" s="322"/>
      <c r="J17" s="322"/>
      <c r="K17" s="322"/>
      <c r="L17" s="322"/>
      <c r="M17" s="322"/>
      <c r="N17" s="618"/>
      <c r="O17" s="322"/>
      <c r="P17" s="322"/>
      <c r="Q17" s="322"/>
      <c r="R17" s="322"/>
      <c r="S17" s="322"/>
      <c r="T17" s="322"/>
      <c r="U17" s="619"/>
      <c r="V17" s="620"/>
      <c r="W17" s="329"/>
      <c r="X17" s="329"/>
      <c r="Y17" s="331"/>
      <c r="Z17" s="322"/>
      <c r="AA17" s="322"/>
      <c r="AB17" s="329"/>
      <c r="AC17" s="332"/>
      <c r="AD17" s="329"/>
      <c r="AE17" s="329"/>
      <c r="AF17" s="329"/>
      <c r="AG17" s="31"/>
      <c r="AH17" s="23"/>
      <c r="AI17" s="23"/>
      <c r="AJ17" s="23"/>
      <c r="AK17" s="31"/>
      <c r="AL17" s="31">
        <f>AL15+1950</f>
        <v>33913.148583999995</v>
      </c>
      <c r="AM17" s="26"/>
      <c r="AN17" s="26"/>
      <c r="AO17" s="31"/>
      <c r="AP17" s="31"/>
      <c r="AQ17" s="31"/>
      <c r="AR17" s="31"/>
      <c r="AS17" s="31"/>
      <c r="AT17" s="26"/>
      <c r="AU17" s="26"/>
      <c r="AV17" s="333"/>
      <c r="AW17" s="334"/>
    </row>
    <row r="18" spans="1:49" ht="17.25" customHeight="1">
      <c r="A18" s="30"/>
      <c r="B18" s="330"/>
      <c r="C18" s="328"/>
      <c r="D18" s="328"/>
      <c r="E18" s="328"/>
      <c r="F18" s="322"/>
      <c r="G18" s="322"/>
      <c r="H18" s="322"/>
      <c r="I18" s="322"/>
      <c r="J18" s="322"/>
      <c r="K18" s="322"/>
      <c r="L18" s="322"/>
      <c r="M18" s="322"/>
      <c r="N18" s="618"/>
      <c r="O18" s="322"/>
      <c r="P18" s="322"/>
      <c r="Q18" s="322"/>
      <c r="R18" s="322"/>
      <c r="S18" s="322"/>
      <c r="T18" s="322"/>
      <c r="U18" s="619"/>
      <c r="V18" s="620"/>
      <c r="W18" s="329"/>
      <c r="X18" s="329"/>
      <c r="Y18" s="331"/>
      <c r="Z18" s="322"/>
      <c r="AA18" s="322"/>
      <c r="AB18" s="329"/>
      <c r="AC18" s="332"/>
      <c r="AD18" s="329"/>
      <c r="AE18" s="329"/>
      <c r="AF18" s="329"/>
      <c r="AG18" s="31"/>
      <c r="AH18" s="23"/>
      <c r="AI18" s="23"/>
      <c r="AJ18" s="23"/>
      <c r="AK18" s="31"/>
      <c r="AL18" s="31"/>
      <c r="AM18" s="26"/>
      <c r="AN18" s="26"/>
      <c r="AO18" s="31"/>
      <c r="AP18" s="31"/>
      <c r="AQ18" s="31"/>
      <c r="AR18" s="31"/>
      <c r="AS18" s="31"/>
      <c r="AT18" s="26"/>
      <c r="AU18" s="26"/>
      <c r="AV18" s="333"/>
      <c r="AW18" s="334"/>
    </row>
    <row r="19" spans="1:49" ht="17.25" customHeight="1">
      <c r="A19" s="30"/>
      <c r="B19" s="330"/>
      <c r="C19" s="328"/>
      <c r="D19" s="328"/>
      <c r="E19" s="328"/>
      <c r="F19" s="336"/>
      <c r="G19" s="322"/>
      <c r="H19" s="322"/>
      <c r="I19" s="322"/>
      <c r="J19" s="322"/>
      <c r="K19" s="322"/>
      <c r="L19" s="322"/>
      <c r="M19" s="322"/>
      <c r="N19" s="618"/>
      <c r="O19" s="322"/>
      <c r="P19" s="322"/>
      <c r="Q19" s="322"/>
      <c r="R19" s="322"/>
      <c r="S19" s="322"/>
      <c r="T19" s="322"/>
      <c r="U19" s="619"/>
      <c r="V19" s="620"/>
      <c r="W19" s="329"/>
      <c r="X19" s="329"/>
      <c r="Y19" s="331"/>
      <c r="Z19" s="322"/>
      <c r="AA19" s="322"/>
      <c r="AB19" s="329"/>
      <c r="AC19" s="332"/>
      <c r="AD19" s="329"/>
      <c r="AE19" s="329"/>
      <c r="AF19" s="329"/>
      <c r="AG19" s="31"/>
      <c r="AH19" s="23"/>
      <c r="AI19" s="23"/>
      <c r="AJ19" s="23"/>
      <c r="AK19" s="31"/>
      <c r="AL19" s="31"/>
      <c r="AM19" s="26"/>
      <c r="AN19" s="26"/>
      <c r="AO19" s="31"/>
      <c r="AP19" s="31"/>
      <c r="AQ19" s="31"/>
      <c r="AR19" s="31"/>
      <c r="AS19" s="31"/>
      <c r="AT19" s="26"/>
      <c r="AU19" s="26"/>
      <c r="AV19" s="333"/>
      <c r="AW19" s="32"/>
    </row>
    <row r="20" spans="1:49" ht="12.75" customHeight="1">
      <c r="A20" s="30"/>
      <c r="B20" s="330"/>
      <c r="C20" s="328"/>
      <c r="D20" s="328"/>
      <c r="E20" s="328"/>
      <c r="F20" s="322"/>
      <c r="G20" s="322"/>
      <c r="H20" s="322"/>
      <c r="I20" s="322"/>
      <c r="J20" s="322"/>
      <c r="K20" s="322"/>
      <c r="L20" s="322"/>
      <c r="M20" s="322"/>
      <c r="N20" s="618"/>
      <c r="O20" s="322"/>
      <c r="P20" s="322"/>
      <c r="Q20" s="322"/>
      <c r="R20" s="322"/>
      <c r="S20" s="322"/>
      <c r="T20" s="322"/>
      <c r="U20" s="619"/>
      <c r="V20" s="620"/>
      <c r="W20" s="329"/>
      <c r="X20" s="329"/>
      <c r="Y20" s="331"/>
      <c r="Z20" s="322"/>
      <c r="AA20" s="322"/>
      <c r="AB20" s="329"/>
      <c r="AC20" s="332"/>
      <c r="AD20" s="329"/>
      <c r="AE20" s="329"/>
      <c r="AF20" s="329"/>
      <c r="AG20" s="31"/>
      <c r="AH20" s="23"/>
      <c r="AI20" s="23"/>
      <c r="AJ20" s="23"/>
      <c r="AK20" s="31"/>
      <c r="AL20" s="31"/>
      <c r="AM20" s="26"/>
      <c r="AN20" s="26"/>
      <c r="AO20" s="31"/>
      <c r="AP20" s="31"/>
      <c r="AQ20" s="31"/>
      <c r="AR20" s="31"/>
      <c r="AS20" s="31"/>
      <c r="AT20" s="26"/>
      <c r="AU20" s="26"/>
      <c r="AV20" s="333"/>
      <c r="AW20" s="32"/>
    </row>
    <row r="21" spans="1:49" ht="12.75" customHeight="1">
      <c r="A21" s="30"/>
      <c r="B21" s="330"/>
      <c r="C21" s="328"/>
      <c r="D21" s="328"/>
      <c r="E21" s="328"/>
      <c r="F21" s="322"/>
      <c r="G21" s="322"/>
      <c r="H21" s="322"/>
      <c r="I21" s="322"/>
      <c r="J21" s="322"/>
      <c r="K21" s="322"/>
      <c r="L21" s="322"/>
      <c r="M21" s="322"/>
      <c r="N21" s="618"/>
      <c r="O21" s="322"/>
      <c r="P21" s="322"/>
      <c r="Q21" s="322"/>
      <c r="R21" s="322"/>
      <c r="S21" s="322"/>
      <c r="T21" s="322"/>
      <c r="U21" s="619"/>
      <c r="V21" s="620"/>
      <c r="W21" s="329"/>
      <c r="X21" s="329"/>
      <c r="Y21" s="322"/>
      <c r="Z21" s="322"/>
      <c r="AA21" s="322"/>
      <c r="AB21" s="329"/>
      <c r="AC21" s="322"/>
      <c r="AD21" s="329"/>
      <c r="AE21" s="329"/>
      <c r="AF21" s="329"/>
      <c r="AG21" s="31"/>
      <c r="AH21" s="23"/>
      <c r="AI21" s="23"/>
      <c r="AJ21" s="23"/>
      <c r="AK21" s="31"/>
      <c r="AL21" s="31"/>
      <c r="AM21" s="26"/>
      <c r="AN21" s="26"/>
      <c r="AO21" s="31"/>
      <c r="AP21" s="31"/>
      <c r="AQ21" s="31"/>
      <c r="AR21" s="31"/>
      <c r="AS21" s="31"/>
      <c r="AT21" s="26"/>
      <c r="AU21" s="26"/>
      <c r="AV21" s="333"/>
      <c r="AW21" s="32"/>
    </row>
    <row r="22" spans="1:49" ht="12.75" customHeight="1"/>
    <row r="23" spans="1:49" ht="12.75" customHeight="1"/>
    <row r="24" spans="1:49" ht="12.75" customHeight="1"/>
  </sheetData>
  <autoFilter ref="D3:D25" xr:uid="{00000000-0009-0000-0000-000001000000}"/>
  <mergeCells count="22">
    <mergeCell ref="AA5:AN5"/>
    <mergeCell ref="A8:C8"/>
    <mergeCell ref="A9:C9"/>
    <mergeCell ref="A12:A13"/>
    <mergeCell ref="F12:F13"/>
    <mergeCell ref="V12:V13"/>
    <mergeCell ref="W12:W13"/>
    <mergeCell ref="A5:C5"/>
    <mergeCell ref="U12:U13"/>
    <mergeCell ref="X12:X13"/>
    <mergeCell ref="Y12:Y13"/>
    <mergeCell ref="Z12:Z13"/>
    <mergeCell ref="AA12:AA13"/>
    <mergeCell ref="D9:E9"/>
    <mergeCell ref="AW12:AW13"/>
    <mergeCell ref="AB12:AB13"/>
    <mergeCell ref="AG12:AG13"/>
    <mergeCell ref="B12:B13"/>
    <mergeCell ref="AM12:AR12"/>
    <mergeCell ref="AT12:AT13"/>
    <mergeCell ref="AV12:AV13"/>
    <mergeCell ref="AS12:AS13"/>
  </mergeCells>
  <printOptions horizontalCentered="1" verticalCentered="1"/>
  <pageMargins left="0" right="0" top="0" bottom="0" header="0.31496062992126" footer="0.31496062992126"/>
  <pageSetup paperSize="9" scale="65" orientation="landscape" horizontalDpi="4294967293"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0"/>
  <sheetViews>
    <sheetView topLeftCell="A10" workbookViewId="0">
      <selection activeCell="C28" sqref="C28"/>
    </sheetView>
  </sheetViews>
  <sheetFormatPr defaultRowHeight="15"/>
  <cols>
    <col min="1" max="1" width="26.28515625" customWidth="1"/>
    <col min="2" max="2" width="23.7109375" customWidth="1"/>
    <col min="3" max="3" width="11.28515625" customWidth="1"/>
    <col min="4" max="4" width="11.85546875" customWidth="1"/>
    <col min="10" max="10" width="15" customWidth="1"/>
    <col min="11" max="11" width="12.85546875" customWidth="1"/>
  </cols>
  <sheetData>
    <row r="1" spans="1:11">
      <c r="A1" s="682" t="s">
        <v>215</v>
      </c>
      <c r="B1" s="683"/>
      <c r="C1" s="683"/>
      <c r="D1" s="683"/>
      <c r="E1" s="683"/>
      <c r="F1" s="683"/>
      <c r="G1" s="683"/>
      <c r="H1" s="683"/>
      <c r="I1" s="683"/>
      <c r="J1" s="140"/>
      <c r="K1" s="141"/>
    </row>
    <row r="2" spans="1:11">
      <c r="A2" s="684" t="s">
        <v>216</v>
      </c>
      <c r="B2" s="685"/>
      <c r="C2" s="685"/>
      <c r="D2" s="685"/>
      <c r="E2" s="685"/>
      <c r="F2" s="685"/>
      <c r="G2" s="685"/>
      <c r="H2" s="685"/>
      <c r="I2" s="685"/>
      <c r="J2" s="406"/>
      <c r="K2" s="142"/>
    </row>
    <row r="3" spans="1:11">
      <c r="A3" s="686"/>
      <c r="B3" s="687"/>
      <c r="C3" s="687"/>
      <c r="D3" s="687"/>
      <c r="E3" s="687"/>
      <c r="F3" s="687"/>
      <c r="G3" s="687"/>
      <c r="H3" s="687"/>
      <c r="I3" s="687"/>
      <c r="J3" s="407"/>
      <c r="K3" s="143"/>
    </row>
    <row r="4" spans="1:11">
      <c r="A4" s="688" t="s">
        <v>217</v>
      </c>
      <c r="B4" s="689"/>
      <c r="C4" s="689"/>
      <c r="D4" s="689"/>
      <c r="E4" s="689"/>
      <c r="F4" s="689"/>
      <c r="G4" s="689"/>
      <c r="H4" s="689"/>
      <c r="I4" s="689"/>
      <c r="J4" s="409"/>
      <c r="K4" s="144"/>
    </row>
    <row r="5" spans="1:11">
      <c r="A5" s="408"/>
      <c r="B5" s="409"/>
      <c r="C5" s="409"/>
      <c r="D5" s="409"/>
      <c r="E5" s="409"/>
      <c r="F5" s="409"/>
      <c r="G5" s="409"/>
      <c r="H5" s="409"/>
      <c r="I5" s="409"/>
      <c r="J5" s="409"/>
      <c r="K5" s="144"/>
    </row>
    <row r="6" spans="1:11" ht="18.75">
      <c r="A6" s="145"/>
      <c r="B6" s="146"/>
      <c r="C6" s="146"/>
      <c r="D6" s="690">
        <f>'0422Master'!D9</f>
        <v>44652</v>
      </c>
      <c r="E6" s="690"/>
      <c r="F6" s="146"/>
      <c r="G6" s="146"/>
      <c r="H6" s="146"/>
      <c r="I6" s="146"/>
      <c r="J6" s="146"/>
      <c r="K6" s="147"/>
    </row>
    <row r="7" spans="1:11">
      <c r="A7" s="408"/>
      <c r="B7" s="409"/>
      <c r="C7" s="409"/>
      <c r="D7" s="409"/>
      <c r="E7" s="409"/>
      <c r="F7" s="409"/>
      <c r="G7" s="409"/>
      <c r="H7" s="409"/>
      <c r="I7" s="409"/>
      <c r="J7" s="409"/>
      <c r="K7" s="144"/>
    </row>
    <row r="8" spans="1:11">
      <c r="A8" s="148" t="s">
        <v>218</v>
      </c>
      <c r="B8" s="149"/>
      <c r="C8" s="149"/>
      <c r="D8" s="149"/>
      <c r="E8" s="150"/>
      <c r="F8" s="680" t="str">
        <f>'0422Master'!F5</f>
        <v>Burgeon IT Services Pvt.Ltd.</v>
      </c>
      <c r="G8" s="680"/>
      <c r="H8" s="680"/>
      <c r="I8" s="680"/>
      <c r="J8" s="680"/>
      <c r="K8" s="681"/>
    </row>
    <row r="9" spans="1:11">
      <c r="A9" s="151"/>
      <c r="B9" s="152"/>
      <c r="C9" s="153"/>
      <c r="D9" s="154"/>
      <c r="E9" s="154"/>
      <c r="F9" s="155" t="str">
        <f>'0422Master'!AO6</f>
        <v>Siri Mansion LIGB 436 Dr.A S Rao Nagar,Hyderabad</v>
      </c>
      <c r="G9" s="152"/>
      <c r="H9" s="152"/>
      <c r="I9" s="152"/>
      <c r="J9" s="155"/>
      <c r="K9" s="156"/>
    </row>
    <row r="10" spans="1:11">
      <c r="A10" s="148" t="s">
        <v>219</v>
      </c>
      <c r="B10" s="149"/>
      <c r="C10" s="149"/>
      <c r="D10" s="149"/>
      <c r="E10" s="150"/>
      <c r="F10" s="680"/>
      <c r="G10" s="680"/>
      <c r="H10" s="680"/>
      <c r="I10" s="680"/>
      <c r="J10" s="680"/>
      <c r="K10" s="681"/>
    </row>
    <row r="11" spans="1:11">
      <c r="A11" s="151"/>
      <c r="B11" s="152"/>
      <c r="C11" s="152"/>
      <c r="D11" s="152"/>
      <c r="E11" s="155"/>
      <c r="G11" s="152"/>
      <c r="H11" s="152"/>
      <c r="I11" s="152"/>
      <c r="J11" s="155"/>
      <c r="K11" s="156"/>
    </row>
    <row r="12" spans="1:11">
      <c r="A12" s="148" t="s">
        <v>220</v>
      </c>
      <c r="B12" s="149"/>
      <c r="C12" s="149"/>
      <c r="D12" s="149"/>
      <c r="E12" s="150"/>
      <c r="F12" s="680" t="str">
        <f>'0422Master'!AO8</f>
        <v>INFOSYS LIMITED, IL BHUBANESHWAR-STP,UNIT-II</v>
      </c>
      <c r="G12" s="680"/>
      <c r="H12" s="680"/>
      <c r="I12" s="680"/>
      <c r="J12" s="680"/>
      <c r="K12" s="681"/>
    </row>
    <row r="13" spans="1:11" ht="21">
      <c r="A13" s="157"/>
      <c r="B13" s="158"/>
      <c r="C13" s="158"/>
      <c r="D13" s="158"/>
      <c r="E13" s="159"/>
      <c r="F13" s="14" t="str">
        <f>'0422Master'!AO10</f>
        <v>Plot No E/4,Info city,Chandaka Industrial, Bhubaneswar,Odisha - 751024</v>
      </c>
      <c r="G13" s="158"/>
      <c r="H13" s="158"/>
      <c r="I13" s="158"/>
      <c r="J13" s="160"/>
      <c r="K13" s="161"/>
    </row>
    <row r="14" spans="1:11">
      <c r="A14" s="693" t="s">
        <v>221</v>
      </c>
      <c r="B14" s="694"/>
      <c r="C14" s="162">
        <f>D22</f>
        <v>2</v>
      </c>
      <c r="D14" s="163"/>
      <c r="E14" s="163"/>
      <c r="F14" s="163"/>
      <c r="G14" s="163"/>
      <c r="H14" s="163"/>
      <c r="I14" s="163"/>
      <c r="J14" s="164"/>
      <c r="K14" s="165"/>
    </row>
    <row r="15" spans="1:11">
      <c r="A15" s="403"/>
      <c r="B15" s="404"/>
      <c r="C15" s="163"/>
      <c r="D15" s="163"/>
      <c r="E15" s="163"/>
      <c r="F15" s="163"/>
      <c r="G15" s="163"/>
      <c r="H15" s="163"/>
      <c r="I15" s="163"/>
      <c r="J15" s="164"/>
      <c r="K15" s="165"/>
    </row>
    <row r="16" spans="1:11">
      <c r="A16" s="693" t="s">
        <v>222</v>
      </c>
      <c r="B16" s="694"/>
      <c r="C16" s="162">
        <f>C22</f>
        <v>0</v>
      </c>
      <c r="D16" s="163"/>
      <c r="E16" s="163"/>
      <c r="F16" s="163"/>
      <c r="G16" s="163"/>
      <c r="H16" s="163"/>
      <c r="I16" s="163"/>
      <c r="J16" s="164"/>
      <c r="K16" s="165"/>
    </row>
    <row r="17" spans="1:16">
      <c r="A17" s="695"/>
      <c r="B17" s="696"/>
      <c r="C17" s="696"/>
      <c r="D17" s="696"/>
      <c r="E17" s="696"/>
      <c r="F17" s="696"/>
      <c r="G17" s="696"/>
      <c r="H17" s="696"/>
      <c r="I17" s="696"/>
      <c r="J17" s="405"/>
      <c r="K17" s="166"/>
    </row>
    <row r="18" spans="1:16">
      <c r="A18" s="167"/>
      <c r="B18" s="402"/>
      <c r="C18" s="691" t="s">
        <v>223</v>
      </c>
      <c r="D18" s="691"/>
      <c r="E18" s="691"/>
      <c r="F18" s="691"/>
      <c r="G18" s="691"/>
      <c r="H18" s="691"/>
      <c r="I18" s="692"/>
      <c r="J18" s="402"/>
      <c r="K18" s="168"/>
    </row>
    <row r="19" spans="1:16" ht="105">
      <c r="A19" s="169" t="s">
        <v>224</v>
      </c>
      <c r="B19" s="472" t="s">
        <v>225</v>
      </c>
      <c r="C19" s="472" t="s">
        <v>226</v>
      </c>
      <c r="D19" s="472" t="s">
        <v>227</v>
      </c>
      <c r="E19" s="472" t="s">
        <v>228</v>
      </c>
      <c r="F19" s="472" t="s">
        <v>229</v>
      </c>
      <c r="G19" s="472" t="s">
        <v>230</v>
      </c>
      <c r="H19" s="472" t="s">
        <v>231</v>
      </c>
      <c r="I19" s="472" t="s">
        <v>232</v>
      </c>
      <c r="J19" s="472" t="s">
        <v>233</v>
      </c>
      <c r="K19" s="170" t="s">
        <v>234</v>
      </c>
    </row>
    <row r="20" spans="1:16">
      <c r="A20" s="171" t="str">
        <f>'0422Master'!F14</f>
        <v>Senior Network Engineer</v>
      </c>
      <c r="B20" s="473" t="s">
        <v>4</v>
      </c>
      <c r="C20" s="383">
        <v>0</v>
      </c>
      <c r="D20" s="383">
        <v>1</v>
      </c>
      <c r="E20" s="474">
        <f>'0422Master'!X14</f>
        <v>84912</v>
      </c>
      <c r="F20" s="474">
        <f>'0422Master'!Y14</f>
        <v>50947.199999999997</v>
      </c>
      <c r="G20" s="474">
        <f>'0422Master'!AC14</f>
        <v>20378.88</v>
      </c>
      <c r="H20" s="474">
        <f>E20-(F20+G20)</f>
        <v>13585.919999999998</v>
      </c>
      <c r="I20" s="475">
        <v>0</v>
      </c>
      <c r="J20" s="383" t="s">
        <v>235</v>
      </c>
      <c r="K20" s="172" t="s">
        <v>236</v>
      </c>
    </row>
    <row r="21" spans="1:16">
      <c r="A21" s="171" t="str">
        <f>'0422Master'!F15</f>
        <v>Senior IT Endpoint Engineer</v>
      </c>
      <c r="B21" s="473" t="s">
        <v>4</v>
      </c>
      <c r="C21" s="383">
        <v>0</v>
      </c>
      <c r="D21" s="383">
        <v>1</v>
      </c>
      <c r="E21" s="474">
        <f>'0422Master'!X15</f>
        <v>105304</v>
      </c>
      <c r="F21" s="474">
        <f>'0422Master'!Y15</f>
        <v>16848.64</v>
      </c>
      <c r="G21" s="474">
        <f>'0422Master'!AC15</f>
        <v>6739.4560000000001</v>
      </c>
      <c r="H21" s="474">
        <f t="shared" ref="H21" si="0">E21-(F21+G21)</f>
        <v>81715.90400000001</v>
      </c>
      <c r="I21" s="475">
        <v>0</v>
      </c>
      <c r="J21" s="383" t="s">
        <v>235</v>
      </c>
      <c r="K21" s="172" t="s">
        <v>236</v>
      </c>
    </row>
    <row r="22" spans="1:16">
      <c r="A22" s="40"/>
      <c r="B22" s="27"/>
      <c r="C22" s="173">
        <f>SUM(C20:C21)</f>
        <v>0</v>
      </c>
      <c r="D22" s="173">
        <f>SUM(D20:D21)</f>
        <v>2</v>
      </c>
      <c r="E22" s="27"/>
      <c r="F22" s="27"/>
      <c r="G22" s="27"/>
      <c r="H22" s="27"/>
      <c r="I22" s="27"/>
      <c r="J22" s="27"/>
      <c r="K22" s="41"/>
      <c r="P22" t="s">
        <v>237</v>
      </c>
    </row>
    <row r="23" spans="1:16">
      <c r="A23" s="40"/>
      <c r="B23" s="27"/>
      <c r="C23" s="27"/>
      <c r="D23" s="27"/>
      <c r="E23" s="27"/>
      <c r="F23" s="27"/>
      <c r="G23" s="27"/>
      <c r="H23" s="27"/>
      <c r="I23" s="27"/>
      <c r="J23" s="27"/>
      <c r="K23" s="41"/>
    </row>
    <row r="24" spans="1:16">
      <c r="A24" s="40"/>
      <c r="B24" s="27"/>
      <c r="C24" s="27"/>
      <c r="D24" s="27"/>
      <c r="E24" s="27"/>
      <c r="F24" s="27"/>
      <c r="G24" s="27"/>
      <c r="H24" s="27"/>
      <c r="I24" s="27"/>
      <c r="J24" s="27"/>
      <c r="K24" s="41"/>
    </row>
    <row r="25" spans="1:16">
      <c r="A25" s="40"/>
      <c r="B25" s="27"/>
      <c r="C25" s="27"/>
      <c r="D25" s="27"/>
      <c r="E25" s="27"/>
      <c r="F25" s="27"/>
      <c r="G25" s="27"/>
      <c r="H25" s="27"/>
      <c r="I25" s="27"/>
      <c r="J25" s="27"/>
      <c r="K25" s="41"/>
    </row>
    <row r="26" spans="1:16">
      <c r="A26" s="40"/>
      <c r="B26" s="27"/>
      <c r="C26" s="27"/>
      <c r="D26" s="27"/>
      <c r="E26" s="174" t="s">
        <v>63</v>
      </c>
      <c r="F26" s="27"/>
      <c r="G26" s="27"/>
      <c r="H26" s="27"/>
      <c r="I26" s="27"/>
      <c r="J26" s="27"/>
      <c r="K26" s="41"/>
    </row>
    <row r="27" spans="1:16">
      <c r="A27" s="40"/>
      <c r="B27" s="27"/>
      <c r="C27" s="27"/>
      <c r="D27" s="27"/>
      <c r="E27" s="27"/>
      <c r="F27" s="27"/>
      <c r="G27" s="27"/>
      <c r="H27" s="27"/>
      <c r="I27" s="27"/>
      <c r="J27" s="27"/>
      <c r="K27" s="41"/>
    </row>
    <row r="28" spans="1:16">
      <c r="A28" s="40"/>
      <c r="B28" s="27"/>
      <c r="C28" s="27"/>
      <c r="D28" s="27"/>
      <c r="E28" s="27"/>
      <c r="F28" s="27"/>
      <c r="G28" s="27"/>
      <c r="H28" s="27"/>
      <c r="I28" s="27"/>
      <c r="J28" s="27"/>
      <c r="K28" s="41"/>
    </row>
    <row r="29" spans="1:16">
      <c r="A29" s="40"/>
      <c r="B29" s="27"/>
      <c r="C29" s="27"/>
      <c r="D29" s="27"/>
      <c r="E29" s="27"/>
      <c r="F29" s="27"/>
      <c r="G29" s="27"/>
      <c r="H29" s="27"/>
      <c r="I29" s="27"/>
      <c r="J29" s="27"/>
      <c r="K29" s="41"/>
    </row>
    <row r="30" spans="1:16" ht="15.75" thickBot="1">
      <c r="A30" s="54"/>
      <c r="B30" s="52"/>
      <c r="C30" s="52"/>
      <c r="D30" s="52"/>
      <c r="E30" s="52"/>
      <c r="F30" s="52"/>
      <c r="G30" s="52"/>
      <c r="H30" s="52"/>
      <c r="I30" s="52"/>
      <c r="J30" s="52"/>
      <c r="K30" s="53"/>
    </row>
  </sheetData>
  <mergeCells count="12">
    <mergeCell ref="C18:I18"/>
    <mergeCell ref="F10:K10"/>
    <mergeCell ref="F12:K12"/>
    <mergeCell ref="A14:B14"/>
    <mergeCell ref="A16:B16"/>
    <mergeCell ref="A17:I17"/>
    <mergeCell ref="F8:K8"/>
    <mergeCell ref="A1:I1"/>
    <mergeCell ref="A2:I2"/>
    <mergeCell ref="A3:I3"/>
    <mergeCell ref="A4:I4"/>
    <mergeCell ref="D6:E6"/>
  </mergeCells>
  <pageMargins left="0.88" right="0.7" top="0.75" bottom="0.75" header="0.3" footer="0.3"/>
  <pageSetup scale="80"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JD25"/>
  <sheetViews>
    <sheetView topLeftCell="A4" workbookViewId="0">
      <selection activeCell="B16" sqref="B16"/>
    </sheetView>
  </sheetViews>
  <sheetFormatPr defaultRowHeight="15.75"/>
  <cols>
    <col min="1" max="1" width="5.140625" style="9" customWidth="1"/>
    <col min="2" max="2" width="29" customWidth="1"/>
    <col min="3" max="3" width="21.85546875" customWidth="1"/>
    <col min="4" max="4" width="7.5703125" customWidth="1"/>
    <col min="5" max="6" width="4.28515625" customWidth="1"/>
    <col min="7" max="7" width="4.28515625" style="2" customWidth="1"/>
    <col min="8" max="34" width="4.28515625" customWidth="1"/>
    <col min="35" max="35" width="18.42578125" customWidth="1"/>
    <col min="37" max="37" width="3.7109375" customWidth="1"/>
  </cols>
  <sheetData>
    <row r="3" spans="1:35" ht="43.5" customHeight="1">
      <c r="A3" s="697" t="s">
        <v>58</v>
      </c>
      <c r="B3" s="698"/>
      <c r="C3" s="698"/>
      <c r="D3" s="698"/>
      <c r="E3" s="698"/>
      <c r="F3" s="698"/>
      <c r="G3" s="698"/>
      <c r="H3" s="698"/>
      <c r="I3" s="698"/>
      <c r="J3" s="698"/>
      <c r="K3" s="698"/>
      <c r="L3" s="698"/>
      <c r="M3" s="698"/>
      <c r="N3" s="698"/>
      <c r="O3" s="698"/>
      <c r="P3" s="698"/>
      <c r="Q3" s="698"/>
      <c r="R3" s="698"/>
      <c r="S3" s="698"/>
      <c r="T3" s="698"/>
      <c r="U3" s="698"/>
      <c r="V3" s="698"/>
      <c r="W3" s="698"/>
      <c r="X3" s="698"/>
      <c r="Y3" s="698"/>
      <c r="Z3" s="698"/>
      <c r="AA3" s="698"/>
      <c r="AB3" s="698"/>
      <c r="AC3" s="698"/>
      <c r="AD3" s="698"/>
      <c r="AE3" s="698"/>
      <c r="AF3" s="698"/>
      <c r="AG3" s="651"/>
      <c r="AH3" s="651"/>
    </row>
    <row r="5" spans="1:35" ht="43.5" customHeight="1">
      <c r="A5" s="699" t="s">
        <v>1</v>
      </c>
      <c r="B5" s="699"/>
      <c r="C5" s="699"/>
      <c r="D5" s="1" t="str">
        <f>'0422Master'!F5</f>
        <v>Burgeon IT Services Pvt.Ltd.</v>
      </c>
      <c r="J5" s="34" t="s">
        <v>2</v>
      </c>
      <c r="K5" s="34"/>
      <c r="L5" s="34"/>
      <c r="M5" s="34"/>
      <c r="N5" s="34"/>
      <c r="O5" s="34"/>
      <c r="P5" s="34"/>
      <c r="Q5" s="34"/>
      <c r="R5" s="34"/>
      <c r="S5" s="34"/>
      <c r="T5" s="34"/>
      <c r="U5" s="34"/>
      <c r="V5" s="34"/>
      <c r="X5" s="34"/>
      <c r="Y5" s="34"/>
      <c r="Z5" s="3"/>
      <c r="AA5" s="34"/>
      <c r="AB5" s="34"/>
      <c r="AC5" s="34"/>
      <c r="AD5" s="34"/>
      <c r="AE5" s="34"/>
      <c r="AF5" s="34"/>
      <c r="AG5" s="34"/>
      <c r="AH5" s="34"/>
      <c r="AI5" s="5"/>
    </row>
    <row r="6" spans="1:35" ht="20.45" customHeight="1">
      <c r="A6" s="6"/>
      <c r="D6" s="7" t="str">
        <f>'0422Master'!F6</f>
        <v>Siri Mansion LIGB 436 Dr.A S Rao Nagar,Hyderabad</v>
      </c>
      <c r="K6" s="8"/>
      <c r="L6" s="8"/>
      <c r="M6" s="8"/>
      <c r="N6" s="8"/>
      <c r="O6" s="8"/>
      <c r="P6" s="8"/>
      <c r="Q6" s="8"/>
      <c r="R6" s="8"/>
      <c r="S6" s="8"/>
      <c r="T6" s="8"/>
      <c r="U6" s="8"/>
      <c r="V6" s="8"/>
      <c r="X6" s="8"/>
      <c r="Y6" s="8"/>
      <c r="Z6" s="7"/>
      <c r="AA6" s="8"/>
      <c r="AB6" s="8"/>
      <c r="AC6" s="8"/>
      <c r="AD6" s="8"/>
      <c r="AE6" s="8"/>
      <c r="AF6" s="8"/>
      <c r="AG6" s="8"/>
      <c r="AH6" s="8"/>
      <c r="AI6" s="10"/>
    </row>
    <row r="7" spans="1:35">
      <c r="A7" s="699" t="s">
        <v>3</v>
      </c>
      <c r="B7" s="699"/>
      <c r="C7" s="699"/>
      <c r="D7" s="11" t="str">
        <f>'0422Master'!F8</f>
        <v>IT SUPPORTIVE SERVICES &amp; BHUBANESWAR</v>
      </c>
      <c r="K7" s="8"/>
      <c r="L7" s="8"/>
      <c r="M7" s="8"/>
      <c r="N7" s="8"/>
      <c r="O7" s="8"/>
      <c r="P7" s="8"/>
      <c r="Q7" s="8"/>
      <c r="R7" s="8"/>
      <c r="S7" s="8"/>
      <c r="T7" s="8"/>
      <c r="U7" s="8"/>
      <c r="V7" s="8"/>
      <c r="X7" s="8"/>
      <c r="Y7" s="8"/>
      <c r="Z7" s="12"/>
      <c r="AA7" s="8"/>
      <c r="AB7" s="8"/>
      <c r="AC7" s="8"/>
      <c r="AD7" s="8"/>
      <c r="AE7" s="8"/>
      <c r="AF7" s="8"/>
      <c r="AG7" s="8"/>
      <c r="AH7" s="8"/>
      <c r="AI7" s="12"/>
    </row>
    <row r="8" spans="1:35">
      <c r="A8" s="6"/>
      <c r="K8" s="8"/>
      <c r="L8" s="8"/>
      <c r="M8" s="8"/>
      <c r="N8" s="8"/>
      <c r="O8" s="8"/>
      <c r="P8" s="8"/>
      <c r="Q8" s="8"/>
      <c r="R8" s="8"/>
      <c r="S8" s="8"/>
      <c r="T8" s="8"/>
      <c r="U8" s="8"/>
      <c r="V8" s="8"/>
      <c r="X8" s="8"/>
      <c r="Y8" s="8"/>
      <c r="Z8" s="33"/>
      <c r="AA8" s="8"/>
      <c r="AB8" s="8"/>
      <c r="AC8" s="8"/>
      <c r="AD8" s="8"/>
      <c r="AE8" s="8"/>
      <c r="AF8" s="8"/>
      <c r="AG8" s="8"/>
      <c r="AH8" s="8"/>
    </row>
    <row r="9" spans="1:35" ht="15" customHeight="1">
      <c r="A9" s="699" t="s">
        <v>6</v>
      </c>
      <c r="B9" s="699"/>
      <c r="C9" s="699"/>
      <c r="D9" s="13">
        <f>'0422Master'!D9</f>
        <v>44652</v>
      </c>
      <c r="K9" s="385"/>
      <c r="M9" s="385" t="s">
        <v>5</v>
      </c>
      <c r="N9" s="385"/>
      <c r="O9" s="385"/>
      <c r="P9" s="6"/>
      <c r="Q9" s="6"/>
      <c r="R9" s="6"/>
      <c r="S9" s="6"/>
      <c r="T9" s="6"/>
      <c r="U9" s="6"/>
      <c r="V9" s="6"/>
      <c r="X9" s="6"/>
      <c r="Y9" s="6"/>
      <c r="Z9" s="385" t="str">
        <f>'0422Master'!AO8</f>
        <v>INFOSYS LIMITED, IL BHUBANESHWAR-STP,UNIT-II</v>
      </c>
      <c r="AA9" s="6"/>
      <c r="AB9" s="6"/>
      <c r="AC9" s="6"/>
      <c r="AD9" s="6"/>
      <c r="AE9" s="6"/>
      <c r="AF9" s="6"/>
      <c r="AG9" s="6"/>
      <c r="AH9" s="6"/>
      <c r="AI9" s="5"/>
    </row>
    <row r="10" spans="1:35" ht="17.45" customHeight="1">
      <c r="A10" s="388"/>
      <c r="Z10" s="14" t="str">
        <f>'0422Master'!AO10</f>
        <v>Plot No E/4,Info city,Chandaka Industrial, Bhubaneswar,Odisha - 751024</v>
      </c>
      <c r="AI10" s="10"/>
    </row>
    <row r="11" spans="1:35">
      <c r="A11" s="388"/>
      <c r="C11" s="16"/>
      <c r="Z11" s="388"/>
    </row>
    <row r="12" spans="1:35" ht="16.5" thickBot="1">
      <c r="A12" s="388"/>
      <c r="W12" s="388"/>
    </row>
    <row r="13" spans="1:35" s="18" customFormat="1" ht="36.6" customHeight="1">
      <c r="A13" s="493" t="s">
        <v>59</v>
      </c>
      <c r="B13" s="494" t="s">
        <v>9</v>
      </c>
      <c r="C13" s="485" t="s">
        <v>60</v>
      </c>
      <c r="D13" s="485" t="s">
        <v>11</v>
      </c>
      <c r="E13" s="355"/>
      <c r="F13" s="356"/>
      <c r="G13" s="356"/>
      <c r="H13" s="356"/>
      <c r="I13" s="356"/>
      <c r="J13" s="356"/>
      <c r="K13" s="356"/>
      <c r="L13" s="356"/>
      <c r="M13" s="356"/>
      <c r="N13" s="356"/>
      <c r="O13" s="356"/>
      <c r="P13" s="356"/>
      <c r="Q13" s="356"/>
      <c r="R13" s="356"/>
      <c r="S13" s="356"/>
      <c r="T13" s="356"/>
      <c r="U13" s="356"/>
      <c r="V13" s="356"/>
      <c r="W13" s="356"/>
      <c r="X13" s="356"/>
      <c r="Y13" s="356"/>
      <c r="Z13" s="356"/>
      <c r="AA13" s="356"/>
      <c r="AB13" s="356"/>
      <c r="AC13" s="356"/>
      <c r="AD13" s="356"/>
      <c r="AE13" s="356"/>
      <c r="AF13" s="356"/>
      <c r="AG13" s="356"/>
      <c r="AH13" s="356"/>
      <c r="AI13" s="357"/>
    </row>
    <row r="14" spans="1:35" ht="28.5" customHeight="1">
      <c r="A14" s="492"/>
      <c r="B14" s="497"/>
      <c r="C14" s="498"/>
      <c r="D14" s="498"/>
      <c r="E14" s="495">
        <v>1</v>
      </c>
      <c r="F14" s="495">
        <v>2</v>
      </c>
      <c r="G14" s="495">
        <v>3</v>
      </c>
      <c r="H14" s="495">
        <v>4</v>
      </c>
      <c r="I14" s="495">
        <v>5</v>
      </c>
      <c r="J14" s="495">
        <v>6</v>
      </c>
      <c r="K14" s="495">
        <v>7</v>
      </c>
      <c r="L14" s="495">
        <v>8</v>
      </c>
      <c r="M14" s="495">
        <v>9</v>
      </c>
      <c r="N14" s="495">
        <v>10</v>
      </c>
      <c r="O14" s="495">
        <v>11</v>
      </c>
      <c r="P14" s="495">
        <v>12</v>
      </c>
      <c r="Q14" s="495">
        <v>13</v>
      </c>
      <c r="R14" s="495">
        <v>14</v>
      </c>
      <c r="S14" s="495">
        <v>15</v>
      </c>
      <c r="T14" s="495">
        <v>16</v>
      </c>
      <c r="U14" s="495">
        <v>17</v>
      </c>
      <c r="V14" s="495">
        <v>18</v>
      </c>
      <c r="W14" s="495">
        <v>19</v>
      </c>
      <c r="X14" s="495">
        <v>20</v>
      </c>
      <c r="Y14" s="495">
        <v>21</v>
      </c>
      <c r="Z14" s="495">
        <v>22</v>
      </c>
      <c r="AA14" s="495">
        <v>23</v>
      </c>
      <c r="AB14" s="495">
        <v>24</v>
      </c>
      <c r="AC14" s="495">
        <v>25</v>
      </c>
      <c r="AD14" s="495">
        <v>26</v>
      </c>
      <c r="AE14" s="495">
        <v>27</v>
      </c>
      <c r="AF14" s="495">
        <v>28</v>
      </c>
      <c r="AG14" s="495">
        <v>29</v>
      </c>
      <c r="AH14" s="495">
        <v>30</v>
      </c>
      <c r="AI14" s="496" t="s">
        <v>20</v>
      </c>
    </row>
    <row r="15" spans="1:35" ht="25.15" customHeight="1">
      <c r="A15" s="432">
        <v>1</v>
      </c>
      <c r="B15" s="490" t="str">
        <f>'0422Master'!U14</f>
        <v>KRANTHI KUMAR VEDULLA</v>
      </c>
      <c r="C15" s="506" t="str">
        <f>'0422Master'!E14</f>
        <v>Kamini Venkatarami Reddy</v>
      </c>
      <c r="D15" s="534" t="str">
        <f>'0422Master'!D14</f>
        <v>Male</v>
      </c>
      <c r="E15" s="376" t="s">
        <v>61</v>
      </c>
      <c r="F15" s="376" t="s">
        <v>62</v>
      </c>
      <c r="G15" s="376" t="s">
        <v>62</v>
      </c>
      <c r="H15" s="376" t="s">
        <v>61</v>
      </c>
      <c r="I15" s="376" t="s">
        <v>61</v>
      </c>
      <c r="J15" s="376" t="s">
        <v>61</v>
      </c>
      <c r="K15" s="376" t="s">
        <v>61</v>
      </c>
      <c r="L15" s="376" t="s">
        <v>61</v>
      </c>
      <c r="M15" s="376" t="s">
        <v>62</v>
      </c>
      <c r="N15" s="376" t="s">
        <v>62</v>
      </c>
      <c r="O15" s="376" t="s">
        <v>61</v>
      </c>
      <c r="P15" s="376" t="s">
        <v>61</v>
      </c>
      <c r="Q15" s="376" t="s">
        <v>61</v>
      </c>
      <c r="R15" s="376" t="s">
        <v>61</v>
      </c>
      <c r="S15" s="376" t="s">
        <v>474</v>
      </c>
      <c r="T15" s="376" t="s">
        <v>62</v>
      </c>
      <c r="U15" s="376" t="s">
        <v>62</v>
      </c>
      <c r="V15" s="376" t="s">
        <v>61</v>
      </c>
      <c r="W15" s="376" t="s">
        <v>61</v>
      </c>
      <c r="X15" s="376" t="s">
        <v>61</v>
      </c>
      <c r="Y15" s="376" t="s">
        <v>61</v>
      </c>
      <c r="Z15" s="376" t="s">
        <v>61</v>
      </c>
      <c r="AA15" s="376" t="s">
        <v>62</v>
      </c>
      <c r="AB15" s="376" t="s">
        <v>62</v>
      </c>
      <c r="AC15" s="376" t="s">
        <v>61</v>
      </c>
      <c r="AD15" s="376" t="s">
        <v>61</v>
      </c>
      <c r="AE15" s="376" t="s">
        <v>61</v>
      </c>
      <c r="AF15" s="376" t="s">
        <v>61</v>
      </c>
      <c r="AG15" s="376" t="s">
        <v>61</v>
      </c>
      <c r="AH15" s="376" t="s">
        <v>62</v>
      </c>
      <c r="AI15" s="339">
        <f>'0422Master'!V14</f>
        <v>30</v>
      </c>
    </row>
    <row r="16" spans="1:35" ht="25.15" customHeight="1">
      <c r="A16" s="432">
        <v>2</v>
      </c>
      <c r="B16" s="490" t="str">
        <f>'0422Master'!U15</f>
        <v>Vipin U.N</v>
      </c>
      <c r="C16" s="506" t="str">
        <f>'0422Master'!E15</f>
        <v>GANGA G</v>
      </c>
      <c r="D16" s="534" t="str">
        <f>'0422Master'!D15</f>
        <v>Male</v>
      </c>
      <c r="E16" s="376" t="s">
        <v>61</v>
      </c>
      <c r="F16" s="376" t="s">
        <v>62</v>
      </c>
      <c r="G16" s="376" t="s">
        <v>62</v>
      </c>
      <c r="H16" s="376" t="s">
        <v>61</v>
      </c>
      <c r="I16" s="376" t="s">
        <v>61</v>
      </c>
      <c r="J16" s="376" t="s">
        <v>61</v>
      </c>
      <c r="K16" s="376" t="s">
        <v>61</v>
      </c>
      <c r="L16" s="376" t="s">
        <v>61</v>
      </c>
      <c r="M16" s="656"/>
      <c r="N16" s="656"/>
      <c r="O16" s="656"/>
      <c r="P16" s="656"/>
      <c r="Q16" s="656"/>
      <c r="R16" s="656"/>
      <c r="S16" s="656"/>
      <c r="T16" s="656"/>
      <c r="U16" s="656"/>
      <c r="V16" s="656"/>
      <c r="W16" s="656"/>
      <c r="X16" s="656"/>
      <c r="Y16" s="656"/>
      <c r="Z16" s="656"/>
      <c r="AA16" s="656"/>
      <c r="AB16" s="656"/>
      <c r="AC16" s="656"/>
      <c r="AD16" s="656"/>
      <c r="AE16" s="656"/>
      <c r="AF16" s="656"/>
      <c r="AG16" s="656"/>
      <c r="AH16" s="656"/>
      <c r="AI16" s="339">
        <f>'0422Master'!V15</f>
        <v>8</v>
      </c>
    </row>
    <row r="17" spans="1:264" ht="25.15" customHeight="1">
      <c r="A17" s="432">
        <v>3</v>
      </c>
      <c r="B17" s="433"/>
      <c r="C17" s="353"/>
      <c r="D17" s="347"/>
      <c r="E17" s="376"/>
      <c r="F17" s="376"/>
      <c r="G17" s="376"/>
      <c r="H17" s="376"/>
      <c r="I17" s="376"/>
      <c r="J17" s="376"/>
      <c r="K17" s="376"/>
      <c r="L17" s="376"/>
      <c r="M17" s="376"/>
      <c r="N17" s="376"/>
      <c r="O17" s="376"/>
      <c r="P17" s="376"/>
      <c r="Q17" s="376"/>
      <c r="R17" s="376"/>
      <c r="S17" s="376"/>
      <c r="T17" s="376"/>
      <c r="U17" s="376"/>
      <c r="V17" s="376"/>
      <c r="W17" s="376"/>
      <c r="X17" s="376"/>
      <c r="Y17" s="376"/>
      <c r="Z17" s="376"/>
      <c r="AA17" s="376"/>
      <c r="AB17" s="376"/>
      <c r="AC17" s="376"/>
      <c r="AD17" s="376"/>
      <c r="AE17" s="376"/>
      <c r="AF17" s="376"/>
      <c r="AG17" s="376"/>
      <c r="AH17" s="376"/>
      <c r="AI17" s="339"/>
    </row>
    <row r="18" spans="1:264" ht="25.15" customHeight="1">
      <c r="A18" s="432">
        <v>4</v>
      </c>
      <c r="B18" s="433"/>
      <c r="C18" s="353"/>
      <c r="D18" s="347"/>
      <c r="E18" s="376"/>
      <c r="F18" s="376"/>
      <c r="G18" s="376"/>
      <c r="H18" s="376"/>
      <c r="I18" s="376"/>
      <c r="J18" s="376"/>
      <c r="K18" s="376"/>
      <c r="L18" s="376"/>
      <c r="M18" s="376"/>
      <c r="N18" s="376"/>
      <c r="O18" s="376"/>
      <c r="P18" s="376"/>
      <c r="Q18" s="376"/>
      <c r="R18" s="376"/>
      <c r="S18" s="376"/>
      <c r="T18" s="376"/>
      <c r="U18" s="376"/>
      <c r="V18" s="376"/>
      <c r="W18" s="376"/>
      <c r="X18" s="376"/>
      <c r="Y18" s="376"/>
      <c r="Z18" s="376"/>
      <c r="AA18" s="376"/>
      <c r="AB18" s="376"/>
      <c r="AC18" s="376"/>
      <c r="AD18" s="376"/>
      <c r="AE18" s="376"/>
      <c r="AF18" s="376"/>
      <c r="AG18" s="376"/>
      <c r="AH18" s="376"/>
      <c r="AI18" s="339"/>
    </row>
    <row r="19" spans="1:264" ht="25.15" customHeight="1">
      <c r="A19" s="432"/>
      <c r="B19" s="433"/>
      <c r="C19" s="353"/>
      <c r="D19" s="347"/>
      <c r="E19" s="376"/>
      <c r="F19" s="376"/>
      <c r="G19" s="376"/>
      <c r="H19" s="376"/>
      <c r="I19" s="376"/>
      <c r="J19" s="376"/>
      <c r="K19" s="376"/>
      <c r="L19" s="376"/>
      <c r="M19" s="376"/>
      <c r="N19" s="376"/>
      <c r="O19" s="376"/>
      <c r="P19" s="376"/>
      <c r="Q19" s="376"/>
      <c r="R19" s="376"/>
      <c r="S19" s="376"/>
      <c r="T19" s="376"/>
      <c r="U19" s="376"/>
      <c r="V19" s="376"/>
      <c r="W19" s="376"/>
      <c r="X19" s="376"/>
      <c r="Y19" s="376"/>
      <c r="Z19" s="376"/>
      <c r="AA19" s="376"/>
      <c r="AB19" s="376"/>
      <c r="AC19" s="376"/>
      <c r="AD19" s="376"/>
      <c r="AE19" s="376"/>
      <c r="AF19" s="376"/>
      <c r="AG19" s="376"/>
      <c r="AH19" s="376"/>
      <c r="AI19" s="339"/>
    </row>
    <row r="20" spans="1:264" ht="25.15" customHeight="1">
      <c r="A20" s="432"/>
      <c r="B20" s="433"/>
      <c r="C20" s="353"/>
      <c r="D20" s="347"/>
      <c r="E20" s="376"/>
      <c r="F20" s="376"/>
      <c r="G20" s="376"/>
      <c r="H20" s="376"/>
      <c r="I20" s="376"/>
      <c r="J20" s="376"/>
      <c r="K20" s="376"/>
      <c r="L20" s="376"/>
      <c r="M20" s="376"/>
      <c r="N20" s="376"/>
      <c r="O20" s="376"/>
      <c r="P20" s="376"/>
      <c r="Q20" s="376"/>
      <c r="R20" s="376"/>
      <c r="S20" s="376"/>
      <c r="T20" s="376"/>
      <c r="U20" s="376"/>
      <c r="V20" s="376"/>
      <c r="W20" s="376"/>
      <c r="X20" s="376"/>
      <c r="Y20" s="377"/>
      <c r="Z20" s="377"/>
      <c r="AA20" s="377"/>
      <c r="AB20" s="377"/>
      <c r="AC20" s="377"/>
      <c r="AD20" s="376"/>
      <c r="AE20" s="376"/>
      <c r="AF20" s="377"/>
      <c r="AG20" s="377"/>
      <c r="AH20" s="377"/>
      <c r="AI20" s="339"/>
    </row>
    <row r="21" spans="1:264" ht="25.15" customHeight="1">
      <c r="A21" s="23"/>
      <c r="B21" s="628"/>
      <c r="C21" s="25"/>
      <c r="D21" s="629"/>
      <c r="E21" s="630"/>
      <c r="F21" s="630"/>
      <c r="G21" s="630"/>
      <c r="H21" s="630"/>
      <c r="I21" s="630"/>
      <c r="J21" s="630"/>
      <c r="K21" s="630"/>
      <c r="L21" s="630"/>
      <c r="M21" s="630"/>
      <c r="N21" s="630"/>
      <c r="O21" s="630"/>
      <c r="P21" s="630"/>
      <c r="Q21" s="630"/>
      <c r="R21" s="630"/>
      <c r="S21" s="630"/>
      <c r="T21" s="630"/>
      <c r="U21" s="630"/>
      <c r="V21" s="630"/>
      <c r="W21" s="630"/>
      <c r="X21" s="630"/>
      <c r="Y21" s="631"/>
      <c r="Z21" s="631"/>
      <c r="AA21" s="631"/>
      <c r="AB21" s="631"/>
      <c r="AC21" s="631"/>
      <c r="AD21" s="630"/>
      <c r="AE21" s="630"/>
      <c r="AF21" s="631"/>
      <c r="AG21" s="631"/>
      <c r="AH21" s="631"/>
      <c r="AI21" s="627"/>
    </row>
    <row r="22" spans="1:264" ht="25.15" customHeight="1">
      <c r="A22" s="23"/>
      <c r="B22" s="628"/>
      <c r="C22" s="25"/>
      <c r="D22" s="629"/>
      <c r="E22" s="630"/>
      <c r="F22" s="630"/>
      <c r="G22" s="630"/>
      <c r="H22" s="630"/>
      <c r="I22" s="630"/>
      <c r="J22" s="630"/>
      <c r="K22" s="630"/>
      <c r="L22" s="630"/>
      <c r="M22" s="630"/>
      <c r="N22" s="630"/>
      <c r="O22" s="630"/>
      <c r="P22" s="630"/>
      <c r="Q22" s="630"/>
      <c r="R22" s="630"/>
      <c r="S22" s="630"/>
      <c r="T22" s="630"/>
      <c r="U22" s="630"/>
      <c r="V22" s="630"/>
      <c r="W22" s="630"/>
      <c r="X22" s="630"/>
      <c r="Y22" s="631"/>
      <c r="Z22" s="631"/>
      <c r="AA22" s="631"/>
      <c r="AB22" s="631"/>
      <c r="AC22" s="631"/>
      <c r="AD22" s="630"/>
      <c r="AE22" s="630"/>
      <c r="AF22" s="631"/>
      <c r="AG22" s="631"/>
      <c r="AH22" s="631"/>
      <c r="AI22" s="627"/>
    </row>
    <row r="23" spans="1:264" ht="25.15" customHeight="1">
      <c r="A23" s="23"/>
      <c r="B23" s="628"/>
      <c r="C23" s="25"/>
      <c r="D23" s="629"/>
      <c r="E23" s="630"/>
      <c r="F23" s="630"/>
      <c r="G23" s="630"/>
      <c r="H23" s="630"/>
      <c r="I23" s="630"/>
      <c r="J23" s="630"/>
      <c r="K23" s="630"/>
      <c r="L23" s="630"/>
      <c r="M23" s="630"/>
      <c r="N23" s="630"/>
      <c r="O23" s="630"/>
      <c r="P23" s="630"/>
      <c r="Q23" s="630"/>
      <c r="R23" s="630"/>
      <c r="S23" s="630"/>
      <c r="T23" s="630"/>
      <c r="U23" s="630"/>
      <c r="V23" s="630"/>
      <c r="W23" s="630"/>
      <c r="X23" s="630"/>
      <c r="Y23" s="631"/>
      <c r="Z23" s="631"/>
      <c r="AA23" s="631"/>
      <c r="AB23" s="631"/>
      <c r="AC23" s="631"/>
      <c r="AD23" s="630"/>
      <c r="AE23" s="630"/>
      <c r="AF23" s="631"/>
      <c r="AG23" s="631"/>
      <c r="AH23" s="631"/>
      <c r="AI23" s="627"/>
    </row>
    <row r="24" spans="1:264" ht="22.5" customHeight="1">
      <c r="A24" s="23"/>
      <c r="B24" s="24"/>
      <c r="C24" s="25"/>
      <c r="D24" s="26"/>
      <c r="E24" s="27"/>
      <c r="F24" s="28"/>
      <c r="G24" s="29"/>
      <c r="H24" s="26"/>
      <c r="I24" s="30"/>
      <c r="J24" s="30"/>
      <c r="K24" s="31"/>
      <c r="L24" s="26"/>
      <c r="M24" s="26"/>
      <c r="N24" s="26"/>
      <c r="O24" s="26"/>
      <c r="P24" s="26"/>
      <c r="Q24" s="23"/>
      <c r="R24" s="23"/>
      <c r="S24" s="26"/>
      <c r="T24" s="31"/>
      <c r="U24" s="31"/>
      <c r="V24" s="31"/>
      <c r="W24" s="31"/>
      <c r="X24" s="31"/>
      <c r="Y24" s="31"/>
      <c r="Z24" s="31"/>
      <c r="AA24" s="31"/>
      <c r="AB24" s="31"/>
      <c r="AC24" s="31"/>
      <c r="AD24" s="31"/>
      <c r="AE24" s="31"/>
      <c r="AF24" s="31"/>
      <c r="AG24" s="31"/>
      <c r="AH24" s="31"/>
    </row>
    <row r="25" spans="1:264">
      <c r="A25" s="19"/>
      <c r="B25" s="657"/>
      <c r="C25" s="657"/>
      <c r="D25" s="19"/>
      <c r="E25" s="20"/>
      <c r="F25" s="20"/>
      <c r="G25" s="21"/>
      <c r="H25" s="20"/>
      <c r="I25" s="20"/>
      <c r="J25" s="700" t="s">
        <v>63</v>
      </c>
      <c r="K25" s="700"/>
      <c r="L25" s="700"/>
      <c r="M25" s="700"/>
      <c r="N25" s="700"/>
      <c r="O25" s="700"/>
      <c r="P25" s="700"/>
      <c r="Q25" s="700"/>
      <c r="R25" s="700"/>
      <c r="S25" s="700"/>
      <c r="T25" s="700"/>
      <c r="U25" s="700"/>
      <c r="V25" s="700"/>
      <c r="W25" s="700"/>
      <c r="X25" s="700"/>
      <c r="Y25" s="700"/>
      <c r="Z25" s="700"/>
      <c r="AA25" s="700"/>
      <c r="AB25" s="700"/>
      <c r="AC25" s="700"/>
      <c r="AD25" s="700"/>
      <c r="AE25" s="700"/>
      <c r="AF25" s="700"/>
      <c r="AG25" s="652"/>
      <c r="AH25" s="65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c r="CV25" s="22"/>
      <c r="CW25" s="22"/>
      <c r="CX25" s="22"/>
      <c r="CY25" s="22"/>
      <c r="CZ25" s="22"/>
      <c r="DA25" s="22"/>
      <c r="DB25" s="22"/>
      <c r="DC25" s="22"/>
      <c r="DD25" s="22"/>
      <c r="DE25" s="22"/>
      <c r="DF25" s="22"/>
      <c r="DG25" s="22"/>
      <c r="DH25" s="22"/>
      <c r="DI25" s="22"/>
      <c r="DJ25" s="22"/>
      <c r="DK25" s="22"/>
      <c r="DL25" s="22"/>
      <c r="DM25" s="22"/>
      <c r="DN25" s="22"/>
      <c r="DO25" s="22"/>
      <c r="DP25" s="22"/>
      <c r="DQ25" s="22"/>
      <c r="DR25" s="22"/>
      <c r="DS25" s="22"/>
      <c r="DT25" s="22"/>
      <c r="DU25" s="22"/>
      <c r="DV25" s="22"/>
      <c r="DW25" s="22"/>
      <c r="DX25" s="22"/>
      <c r="DY25" s="22"/>
      <c r="DZ25" s="22"/>
      <c r="EA25" s="22"/>
      <c r="EB25" s="22"/>
      <c r="EC25" s="22"/>
      <c r="ED25" s="22"/>
      <c r="EE25" s="22"/>
      <c r="EF25" s="22"/>
      <c r="EG25" s="22"/>
      <c r="EH25" s="22"/>
      <c r="EI25" s="22"/>
      <c r="EJ25" s="22"/>
      <c r="EK25" s="22"/>
      <c r="EL25" s="22"/>
      <c r="EM25" s="22"/>
      <c r="EN25" s="22"/>
      <c r="EO25" s="22"/>
      <c r="EP25" s="22"/>
      <c r="EQ25" s="22"/>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2"/>
      <c r="GU25" s="22"/>
      <c r="GV25" s="22"/>
      <c r="GW25" s="22"/>
      <c r="GX25" s="22"/>
      <c r="GY25" s="22"/>
      <c r="GZ25" s="22"/>
      <c r="HA25" s="22"/>
      <c r="HB25" s="22"/>
      <c r="HC25" s="22"/>
      <c r="HD25" s="22"/>
      <c r="HE25" s="22"/>
      <c r="HF25" s="22"/>
      <c r="HG25" s="22"/>
      <c r="HH25" s="22"/>
      <c r="HI25" s="22"/>
      <c r="HJ25" s="22"/>
      <c r="HK25" s="22"/>
      <c r="HL25" s="22"/>
      <c r="HM25" s="22"/>
      <c r="HN25" s="22"/>
      <c r="HO25" s="22"/>
      <c r="HP25" s="22"/>
      <c r="HQ25" s="22"/>
      <c r="HR25" s="22"/>
      <c r="HS25" s="22"/>
      <c r="HT25" s="22"/>
      <c r="HU25" s="22"/>
      <c r="HV25" s="22"/>
      <c r="HW25" s="22"/>
      <c r="HX25" s="22"/>
      <c r="HY25" s="22"/>
      <c r="HZ25" s="22"/>
      <c r="IA25" s="22"/>
      <c r="IB25" s="22"/>
      <c r="IC25" s="22"/>
      <c r="ID25" s="22"/>
      <c r="IE25" s="22"/>
      <c r="IF25" s="22"/>
      <c r="IG25" s="22"/>
      <c r="IH25" s="22"/>
      <c r="II25" s="22"/>
      <c r="IJ25" s="22"/>
      <c r="IK25" s="22"/>
      <c r="IL25" s="22"/>
      <c r="IM25" s="22"/>
      <c r="IN25" s="22"/>
      <c r="IO25" s="22"/>
      <c r="IP25" s="22"/>
      <c r="IQ25" s="22"/>
      <c r="IR25" s="22"/>
      <c r="IS25" s="22"/>
      <c r="IT25" s="22"/>
      <c r="IU25" s="22"/>
      <c r="IV25" s="22"/>
      <c r="IW25" s="22"/>
      <c r="IX25" s="22"/>
      <c r="IY25" s="22"/>
      <c r="IZ25" s="22"/>
      <c r="JA25" s="22"/>
      <c r="JB25" s="22"/>
      <c r="JC25" s="22"/>
      <c r="JD25" s="22"/>
    </row>
  </sheetData>
  <mergeCells count="6">
    <mergeCell ref="A3:AF3"/>
    <mergeCell ref="A5:C5"/>
    <mergeCell ref="A7:C7"/>
    <mergeCell ref="A9:C9"/>
    <mergeCell ref="B25:C25"/>
    <mergeCell ref="J25:AF25"/>
  </mergeCells>
  <printOptions horizontalCentered="1" verticalCentered="1"/>
  <pageMargins left="0" right="0" top="0" bottom="0" header="0.31496062992125984" footer="0.31496062992125984"/>
  <pageSetup paperSize="9" scale="70" orientation="landscape"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76"/>
  <sheetViews>
    <sheetView topLeftCell="A52" workbookViewId="0">
      <selection activeCell="A63" sqref="A63"/>
    </sheetView>
  </sheetViews>
  <sheetFormatPr defaultRowHeight="15"/>
  <cols>
    <col min="1" max="1" width="14.7109375" customWidth="1"/>
    <col min="3" max="4" width="10.7109375" bestFit="1" customWidth="1"/>
    <col min="5" max="5" width="11.140625" customWidth="1"/>
    <col min="6" max="6" width="13.85546875" customWidth="1"/>
    <col min="7" max="7" width="11.5703125" customWidth="1"/>
    <col min="9" max="9" width="10.7109375" bestFit="1" customWidth="1"/>
    <col min="10" max="10" width="13.42578125" customWidth="1"/>
    <col min="11" max="11" width="12.28515625" customWidth="1"/>
  </cols>
  <sheetData>
    <row r="1" spans="1:20">
      <c r="A1" s="706" t="s">
        <v>64</v>
      </c>
      <c r="B1" s="707"/>
      <c r="C1" s="707"/>
      <c r="D1" s="707"/>
      <c r="E1" s="707"/>
      <c r="F1" s="707"/>
      <c r="G1" s="707"/>
      <c r="H1" s="707"/>
      <c r="I1" s="707"/>
      <c r="J1" s="707"/>
      <c r="K1" s="707"/>
      <c r="L1" s="707"/>
      <c r="M1" s="707"/>
      <c r="N1" s="707"/>
      <c r="O1" s="707"/>
      <c r="P1" s="97"/>
      <c r="Q1" s="97"/>
      <c r="R1" s="97"/>
      <c r="S1" s="97"/>
      <c r="T1" s="98"/>
    </row>
    <row r="2" spans="1:20" ht="27.75" customHeight="1" thickBot="1">
      <c r="A2" s="708"/>
      <c r="B2" s="709"/>
      <c r="C2" s="709"/>
      <c r="D2" s="709"/>
      <c r="E2" s="709"/>
      <c r="F2" s="709"/>
      <c r="G2" s="709"/>
      <c r="H2" s="709"/>
      <c r="I2" s="709"/>
      <c r="J2" s="709"/>
      <c r="K2" s="709"/>
      <c r="L2" s="709"/>
      <c r="M2" s="709"/>
      <c r="N2" s="709"/>
      <c r="O2" s="709"/>
      <c r="P2" s="52"/>
      <c r="Q2" s="52"/>
      <c r="R2" s="52"/>
      <c r="S2" s="52"/>
      <c r="T2" s="53"/>
    </row>
    <row r="3" spans="1:20">
      <c r="A3" s="710" t="s">
        <v>65</v>
      </c>
      <c r="B3" s="711"/>
      <c r="C3" s="711"/>
      <c r="D3" s="711"/>
      <c r="E3" s="711"/>
      <c r="F3" s="711"/>
      <c r="G3" s="711"/>
      <c r="H3" s="711"/>
      <c r="I3" s="711"/>
      <c r="J3" s="711"/>
      <c r="K3" s="711"/>
      <c r="L3" s="711"/>
      <c r="M3" s="711"/>
      <c r="N3" s="711"/>
      <c r="O3" s="711"/>
      <c r="P3" s="97"/>
      <c r="Q3" s="97"/>
      <c r="R3" s="97"/>
      <c r="S3" s="97"/>
      <c r="T3" s="98"/>
    </row>
    <row r="4" spans="1:20">
      <c r="A4" s="363" t="s">
        <v>66</v>
      </c>
      <c r="B4" s="62"/>
      <c r="C4" s="62"/>
      <c r="D4" s="27" t="str">
        <f>'0422Master'!F5</f>
        <v>Burgeon IT Services Pvt.Ltd.</v>
      </c>
      <c r="E4" s="62"/>
      <c r="F4" s="62"/>
      <c r="G4" s="62"/>
      <c r="H4" s="62" t="s">
        <v>67</v>
      </c>
      <c r="I4" s="90"/>
      <c r="J4" s="90"/>
      <c r="K4" s="90"/>
      <c r="L4" s="90"/>
      <c r="M4" s="90"/>
      <c r="N4" s="90"/>
      <c r="O4" s="90"/>
      <c r="P4" s="27"/>
      <c r="Q4" s="27"/>
      <c r="R4" s="27"/>
      <c r="S4" s="27"/>
      <c r="T4" s="41"/>
    </row>
    <row r="5" spans="1:20" ht="15.75">
      <c r="A5" s="364"/>
      <c r="B5" s="62" t="str">
        <f>'0422Master'!F6</f>
        <v>Siri Mansion LIGB 436 Dr.A S Rao Nagar,Hyderabad</v>
      </c>
      <c r="C5" s="62"/>
      <c r="D5" s="62"/>
      <c r="E5" s="90"/>
      <c r="F5" s="90"/>
      <c r="G5" s="27"/>
      <c r="H5" s="361" t="str">
        <f>'0422Master'!B14</f>
        <v>KRANTHI KUMAR VEDULLA</v>
      </c>
      <c r="I5" s="90"/>
      <c r="J5" s="90"/>
      <c r="K5" s="90"/>
      <c r="L5" s="90"/>
      <c r="M5" s="90"/>
      <c r="N5" s="90"/>
      <c r="O5" s="90"/>
      <c r="P5" s="27"/>
      <c r="Q5" s="27"/>
      <c r="R5" s="27"/>
      <c r="S5" s="27"/>
      <c r="T5" s="41"/>
    </row>
    <row r="6" spans="1:20">
      <c r="A6" s="364"/>
      <c r="B6" s="62">
        <f>'0422Master'!F7</f>
        <v>0</v>
      </c>
      <c r="C6" s="62"/>
      <c r="D6" s="62"/>
      <c r="E6" s="90"/>
      <c r="F6" s="90"/>
      <c r="G6" s="90"/>
      <c r="H6" s="90"/>
      <c r="I6" s="90"/>
      <c r="J6" s="90"/>
      <c r="K6" s="90"/>
      <c r="L6" s="90"/>
      <c r="M6" s="90"/>
      <c r="N6" s="90"/>
      <c r="O6" s="90"/>
      <c r="P6" s="27"/>
      <c r="Q6" s="27"/>
      <c r="R6" s="27"/>
      <c r="S6" s="27"/>
      <c r="T6" s="41"/>
    </row>
    <row r="7" spans="1:20">
      <c r="A7" s="712" t="s">
        <v>68</v>
      </c>
      <c r="B7" s="713"/>
      <c r="C7" s="713"/>
      <c r="D7" s="713"/>
      <c r="E7" s="62"/>
      <c r="F7" s="62"/>
      <c r="G7" s="62"/>
      <c r="H7" s="62"/>
      <c r="I7" s="62"/>
      <c r="J7" s="62"/>
      <c r="K7" s="62"/>
      <c r="L7" s="62"/>
      <c r="M7" s="62"/>
      <c r="N7" s="62"/>
      <c r="O7" s="62"/>
      <c r="P7" s="27"/>
      <c r="Q7" s="27"/>
      <c r="R7" s="27"/>
      <c r="S7" s="27"/>
      <c r="T7" s="41"/>
    </row>
    <row r="8" spans="1:20" ht="15.75">
      <c r="A8" s="712"/>
      <c r="B8" s="713"/>
      <c r="C8" s="713"/>
      <c r="D8" s="713"/>
      <c r="E8" s="27"/>
      <c r="F8" s="62"/>
      <c r="G8" s="177"/>
      <c r="H8" s="362" t="s">
        <v>69</v>
      </c>
      <c r="I8" s="177"/>
      <c r="J8" s="177"/>
      <c r="K8" s="62"/>
      <c r="L8" s="62" t="str">
        <f>'0422Master'!D14</f>
        <v>Male</v>
      </c>
      <c r="M8" s="62"/>
      <c r="N8" s="62"/>
      <c r="O8" s="62"/>
      <c r="P8" s="27"/>
      <c r="Q8" s="27"/>
      <c r="R8" s="27"/>
      <c r="S8" s="27"/>
      <c r="T8" s="41"/>
    </row>
    <row r="9" spans="1:20">
      <c r="A9" s="712"/>
      <c r="B9" s="713"/>
      <c r="C9" s="713"/>
      <c r="D9" s="713"/>
      <c r="E9" s="62"/>
      <c r="F9" s="62"/>
      <c r="G9" s="62"/>
      <c r="H9" s="374" t="s">
        <v>70</v>
      </c>
      <c r="I9" s="62"/>
      <c r="J9" s="62"/>
      <c r="K9" s="62"/>
      <c r="L9" s="62"/>
      <c r="M9" s="62"/>
      <c r="N9" s="62"/>
      <c r="O9" s="62"/>
      <c r="P9" s="27"/>
      <c r="Q9" s="27"/>
      <c r="R9" s="27"/>
      <c r="S9" s="27"/>
      <c r="T9" s="41"/>
    </row>
    <row r="10" spans="1:20" ht="15.75" thickBot="1">
      <c r="A10" s="714"/>
      <c r="B10" s="715"/>
      <c r="C10" s="715"/>
      <c r="D10" s="715"/>
      <c r="E10" s="52"/>
      <c r="F10" s="365"/>
      <c r="G10" s="366"/>
      <c r="H10" s="55"/>
      <c r="I10" s="365"/>
      <c r="J10" s="365"/>
      <c r="K10" s="366"/>
      <c r="L10" s="365"/>
      <c r="M10" s="365"/>
      <c r="N10" s="365"/>
      <c r="O10" s="365"/>
      <c r="P10" s="52"/>
      <c r="Q10" s="52"/>
      <c r="R10" s="52"/>
      <c r="S10" s="52"/>
      <c r="T10" s="53"/>
    </row>
    <row r="11" spans="1:20" ht="43.5" customHeight="1" thickBot="1">
      <c r="A11" s="701" t="s">
        <v>71</v>
      </c>
      <c r="B11" s="701" t="s">
        <v>72</v>
      </c>
      <c r="C11" s="703" t="s">
        <v>73</v>
      </c>
      <c r="D11" s="704"/>
      <c r="E11" s="705"/>
      <c r="F11" s="703" t="s">
        <v>74</v>
      </c>
      <c r="G11" s="704"/>
      <c r="H11" s="705"/>
      <c r="I11" s="701" t="s">
        <v>75</v>
      </c>
      <c r="J11" s="703" t="s">
        <v>76</v>
      </c>
      <c r="K11" s="704"/>
      <c r="L11" s="705"/>
      <c r="M11" s="701" t="s">
        <v>77</v>
      </c>
      <c r="N11" s="703" t="s">
        <v>78</v>
      </c>
      <c r="O11" s="704"/>
      <c r="P11" s="705"/>
      <c r="Q11" s="701" t="s">
        <v>79</v>
      </c>
      <c r="R11" s="701" t="s">
        <v>80</v>
      </c>
      <c r="S11" s="701" t="s">
        <v>81</v>
      </c>
      <c r="T11" s="701" t="s">
        <v>20</v>
      </c>
    </row>
    <row r="12" spans="1:20" ht="66.75" thickBot="1">
      <c r="A12" s="702"/>
      <c r="B12" s="702"/>
      <c r="C12" s="358" t="s">
        <v>82</v>
      </c>
      <c r="D12" s="358" t="s">
        <v>83</v>
      </c>
      <c r="E12" s="358" t="s">
        <v>84</v>
      </c>
      <c r="F12" s="358" t="s">
        <v>85</v>
      </c>
      <c r="G12" s="358" t="s">
        <v>86</v>
      </c>
      <c r="H12" s="358" t="s">
        <v>34</v>
      </c>
      <c r="I12" s="702"/>
      <c r="J12" s="358" t="s">
        <v>82</v>
      </c>
      <c r="K12" s="358" t="s">
        <v>83</v>
      </c>
      <c r="L12" s="358" t="s">
        <v>84</v>
      </c>
      <c r="M12" s="702"/>
      <c r="N12" s="358" t="s">
        <v>82</v>
      </c>
      <c r="O12" s="358" t="s">
        <v>83</v>
      </c>
      <c r="P12" s="358" t="s">
        <v>87</v>
      </c>
      <c r="Q12" s="702"/>
      <c r="R12" s="702"/>
      <c r="S12" s="702"/>
      <c r="T12" s="702"/>
    </row>
    <row r="13" spans="1:20" ht="16.5" thickBot="1">
      <c r="A13" s="359">
        <v>1</v>
      </c>
      <c r="B13" s="360">
        <v>2</v>
      </c>
      <c r="C13" s="360">
        <v>3</v>
      </c>
      <c r="D13" s="360">
        <v>4</v>
      </c>
      <c r="E13" s="360">
        <v>5</v>
      </c>
      <c r="F13" s="360">
        <v>6</v>
      </c>
      <c r="G13" s="360">
        <v>7</v>
      </c>
      <c r="H13" s="360">
        <v>8</v>
      </c>
      <c r="I13" s="360">
        <v>9</v>
      </c>
      <c r="J13" s="360">
        <v>10</v>
      </c>
      <c r="K13" s="360">
        <v>11</v>
      </c>
      <c r="L13" s="360">
        <v>12</v>
      </c>
      <c r="M13" s="360">
        <v>13</v>
      </c>
      <c r="N13" s="360">
        <v>14</v>
      </c>
      <c r="O13" s="360">
        <v>15</v>
      </c>
      <c r="P13" s="360">
        <v>16</v>
      </c>
      <c r="Q13" s="360">
        <v>17</v>
      </c>
      <c r="R13" s="360">
        <v>18</v>
      </c>
      <c r="S13" s="360">
        <v>19</v>
      </c>
      <c r="T13" s="360">
        <v>20</v>
      </c>
    </row>
    <row r="14" spans="1:20" ht="30" customHeight="1">
      <c r="A14" s="367"/>
      <c r="B14" s="368"/>
      <c r="C14" s="368"/>
      <c r="D14" s="368"/>
      <c r="E14" s="368"/>
      <c r="F14" s="368"/>
      <c r="G14" s="368"/>
      <c r="H14" s="368"/>
      <c r="I14" s="368"/>
      <c r="J14" s="368"/>
      <c r="K14" s="368"/>
      <c r="L14" s="368"/>
      <c r="M14" s="368"/>
      <c r="N14" s="368"/>
      <c r="O14" s="368"/>
      <c r="P14" s="368"/>
      <c r="Q14" s="368"/>
      <c r="R14" s="368"/>
      <c r="S14" s="368"/>
      <c r="T14" s="368"/>
    </row>
    <row r="15" spans="1:20" ht="30" customHeight="1">
      <c r="A15" s="535" t="str">
        <f>'0422Master'!F14</f>
        <v>Senior Network Engineer</v>
      </c>
      <c r="B15" s="536">
        <v>84912</v>
      </c>
      <c r="C15" s="544">
        <v>44562</v>
      </c>
      <c r="D15" s="538">
        <v>44592</v>
      </c>
      <c r="E15" s="539">
        <v>31</v>
      </c>
      <c r="F15" s="539">
        <v>13.5</v>
      </c>
      <c r="G15" s="539">
        <v>1.5</v>
      </c>
      <c r="H15" s="539">
        <v>15</v>
      </c>
      <c r="I15" s="539">
        <v>0</v>
      </c>
      <c r="J15" s="539">
        <v>0</v>
      </c>
      <c r="K15" s="539">
        <v>0</v>
      </c>
      <c r="L15" s="539">
        <v>0</v>
      </c>
      <c r="M15" s="539">
        <v>15</v>
      </c>
      <c r="N15" s="539"/>
      <c r="O15" s="539"/>
      <c r="P15" s="539"/>
      <c r="Q15" s="539"/>
      <c r="R15" s="308"/>
      <c r="S15" s="308"/>
      <c r="T15" s="281"/>
    </row>
    <row r="16" spans="1:20" ht="30" customHeight="1">
      <c r="A16" s="535" t="str">
        <f>'0422Master'!F15</f>
        <v>Senior IT Endpoint Engineer</v>
      </c>
      <c r="B16" s="536">
        <v>105304</v>
      </c>
      <c r="C16" s="544">
        <v>44593</v>
      </c>
      <c r="D16" s="538">
        <v>44620</v>
      </c>
      <c r="E16" s="539">
        <v>28</v>
      </c>
      <c r="F16" s="539">
        <v>15</v>
      </c>
      <c r="G16" s="539">
        <v>1.5</v>
      </c>
      <c r="H16" s="539">
        <v>16.5</v>
      </c>
      <c r="I16" s="539">
        <v>0</v>
      </c>
      <c r="J16" s="539">
        <v>0</v>
      </c>
      <c r="K16" s="539">
        <v>0</v>
      </c>
      <c r="L16" s="539">
        <v>0</v>
      </c>
      <c r="M16" s="539">
        <f>M15+G16-L16</f>
        <v>16.5</v>
      </c>
      <c r="N16" s="539"/>
      <c r="O16" s="539"/>
      <c r="P16" s="539"/>
      <c r="Q16" s="539"/>
      <c r="R16" s="308"/>
      <c r="S16" s="308"/>
      <c r="T16" s="281"/>
    </row>
    <row r="17" spans="1:20" ht="30" customHeight="1">
      <c r="A17" s="535" t="s">
        <v>448</v>
      </c>
      <c r="B17" s="536">
        <v>105304</v>
      </c>
      <c r="C17" s="544">
        <v>44621</v>
      </c>
      <c r="D17" s="538">
        <v>44651</v>
      </c>
      <c r="E17" s="539">
        <v>31</v>
      </c>
      <c r="F17" s="539">
        <v>16.5</v>
      </c>
      <c r="G17" s="539">
        <v>1.5</v>
      </c>
      <c r="H17" s="539">
        <v>18</v>
      </c>
      <c r="I17" s="539">
        <v>0</v>
      </c>
      <c r="J17" s="539">
        <v>0</v>
      </c>
      <c r="K17" s="539">
        <v>0</v>
      </c>
      <c r="L17" s="539">
        <v>0</v>
      </c>
      <c r="M17" s="539">
        <f>M16+G17-L17</f>
        <v>18</v>
      </c>
      <c r="N17" s="539"/>
      <c r="O17" s="539"/>
      <c r="P17" s="539"/>
      <c r="Q17" s="539"/>
      <c r="R17" s="308"/>
      <c r="S17" s="308"/>
      <c r="T17" s="281"/>
    </row>
    <row r="18" spans="1:20" ht="30" customHeight="1">
      <c r="A18" s="535" t="s">
        <v>448</v>
      </c>
      <c r="B18" s="536">
        <v>105305</v>
      </c>
      <c r="C18" s="544">
        <v>44652</v>
      </c>
      <c r="D18" s="538">
        <v>44681</v>
      </c>
      <c r="E18" s="539">
        <v>30</v>
      </c>
      <c r="F18" s="539">
        <v>18</v>
      </c>
      <c r="G18" s="539">
        <v>1.5</v>
      </c>
      <c r="H18" s="539">
        <v>19.5</v>
      </c>
      <c r="I18" s="539">
        <v>0</v>
      </c>
      <c r="J18" s="539">
        <v>0</v>
      </c>
      <c r="K18" s="539">
        <v>0</v>
      </c>
      <c r="L18" s="539">
        <v>0</v>
      </c>
      <c r="M18" s="539">
        <f>M17+G18-L18</f>
        <v>19.5</v>
      </c>
      <c r="N18" s="539"/>
      <c r="O18" s="539"/>
      <c r="P18" s="539"/>
      <c r="Q18" s="539"/>
      <c r="R18" s="308"/>
      <c r="S18" s="308"/>
      <c r="T18" s="281"/>
    </row>
    <row r="19" spans="1:20" ht="30" customHeight="1">
      <c r="A19" s="372"/>
      <c r="B19" s="536"/>
      <c r="C19" s="544"/>
      <c r="D19" s="375"/>
      <c r="E19" s="504"/>
      <c r="F19" s="539"/>
      <c r="G19" s="504"/>
      <c r="H19" s="539"/>
      <c r="I19" s="308"/>
      <c r="J19" s="539"/>
      <c r="K19" s="539"/>
      <c r="L19" s="539"/>
      <c r="M19" s="546"/>
      <c r="N19" s="308"/>
      <c r="O19" s="308"/>
      <c r="P19" s="308"/>
      <c r="Q19" s="308"/>
      <c r="R19" s="308"/>
      <c r="S19" s="308"/>
      <c r="T19" s="281"/>
    </row>
    <row r="20" spans="1:20" ht="30" customHeight="1">
      <c r="A20" s="372"/>
      <c r="B20" s="536"/>
      <c r="C20" s="544"/>
      <c r="D20" s="375"/>
      <c r="E20" s="556"/>
      <c r="F20" s="539"/>
      <c r="G20" s="556"/>
      <c r="H20" s="539"/>
      <c r="I20" s="308"/>
      <c r="J20" s="539"/>
      <c r="K20" s="539"/>
      <c r="L20" s="539"/>
      <c r="M20" s="546"/>
      <c r="N20" s="308"/>
      <c r="O20" s="308"/>
      <c r="P20" s="308"/>
      <c r="Q20" s="308"/>
      <c r="R20" s="308"/>
      <c r="S20" s="308"/>
      <c r="T20" s="281"/>
    </row>
    <row r="21" spans="1:20" ht="30" customHeight="1">
      <c r="A21" s="372"/>
      <c r="B21" s="536"/>
      <c r="C21" s="375"/>
      <c r="D21" s="375"/>
      <c r="E21" s="624"/>
      <c r="F21" s="539"/>
      <c r="G21" s="564"/>
      <c r="H21" s="539"/>
      <c r="I21" s="308"/>
      <c r="J21" s="540"/>
      <c r="K21" s="540"/>
      <c r="L21" s="539"/>
      <c r="M21" s="546"/>
      <c r="N21" s="308"/>
      <c r="O21" s="308"/>
      <c r="P21" s="308"/>
      <c r="Q21" s="308"/>
      <c r="R21" s="308"/>
      <c r="S21" s="308"/>
      <c r="T21" s="281"/>
    </row>
    <row r="22" spans="1:20" ht="30" customHeight="1">
      <c r="A22" s="372"/>
      <c r="B22" s="536"/>
      <c r="C22" s="375"/>
      <c r="D22" s="375"/>
      <c r="E22" s="624"/>
      <c r="F22" s="539"/>
      <c r="G22" s="568"/>
      <c r="H22" s="539"/>
      <c r="I22" s="308"/>
      <c r="J22" s="540"/>
      <c r="K22" s="540"/>
      <c r="L22" s="539"/>
      <c r="M22" s="546"/>
      <c r="N22" s="308"/>
      <c r="O22" s="308"/>
      <c r="P22" s="308"/>
      <c r="Q22" s="308"/>
      <c r="R22" s="308"/>
      <c r="S22" s="308"/>
      <c r="T22" s="281"/>
    </row>
    <row r="23" spans="1:20" ht="30" customHeight="1">
      <c r="A23" s="372"/>
      <c r="B23" s="536"/>
      <c r="C23" s="375"/>
      <c r="D23" s="375"/>
      <c r="E23" s="624"/>
      <c r="F23" s="539"/>
      <c r="G23" s="621"/>
      <c r="H23" s="539"/>
      <c r="I23" s="308"/>
      <c r="J23" s="308"/>
      <c r="K23" s="308"/>
      <c r="L23" s="539"/>
      <c r="M23" s="546"/>
      <c r="N23" s="308"/>
      <c r="O23" s="308"/>
      <c r="P23" s="308"/>
      <c r="Q23" s="308"/>
      <c r="R23" s="308"/>
      <c r="S23" s="308"/>
      <c r="T23" s="281"/>
    </row>
    <row r="24" spans="1:20" ht="30" customHeight="1">
      <c r="A24" s="372"/>
      <c r="B24" s="536"/>
      <c r="C24" s="375"/>
      <c r="D24" s="375"/>
      <c r="E24" s="626"/>
      <c r="F24" s="649"/>
      <c r="G24" s="649"/>
      <c r="H24" s="539"/>
      <c r="I24" s="308"/>
      <c r="J24" s="308"/>
      <c r="K24" s="308"/>
      <c r="L24" s="308"/>
      <c r="M24" s="546"/>
      <c r="N24" s="308"/>
      <c r="O24" s="308"/>
      <c r="P24" s="308"/>
      <c r="Q24" s="308"/>
      <c r="R24" s="308"/>
      <c r="S24" s="308"/>
      <c r="T24" s="281"/>
    </row>
    <row r="25" spans="1:20" ht="30" customHeight="1">
      <c r="A25" s="372"/>
      <c r="B25" s="536"/>
      <c r="C25" s="375"/>
      <c r="D25" s="375"/>
      <c r="E25" s="632"/>
      <c r="F25" s="649"/>
      <c r="G25" s="649"/>
      <c r="H25" s="539"/>
      <c r="I25" s="308"/>
      <c r="J25" s="308"/>
      <c r="K25" s="308"/>
      <c r="L25" s="308"/>
      <c r="M25" s="546"/>
      <c r="N25" s="308"/>
      <c r="O25" s="308"/>
      <c r="P25" s="308"/>
      <c r="Q25" s="308"/>
      <c r="R25" s="308"/>
      <c r="S25" s="308"/>
      <c r="T25" s="281"/>
    </row>
    <row r="26" spans="1:20" ht="30" customHeight="1">
      <c r="A26" s="372"/>
      <c r="B26" s="536"/>
      <c r="C26" s="375"/>
      <c r="D26" s="375"/>
      <c r="E26" s="632"/>
      <c r="F26" s="649"/>
      <c r="G26" s="649"/>
      <c r="H26" s="539"/>
      <c r="I26" s="308"/>
      <c r="J26" s="308"/>
      <c r="K26" s="308"/>
      <c r="L26" s="308"/>
      <c r="M26" s="546"/>
      <c r="N26" s="308"/>
      <c r="O26" s="308"/>
      <c r="P26" s="308"/>
      <c r="Q26" s="308"/>
      <c r="R26" s="308"/>
      <c r="S26" s="308"/>
      <c r="T26" s="281"/>
    </row>
    <row r="27" spans="1:20" ht="30" customHeight="1">
      <c r="A27" s="372"/>
      <c r="B27" s="308"/>
      <c r="C27" s="375"/>
      <c r="D27" s="375"/>
      <c r="E27" s="649"/>
      <c r="F27" s="649"/>
      <c r="G27" s="649"/>
      <c r="H27" s="539"/>
      <c r="I27" s="308"/>
      <c r="J27" s="308"/>
      <c r="K27" s="308"/>
      <c r="L27" s="308"/>
      <c r="M27" s="546"/>
      <c r="N27" s="308"/>
      <c r="O27" s="308"/>
      <c r="P27" s="308"/>
      <c r="Q27" s="308"/>
      <c r="R27" s="308"/>
      <c r="S27" s="308"/>
      <c r="T27" s="281"/>
    </row>
    <row r="28" spans="1:20" ht="30" customHeight="1">
      <c r="A28" s="372"/>
      <c r="B28" s="308"/>
      <c r="C28" s="375"/>
      <c r="D28" s="375"/>
      <c r="E28" s="649"/>
      <c r="F28" s="649"/>
      <c r="G28" s="649"/>
      <c r="H28" s="539"/>
      <c r="I28" s="308"/>
      <c r="J28" s="308"/>
      <c r="K28" s="308"/>
      <c r="L28" s="308"/>
      <c r="M28" s="546"/>
      <c r="N28" s="308"/>
      <c r="O28" s="308"/>
      <c r="P28" s="308"/>
      <c r="Q28" s="308"/>
      <c r="R28" s="308"/>
      <c r="S28" s="308"/>
      <c r="T28" s="281"/>
    </row>
    <row r="29" spans="1:20" ht="30" customHeight="1" thickBot="1">
      <c r="A29" s="373"/>
      <c r="B29" s="369"/>
      <c r="C29" s="369"/>
      <c r="D29" s="369"/>
      <c r="E29" s="369"/>
      <c r="F29" s="650"/>
      <c r="G29" s="369"/>
      <c r="H29" s="369"/>
      <c r="I29" s="369"/>
      <c r="J29" s="369"/>
      <c r="K29" s="369"/>
      <c r="L29" s="369"/>
      <c r="M29" s="369"/>
      <c r="N29" s="369"/>
      <c r="O29" s="369"/>
      <c r="P29" s="369"/>
      <c r="Q29" s="369"/>
      <c r="R29" s="369"/>
      <c r="S29" s="369"/>
      <c r="T29" s="370"/>
    </row>
    <row r="44" spans="1:20" ht="15.75" thickBot="1"/>
    <row r="45" spans="1:20">
      <c r="A45" s="706" t="s">
        <v>64</v>
      </c>
      <c r="B45" s="707"/>
      <c r="C45" s="707"/>
      <c r="D45" s="707"/>
      <c r="E45" s="707"/>
      <c r="F45" s="707"/>
      <c r="G45" s="707"/>
      <c r="H45" s="707"/>
      <c r="I45" s="707"/>
      <c r="J45" s="707"/>
      <c r="K45" s="707"/>
      <c r="L45" s="707"/>
      <c r="M45" s="707"/>
      <c r="N45" s="707"/>
      <c r="O45" s="707"/>
      <c r="P45" s="97"/>
      <c r="Q45" s="97"/>
      <c r="R45" s="97"/>
      <c r="S45" s="97"/>
      <c r="T45" s="98"/>
    </row>
    <row r="46" spans="1:20" ht="15.75" thickBot="1">
      <c r="A46" s="708"/>
      <c r="B46" s="709"/>
      <c r="C46" s="709"/>
      <c r="D46" s="709"/>
      <c r="E46" s="709"/>
      <c r="F46" s="709"/>
      <c r="G46" s="709"/>
      <c r="H46" s="709"/>
      <c r="I46" s="709"/>
      <c r="J46" s="709"/>
      <c r="K46" s="709"/>
      <c r="L46" s="709"/>
      <c r="M46" s="709"/>
      <c r="N46" s="709"/>
      <c r="O46" s="709"/>
      <c r="P46" s="52"/>
      <c r="Q46" s="52"/>
      <c r="R46" s="52"/>
      <c r="S46" s="52"/>
      <c r="T46" s="53"/>
    </row>
    <row r="47" spans="1:20">
      <c r="A47" s="710" t="s">
        <v>65</v>
      </c>
      <c r="B47" s="711"/>
      <c r="C47" s="711"/>
      <c r="D47" s="711"/>
      <c r="E47" s="711"/>
      <c r="F47" s="711"/>
      <c r="G47" s="711"/>
      <c r="H47" s="711"/>
      <c r="I47" s="711"/>
      <c r="J47" s="711"/>
      <c r="K47" s="711"/>
      <c r="L47" s="711"/>
      <c r="M47" s="711"/>
      <c r="N47" s="711"/>
      <c r="O47" s="711"/>
      <c r="P47" s="97"/>
      <c r="Q47" s="97"/>
      <c r="R47" s="97"/>
      <c r="S47" s="97"/>
      <c r="T47" s="98"/>
    </row>
    <row r="48" spans="1:20">
      <c r="A48" s="363" t="s">
        <v>66</v>
      </c>
      <c r="B48" s="62"/>
      <c r="C48" s="62"/>
      <c r="D48" s="27" t="str">
        <f>'0422Master'!F5</f>
        <v>Burgeon IT Services Pvt.Ltd.</v>
      </c>
      <c r="E48" s="62"/>
      <c r="F48" s="62"/>
      <c r="G48" s="62"/>
      <c r="H48" s="62" t="s">
        <v>67</v>
      </c>
      <c r="I48" s="90"/>
      <c r="J48" s="90"/>
      <c r="K48" s="90"/>
      <c r="L48" s="90"/>
      <c r="M48" s="90"/>
      <c r="N48" s="90"/>
      <c r="O48" s="90"/>
      <c r="P48" s="27"/>
      <c r="Q48" s="27"/>
      <c r="R48" s="27"/>
      <c r="S48" s="27"/>
      <c r="T48" s="41"/>
    </row>
    <row r="49" spans="1:20" ht="15.75">
      <c r="A49" s="364"/>
      <c r="B49" s="62" t="str">
        <f>'0422Master'!F6</f>
        <v>Siri Mansion LIGB 436 Dr.A S Rao Nagar,Hyderabad</v>
      </c>
      <c r="C49" s="62"/>
      <c r="D49" s="62"/>
      <c r="E49" s="90"/>
      <c r="F49" s="90"/>
      <c r="G49" s="27"/>
      <c r="H49" s="361" t="str">
        <f>'0422Master'!B15</f>
        <v>Vipin U.N</v>
      </c>
      <c r="I49" s="90"/>
      <c r="J49" s="90"/>
      <c r="K49" s="90"/>
      <c r="L49" s="90"/>
      <c r="M49" s="90"/>
      <c r="N49" s="90"/>
      <c r="O49" s="90"/>
      <c r="P49" s="27"/>
      <c r="Q49" s="27"/>
      <c r="R49" s="27"/>
      <c r="S49" s="27"/>
      <c r="T49" s="41"/>
    </row>
    <row r="50" spans="1:20">
      <c r="A50" s="364"/>
      <c r="B50" s="62">
        <f>'0422Master'!F7</f>
        <v>0</v>
      </c>
      <c r="C50" s="62"/>
      <c r="D50" s="62"/>
      <c r="E50" s="90"/>
      <c r="F50" s="90"/>
      <c r="G50" s="90"/>
      <c r="H50" s="90"/>
      <c r="I50" s="90"/>
      <c r="J50" s="90"/>
      <c r="K50" s="90"/>
      <c r="L50" s="90"/>
      <c r="M50" s="90"/>
      <c r="N50" s="90"/>
      <c r="O50" s="90"/>
      <c r="P50" s="27"/>
      <c r="Q50" s="27"/>
      <c r="R50" s="27"/>
      <c r="S50" s="27"/>
      <c r="T50" s="41"/>
    </row>
    <row r="51" spans="1:20">
      <c r="A51" s="712" t="s">
        <v>68</v>
      </c>
      <c r="B51" s="713"/>
      <c r="C51" s="713"/>
      <c r="D51" s="713"/>
      <c r="E51" s="62"/>
      <c r="F51" s="62"/>
      <c r="G51" s="62"/>
      <c r="H51" s="62"/>
      <c r="I51" s="62"/>
      <c r="J51" s="62"/>
      <c r="K51" s="62"/>
      <c r="L51" s="62"/>
      <c r="M51" s="62"/>
      <c r="N51" s="62"/>
      <c r="O51" s="62"/>
      <c r="P51" s="27"/>
      <c r="Q51" s="27"/>
      <c r="R51" s="27"/>
      <c r="S51" s="27"/>
      <c r="T51" s="41"/>
    </row>
    <row r="52" spans="1:20" ht="15.75">
      <c r="A52" s="712"/>
      <c r="B52" s="713"/>
      <c r="C52" s="713"/>
      <c r="D52" s="713"/>
      <c r="E52" s="27"/>
      <c r="F52" s="62"/>
      <c r="G52" s="177"/>
      <c r="H52" s="362" t="s">
        <v>69</v>
      </c>
      <c r="I52" s="177"/>
      <c r="J52" s="177"/>
      <c r="K52" s="62"/>
      <c r="L52" s="62" t="str">
        <f>'0422Master'!D15</f>
        <v>Male</v>
      </c>
      <c r="M52" s="62"/>
      <c r="N52" s="62"/>
      <c r="O52" s="62"/>
      <c r="P52" s="27"/>
      <c r="Q52" s="27"/>
      <c r="R52" s="27"/>
      <c r="S52" s="27"/>
      <c r="T52" s="41"/>
    </row>
    <row r="53" spans="1:20">
      <c r="A53" s="712"/>
      <c r="B53" s="713"/>
      <c r="C53" s="713"/>
      <c r="D53" s="713"/>
      <c r="E53" s="62"/>
      <c r="F53" s="62"/>
      <c r="G53" s="62"/>
      <c r="H53" s="374" t="s">
        <v>70</v>
      </c>
      <c r="I53" s="62"/>
      <c r="J53" s="62"/>
      <c r="K53" s="62"/>
      <c r="L53" s="62"/>
      <c r="M53" s="62"/>
      <c r="N53" s="62"/>
      <c r="O53" s="62"/>
      <c r="P53" s="27"/>
      <c r="Q53" s="27"/>
      <c r="R53" s="27"/>
      <c r="S53" s="27"/>
      <c r="T53" s="41"/>
    </row>
    <row r="54" spans="1:20" ht="15.75" thickBot="1">
      <c r="A54" s="714"/>
      <c r="B54" s="715"/>
      <c r="C54" s="715"/>
      <c r="D54" s="715"/>
      <c r="E54" s="52"/>
      <c r="F54" s="365"/>
      <c r="G54" s="366"/>
      <c r="H54" s="55"/>
      <c r="I54" s="365"/>
      <c r="J54" s="365"/>
      <c r="K54" s="366"/>
      <c r="L54" s="365"/>
      <c r="M54" s="365"/>
      <c r="N54" s="365"/>
      <c r="O54" s="365"/>
      <c r="P54" s="52"/>
      <c r="Q54" s="52"/>
      <c r="R54" s="52"/>
      <c r="S54" s="52"/>
      <c r="T54" s="53"/>
    </row>
    <row r="55" spans="1:20" ht="16.5" thickBot="1">
      <c r="A55" s="701" t="s">
        <v>71</v>
      </c>
      <c r="B55" s="701" t="s">
        <v>72</v>
      </c>
      <c r="C55" s="703" t="s">
        <v>73</v>
      </c>
      <c r="D55" s="704"/>
      <c r="E55" s="705"/>
      <c r="F55" s="703" t="s">
        <v>74</v>
      </c>
      <c r="G55" s="704"/>
      <c r="H55" s="705"/>
      <c r="I55" s="701" t="s">
        <v>75</v>
      </c>
      <c r="J55" s="703" t="s">
        <v>76</v>
      </c>
      <c r="K55" s="704"/>
      <c r="L55" s="705"/>
      <c r="M55" s="701" t="s">
        <v>77</v>
      </c>
      <c r="N55" s="703" t="s">
        <v>78</v>
      </c>
      <c r="O55" s="704"/>
      <c r="P55" s="705"/>
      <c r="Q55" s="701" t="s">
        <v>79</v>
      </c>
      <c r="R55" s="701" t="s">
        <v>80</v>
      </c>
      <c r="S55" s="701" t="s">
        <v>81</v>
      </c>
      <c r="T55" s="701" t="s">
        <v>20</v>
      </c>
    </row>
    <row r="56" spans="1:20" ht="66.75" thickBot="1">
      <c r="A56" s="702"/>
      <c r="B56" s="702"/>
      <c r="C56" s="358" t="s">
        <v>82</v>
      </c>
      <c r="D56" s="358" t="s">
        <v>83</v>
      </c>
      <c r="E56" s="358" t="s">
        <v>84</v>
      </c>
      <c r="F56" s="358" t="s">
        <v>85</v>
      </c>
      <c r="G56" s="358" t="s">
        <v>86</v>
      </c>
      <c r="H56" s="358" t="s">
        <v>34</v>
      </c>
      <c r="I56" s="702"/>
      <c r="J56" s="358" t="s">
        <v>82</v>
      </c>
      <c r="K56" s="358" t="s">
        <v>83</v>
      </c>
      <c r="L56" s="358" t="s">
        <v>84</v>
      </c>
      <c r="M56" s="702"/>
      <c r="N56" s="358" t="s">
        <v>82</v>
      </c>
      <c r="O56" s="358" t="s">
        <v>83</v>
      </c>
      <c r="P56" s="358" t="s">
        <v>87</v>
      </c>
      <c r="Q56" s="702"/>
      <c r="R56" s="702"/>
      <c r="S56" s="702"/>
      <c r="T56" s="702"/>
    </row>
    <row r="57" spans="1:20" ht="16.5" thickBot="1">
      <c r="A57" s="359">
        <v>1</v>
      </c>
      <c r="B57" s="360">
        <v>2</v>
      </c>
      <c r="C57" s="360">
        <v>3</v>
      </c>
      <c r="D57" s="360">
        <v>4</v>
      </c>
      <c r="E57" s="360">
        <v>5</v>
      </c>
      <c r="F57" s="360">
        <v>6</v>
      </c>
      <c r="G57" s="360">
        <v>7</v>
      </c>
      <c r="H57" s="360">
        <v>8</v>
      </c>
      <c r="I57" s="360">
        <v>9</v>
      </c>
      <c r="J57" s="360">
        <v>10</v>
      </c>
      <c r="K57" s="360">
        <v>11</v>
      </c>
      <c r="L57" s="360">
        <v>12</v>
      </c>
      <c r="M57" s="360">
        <v>13</v>
      </c>
      <c r="N57" s="360">
        <v>14</v>
      </c>
      <c r="O57" s="360">
        <v>15</v>
      </c>
      <c r="P57" s="360">
        <v>16</v>
      </c>
      <c r="Q57" s="360">
        <v>17</v>
      </c>
      <c r="R57" s="360">
        <v>18</v>
      </c>
      <c r="S57" s="360">
        <v>19</v>
      </c>
      <c r="T57" s="360">
        <v>20</v>
      </c>
    </row>
    <row r="58" spans="1:20" ht="15.75">
      <c r="A58" s="367"/>
      <c r="B58" s="368"/>
      <c r="C58" s="368"/>
      <c r="D58" s="368"/>
      <c r="E58" s="368"/>
      <c r="F58" s="368"/>
      <c r="G58" s="368"/>
      <c r="H58" s="368"/>
      <c r="I58" s="368"/>
      <c r="J58" s="368"/>
      <c r="K58" s="368"/>
      <c r="L58" s="368"/>
      <c r="M58" s="368"/>
      <c r="N58" s="368"/>
      <c r="O58" s="368"/>
      <c r="P58" s="368"/>
      <c r="Q58" s="368"/>
      <c r="R58" s="368"/>
      <c r="S58" s="368"/>
      <c r="T58" s="368"/>
    </row>
    <row r="59" spans="1:20" ht="15.75">
      <c r="A59" s="371"/>
      <c r="B59" s="308"/>
      <c r="C59" s="308"/>
      <c r="D59" s="308"/>
      <c r="E59" s="308"/>
      <c r="F59" s="308"/>
      <c r="G59" s="308"/>
      <c r="H59" s="308"/>
      <c r="I59" s="308"/>
      <c r="J59" s="308"/>
      <c r="K59" s="308"/>
      <c r="L59" s="308"/>
      <c r="M59" s="308"/>
      <c r="N59" s="308"/>
      <c r="O59" s="308"/>
      <c r="P59" s="308"/>
      <c r="Q59" s="308"/>
      <c r="R59" s="308"/>
      <c r="S59" s="308"/>
      <c r="T59" s="281"/>
    </row>
    <row r="60" spans="1:20" ht="30" customHeight="1">
      <c r="A60" s="535" t="str">
        <f>'0422Master'!F15</f>
        <v>Senior IT Endpoint Engineer</v>
      </c>
      <c r="B60" s="541">
        <v>105304</v>
      </c>
      <c r="C60" s="537">
        <v>44562</v>
      </c>
      <c r="D60" s="537">
        <v>44592</v>
      </c>
      <c r="E60" s="539">
        <v>31</v>
      </c>
      <c r="F60" s="539">
        <v>13.5</v>
      </c>
      <c r="G60" s="539">
        <v>1.5</v>
      </c>
      <c r="H60" s="539">
        <v>15</v>
      </c>
      <c r="I60" s="539">
        <v>0</v>
      </c>
      <c r="J60" s="539">
        <v>0</v>
      </c>
      <c r="K60" s="539">
        <v>0</v>
      </c>
      <c r="L60" s="539">
        <v>0</v>
      </c>
      <c r="M60" s="539">
        <v>15</v>
      </c>
      <c r="N60" s="539"/>
      <c r="O60" s="539"/>
      <c r="P60" s="539"/>
      <c r="Q60" s="539"/>
      <c r="R60" s="308"/>
      <c r="S60" s="308"/>
      <c r="T60" s="281"/>
    </row>
    <row r="61" spans="1:20" ht="30" customHeight="1">
      <c r="A61" s="535" t="str">
        <f>'0422Master'!F15</f>
        <v>Senior IT Endpoint Engineer</v>
      </c>
      <c r="B61" s="541">
        <v>105304</v>
      </c>
      <c r="C61" s="537">
        <v>44593</v>
      </c>
      <c r="D61" s="537">
        <v>44620</v>
      </c>
      <c r="E61" s="539">
        <v>28</v>
      </c>
      <c r="F61" s="539">
        <v>15</v>
      </c>
      <c r="G61" s="539">
        <v>1.5</v>
      </c>
      <c r="H61" s="539">
        <f>H60+G61</f>
        <v>16.5</v>
      </c>
      <c r="I61" s="539">
        <v>0</v>
      </c>
      <c r="J61" s="539">
        <v>0</v>
      </c>
      <c r="K61" s="539">
        <v>0</v>
      </c>
      <c r="L61" s="539">
        <v>0</v>
      </c>
      <c r="M61" s="539">
        <f>M60+G61-L61</f>
        <v>16.5</v>
      </c>
      <c r="N61" s="539"/>
      <c r="O61" s="539"/>
      <c r="P61" s="539"/>
      <c r="Q61" s="539"/>
      <c r="R61" s="308"/>
      <c r="S61" s="308"/>
      <c r="T61" s="281"/>
    </row>
    <row r="62" spans="1:20" ht="30" customHeight="1">
      <c r="A62" s="535" t="s">
        <v>448</v>
      </c>
      <c r="B62" s="541">
        <v>105304</v>
      </c>
      <c r="C62" s="537">
        <v>44621</v>
      </c>
      <c r="D62" s="537">
        <v>44651</v>
      </c>
      <c r="E62" s="539">
        <v>31</v>
      </c>
      <c r="F62" s="539">
        <v>16.5</v>
      </c>
      <c r="G62" s="539">
        <v>1.5</v>
      </c>
      <c r="H62" s="539">
        <f>H61+G62</f>
        <v>18</v>
      </c>
      <c r="I62" s="539">
        <v>0</v>
      </c>
      <c r="J62" s="540">
        <v>44627</v>
      </c>
      <c r="K62" s="540">
        <v>44627</v>
      </c>
      <c r="L62" s="539">
        <v>0</v>
      </c>
      <c r="M62" s="539">
        <f>M61+1.5-L62</f>
        <v>18</v>
      </c>
      <c r="N62" s="539"/>
      <c r="O62" s="539"/>
      <c r="P62" s="539"/>
      <c r="Q62" s="539"/>
      <c r="R62" s="308"/>
      <c r="S62" s="308"/>
      <c r="T62" s="281"/>
    </row>
    <row r="63" spans="1:20" ht="30" customHeight="1">
      <c r="A63" s="535" t="s">
        <v>448</v>
      </c>
      <c r="B63" s="541">
        <v>105304</v>
      </c>
      <c r="C63" s="537">
        <v>44652</v>
      </c>
      <c r="D63" s="537">
        <v>44659</v>
      </c>
      <c r="E63" s="539">
        <v>8</v>
      </c>
      <c r="F63" s="539">
        <v>18</v>
      </c>
      <c r="G63" s="539">
        <v>0</v>
      </c>
      <c r="H63" s="539">
        <f>H62+G63</f>
        <v>18</v>
      </c>
      <c r="I63" s="539">
        <v>0</v>
      </c>
      <c r="J63" s="539">
        <v>0</v>
      </c>
      <c r="K63" s="539">
        <v>0</v>
      </c>
      <c r="L63" s="539">
        <v>0</v>
      </c>
      <c r="M63" s="539">
        <v>18</v>
      </c>
      <c r="N63" s="539"/>
      <c r="O63" s="539"/>
      <c r="P63" s="539"/>
      <c r="Q63" s="539" t="s">
        <v>472</v>
      </c>
      <c r="R63" s="308"/>
      <c r="S63" s="308"/>
      <c r="T63" s="281"/>
    </row>
    <row r="64" spans="1:20" ht="30" customHeight="1">
      <c r="A64" s="372"/>
      <c r="B64" s="541"/>
      <c r="C64" s="375"/>
      <c r="D64" s="375"/>
      <c r="E64" s="545"/>
      <c r="F64" s="545"/>
      <c r="G64" s="539"/>
      <c r="H64" s="539"/>
      <c r="I64" s="545"/>
      <c r="J64" s="539"/>
      <c r="K64" s="539"/>
      <c r="L64" s="624"/>
      <c r="M64" s="539"/>
      <c r="N64" s="308"/>
      <c r="O64" s="308"/>
      <c r="P64" s="308"/>
      <c r="Q64" s="308"/>
      <c r="R64" s="308"/>
      <c r="S64" s="308"/>
      <c r="T64" s="281"/>
    </row>
    <row r="65" spans="1:20" ht="30" customHeight="1">
      <c r="A65" s="372"/>
      <c r="B65" s="541"/>
      <c r="C65" s="375"/>
      <c r="D65" s="375"/>
      <c r="E65" s="556"/>
      <c r="F65" s="556"/>
      <c r="G65" s="539"/>
      <c r="H65" s="539"/>
      <c r="I65" s="556"/>
      <c r="J65" s="539"/>
      <c r="K65" s="539"/>
      <c r="L65" s="624"/>
      <c r="M65" s="539"/>
      <c r="N65" s="308"/>
      <c r="O65" s="308"/>
      <c r="P65" s="308"/>
      <c r="Q65" s="308"/>
      <c r="R65" s="308"/>
      <c r="S65" s="308"/>
      <c r="T65" s="281"/>
    </row>
    <row r="66" spans="1:20" ht="30" customHeight="1">
      <c r="A66" s="372"/>
      <c r="B66" s="541"/>
      <c r="C66" s="375"/>
      <c r="D66" s="375"/>
      <c r="E66" s="564"/>
      <c r="F66" s="564"/>
      <c r="G66" s="539"/>
      <c r="H66" s="539"/>
      <c r="I66" s="564"/>
      <c r="J66" s="539"/>
      <c r="K66" s="539"/>
      <c r="L66" s="624"/>
      <c r="M66" s="539"/>
      <c r="N66" s="308"/>
      <c r="O66" s="308"/>
      <c r="P66" s="308"/>
      <c r="Q66" s="308"/>
      <c r="R66" s="308"/>
      <c r="S66" s="308"/>
      <c r="T66" s="281"/>
    </row>
    <row r="67" spans="1:20" ht="30" customHeight="1">
      <c r="A67" s="372"/>
      <c r="B67" s="541"/>
      <c r="C67" s="375"/>
      <c r="D67" s="375"/>
      <c r="E67" s="564"/>
      <c r="F67" s="564"/>
      <c r="G67" s="539"/>
      <c r="H67" s="539"/>
      <c r="I67" s="568"/>
      <c r="J67" s="563"/>
      <c r="K67" s="540"/>
      <c r="L67" s="624"/>
      <c r="M67" s="539"/>
      <c r="N67" s="308"/>
      <c r="O67" s="308"/>
      <c r="P67" s="308"/>
      <c r="Q67" s="308"/>
      <c r="R67" s="308"/>
      <c r="S67" s="308"/>
      <c r="T67" s="281"/>
    </row>
    <row r="68" spans="1:20" ht="30" customHeight="1">
      <c r="A68" s="372"/>
      <c r="B68" s="541"/>
      <c r="C68" s="375"/>
      <c r="D68" s="375"/>
      <c r="E68" s="568"/>
      <c r="F68" s="568"/>
      <c r="G68" s="539"/>
      <c r="H68" s="539"/>
      <c r="I68" s="568"/>
      <c r="J68" s="567"/>
      <c r="K68" s="540"/>
      <c r="L68" s="624"/>
      <c r="M68" s="539"/>
      <c r="N68" s="308"/>
      <c r="O68" s="308"/>
      <c r="P68" s="308"/>
      <c r="Q68" s="308"/>
      <c r="R68" s="308"/>
      <c r="S68" s="308"/>
      <c r="T68" s="281"/>
    </row>
    <row r="69" spans="1:20" ht="30" customHeight="1">
      <c r="A69" s="372"/>
      <c r="B69" s="541"/>
      <c r="C69" s="375"/>
      <c r="D69" s="375"/>
      <c r="E69" s="624"/>
      <c r="F69" s="539"/>
      <c r="G69" s="621"/>
      <c r="H69" s="539"/>
      <c r="I69" s="308"/>
      <c r="J69" s="540"/>
      <c r="K69" s="540"/>
      <c r="L69" s="539"/>
      <c r="M69" s="546"/>
      <c r="N69" s="308"/>
      <c r="O69" s="308"/>
      <c r="P69" s="308"/>
      <c r="Q69" s="308"/>
      <c r="R69" s="308"/>
      <c r="S69" s="308"/>
      <c r="T69" s="281"/>
    </row>
    <row r="70" spans="1:20" ht="30" customHeight="1">
      <c r="A70" s="372"/>
      <c r="B70" s="541"/>
      <c r="C70" s="375"/>
      <c r="D70" s="375"/>
      <c r="E70" s="626"/>
      <c r="F70" s="626"/>
      <c r="G70" s="626"/>
      <c r="H70" s="539"/>
      <c r="I70" s="308"/>
      <c r="J70" s="464"/>
      <c r="K70" s="464"/>
      <c r="L70" s="626"/>
      <c r="M70" s="626"/>
      <c r="N70" s="308"/>
      <c r="O70" s="308"/>
      <c r="P70" s="308"/>
      <c r="Q70" s="308"/>
      <c r="R70" s="308"/>
      <c r="S70" s="308"/>
      <c r="T70" s="281"/>
    </row>
    <row r="71" spans="1:20" ht="30" customHeight="1">
      <c r="A71" s="633"/>
      <c r="B71" s="541"/>
      <c r="C71" s="375"/>
      <c r="D71" s="375"/>
      <c r="E71" s="632"/>
      <c r="F71" s="649"/>
      <c r="G71" s="649"/>
      <c r="H71" s="539"/>
      <c r="I71" s="308"/>
      <c r="J71" s="308"/>
      <c r="K71" s="308"/>
      <c r="L71" s="308"/>
      <c r="M71" s="546"/>
      <c r="N71" s="637"/>
      <c r="O71" s="637"/>
      <c r="P71" s="637"/>
      <c r="Q71" s="637"/>
      <c r="R71" s="637"/>
      <c r="S71" s="637"/>
      <c r="T71" s="638"/>
    </row>
    <row r="72" spans="1:20" ht="30" customHeight="1">
      <c r="A72" s="372"/>
      <c r="B72" s="541"/>
      <c r="C72" s="375"/>
      <c r="D72" s="375"/>
      <c r="E72" s="639"/>
      <c r="F72" s="649"/>
      <c r="G72" s="649"/>
      <c r="H72" s="539"/>
      <c r="I72" s="308"/>
      <c r="J72" s="308"/>
      <c r="K72" s="308"/>
      <c r="L72" s="308"/>
      <c r="M72" s="546"/>
      <c r="N72" s="308"/>
      <c r="O72" s="308"/>
      <c r="P72" s="308"/>
      <c r="Q72" s="308"/>
      <c r="R72" s="308"/>
      <c r="S72" s="308"/>
      <c r="T72" s="281"/>
    </row>
    <row r="73" spans="1:20" ht="30" customHeight="1">
      <c r="A73" s="372"/>
      <c r="B73" s="541"/>
      <c r="C73" s="375"/>
      <c r="D73" s="375"/>
      <c r="E73" s="649"/>
      <c r="F73" s="649"/>
      <c r="G73" s="649"/>
      <c r="H73" s="539"/>
      <c r="I73" s="308"/>
      <c r="J73" s="375"/>
      <c r="K73" s="375"/>
      <c r="L73" s="308"/>
      <c r="M73" s="546"/>
      <c r="N73" s="308"/>
      <c r="O73" s="308"/>
      <c r="P73" s="308"/>
      <c r="Q73" s="308"/>
      <c r="R73" s="308"/>
      <c r="S73" s="308"/>
      <c r="T73" s="281"/>
    </row>
    <row r="74" spans="1:20" ht="30" customHeight="1">
      <c r="A74" s="633"/>
      <c r="B74" s="541"/>
      <c r="C74" s="375"/>
      <c r="D74" s="375"/>
      <c r="E74" s="649"/>
      <c r="F74" s="649"/>
      <c r="G74" s="649"/>
      <c r="H74" s="539"/>
      <c r="I74" s="308"/>
      <c r="J74" s="308"/>
      <c r="K74" s="308"/>
      <c r="L74" s="308"/>
      <c r="M74" s="546"/>
      <c r="N74" s="637"/>
      <c r="O74" s="637"/>
      <c r="P74" s="637"/>
      <c r="Q74" s="637"/>
      <c r="R74" s="637"/>
      <c r="S74" s="637"/>
      <c r="T74" s="638"/>
    </row>
    <row r="75" spans="1:20" ht="30" customHeight="1">
      <c r="A75" s="633"/>
      <c r="B75" s="634"/>
      <c r="C75" s="635"/>
      <c r="D75" s="635"/>
      <c r="E75" s="462"/>
      <c r="F75" s="462"/>
      <c r="G75" s="462"/>
      <c r="H75" s="636"/>
      <c r="I75" s="637"/>
      <c r="J75" s="463"/>
      <c r="K75" s="463"/>
      <c r="L75" s="462"/>
      <c r="M75" s="462"/>
      <c r="N75" s="637"/>
      <c r="O75" s="637"/>
      <c r="P75" s="637"/>
      <c r="Q75" s="637"/>
      <c r="R75" s="637"/>
      <c r="S75" s="637"/>
      <c r="T75" s="638"/>
    </row>
    <row r="76" spans="1:20" ht="30" customHeight="1" thickBot="1">
      <c r="A76" s="373"/>
      <c r="B76" s="369"/>
      <c r="C76" s="369"/>
      <c r="D76" s="369"/>
      <c r="E76" s="369"/>
      <c r="F76" s="369"/>
      <c r="G76" s="369"/>
      <c r="H76" s="369"/>
      <c r="I76" s="369"/>
      <c r="J76" s="369"/>
      <c r="K76" s="369"/>
      <c r="L76" s="369"/>
      <c r="M76" s="369"/>
      <c r="N76" s="369"/>
      <c r="O76" s="369"/>
      <c r="P76" s="369"/>
      <c r="Q76" s="369"/>
      <c r="R76" s="369"/>
      <c r="S76" s="369"/>
      <c r="T76" s="370"/>
    </row>
  </sheetData>
  <protectedRanges>
    <protectedRange password="CA4D" sqref="E4 A4:C6 D5:D6 E48 A48:C50 D49:D50" name="Range1_2"/>
    <protectedRange password="CA4D" sqref="I4:O6 H5 F4:H4 E5:F6 G6:H6 I48:O50 H49 F48:H48 E49:F50 G50:H50" name="Range1_4"/>
    <protectedRange password="CA4D" sqref="E9 H8 I7:O10 G7:H7 F7:F10 E7 G9:H10 E53 H52 I51:O54 G51:H51 F51:F54 E51 G53:H54" name="Range1_5"/>
    <protectedRange password="CA4D" sqref="A7:D10 A51:D54" name="Range1_6"/>
  </protectedRanges>
  <mergeCells count="30">
    <mergeCell ref="A45:O46"/>
    <mergeCell ref="A47:O47"/>
    <mergeCell ref="A51:D54"/>
    <mergeCell ref="A11:A12"/>
    <mergeCell ref="B11:B12"/>
    <mergeCell ref="C11:E11"/>
    <mergeCell ref="F11:H11"/>
    <mergeCell ref="I11:I12"/>
    <mergeCell ref="J11:L11"/>
    <mergeCell ref="M11:M12"/>
    <mergeCell ref="N11:P11"/>
    <mergeCell ref="R11:R12"/>
    <mergeCell ref="S11:S12"/>
    <mergeCell ref="T11:T12"/>
    <mergeCell ref="A1:O2"/>
    <mergeCell ref="A3:O3"/>
    <mergeCell ref="A7:D10"/>
    <mergeCell ref="Q11:Q12"/>
    <mergeCell ref="R55:R56"/>
    <mergeCell ref="S55:S56"/>
    <mergeCell ref="T55:T56"/>
    <mergeCell ref="A55:A56"/>
    <mergeCell ref="B55:B56"/>
    <mergeCell ref="C55:E55"/>
    <mergeCell ref="F55:H55"/>
    <mergeCell ref="I55:I56"/>
    <mergeCell ref="J55:L55"/>
    <mergeCell ref="M55:M56"/>
    <mergeCell ref="N55:P55"/>
    <mergeCell ref="Q55:Q56"/>
  </mergeCells>
  <pageMargins left="0.70866141732283472" right="0.70866141732283472" top="0.74803149606299213" bottom="0.74803149606299213" header="0.31496062992125984" footer="0.31496062992125984"/>
  <pageSetup scale="55" orientation="landscape" r:id="rId1"/>
  <rowBreaks count="1" manualBreakCount="1">
    <brk id="77"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JI22"/>
  <sheetViews>
    <sheetView topLeftCell="X1" workbookViewId="0">
      <selection activeCell="AB16" sqref="AB16"/>
    </sheetView>
  </sheetViews>
  <sheetFormatPr defaultRowHeight="15.75"/>
  <cols>
    <col min="1" max="1" width="5.140625" style="9" customWidth="1"/>
    <col min="2" max="2" width="31.7109375" customWidth="1"/>
    <col min="3" max="3" width="10.5703125" customWidth="1"/>
    <col min="4" max="4" width="23" customWidth="1"/>
    <col min="5" max="5" width="8.28515625" customWidth="1"/>
    <col min="6" max="6" width="7.5703125" customWidth="1"/>
    <col min="7" max="7" width="11" style="2" customWidth="1"/>
    <col min="8" max="8" width="13.5703125" bestFit="1" customWidth="1"/>
    <col min="9" max="9" width="8.7109375" customWidth="1"/>
    <col min="10" max="10" width="5.5703125" customWidth="1"/>
    <col min="11" max="11" width="14.85546875" bestFit="1" customWidth="1"/>
    <col min="12" max="12" width="13.5703125" bestFit="1" customWidth="1"/>
    <col min="13" max="14" width="11.7109375" bestFit="1" customWidth="1"/>
    <col min="15" max="15" width="13.5703125" bestFit="1" customWidth="1"/>
    <col min="16" max="16" width="15.28515625" bestFit="1" customWidth="1"/>
    <col min="17" max="18" width="11.42578125" customWidth="1"/>
    <col min="19" max="19" width="11.7109375" customWidth="1"/>
    <col min="20" max="20" width="13.42578125" customWidth="1"/>
    <col min="21" max="21" width="15.5703125" bestFit="1" customWidth="1"/>
    <col min="22" max="22" width="7.5703125" style="9" customWidth="1"/>
    <col min="23" max="23" width="11.7109375" style="9" bestFit="1" customWidth="1"/>
    <col min="24" max="24" width="10.85546875" style="9" customWidth="1"/>
    <col min="25" max="25" width="13.140625" style="9" customWidth="1"/>
    <col min="26" max="26" width="8.7109375" style="9" customWidth="1"/>
    <col min="27" max="27" width="13.28515625" style="9" customWidth="1"/>
    <col min="28" max="28" width="11.140625" customWidth="1"/>
    <col min="29" max="29" width="10.140625" customWidth="1"/>
    <col min="30" max="30" width="9.7109375" customWidth="1"/>
    <col min="31" max="31" width="32.85546875" bestFit="1" customWidth="1"/>
    <col min="32" max="32" width="11.7109375" customWidth="1"/>
  </cols>
  <sheetData>
    <row r="3" spans="1:36" ht="43.5" customHeight="1">
      <c r="A3" s="697" t="s">
        <v>88</v>
      </c>
      <c r="B3" s="698"/>
      <c r="C3" s="698"/>
      <c r="D3" s="698"/>
      <c r="E3" s="698"/>
      <c r="F3" s="698"/>
      <c r="G3" s="698"/>
      <c r="H3" s="698"/>
      <c r="I3" s="698"/>
      <c r="J3" s="698"/>
      <c r="K3" s="698"/>
      <c r="L3" s="698"/>
      <c r="M3" s="698"/>
      <c r="N3" s="698"/>
      <c r="O3" s="698"/>
      <c r="P3" s="698"/>
      <c r="Q3" s="698"/>
      <c r="R3" s="698"/>
      <c r="S3" s="698"/>
      <c r="T3" s="698"/>
      <c r="U3" s="698"/>
      <c r="V3" s="698"/>
      <c r="W3" s="698"/>
      <c r="X3" s="698"/>
      <c r="Y3" s="698"/>
      <c r="Z3" s="698"/>
      <c r="AA3" s="698"/>
      <c r="AB3" s="698"/>
      <c r="AC3" s="698"/>
      <c r="AD3" s="698"/>
      <c r="AE3" s="698"/>
      <c r="AF3" s="698"/>
    </row>
    <row r="5" spans="1:36" ht="43.5" customHeight="1">
      <c r="A5" s="699" t="s">
        <v>1</v>
      </c>
      <c r="B5" s="699"/>
      <c r="C5" s="699"/>
      <c r="D5" s="1" t="str">
        <f>'0422Master'!F5</f>
        <v>Burgeon IT Services Pvt.Ltd.</v>
      </c>
      <c r="P5" s="34"/>
      <c r="Q5" s="34"/>
      <c r="R5" s="34"/>
      <c r="S5" s="34"/>
      <c r="U5" s="34" t="s">
        <v>2</v>
      </c>
      <c r="V5" s="34"/>
      <c r="W5" s="34"/>
      <c r="X5" s="34"/>
      <c r="Y5" s="34"/>
      <c r="Z5" s="388"/>
      <c r="AA5" s="3"/>
      <c r="AB5" s="4"/>
      <c r="AC5" s="4"/>
      <c r="AD5" s="4"/>
      <c r="AE5" s="4"/>
      <c r="AF5" s="4"/>
      <c r="AG5" s="5"/>
      <c r="AH5" s="5"/>
      <c r="AI5" s="5"/>
      <c r="AJ5" s="5"/>
    </row>
    <row r="6" spans="1:36" ht="20.45" customHeight="1">
      <c r="A6" s="6"/>
      <c r="D6" s="7" t="str">
        <f>'0422Master'!F6</f>
        <v>Siri Mansion LIGB 436 Dr.A S Rao Nagar,Hyderabad</v>
      </c>
      <c r="K6" s="8"/>
      <c r="L6" s="8"/>
      <c r="M6" s="8"/>
      <c r="N6" s="8"/>
      <c r="O6" s="8"/>
      <c r="P6" s="8"/>
      <c r="Q6" s="8"/>
      <c r="R6" s="8"/>
      <c r="S6" s="8"/>
      <c r="T6" s="8"/>
      <c r="U6" s="8"/>
      <c r="V6" s="388"/>
      <c r="W6" s="388"/>
      <c r="X6" s="388"/>
      <c r="Y6"/>
      <c r="Z6" s="388"/>
      <c r="AA6" s="7"/>
      <c r="AB6" s="10"/>
      <c r="AC6" s="10"/>
      <c r="AD6" s="10"/>
      <c r="AE6" s="10"/>
      <c r="AF6" s="10"/>
      <c r="AG6" s="10"/>
      <c r="AH6" s="10"/>
      <c r="AI6" s="10"/>
      <c r="AJ6" s="10"/>
    </row>
    <row r="7" spans="1:36">
      <c r="A7" s="699" t="s">
        <v>3</v>
      </c>
      <c r="B7" s="699"/>
      <c r="C7" s="699"/>
      <c r="D7" s="11" t="str">
        <f>'0422Master'!F8</f>
        <v>IT SUPPORTIVE SERVICES &amp; BHUBANESWAR</v>
      </c>
      <c r="K7" s="8"/>
      <c r="L7" s="8"/>
      <c r="M7" s="8"/>
      <c r="N7" s="8"/>
      <c r="O7" s="8"/>
      <c r="P7" s="8"/>
      <c r="Q7" s="8"/>
      <c r="R7" s="8"/>
      <c r="S7" s="8"/>
      <c r="T7" s="8"/>
      <c r="U7" s="8"/>
      <c r="V7" s="388"/>
      <c r="W7" s="388"/>
      <c r="X7" s="12"/>
      <c r="Y7" s="12"/>
      <c r="Z7" s="12"/>
      <c r="AA7" s="12"/>
      <c r="AB7" s="12"/>
      <c r="AC7" s="12"/>
      <c r="AD7" s="12"/>
      <c r="AE7" s="12"/>
      <c r="AF7" s="12"/>
      <c r="AG7" s="12"/>
      <c r="AH7" s="12"/>
      <c r="AI7" s="12"/>
      <c r="AJ7" s="12"/>
    </row>
    <row r="8" spans="1:36">
      <c r="A8" s="6"/>
      <c r="K8" s="8"/>
      <c r="L8" s="8"/>
      <c r="M8" s="8"/>
      <c r="N8" s="8"/>
      <c r="O8" s="8"/>
      <c r="P8" s="8"/>
      <c r="Q8" s="8"/>
      <c r="R8" s="8"/>
      <c r="S8" s="8"/>
      <c r="T8" s="8"/>
      <c r="U8" s="8"/>
      <c r="V8" s="388"/>
      <c r="W8" s="388"/>
      <c r="X8" s="716"/>
      <c r="Y8" s="716"/>
      <c r="Z8" s="716"/>
      <c r="AA8" s="716"/>
      <c r="AB8" s="716"/>
      <c r="AC8" s="716"/>
      <c r="AD8" s="716"/>
      <c r="AE8" s="716"/>
      <c r="AF8" s="716"/>
    </row>
    <row r="9" spans="1:36" ht="15" customHeight="1">
      <c r="A9" s="699" t="s">
        <v>6</v>
      </c>
      <c r="B9" s="699"/>
      <c r="C9" s="699"/>
      <c r="D9" s="13">
        <f>'0422Master'!D9</f>
        <v>44652</v>
      </c>
      <c r="K9" s="385"/>
      <c r="L9" s="385"/>
      <c r="M9" s="385"/>
      <c r="N9" s="385"/>
      <c r="O9" s="385"/>
      <c r="P9" s="6"/>
      <c r="Q9" s="6"/>
      <c r="R9" s="6"/>
      <c r="S9" s="6"/>
      <c r="V9" s="385" t="s">
        <v>5</v>
      </c>
      <c r="W9" s="388"/>
      <c r="X9" s="388"/>
      <c r="Y9" s="4"/>
      <c r="Z9" s="388"/>
      <c r="AA9" s="385" t="str">
        <f>'0422Master'!AO8</f>
        <v>INFOSYS LIMITED, IL BHUBANESHWAR-STP,UNIT-II</v>
      </c>
      <c r="AB9" s="4"/>
      <c r="AC9" s="4"/>
      <c r="AD9" s="4"/>
      <c r="AE9" s="5"/>
      <c r="AF9" s="5"/>
      <c r="AG9" s="5"/>
      <c r="AH9" s="5"/>
    </row>
    <row r="10" spans="1:36" ht="17.45" customHeight="1">
      <c r="A10" s="388"/>
      <c r="V10" s="388"/>
      <c r="W10" s="388"/>
      <c r="X10" s="388"/>
      <c r="Y10" s="15"/>
      <c r="Z10" s="388"/>
      <c r="AA10" s="14" t="str">
        <f>'0422Master'!AO10</f>
        <v>Plot No E/4,Info city,Chandaka Industrial, Bhubaneswar,Odisha - 751024</v>
      </c>
      <c r="AB10" s="10"/>
      <c r="AC10" s="10"/>
      <c r="AD10" s="10"/>
      <c r="AE10" s="10"/>
      <c r="AF10" s="10"/>
      <c r="AG10" s="10"/>
      <c r="AH10" s="10"/>
    </row>
    <row r="11" spans="1:36">
      <c r="A11" s="388"/>
      <c r="C11" s="16"/>
      <c r="V11" s="388"/>
      <c r="W11" s="388"/>
      <c r="X11" s="388"/>
      <c r="Y11" s="388"/>
      <c r="Z11" s="388"/>
      <c r="AA11" s="388"/>
    </row>
    <row r="12" spans="1:36" ht="16.5" thickBot="1">
      <c r="A12" s="388"/>
      <c r="V12" s="388"/>
      <c r="W12" s="388"/>
      <c r="X12" s="388"/>
      <c r="Y12" s="388"/>
      <c r="Z12" s="388"/>
      <c r="AA12" s="388"/>
    </row>
    <row r="13" spans="1:36" s="18" customFormat="1" ht="36.6" customHeight="1">
      <c r="A13" s="717" t="s">
        <v>59</v>
      </c>
      <c r="B13" s="719" t="s">
        <v>9</v>
      </c>
      <c r="C13" s="719" t="s">
        <v>8</v>
      </c>
      <c r="D13" s="719" t="s">
        <v>13</v>
      </c>
      <c r="E13" s="719" t="s">
        <v>23</v>
      </c>
      <c r="F13" s="719" t="s">
        <v>24</v>
      </c>
      <c r="G13" s="724" t="s">
        <v>25</v>
      </c>
      <c r="H13" s="719" t="s">
        <v>26</v>
      </c>
      <c r="I13" s="719" t="s">
        <v>27</v>
      </c>
      <c r="J13" s="719" t="s">
        <v>28</v>
      </c>
      <c r="K13" s="726" t="s">
        <v>29</v>
      </c>
      <c r="L13" s="389" t="s">
        <v>30</v>
      </c>
      <c r="M13" s="389" t="s">
        <v>31</v>
      </c>
      <c r="N13" s="389" t="s">
        <v>32</v>
      </c>
      <c r="O13" s="389" t="s">
        <v>33</v>
      </c>
      <c r="P13" s="728" t="s">
        <v>34</v>
      </c>
      <c r="Q13" s="17" t="s">
        <v>35</v>
      </c>
      <c r="R13" s="17" t="s">
        <v>36</v>
      </c>
      <c r="S13" s="17" t="s">
        <v>37</v>
      </c>
      <c r="T13" s="566" t="s">
        <v>38</v>
      </c>
      <c r="U13" s="17" t="s">
        <v>39</v>
      </c>
      <c r="V13" s="729" t="s">
        <v>40</v>
      </c>
      <c r="W13" s="730"/>
      <c r="X13" s="730"/>
      <c r="Y13" s="730"/>
      <c r="Z13" s="730"/>
      <c r="AA13" s="731"/>
      <c r="AB13" s="719" t="s">
        <v>41</v>
      </c>
      <c r="AC13" s="719" t="s">
        <v>42</v>
      </c>
      <c r="AD13" s="386" t="s">
        <v>43</v>
      </c>
      <c r="AE13" s="719" t="s">
        <v>44</v>
      </c>
      <c r="AF13" s="722" t="s">
        <v>45</v>
      </c>
    </row>
    <row r="14" spans="1:36" ht="47.25" customHeight="1">
      <c r="A14" s="718"/>
      <c r="B14" s="720"/>
      <c r="C14" s="721"/>
      <c r="D14" s="721"/>
      <c r="E14" s="721"/>
      <c r="F14" s="721"/>
      <c r="G14" s="725"/>
      <c r="H14" s="721"/>
      <c r="I14" s="721"/>
      <c r="J14" s="721"/>
      <c r="K14" s="727"/>
      <c r="L14" s="390"/>
      <c r="M14" s="390"/>
      <c r="N14" s="390"/>
      <c r="O14" s="390"/>
      <c r="P14" s="720"/>
      <c r="Q14" s="391"/>
      <c r="R14" s="391"/>
      <c r="S14" s="391"/>
      <c r="T14" s="391"/>
      <c r="U14" s="391"/>
      <c r="V14" s="438" t="s">
        <v>46</v>
      </c>
      <c r="W14" s="438" t="s">
        <v>47</v>
      </c>
      <c r="X14" s="438" t="s">
        <v>48</v>
      </c>
      <c r="Y14" s="438" t="s">
        <v>49</v>
      </c>
      <c r="Z14" s="438" t="s">
        <v>50</v>
      </c>
      <c r="AA14" s="439" t="s">
        <v>51</v>
      </c>
      <c r="AB14" s="721"/>
      <c r="AC14" s="721"/>
      <c r="AD14" s="387"/>
      <c r="AE14" s="721"/>
      <c r="AF14" s="723"/>
    </row>
    <row r="15" spans="1:36" ht="25.15" customHeight="1">
      <c r="A15" s="442">
        <v>1</v>
      </c>
      <c r="B15" s="490" t="str">
        <f>'0422Master'!U14</f>
        <v>KRANTHI KUMAR VEDULLA</v>
      </c>
      <c r="C15" s="542">
        <f>'0422Master'!A14</f>
        <v>1</v>
      </c>
      <c r="D15" s="543" t="str">
        <f>'0422Master'!F14</f>
        <v>Senior Network Engineer</v>
      </c>
      <c r="E15" s="565">
        <f>'0422Master'!V14</f>
        <v>30</v>
      </c>
      <c r="F15" s="440">
        <f>'0422Master'!W14</f>
        <v>0</v>
      </c>
      <c r="G15" s="440">
        <f>'0422Master'!X14</f>
        <v>84912</v>
      </c>
      <c r="H15" s="441">
        <f>'0422Master'!Y14</f>
        <v>50947.199999999997</v>
      </c>
      <c r="I15" s="442">
        <f>'0422Master'!Z14</f>
        <v>0</v>
      </c>
      <c r="J15" s="442">
        <f>'0422Master'!AA14</f>
        <v>0</v>
      </c>
      <c r="K15" s="443">
        <f t="shared" ref="K15:K16" si="0">L15+M15+N15+O15</f>
        <v>34077.800000000003</v>
      </c>
      <c r="L15" s="443">
        <f>'0422Master'!AC14</f>
        <v>20378.88</v>
      </c>
      <c r="M15" s="443">
        <f>'0422Master'!AD14</f>
        <v>2083</v>
      </c>
      <c r="N15" s="443">
        <f>'0422Master'!AE14</f>
        <v>2083</v>
      </c>
      <c r="O15" s="443">
        <f>'0422Master'!AF14</f>
        <v>9532.9199999999983</v>
      </c>
      <c r="P15" s="443">
        <f>'0422Master'!AG14</f>
        <v>85025</v>
      </c>
      <c r="Q15" s="432">
        <f>'0422Master'!AH14</f>
        <v>1554.6089999999999</v>
      </c>
      <c r="R15" s="432">
        <f>'0422Master'!AI14</f>
        <v>2450.5603199999996</v>
      </c>
      <c r="S15" s="432">
        <f>'0422Master'!AJ14</f>
        <v>4245.5999999999995</v>
      </c>
      <c r="T15" s="443">
        <f>'0422Master'!AK14</f>
        <v>0</v>
      </c>
      <c r="U15" s="443">
        <f>'0422Master'!AL14</f>
        <v>93275.769320000007</v>
      </c>
      <c r="V15" s="441">
        <f>'0422Master'!AM14</f>
        <v>0</v>
      </c>
      <c r="W15" s="443">
        <f>'0422Master'!AN14</f>
        <v>1800</v>
      </c>
      <c r="X15" s="443">
        <f>'0422Master'!AO14</f>
        <v>200</v>
      </c>
      <c r="Y15" s="443">
        <f>'0422Master'!AP14</f>
        <v>0</v>
      </c>
      <c r="Z15" s="443">
        <f>'0422Master'!AQ14</f>
        <v>392</v>
      </c>
      <c r="AA15" s="443">
        <f t="shared" ref="AA15" si="1">V15+W15+X15+Y15+Z15</f>
        <v>2392</v>
      </c>
      <c r="AB15" s="443">
        <f>U15-AA15</f>
        <v>90883.769320000007</v>
      </c>
      <c r="AC15" s="444">
        <f>'0422Master'!AT14</f>
        <v>44686</v>
      </c>
      <c r="AD15" s="436" t="str">
        <f>'0422Master'!AU14</f>
        <v>ICICI</v>
      </c>
      <c r="AE15" s="445" t="str">
        <f>'0422Master'!AV14</f>
        <v>A/C'403901506350</v>
      </c>
      <c r="AF15" s="446"/>
    </row>
    <row r="16" spans="1:36" ht="25.15" customHeight="1">
      <c r="A16" s="442">
        <v>2</v>
      </c>
      <c r="B16" s="490" t="str">
        <f>'0422Master'!U15</f>
        <v>Vipin U.N</v>
      </c>
      <c r="C16" s="542">
        <f>'0422Master'!A15</f>
        <v>2</v>
      </c>
      <c r="D16" s="543" t="str">
        <f>'0422Master'!F15</f>
        <v>Senior IT Endpoint Engineer</v>
      </c>
      <c r="E16" s="565">
        <f>'0422Master'!V15</f>
        <v>8</v>
      </c>
      <c r="F16" s="440">
        <f>'0422Master'!W15</f>
        <v>0</v>
      </c>
      <c r="G16" s="440">
        <f>'0422Master'!X15</f>
        <v>105304</v>
      </c>
      <c r="H16" s="441">
        <f>'0422Master'!Y15</f>
        <v>16848.64</v>
      </c>
      <c r="I16" s="442">
        <f>'0422Master'!Z15</f>
        <v>0</v>
      </c>
      <c r="J16" s="442">
        <f>'0422Master'!AA15</f>
        <v>0</v>
      </c>
      <c r="K16" s="443">
        <f t="shared" si="0"/>
        <v>11345.426666666668</v>
      </c>
      <c r="L16" s="443">
        <f>'0422Master'!AC15</f>
        <v>6739.4560000000001</v>
      </c>
      <c r="M16" s="443">
        <f>'0422Master'!AD15</f>
        <v>555</v>
      </c>
      <c r="N16" s="443">
        <f>'0422Master'!AE15</f>
        <v>555</v>
      </c>
      <c r="O16" s="443">
        <f>'0422Master'!AF15</f>
        <v>3495.970666666668</v>
      </c>
      <c r="P16" s="443">
        <f>'0422Master'!AG15</f>
        <v>28194.066666666666</v>
      </c>
      <c r="Q16" s="432">
        <f>'0422Master'!AH15</f>
        <v>1554.6089999999999</v>
      </c>
      <c r="R16" s="432">
        <f>'0422Master'!AI15</f>
        <v>810.41958399999987</v>
      </c>
      <c r="S16" s="432">
        <f>'0422Master'!AJ15</f>
        <v>1404.0533333333333</v>
      </c>
      <c r="T16" s="443">
        <f>'0422Master'!AK15</f>
        <v>0</v>
      </c>
      <c r="U16" s="443">
        <f>'0422Master'!AL15</f>
        <v>31963.148583999999</v>
      </c>
      <c r="V16" s="441">
        <f>'0422Master'!AM15</f>
        <v>0</v>
      </c>
      <c r="W16" s="443">
        <f>'0422Master'!AN15</f>
        <v>1800</v>
      </c>
      <c r="X16" s="443">
        <f>'0422Master'!AO15</f>
        <v>200</v>
      </c>
      <c r="Y16" s="443">
        <f>'0422Master'!AP15</f>
        <v>0</v>
      </c>
      <c r="Z16" s="443">
        <f>'0422Master'!AQ15</f>
        <v>392</v>
      </c>
      <c r="AA16" s="443">
        <f t="shared" ref="AA16" si="2">V16+W16+X16+Y16+Z16</f>
        <v>2392</v>
      </c>
      <c r="AB16" s="443">
        <f>U16-AA16</f>
        <v>29571.148583999999</v>
      </c>
      <c r="AC16" s="444">
        <f>'0422Master'!AT15</f>
        <v>44686</v>
      </c>
      <c r="AD16" s="436" t="str">
        <f>'0422Master'!AU15</f>
        <v>ICICI</v>
      </c>
      <c r="AE16" s="445" t="str">
        <f>'0422Master'!AV15</f>
        <v>A/C025201526367</v>
      </c>
      <c r="AF16" s="446"/>
    </row>
    <row r="17" spans="1:269" ht="22.5" customHeight="1">
      <c r="A17" s="547"/>
      <c r="B17" s="548"/>
      <c r="C17" s="549"/>
      <c r="D17" s="550"/>
      <c r="E17" s="476"/>
      <c r="F17" s="551"/>
      <c r="G17" s="552"/>
      <c r="H17" s="550">
        <f t="shared" ref="H17:AB17" si="3">SUM(H15:H16)</f>
        <v>67795.839999999997</v>
      </c>
      <c r="I17" s="550">
        <f t="shared" si="3"/>
        <v>0</v>
      </c>
      <c r="J17" s="550">
        <f t="shared" si="3"/>
        <v>0</v>
      </c>
      <c r="K17" s="550">
        <f t="shared" si="3"/>
        <v>45423.226666666669</v>
      </c>
      <c r="L17" s="550">
        <f t="shared" si="3"/>
        <v>27118.336000000003</v>
      </c>
      <c r="M17" s="550">
        <f t="shared" si="3"/>
        <v>2638</v>
      </c>
      <c r="N17" s="550">
        <f t="shared" si="3"/>
        <v>2638</v>
      </c>
      <c r="O17" s="550">
        <f t="shared" si="3"/>
        <v>13028.890666666666</v>
      </c>
      <c r="P17" s="550">
        <f t="shared" si="3"/>
        <v>113219.06666666667</v>
      </c>
      <c r="Q17" s="550">
        <f t="shared" si="3"/>
        <v>3109.2179999999998</v>
      </c>
      <c r="R17" s="550">
        <f t="shared" si="3"/>
        <v>3260.9799039999994</v>
      </c>
      <c r="S17" s="550">
        <f t="shared" si="3"/>
        <v>5649.6533333333327</v>
      </c>
      <c r="T17" s="550">
        <f t="shared" si="3"/>
        <v>0</v>
      </c>
      <c r="U17" s="550">
        <f t="shared" si="3"/>
        <v>125238.917904</v>
      </c>
      <c r="V17" s="550">
        <f t="shared" si="3"/>
        <v>0</v>
      </c>
      <c r="W17" s="550">
        <f t="shared" si="3"/>
        <v>3600</v>
      </c>
      <c r="X17" s="550">
        <f t="shared" si="3"/>
        <v>400</v>
      </c>
      <c r="Y17" s="550">
        <f t="shared" si="3"/>
        <v>0</v>
      </c>
      <c r="Z17" s="550">
        <f t="shared" si="3"/>
        <v>784</v>
      </c>
      <c r="AA17" s="550">
        <f t="shared" si="3"/>
        <v>4784</v>
      </c>
      <c r="AB17" s="550">
        <f t="shared" si="3"/>
        <v>120454.917904</v>
      </c>
      <c r="AC17" s="550"/>
      <c r="AD17" s="550"/>
      <c r="AE17" s="553"/>
      <c r="AF17" s="553"/>
    </row>
    <row r="18" spans="1:269">
      <c r="A18" s="19"/>
      <c r="B18" s="657"/>
      <c r="C18" s="657"/>
      <c r="D18" s="19"/>
      <c r="E18" s="20"/>
      <c r="F18" s="20"/>
      <c r="G18" s="21"/>
      <c r="H18" s="20"/>
      <c r="I18" s="20"/>
      <c r="V18" s="388"/>
      <c r="W18" s="388"/>
      <c r="X18" s="388"/>
      <c r="Y18" s="388"/>
      <c r="Z18" s="388"/>
      <c r="AA18" s="388"/>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c r="CV18" s="22"/>
      <c r="CW18" s="22"/>
      <c r="CX18" s="22"/>
      <c r="CY18" s="22"/>
      <c r="CZ18" s="22"/>
      <c r="DA18" s="22"/>
      <c r="DB18" s="22"/>
      <c r="DC18" s="22"/>
      <c r="DD18" s="22"/>
      <c r="DE18" s="22"/>
      <c r="DF18" s="22"/>
      <c r="DG18" s="22"/>
      <c r="DH18" s="22"/>
      <c r="DI18" s="22"/>
      <c r="DJ18" s="22"/>
      <c r="DK18" s="22"/>
      <c r="DL18" s="22"/>
      <c r="DM18" s="22"/>
      <c r="DN18" s="22"/>
      <c r="DO18" s="22"/>
      <c r="DP18" s="22"/>
      <c r="DQ18" s="22"/>
      <c r="DR18" s="22"/>
      <c r="DS18" s="22"/>
      <c r="DT18" s="22"/>
      <c r="DU18" s="22"/>
      <c r="DV18" s="22"/>
      <c r="DW18" s="22"/>
      <c r="DX18" s="22"/>
      <c r="DY18" s="22"/>
      <c r="DZ18" s="22"/>
      <c r="EA18" s="22"/>
      <c r="EB18" s="22"/>
      <c r="EC18" s="22"/>
      <c r="ED18" s="22"/>
      <c r="EE18" s="22"/>
      <c r="EF18" s="22"/>
      <c r="EG18" s="22"/>
      <c r="EH18" s="22"/>
      <c r="EI18" s="22"/>
      <c r="EJ18" s="22"/>
      <c r="EK18" s="22"/>
      <c r="EL18" s="22"/>
      <c r="EM18" s="22"/>
      <c r="EN18" s="22"/>
      <c r="EO18" s="22"/>
      <c r="EP18" s="22"/>
      <c r="EQ18" s="22"/>
      <c r="ER18" s="22"/>
      <c r="ES18" s="22"/>
      <c r="ET18" s="22"/>
      <c r="EU18" s="22"/>
      <c r="EV18" s="22"/>
      <c r="EW18" s="22"/>
      <c r="EX18" s="22"/>
      <c r="EY18" s="22"/>
      <c r="EZ18" s="22"/>
      <c r="FA18" s="22"/>
      <c r="FB18" s="22"/>
      <c r="FC18" s="22"/>
      <c r="FD18" s="22"/>
      <c r="FE18" s="22"/>
      <c r="FF18" s="22"/>
      <c r="FG18" s="22"/>
      <c r="FH18" s="22"/>
      <c r="FI18" s="22"/>
      <c r="FJ18" s="22"/>
      <c r="FK18" s="22"/>
      <c r="FL18" s="22"/>
      <c r="FM18" s="22"/>
      <c r="FN18" s="22"/>
      <c r="FO18" s="22"/>
      <c r="FP18" s="22"/>
      <c r="FQ18" s="22"/>
      <c r="FR18" s="22"/>
      <c r="FS18" s="22"/>
      <c r="FT18" s="22"/>
      <c r="FU18" s="22"/>
      <c r="FV18" s="22"/>
      <c r="FW18" s="22"/>
      <c r="FX18" s="22"/>
      <c r="FY18" s="22"/>
      <c r="FZ18" s="22"/>
      <c r="GA18" s="22"/>
      <c r="GB18" s="22"/>
      <c r="GC18" s="22"/>
      <c r="GD18" s="22"/>
      <c r="GE18" s="22"/>
      <c r="GF18" s="22"/>
      <c r="GG18" s="22"/>
      <c r="GH18" s="22"/>
      <c r="GI18" s="22"/>
      <c r="GJ18" s="22"/>
      <c r="GK18" s="22"/>
      <c r="GL18" s="22"/>
      <c r="GM18" s="22"/>
      <c r="GN18" s="22"/>
      <c r="GO18" s="22"/>
      <c r="GP18" s="22"/>
      <c r="GQ18" s="22"/>
      <c r="GR18" s="22"/>
      <c r="GS18" s="22"/>
      <c r="GT18" s="22"/>
      <c r="GU18" s="22"/>
      <c r="GV18" s="22"/>
      <c r="GW18" s="22"/>
      <c r="GX18" s="22"/>
      <c r="GY18" s="22"/>
      <c r="GZ18" s="22"/>
      <c r="HA18" s="22"/>
      <c r="HB18" s="22"/>
      <c r="HC18" s="22"/>
      <c r="HD18" s="22"/>
      <c r="HE18" s="22"/>
      <c r="HF18" s="22"/>
      <c r="HG18" s="22"/>
      <c r="HH18" s="22"/>
      <c r="HI18" s="22"/>
      <c r="HJ18" s="22"/>
      <c r="HK18" s="22"/>
      <c r="HL18" s="22"/>
      <c r="HM18" s="22"/>
      <c r="HN18" s="22"/>
      <c r="HO18" s="22"/>
      <c r="HP18" s="22"/>
      <c r="HQ18" s="22"/>
      <c r="HR18" s="22"/>
      <c r="HS18" s="22"/>
      <c r="HT18" s="22"/>
      <c r="HU18" s="22"/>
      <c r="HV18" s="22"/>
      <c r="HW18" s="22"/>
      <c r="HX18" s="22"/>
      <c r="HY18" s="22"/>
      <c r="HZ18" s="22"/>
      <c r="IA18" s="22"/>
      <c r="IB18" s="22"/>
      <c r="IC18" s="22"/>
      <c r="ID18" s="22"/>
      <c r="IE18" s="22"/>
      <c r="IF18" s="22"/>
      <c r="IG18" s="22"/>
      <c r="IH18" s="22"/>
      <c r="II18" s="22"/>
      <c r="IJ18" s="22"/>
      <c r="IK18" s="22"/>
      <c r="IL18" s="22"/>
      <c r="IM18" s="22"/>
      <c r="IN18" s="22"/>
      <c r="IO18" s="22"/>
      <c r="IP18" s="22"/>
      <c r="IQ18" s="22"/>
      <c r="IR18" s="22"/>
      <c r="IS18" s="22"/>
      <c r="IT18" s="22"/>
      <c r="IU18" s="22"/>
      <c r="IV18" s="22"/>
      <c r="IW18" s="22"/>
      <c r="IX18" s="22"/>
      <c r="IY18" s="22"/>
      <c r="IZ18" s="22"/>
      <c r="JA18" s="22"/>
      <c r="JB18" s="22"/>
      <c r="JC18" s="22"/>
      <c r="JD18" s="22"/>
      <c r="JE18" s="22"/>
      <c r="JF18" s="22"/>
      <c r="JG18" s="22"/>
      <c r="JH18" s="22"/>
      <c r="JI18" s="22"/>
    </row>
    <row r="20" spans="1:269">
      <c r="J20" s="700" t="s">
        <v>63</v>
      </c>
      <c r="K20" s="700"/>
      <c r="L20" s="700"/>
      <c r="M20" s="700"/>
      <c r="N20" s="700"/>
      <c r="O20" s="700"/>
      <c r="P20" s="700"/>
      <c r="Q20" s="700"/>
      <c r="R20" s="700"/>
      <c r="S20" s="700"/>
      <c r="T20" s="700"/>
      <c r="U20" s="700"/>
      <c r="V20" s="700"/>
      <c r="W20" s="700"/>
      <c r="X20" s="700"/>
      <c r="Y20" s="700"/>
      <c r="Z20" s="700"/>
      <c r="AA20" s="700"/>
      <c r="AB20" s="700"/>
      <c r="AC20" s="700"/>
      <c r="AD20" s="700"/>
      <c r="AE20" s="700"/>
    </row>
    <row r="22" spans="1:269">
      <c r="V22" s="625"/>
    </row>
  </sheetData>
  <mergeCells count="24">
    <mergeCell ref="AF13:AF14"/>
    <mergeCell ref="B18:C18"/>
    <mergeCell ref="J20:AE20"/>
    <mergeCell ref="G13:G14"/>
    <mergeCell ref="H13:H14"/>
    <mergeCell ref="I13:I14"/>
    <mergeCell ref="J13:J14"/>
    <mergeCell ref="K13:K14"/>
    <mergeCell ref="P13:P14"/>
    <mergeCell ref="F13:F14"/>
    <mergeCell ref="V13:AA13"/>
    <mergeCell ref="AB13:AB14"/>
    <mergeCell ref="AC13:AC14"/>
    <mergeCell ref="AE13:AE14"/>
    <mergeCell ref="A13:A14"/>
    <mergeCell ref="B13:B14"/>
    <mergeCell ref="C13:C14"/>
    <mergeCell ref="D13:D14"/>
    <mergeCell ref="E13:E14"/>
    <mergeCell ref="A3:AF3"/>
    <mergeCell ref="A5:C5"/>
    <mergeCell ref="A7:C7"/>
    <mergeCell ref="X8:AF8"/>
    <mergeCell ref="A9:C9"/>
  </mergeCells>
  <printOptions horizontalCentered="1" verticalCentered="1"/>
  <pageMargins left="0" right="0" top="0" bottom="0" header="0.31496062992126" footer="0.31496062992126"/>
  <pageSetup paperSize="9" scale="35" orientation="landscape" horizontalDpi="300"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94"/>
  <sheetViews>
    <sheetView topLeftCell="A25" zoomScale="110" zoomScaleNormal="110" workbookViewId="0">
      <selection activeCell="B25" sqref="B25:G25"/>
    </sheetView>
  </sheetViews>
  <sheetFormatPr defaultRowHeight="15"/>
  <cols>
    <col min="10" max="10" width="14.5703125" customWidth="1"/>
    <col min="12" max="12" width="22.7109375" customWidth="1"/>
  </cols>
  <sheetData>
    <row r="1" spans="1:12" ht="32.25">
      <c r="A1" s="96"/>
      <c r="B1" s="735" t="s">
        <v>89</v>
      </c>
      <c r="C1" s="736"/>
      <c r="D1" s="736"/>
      <c r="E1" s="736"/>
      <c r="F1" s="736"/>
      <c r="G1" s="736"/>
      <c r="H1" s="736"/>
      <c r="I1" s="736"/>
      <c r="J1" s="736"/>
      <c r="K1" s="736"/>
      <c r="L1" s="737"/>
    </row>
    <row r="2" spans="1:12" ht="23.25">
      <c r="A2" s="40"/>
      <c r="B2" s="738" t="s">
        <v>90</v>
      </c>
      <c r="C2" s="738"/>
      <c r="D2" s="738"/>
      <c r="E2" s="738"/>
      <c r="F2" s="738"/>
      <c r="G2" s="738"/>
      <c r="H2" s="738"/>
      <c r="I2" s="738"/>
      <c r="J2" s="738"/>
      <c r="K2" s="738"/>
      <c r="L2" s="739"/>
    </row>
    <row r="3" spans="1:12" ht="16.5" thickBot="1">
      <c r="A3" s="54"/>
      <c r="B3" s="745" t="s">
        <v>91</v>
      </c>
      <c r="C3" s="745"/>
      <c r="D3" s="745"/>
      <c r="E3" s="745"/>
      <c r="F3" s="745"/>
      <c r="G3" s="745"/>
      <c r="H3" s="745"/>
      <c r="I3" s="745"/>
      <c r="J3" s="745"/>
      <c r="K3" s="745"/>
      <c r="L3" s="746"/>
    </row>
    <row r="4" spans="1:12" ht="15" customHeight="1">
      <c r="A4" s="40"/>
      <c r="B4" s="747" t="s">
        <v>92</v>
      </c>
      <c r="C4" s="747"/>
      <c r="D4" s="747"/>
      <c r="E4" s="747"/>
      <c r="F4" s="747"/>
      <c r="G4" s="27"/>
      <c r="H4" s="748" t="s">
        <v>93</v>
      </c>
      <c r="I4" s="748"/>
      <c r="J4" s="748"/>
      <c r="K4" s="748"/>
      <c r="L4" s="749"/>
    </row>
    <row r="5" spans="1:12" ht="15.75" thickBot="1">
      <c r="A5" s="40"/>
      <c r="B5" s="747"/>
      <c r="C5" s="747"/>
      <c r="D5" s="747"/>
      <c r="E5" s="747"/>
      <c r="F5" s="747"/>
      <c r="G5" s="27"/>
      <c r="H5" s="748"/>
      <c r="I5" s="748"/>
      <c r="J5" s="748"/>
      <c r="K5" s="748"/>
      <c r="L5" s="749"/>
    </row>
    <row r="6" spans="1:12">
      <c r="A6" s="40"/>
      <c r="B6" s="96"/>
      <c r="C6" s="97"/>
      <c r="D6" s="97"/>
      <c r="E6" s="97"/>
      <c r="F6" s="98"/>
      <c r="G6" s="27"/>
      <c r="H6" s="96"/>
      <c r="I6" s="97"/>
      <c r="J6" s="97"/>
      <c r="K6" s="97"/>
      <c r="L6" s="98"/>
    </row>
    <row r="7" spans="1:12">
      <c r="A7" s="40"/>
      <c r="B7" s="102" t="str">
        <f>'0422Master'!F5</f>
        <v>Burgeon IT Services Pvt.Ltd.</v>
      </c>
      <c r="C7" s="100"/>
      <c r="D7" s="100"/>
      <c r="E7" s="100"/>
      <c r="F7" s="101"/>
      <c r="G7" s="27"/>
      <c r="H7" s="102" t="str">
        <f>'0422Master'!AO5</f>
        <v>Burgeon IT Services Pvt.Ltd.</v>
      </c>
      <c r="I7" s="100"/>
      <c r="J7" s="100"/>
      <c r="K7" s="100"/>
      <c r="L7" s="101"/>
    </row>
    <row r="8" spans="1:12">
      <c r="A8" s="40"/>
      <c r="B8" s="102" t="str">
        <f>'0422Master'!F6</f>
        <v>Siri Mansion LIGB 436 Dr.A S Rao Nagar,Hyderabad</v>
      </c>
      <c r="C8" s="100"/>
      <c r="D8" s="100"/>
      <c r="E8" s="100"/>
      <c r="F8" s="101"/>
      <c r="G8" s="27"/>
      <c r="H8" s="102" t="str">
        <f>'0422Master'!AO6</f>
        <v>Siri Mansion LIGB 436 Dr.A S Rao Nagar,Hyderabad</v>
      </c>
      <c r="I8" s="100"/>
      <c r="J8" s="100"/>
      <c r="K8" s="100"/>
      <c r="L8" s="101"/>
    </row>
    <row r="9" spans="1:12">
      <c r="A9" s="40"/>
      <c r="B9" s="380"/>
      <c r="C9" s="100"/>
      <c r="D9" s="100"/>
      <c r="E9" s="100"/>
      <c r="F9" s="101"/>
      <c r="G9" s="27"/>
      <c r="H9" s="380"/>
      <c r="I9" s="100"/>
      <c r="J9" s="100"/>
      <c r="K9" s="100"/>
      <c r="L9" s="101"/>
    </row>
    <row r="10" spans="1:12" ht="15.75" thickBot="1">
      <c r="A10" s="40"/>
      <c r="B10" s="103"/>
      <c r="C10" s="55"/>
      <c r="D10" s="55"/>
      <c r="E10" s="55"/>
      <c r="F10" s="104"/>
      <c r="G10" s="27"/>
      <c r="H10" s="103"/>
      <c r="I10" s="55"/>
      <c r="J10" s="55"/>
      <c r="K10" s="55"/>
      <c r="L10" s="104"/>
    </row>
    <row r="11" spans="1:12">
      <c r="A11" s="40"/>
      <c r="B11" s="27"/>
      <c r="C11" s="27"/>
      <c r="D11" s="27"/>
      <c r="E11" s="27"/>
      <c r="F11" s="27"/>
      <c r="G11" s="27"/>
      <c r="H11" s="27"/>
      <c r="I11" s="27"/>
      <c r="J11" s="27" t="s">
        <v>94</v>
      </c>
      <c r="K11" s="27"/>
      <c r="L11" s="41"/>
    </row>
    <row r="12" spans="1:12">
      <c r="A12" s="40"/>
      <c r="B12" s="664" t="s">
        <v>95</v>
      </c>
      <c r="C12" s="664"/>
      <c r="D12" s="664"/>
      <c r="E12" s="664"/>
      <c r="F12" s="664"/>
      <c r="G12" s="27"/>
      <c r="H12" s="664" t="s">
        <v>5</v>
      </c>
      <c r="I12" s="664"/>
      <c r="J12" s="664"/>
      <c r="K12" s="664"/>
      <c r="L12" s="750"/>
    </row>
    <row r="13" spans="1:12" ht="15.75" thickBot="1">
      <c r="A13" s="40"/>
      <c r="B13" s="27"/>
      <c r="C13" s="27"/>
      <c r="D13" s="27"/>
      <c r="E13" s="27"/>
      <c r="F13" s="27"/>
      <c r="G13" s="27"/>
      <c r="H13" s="27"/>
      <c r="I13" s="27"/>
      <c r="J13" s="27"/>
      <c r="K13" s="27"/>
      <c r="L13" s="41"/>
    </row>
    <row r="14" spans="1:12">
      <c r="A14" s="40"/>
      <c r="B14" s="96"/>
      <c r="C14" s="97"/>
      <c r="D14" s="97"/>
      <c r="E14" s="97"/>
      <c r="F14" s="98"/>
      <c r="G14" s="27"/>
      <c r="H14" s="105"/>
      <c r="I14" s="106"/>
      <c r="J14" s="106"/>
      <c r="K14" s="106"/>
      <c r="L14" s="107"/>
    </row>
    <row r="15" spans="1:12">
      <c r="A15" s="40"/>
      <c r="B15" s="99"/>
      <c r="C15" s="100"/>
      <c r="D15" s="100"/>
      <c r="E15" s="100"/>
      <c r="F15" s="101"/>
      <c r="G15" s="27"/>
      <c r="H15" s="102" t="str">
        <f>'0422Master'!AO8</f>
        <v>INFOSYS LIMITED, IL BHUBANESHWAR-STP,UNIT-II</v>
      </c>
      <c r="I15" s="108"/>
      <c r="J15" s="108"/>
      <c r="K15" s="108"/>
      <c r="L15" s="109"/>
    </row>
    <row r="16" spans="1:12">
      <c r="A16" s="40"/>
      <c r="B16" s="102" t="str">
        <f>'0422Master'!F8</f>
        <v>IT SUPPORTIVE SERVICES &amp; BHUBANESWAR</v>
      </c>
      <c r="C16" s="100"/>
      <c r="D16" s="100"/>
      <c r="E16" s="108"/>
      <c r="F16" s="101"/>
      <c r="G16" s="27"/>
      <c r="H16" s="102"/>
      <c r="I16" s="108"/>
      <c r="J16" s="108"/>
      <c r="K16" s="108"/>
      <c r="L16" s="109"/>
    </row>
    <row r="17" spans="1:12">
      <c r="A17" s="40"/>
      <c r="B17" s="99"/>
      <c r="C17" s="100"/>
      <c r="D17" s="100"/>
      <c r="E17" s="100"/>
      <c r="F17" s="101"/>
      <c r="G17" s="27"/>
      <c r="H17" s="102" t="str">
        <f>'0422Master'!AO10</f>
        <v>Plot No E/4,Info city,Chandaka Industrial, Bhubaneswar,Odisha - 751024</v>
      </c>
      <c r="I17" s="108"/>
      <c r="J17" s="108"/>
      <c r="K17" s="108"/>
      <c r="L17" s="109"/>
    </row>
    <row r="18" spans="1:12" ht="15.75" thickBot="1">
      <c r="A18" s="40"/>
      <c r="B18" s="103"/>
      <c r="C18" s="55"/>
      <c r="D18" s="55"/>
      <c r="E18" s="55"/>
      <c r="F18" s="104"/>
      <c r="G18" s="27"/>
      <c r="H18" s="110"/>
      <c r="I18" s="111"/>
      <c r="J18" s="111"/>
      <c r="K18" s="111"/>
      <c r="L18" s="112"/>
    </row>
    <row r="19" spans="1:12" ht="27.95" customHeight="1">
      <c r="A19" s="113"/>
      <c r="B19" s="744" t="s">
        <v>97</v>
      </c>
      <c r="C19" s="744"/>
      <c r="D19" s="744"/>
      <c r="E19" s="744"/>
      <c r="F19" s="744"/>
      <c r="G19" s="744"/>
      <c r="H19" s="741" t="str">
        <f>'0422Master'!B14</f>
        <v>KRANTHI KUMAR VEDULLA</v>
      </c>
      <c r="I19" s="742"/>
      <c r="J19" s="742"/>
      <c r="K19" s="742"/>
      <c r="L19" s="743"/>
    </row>
    <row r="20" spans="1:12" ht="27.95" customHeight="1">
      <c r="A20" s="113"/>
      <c r="B20" s="740" t="s">
        <v>98</v>
      </c>
      <c r="C20" s="740"/>
      <c r="D20" s="740"/>
      <c r="E20" s="740"/>
      <c r="F20" s="740"/>
      <c r="G20" s="740"/>
      <c r="H20" s="741">
        <f>'0422Master'!A14</f>
        <v>1</v>
      </c>
      <c r="I20" s="742"/>
      <c r="J20" s="742"/>
      <c r="K20" s="742"/>
      <c r="L20" s="743"/>
    </row>
    <row r="21" spans="1:12" ht="27.95" customHeight="1">
      <c r="A21" s="113"/>
      <c r="B21" s="744" t="s">
        <v>99</v>
      </c>
      <c r="C21" s="744"/>
      <c r="D21" s="744"/>
      <c r="E21" s="744"/>
      <c r="F21" s="744"/>
      <c r="G21" s="744"/>
      <c r="H21" s="741" t="str">
        <f>'0422Master'!F14</f>
        <v>Senior Network Engineer</v>
      </c>
      <c r="I21" s="742"/>
      <c r="J21" s="742"/>
      <c r="K21" s="742"/>
      <c r="L21" s="743"/>
    </row>
    <row r="22" spans="1:12" ht="27.95" customHeight="1">
      <c r="A22" s="113"/>
      <c r="B22" s="744" t="s">
        <v>100</v>
      </c>
      <c r="C22" s="744"/>
      <c r="D22" s="744"/>
      <c r="E22" s="744"/>
      <c r="F22" s="744"/>
      <c r="G22" s="744"/>
      <c r="H22" s="752">
        <f>'0422Master'!N14</f>
        <v>44181</v>
      </c>
      <c r="I22" s="753"/>
      <c r="J22" s="753"/>
      <c r="K22" s="753"/>
      <c r="L22" s="754"/>
    </row>
    <row r="23" spans="1:12" ht="27.95" customHeight="1">
      <c r="A23" s="113"/>
      <c r="B23" s="114" t="s">
        <v>101</v>
      </c>
      <c r="C23" s="221"/>
      <c r="D23" s="221"/>
      <c r="E23" s="221"/>
      <c r="F23" s="221"/>
      <c r="G23" s="221"/>
      <c r="H23" s="732" t="str">
        <f>'0422Master'!T14</f>
        <v>NA</v>
      </c>
      <c r="I23" s="733"/>
      <c r="J23" s="733"/>
      <c r="K23" s="733"/>
      <c r="L23" s="734"/>
    </row>
    <row r="24" spans="1:12" ht="27.95" customHeight="1">
      <c r="A24" s="113"/>
      <c r="B24" s="114" t="s">
        <v>102</v>
      </c>
      <c r="C24" s="221"/>
      <c r="D24" s="221"/>
      <c r="E24" s="221"/>
      <c r="F24" s="221"/>
      <c r="G24" s="222"/>
      <c r="H24" s="732">
        <f>'0422Master'!S14</f>
        <v>101135871959</v>
      </c>
      <c r="I24" s="733"/>
      <c r="J24" s="733"/>
      <c r="K24" s="733"/>
      <c r="L24" s="734"/>
    </row>
    <row r="25" spans="1:12" ht="27.95" customHeight="1">
      <c r="A25" s="113"/>
      <c r="B25" s="755" t="s">
        <v>103</v>
      </c>
      <c r="C25" s="755"/>
      <c r="D25" s="755"/>
      <c r="E25" s="755"/>
      <c r="F25" s="755"/>
      <c r="G25" s="755"/>
      <c r="H25" s="756">
        <f>'0422Master'!X14</f>
        <v>84912</v>
      </c>
      <c r="I25" s="757"/>
      <c r="J25" s="757"/>
      <c r="K25" s="757"/>
      <c r="L25" s="758"/>
    </row>
    <row r="26" spans="1:12" ht="27.95" customHeight="1">
      <c r="A26" s="113"/>
      <c r="B26" s="744" t="s">
        <v>104</v>
      </c>
      <c r="C26" s="744"/>
      <c r="D26" s="744"/>
      <c r="E26" s="744"/>
      <c r="F26" s="744"/>
      <c r="G26" s="744"/>
      <c r="H26" s="751">
        <f>'0422Master'!D9</f>
        <v>44652</v>
      </c>
      <c r="I26" s="742"/>
      <c r="J26" s="742"/>
      <c r="K26" s="742"/>
      <c r="L26" s="743"/>
    </row>
    <row r="27" spans="1:12" ht="27.95" customHeight="1">
      <c r="A27" s="40"/>
      <c r="B27" s="744" t="s">
        <v>105</v>
      </c>
      <c r="C27" s="744"/>
      <c r="D27" s="744"/>
      <c r="E27" s="744"/>
      <c r="F27" s="744"/>
      <c r="G27" s="744"/>
      <c r="H27" s="742" t="s">
        <v>106</v>
      </c>
      <c r="I27" s="742"/>
      <c r="J27" s="742"/>
      <c r="K27" s="742"/>
      <c r="L27" s="743"/>
    </row>
    <row r="28" spans="1:12" ht="27.95" customHeight="1">
      <c r="A28" s="40"/>
      <c r="B28" s="114" t="s">
        <v>107</v>
      </c>
      <c r="C28" s="221"/>
      <c r="D28" s="221"/>
      <c r="E28" s="221"/>
      <c r="F28" s="221"/>
      <c r="G28" s="222"/>
      <c r="H28" s="418"/>
      <c r="I28" s="414"/>
      <c r="J28" s="186">
        <f>'0422Master'!V14</f>
        <v>30</v>
      </c>
      <c r="K28" s="414"/>
      <c r="L28" s="415"/>
    </row>
    <row r="29" spans="1:12" ht="27.95" customHeight="1">
      <c r="A29" s="40"/>
      <c r="B29" s="114" t="s">
        <v>108</v>
      </c>
      <c r="C29" s="221"/>
      <c r="D29" s="221"/>
      <c r="E29" s="221"/>
      <c r="F29" s="221"/>
      <c r="G29" s="222"/>
      <c r="H29" s="418"/>
      <c r="I29" s="414"/>
      <c r="J29" s="414" t="s">
        <v>109</v>
      </c>
      <c r="K29" s="414"/>
      <c r="L29" s="415"/>
    </row>
    <row r="30" spans="1:12" ht="27.95" customHeight="1">
      <c r="A30" s="40"/>
      <c r="B30" s="114" t="s">
        <v>110</v>
      </c>
      <c r="C30" s="221"/>
      <c r="D30" s="221"/>
      <c r="E30" s="221"/>
      <c r="F30" s="221"/>
      <c r="G30" s="222"/>
      <c r="H30" s="418"/>
      <c r="I30" s="414"/>
      <c r="J30" s="186">
        <v>0</v>
      </c>
      <c r="K30" s="414"/>
      <c r="L30" s="415"/>
    </row>
    <row r="31" spans="1:12" ht="27.95" customHeight="1">
      <c r="A31" s="40"/>
      <c r="B31" s="114" t="s">
        <v>111</v>
      </c>
      <c r="C31" s="221"/>
      <c r="D31" s="221"/>
      <c r="E31" s="221"/>
      <c r="F31" s="221"/>
      <c r="G31" s="222"/>
      <c r="H31" s="418"/>
      <c r="I31" s="414"/>
      <c r="J31" s="414">
        <v>0</v>
      </c>
      <c r="K31" s="414"/>
      <c r="L31" s="415"/>
    </row>
    <row r="32" spans="1:12" ht="27.95" customHeight="1">
      <c r="A32" s="40"/>
      <c r="B32" s="114" t="s">
        <v>112</v>
      </c>
      <c r="C32" s="221"/>
      <c r="D32" s="221"/>
      <c r="E32" s="221"/>
      <c r="F32" s="221"/>
      <c r="G32" s="222"/>
      <c r="H32" s="418"/>
      <c r="I32" s="414"/>
      <c r="J32" s="186">
        <f>'0422Master'!AL14</f>
        <v>93275.769320000007</v>
      </c>
      <c r="K32" s="414"/>
      <c r="L32" s="415" t="s">
        <v>113</v>
      </c>
    </row>
    <row r="33" spans="1:12" ht="27.95" customHeight="1">
      <c r="A33" s="40"/>
      <c r="B33" s="114" t="s">
        <v>114</v>
      </c>
      <c r="C33" s="221"/>
      <c r="D33" s="447" t="s">
        <v>47</v>
      </c>
      <c r="E33" s="448">
        <f>'0422Master'!AN14</f>
        <v>1800</v>
      </c>
      <c r="F33" s="447" t="s">
        <v>46</v>
      </c>
      <c r="G33" s="448">
        <f>'0422Master'!AM14</f>
        <v>0</v>
      </c>
      <c r="H33" s="447" t="s">
        <v>48</v>
      </c>
      <c r="I33" s="448">
        <f>'0422Master'!AO14</f>
        <v>200</v>
      </c>
      <c r="J33" s="447" t="s">
        <v>49</v>
      </c>
      <c r="K33" s="448">
        <f>'0422Master'!AP14</f>
        <v>0</v>
      </c>
      <c r="L33" s="127">
        <f>'0422Master'!AQ14</f>
        <v>392</v>
      </c>
    </row>
    <row r="34" spans="1:12" ht="27.95" customHeight="1">
      <c r="A34" s="40"/>
      <c r="B34" s="114" t="s">
        <v>115</v>
      </c>
      <c r="C34" s="221"/>
      <c r="D34" s="221"/>
      <c r="E34" s="221"/>
      <c r="F34" s="221"/>
      <c r="G34" s="222"/>
      <c r="H34" s="418"/>
      <c r="I34" s="414"/>
      <c r="J34" s="186">
        <f>'0422Master'!AS14</f>
        <v>90883.769320000007</v>
      </c>
      <c r="K34" s="414"/>
      <c r="L34" s="415"/>
    </row>
    <row r="35" spans="1:12" ht="27.95" customHeight="1">
      <c r="A35" s="40"/>
      <c r="B35" s="117" t="s">
        <v>116</v>
      </c>
      <c r="C35" s="118"/>
      <c r="D35" s="118"/>
      <c r="E35" s="118"/>
      <c r="F35" s="118"/>
      <c r="G35" s="119"/>
      <c r="H35" s="120"/>
      <c r="I35" s="121"/>
      <c r="J35" s="121"/>
      <c r="K35" s="121"/>
      <c r="L35" s="122"/>
    </row>
    <row r="36" spans="1:12" ht="27.95" customHeight="1">
      <c r="A36" s="40"/>
      <c r="B36" s="123" t="s">
        <v>117</v>
      </c>
      <c r="C36" s="124"/>
      <c r="D36" s="124"/>
      <c r="E36" s="124"/>
      <c r="F36" s="124"/>
      <c r="G36" s="125"/>
      <c r="H36" s="86"/>
      <c r="I36" s="46"/>
      <c r="J36" s="46"/>
      <c r="K36" s="46"/>
      <c r="L36" s="126"/>
    </row>
    <row r="37" spans="1:12">
      <c r="A37" s="40"/>
      <c r="B37" s="27"/>
      <c r="C37" s="27"/>
      <c r="D37" s="27"/>
      <c r="E37" s="27"/>
      <c r="F37" s="27"/>
      <c r="G37" s="27"/>
      <c r="H37" s="27"/>
      <c r="I37" s="27"/>
      <c r="J37" s="27"/>
      <c r="K37" s="27"/>
      <c r="L37" s="41"/>
    </row>
    <row r="38" spans="1:12" ht="15.75" thickBot="1">
      <c r="A38" s="54"/>
      <c r="B38" s="52"/>
      <c r="C38" s="52"/>
      <c r="D38" s="52"/>
      <c r="E38" s="52"/>
      <c r="F38" s="52"/>
      <c r="G38" s="52"/>
      <c r="H38" s="52"/>
      <c r="I38" s="52"/>
      <c r="J38" s="52"/>
      <c r="K38" s="52"/>
      <c r="L38" s="53"/>
    </row>
    <row r="39" spans="1:12">
      <c r="A39" s="27"/>
      <c r="B39" s="27"/>
      <c r="C39" s="27"/>
      <c r="D39" s="27"/>
      <c r="E39" s="27"/>
      <c r="F39" s="27"/>
      <c r="G39" s="27"/>
      <c r="H39" s="27"/>
      <c r="I39" s="27"/>
      <c r="J39" s="27"/>
      <c r="K39" s="27"/>
      <c r="L39" s="27"/>
    </row>
    <row r="40" spans="1:12">
      <c r="A40" s="27"/>
      <c r="B40" s="27"/>
      <c r="C40" s="27"/>
      <c r="D40" s="27"/>
      <c r="E40" s="27"/>
      <c r="F40" s="27"/>
      <c r="G40" s="27"/>
      <c r="H40" s="27"/>
      <c r="I40" s="27"/>
      <c r="J40" s="27"/>
      <c r="K40" s="27"/>
      <c r="L40" s="27"/>
    </row>
    <row r="41" spans="1:12">
      <c r="A41" s="27"/>
      <c r="B41" s="27"/>
      <c r="C41" s="27"/>
      <c r="D41" s="27"/>
      <c r="E41" s="27"/>
      <c r="F41" s="27"/>
      <c r="G41" s="27"/>
      <c r="H41" s="27"/>
      <c r="I41" s="27"/>
      <c r="J41" s="27"/>
      <c r="K41" s="27"/>
      <c r="L41" s="27"/>
    </row>
    <row r="42" spans="1:12">
      <c r="A42" s="27"/>
      <c r="B42" s="27"/>
      <c r="C42" s="27"/>
      <c r="D42" s="27"/>
      <c r="E42" s="27"/>
      <c r="F42" s="27"/>
      <c r="G42" s="27"/>
      <c r="H42" s="27"/>
      <c r="I42" s="27"/>
      <c r="J42" s="27"/>
      <c r="K42" s="27"/>
      <c r="L42" s="27"/>
    </row>
    <row r="43" spans="1:12">
      <c r="A43" s="27"/>
      <c r="B43" s="27"/>
      <c r="C43" s="27"/>
      <c r="D43" s="27"/>
      <c r="E43" s="27"/>
      <c r="F43" s="27"/>
      <c r="G43" s="27"/>
      <c r="H43" s="27"/>
      <c r="I43" s="27"/>
      <c r="J43" s="27"/>
      <c r="K43" s="27"/>
      <c r="L43" s="27"/>
    </row>
    <row r="44" spans="1:12">
      <c r="A44" s="27"/>
      <c r="B44" s="27"/>
      <c r="C44" s="27"/>
      <c r="D44" s="27"/>
      <c r="E44" s="27"/>
      <c r="F44" s="27"/>
      <c r="G44" s="27"/>
      <c r="H44" s="27"/>
      <c r="I44" s="27"/>
      <c r="J44" s="27"/>
      <c r="K44" s="27"/>
      <c r="L44" s="27"/>
    </row>
    <row r="45" spans="1:12">
      <c r="A45" s="27"/>
      <c r="B45" s="27"/>
      <c r="C45" s="27"/>
      <c r="D45" s="27"/>
      <c r="E45" s="27"/>
      <c r="F45" s="27"/>
      <c r="G45" s="27"/>
      <c r="H45" s="27"/>
      <c r="I45" s="27"/>
      <c r="J45" s="27"/>
      <c r="K45" s="27"/>
      <c r="L45" s="27"/>
    </row>
    <row r="46" spans="1:12">
      <c r="A46" s="27"/>
      <c r="B46" s="27"/>
      <c r="C46" s="27"/>
      <c r="D46" s="27"/>
      <c r="E46" s="27"/>
      <c r="F46" s="27"/>
      <c r="G46" s="27"/>
      <c r="H46" s="27"/>
      <c r="I46" s="27"/>
      <c r="J46" s="27"/>
      <c r="K46" s="27"/>
      <c r="L46" s="27"/>
    </row>
    <row r="47" spans="1:12">
      <c r="A47" s="27"/>
      <c r="B47" s="27"/>
      <c r="C47" s="27"/>
      <c r="D47" s="27"/>
      <c r="E47" s="27"/>
      <c r="F47" s="27"/>
      <c r="G47" s="27"/>
      <c r="H47" s="27"/>
      <c r="I47" s="27"/>
      <c r="J47" s="27"/>
      <c r="K47" s="27"/>
      <c r="L47" s="27"/>
    </row>
    <row r="48" spans="1:12">
      <c r="A48" s="27"/>
      <c r="B48" s="27"/>
      <c r="C48" s="27"/>
      <c r="D48" s="27"/>
      <c r="E48" s="27"/>
      <c r="F48" s="27"/>
      <c r="G48" s="27"/>
      <c r="H48" s="27"/>
      <c r="I48" s="27"/>
      <c r="J48" s="27"/>
      <c r="K48" s="27"/>
      <c r="L48" s="27"/>
    </row>
    <row r="49" spans="1:12">
      <c r="A49" s="27"/>
      <c r="B49" s="27"/>
      <c r="C49" s="27"/>
      <c r="D49" s="27"/>
      <c r="E49" s="27"/>
      <c r="F49" s="27"/>
      <c r="G49" s="27"/>
      <c r="H49" s="27"/>
      <c r="I49" s="27"/>
      <c r="J49" s="27"/>
      <c r="K49" s="27"/>
      <c r="L49" s="27"/>
    </row>
    <row r="50" spans="1:12">
      <c r="A50" s="27"/>
      <c r="B50" s="27"/>
      <c r="C50" s="27"/>
      <c r="D50" s="27"/>
      <c r="E50" s="27"/>
      <c r="F50" s="27"/>
      <c r="G50" s="27"/>
      <c r="H50" s="27"/>
      <c r="I50" s="27"/>
      <c r="J50" s="27"/>
      <c r="K50" s="27"/>
      <c r="L50" s="27"/>
    </row>
    <row r="51" spans="1:12">
      <c r="A51" s="27"/>
      <c r="B51" s="27"/>
      <c r="C51" s="27"/>
      <c r="D51" s="27"/>
      <c r="E51" s="27"/>
      <c r="F51" s="27"/>
      <c r="G51" s="27"/>
      <c r="H51" s="27"/>
      <c r="I51" s="27"/>
      <c r="J51" s="27"/>
      <c r="K51" s="27"/>
      <c r="L51" s="27"/>
    </row>
    <row r="52" spans="1:12">
      <c r="A52" s="27"/>
      <c r="B52" s="27"/>
      <c r="C52" s="27"/>
      <c r="D52" s="27"/>
      <c r="E52" s="27"/>
      <c r="F52" s="27"/>
      <c r="G52" s="27"/>
      <c r="H52" s="27"/>
      <c r="I52" s="27"/>
      <c r="J52" s="27"/>
      <c r="K52" s="27"/>
      <c r="L52" s="27"/>
    </row>
    <row r="53" spans="1:12">
      <c r="A53" s="27"/>
      <c r="B53" s="27"/>
      <c r="C53" s="27"/>
      <c r="D53" s="27"/>
      <c r="E53" s="27"/>
      <c r="F53" s="27"/>
      <c r="G53" s="27"/>
      <c r="H53" s="27"/>
      <c r="I53" s="27"/>
      <c r="J53" s="27"/>
      <c r="K53" s="27"/>
      <c r="L53" s="27"/>
    </row>
    <row r="54" spans="1:12">
      <c r="A54" s="27"/>
      <c r="B54" s="27"/>
      <c r="C54" s="27"/>
      <c r="D54" s="27"/>
      <c r="E54" s="27"/>
      <c r="F54" s="27"/>
      <c r="G54" s="27"/>
      <c r="H54" s="27"/>
      <c r="I54" s="27"/>
      <c r="J54" s="27"/>
      <c r="K54" s="27"/>
      <c r="L54" s="27"/>
    </row>
    <row r="55" spans="1:12" ht="15.75" thickBot="1">
      <c r="A55" s="27"/>
      <c r="B55" s="27"/>
      <c r="C55" s="27"/>
      <c r="D55" s="27"/>
      <c r="E55" s="27"/>
      <c r="F55" s="27"/>
      <c r="G55" s="27"/>
      <c r="H55" s="27"/>
      <c r="I55" s="27"/>
      <c r="J55" s="27"/>
      <c r="K55" s="27"/>
      <c r="L55" s="27"/>
    </row>
    <row r="56" spans="1:12" ht="32.25">
      <c r="A56" s="96"/>
      <c r="B56" s="735" t="s">
        <v>89</v>
      </c>
      <c r="C56" s="736"/>
      <c r="D56" s="736"/>
      <c r="E56" s="736"/>
      <c r="F56" s="736"/>
      <c r="G56" s="736"/>
      <c r="H56" s="736"/>
      <c r="I56" s="736"/>
      <c r="J56" s="736"/>
      <c r="K56" s="736"/>
      <c r="L56" s="737"/>
    </row>
    <row r="57" spans="1:12" ht="23.25">
      <c r="A57" s="40"/>
      <c r="B57" s="738" t="s">
        <v>90</v>
      </c>
      <c r="C57" s="738"/>
      <c r="D57" s="738"/>
      <c r="E57" s="738"/>
      <c r="F57" s="738"/>
      <c r="G57" s="738"/>
      <c r="H57" s="738"/>
      <c r="I57" s="738"/>
      <c r="J57" s="738"/>
      <c r="K57" s="738"/>
      <c r="L57" s="739"/>
    </row>
    <row r="58" spans="1:12" ht="16.5" thickBot="1">
      <c r="A58" s="54"/>
      <c r="B58" s="745" t="s">
        <v>91</v>
      </c>
      <c r="C58" s="745"/>
      <c r="D58" s="745"/>
      <c r="E58" s="745"/>
      <c r="F58" s="745"/>
      <c r="G58" s="745"/>
      <c r="H58" s="745"/>
      <c r="I58" s="745"/>
      <c r="J58" s="745"/>
      <c r="K58" s="745"/>
      <c r="L58" s="746"/>
    </row>
    <row r="59" spans="1:12" ht="15" customHeight="1">
      <c r="A59" s="40"/>
      <c r="B59" s="747" t="s">
        <v>92</v>
      </c>
      <c r="C59" s="747"/>
      <c r="D59" s="747"/>
      <c r="E59" s="747"/>
      <c r="F59" s="747"/>
      <c r="G59" s="27"/>
      <c r="H59" s="748" t="s">
        <v>93</v>
      </c>
      <c r="I59" s="748"/>
      <c r="J59" s="748"/>
      <c r="K59" s="748"/>
      <c r="L59" s="749"/>
    </row>
    <row r="60" spans="1:12" ht="15.75" thickBot="1">
      <c r="A60" s="40"/>
      <c r="B60" s="747"/>
      <c r="C60" s="747"/>
      <c r="D60" s="747"/>
      <c r="E60" s="747"/>
      <c r="F60" s="747"/>
      <c r="G60" s="27"/>
      <c r="H60" s="748"/>
      <c r="I60" s="748"/>
      <c r="J60" s="748"/>
      <c r="K60" s="748"/>
      <c r="L60" s="749"/>
    </row>
    <row r="61" spans="1:12">
      <c r="A61" s="40"/>
      <c r="B61" s="96"/>
      <c r="C61" s="97"/>
      <c r="D61" s="97"/>
      <c r="E61" s="97"/>
      <c r="F61" s="98"/>
      <c r="G61" s="27"/>
      <c r="H61" s="96"/>
      <c r="I61" s="97"/>
      <c r="J61" s="97"/>
      <c r="K61" s="97"/>
      <c r="L61" s="98"/>
    </row>
    <row r="62" spans="1:12">
      <c r="A62" s="40"/>
      <c r="B62" s="178" t="str">
        <f>'0422Master'!F5</f>
        <v>Burgeon IT Services Pvt.Ltd.</v>
      </c>
      <c r="C62" s="100"/>
      <c r="D62" s="100"/>
      <c r="E62" s="100"/>
      <c r="F62" s="101"/>
      <c r="G62" s="27"/>
      <c r="H62" s="102" t="str">
        <f>'0422Master'!AO5</f>
        <v>Burgeon IT Services Pvt.Ltd.</v>
      </c>
      <c r="I62" s="100"/>
      <c r="J62" s="100"/>
      <c r="K62" s="100"/>
      <c r="L62" s="101"/>
    </row>
    <row r="63" spans="1:12">
      <c r="A63" s="40"/>
      <c r="B63" s="102" t="str">
        <f>'0422Master'!F6</f>
        <v>Siri Mansion LIGB 436 Dr.A S Rao Nagar,Hyderabad</v>
      </c>
      <c r="C63" s="100"/>
      <c r="D63" s="100"/>
      <c r="E63" s="100"/>
      <c r="F63" s="101"/>
      <c r="G63" s="27"/>
      <c r="H63" s="102" t="str">
        <f>'0422Master'!AO6</f>
        <v>Siri Mansion LIGB 436 Dr.A S Rao Nagar,Hyderabad</v>
      </c>
      <c r="I63" s="100"/>
      <c r="J63" s="100"/>
      <c r="K63" s="100"/>
      <c r="L63" s="101"/>
    </row>
    <row r="64" spans="1:12">
      <c r="A64" s="40"/>
      <c r="B64" s="380"/>
      <c r="C64" s="100"/>
      <c r="D64" s="100"/>
      <c r="E64" s="100"/>
      <c r="F64" s="101"/>
      <c r="G64" s="27"/>
      <c r="H64" s="380"/>
      <c r="I64" s="100"/>
      <c r="J64" s="100"/>
      <c r="K64" s="100"/>
      <c r="L64" s="101"/>
    </row>
    <row r="65" spans="1:12" ht="15.75" thickBot="1">
      <c r="A65" s="40"/>
      <c r="B65" s="103"/>
      <c r="C65" s="55"/>
      <c r="D65" s="55"/>
      <c r="E65" s="55"/>
      <c r="F65" s="104"/>
      <c r="G65" s="27"/>
      <c r="H65" s="103"/>
      <c r="I65" s="55"/>
      <c r="J65" s="55"/>
      <c r="K65" s="55"/>
      <c r="L65" s="104"/>
    </row>
    <row r="66" spans="1:12">
      <c r="A66" s="40"/>
      <c r="B66" s="27"/>
      <c r="C66" s="27"/>
      <c r="D66" s="27"/>
      <c r="E66" s="27"/>
      <c r="F66" s="27"/>
      <c r="G66" s="27"/>
      <c r="H66" s="27"/>
      <c r="I66" s="27"/>
      <c r="J66" s="27" t="s">
        <v>94</v>
      </c>
      <c r="K66" s="27"/>
      <c r="L66" s="41"/>
    </row>
    <row r="67" spans="1:12">
      <c r="A67" s="40"/>
      <c r="B67" s="664" t="s">
        <v>95</v>
      </c>
      <c r="C67" s="664"/>
      <c r="D67" s="664"/>
      <c r="E67" s="664"/>
      <c r="F67" s="664"/>
      <c r="G67" s="27"/>
      <c r="H67" s="664" t="s">
        <v>5</v>
      </c>
      <c r="I67" s="664"/>
      <c r="J67" s="664"/>
      <c r="K67" s="664"/>
      <c r="L67" s="750"/>
    </row>
    <row r="68" spans="1:12" ht="15.75" thickBot="1">
      <c r="A68" s="40"/>
      <c r="B68" s="27"/>
      <c r="C68" s="27"/>
      <c r="D68" s="27"/>
      <c r="E68" s="27"/>
      <c r="F68" s="27"/>
      <c r="G68" s="27"/>
      <c r="H68" s="27"/>
      <c r="I68" s="27"/>
      <c r="J68" s="27"/>
      <c r="K68" s="27"/>
      <c r="L68" s="41"/>
    </row>
    <row r="69" spans="1:12">
      <c r="A69" s="40"/>
      <c r="B69" s="96"/>
      <c r="C69" s="97"/>
      <c r="D69" s="97"/>
      <c r="E69" s="97"/>
      <c r="F69" s="98"/>
      <c r="G69" s="27"/>
      <c r="H69" s="105"/>
      <c r="I69" s="106"/>
      <c r="J69" s="106"/>
      <c r="K69" s="106"/>
      <c r="L69" s="107"/>
    </row>
    <row r="70" spans="1:12">
      <c r="A70" s="40"/>
      <c r="B70" s="99"/>
      <c r="C70" s="100"/>
      <c r="D70" s="100"/>
      <c r="E70" s="100"/>
      <c r="F70" s="101"/>
      <c r="G70" s="27"/>
      <c r="H70" s="102" t="str">
        <f>'0422Master'!AO8</f>
        <v>INFOSYS LIMITED, IL BHUBANESHWAR-STP,UNIT-II</v>
      </c>
      <c r="I70" s="108"/>
      <c r="J70" s="108"/>
      <c r="K70" s="108"/>
      <c r="L70" s="109"/>
    </row>
    <row r="71" spans="1:12">
      <c r="A71" s="40"/>
      <c r="B71" s="102" t="str">
        <f>'0422Master'!F8</f>
        <v>IT SUPPORTIVE SERVICES &amp; BHUBANESWAR</v>
      </c>
      <c r="C71" s="100"/>
      <c r="D71" s="100"/>
      <c r="E71" s="108" t="s">
        <v>96</v>
      </c>
      <c r="F71" s="101"/>
      <c r="G71" s="27"/>
      <c r="H71" s="102"/>
      <c r="I71" s="108"/>
      <c r="J71" s="108"/>
      <c r="K71" s="108"/>
      <c r="L71" s="109"/>
    </row>
    <row r="72" spans="1:12">
      <c r="A72" s="40"/>
      <c r="B72" s="99"/>
      <c r="C72" s="100"/>
      <c r="D72" s="100"/>
      <c r="E72" s="100"/>
      <c r="F72" s="101"/>
      <c r="G72" s="27"/>
      <c r="H72" s="102" t="str">
        <f>'0422Master'!AO10</f>
        <v>Plot No E/4,Info city,Chandaka Industrial, Bhubaneswar,Odisha - 751024</v>
      </c>
      <c r="I72" s="108"/>
      <c r="J72" s="108"/>
      <c r="K72" s="108"/>
      <c r="L72" s="109"/>
    </row>
    <row r="73" spans="1:12" ht="15.75" thickBot="1">
      <c r="A73" s="40"/>
      <c r="B73" s="103"/>
      <c r="C73" s="55"/>
      <c r="D73" s="55"/>
      <c r="E73" s="55"/>
      <c r="F73" s="104"/>
      <c r="G73" s="27"/>
      <c r="H73" s="110"/>
      <c r="I73" s="111"/>
      <c r="J73" s="111"/>
      <c r="K73" s="111"/>
      <c r="L73" s="112"/>
    </row>
    <row r="74" spans="1:12" ht="27.95" customHeight="1">
      <c r="A74" s="113"/>
      <c r="B74" s="744" t="s">
        <v>97</v>
      </c>
      <c r="C74" s="744"/>
      <c r="D74" s="744"/>
      <c r="E74" s="744"/>
      <c r="F74" s="744"/>
      <c r="G74" s="744"/>
      <c r="H74" s="741" t="str">
        <f>'0422Master'!B15</f>
        <v>Vipin U.N</v>
      </c>
      <c r="I74" s="742"/>
      <c r="J74" s="742"/>
      <c r="K74" s="742"/>
      <c r="L74" s="743"/>
    </row>
    <row r="75" spans="1:12" ht="27.95" customHeight="1">
      <c r="A75" s="113"/>
      <c r="B75" s="740" t="s">
        <v>98</v>
      </c>
      <c r="C75" s="740"/>
      <c r="D75" s="740"/>
      <c r="E75" s="740"/>
      <c r="F75" s="740"/>
      <c r="G75" s="740"/>
      <c r="H75" s="741">
        <f>'0422Master'!A15</f>
        <v>2</v>
      </c>
      <c r="I75" s="742"/>
      <c r="J75" s="742"/>
      <c r="K75" s="742"/>
      <c r="L75" s="743"/>
    </row>
    <row r="76" spans="1:12" ht="27.95" customHeight="1">
      <c r="A76" s="113"/>
      <c r="B76" s="744" t="s">
        <v>99</v>
      </c>
      <c r="C76" s="744"/>
      <c r="D76" s="744"/>
      <c r="E76" s="744"/>
      <c r="F76" s="744"/>
      <c r="G76" s="744"/>
      <c r="H76" s="741" t="str">
        <f>'0422Master'!F15</f>
        <v>Senior IT Endpoint Engineer</v>
      </c>
      <c r="I76" s="742"/>
      <c r="J76" s="742"/>
      <c r="K76" s="742"/>
      <c r="L76" s="743"/>
    </row>
    <row r="77" spans="1:12" ht="27.95" customHeight="1">
      <c r="A77" s="113"/>
      <c r="B77" s="744" t="s">
        <v>100</v>
      </c>
      <c r="C77" s="744"/>
      <c r="D77" s="744"/>
      <c r="E77" s="744"/>
      <c r="F77" s="744"/>
      <c r="G77" s="744"/>
      <c r="H77" s="752">
        <f>'0422Master'!N15</f>
        <v>44181</v>
      </c>
      <c r="I77" s="753"/>
      <c r="J77" s="753"/>
      <c r="K77" s="753"/>
      <c r="L77" s="754"/>
    </row>
    <row r="78" spans="1:12" ht="27.95" customHeight="1">
      <c r="A78" s="113"/>
      <c r="B78" s="114" t="s">
        <v>101</v>
      </c>
      <c r="C78" s="221"/>
      <c r="D78" s="221"/>
      <c r="E78" s="221"/>
      <c r="F78" s="221"/>
      <c r="G78" s="221"/>
      <c r="H78" s="732" t="str">
        <f>'0422Master'!T15</f>
        <v>NA</v>
      </c>
      <c r="I78" s="733"/>
      <c r="J78" s="733"/>
      <c r="K78" s="733"/>
      <c r="L78" s="734"/>
    </row>
    <row r="79" spans="1:12" ht="27.95" customHeight="1">
      <c r="A79" s="113"/>
      <c r="B79" s="114" t="s">
        <v>102</v>
      </c>
      <c r="C79" s="221"/>
      <c r="D79" s="221"/>
      <c r="E79" s="221"/>
      <c r="F79" s="221"/>
      <c r="G79" s="222"/>
      <c r="H79" s="732">
        <f>'0422Master'!S15</f>
        <v>101329723141</v>
      </c>
      <c r="I79" s="733"/>
      <c r="J79" s="733"/>
      <c r="K79" s="733"/>
      <c r="L79" s="734"/>
    </row>
    <row r="80" spans="1:12" ht="27.95" customHeight="1">
      <c r="A80" s="113"/>
      <c r="B80" s="755" t="s">
        <v>103</v>
      </c>
      <c r="C80" s="755"/>
      <c r="D80" s="755"/>
      <c r="E80" s="755"/>
      <c r="F80" s="755"/>
      <c r="G80" s="755"/>
      <c r="H80" s="756">
        <f>'0422Master'!X15</f>
        <v>105304</v>
      </c>
      <c r="I80" s="757"/>
      <c r="J80" s="757"/>
      <c r="K80" s="757"/>
      <c r="L80" s="758"/>
    </row>
    <row r="81" spans="1:12" ht="27.95" customHeight="1">
      <c r="A81" s="113"/>
      <c r="B81" s="744" t="s">
        <v>104</v>
      </c>
      <c r="C81" s="744"/>
      <c r="D81" s="744"/>
      <c r="E81" s="744"/>
      <c r="F81" s="744"/>
      <c r="G81" s="744"/>
      <c r="H81" s="751">
        <f>'0422Master'!D9</f>
        <v>44652</v>
      </c>
      <c r="I81" s="742"/>
      <c r="J81" s="742"/>
      <c r="K81" s="742"/>
      <c r="L81" s="743"/>
    </row>
    <row r="82" spans="1:12" ht="27.95" customHeight="1">
      <c r="A82" s="40"/>
      <c r="B82" s="744" t="s">
        <v>105</v>
      </c>
      <c r="C82" s="744"/>
      <c r="D82" s="744"/>
      <c r="E82" s="744"/>
      <c r="F82" s="744"/>
      <c r="G82" s="744"/>
      <c r="H82" s="742" t="s">
        <v>106</v>
      </c>
      <c r="I82" s="742"/>
      <c r="J82" s="742"/>
      <c r="K82" s="742"/>
      <c r="L82" s="743"/>
    </row>
    <row r="83" spans="1:12" ht="27.95" customHeight="1">
      <c r="A83" s="40"/>
      <c r="B83" s="114" t="s">
        <v>107</v>
      </c>
      <c r="C83" s="221"/>
      <c r="D83" s="221"/>
      <c r="E83" s="221"/>
      <c r="F83" s="221"/>
      <c r="G83" s="222"/>
      <c r="H83" s="418"/>
      <c r="I83" s="414"/>
      <c r="J83" s="186">
        <f>'0422Master'!V15</f>
        <v>8</v>
      </c>
      <c r="K83" s="414"/>
      <c r="L83" s="415"/>
    </row>
    <row r="84" spans="1:12" ht="27.95" customHeight="1">
      <c r="A84" s="40"/>
      <c r="B84" s="114" t="s">
        <v>108</v>
      </c>
      <c r="C84" s="221"/>
      <c r="D84" s="221"/>
      <c r="E84" s="221"/>
      <c r="F84" s="221"/>
      <c r="G84" s="222"/>
      <c r="H84" s="418"/>
      <c r="I84" s="414"/>
      <c r="J84" s="414" t="s">
        <v>109</v>
      </c>
      <c r="K84" s="414"/>
      <c r="L84" s="415"/>
    </row>
    <row r="85" spans="1:12" ht="27.95" customHeight="1">
      <c r="A85" s="40"/>
      <c r="B85" s="114" t="s">
        <v>110</v>
      </c>
      <c r="C85" s="221"/>
      <c r="D85" s="221"/>
      <c r="E85" s="221"/>
      <c r="F85" s="221"/>
      <c r="G85" s="222"/>
      <c r="H85" s="418"/>
      <c r="I85" s="414"/>
      <c r="J85" s="186">
        <v>0</v>
      </c>
      <c r="K85" s="414"/>
      <c r="L85" s="415"/>
    </row>
    <row r="86" spans="1:12" ht="27.95" customHeight="1">
      <c r="A86" s="40"/>
      <c r="B86" s="114" t="s">
        <v>111</v>
      </c>
      <c r="C86" s="221"/>
      <c r="D86" s="221"/>
      <c r="E86" s="221"/>
      <c r="F86" s="221"/>
      <c r="G86" s="222"/>
      <c r="H86" s="418"/>
      <c r="I86" s="414"/>
      <c r="J86" s="414">
        <v>0</v>
      </c>
      <c r="K86" s="414"/>
      <c r="L86" s="415"/>
    </row>
    <row r="87" spans="1:12" ht="27.95" customHeight="1">
      <c r="A87" s="40"/>
      <c r="B87" s="114" t="s">
        <v>112</v>
      </c>
      <c r="C87" s="221"/>
      <c r="D87" s="221"/>
      <c r="E87" s="221"/>
      <c r="F87" s="221"/>
      <c r="G87" s="222"/>
      <c r="H87" s="418"/>
      <c r="I87" s="414"/>
      <c r="J87" s="186">
        <f>'0422Master'!AL15</f>
        <v>31963.148583999999</v>
      </c>
      <c r="K87" s="414"/>
      <c r="L87" s="415" t="s">
        <v>113</v>
      </c>
    </row>
    <row r="88" spans="1:12" ht="27.95" customHeight="1">
      <c r="A88" s="40"/>
      <c r="B88" s="114" t="s">
        <v>114</v>
      </c>
      <c r="C88" s="221"/>
      <c r="D88" s="447" t="s">
        <v>47</v>
      </c>
      <c r="E88" s="448">
        <f>'0422Master'!AN15</f>
        <v>1800</v>
      </c>
      <c r="F88" s="447" t="s">
        <v>46</v>
      </c>
      <c r="G88" s="448">
        <f>'0422Master'!AM15</f>
        <v>0</v>
      </c>
      <c r="H88" s="447" t="s">
        <v>48</v>
      </c>
      <c r="I88" s="448">
        <f>'0422Master'!AO15</f>
        <v>200</v>
      </c>
      <c r="J88" s="447" t="s">
        <v>49</v>
      </c>
      <c r="K88" s="448">
        <f>'0422Master'!AP15</f>
        <v>0</v>
      </c>
      <c r="L88" s="127">
        <f>'0422Master'!AQ15</f>
        <v>392</v>
      </c>
    </row>
    <row r="89" spans="1:12" ht="27.95" customHeight="1">
      <c r="A89" s="40"/>
      <c r="B89" s="114" t="s">
        <v>115</v>
      </c>
      <c r="C89" s="221"/>
      <c r="D89" s="221"/>
      <c r="E89" s="221"/>
      <c r="F89" s="221"/>
      <c r="G89" s="222"/>
      <c r="H89" s="418"/>
      <c r="I89" s="414"/>
      <c r="J89" s="186">
        <f>'0422Master'!AS15</f>
        <v>29571.148583999999</v>
      </c>
      <c r="K89" s="414"/>
      <c r="L89" s="415"/>
    </row>
    <row r="90" spans="1:12" ht="27.95" customHeight="1">
      <c r="A90" s="40"/>
      <c r="B90" s="117" t="s">
        <v>116</v>
      </c>
      <c r="C90" s="118"/>
      <c r="D90" s="118"/>
      <c r="E90" s="118"/>
      <c r="F90" s="118"/>
      <c r="G90" s="119"/>
      <c r="H90" s="120"/>
      <c r="I90" s="121"/>
      <c r="J90" s="121"/>
      <c r="K90" s="121"/>
      <c r="L90" s="122"/>
    </row>
    <row r="91" spans="1:12" ht="27.95" customHeight="1">
      <c r="A91" s="40"/>
      <c r="B91" s="123" t="s">
        <v>117</v>
      </c>
      <c r="C91" s="124"/>
      <c r="D91" s="124"/>
      <c r="E91" s="124"/>
      <c r="F91" s="124"/>
      <c r="G91" s="125"/>
      <c r="H91" s="86"/>
      <c r="I91" s="46"/>
      <c r="J91" s="46"/>
      <c r="K91" s="46"/>
      <c r="L91" s="126"/>
    </row>
    <row r="92" spans="1:12">
      <c r="A92" s="40"/>
      <c r="B92" s="27"/>
      <c r="C92" s="27"/>
      <c r="D92" s="27"/>
      <c r="E92" s="27"/>
      <c r="F92" s="27"/>
      <c r="G92" s="27"/>
      <c r="H92" s="27"/>
      <c r="I92" s="27"/>
      <c r="J92" s="27"/>
      <c r="K92" s="27"/>
      <c r="L92" s="41"/>
    </row>
    <row r="93" spans="1:12" ht="15.75" thickBot="1">
      <c r="A93" s="54"/>
      <c r="B93" s="52"/>
      <c r="C93" s="52"/>
      <c r="D93" s="52"/>
      <c r="E93" s="52"/>
      <c r="F93" s="52"/>
      <c r="G93" s="52"/>
      <c r="H93" s="52"/>
      <c r="I93" s="52"/>
      <c r="J93" s="52"/>
      <c r="K93" s="52"/>
      <c r="L93" s="53"/>
    </row>
    <row r="94" spans="1:12">
      <c r="A94" s="27"/>
      <c r="B94" s="27"/>
      <c r="C94" s="27"/>
      <c r="D94" s="27"/>
      <c r="E94" s="27"/>
      <c r="F94" s="27"/>
      <c r="G94" s="27"/>
      <c r="H94" s="27"/>
      <c r="I94" s="27"/>
      <c r="J94" s="27"/>
      <c r="K94" s="27"/>
      <c r="L94" s="27"/>
    </row>
  </sheetData>
  <mergeCells count="46">
    <mergeCell ref="B59:F60"/>
    <mergeCell ref="H59:L60"/>
    <mergeCell ref="B67:F67"/>
    <mergeCell ref="H67:L67"/>
    <mergeCell ref="B82:G82"/>
    <mergeCell ref="H82:L82"/>
    <mergeCell ref="B74:G74"/>
    <mergeCell ref="H74:L74"/>
    <mergeCell ref="B75:G75"/>
    <mergeCell ref="H75:L75"/>
    <mergeCell ref="B76:G76"/>
    <mergeCell ref="H76:L76"/>
    <mergeCell ref="B77:G77"/>
    <mergeCell ref="H77:L77"/>
    <mergeCell ref="B80:G80"/>
    <mergeCell ref="H80:L80"/>
    <mergeCell ref="B81:G81"/>
    <mergeCell ref="H81:L81"/>
    <mergeCell ref="H78:L78"/>
    <mergeCell ref="H79:L79"/>
    <mergeCell ref="B22:G22"/>
    <mergeCell ref="H22:L22"/>
    <mergeCell ref="B58:L58"/>
    <mergeCell ref="B56:L56"/>
    <mergeCell ref="B57:L57"/>
    <mergeCell ref="B25:G25"/>
    <mergeCell ref="H25:L25"/>
    <mergeCell ref="B26:G26"/>
    <mergeCell ref="H26:L26"/>
    <mergeCell ref="B27:G27"/>
    <mergeCell ref="H27:L27"/>
    <mergeCell ref="H23:L23"/>
    <mergeCell ref="H24:L24"/>
    <mergeCell ref="B1:L1"/>
    <mergeCell ref="B2:L2"/>
    <mergeCell ref="B20:G20"/>
    <mergeCell ref="H20:L20"/>
    <mergeCell ref="B21:G21"/>
    <mergeCell ref="H21:L21"/>
    <mergeCell ref="B3:L3"/>
    <mergeCell ref="B4:F5"/>
    <mergeCell ref="H4:L5"/>
    <mergeCell ref="B12:F12"/>
    <mergeCell ref="H12:L12"/>
    <mergeCell ref="B19:G19"/>
    <mergeCell ref="H19:L19"/>
  </mergeCells>
  <pageMargins left="0.88" right="0.53" top="0.74803149606299213" bottom="0.74803149606299213" header="0.31496062992125984" footer="0.31496062992125984"/>
  <pageSetup scale="65" orientation="portrait"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74"/>
  <sheetViews>
    <sheetView topLeftCell="G13" workbookViewId="0">
      <selection activeCell="G12" sqref="G12"/>
    </sheetView>
  </sheetViews>
  <sheetFormatPr defaultRowHeight="15"/>
  <cols>
    <col min="1" max="1" width="7.42578125" customWidth="1"/>
    <col min="9" max="9" width="14.28515625" customWidth="1"/>
    <col min="10" max="10" width="4.140625" customWidth="1"/>
    <col min="11" max="11" width="7.140625" customWidth="1"/>
    <col min="18" max="18" width="9.140625" customWidth="1"/>
    <col min="19" max="19" width="14.85546875" customWidth="1"/>
  </cols>
  <sheetData>
    <row r="1" spans="1:19" ht="30" customHeight="1">
      <c r="A1" s="759" t="s">
        <v>118</v>
      </c>
      <c r="B1" s="760"/>
      <c r="C1" s="760"/>
      <c r="D1" s="760"/>
      <c r="E1" s="760"/>
      <c r="F1" s="760"/>
      <c r="G1" s="760"/>
      <c r="H1" s="760"/>
      <c r="I1" s="761"/>
      <c r="K1" s="759" t="str">
        <f>A1</f>
        <v>Form XV - WAGE SLIP</v>
      </c>
      <c r="L1" s="760"/>
      <c r="M1" s="760"/>
      <c r="N1" s="760"/>
      <c r="O1" s="760"/>
      <c r="P1" s="760"/>
      <c r="Q1" s="760"/>
      <c r="R1" s="760"/>
      <c r="S1" s="761"/>
    </row>
    <row r="2" spans="1:19">
      <c r="A2" s="766" t="s">
        <v>119</v>
      </c>
      <c r="B2" s="767"/>
      <c r="C2" s="767"/>
      <c r="D2" s="767"/>
      <c r="E2" s="767"/>
      <c r="F2" s="767"/>
      <c r="G2" s="767"/>
      <c r="H2" s="767"/>
      <c r="I2" s="768"/>
      <c r="K2" s="766" t="str">
        <f>A2</f>
        <v>[Vide rule 77 (2) (b) of the Contract Labour (Regulation and Abolition) act Odisha Rules, 1975]</v>
      </c>
      <c r="L2" s="767"/>
      <c r="M2" s="767"/>
      <c r="N2" s="767"/>
      <c r="O2" s="767"/>
      <c r="P2" s="767"/>
      <c r="Q2" s="767"/>
      <c r="R2" s="767"/>
      <c r="S2" s="768"/>
    </row>
    <row r="3" spans="1:19">
      <c r="A3" s="40"/>
      <c r="B3" s="27"/>
      <c r="C3" s="27"/>
      <c r="D3" s="27"/>
      <c r="E3" s="27"/>
      <c r="F3" s="27"/>
      <c r="G3" s="27"/>
      <c r="H3" s="27"/>
      <c r="I3" s="41"/>
      <c r="K3" s="40"/>
      <c r="L3" s="27"/>
      <c r="M3" s="27"/>
      <c r="N3" s="27"/>
      <c r="O3" s="27"/>
      <c r="P3" s="27"/>
      <c r="Q3" s="27"/>
      <c r="R3" s="27"/>
      <c r="S3" s="41"/>
    </row>
    <row r="4" spans="1:19">
      <c r="A4" s="309" t="s">
        <v>120</v>
      </c>
      <c r="B4" s="310"/>
      <c r="C4" s="310"/>
      <c r="D4" s="42" t="str">
        <f>'0422Master'!F5</f>
        <v>Burgeon IT Services Pvt.Ltd.</v>
      </c>
      <c r="F4" s="27"/>
      <c r="G4" s="27"/>
      <c r="H4" s="27"/>
      <c r="I4" s="41"/>
      <c r="K4" s="309" t="s">
        <v>120</v>
      </c>
      <c r="L4" s="310"/>
      <c r="M4" s="310"/>
      <c r="N4" s="42" t="str">
        <f>D4</f>
        <v>Burgeon IT Services Pvt.Ltd.</v>
      </c>
      <c r="P4" s="27"/>
      <c r="Q4" s="27"/>
      <c r="R4" s="27"/>
      <c r="S4" s="41"/>
    </row>
    <row r="5" spans="1:19">
      <c r="A5" s="43"/>
      <c r="B5" s="44" t="str">
        <f>'0422Master'!F6</f>
        <v>Siri Mansion LIGB 436 Dr.A S Rao Nagar,Hyderabad</v>
      </c>
      <c r="C5" s="44"/>
      <c r="D5" s="44"/>
      <c r="F5" s="27"/>
      <c r="G5" s="27"/>
      <c r="H5" s="27"/>
      <c r="I5" s="41"/>
      <c r="K5" s="43"/>
      <c r="L5" s="44" t="str">
        <f>B5</f>
        <v>Siri Mansion LIGB 436 Dr.A S Rao Nagar,Hyderabad</v>
      </c>
      <c r="M5" s="44"/>
      <c r="N5" s="44"/>
      <c r="P5" s="27"/>
      <c r="Q5" s="27"/>
      <c r="R5" s="27"/>
      <c r="S5" s="41"/>
    </row>
    <row r="6" spans="1:19">
      <c r="A6" s="43"/>
      <c r="B6" s="44">
        <f>'0422Master'!F7</f>
        <v>0</v>
      </c>
      <c r="C6" s="44"/>
      <c r="D6" s="44"/>
      <c r="E6" s="44"/>
      <c r="F6" s="27"/>
      <c r="G6" s="27"/>
      <c r="H6" s="27"/>
      <c r="I6" s="41"/>
      <c r="K6" s="43"/>
      <c r="L6" s="44">
        <f>B6</f>
        <v>0</v>
      </c>
      <c r="M6" s="44"/>
      <c r="N6" s="44"/>
      <c r="O6" s="44"/>
      <c r="P6" s="27"/>
      <c r="Q6" s="27"/>
      <c r="R6" s="27"/>
      <c r="S6" s="41"/>
    </row>
    <row r="7" spans="1:19">
      <c r="A7" s="763" t="s">
        <v>121</v>
      </c>
      <c r="B7" s="764"/>
      <c r="C7" s="764"/>
      <c r="D7" s="764"/>
      <c r="E7" s="44"/>
      <c r="F7" s="27"/>
      <c r="G7" s="27"/>
      <c r="H7" s="27"/>
      <c r="I7" s="41"/>
      <c r="K7" s="763" t="s">
        <v>121</v>
      </c>
      <c r="L7" s="764"/>
      <c r="M7" s="764"/>
      <c r="N7" s="764"/>
      <c r="O7" s="44"/>
      <c r="P7" s="27"/>
      <c r="Q7" s="27"/>
      <c r="R7" s="27"/>
      <c r="S7" s="41"/>
    </row>
    <row r="8" spans="1:19">
      <c r="A8" s="763"/>
      <c r="B8" s="764"/>
      <c r="C8" s="764"/>
      <c r="D8" s="764"/>
      <c r="E8" s="45" t="str">
        <f>'0422Master'!U14</f>
        <v>KRANTHI KUMAR VEDULLA</v>
      </c>
      <c r="F8" s="46"/>
      <c r="G8" s="46"/>
      <c r="H8" s="46" t="str">
        <f>'0422Master'!E14</f>
        <v>Kamini Venkatarami Reddy</v>
      </c>
      <c r="I8" s="41"/>
      <c r="K8" s="763"/>
      <c r="L8" s="764"/>
      <c r="M8" s="764"/>
      <c r="N8" s="764"/>
      <c r="O8" s="45" t="str">
        <f>E8</f>
        <v>KRANTHI KUMAR VEDULLA</v>
      </c>
      <c r="P8" s="46"/>
      <c r="Q8" s="46"/>
      <c r="R8" s="46" t="str">
        <f>H8</f>
        <v>Kamini Venkatarami Reddy</v>
      </c>
      <c r="S8" s="41"/>
    </row>
    <row r="9" spans="1:19">
      <c r="A9" s="43"/>
      <c r="B9" s="44"/>
      <c r="C9" s="44"/>
      <c r="D9" s="44"/>
      <c r="E9" s="44"/>
      <c r="F9" s="27"/>
      <c r="G9" s="27"/>
      <c r="H9" s="27"/>
      <c r="I9" s="41"/>
      <c r="K9" s="43"/>
      <c r="L9" s="44"/>
      <c r="M9" s="44"/>
      <c r="N9" s="44"/>
      <c r="O9" s="44"/>
      <c r="P9" s="27"/>
      <c r="Q9" s="27"/>
      <c r="R9" s="27"/>
      <c r="S9" s="41"/>
    </row>
    <row r="10" spans="1:19">
      <c r="A10" s="765" t="s">
        <v>122</v>
      </c>
      <c r="B10" s="762"/>
      <c r="C10" s="762"/>
      <c r="D10" s="762"/>
      <c r="E10" s="45" t="str">
        <f>'0422Master'!F8</f>
        <v>IT SUPPORTIVE SERVICES &amp; BHUBANESWAR</v>
      </c>
      <c r="F10" s="46"/>
      <c r="G10" s="46"/>
      <c r="H10" s="46"/>
      <c r="I10" s="41"/>
      <c r="K10" s="765" t="s">
        <v>122</v>
      </c>
      <c r="L10" s="762"/>
      <c r="M10" s="762"/>
      <c r="N10" s="762"/>
      <c r="O10" s="45" t="str">
        <f>E10</f>
        <v>IT SUPPORTIVE SERVICES &amp; BHUBANESWAR</v>
      </c>
      <c r="P10" s="46"/>
      <c r="Q10" s="46"/>
      <c r="R10" s="46"/>
      <c r="S10" s="41"/>
    </row>
    <row r="11" spans="1:19">
      <c r="A11" s="43"/>
      <c r="B11" s="44"/>
      <c r="C11" s="44"/>
      <c r="D11" s="44"/>
      <c r="E11" s="44"/>
      <c r="F11" s="27"/>
      <c r="G11" s="27"/>
      <c r="H11" s="27"/>
      <c r="I11" s="41"/>
      <c r="K11" s="43"/>
      <c r="L11" s="44"/>
      <c r="M11" s="44"/>
      <c r="N11" s="44"/>
      <c r="O11" s="44"/>
      <c r="P11" s="27"/>
      <c r="Q11" s="27"/>
      <c r="R11" s="27"/>
      <c r="S11" s="41"/>
    </row>
    <row r="12" spans="1:19">
      <c r="A12" s="765" t="s">
        <v>123</v>
      </c>
      <c r="B12" s="762"/>
      <c r="C12" s="762"/>
      <c r="D12" s="762"/>
      <c r="E12" s="47">
        <f>'0422Master'!D9</f>
        <v>44652</v>
      </c>
      <c r="F12" s="46"/>
      <c r="G12" s="46"/>
      <c r="H12" s="46"/>
      <c r="I12" s="41"/>
      <c r="K12" s="765" t="s">
        <v>123</v>
      </c>
      <c r="L12" s="762"/>
      <c r="M12" s="762"/>
      <c r="N12" s="762"/>
      <c r="O12" s="47">
        <f>E12</f>
        <v>44652</v>
      </c>
      <c r="P12" s="46"/>
      <c r="Q12" s="46"/>
      <c r="R12" s="46"/>
      <c r="S12" s="41"/>
    </row>
    <row r="13" spans="1:19">
      <c r="A13" s="43"/>
      <c r="B13" s="44"/>
      <c r="C13" s="44"/>
      <c r="D13" s="44"/>
      <c r="E13" s="44"/>
      <c r="F13" s="27"/>
      <c r="G13" s="27"/>
      <c r="H13" s="27"/>
      <c r="I13" s="41"/>
      <c r="K13" s="43"/>
      <c r="L13" s="44"/>
      <c r="M13" s="44"/>
      <c r="N13" s="44"/>
      <c r="O13" s="44"/>
      <c r="P13" s="27"/>
      <c r="Q13" s="27"/>
      <c r="R13" s="27"/>
      <c r="S13" s="41"/>
    </row>
    <row r="14" spans="1:19">
      <c r="A14" s="48">
        <v>1</v>
      </c>
      <c r="B14" s="762" t="s">
        <v>124</v>
      </c>
      <c r="C14" s="762"/>
      <c r="D14" s="762"/>
      <c r="E14" s="49">
        <f>'0422Master'!V14</f>
        <v>30</v>
      </c>
      <c r="F14" s="46"/>
      <c r="G14" s="46"/>
      <c r="H14" s="46"/>
      <c r="I14" s="41"/>
      <c r="K14" s="48">
        <v>1</v>
      </c>
      <c r="L14" s="762" t="s">
        <v>124</v>
      </c>
      <c r="M14" s="762"/>
      <c r="N14" s="762"/>
      <c r="O14" s="49">
        <f>E14</f>
        <v>30</v>
      </c>
      <c r="P14" s="46"/>
      <c r="Q14" s="46"/>
      <c r="R14" s="46"/>
      <c r="S14" s="41"/>
    </row>
    <row r="15" spans="1:19">
      <c r="A15" s="48"/>
      <c r="B15" s="44"/>
      <c r="C15" s="44"/>
      <c r="D15" s="44"/>
      <c r="E15" s="44"/>
      <c r="F15" s="27"/>
      <c r="G15" s="27"/>
      <c r="H15" s="27"/>
      <c r="I15" s="41"/>
      <c r="K15" s="48"/>
      <c r="L15" s="44"/>
      <c r="M15" s="44"/>
      <c r="N15" s="44"/>
      <c r="O15" s="44"/>
      <c r="P15" s="27"/>
      <c r="Q15" s="27"/>
      <c r="R15" s="27"/>
      <c r="S15" s="41"/>
    </row>
    <row r="16" spans="1:19">
      <c r="A16" s="48">
        <v>2</v>
      </c>
      <c r="B16" s="764" t="s">
        <v>125</v>
      </c>
      <c r="C16" s="764"/>
      <c r="D16" s="764"/>
      <c r="E16" s="44"/>
      <c r="F16" s="27"/>
      <c r="G16" s="27"/>
      <c r="H16" s="27"/>
      <c r="I16" s="41"/>
      <c r="K16" s="48">
        <v>2</v>
      </c>
      <c r="L16" s="764" t="s">
        <v>125</v>
      </c>
      <c r="M16" s="764"/>
      <c r="N16" s="764"/>
      <c r="O16" s="44"/>
      <c r="P16" s="27"/>
      <c r="Q16" s="27"/>
      <c r="R16" s="27"/>
      <c r="S16" s="41"/>
    </row>
    <row r="17" spans="1:19">
      <c r="A17" s="48"/>
      <c r="B17" s="764"/>
      <c r="C17" s="764"/>
      <c r="D17" s="764"/>
      <c r="E17" s="50" t="s">
        <v>109</v>
      </c>
      <c r="F17" s="46"/>
      <c r="G17" s="46"/>
      <c r="H17" s="46"/>
      <c r="I17" s="41"/>
      <c r="K17" s="48"/>
      <c r="L17" s="764"/>
      <c r="M17" s="764"/>
      <c r="N17" s="764"/>
      <c r="O17" s="50" t="s">
        <v>109</v>
      </c>
      <c r="P17" s="46"/>
      <c r="Q17" s="46"/>
      <c r="R17" s="46"/>
      <c r="S17" s="41"/>
    </row>
    <row r="18" spans="1:19">
      <c r="A18" s="48"/>
      <c r="B18" s="44"/>
      <c r="C18" s="44"/>
      <c r="D18" s="44"/>
      <c r="E18" s="44"/>
      <c r="F18" s="27"/>
      <c r="G18" s="27"/>
      <c r="H18" s="27"/>
      <c r="I18" s="41"/>
      <c r="K18" s="48"/>
      <c r="L18" s="44"/>
      <c r="M18" s="44"/>
      <c r="N18" s="44"/>
      <c r="O18" s="44"/>
      <c r="P18" s="27"/>
      <c r="Q18" s="27"/>
      <c r="R18" s="27"/>
      <c r="S18" s="41"/>
    </row>
    <row r="19" spans="1:19">
      <c r="A19" s="48">
        <v>3</v>
      </c>
      <c r="B19" s="762" t="s">
        <v>126</v>
      </c>
      <c r="C19" s="762"/>
      <c r="D19" s="762"/>
      <c r="E19" s="50" t="s">
        <v>109</v>
      </c>
      <c r="F19" s="46"/>
      <c r="G19" s="46"/>
      <c r="H19" s="46"/>
      <c r="I19" s="41"/>
      <c r="K19" s="48">
        <v>3</v>
      </c>
      <c r="L19" s="762" t="s">
        <v>126</v>
      </c>
      <c r="M19" s="762"/>
      <c r="N19" s="762"/>
      <c r="O19" s="45" t="str">
        <f>E19</f>
        <v>N/A</v>
      </c>
      <c r="P19" s="46"/>
      <c r="Q19" s="46"/>
      <c r="R19" s="46"/>
      <c r="S19" s="41"/>
    </row>
    <row r="20" spans="1:19">
      <c r="A20" s="48"/>
      <c r="B20" s="44"/>
      <c r="C20" s="44"/>
      <c r="D20" s="44"/>
      <c r="E20" s="44"/>
      <c r="F20" s="27"/>
      <c r="G20" s="27"/>
      <c r="H20" s="27"/>
      <c r="I20" s="41"/>
      <c r="K20" s="48"/>
      <c r="L20" s="44"/>
      <c r="M20" s="44"/>
      <c r="N20" s="44"/>
      <c r="O20" s="44"/>
      <c r="P20" s="27"/>
      <c r="Q20" s="27"/>
      <c r="R20" s="27"/>
      <c r="S20" s="41"/>
    </row>
    <row r="21" spans="1:19">
      <c r="A21" s="48">
        <v>4</v>
      </c>
      <c r="B21" s="762" t="s">
        <v>127</v>
      </c>
      <c r="C21" s="762"/>
      <c r="D21" s="762"/>
      <c r="E21" s="50" t="s">
        <v>128</v>
      </c>
      <c r="F21" s="46"/>
      <c r="G21" s="46"/>
      <c r="H21" s="46"/>
      <c r="I21" s="41"/>
      <c r="K21" s="48">
        <v>4</v>
      </c>
      <c r="L21" s="762" t="s">
        <v>127</v>
      </c>
      <c r="M21" s="762"/>
      <c r="N21" s="762"/>
      <c r="O21" s="50" t="s">
        <v>128</v>
      </c>
      <c r="P21" s="46"/>
      <c r="Q21" s="46"/>
      <c r="R21" s="46"/>
      <c r="S21" s="41"/>
    </row>
    <row r="22" spans="1:19">
      <c r="A22" s="48"/>
      <c r="B22" s="44"/>
      <c r="C22" s="44"/>
      <c r="D22" s="44"/>
      <c r="E22" s="44"/>
      <c r="F22" s="27"/>
      <c r="G22" s="27"/>
      <c r="H22" s="27"/>
      <c r="I22" s="41"/>
      <c r="K22" s="48"/>
      <c r="L22" s="44"/>
      <c r="M22" s="44"/>
      <c r="N22" s="44"/>
      <c r="O22" s="44"/>
      <c r="P22" s="27"/>
      <c r="Q22" s="27"/>
      <c r="R22" s="27"/>
      <c r="S22" s="41"/>
    </row>
    <row r="23" spans="1:19">
      <c r="A23" s="48">
        <v>5</v>
      </c>
      <c r="B23" s="762" t="s">
        <v>129</v>
      </c>
      <c r="C23" s="762"/>
      <c r="D23" s="762"/>
      <c r="E23" s="311">
        <f>'0422Master'!AL14</f>
        <v>93275.769320000007</v>
      </c>
      <c r="F23" s="27"/>
      <c r="G23" s="27"/>
      <c r="H23" s="27"/>
      <c r="I23" s="41"/>
      <c r="K23" s="48">
        <v>5</v>
      </c>
      <c r="L23" s="762" t="s">
        <v>129</v>
      </c>
      <c r="M23" s="762"/>
      <c r="N23" s="762"/>
      <c r="O23" s="311">
        <f>E23</f>
        <v>93275.769320000007</v>
      </c>
      <c r="P23" s="27"/>
      <c r="Q23" s="27"/>
      <c r="R23" s="27"/>
      <c r="S23" s="41"/>
    </row>
    <row r="24" spans="1:19">
      <c r="A24" s="48"/>
      <c r="B24" s="44"/>
      <c r="C24" s="44"/>
      <c r="D24" s="312" t="s">
        <v>130</v>
      </c>
      <c r="E24" s="312" t="s">
        <v>46</v>
      </c>
      <c r="F24" s="312" t="s">
        <v>48</v>
      </c>
      <c r="G24" s="313" t="s">
        <v>49</v>
      </c>
      <c r="H24" s="313" t="s">
        <v>131</v>
      </c>
      <c r="I24" s="308" t="s">
        <v>132</v>
      </c>
      <c r="K24" s="48"/>
      <c r="L24" s="44"/>
      <c r="M24" s="44"/>
      <c r="N24" s="312" t="s">
        <v>130</v>
      </c>
      <c r="O24" s="312" t="s">
        <v>46</v>
      </c>
      <c r="P24" s="312" t="s">
        <v>48</v>
      </c>
      <c r="Q24" s="313" t="s">
        <v>49</v>
      </c>
      <c r="R24" s="313" t="s">
        <v>131</v>
      </c>
      <c r="S24" s="308" t="s">
        <v>132</v>
      </c>
    </row>
    <row r="25" spans="1:19">
      <c r="A25" s="48">
        <v>6</v>
      </c>
      <c r="B25" s="392" t="s">
        <v>133</v>
      </c>
      <c r="C25" s="392"/>
      <c r="D25" s="314">
        <f>'0422Master'!AN14</f>
        <v>1800</v>
      </c>
      <c r="E25" s="314">
        <f>'0422Master'!AM14</f>
        <v>0</v>
      </c>
      <c r="F25" s="315">
        <f>'0422Master'!AO14</f>
        <v>200</v>
      </c>
      <c r="G25" s="314">
        <f>'0422Master'!AP14</f>
        <v>0</v>
      </c>
      <c r="H25" s="315">
        <f>'0422Master'!AQ14</f>
        <v>392</v>
      </c>
      <c r="I25" s="315">
        <f>'0422Master'!AR14</f>
        <v>2392</v>
      </c>
      <c r="K25" s="48">
        <v>6</v>
      </c>
      <c r="L25" s="392" t="s">
        <v>133</v>
      </c>
      <c r="M25" s="392"/>
      <c r="N25" s="314">
        <f t="shared" ref="N25:S25" si="0">D25</f>
        <v>1800</v>
      </c>
      <c r="O25" s="314">
        <f t="shared" si="0"/>
        <v>0</v>
      </c>
      <c r="P25" s="315">
        <f t="shared" si="0"/>
        <v>200</v>
      </c>
      <c r="Q25" s="314">
        <f t="shared" si="0"/>
        <v>0</v>
      </c>
      <c r="R25" s="315">
        <f t="shared" si="0"/>
        <v>392</v>
      </c>
      <c r="S25" s="315">
        <f t="shared" si="0"/>
        <v>2392</v>
      </c>
    </row>
    <row r="26" spans="1:19">
      <c r="A26" s="48"/>
      <c r="B26" s="44"/>
      <c r="C26" s="44"/>
      <c r="D26" s="44"/>
      <c r="E26" s="44"/>
      <c r="F26" s="27"/>
      <c r="G26" s="27"/>
      <c r="H26" s="27"/>
      <c r="I26" s="41"/>
      <c r="K26" s="48"/>
      <c r="L26" s="44"/>
      <c r="M26" s="44"/>
      <c r="N26" s="44"/>
      <c r="O26" s="44"/>
      <c r="P26" s="27"/>
      <c r="Q26" s="27"/>
      <c r="R26" s="27"/>
      <c r="S26" s="41"/>
    </row>
    <row r="27" spans="1:19">
      <c r="A27" s="48">
        <v>7</v>
      </c>
      <c r="B27" s="762" t="s">
        <v>134</v>
      </c>
      <c r="C27" s="762"/>
      <c r="D27" s="762"/>
      <c r="E27" s="51">
        <f>E23-I25</f>
        <v>90883.769320000007</v>
      </c>
      <c r="F27" s="46"/>
      <c r="G27" s="46"/>
      <c r="H27" s="46"/>
      <c r="I27" s="41"/>
      <c r="K27" s="48">
        <v>7</v>
      </c>
      <c r="L27" s="762" t="str">
        <f>B27</f>
        <v>Actual  wages paid</v>
      </c>
      <c r="M27" s="762"/>
      <c r="N27" s="762"/>
      <c r="O27" s="51">
        <f>E27</f>
        <v>90883.769320000007</v>
      </c>
      <c r="P27" s="46"/>
      <c r="Q27" s="46"/>
      <c r="R27" s="46"/>
      <c r="S27" s="41"/>
    </row>
    <row r="28" spans="1:19">
      <c r="A28" s="40"/>
      <c r="B28" s="27"/>
      <c r="C28" s="27"/>
      <c r="D28" s="27"/>
      <c r="E28" s="27"/>
      <c r="F28" s="27"/>
      <c r="G28" s="27"/>
      <c r="H28" s="27"/>
      <c r="I28" s="41"/>
      <c r="K28" s="40"/>
      <c r="L28" s="27"/>
      <c r="M28" s="27"/>
      <c r="N28" s="27"/>
      <c r="O28" s="27"/>
      <c r="P28" s="27"/>
      <c r="Q28" s="27"/>
      <c r="R28" s="27"/>
      <c r="S28" s="41"/>
    </row>
    <row r="29" spans="1:19">
      <c r="A29" s="40"/>
      <c r="B29" s="27"/>
      <c r="C29" s="27"/>
      <c r="D29" s="27"/>
      <c r="E29" s="27"/>
      <c r="F29" s="27"/>
      <c r="G29" s="27"/>
      <c r="H29" s="27"/>
      <c r="I29" s="41"/>
      <c r="K29" s="40"/>
      <c r="L29" s="27"/>
      <c r="M29" s="27"/>
      <c r="N29" s="27"/>
      <c r="O29" s="27"/>
      <c r="P29" s="27"/>
      <c r="Q29" s="27"/>
      <c r="R29" s="27"/>
      <c r="S29" s="41"/>
    </row>
    <row r="30" spans="1:19">
      <c r="A30" s="40"/>
      <c r="B30" s="27"/>
      <c r="C30" s="27"/>
      <c r="D30" s="27"/>
      <c r="E30" s="27"/>
      <c r="F30" s="27"/>
      <c r="G30" s="27"/>
      <c r="H30" s="27"/>
      <c r="I30" s="41"/>
      <c r="K30" s="40"/>
      <c r="L30" s="27"/>
      <c r="M30" s="27"/>
      <c r="N30" s="27"/>
      <c r="O30" s="27"/>
      <c r="P30" s="27"/>
      <c r="Q30" s="27"/>
      <c r="R30" s="27"/>
      <c r="S30" s="41"/>
    </row>
    <row r="31" spans="1:19" ht="15.75" thickBot="1">
      <c r="A31" s="54"/>
      <c r="B31" s="52"/>
      <c r="C31" s="52"/>
      <c r="D31" s="52"/>
      <c r="E31" s="382" t="s">
        <v>135</v>
      </c>
      <c r="F31" s="382"/>
      <c r="G31" s="382"/>
      <c r="H31" s="382"/>
      <c r="I31" s="382"/>
      <c r="K31" s="54"/>
      <c r="L31" s="52"/>
      <c r="M31" s="52"/>
      <c r="N31" s="52"/>
      <c r="O31" s="382" t="s">
        <v>135</v>
      </c>
      <c r="P31" s="382"/>
      <c r="Q31" s="382"/>
      <c r="R31" s="382"/>
      <c r="S31" s="382"/>
    </row>
    <row r="43" spans="1:19" ht="15.75" thickBot="1"/>
    <row r="44" spans="1:19" ht="26.25">
      <c r="A44" s="759" t="s">
        <v>118</v>
      </c>
      <c r="B44" s="760"/>
      <c r="C44" s="760"/>
      <c r="D44" s="760"/>
      <c r="E44" s="760"/>
      <c r="F44" s="760"/>
      <c r="G44" s="760"/>
      <c r="H44" s="760"/>
      <c r="I44" s="761"/>
      <c r="K44" s="759" t="str">
        <f>A44</f>
        <v>Form XV - WAGE SLIP</v>
      </c>
      <c r="L44" s="760"/>
      <c r="M44" s="760"/>
      <c r="N44" s="760"/>
      <c r="O44" s="760"/>
      <c r="P44" s="760"/>
      <c r="Q44" s="760"/>
      <c r="R44" s="760"/>
      <c r="S44" s="761"/>
    </row>
    <row r="45" spans="1:19">
      <c r="A45" s="766" t="s">
        <v>119</v>
      </c>
      <c r="B45" s="767"/>
      <c r="C45" s="767"/>
      <c r="D45" s="767"/>
      <c r="E45" s="767"/>
      <c r="F45" s="767"/>
      <c r="G45" s="767"/>
      <c r="H45" s="767"/>
      <c r="I45" s="768"/>
      <c r="K45" s="766" t="str">
        <f>A45</f>
        <v>[Vide rule 77 (2) (b) of the Contract Labour (Regulation and Abolition) act Odisha Rules, 1975]</v>
      </c>
      <c r="L45" s="767"/>
      <c r="M45" s="767"/>
      <c r="N45" s="767"/>
      <c r="O45" s="767"/>
      <c r="P45" s="767"/>
      <c r="Q45" s="767"/>
      <c r="R45" s="767"/>
      <c r="S45" s="768"/>
    </row>
    <row r="46" spans="1:19">
      <c r="A46" s="40"/>
      <c r="B46" s="27"/>
      <c r="C46" s="27"/>
      <c r="D46" s="27"/>
      <c r="E46" s="27"/>
      <c r="F46" s="27"/>
      <c r="G46" s="27"/>
      <c r="H46" s="27"/>
      <c r="I46" s="41"/>
      <c r="K46" s="40"/>
      <c r="L46" s="27"/>
      <c r="M46" s="27"/>
      <c r="N46" s="27"/>
      <c r="O46" s="27"/>
      <c r="P46" s="27"/>
      <c r="Q46" s="27"/>
      <c r="R46" s="27"/>
      <c r="S46" s="41"/>
    </row>
    <row r="47" spans="1:19">
      <c r="A47" s="309" t="s">
        <v>120</v>
      </c>
      <c r="B47" s="310"/>
      <c r="C47" s="310"/>
      <c r="D47" s="42" t="str">
        <f>'0422Master'!F5</f>
        <v>Burgeon IT Services Pvt.Ltd.</v>
      </c>
      <c r="F47" s="27"/>
      <c r="G47" s="27"/>
      <c r="H47" s="27"/>
      <c r="I47" s="41"/>
      <c r="K47" s="309" t="s">
        <v>120</v>
      </c>
      <c r="L47" s="310"/>
      <c r="M47" s="310"/>
      <c r="N47" s="42" t="str">
        <f>D47</f>
        <v>Burgeon IT Services Pvt.Ltd.</v>
      </c>
      <c r="P47" s="27"/>
      <c r="Q47" s="27"/>
      <c r="R47" s="27"/>
      <c r="S47" s="41"/>
    </row>
    <row r="48" spans="1:19">
      <c r="A48" s="43"/>
      <c r="B48" s="44" t="str">
        <f>'0422Master'!F6</f>
        <v>Siri Mansion LIGB 436 Dr.A S Rao Nagar,Hyderabad</v>
      </c>
      <c r="C48" s="44"/>
      <c r="D48" s="44"/>
      <c r="F48" s="27"/>
      <c r="G48" s="27"/>
      <c r="H48" s="27"/>
      <c r="I48" s="41"/>
      <c r="K48" s="43"/>
      <c r="L48" s="44" t="str">
        <f>B48</f>
        <v>Siri Mansion LIGB 436 Dr.A S Rao Nagar,Hyderabad</v>
      </c>
      <c r="M48" s="44"/>
      <c r="N48" s="44"/>
      <c r="P48" s="27"/>
      <c r="Q48" s="27"/>
      <c r="R48" s="27"/>
      <c r="S48" s="41"/>
    </row>
    <row r="49" spans="1:19">
      <c r="A49" s="43"/>
      <c r="B49" s="44">
        <f>'0422Master'!F7</f>
        <v>0</v>
      </c>
      <c r="C49" s="44"/>
      <c r="D49" s="44"/>
      <c r="E49" s="44"/>
      <c r="F49" s="27"/>
      <c r="G49" s="27"/>
      <c r="H49" s="27"/>
      <c r="I49" s="41"/>
      <c r="K49" s="43"/>
      <c r="L49" s="44">
        <f>B49</f>
        <v>0</v>
      </c>
      <c r="M49" s="44"/>
      <c r="N49" s="44"/>
      <c r="O49" s="44"/>
      <c r="P49" s="27"/>
      <c r="Q49" s="27"/>
      <c r="R49" s="27"/>
      <c r="S49" s="41"/>
    </row>
    <row r="50" spans="1:19" ht="15" customHeight="1">
      <c r="A50" s="763" t="s">
        <v>121</v>
      </c>
      <c r="B50" s="764"/>
      <c r="C50" s="764"/>
      <c r="D50" s="764"/>
      <c r="E50" s="44"/>
      <c r="F50" s="27"/>
      <c r="G50" s="27"/>
      <c r="H50" s="27"/>
      <c r="I50" s="41"/>
      <c r="K50" s="763" t="s">
        <v>121</v>
      </c>
      <c r="L50" s="764"/>
      <c r="M50" s="764"/>
      <c r="N50" s="764"/>
      <c r="O50" s="44"/>
      <c r="P50" s="27"/>
      <c r="Q50" s="27"/>
      <c r="R50" s="27"/>
      <c r="S50" s="41"/>
    </row>
    <row r="51" spans="1:19">
      <c r="A51" s="763"/>
      <c r="B51" s="764"/>
      <c r="C51" s="764"/>
      <c r="D51" s="764"/>
      <c r="E51" s="45" t="str">
        <f>'0422Master'!U15</f>
        <v>Vipin U.N</v>
      </c>
      <c r="F51" s="46"/>
      <c r="G51" s="46"/>
      <c r="H51" s="46" t="str">
        <f>'0422Master'!E15</f>
        <v>GANGA G</v>
      </c>
      <c r="I51" s="41"/>
      <c r="K51" s="763"/>
      <c r="L51" s="764"/>
      <c r="M51" s="764"/>
      <c r="N51" s="764"/>
      <c r="O51" s="45" t="str">
        <f>E51</f>
        <v>Vipin U.N</v>
      </c>
      <c r="P51" s="46"/>
      <c r="Q51" s="46"/>
      <c r="R51" s="46" t="str">
        <f>H51</f>
        <v>GANGA G</v>
      </c>
      <c r="S51" s="41"/>
    </row>
    <row r="52" spans="1:19">
      <c r="A52" s="43"/>
      <c r="B52" s="44"/>
      <c r="C52" s="44"/>
      <c r="D52" s="44"/>
      <c r="E52" s="484"/>
      <c r="F52" s="27"/>
      <c r="G52" s="27"/>
      <c r="H52" s="27"/>
      <c r="I52" s="41"/>
      <c r="K52" s="43"/>
      <c r="L52" s="44"/>
      <c r="M52" s="44"/>
      <c r="N52" s="44"/>
      <c r="O52" s="484"/>
      <c r="P52" s="27"/>
      <c r="Q52" s="27"/>
      <c r="R52" s="27"/>
      <c r="S52" s="41"/>
    </row>
    <row r="53" spans="1:19">
      <c r="A53" s="765" t="s">
        <v>122</v>
      </c>
      <c r="B53" s="762"/>
      <c r="C53" s="762"/>
      <c r="D53" s="762"/>
      <c r="E53" s="45" t="str">
        <f>'0422Master'!F8</f>
        <v>IT SUPPORTIVE SERVICES &amp; BHUBANESWAR</v>
      </c>
      <c r="F53" s="46"/>
      <c r="G53" s="46"/>
      <c r="H53" s="46"/>
      <c r="I53" s="41"/>
      <c r="K53" s="765" t="s">
        <v>122</v>
      </c>
      <c r="L53" s="762"/>
      <c r="M53" s="762"/>
      <c r="N53" s="762"/>
      <c r="O53" s="45" t="str">
        <f>E53</f>
        <v>IT SUPPORTIVE SERVICES &amp; BHUBANESWAR</v>
      </c>
      <c r="P53" s="46"/>
      <c r="Q53" s="46"/>
      <c r="R53" s="46"/>
      <c r="S53" s="41"/>
    </row>
    <row r="54" spans="1:19">
      <c r="A54" s="43"/>
      <c r="B54" s="44"/>
      <c r="C54" s="44"/>
      <c r="D54" s="44"/>
      <c r="E54" s="44"/>
      <c r="F54" s="27"/>
      <c r="G54" s="27"/>
      <c r="H54" s="27"/>
      <c r="I54" s="41"/>
      <c r="K54" s="43"/>
      <c r="L54" s="44"/>
      <c r="M54" s="44"/>
      <c r="N54" s="44"/>
      <c r="O54" s="44"/>
      <c r="P54" s="27"/>
      <c r="Q54" s="27"/>
      <c r="R54" s="27"/>
      <c r="S54" s="41"/>
    </row>
    <row r="55" spans="1:19">
      <c r="A55" s="765" t="s">
        <v>123</v>
      </c>
      <c r="B55" s="762"/>
      <c r="C55" s="762"/>
      <c r="D55" s="762"/>
      <c r="E55" s="47">
        <f>'0422Master'!D9</f>
        <v>44652</v>
      </c>
      <c r="F55" s="46"/>
      <c r="G55" s="46"/>
      <c r="H55" s="46"/>
      <c r="I55" s="41"/>
      <c r="K55" s="765" t="s">
        <v>123</v>
      </c>
      <c r="L55" s="762"/>
      <c r="M55" s="762"/>
      <c r="N55" s="762"/>
      <c r="O55" s="47">
        <f>E55</f>
        <v>44652</v>
      </c>
      <c r="P55" s="46"/>
      <c r="Q55" s="46"/>
      <c r="R55" s="46"/>
      <c r="S55" s="41"/>
    </row>
    <row r="56" spans="1:19">
      <c r="A56" s="43"/>
      <c r="B56" s="44"/>
      <c r="C56" s="44"/>
      <c r="D56" s="44"/>
      <c r="E56" s="44"/>
      <c r="F56" s="27"/>
      <c r="G56" s="27"/>
      <c r="H56" s="27"/>
      <c r="I56" s="41"/>
      <c r="K56" s="43"/>
      <c r="L56" s="44"/>
      <c r="M56" s="44"/>
      <c r="N56" s="44"/>
      <c r="O56" s="44"/>
      <c r="P56" s="27"/>
      <c r="Q56" s="27"/>
      <c r="R56" s="27"/>
      <c r="S56" s="41"/>
    </row>
    <row r="57" spans="1:19">
      <c r="A57" s="48">
        <v>1</v>
      </c>
      <c r="B57" s="762" t="s">
        <v>124</v>
      </c>
      <c r="C57" s="762"/>
      <c r="D57" s="762"/>
      <c r="E57" s="49">
        <f>'0422Master'!V15</f>
        <v>8</v>
      </c>
      <c r="F57" s="46"/>
      <c r="G57" s="46"/>
      <c r="H57" s="46"/>
      <c r="I57" s="41"/>
      <c r="K57" s="48">
        <v>1</v>
      </c>
      <c r="L57" s="762" t="s">
        <v>124</v>
      </c>
      <c r="M57" s="762"/>
      <c r="N57" s="762"/>
      <c r="O57" s="49">
        <f>E57</f>
        <v>8</v>
      </c>
      <c r="P57" s="46"/>
      <c r="Q57" s="46"/>
      <c r="R57" s="46"/>
      <c r="S57" s="41"/>
    </row>
    <row r="58" spans="1:19">
      <c r="A58" s="48"/>
      <c r="B58" s="44"/>
      <c r="C58" s="44"/>
      <c r="D58" s="44"/>
      <c r="E58" s="44"/>
      <c r="F58" s="27"/>
      <c r="G58" s="27"/>
      <c r="H58" s="27"/>
      <c r="I58" s="41"/>
      <c r="K58" s="48"/>
      <c r="L58" s="44"/>
      <c r="M58" s="44"/>
      <c r="N58" s="44"/>
      <c r="O58" s="44"/>
      <c r="P58" s="27"/>
      <c r="Q58" s="27"/>
      <c r="R58" s="27"/>
      <c r="S58" s="41"/>
    </row>
    <row r="59" spans="1:19" ht="15" customHeight="1">
      <c r="A59" s="48">
        <v>2</v>
      </c>
      <c r="B59" s="764" t="s">
        <v>125</v>
      </c>
      <c r="C59" s="764"/>
      <c r="D59" s="764"/>
      <c r="E59" s="44"/>
      <c r="F59" s="27"/>
      <c r="G59" s="27"/>
      <c r="H59" s="27"/>
      <c r="I59" s="41"/>
      <c r="K59" s="48">
        <v>2</v>
      </c>
      <c r="L59" s="764" t="s">
        <v>125</v>
      </c>
      <c r="M59" s="764"/>
      <c r="N59" s="764"/>
      <c r="O59" s="44"/>
      <c r="P59" s="27"/>
      <c r="Q59" s="27"/>
      <c r="R59" s="27"/>
      <c r="S59" s="41"/>
    </row>
    <row r="60" spans="1:19">
      <c r="A60" s="48"/>
      <c r="B60" s="764"/>
      <c r="C60" s="764"/>
      <c r="D60" s="764"/>
      <c r="E60" s="50" t="s">
        <v>109</v>
      </c>
      <c r="F60" s="46"/>
      <c r="G60" s="46"/>
      <c r="H60" s="46"/>
      <c r="I60" s="41"/>
      <c r="K60" s="48"/>
      <c r="L60" s="764"/>
      <c r="M60" s="764"/>
      <c r="N60" s="764"/>
      <c r="O60" s="50" t="s">
        <v>109</v>
      </c>
      <c r="P60" s="46"/>
      <c r="Q60" s="46"/>
      <c r="R60" s="46"/>
      <c r="S60" s="41"/>
    </row>
    <row r="61" spans="1:19">
      <c r="A61" s="48"/>
      <c r="B61" s="44"/>
      <c r="C61" s="44"/>
      <c r="D61" s="44"/>
      <c r="E61" s="44"/>
      <c r="F61" s="27"/>
      <c r="G61" s="27"/>
      <c r="H61" s="27"/>
      <c r="I61" s="41"/>
      <c r="K61" s="48"/>
      <c r="L61" s="44"/>
      <c r="M61" s="44"/>
      <c r="N61" s="44"/>
      <c r="O61" s="44"/>
      <c r="P61" s="27"/>
      <c r="Q61" s="27"/>
      <c r="R61" s="27"/>
      <c r="S61" s="41"/>
    </row>
    <row r="62" spans="1:19">
      <c r="A62" s="48">
        <v>3</v>
      </c>
      <c r="B62" s="762" t="s">
        <v>126</v>
      </c>
      <c r="C62" s="762"/>
      <c r="D62" s="762"/>
      <c r="E62" s="50" t="s">
        <v>109</v>
      </c>
      <c r="F62" s="46"/>
      <c r="G62" s="46"/>
      <c r="H62" s="46"/>
      <c r="I62" s="41"/>
      <c r="K62" s="48">
        <v>3</v>
      </c>
      <c r="L62" s="762" t="s">
        <v>126</v>
      </c>
      <c r="M62" s="762"/>
      <c r="N62" s="762"/>
      <c r="O62" s="45" t="str">
        <f>E62</f>
        <v>N/A</v>
      </c>
      <c r="P62" s="46"/>
      <c r="Q62" s="46"/>
      <c r="R62" s="46"/>
      <c r="S62" s="41"/>
    </row>
    <row r="63" spans="1:19">
      <c r="A63" s="48"/>
      <c r="B63" s="44"/>
      <c r="C63" s="44"/>
      <c r="D63" s="44"/>
      <c r="E63" s="44"/>
      <c r="F63" s="27"/>
      <c r="G63" s="27"/>
      <c r="H63" s="27"/>
      <c r="I63" s="41"/>
      <c r="K63" s="48"/>
      <c r="L63" s="44"/>
      <c r="M63" s="44"/>
      <c r="N63" s="44"/>
      <c r="O63" s="44"/>
      <c r="P63" s="27"/>
      <c r="Q63" s="27"/>
      <c r="R63" s="27"/>
      <c r="S63" s="41"/>
    </row>
    <row r="64" spans="1:19">
      <c r="A64" s="48">
        <v>4</v>
      </c>
      <c r="B64" s="762" t="s">
        <v>127</v>
      </c>
      <c r="C64" s="762"/>
      <c r="D64" s="762"/>
      <c r="E64" s="50" t="s">
        <v>128</v>
      </c>
      <c r="F64" s="46"/>
      <c r="G64" s="46"/>
      <c r="H64" s="46"/>
      <c r="I64" s="41"/>
      <c r="K64" s="48">
        <v>4</v>
      </c>
      <c r="L64" s="762" t="s">
        <v>127</v>
      </c>
      <c r="M64" s="762"/>
      <c r="N64" s="762"/>
      <c r="O64" s="50" t="s">
        <v>128</v>
      </c>
      <c r="P64" s="46"/>
      <c r="Q64" s="46"/>
      <c r="R64" s="46"/>
      <c r="S64" s="41"/>
    </row>
    <row r="65" spans="1:19">
      <c r="A65" s="48"/>
      <c r="B65" s="44"/>
      <c r="C65" s="44"/>
      <c r="D65" s="44"/>
      <c r="E65" s="44"/>
      <c r="F65" s="27"/>
      <c r="G65" s="27"/>
      <c r="H65" s="27"/>
      <c r="I65" s="41"/>
      <c r="K65" s="48"/>
      <c r="L65" s="44"/>
      <c r="M65" s="44"/>
      <c r="N65" s="44"/>
      <c r="O65" s="44"/>
      <c r="P65" s="27"/>
      <c r="Q65" s="27"/>
      <c r="R65" s="27"/>
      <c r="S65" s="41"/>
    </row>
    <row r="66" spans="1:19">
      <c r="A66" s="48">
        <v>5</v>
      </c>
      <c r="B66" s="762" t="s">
        <v>129</v>
      </c>
      <c r="C66" s="762"/>
      <c r="D66" s="762"/>
      <c r="E66" s="311">
        <f>'0422Master'!AL15</f>
        <v>31963.148583999999</v>
      </c>
      <c r="F66" s="27"/>
      <c r="G66" s="27"/>
      <c r="H66" s="27"/>
      <c r="I66" s="41"/>
      <c r="K66" s="48">
        <v>5</v>
      </c>
      <c r="L66" s="762" t="s">
        <v>129</v>
      </c>
      <c r="M66" s="762"/>
      <c r="N66" s="762"/>
      <c r="O66" s="311">
        <f>E66</f>
        <v>31963.148583999999</v>
      </c>
      <c r="P66" s="27"/>
      <c r="Q66" s="27"/>
      <c r="R66" s="27"/>
      <c r="S66" s="41"/>
    </row>
    <row r="67" spans="1:19">
      <c r="A67" s="48"/>
      <c r="B67" s="44"/>
      <c r="C67" s="44"/>
      <c r="D67" s="312" t="s">
        <v>130</v>
      </c>
      <c r="E67" s="312" t="s">
        <v>46</v>
      </c>
      <c r="F67" s="312" t="s">
        <v>48</v>
      </c>
      <c r="G67" s="313" t="s">
        <v>49</v>
      </c>
      <c r="H67" s="313" t="s">
        <v>131</v>
      </c>
      <c r="I67" s="308" t="s">
        <v>132</v>
      </c>
      <c r="K67" s="48"/>
      <c r="L67" s="44"/>
      <c r="M67" s="44"/>
      <c r="N67" s="312" t="s">
        <v>130</v>
      </c>
      <c r="O67" s="312" t="s">
        <v>46</v>
      </c>
      <c r="P67" s="312" t="s">
        <v>48</v>
      </c>
      <c r="Q67" s="313" t="s">
        <v>49</v>
      </c>
      <c r="R67" s="313" t="s">
        <v>131</v>
      </c>
      <c r="S67" s="308" t="s">
        <v>132</v>
      </c>
    </row>
    <row r="68" spans="1:19">
      <c r="A68" s="48">
        <v>6</v>
      </c>
      <c r="B68" s="392" t="s">
        <v>133</v>
      </c>
      <c r="C68" s="392"/>
      <c r="D68" s="314">
        <f>'0422Master'!AN15</f>
        <v>1800</v>
      </c>
      <c r="E68" s="314">
        <f>'0422Master'!AM15</f>
        <v>0</v>
      </c>
      <c r="F68" s="315">
        <f>'0422Master'!AO15</f>
        <v>200</v>
      </c>
      <c r="G68" s="314">
        <f>'0422Master'!AP15</f>
        <v>0</v>
      </c>
      <c r="H68" s="315">
        <f>'0422Master'!AQ15</f>
        <v>392</v>
      </c>
      <c r="I68" s="315">
        <f>D68+E68+F68+G68+H68</f>
        <v>2392</v>
      </c>
      <c r="K68" s="48">
        <v>6</v>
      </c>
      <c r="L68" s="392" t="s">
        <v>133</v>
      </c>
      <c r="M68" s="392"/>
      <c r="N68" s="314">
        <f t="shared" ref="N68:S68" si="1">D68</f>
        <v>1800</v>
      </c>
      <c r="O68" s="314">
        <f t="shared" si="1"/>
        <v>0</v>
      </c>
      <c r="P68" s="315">
        <f t="shared" si="1"/>
        <v>200</v>
      </c>
      <c r="Q68" s="314">
        <f t="shared" si="1"/>
        <v>0</v>
      </c>
      <c r="R68" s="315">
        <f t="shared" si="1"/>
        <v>392</v>
      </c>
      <c r="S68" s="315">
        <f t="shared" si="1"/>
        <v>2392</v>
      </c>
    </row>
    <row r="69" spans="1:19">
      <c r="A69" s="48"/>
      <c r="B69" s="44"/>
      <c r="C69" s="44"/>
      <c r="D69" s="44"/>
      <c r="E69" s="44"/>
      <c r="F69" s="27"/>
      <c r="G69" s="27"/>
      <c r="H69" s="27"/>
      <c r="I69" s="41"/>
      <c r="K69" s="48"/>
      <c r="L69" s="44"/>
      <c r="M69" s="44"/>
      <c r="N69" s="44"/>
      <c r="O69" s="44"/>
      <c r="P69" s="27"/>
      <c r="Q69" s="27"/>
      <c r="R69" s="27"/>
      <c r="S69" s="41"/>
    </row>
    <row r="70" spans="1:19">
      <c r="A70" s="48">
        <v>7</v>
      </c>
      <c r="B70" s="762" t="s">
        <v>136</v>
      </c>
      <c r="C70" s="762"/>
      <c r="D70" s="762"/>
      <c r="E70" s="51">
        <f>E66-I68</f>
        <v>29571.148583999999</v>
      </c>
      <c r="F70" s="46"/>
      <c r="G70" s="46"/>
      <c r="H70" s="46"/>
      <c r="I70" s="41"/>
      <c r="K70" s="48">
        <v>7</v>
      </c>
      <c r="L70" s="762" t="str">
        <f>B70</f>
        <v>Actual wages paid</v>
      </c>
      <c r="M70" s="762"/>
      <c r="N70" s="762"/>
      <c r="O70" s="51">
        <f>E70</f>
        <v>29571.148583999999</v>
      </c>
      <c r="P70" s="46"/>
      <c r="Q70" s="46"/>
      <c r="R70" s="46"/>
      <c r="S70" s="41"/>
    </row>
    <row r="71" spans="1:19">
      <c r="A71" s="40"/>
      <c r="B71" s="27"/>
      <c r="C71" s="27"/>
      <c r="D71" s="27"/>
      <c r="E71" s="27"/>
      <c r="F71" s="27"/>
      <c r="G71" s="27"/>
      <c r="H71" s="27"/>
      <c r="I71" s="41"/>
      <c r="K71" s="40"/>
      <c r="L71" s="27"/>
      <c r="M71" s="27"/>
      <c r="N71" s="27"/>
      <c r="O71" s="27"/>
      <c r="P71" s="27"/>
      <c r="Q71" s="27"/>
      <c r="R71" s="27"/>
      <c r="S71" s="41"/>
    </row>
    <row r="72" spans="1:19">
      <c r="A72" s="40"/>
      <c r="B72" s="27"/>
      <c r="C72" s="27"/>
      <c r="D72" s="27"/>
      <c r="E72" s="27"/>
      <c r="F72" s="27"/>
      <c r="G72" s="27"/>
      <c r="H72" s="27"/>
      <c r="I72" s="41"/>
      <c r="K72" s="40"/>
      <c r="L72" s="27"/>
      <c r="M72" s="27"/>
      <c r="N72" s="27"/>
      <c r="O72" s="27"/>
      <c r="P72" s="27"/>
      <c r="Q72" s="27"/>
      <c r="R72" s="27"/>
      <c r="S72" s="41"/>
    </row>
    <row r="73" spans="1:19">
      <c r="A73" s="40"/>
      <c r="B73" s="27"/>
      <c r="C73" s="27"/>
      <c r="D73" s="27"/>
      <c r="E73" s="27"/>
      <c r="F73" s="27"/>
      <c r="G73" s="27"/>
      <c r="H73" s="27"/>
      <c r="I73" s="41"/>
      <c r="K73" s="40"/>
      <c r="L73" s="27"/>
      <c r="M73" s="27"/>
      <c r="N73" s="27"/>
      <c r="O73" s="27"/>
      <c r="P73" s="27"/>
      <c r="Q73" s="27"/>
      <c r="R73" s="27"/>
      <c r="S73" s="41"/>
    </row>
    <row r="74" spans="1:19" ht="15.75" thickBot="1">
      <c r="A74" s="54"/>
      <c r="B74" s="52"/>
      <c r="C74" s="52"/>
      <c r="D74" s="52"/>
      <c r="E74" s="381" t="s">
        <v>135</v>
      </c>
      <c r="F74" s="308"/>
      <c r="G74" s="381"/>
      <c r="H74" s="381"/>
      <c r="I74" s="381"/>
      <c r="K74" s="54"/>
      <c r="L74" s="52"/>
      <c r="M74" s="52"/>
      <c r="N74" s="52"/>
      <c r="O74" s="381" t="s">
        <v>135</v>
      </c>
      <c r="P74" s="381"/>
      <c r="Q74" s="381"/>
      <c r="R74" s="381"/>
      <c r="S74" s="381"/>
    </row>
  </sheetData>
  <mergeCells count="44">
    <mergeCell ref="B70:D70"/>
    <mergeCell ref="L70:N70"/>
    <mergeCell ref="A50:D51"/>
    <mergeCell ref="K50:N51"/>
    <mergeCell ref="A53:D53"/>
    <mergeCell ref="K53:N53"/>
    <mergeCell ref="A55:D55"/>
    <mergeCell ref="K55:N55"/>
    <mergeCell ref="B57:D57"/>
    <mergeCell ref="L57:N57"/>
    <mergeCell ref="B64:D64"/>
    <mergeCell ref="L64:N64"/>
    <mergeCell ref="B66:D66"/>
    <mergeCell ref="L66:N66"/>
    <mergeCell ref="B59:D60"/>
    <mergeCell ref="L59:N60"/>
    <mergeCell ref="B62:D62"/>
    <mergeCell ref="L62:N62"/>
    <mergeCell ref="A44:I44"/>
    <mergeCell ref="K44:S44"/>
    <mergeCell ref="A45:I45"/>
    <mergeCell ref="K45:S45"/>
    <mergeCell ref="B16:D17"/>
    <mergeCell ref="L16:N17"/>
    <mergeCell ref="B27:D27"/>
    <mergeCell ref="L27:N27"/>
    <mergeCell ref="B23:D23"/>
    <mergeCell ref="L23:N23"/>
    <mergeCell ref="A1:I1"/>
    <mergeCell ref="K1:S1"/>
    <mergeCell ref="B19:D19"/>
    <mergeCell ref="L19:N19"/>
    <mergeCell ref="B21:D21"/>
    <mergeCell ref="L21:N21"/>
    <mergeCell ref="A7:D8"/>
    <mergeCell ref="K7:N8"/>
    <mergeCell ref="A10:D10"/>
    <mergeCell ref="K10:N10"/>
    <mergeCell ref="A2:I2"/>
    <mergeCell ref="K2:S2"/>
    <mergeCell ref="A12:D12"/>
    <mergeCell ref="K12:N12"/>
    <mergeCell ref="B14:D14"/>
    <mergeCell ref="L14:N14"/>
  </mergeCells>
  <pageMargins left="0.47244094488188981" right="0.47244094488188981" top="0.74803149606299213" bottom="0.74803149606299213" header="0.31496062992125984" footer="0.31496062992125984"/>
  <pageSetup paperSize="9" scale="75" orientation="landscape"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48"/>
  <sheetViews>
    <sheetView topLeftCell="B1" workbookViewId="0">
      <selection activeCell="B10" sqref="B10:H11"/>
    </sheetView>
  </sheetViews>
  <sheetFormatPr defaultRowHeight="15"/>
  <cols>
    <col min="2" max="2" width="26.5703125" bestFit="1" customWidth="1"/>
    <col min="5" max="5" width="16.85546875" bestFit="1" customWidth="1"/>
    <col min="15" max="15" width="10.5703125" customWidth="1"/>
    <col min="16" max="16" width="17.140625" customWidth="1"/>
    <col min="17" max="17" width="18.42578125" bestFit="1" customWidth="1"/>
  </cols>
  <sheetData>
    <row r="1" spans="1:18" ht="18.75">
      <c r="A1" s="771" t="s">
        <v>193</v>
      </c>
      <c r="B1" s="771"/>
      <c r="C1" s="771"/>
      <c r="D1" s="771"/>
      <c r="E1" s="771"/>
      <c r="F1" s="771"/>
      <c r="G1" s="771"/>
      <c r="H1" s="771"/>
      <c r="I1" s="771"/>
      <c r="J1" s="771"/>
      <c r="K1" s="771"/>
      <c r="L1" s="771"/>
      <c r="M1" s="771"/>
      <c r="N1" s="771"/>
      <c r="O1" s="771"/>
      <c r="P1" s="771"/>
      <c r="Q1" s="400"/>
    </row>
    <row r="2" spans="1:18">
      <c r="A2" s="388"/>
      <c r="B2" s="38"/>
      <c r="E2" s="388"/>
      <c r="F2" s="388"/>
      <c r="G2" s="388"/>
    </row>
    <row r="3" spans="1:18" ht="15.75">
      <c r="A3" s="772" t="s">
        <v>194</v>
      </c>
      <c r="B3" s="772"/>
      <c r="C3" s="772"/>
      <c r="D3" s="772"/>
      <c r="E3" s="772"/>
      <c r="F3" s="772"/>
      <c r="G3" s="772"/>
      <c r="H3" s="772"/>
      <c r="I3" s="772"/>
      <c r="J3" s="772"/>
      <c r="K3" s="772"/>
      <c r="L3" s="772"/>
      <c r="M3" s="772"/>
      <c r="N3" s="772"/>
      <c r="O3" s="772"/>
      <c r="P3" s="772"/>
      <c r="Q3" s="401"/>
    </row>
    <row r="4" spans="1:18">
      <c r="A4" s="388"/>
      <c r="B4" s="38"/>
      <c r="E4" s="388"/>
      <c r="F4" s="388"/>
      <c r="G4" s="388"/>
      <c r="M4" s="653">
        <f>'0422Master'!D9</f>
        <v>44652</v>
      </c>
    </row>
    <row r="5" spans="1:18" ht="15.75">
      <c r="A5" s="129" t="s">
        <v>195</v>
      </c>
      <c r="B5" s="130"/>
      <c r="D5" t="str">
        <f>'0422Master'!F5</f>
        <v>Burgeon IT Services Pvt.Ltd.</v>
      </c>
      <c r="E5" s="131"/>
      <c r="F5" s="131"/>
      <c r="G5" s="131"/>
      <c r="H5" s="131"/>
      <c r="I5" s="131"/>
      <c r="J5" s="131"/>
      <c r="K5" s="129" t="s">
        <v>196</v>
      </c>
      <c r="L5" s="131"/>
      <c r="M5" s="131" t="s">
        <v>473</v>
      </c>
      <c r="N5" s="131"/>
      <c r="O5" s="131"/>
      <c r="P5" s="131"/>
      <c r="Q5" s="131"/>
      <c r="R5" s="131"/>
    </row>
    <row r="6" spans="1:18">
      <c r="A6" s="132"/>
      <c r="B6" s="133"/>
      <c r="C6" s="134"/>
      <c r="D6" s="134"/>
      <c r="E6" s="132"/>
      <c r="F6" s="132"/>
      <c r="G6" s="132"/>
      <c r="H6" s="134"/>
      <c r="I6" s="134"/>
      <c r="J6" s="134"/>
      <c r="K6" s="134"/>
      <c r="L6" s="134"/>
      <c r="M6" s="134"/>
      <c r="N6" s="134"/>
      <c r="O6" s="134"/>
      <c r="P6" s="134"/>
      <c r="Q6" s="134"/>
      <c r="R6" s="134"/>
    </row>
    <row r="7" spans="1:18">
      <c r="A7" s="773" t="s">
        <v>197</v>
      </c>
      <c r="B7" s="775" t="s">
        <v>198</v>
      </c>
      <c r="C7" s="775" t="s">
        <v>199</v>
      </c>
      <c r="D7" s="776" t="s">
        <v>200</v>
      </c>
      <c r="E7" s="776" t="s">
        <v>201</v>
      </c>
      <c r="F7" s="776" t="s">
        <v>468</v>
      </c>
      <c r="G7" s="777" t="s">
        <v>202</v>
      </c>
      <c r="H7" s="776" t="s">
        <v>203</v>
      </c>
      <c r="I7" s="779" t="s">
        <v>204</v>
      </c>
      <c r="J7" s="779"/>
      <c r="K7" s="779"/>
      <c r="L7" s="780" t="s">
        <v>205</v>
      </c>
      <c r="M7" s="780" t="s">
        <v>206</v>
      </c>
      <c r="N7" s="769" t="s">
        <v>207</v>
      </c>
      <c r="O7" s="769" t="s">
        <v>208</v>
      </c>
      <c r="P7" s="769" t="s">
        <v>209</v>
      </c>
      <c r="Q7" s="461"/>
      <c r="R7" s="135"/>
    </row>
    <row r="8" spans="1:18" ht="96">
      <c r="A8" s="774"/>
      <c r="B8" s="775"/>
      <c r="C8" s="775"/>
      <c r="D8" s="776"/>
      <c r="E8" s="776"/>
      <c r="F8" s="776"/>
      <c r="G8" s="778"/>
      <c r="H8" s="776"/>
      <c r="I8" s="136" t="s">
        <v>210</v>
      </c>
      <c r="J8" s="136" t="s">
        <v>211</v>
      </c>
      <c r="K8" s="136" t="s">
        <v>212</v>
      </c>
      <c r="L8" s="780"/>
      <c r="M8" s="780"/>
      <c r="N8" s="770"/>
      <c r="O8" s="770"/>
      <c r="P8" s="770"/>
      <c r="Q8" s="137" t="s">
        <v>213</v>
      </c>
      <c r="R8" s="138"/>
    </row>
    <row r="9" spans="1:18">
      <c r="A9" s="462">
        <v>1</v>
      </c>
      <c r="B9" s="463">
        <v>2</v>
      </c>
      <c r="C9" s="462">
        <v>3</v>
      </c>
      <c r="D9" s="462">
        <v>4</v>
      </c>
      <c r="E9" s="462">
        <v>5</v>
      </c>
      <c r="F9" s="462">
        <v>6</v>
      </c>
      <c r="G9" s="462"/>
      <c r="H9" s="462">
        <v>8</v>
      </c>
      <c r="I9" s="462">
        <v>9</v>
      </c>
      <c r="J9" s="462">
        <v>10</v>
      </c>
      <c r="K9" s="462">
        <v>11</v>
      </c>
      <c r="L9" s="462">
        <v>12</v>
      </c>
      <c r="M9" s="462">
        <v>13</v>
      </c>
      <c r="N9" s="462">
        <v>14</v>
      </c>
      <c r="O9" s="462">
        <v>15</v>
      </c>
      <c r="P9" s="462">
        <v>16</v>
      </c>
      <c r="Q9" s="139"/>
      <c r="R9" s="388"/>
    </row>
    <row r="10" spans="1:18" ht="50.25" customHeight="1">
      <c r="A10" s="464">
        <v>1</v>
      </c>
      <c r="B10" s="465" t="str">
        <f>'0422Master'!B14</f>
        <v>KRANTHI KUMAR VEDULLA</v>
      </c>
      <c r="C10" s="466" t="str">
        <f>'0422Master'!E14</f>
        <v>Kamini Venkatarami Reddy</v>
      </c>
      <c r="D10" s="464" t="s">
        <v>214</v>
      </c>
      <c r="E10" s="467" t="str">
        <f>'0422Master'!F14</f>
        <v>Senior Network Engineer</v>
      </c>
      <c r="F10" s="469">
        <f>'0422Master'!V14</f>
        <v>30</v>
      </c>
      <c r="G10" s="469">
        <f>'0422Master'!AL14</f>
        <v>93275.769320000007</v>
      </c>
      <c r="H10" s="469">
        <f>'0422Master'!AH14</f>
        <v>1554.6089999999999</v>
      </c>
      <c r="I10" s="464" t="s">
        <v>109</v>
      </c>
      <c r="J10" s="464" t="s">
        <v>109</v>
      </c>
      <c r="K10" s="464" t="s">
        <v>109</v>
      </c>
      <c r="L10" s="464" t="s">
        <v>109</v>
      </c>
      <c r="M10" s="469">
        <f>'0422Master'!AH14</f>
        <v>1554.6089999999999</v>
      </c>
      <c r="N10" s="469">
        <f>'0422Master'!AH14</f>
        <v>1554.6089999999999</v>
      </c>
      <c r="O10" s="622">
        <f>'0422Master'!AT14</f>
        <v>44686</v>
      </c>
      <c r="P10" s="465" t="str">
        <f>'0422Master'!AU14</f>
        <v>ICICI</v>
      </c>
      <c r="Q10" s="623" t="str">
        <f>'0422Master'!AV14</f>
        <v>A/C'403901506350</v>
      </c>
      <c r="R10" s="38"/>
    </row>
    <row r="11" spans="1:18" ht="30">
      <c r="A11" s="464">
        <v>2</v>
      </c>
      <c r="B11" s="465" t="str">
        <f>'0422Master'!B15</f>
        <v>Vipin U.N</v>
      </c>
      <c r="C11" s="466" t="str">
        <f>'0422Master'!E15</f>
        <v>GANGA G</v>
      </c>
      <c r="D11" s="464" t="s">
        <v>214</v>
      </c>
      <c r="E11" s="467" t="str">
        <f>'0422Master'!F15</f>
        <v>Senior IT Endpoint Engineer</v>
      </c>
      <c r="F11" s="469">
        <f>'0422Master'!V15</f>
        <v>8</v>
      </c>
      <c r="G11" s="469">
        <f>'0422Master'!AL15</f>
        <v>31963.148583999999</v>
      </c>
      <c r="H11" s="469">
        <f>'0422Master'!AH15</f>
        <v>1554.6089999999999</v>
      </c>
      <c r="I11" s="464" t="s">
        <v>109</v>
      </c>
      <c r="J11" s="464" t="s">
        <v>109</v>
      </c>
      <c r="K11" s="464" t="s">
        <v>109</v>
      </c>
      <c r="L11" s="464" t="s">
        <v>109</v>
      </c>
      <c r="M11" s="469">
        <f>'0422Master'!AH15</f>
        <v>1554.6089999999999</v>
      </c>
      <c r="N11" s="469">
        <f>'0422Master'!AH15</f>
        <v>1554.6089999999999</v>
      </c>
      <c r="O11" s="622">
        <f>'0422Master'!AT15</f>
        <v>44686</v>
      </c>
      <c r="P11" s="465" t="str">
        <f>'0422Master'!AU15</f>
        <v>ICICI</v>
      </c>
      <c r="Q11" s="471" t="str">
        <f>'0422Master'!AV15</f>
        <v>A/C025201526367</v>
      </c>
      <c r="R11" s="38"/>
    </row>
    <row r="12" spans="1:18" ht="15.75">
      <c r="A12" s="464">
        <v>4</v>
      </c>
      <c r="B12" s="465"/>
      <c r="C12" s="466"/>
      <c r="D12" s="464"/>
      <c r="E12" s="467"/>
      <c r="F12" s="468"/>
      <c r="G12" s="468"/>
      <c r="H12" s="469"/>
      <c r="I12" s="464"/>
      <c r="J12" s="464"/>
      <c r="K12" s="464"/>
      <c r="L12" s="464"/>
      <c r="M12" s="469"/>
      <c r="N12" s="469"/>
      <c r="O12" s="464"/>
      <c r="P12" s="470"/>
      <c r="Q12" s="471"/>
      <c r="R12" s="38"/>
    </row>
    <row r="13" spans="1:18" ht="15.75">
      <c r="A13" s="464">
        <v>5</v>
      </c>
      <c r="B13" s="465"/>
      <c r="C13" s="466"/>
      <c r="D13" s="464"/>
      <c r="E13" s="467"/>
      <c r="F13" s="468"/>
      <c r="G13" s="468"/>
      <c r="H13" s="469"/>
      <c r="I13" s="464"/>
      <c r="J13" s="464"/>
      <c r="K13" s="464"/>
      <c r="L13" s="464"/>
      <c r="M13" s="469"/>
      <c r="N13" s="469"/>
      <c r="O13" s="464"/>
      <c r="P13" s="470"/>
      <c r="Q13" s="471"/>
      <c r="R13" s="38"/>
    </row>
    <row r="14" spans="1:18" ht="15.75">
      <c r="A14" s="464">
        <v>6</v>
      </c>
      <c r="B14" s="465"/>
      <c r="C14" s="466"/>
      <c r="D14" s="464"/>
      <c r="E14" s="467"/>
      <c r="F14" s="468"/>
      <c r="G14" s="468"/>
      <c r="H14" s="469"/>
      <c r="I14" s="464"/>
      <c r="J14" s="464"/>
      <c r="K14" s="464"/>
      <c r="L14" s="464"/>
      <c r="M14" s="469"/>
      <c r="N14" s="469"/>
      <c r="O14" s="464"/>
      <c r="P14" s="470"/>
      <c r="Q14" s="471"/>
      <c r="R14" s="38"/>
    </row>
    <row r="15" spans="1:18" ht="15.75">
      <c r="A15" s="464">
        <v>7</v>
      </c>
      <c r="B15" s="465"/>
      <c r="C15" s="466"/>
      <c r="D15" s="464"/>
      <c r="E15" s="467"/>
      <c r="F15" s="468"/>
      <c r="G15" s="468"/>
      <c r="H15" s="469"/>
      <c r="I15" s="464"/>
      <c r="J15" s="464"/>
      <c r="K15" s="464"/>
      <c r="L15" s="464"/>
      <c r="M15" s="469"/>
      <c r="N15" s="469"/>
      <c r="O15" s="464"/>
      <c r="P15" s="470"/>
      <c r="Q15" s="471"/>
      <c r="R15" s="38"/>
    </row>
    <row r="16" spans="1:18" ht="15.75">
      <c r="A16" s="464">
        <v>8</v>
      </c>
      <c r="B16" s="465"/>
      <c r="C16" s="466"/>
      <c r="D16" s="464"/>
      <c r="E16" s="467"/>
      <c r="F16" s="468"/>
      <c r="G16" s="468"/>
      <c r="H16" s="469"/>
      <c r="I16" s="464"/>
      <c r="J16" s="464"/>
      <c r="K16" s="464"/>
      <c r="L16" s="464"/>
      <c r="M16" s="469"/>
      <c r="N16" s="469"/>
      <c r="O16" s="464"/>
      <c r="P16" s="470"/>
      <c r="Q16" s="471"/>
      <c r="R16" s="38"/>
    </row>
    <row r="17" spans="1:18" ht="15.75">
      <c r="A17" s="464">
        <v>9</v>
      </c>
      <c r="B17" s="465"/>
      <c r="C17" s="466"/>
      <c r="D17" s="464"/>
      <c r="E17" s="467"/>
      <c r="F17" s="468"/>
      <c r="G17" s="468"/>
      <c r="H17" s="469"/>
      <c r="I17" s="464"/>
      <c r="J17" s="464"/>
      <c r="K17" s="464"/>
      <c r="L17" s="464"/>
      <c r="M17" s="469"/>
      <c r="N17" s="469"/>
      <c r="O17" s="464"/>
      <c r="P17" s="470"/>
      <c r="Q17" s="471"/>
      <c r="R17" s="38"/>
    </row>
    <row r="18" spans="1:18" ht="15.75">
      <c r="A18" s="464">
        <v>10</v>
      </c>
      <c r="B18" s="465"/>
      <c r="C18" s="466"/>
      <c r="D18" s="464"/>
      <c r="E18" s="467"/>
      <c r="F18" s="468"/>
      <c r="G18" s="468"/>
      <c r="H18" s="469"/>
      <c r="I18" s="464"/>
      <c r="J18" s="464"/>
      <c r="K18" s="464"/>
      <c r="L18" s="464"/>
      <c r="M18" s="469"/>
      <c r="N18" s="469"/>
      <c r="O18" s="464"/>
      <c r="P18" s="470"/>
      <c r="Q18" s="471"/>
      <c r="R18" s="38"/>
    </row>
    <row r="19" spans="1:18" ht="15.75">
      <c r="A19" s="464">
        <v>11</v>
      </c>
      <c r="B19" s="465"/>
      <c r="C19" s="466"/>
      <c r="D19" s="464"/>
      <c r="E19" s="467"/>
      <c r="F19" s="468"/>
      <c r="G19" s="468"/>
      <c r="H19" s="469"/>
      <c r="I19" s="464"/>
      <c r="J19" s="464"/>
      <c r="K19" s="464"/>
      <c r="L19" s="464"/>
      <c r="M19" s="469"/>
      <c r="N19" s="469"/>
      <c r="O19" s="464"/>
      <c r="P19" s="470"/>
      <c r="Q19" s="471"/>
      <c r="R19" s="38"/>
    </row>
    <row r="20" spans="1:18" ht="15.75">
      <c r="A20" s="464">
        <v>12</v>
      </c>
      <c r="B20" s="465"/>
      <c r="C20" s="466"/>
      <c r="D20" s="464"/>
      <c r="E20" s="467"/>
      <c r="F20" s="468"/>
      <c r="G20" s="468"/>
      <c r="H20" s="469"/>
      <c r="I20" s="464"/>
      <c r="J20" s="464"/>
      <c r="K20" s="464"/>
      <c r="L20" s="464"/>
      <c r="M20" s="469"/>
      <c r="N20" s="469"/>
      <c r="O20" s="464"/>
      <c r="P20" s="470"/>
      <c r="Q20" s="471"/>
      <c r="R20" s="38"/>
    </row>
    <row r="21" spans="1:18" ht="15.75">
      <c r="A21" s="464">
        <v>13</v>
      </c>
      <c r="B21" s="465"/>
      <c r="C21" s="466"/>
      <c r="D21" s="464"/>
      <c r="E21" s="467"/>
      <c r="F21" s="468"/>
      <c r="G21" s="468"/>
      <c r="H21" s="469"/>
      <c r="I21" s="464"/>
      <c r="J21" s="464"/>
      <c r="K21" s="464"/>
      <c r="L21" s="464"/>
      <c r="M21" s="469"/>
      <c r="N21" s="469"/>
      <c r="O21" s="464"/>
      <c r="P21" s="470"/>
      <c r="Q21" s="471"/>
      <c r="R21" s="38"/>
    </row>
    <row r="22" spans="1:18" ht="15.75">
      <c r="A22" s="464">
        <v>14</v>
      </c>
      <c r="B22" s="465"/>
      <c r="C22" s="466"/>
      <c r="D22" s="464"/>
      <c r="E22" s="467"/>
      <c r="F22" s="468"/>
      <c r="G22" s="468"/>
      <c r="H22" s="469"/>
      <c r="I22" s="464"/>
      <c r="J22" s="464"/>
      <c r="K22" s="464"/>
      <c r="L22" s="464"/>
      <c r="M22" s="469"/>
      <c r="N22" s="469"/>
      <c r="O22" s="464"/>
      <c r="P22" s="470"/>
      <c r="Q22" s="471"/>
      <c r="R22" s="38"/>
    </row>
    <row r="23" spans="1:18" ht="15.75">
      <c r="A23" s="464">
        <v>15</v>
      </c>
      <c r="B23" s="465"/>
      <c r="C23" s="466"/>
      <c r="D23" s="464"/>
      <c r="E23" s="467"/>
      <c r="F23" s="468"/>
      <c r="G23" s="468"/>
      <c r="H23" s="469"/>
      <c r="I23" s="464"/>
      <c r="J23" s="464"/>
      <c r="K23" s="464"/>
      <c r="L23" s="464"/>
      <c r="M23" s="469"/>
      <c r="N23" s="469"/>
      <c r="O23" s="464"/>
      <c r="P23" s="470"/>
      <c r="Q23" s="471"/>
      <c r="R23" s="38"/>
    </row>
    <row r="24" spans="1:18" ht="15.75">
      <c r="A24" s="464">
        <v>16</v>
      </c>
      <c r="B24" s="465"/>
      <c r="C24" s="466"/>
      <c r="D24" s="464"/>
      <c r="E24" s="467"/>
      <c r="F24" s="468"/>
      <c r="G24" s="468"/>
      <c r="H24" s="469"/>
      <c r="I24" s="464"/>
      <c r="J24" s="464"/>
      <c r="K24" s="464"/>
      <c r="L24" s="464"/>
      <c r="M24" s="469"/>
      <c r="N24" s="469"/>
      <c r="O24" s="464"/>
      <c r="P24" s="470"/>
      <c r="Q24" s="471"/>
      <c r="R24" s="38"/>
    </row>
    <row r="25" spans="1:18" ht="15.75">
      <c r="A25" s="464">
        <v>17</v>
      </c>
      <c r="B25" s="465"/>
      <c r="C25" s="466"/>
      <c r="D25" s="464"/>
      <c r="E25" s="467"/>
      <c r="F25" s="468"/>
      <c r="G25" s="468"/>
      <c r="H25" s="469"/>
      <c r="I25" s="464"/>
      <c r="J25" s="464"/>
      <c r="K25" s="464"/>
      <c r="L25" s="464"/>
      <c r="M25" s="469"/>
      <c r="N25" s="469"/>
      <c r="O25" s="464"/>
      <c r="P25" s="470"/>
      <c r="Q25" s="471"/>
      <c r="R25" s="38"/>
    </row>
    <row r="26" spans="1:18" ht="15.75">
      <c r="A26" s="464">
        <v>18</v>
      </c>
      <c r="B26" s="465"/>
      <c r="C26" s="466"/>
      <c r="D26" s="464"/>
      <c r="E26" s="467"/>
      <c r="F26" s="468"/>
      <c r="G26" s="468"/>
      <c r="H26" s="469"/>
      <c r="I26" s="464"/>
      <c r="J26" s="464"/>
      <c r="K26" s="464"/>
      <c r="L26" s="464"/>
      <c r="M26" s="469"/>
      <c r="N26" s="469"/>
      <c r="O26" s="464"/>
      <c r="P26" s="470"/>
      <c r="Q26" s="471"/>
      <c r="R26" s="38"/>
    </row>
    <row r="27" spans="1:18" ht="15.75">
      <c r="A27" s="464">
        <v>19</v>
      </c>
      <c r="B27" s="465"/>
      <c r="C27" s="466"/>
      <c r="D27" s="464"/>
      <c r="E27" s="467"/>
      <c r="F27" s="468"/>
      <c r="G27" s="468"/>
      <c r="H27" s="469"/>
      <c r="I27" s="464"/>
      <c r="J27" s="464"/>
      <c r="K27" s="464"/>
      <c r="L27" s="464"/>
      <c r="M27" s="469"/>
      <c r="N27" s="469"/>
      <c r="O27" s="464"/>
      <c r="P27" s="470"/>
      <c r="Q27" s="471"/>
      <c r="R27" s="38"/>
    </row>
    <row r="28" spans="1:18" ht="15.75">
      <c r="A28" s="464">
        <v>20</v>
      </c>
      <c r="B28" s="465"/>
      <c r="C28" s="466"/>
      <c r="D28" s="464"/>
      <c r="E28" s="467"/>
      <c r="F28" s="468"/>
      <c r="G28" s="468"/>
      <c r="H28" s="469"/>
      <c r="I28" s="464"/>
      <c r="J28" s="464"/>
      <c r="K28" s="464"/>
      <c r="L28" s="464"/>
      <c r="M28" s="469"/>
      <c r="N28" s="469"/>
      <c r="O28" s="464"/>
      <c r="P28" s="470"/>
      <c r="Q28" s="471"/>
      <c r="R28" s="38"/>
    </row>
    <row r="29" spans="1:18">
      <c r="A29" s="388"/>
      <c r="B29" s="38"/>
      <c r="E29" s="388"/>
      <c r="F29" s="388"/>
      <c r="G29" s="388"/>
    </row>
    <row r="30" spans="1:18">
      <c r="A30" s="388"/>
      <c r="B30" s="38"/>
      <c r="E30" s="388"/>
      <c r="F30" s="388"/>
      <c r="G30" s="388"/>
    </row>
    <row r="31" spans="1:18">
      <c r="A31" s="388"/>
      <c r="B31" s="38"/>
      <c r="E31" s="388"/>
      <c r="F31" s="388"/>
      <c r="G31" s="388"/>
    </row>
    <row r="32" spans="1:18">
      <c r="A32" s="388"/>
      <c r="B32" s="38"/>
      <c r="E32" s="388"/>
      <c r="F32" s="388"/>
      <c r="G32" s="388"/>
      <c r="L32" t="s">
        <v>63</v>
      </c>
    </row>
    <row r="33" spans="1:7">
      <c r="A33" s="388"/>
      <c r="B33" s="38"/>
      <c r="E33" s="388"/>
      <c r="F33" s="388"/>
      <c r="G33" s="388"/>
    </row>
    <row r="34" spans="1:7">
      <c r="A34" s="388"/>
      <c r="B34" s="38"/>
      <c r="E34" s="388"/>
      <c r="F34" s="388"/>
      <c r="G34" s="388"/>
    </row>
    <row r="35" spans="1:7">
      <c r="A35" s="388"/>
      <c r="B35" s="38"/>
      <c r="E35" s="388"/>
      <c r="F35" s="388"/>
      <c r="G35" s="388"/>
    </row>
    <row r="36" spans="1:7">
      <c r="A36" s="388"/>
      <c r="B36" s="38"/>
      <c r="E36" s="388"/>
      <c r="F36" s="388"/>
      <c r="G36" s="388"/>
    </row>
    <row r="37" spans="1:7">
      <c r="A37" s="388"/>
      <c r="B37" s="38"/>
      <c r="E37" s="388"/>
      <c r="F37" s="388"/>
      <c r="G37" s="388"/>
    </row>
    <row r="38" spans="1:7">
      <c r="A38" s="388"/>
      <c r="B38" s="38"/>
      <c r="E38" s="388"/>
      <c r="F38" s="388"/>
      <c r="G38" s="388"/>
    </row>
    <row r="39" spans="1:7">
      <c r="A39" s="388"/>
      <c r="B39" s="38"/>
      <c r="E39" s="388"/>
      <c r="F39" s="388"/>
      <c r="G39" s="388"/>
    </row>
    <row r="40" spans="1:7">
      <c r="A40" s="388"/>
      <c r="B40" s="38"/>
      <c r="E40" s="388"/>
      <c r="F40" s="388"/>
      <c r="G40" s="388"/>
    </row>
    <row r="41" spans="1:7">
      <c r="A41" s="388"/>
      <c r="B41" s="38"/>
      <c r="E41" s="388"/>
      <c r="F41" s="388"/>
      <c r="G41" s="388"/>
    </row>
    <row r="42" spans="1:7">
      <c r="A42" s="388"/>
      <c r="B42" s="38"/>
      <c r="E42" s="388"/>
      <c r="F42" s="388"/>
      <c r="G42" s="388"/>
    </row>
    <row r="43" spans="1:7">
      <c r="A43" s="388"/>
      <c r="B43" s="38"/>
      <c r="E43" s="388"/>
      <c r="F43" s="388"/>
      <c r="G43" s="388"/>
    </row>
    <row r="44" spans="1:7">
      <c r="A44" s="388"/>
      <c r="B44" s="38"/>
      <c r="E44" s="388"/>
      <c r="F44" s="388"/>
      <c r="G44" s="388"/>
    </row>
    <row r="45" spans="1:7">
      <c r="A45" s="388"/>
      <c r="B45" s="38"/>
      <c r="E45" s="388"/>
      <c r="F45" s="388"/>
      <c r="G45" s="388"/>
    </row>
    <row r="46" spans="1:7">
      <c r="A46" s="388"/>
      <c r="B46" s="38"/>
      <c r="E46" s="388"/>
      <c r="F46" s="388"/>
      <c r="G46" s="388"/>
    </row>
    <row r="47" spans="1:7">
      <c r="A47" s="388"/>
      <c r="B47" s="38"/>
      <c r="E47" s="388"/>
      <c r="F47" s="388"/>
      <c r="G47" s="388"/>
    </row>
    <row r="48" spans="1:7">
      <c r="A48" s="388"/>
      <c r="B48" s="38"/>
      <c r="E48" s="388"/>
      <c r="F48" s="388"/>
      <c r="G48" s="388"/>
    </row>
  </sheetData>
  <mergeCells count="16">
    <mergeCell ref="P7:P8"/>
    <mergeCell ref="A1:P1"/>
    <mergeCell ref="A3:P3"/>
    <mergeCell ref="A7:A8"/>
    <mergeCell ref="B7:B8"/>
    <mergeCell ref="C7:C8"/>
    <mergeCell ref="D7:D8"/>
    <mergeCell ref="E7:E8"/>
    <mergeCell ref="F7:F8"/>
    <mergeCell ref="G7:G8"/>
    <mergeCell ref="H7:H8"/>
    <mergeCell ref="I7:K7"/>
    <mergeCell ref="L7:L8"/>
    <mergeCell ref="M7:M8"/>
    <mergeCell ref="N7:N8"/>
    <mergeCell ref="O7:O8"/>
  </mergeCells>
  <pageMargins left="0.7" right="0.7" top="0.75" bottom="0.75" header="0.3" footer="0.3"/>
  <pageSetup scale="75" orientation="landscape"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37"/>
  <sheetViews>
    <sheetView workbookViewId="0">
      <selection activeCell="D19" sqref="D19"/>
    </sheetView>
  </sheetViews>
  <sheetFormatPr defaultRowHeight="15"/>
  <cols>
    <col min="1" max="1" width="5.28515625" customWidth="1"/>
    <col min="3" max="3" width="12.5703125" customWidth="1"/>
    <col min="4" max="4" width="44.28515625" customWidth="1"/>
    <col min="13" max="13" width="16.7109375" customWidth="1"/>
  </cols>
  <sheetData>
    <row r="1" spans="1:13">
      <c r="A1" s="783" t="s">
        <v>137</v>
      </c>
      <c r="B1" s="783"/>
      <c r="C1" s="783"/>
      <c r="D1" s="783"/>
      <c r="E1" s="783"/>
      <c r="F1" s="783"/>
      <c r="G1" s="783"/>
      <c r="H1" s="783"/>
      <c r="I1" s="783"/>
      <c r="J1" s="783"/>
      <c r="K1" s="783"/>
      <c r="L1" s="783"/>
      <c r="M1" s="783"/>
    </row>
    <row r="2" spans="1:13">
      <c r="A2" s="783"/>
      <c r="B2" s="783"/>
      <c r="C2" s="783"/>
      <c r="D2" s="783"/>
      <c r="E2" s="783"/>
      <c r="F2" s="783"/>
      <c r="G2" s="783"/>
      <c r="H2" s="783"/>
      <c r="I2" s="783"/>
      <c r="J2" s="783"/>
      <c r="K2" s="783"/>
      <c r="L2" s="783"/>
      <c r="M2" s="783"/>
    </row>
    <row r="3" spans="1:13">
      <c r="A3" s="784" t="s">
        <v>138</v>
      </c>
      <c r="B3" s="784"/>
      <c r="C3" s="784"/>
      <c r="D3" s="784"/>
      <c r="E3" s="784"/>
      <c r="F3" s="784"/>
      <c r="G3" s="784"/>
      <c r="H3" s="784"/>
      <c r="I3" s="784"/>
      <c r="J3" s="784"/>
      <c r="K3" s="784"/>
      <c r="L3" s="784"/>
      <c r="M3" s="784"/>
    </row>
    <row r="4" spans="1:13" ht="15" customHeight="1">
      <c r="A4" s="58" t="s">
        <v>139</v>
      </c>
      <c r="B4" s="59"/>
      <c r="C4" s="59"/>
      <c r="D4" s="60" t="str">
        <f>'0422Master'!F5</f>
        <v>Burgeon IT Services Pvt.Ltd.</v>
      </c>
      <c r="E4" s="81" t="s">
        <v>140</v>
      </c>
      <c r="F4" s="82"/>
      <c r="G4" s="82"/>
      <c r="H4" s="82"/>
      <c r="I4" s="82"/>
      <c r="J4" s="82"/>
      <c r="K4" s="82"/>
      <c r="L4" s="82"/>
      <c r="M4" s="80"/>
    </row>
    <row r="5" spans="1:13">
      <c r="A5" s="61"/>
      <c r="B5" s="62" t="str">
        <f>'0422Master'!F6</f>
        <v>Siri Mansion LIGB 436 Dr.A S Rao Nagar,Hyderabad</v>
      </c>
      <c r="C5" s="62"/>
      <c r="D5" s="63"/>
      <c r="E5" s="449"/>
      <c r="F5" s="79"/>
      <c r="G5" s="79"/>
      <c r="H5" s="79"/>
      <c r="I5" s="79"/>
      <c r="J5" s="79"/>
      <c r="K5" s="79"/>
      <c r="L5" s="79"/>
      <c r="M5" s="80"/>
    </row>
    <row r="6" spans="1:13">
      <c r="A6" s="64"/>
      <c r="B6" s="65">
        <f>'0422Master'!F7</f>
        <v>0</v>
      </c>
      <c r="C6" s="65"/>
      <c r="D6" s="66"/>
      <c r="E6" s="63"/>
      <c r="F6" s="65"/>
      <c r="G6" s="65"/>
      <c r="H6" s="65"/>
      <c r="I6" s="65"/>
      <c r="J6" s="65"/>
      <c r="K6" s="65"/>
      <c r="L6" s="65"/>
      <c r="M6" s="66"/>
    </row>
    <row r="7" spans="1:13">
      <c r="A7" s="67" t="s">
        <v>141</v>
      </c>
      <c r="B7" s="59"/>
      <c r="C7" s="59"/>
      <c r="D7" s="60" t="str">
        <f>'0422Master'!F8</f>
        <v>IT SUPPORTIVE SERVICES &amp; BHUBANESWAR</v>
      </c>
      <c r="E7" s="67" t="s">
        <v>142</v>
      </c>
      <c r="F7" s="59"/>
      <c r="G7" s="59"/>
      <c r="H7" s="59"/>
      <c r="I7" s="59"/>
      <c r="J7" s="59"/>
      <c r="K7" s="59"/>
      <c r="L7" s="59"/>
      <c r="M7" s="60"/>
    </row>
    <row r="8" spans="1:13">
      <c r="A8" s="61"/>
      <c r="B8" s="62"/>
      <c r="C8" s="62"/>
      <c r="D8" s="63"/>
      <c r="E8" s="68" t="str">
        <f>'0422Master'!AO8</f>
        <v>INFOSYS LIMITED, IL BHUBANESHWAR-STP,UNIT-II</v>
      </c>
      <c r="F8" s="62"/>
      <c r="G8" s="62"/>
      <c r="H8" s="62"/>
      <c r="I8" s="62"/>
      <c r="J8" s="62"/>
      <c r="K8" s="62"/>
      <c r="L8" s="62"/>
      <c r="M8" s="63"/>
    </row>
    <row r="9" spans="1:13">
      <c r="A9" s="61"/>
      <c r="B9" s="62"/>
      <c r="C9" s="62"/>
      <c r="D9" s="63"/>
      <c r="E9" s="61" t="str">
        <f>'0422Master'!AO10</f>
        <v>Plot No E/4,Info city,Chandaka Industrial, Bhubaneswar,Odisha - 751024</v>
      </c>
      <c r="F9" s="62"/>
      <c r="G9" s="62"/>
      <c r="H9" s="62"/>
      <c r="I9" s="62"/>
      <c r="J9" s="62"/>
      <c r="K9" s="62"/>
      <c r="L9" s="62"/>
      <c r="M9" s="63"/>
    </row>
    <row r="10" spans="1:13">
      <c r="A10" s="64"/>
      <c r="B10" s="65"/>
      <c r="C10" s="65"/>
      <c r="D10" s="66"/>
      <c r="E10" s="64"/>
      <c r="F10" s="65"/>
      <c r="G10" s="65"/>
      <c r="H10" s="65"/>
      <c r="I10" s="65"/>
      <c r="J10" s="65"/>
      <c r="K10" s="65"/>
      <c r="L10" s="65"/>
      <c r="M10" s="66"/>
    </row>
    <row r="11" spans="1:13" ht="38.25">
      <c r="A11" s="782" t="s">
        <v>59</v>
      </c>
      <c r="B11" s="782" t="s">
        <v>143</v>
      </c>
      <c r="C11" s="450" t="s">
        <v>144</v>
      </c>
      <c r="D11" s="781" t="s">
        <v>145</v>
      </c>
      <c r="E11" s="781" t="s">
        <v>146</v>
      </c>
      <c r="F11" s="781" t="s">
        <v>147</v>
      </c>
      <c r="G11" s="781" t="s">
        <v>148</v>
      </c>
      <c r="H11" s="781" t="s">
        <v>149</v>
      </c>
      <c r="I11" s="781" t="s">
        <v>150</v>
      </c>
      <c r="J11" s="782" t="s">
        <v>151</v>
      </c>
      <c r="K11" s="782"/>
      <c r="L11" s="782"/>
      <c r="M11" s="451" t="s">
        <v>20</v>
      </c>
    </row>
    <row r="12" spans="1:13" ht="38.25">
      <c r="A12" s="782"/>
      <c r="B12" s="782"/>
      <c r="C12" s="69"/>
      <c r="D12" s="781"/>
      <c r="E12" s="781"/>
      <c r="F12" s="781"/>
      <c r="G12" s="781"/>
      <c r="H12" s="781"/>
      <c r="I12" s="781"/>
      <c r="J12" s="452" t="s">
        <v>152</v>
      </c>
      <c r="K12" s="452" t="s">
        <v>153</v>
      </c>
      <c r="L12" s="452" t="s">
        <v>154</v>
      </c>
      <c r="M12" s="453"/>
    </row>
    <row r="13" spans="1:13">
      <c r="A13" s="454">
        <v>1</v>
      </c>
      <c r="B13" s="454">
        <v>2</v>
      </c>
      <c r="C13" s="454">
        <v>3</v>
      </c>
      <c r="D13" s="454">
        <v>4</v>
      </c>
      <c r="E13" s="454">
        <v>5</v>
      </c>
      <c r="F13" s="454">
        <v>6</v>
      </c>
      <c r="G13" s="454">
        <v>7</v>
      </c>
      <c r="H13" s="454">
        <v>8</v>
      </c>
      <c r="I13" s="454">
        <v>9</v>
      </c>
      <c r="J13" s="454">
        <v>10</v>
      </c>
      <c r="K13" s="454">
        <v>11</v>
      </c>
      <c r="L13" s="454">
        <v>12</v>
      </c>
      <c r="M13" s="454">
        <v>13</v>
      </c>
    </row>
    <row r="14" spans="1:13">
      <c r="A14" s="449"/>
      <c r="B14" s="449"/>
      <c r="C14" s="449"/>
      <c r="D14" s="449"/>
      <c r="E14" s="449"/>
      <c r="F14" s="449"/>
      <c r="G14" s="449"/>
      <c r="H14" s="449"/>
      <c r="I14" s="449"/>
      <c r="J14" s="449"/>
      <c r="K14" s="449"/>
      <c r="L14" s="449"/>
      <c r="M14" s="449"/>
    </row>
    <row r="15" spans="1:13" ht="15.75" thickBot="1">
      <c r="A15" s="449"/>
      <c r="B15" s="455"/>
      <c r="C15" s="455"/>
      <c r="D15" s="455"/>
      <c r="E15" s="455"/>
      <c r="F15" s="455"/>
      <c r="G15" s="455"/>
      <c r="H15" s="455"/>
      <c r="I15" s="455"/>
      <c r="J15" s="455"/>
      <c r="K15" s="455"/>
      <c r="L15" s="455"/>
      <c r="M15" s="455"/>
    </row>
    <row r="16" spans="1:13" ht="15.75" thickBot="1">
      <c r="A16" s="81"/>
      <c r="B16" s="70" t="s">
        <v>155</v>
      </c>
      <c r="C16" s="456"/>
      <c r="D16" s="456"/>
      <c r="E16" s="456"/>
      <c r="F16" s="456"/>
      <c r="G16" s="457"/>
      <c r="H16" s="458">
        <f>'0422Master'!D9</f>
        <v>44652</v>
      </c>
      <c r="I16" s="449"/>
      <c r="J16" s="449"/>
      <c r="K16" s="449"/>
      <c r="L16" s="449"/>
      <c r="M16" s="449"/>
    </row>
    <row r="17" spans="1:13">
      <c r="A17" s="449"/>
      <c r="B17" s="78"/>
      <c r="C17" s="78"/>
      <c r="D17" s="78"/>
      <c r="E17" s="78"/>
      <c r="F17" s="78"/>
      <c r="G17" s="78"/>
      <c r="H17" s="78"/>
      <c r="I17" s="78"/>
      <c r="J17" s="78"/>
      <c r="K17" s="78"/>
      <c r="L17" s="78"/>
      <c r="M17" s="78"/>
    </row>
    <row r="18" spans="1:13">
      <c r="A18" s="449"/>
      <c r="B18" s="449"/>
      <c r="C18" s="449"/>
      <c r="D18" s="449"/>
      <c r="E18" s="449"/>
      <c r="F18" s="449"/>
      <c r="G18" s="449"/>
      <c r="H18" s="449"/>
      <c r="I18" s="449"/>
      <c r="J18" s="449"/>
      <c r="K18" s="449"/>
      <c r="L18" s="449"/>
      <c r="M18" s="449"/>
    </row>
    <row r="19" spans="1:13">
      <c r="A19" s="449"/>
      <c r="B19" s="449"/>
      <c r="C19" s="449"/>
      <c r="D19" s="449"/>
      <c r="E19" s="449"/>
      <c r="F19" s="449"/>
      <c r="G19" s="449"/>
      <c r="H19" s="449"/>
      <c r="I19" s="449"/>
      <c r="J19" s="449"/>
      <c r="K19" s="449"/>
      <c r="L19" s="449"/>
      <c r="M19" s="449"/>
    </row>
    <row r="20" spans="1:13">
      <c r="A20" s="449"/>
      <c r="B20" s="459"/>
      <c r="C20" s="449"/>
      <c r="D20" s="449"/>
      <c r="E20" s="449"/>
      <c r="F20" s="449"/>
      <c r="G20" s="449"/>
      <c r="H20" s="449"/>
      <c r="I20" s="449"/>
      <c r="J20" s="449"/>
      <c r="K20" s="449"/>
      <c r="L20" s="449"/>
      <c r="M20" s="449"/>
    </row>
    <row r="21" spans="1:13">
      <c r="A21" s="449"/>
      <c r="B21" s="449"/>
      <c r="C21" s="449"/>
      <c r="D21" s="449"/>
      <c r="E21" s="449"/>
      <c r="F21" s="449"/>
      <c r="G21" s="449"/>
      <c r="H21" s="449"/>
      <c r="I21" s="449"/>
      <c r="J21" s="449"/>
      <c r="K21" s="449"/>
      <c r="L21" s="449"/>
      <c r="M21" s="449"/>
    </row>
    <row r="22" spans="1:13">
      <c r="A22" s="449"/>
      <c r="B22" s="449" t="s">
        <v>156</v>
      </c>
      <c r="C22" s="449"/>
      <c r="D22" s="449"/>
      <c r="E22" s="449"/>
      <c r="F22" s="449"/>
      <c r="G22" s="449"/>
      <c r="H22" s="449"/>
      <c r="I22" s="449"/>
      <c r="J22" s="449"/>
      <c r="K22" s="449"/>
      <c r="L22" s="449"/>
      <c r="M22" s="449"/>
    </row>
    <row r="23" spans="1:13">
      <c r="A23" s="449"/>
      <c r="B23" s="449"/>
      <c r="C23" s="449"/>
      <c r="D23" s="449"/>
      <c r="E23" s="449"/>
      <c r="F23" s="449"/>
      <c r="G23" s="449"/>
      <c r="H23" s="449"/>
      <c r="I23" s="449"/>
      <c r="J23" s="449"/>
      <c r="K23" s="449"/>
      <c r="L23" s="449"/>
      <c r="M23" s="449"/>
    </row>
    <row r="24" spans="1:13">
      <c r="A24" s="449"/>
      <c r="B24" s="449"/>
      <c r="C24" s="449"/>
      <c r="D24" s="449"/>
      <c r="E24" s="449"/>
      <c r="F24" s="449"/>
      <c r="G24" s="449"/>
      <c r="H24" s="449"/>
      <c r="I24" s="449"/>
      <c r="J24" s="449"/>
      <c r="K24" s="449"/>
      <c r="L24" s="449"/>
      <c r="M24" s="449"/>
    </row>
    <row r="25" spans="1:13">
      <c r="A25" s="449"/>
      <c r="B25" s="449"/>
      <c r="C25" s="449"/>
      <c r="D25" s="449"/>
      <c r="E25" s="449"/>
      <c r="F25" s="449"/>
      <c r="G25" s="449"/>
      <c r="H25" s="449"/>
      <c r="I25" s="449"/>
      <c r="J25" s="449"/>
      <c r="K25" s="449"/>
      <c r="L25" s="449"/>
      <c r="M25" s="449"/>
    </row>
    <row r="26" spans="1:13">
      <c r="A26" s="449"/>
      <c r="B26" s="449"/>
      <c r="C26" s="449"/>
      <c r="D26" s="449"/>
      <c r="E26" s="449"/>
      <c r="F26" s="449"/>
      <c r="G26" s="449"/>
      <c r="H26" s="449"/>
      <c r="I26" s="449"/>
      <c r="J26" s="449"/>
      <c r="K26" s="449"/>
      <c r="L26" s="449"/>
      <c r="M26" s="449"/>
    </row>
    <row r="27" spans="1:13">
      <c r="A27" s="449"/>
      <c r="B27" s="449"/>
      <c r="C27" s="449"/>
      <c r="D27" s="449"/>
      <c r="E27" s="449"/>
      <c r="F27" s="449"/>
      <c r="G27" s="449"/>
      <c r="H27" s="449"/>
      <c r="I27" s="449"/>
      <c r="J27" s="449"/>
      <c r="K27" s="449"/>
      <c r="L27" s="449"/>
      <c r="M27" s="449"/>
    </row>
    <row r="28" spans="1:13">
      <c r="A28" s="449"/>
      <c r="B28" s="449"/>
      <c r="C28" s="449"/>
      <c r="D28" s="449"/>
      <c r="E28" s="449"/>
      <c r="F28" s="449"/>
      <c r="G28" s="449"/>
      <c r="H28" s="449"/>
      <c r="I28" s="449"/>
      <c r="J28" s="449"/>
      <c r="K28" s="449"/>
      <c r="L28" s="449"/>
      <c r="M28" s="449"/>
    </row>
    <row r="29" spans="1:13">
      <c r="A29" s="449"/>
      <c r="B29" s="449"/>
      <c r="C29" s="449"/>
      <c r="D29" s="449"/>
      <c r="E29" s="449"/>
      <c r="F29" s="449"/>
      <c r="G29" s="449"/>
      <c r="H29" s="449"/>
      <c r="I29" s="449"/>
      <c r="J29" s="449"/>
      <c r="K29" s="449"/>
      <c r="L29" s="449"/>
      <c r="M29" s="449"/>
    </row>
    <row r="30" spans="1:13">
      <c r="A30" s="449"/>
      <c r="B30" s="449"/>
      <c r="C30" s="449"/>
      <c r="D30" s="449"/>
      <c r="E30" s="449"/>
      <c r="F30" s="449"/>
      <c r="G30" s="449"/>
      <c r="H30" s="449"/>
      <c r="I30" s="449"/>
      <c r="J30" s="449"/>
      <c r="K30" s="449"/>
      <c r="L30" s="449"/>
      <c r="M30" s="449"/>
    </row>
    <row r="31" spans="1:13">
      <c r="A31" s="449"/>
      <c r="B31" s="449"/>
      <c r="C31" s="449"/>
      <c r="D31" s="449"/>
      <c r="E31" s="449"/>
      <c r="F31" s="449"/>
      <c r="G31" s="449"/>
      <c r="H31" s="449"/>
      <c r="I31" s="449"/>
      <c r="J31" s="449"/>
      <c r="K31" s="449"/>
      <c r="L31" s="449"/>
      <c r="M31" s="449"/>
    </row>
    <row r="32" spans="1:13">
      <c r="A32" s="449"/>
      <c r="B32" s="449"/>
      <c r="C32" s="449"/>
      <c r="D32" s="449"/>
      <c r="E32" s="449"/>
      <c r="F32" s="449"/>
      <c r="G32" s="449"/>
      <c r="H32" s="449"/>
      <c r="I32" s="449"/>
      <c r="J32" s="449"/>
      <c r="K32" s="449"/>
      <c r="L32" s="449"/>
      <c r="M32" s="449"/>
    </row>
    <row r="33" spans="1:13">
      <c r="A33" s="449"/>
      <c r="B33" s="449"/>
      <c r="C33" s="449"/>
      <c r="D33" s="449"/>
      <c r="E33" s="449"/>
      <c r="F33" s="449"/>
      <c r="G33" s="449"/>
      <c r="H33" s="449"/>
      <c r="I33" s="449"/>
      <c r="J33" s="449"/>
      <c r="K33" s="449"/>
      <c r="L33" s="449"/>
      <c r="M33" s="449"/>
    </row>
    <row r="34" spans="1:13">
      <c r="A34" s="449"/>
      <c r="B34" s="449"/>
      <c r="C34" s="449"/>
      <c r="D34" s="449"/>
      <c r="E34" s="449"/>
      <c r="F34" s="449"/>
      <c r="G34" s="449"/>
      <c r="H34" s="449"/>
      <c r="I34" s="449"/>
      <c r="J34" s="449"/>
      <c r="K34" s="449"/>
      <c r="L34" s="449"/>
      <c r="M34" s="449"/>
    </row>
    <row r="35" spans="1:13">
      <c r="A35" s="449"/>
      <c r="B35" s="449"/>
      <c r="C35" s="449"/>
      <c r="D35" s="449"/>
      <c r="E35" s="449"/>
      <c r="F35" s="449"/>
      <c r="G35" s="449"/>
      <c r="H35" s="449"/>
      <c r="I35" s="449"/>
      <c r="J35" s="449"/>
      <c r="K35" s="449"/>
      <c r="L35" s="449"/>
      <c r="M35" s="449"/>
    </row>
    <row r="36" spans="1:13">
      <c r="A36" s="39"/>
      <c r="B36" s="39"/>
      <c r="C36" s="39"/>
      <c r="D36" s="39"/>
      <c r="E36" s="39"/>
      <c r="F36" s="39"/>
      <c r="G36" s="39"/>
      <c r="H36" s="39"/>
      <c r="I36" s="39"/>
      <c r="J36" s="39"/>
      <c r="K36" s="39"/>
      <c r="L36" s="39"/>
      <c r="M36" s="39"/>
    </row>
    <row r="37" spans="1:13">
      <c r="F37" t="s">
        <v>63</v>
      </c>
    </row>
  </sheetData>
  <protectedRanges>
    <protectedRange password="CA4D" sqref="E5 A1:D13 E1:M3 E6:M13" name="Range1"/>
  </protectedRanges>
  <mergeCells count="11">
    <mergeCell ref="H11:H12"/>
    <mergeCell ref="I11:I12"/>
    <mergeCell ref="J11:L11"/>
    <mergeCell ref="A1:M2"/>
    <mergeCell ref="A3:M3"/>
    <mergeCell ref="A11:A12"/>
    <mergeCell ref="B11:B12"/>
    <mergeCell ref="D11:D12"/>
    <mergeCell ref="E11:E12"/>
    <mergeCell ref="F11:F12"/>
    <mergeCell ref="G11:G12"/>
  </mergeCells>
  <pageMargins left="0.94" right="0.7" top="0.75" bottom="0.75" header="0.3" footer="0.3"/>
  <pageSetup scale="75" orientation="landscape"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7"/>
  <sheetViews>
    <sheetView topLeftCell="A10" workbookViewId="0">
      <selection activeCell="F39" sqref="F39"/>
    </sheetView>
  </sheetViews>
  <sheetFormatPr defaultRowHeight="15"/>
  <cols>
    <col min="1" max="1" width="7" customWidth="1"/>
    <col min="4" max="4" width="47.85546875" customWidth="1"/>
    <col min="10" max="10" width="12.140625" customWidth="1"/>
    <col min="11" max="11" width="11.28515625" customWidth="1"/>
    <col min="12" max="12" width="14.5703125" customWidth="1"/>
  </cols>
  <sheetData>
    <row r="1" spans="1:12">
      <c r="A1" s="790" t="s">
        <v>157</v>
      </c>
      <c r="B1" s="790"/>
      <c r="C1" s="790"/>
      <c r="D1" s="790"/>
      <c r="E1" s="790"/>
      <c r="F1" s="790"/>
      <c r="G1" s="790"/>
      <c r="H1" s="790"/>
      <c r="I1" s="790"/>
      <c r="J1" s="790"/>
      <c r="K1" s="790"/>
      <c r="L1" s="790"/>
    </row>
    <row r="2" spans="1:12">
      <c r="A2" s="790"/>
      <c r="B2" s="790"/>
      <c r="C2" s="790"/>
      <c r="D2" s="790"/>
      <c r="E2" s="790"/>
      <c r="F2" s="790"/>
      <c r="G2" s="790"/>
      <c r="H2" s="790"/>
      <c r="I2" s="790"/>
      <c r="J2" s="790"/>
      <c r="K2" s="790"/>
      <c r="L2" s="790"/>
    </row>
    <row r="3" spans="1:12">
      <c r="A3" s="784" t="s">
        <v>158</v>
      </c>
      <c r="B3" s="784"/>
      <c r="C3" s="784"/>
      <c r="D3" s="784"/>
      <c r="E3" s="784"/>
      <c r="F3" s="784"/>
      <c r="G3" s="784"/>
      <c r="H3" s="784"/>
      <c r="I3" s="784"/>
      <c r="J3" s="784"/>
      <c r="K3" s="784"/>
      <c r="L3" s="784"/>
    </row>
    <row r="4" spans="1:12" ht="15" customHeight="1">
      <c r="A4" s="58" t="s">
        <v>159</v>
      </c>
      <c r="B4" s="59"/>
      <c r="C4" s="59"/>
      <c r="D4" s="60" t="str">
        <f>'0422Master'!F5</f>
        <v>Burgeon IT Services Pvt.Ltd.</v>
      </c>
      <c r="E4" s="67" t="s">
        <v>140</v>
      </c>
      <c r="F4" s="59"/>
      <c r="G4" s="59"/>
      <c r="H4" s="59"/>
      <c r="I4" s="59"/>
      <c r="J4" s="59"/>
      <c r="K4" s="59"/>
      <c r="L4" s="76"/>
    </row>
    <row r="5" spans="1:12">
      <c r="A5" s="61"/>
      <c r="B5" s="62" t="str">
        <f>'0422Master'!F6</f>
        <v>Siri Mansion LIGB 436 Dr.A S Rao Nagar,Hyderabad</v>
      </c>
      <c r="C5" s="62"/>
      <c r="D5" s="63"/>
      <c r="E5" s="449"/>
      <c r="F5" s="79"/>
      <c r="G5" s="79"/>
      <c r="H5" s="79"/>
      <c r="I5" s="79"/>
      <c r="J5" s="79"/>
      <c r="K5" s="79"/>
      <c r="L5" s="80"/>
    </row>
    <row r="6" spans="1:12">
      <c r="A6" s="64"/>
      <c r="B6" s="65">
        <f>'0422Master'!F7</f>
        <v>0</v>
      </c>
      <c r="C6" s="65"/>
      <c r="D6" s="66"/>
      <c r="E6" s="78"/>
      <c r="F6" s="65"/>
      <c r="G6" s="65"/>
      <c r="H6" s="65"/>
      <c r="I6" s="65"/>
      <c r="J6" s="65"/>
      <c r="K6" s="65"/>
      <c r="L6" s="66"/>
    </row>
    <row r="7" spans="1:12">
      <c r="A7" s="67" t="s">
        <v>141</v>
      </c>
      <c r="B7" s="59"/>
      <c r="C7" s="59"/>
      <c r="D7" s="60" t="str">
        <f>'0422Master'!F8</f>
        <v>IT SUPPORTIVE SERVICES &amp; BHUBANESWAR</v>
      </c>
      <c r="E7" s="67" t="s">
        <v>142</v>
      </c>
      <c r="F7" s="59"/>
      <c r="G7" s="59"/>
      <c r="H7" s="59"/>
      <c r="I7" s="59"/>
      <c r="J7" s="59"/>
      <c r="K7" s="59"/>
      <c r="L7" s="60"/>
    </row>
    <row r="8" spans="1:12">
      <c r="A8" s="61"/>
      <c r="B8" s="62"/>
      <c r="C8" s="62"/>
      <c r="D8" s="63"/>
      <c r="E8" s="68" t="str">
        <f>'0422Master'!AO8</f>
        <v>INFOSYS LIMITED, IL BHUBANESHWAR-STP,UNIT-II</v>
      </c>
      <c r="F8" s="62"/>
      <c r="G8" s="62"/>
      <c r="H8" s="62"/>
      <c r="I8" s="62"/>
      <c r="J8" s="62"/>
      <c r="K8" s="62"/>
      <c r="L8" s="63"/>
    </row>
    <row r="9" spans="1:12">
      <c r="A9" s="61"/>
      <c r="B9" s="62"/>
      <c r="C9" s="62"/>
      <c r="D9" s="63"/>
      <c r="E9" s="61" t="str">
        <f>'0422Master'!AO10</f>
        <v>Plot No E/4,Info city,Chandaka Industrial, Bhubaneswar,Odisha - 751024</v>
      </c>
      <c r="F9" s="62"/>
      <c r="G9" s="62"/>
      <c r="H9" s="62"/>
      <c r="I9" s="62"/>
      <c r="J9" s="62"/>
      <c r="K9" s="62"/>
      <c r="L9" s="63"/>
    </row>
    <row r="10" spans="1:12" ht="15.75" thickBot="1">
      <c r="A10" s="61"/>
      <c r="B10" s="62"/>
      <c r="C10" s="62"/>
      <c r="D10" s="63"/>
      <c r="E10" s="61"/>
      <c r="F10" s="62"/>
      <c r="G10" s="62"/>
      <c r="H10" s="62"/>
      <c r="I10" s="62"/>
      <c r="J10" s="62"/>
      <c r="K10" s="62"/>
      <c r="L10" s="63"/>
    </row>
    <row r="11" spans="1:12" ht="51" customHeight="1">
      <c r="A11" s="788" t="s">
        <v>59</v>
      </c>
      <c r="B11" s="788" t="s">
        <v>143</v>
      </c>
      <c r="C11" s="397" t="s">
        <v>144</v>
      </c>
      <c r="D11" s="791" t="s">
        <v>145</v>
      </c>
      <c r="E11" s="791" t="s">
        <v>160</v>
      </c>
      <c r="F11" s="791" t="s">
        <v>161</v>
      </c>
      <c r="G11" s="791" t="s">
        <v>162</v>
      </c>
      <c r="H11" s="791" t="s">
        <v>149</v>
      </c>
      <c r="I11" s="791" t="s">
        <v>163</v>
      </c>
      <c r="J11" s="397" t="s">
        <v>164</v>
      </c>
      <c r="K11" s="788" t="s">
        <v>165</v>
      </c>
      <c r="L11" s="788" t="s">
        <v>20</v>
      </c>
    </row>
    <row r="12" spans="1:12" ht="15" customHeight="1" thickBot="1">
      <c r="A12" s="789"/>
      <c r="B12" s="789"/>
      <c r="C12" s="75"/>
      <c r="D12" s="792"/>
      <c r="E12" s="792"/>
      <c r="F12" s="792"/>
      <c r="G12" s="792"/>
      <c r="H12" s="792"/>
      <c r="I12" s="792"/>
      <c r="J12" s="398"/>
      <c r="K12" s="789"/>
      <c r="L12" s="789"/>
    </row>
    <row r="13" spans="1:12" ht="15" customHeight="1">
      <c r="A13" s="71">
        <v>1</v>
      </c>
      <c r="B13" s="71">
        <v>2</v>
      </c>
      <c r="C13" s="71">
        <v>3</v>
      </c>
      <c r="D13" s="71">
        <v>4</v>
      </c>
      <c r="E13" s="71">
        <v>5</v>
      </c>
      <c r="F13" s="71">
        <v>6</v>
      </c>
      <c r="G13" s="71">
        <v>7</v>
      </c>
      <c r="H13" s="71">
        <v>8</v>
      </c>
      <c r="I13" s="71">
        <v>9</v>
      </c>
      <c r="J13" s="72">
        <v>10</v>
      </c>
      <c r="K13" s="73">
        <v>11</v>
      </c>
      <c r="L13" s="74">
        <v>12</v>
      </c>
    </row>
    <row r="14" spans="1:12">
      <c r="A14" s="449"/>
      <c r="B14" s="449"/>
      <c r="C14" s="449"/>
      <c r="D14" s="449"/>
      <c r="E14" s="449"/>
      <c r="F14" s="449"/>
      <c r="G14" s="449"/>
      <c r="H14" s="449"/>
      <c r="I14" s="449"/>
      <c r="J14" s="449"/>
      <c r="K14" s="78"/>
      <c r="L14" s="449"/>
    </row>
    <row r="15" spans="1:12" ht="15.75" thickBot="1">
      <c r="A15" s="449"/>
      <c r="B15" s="455"/>
      <c r="C15" s="455"/>
      <c r="D15" s="455"/>
      <c r="E15" s="455"/>
      <c r="F15" s="455"/>
      <c r="G15" s="455"/>
      <c r="H15" s="455"/>
      <c r="I15" s="455"/>
      <c r="J15" s="455"/>
      <c r="K15" s="455"/>
      <c r="L15" s="455"/>
    </row>
    <row r="16" spans="1:12" ht="15.75" thickBot="1">
      <c r="A16" s="81"/>
      <c r="B16" s="785" t="s">
        <v>166</v>
      </c>
      <c r="C16" s="786"/>
      <c r="D16" s="786"/>
      <c r="E16" s="786"/>
      <c r="F16" s="786"/>
      <c r="G16" s="787"/>
      <c r="H16" s="458">
        <f>'04-22M Roll'!D9</f>
        <v>44652</v>
      </c>
      <c r="I16" s="449"/>
      <c r="J16" s="449"/>
      <c r="K16" s="449"/>
      <c r="L16" s="449"/>
    </row>
    <row r="17" spans="1:12">
      <c r="A17" s="449"/>
      <c r="B17" s="78"/>
      <c r="C17" s="78"/>
      <c r="D17" s="78"/>
      <c r="E17" s="78"/>
      <c r="F17" s="78"/>
      <c r="G17" s="78"/>
      <c r="H17" s="78"/>
      <c r="I17" s="78"/>
      <c r="J17" s="78"/>
      <c r="K17" s="78"/>
      <c r="L17" s="78"/>
    </row>
    <row r="18" spans="1:12">
      <c r="A18" s="449"/>
      <c r="B18" s="449"/>
      <c r="C18" s="449"/>
      <c r="D18" s="449"/>
      <c r="E18" s="449"/>
      <c r="F18" s="449"/>
      <c r="G18" s="449"/>
      <c r="H18" s="449"/>
      <c r="I18" s="449"/>
      <c r="J18" s="449"/>
      <c r="K18" s="449"/>
      <c r="L18" s="449"/>
    </row>
    <row r="19" spans="1:12">
      <c r="A19" s="449"/>
      <c r="B19" s="449"/>
      <c r="C19" s="449"/>
      <c r="D19" s="449"/>
      <c r="E19" s="449"/>
      <c r="F19" s="449"/>
      <c r="G19" s="449"/>
      <c r="H19" s="449"/>
      <c r="I19" s="449"/>
      <c r="J19" s="449"/>
      <c r="K19" s="449"/>
      <c r="L19" s="449"/>
    </row>
    <row r="20" spans="1:12">
      <c r="A20" s="449"/>
      <c r="B20" s="459"/>
      <c r="C20" s="449"/>
      <c r="D20" s="449"/>
      <c r="E20" s="449"/>
      <c r="F20" s="449"/>
      <c r="G20" s="449"/>
      <c r="H20" s="449"/>
      <c r="I20" s="449"/>
      <c r="J20" s="449"/>
      <c r="K20" s="449"/>
      <c r="L20" s="449"/>
    </row>
    <row r="21" spans="1:12">
      <c r="A21" s="449"/>
      <c r="B21" s="449"/>
      <c r="C21" s="449"/>
      <c r="D21" s="449"/>
      <c r="E21" s="449"/>
      <c r="F21" s="449"/>
      <c r="G21" s="449"/>
      <c r="H21" s="449"/>
      <c r="I21" s="449"/>
      <c r="J21" s="449"/>
      <c r="K21" s="449"/>
      <c r="L21" s="449"/>
    </row>
    <row r="22" spans="1:12">
      <c r="A22" s="449"/>
      <c r="B22" s="449" t="s">
        <v>156</v>
      </c>
      <c r="C22" s="449"/>
      <c r="D22" s="449"/>
      <c r="E22" s="449"/>
      <c r="F22" s="449"/>
      <c r="G22" s="449"/>
      <c r="H22" s="449"/>
      <c r="I22" s="449"/>
      <c r="J22" s="449"/>
      <c r="K22" s="449"/>
      <c r="L22" s="449"/>
    </row>
    <row r="23" spans="1:12">
      <c r="A23" s="449"/>
      <c r="B23" s="449"/>
      <c r="C23" s="449"/>
      <c r="D23" s="449"/>
      <c r="E23" s="449"/>
      <c r="F23" s="449"/>
      <c r="G23" s="449"/>
      <c r="H23" s="449"/>
      <c r="I23" s="449"/>
      <c r="J23" s="449"/>
      <c r="K23" s="449"/>
      <c r="L23" s="449"/>
    </row>
    <row r="24" spans="1:12">
      <c r="A24" s="449"/>
      <c r="B24" s="449"/>
      <c r="C24" s="449"/>
      <c r="D24" s="449"/>
      <c r="E24" s="449"/>
      <c r="F24" s="449"/>
      <c r="G24" s="449"/>
      <c r="H24" s="449"/>
      <c r="I24" s="449"/>
      <c r="J24" s="449"/>
      <c r="K24" s="449"/>
      <c r="L24" s="449"/>
    </row>
    <row r="25" spans="1:12">
      <c r="A25" s="449"/>
      <c r="B25" s="449"/>
      <c r="C25" s="449"/>
      <c r="D25" s="449"/>
      <c r="E25" s="449"/>
      <c r="F25" s="449"/>
      <c r="G25" s="449"/>
      <c r="H25" s="449"/>
      <c r="I25" s="449"/>
      <c r="J25" s="449"/>
      <c r="K25" s="449"/>
      <c r="L25" s="449"/>
    </row>
    <row r="26" spans="1:12">
      <c r="A26" s="449"/>
      <c r="B26" s="449"/>
      <c r="C26" s="449"/>
      <c r="D26" s="449"/>
      <c r="E26" s="449"/>
      <c r="F26" s="449"/>
      <c r="G26" s="449"/>
      <c r="H26" s="449"/>
      <c r="I26" s="449"/>
      <c r="J26" s="449"/>
      <c r="K26" s="449"/>
      <c r="L26" s="449"/>
    </row>
    <row r="27" spans="1:12">
      <c r="A27" s="449"/>
      <c r="B27" s="449"/>
      <c r="C27" s="449"/>
      <c r="D27" s="449"/>
      <c r="E27" s="449"/>
      <c r="F27" s="449"/>
      <c r="G27" s="449"/>
      <c r="H27" s="449"/>
      <c r="I27" s="449"/>
      <c r="J27" s="449"/>
      <c r="K27" s="449"/>
      <c r="L27" s="449"/>
    </row>
    <row r="28" spans="1:12">
      <c r="A28" s="449"/>
      <c r="B28" s="449"/>
      <c r="C28" s="449"/>
      <c r="D28" s="449"/>
      <c r="E28" s="449"/>
      <c r="F28" s="449"/>
      <c r="G28" s="449"/>
      <c r="H28" s="449"/>
      <c r="I28" s="449"/>
      <c r="J28" s="449"/>
      <c r="K28" s="449"/>
      <c r="L28" s="449"/>
    </row>
    <row r="29" spans="1:12">
      <c r="A29" s="449"/>
      <c r="B29" s="449"/>
      <c r="C29" s="449"/>
      <c r="D29" s="449"/>
      <c r="E29" s="449"/>
      <c r="F29" s="449"/>
      <c r="G29" s="449"/>
      <c r="H29" s="449"/>
      <c r="I29" s="449"/>
      <c r="J29" s="449"/>
      <c r="K29" s="449"/>
      <c r="L29" s="449"/>
    </row>
    <row r="30" spans="1:12">
      <c r="A30" s="449"/>
      <c r="B30" s="449"/>
      <c r="C30" s="449"/>
      <c r="D30" s="449"/>
      <c r="E30" s="449"/>
      <c r="F30" s="449"/>
      <c r="G30" s="449"/>
      <c r="H30" s="449"/>
      <c r="I30" s="449"/>
      <c r="J30" s="449"/>
      <c r="K30" s="449"/>
      <c r="L30" s="449"/>
    </row>
    <row r="31" spans="1:12">
      <c r="A31" s="449"/>
      <c r="B31" s="449"/>
      <c r="C31" s="449"/>
      <c r="D31" s="449"/>
      <c r="E31" s="449"/>
      <c r="F31" s="449"/>
      <c r="G31" s="449"/>
      <c r="H31" s="449"/>
      <c r="I31" s="449"/>
      <c r="J31" s="449"/>
      <c r="K31" s="449"/>
      <c r="L31" s="449"/>
    </row>
    <row r="32" spans="1:12">
      <c r="A32" s="449"/>
      <c r="B32" s="449"/>
      <c r="C32" s="449"/>
      <c r="D32" s="449"/>
      <c r="E32" s="449"/>
      <c r="F32" s="449"/>
      <c r="G32" s="449"/>
      <c r="H32" s="449"/>
      <c r="I32" s="449"/>
      <c r="J32" s="449"/>
      <c r="K32" s="449"/>
      <c r="L32" s="449"/>
    </row>
    <row r="33" spans="1:12">
      <c r="A33" s="449"/>
      <c r="B33" s="449"/>
      <c r="C33" s="449"/>
      <c r="D33" s="449"/>
      <c r="E33" s="449"/>
      <c r="F33" s="449"/>
      <c r="G33" s="449"/>
      <c r="H33" s="449"/>
      <c r="I33" s="449"/>
      <c r="J33" s="449"/>
      <c r="K33" s="449"/>
      <c r="L33" s="449"/>
    </row>
    <row r="34" spans="1:12">
      <c r="A34" s="449"/>
      <c r="B34" s="449"/>
      <c r="C34" s="449"/>
      <c r="D34" s="449"/>
      <c r="E34" s="449"/>
      <c r="F34" s="449"/>
      <c r="G34" s="449"/>
      <c r="H34" s="449"/>
      <c r="I34" s="449"/>
      <c r="J34" s="449"/>
      <c r="K34" s="449"/>
      <c r="L34" s="449"/>
    </row>
    <row r="35" spans="1:12">
      <c r="A35" s="449"/>
      <c r="B35" s="449"/>
      <c r="C35" s="449"/>
      <c r="D35" s="449"/>
      <c r="E35" s="449"/>
      <c r="F35" s="449"/>
      <c r="G35" s="449"/>
      <c r="H35" s="449"/>
      <c r="I35" s="449"/>
      <c r="J35" s="449"/>
      <c r="K35" s="449"/>
      <c r="L35" s="449"/>
    </row>
    <row r="36" spans="1:12">
      <c r="A36" s="39"/>
      <c r="B36" s="39"/>
      <c r="C36" s="39"/>
      <c r="D36" s="39"/>
      <c r="E36" s="39"/>
      <c r="F36" s="39"/>
      <c r="G36" s="39"/>
      <c r="H36" s="39"/>
      <c r="I36" s="39"/>
      <c r="J36" s="39"/>
      <c r="K36" s="39"/>
      <c r="L36" s="39"/>
    </row>
    <row r="37" spans="1:12">
      <c r="F37" t="s">
        <v>63</v>
      </c>
    </row>
  </sheetData>
  <protectedRanges>
    <protectedRange password="CA4D" sqref="E5 A1:D13 E6:L10 E1:L3 L12:L13 L11 E13:J13" name="Range1"/>
  </protectedRanges>
  <mergeCells count="13">
    <mergeCell ref="B16:G16"/>
    <mergeCell ref="K11:K12"/>
    <mergeCell ref="L11:L12"/>
    <mergeCell ref="A1:L2"/>
    <mergeCell ref="A3:L3"/>
    <mergeCell ref="A11:A12"/>
    <mergeCell ref="B11:B12"/>
    <mergeCell ref="D11:D12"/>
    <mergeCell ref="E11:E12"/>
    <mergeCell ref="F11:F12"/>
    <mergeCell ref="G11:G12"/>
    <mergeCell ref="H11:H12"/>
    <mergeCell ref="I11:I12"/>
  </mergeCells>
  <pageMargins left="0.94" right="0.7" top="0.75" bottom="0.75" header="0.3" footer="0.3"/>
  <pageSetup scale="73" orientation="landscape"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41"/>
  <sheetViews>
    <sheetView topLeftCell="A13" workbookViewId="0">
      <selection activeCell="G43" sqref="G43"/>
    </sheetView>
  </sheetViews>
  <sheetFormatPr defaultRowHeight="15"/>
  <cols>
    <col min="3" max="3" width="9.85546875" customWidth="1"/>
    <col min="4" max="4" width="44.7109375" customWidth="1"/>
    <col min="10" max="10" width="26" customWidth="1"/>
    <col min="11" max="11" width="14.7109375" customWidth="1"/>
  </cols>
  <sheetData>
    <row r="1" spans="1:11">
      <c r="A1" s="783" t="s">
        <v>167</v>
      </c>
      <c r="B1" s="783"/>
      <c r="C1" s="783"/>
      <c r="D1" s="783"/>
      <c r="E1" s="783"/>
      <c r="F1" s="783"/>
      <c r="G1" s="783"/>
      <c r="H1" s="783"/>
      <c r="I1" s="783"/>
      <c r="J1" s="783"/>
      <c r="K1" s="783"/>
    </row>
    <row r="2" spans="1:11">
      <c r="A2" s="783"/>
      <c r="B2" s="783"/>
      <c r="C2" s="783"/>
      <c r="D2" s="783"/>
      <c r="E2" s="783"/>
      <c r="F2" s="783"/>
      <c r="G2" s="783"/>
      <c r="H2" s="783"/>
      <c r="I2" s="783"/>
      <c r="J2" s="783"/>
      <c r="K2" s="783"/>
    </row>
    <row r="3" spans="1:11">
      <c r="A3" s="784" t="s">
        <v>158</v>
      </c>
      <c r="B3" s="784"/>
      <c r="C3" s="784"/>
      <c r="D3" s="784"/>
      <c r="E3" s="796"/>
      <c r="F3" s="796"/>
      <c r="G3" s="796"/>
      <c r="H3" s="796"/>
      <c r="I3" s="796"/>
      <c r="J3" s="796"/>
      <c r="K3" s="796"/>
    </row>
    <row r="4" spans="1:11" ht="15" customHeight="1">
      <c r="A4" s="58" t="s">
        <v>168</v>
      </c>
      <c r="B4" s="59"/>
      <c r="C4" s="59"/>
      <c r="D4" s="60" t="str">
        <f>'0422Master'!F5</f>
        <v>Burgeon IT Services Pvt.Ltd.</v>
      </c>
      <c r="E4" s="81" t="s">
        <v>140</v>
      </c>
      <c r="F4" s="82"/>
      <c r="G4" s="82"/>
      <c r="H4" s="82"/>
      <c r="I4" s="82"/>
      <c r="J4" s="82"/>
      <c r="K4" s="83"/>
    </row>
    <row r="5" spans="1:11">
      <c r="A5" s="61"/>
      <c r="B5" s="62" t="str">
        <f>'0422Master'!F6</f>
        <v>Siri Mansion LIGB 436 Dr.A S Rao Nagar,Hyderabad</v>
      </c>
      <c r="C5" s="62"/>
      <c r="D5" s="63"/>
      <c r="E5" s="449"/>
      <c r="F5" s="79"/>
      <c r="G5" s="79"/>
      <c r="H5" s="79"/>
      <c r="I5" s="79"/>
      <c r="J5" s="79"/>
      <c r="K5" s="80"/>
    </row>
    <row r="6" spans="1:11">
      <c r="A6" s="64"/>
      <c r="B6" s="65">
        <f>'0422Master'!F7</f>
        <v>0</v>
      </c>
      <c r="C6" s="65"/>
      <c r="D6" s="66"/>
      <c r="E6" s="449"/>
      <c r="F6" s="82"/>
      <c r="G6" s="82"/>
      <c r="H6" s="82"/>
      <c r="I6" s="82"/>
      <c r="J6" s="82"/>
      <c r="K6" s="83"/>
    </row>
    <row r="7" spans="1:11">
      <c r="A7" s="67" t="s">
        <v>141</v>
      </c>
      <c r="B7" s="59"/>
      <c r="C7" s="59"/>
      <c r="D7" s="60" t="str">
        <f>'0422Master'!F8</f>
        <v>IT SUPPORTIVE SERVICES &amp; BHUBANESWAR</v>
      </c>
      <c r="E7" s="67" t="s">
        <v>142</v>
      </c>
      <c r="F7" s="59"/>
      <c r="G7" s="59"/>
      <c r="H7" s="59"/>
      <c r="I7" s="59"/>
      <c r="J7" s="59"/>
      <c r="K7" s="60"/>
    </row>
    <row r="8" spans="1:11">
      <c r="A8" s="61"/>
      <c r="B8" s="62"/>
      <c r="C8" s="62"/>
      <c r="D8" s="63"/>
      <c r="E8" s="68" t="str">
        <f>'0422Master'!AO8</f>
        <v>INFOSYS LIMITED, IL BHUBANESHWAR-STP,UNIT-II</v>
      </c>
      <c r="F8" s="62"/>
      <c r="G8" s="62"/>
      <c r="H8" s="62"/>
      <c r="I8" s="62"/>
      <c r="J8" s="62"/>
      <c r="K8" s="63"/>
    </row>
    <row r="9" spans="1:11">
      <c r="A9" s="61"/>
      <c r="B9" s="62"/>
      <c r="C9" s="62"/>
      <c r="D9" s="63"/>
      <c r="E9" s="61" t="str">
        <f>'0422Master'!AO10</f>
        <v>Plot No E/4,Info city,Chandaka Industrial, Bhubaneswar,Odisha - 751024</v>
      </c>
      <c r="F9" s="62"/>
      <c r="G9" s="62"/>
      <c r="H9" s="62"/>
      <c r="I9" s="62"/>
      <c r="J9" s="62"/>
      <c r="K9" s="63"/>
    </row>
    <row r="10" spans="1:11">
      <c r="A10" s="61"/>
      <c r="B10" s="62"/>
      <c r="C10" s="62"/>
      <c r="D10" s="63"/>
      <c r="E10" s="64"/>
      <c r="F10" s="65"/>
      <c r="G10" s="65"/>
      <c r="H10" s="65"/>
      <c r="I10" s="65"/>
      <c r="J10" s="65"/>
      <c r="K10" s="66"/>
    </row>
    <row r="11" spans="1:11">
      <c r="A11" s="782" t="s">
        <v>59</v>
      </c>
      <c r="B11" s="782" t="s">
        <v>143</v>
      </c>
      <c r="C11" s="782" t="s">
        <v>144</v>
      </c>
      <c r="D11" s="781" t="s">
        <v>145</v>
      </c>
      <c r="E11" s="797" t="s">
        <v>169</v>
      </c>
      <c r="F11" s="797" t="s">
        <v>170</v>
      </c>
      <c r="G11" s="797" t="s">
        <v>171</v>
      </c>
      <c r="H11" s="797" t="s">
        <v>172</v>
      </c>
      <c r="I11" s="797" t="s">
        <v>173</v>
      </c>
      <c r="J11" s="798" t="s">
        <v>174</v>
      </c>
      <c r="K11" s="799" t="s">
        <v>20</v>
      </c>
    </row>
    <row r="12" spans="1:11" ht="65.25" customHeight="1">
      <c r="A12" s="782"/>
      <c r="B12" s="782"/>
      <c r="C12" s="782"/>
      <c r="D12" s="781"/>
      <c r="E12" s="781"/>
      <c r="F12" s="781"/>
      <c r="G12" s="781"/>
      <c r="H12" s="781"/>
      <c r="I12" s="781"/>
      <c r="J12" s="782"/>
      <c r="K12" s="798"/>
    </row>
    <row r="13" spans="1:11">
      <c r="A13" s="454">
        <v>1</v>
      </c>
      <c r="B13" s="454">
        <v>2</v>
      </c>
      <c r="C13" s="454">
        <v>3</v>
      </c>
      <c r="D13" s="454">
        <v>4</v>
      </c>
      <c r="E13" s="454">
        <v>5</v>
      </c>
      <c r="F13" s="454">
        <v>6</v>
      </c>
      <c r="G13" s="454">
        <v>7</v>
      </c>
      <c r="H13" s="454">
        <v>8</v>
      </c>
      <c r="I13" s="454">
        <v>9</v>
      </c>
      <c r="J13" s="454">
        <v>10</v>
      </c>
      <c r="K13" s="454">
        <v>11</v>
      </c>
    </row>
    <row r="14" spans="1:11">
      <c r="A14" s="449"/>
      <c r="B14" s="449"/>
      <c r="C14" s="449"/>
      <c r="D14" s="449"/>
      <c r="E14" s="449"/>
      <c r="F14" s="449"/>
      <c r="G14" s="449"/>
      <c r="H14" s="449"/>
      <c r="I14" s="449"/>
      <c r="J14" s="449"/>
      <c r="K14" s="449"/>
    </row>
    <row r="15" spans="1:11">
      <c r="A15" s="449"/>
      <c r="B15" s="455"/>
      <c r="C15" s="455"/>
      <c r="D15" s="455"/>
      <c r="E15" s="455"/>
      <c r="F15" s="449"/>
      <c r="G15" s="449"/>
      <c r="H15" s="449"/>
      <c r="I15" s="449"/>
      <c r="J15" s="449"/>
      <c r="K15" s="449"/>
    </row>
    <row r="16" spans="1:11">
      <c r="A16" s="81"/>
      <c r="B16" s="793" t="s">
        <v>175</v>
      </c>
      <c r="C16" s="794"/>
      <c r="D16" s="794"/>
      <c r="E16" s="795"/>
      <c r="F16" s="84">
        <f>'04-22M Roll'!D9</f>
        <v>44652</v>
      </c>
      <c r="G16" s="449"/>
      <c r="H16" s="449"/>
      <c r="I16" s="449"/>
      <c r="J16" s="449"/>
      <c r="K16" s="449"/>
    </row>
    <row r="17" spans="1:11">
      <c r="A17" s="449"/>
      <c r="B17" s="78"/>
      <c r="C17" s="78"/>
      <c r="D17" s="78"/>
      <c r="E17" s="78"/>
      <c r="F17" s="449"/>
      <c r="G17" s="449"/>
      <c r="H17" s="449"/>
      <c r="I17" s="449"/>
      <c r="J17" s="449"/>
      <c r="K17" s="449"/>
    </row>
    <row r="18" spans="1:11">
      <c r="A18" s="460"/>
      <c r="B18" s="449"/>
      <c r="C18" s="449"/>
      <c r="D18" s="449"/>
      <c r="E18" s="449"/>
      <c r="F18" s="449"/>
      <c r="G18" s="449"/>
      <c r="H18" s="449"/>
      <c r="I18" s="449"/>
      <c r="J18" s="449"/>
      <c r="K18" s="449"/>
    </row>
    <row r="19" spans="1:11">
      <c r="A19" s="449"/>
      <c r="B19" s="449"/>
      <c r="C19" s="449"/>
      <c r="D19" s="449"/>
      <c r="E19" s="449"/>
      <c r="F19" s="449"/>
      <c r="G19" s="449"/>
      <c r="H19" s="449"/>
      <c r="I19" s="449"/>
      <c r="J19" s="449"/>
      <c r="K19" s="449"/>
    </row>
    <row r="20" spans="1:11">
      <c r="A20" s="449"/>
      <c r="B20" s="449"/>
      <c r="C20" s="449"/>
      <c r="D20" s="449"/>
      <c r="E20" s="449"/>
      <c r="F20" s="449"/>
      <c r="G20" s="449"/>
      <c r="H20" s="449"/>
      <c r="I20" s="449"/>
      <c r="J20" s="449"/>
      <c r="K20" s="449"/>
    </row>
    <row r="21" spans="1:11">
      <c r="A21" s="449"/>
      <c r="B21" s="449"/>
      <c r="C21" s="449"/>
      <c r="D21" s="449"/>
      <c r="E21" s="449"/>
      <c r="F21" s="449"/>
      <c r="G21" s="449"/>
      <c r="H21" s="449"/>
      <c r="I21" s="449"/>
      <c r="J21" s="449"/>
      <c r="K21" s="449"/>
    </row>
    <row r="22" spans="1:11">
      <c r="A22" s="449"/>
      <c r="B22" s="449"/>
      <c r="C22" s="449"/>
      <c r="D22" s="449"/>
      <c r="E22" s="449"/>
      <c r="F22" s="449"/>
      <c r="G22" s="449"/>
      <c r="H22" s="449"/>
      <c r="I22" s="449"/>
      <c r="J22" s="449"/>
      <c r="K22" s="449"/>
    </row>
    <row r="23" spans="1:11">
      <c r="A23" s="449"/>
      <c r="B23" s="449"/>
      <c r="C23" s="449"/>
      <c r="D23" s="449"/>
      <c r="E23" s="449"/>
      <c r="F23" s="449"/>
      <c r="G23" s="449"/>
      <c r="H23" s="449"/>
      <c r="I23" s="449"/>
      <c r="J23" s="449"/>
      <c r="K23" s="449"/>
    </row>
    <row r="24" spans="1:11">
      <c r="A24" s="449"/>
      <c r="B24" s="449"/>
      <c r="C24" s="449"/>
      <c r="D24" s="449"/>
      <c r="E24" s="449"/>
      <c r="F24" s="449"/>
      <c r="G24" s="449"/>
      <c r="H24" s="449"/>
      <c r="I24" s="449"/>
      <c r="J24" s="449"/>
      <c r="K24" s="449"/>
    </row>
    <row r="25" spans="1:11">
      <c r="A25" s="449"/>
      <c r="B25" s="449"/>
      <c r="C25" s="449"/>
      <c r="D25" s="449"/>
      <c r="E25" s="449"/>
      <c r="F25" s="449"/>
      <c r="G25" s="449"/>
      <c r="H25" s="449"/>
      <c r="I25" s="449"/>
      <c r="J25" s="449"/>
      <c r="K25" s="449"/>
    </row>
    <row r="26" spans="1:11">
      <c r="A26" s="449"/>
      <c r="B26" s="449"/>
      <c r="C26" s="449"/>
      <c r="D26" s="449"/>
      <c r="E26" s="449"/>
      <c r="F26" s="449"/>
      <c r="G26" s="449"/>
      <c r="H26" s="449"/>
      <c r="I26" s="449"/>
      <c r="J26" s="449"/>
      <c r="K26" s="449"/>
    </row>
    <row r="27" spans="1:11">
      <c r="A27" s="449"/>
      <c r="B27" s="449"/>
      <c r="C27" s="449"/>
      <c r="D27" s="449"/>
      <c r="E27" s="449"/>
      <c r="F27" s="449"/>
      <c r="G27" s="449"/>
      <c r="H27" s="449"/>
      <c r="I27" s="449"/>
      <c r="J27" s="449"/>
      <c r="K27" s="449"/>
    </row>
    <row r="28" spans="1:11">
      <c r="A28" s="449"/>
      <c r="B28" s="449"/>
      <c r="C28" s="449"/>
      <c r="D28" s="449"/>
      <c r="E28" s="449"/>
      <c r="F28" s="449"/>
      <c r="G28" s="449"/>
      <c r="H28" s="449"/>
      <c r="I28" s="449"/>
      <c r="J28" s="449"/>
      <c r="K28" s="449"/>
    </row>
    <row r="29" spans="1:11">
      <c r="A29" s="449"/>
      <c r="B29" s="449"/>
      <c r="C29" s="449"/>
      <c r="D29" s="449"/>
      <c r="E29" s="449"/>
      <c r="F29" s="449"/>
      <c r="G29" s="449"/>
      <c r="H29" s="449"/>
      <c r="I29" s="449"/>
      <c r="J29" s="449"/>
      <c r="K29" s="449"/>
    </row>
    <row r="30" spans="1:11">
      <c r="A30" s="449"/>
      <c r="B30" s="449"/>
      <c r="C30" s="449"/>
      <c r="D30" s="449"/>
      <c r="E30" s="449"/>
      <c r="F30" s="449"/>
      <c r="G30" s="449"/>
      <c r="H30" s="449"/>
      <c r="I30" s="449"/>
      <c r="J30" s="449"/>
      <c r="K30" s="449"/>
    </row>
    <row r="31" spans="1:11">
      <c r="A31" s="449"/>
      <c r="B31" s="449"/>
      <c r="C31" s="449"/>
      <c r="D31" s="449"/>
      <c r="E31" s="449"/>
      <c r="F31" s="449"/>
      <c r="G31" s="449"/>
      <c r="H31" s="449"/>
      <c r="I31" s="449"/>
      <c r="J31" s="449"/>
      <c r="K31" s="449"/>
    </row>
    <row r="32" spans="1:11">
      <c r="A32" s="449"/>
      <c r="B32" s="449"/>
      <c r="C32" s="449"/>
      <c r="D32" s="449"/>
      <c r="E32" s="449"/>
      <c r="F32" s="449"/>
      <c r="G32" s="449"/>
      <c r="H32" s="449"/>
      <c r="I32" s="449"/>
      <c r="J32" s="449"/>
      <c r="K32" s="449"/>
    </row>
    <row r="33" spans="1:11">
      <c r="A33" s="449"/>
      <c r="B33" s="449"/>
      <c r="C33" s="449"/>
      <c r="D33" s="449"/>
      <c r="E33" s="449"/>
      <c r="F33" s="449"/>
      <c r="G33" s="449"/>
      <c r="H33" s="449"/>
      <c r="I33" s="449"/>
      <c r="J33" s="449"/>
      <c r="K33" s="449"/>
    </row>
    <row r="34" spans="1:11">
      <c r="A34" s="449"/>
      <c r="B34" s="449"/>
      <c r="C34" s="449"/>
      <c r="D34" s="449"/>
      <c r="E34" s="449"/>
      <c r="F34" s="449"/>
      <c r="G34" s="449"/>
      <c r="H34" s="449"/>
      <c r="I34" s="449"/>
      <c r="J34" s="449"/>
      <c r="K34" s="449"/>
    </row>
    <row r="35" spans="1:11">
      <c r="A35" s="449"/>
      <c r="B35" s="449"/>
      <c r="C35" s="449"/>
      <c r="D35" s="449"/>
      <c r="E35" s="449"/>
      <c r="F35" s="449"/>
      <c r="G35" s="449"/>
      <c r="H35" s="449"/>
      <c r="I35" s="449"/>
      <c r="J35" s="449"/>
      <c r="K35" s="449"/>
    </row>
    <row r="36" spans="1:11">
      <c r="A36" s="449"/>
      <c r="B36" s="449"/>
      <c r="C36" s="449"/>
      <c r="D36" s="449"/>
      <c r="E36" s="449"/>
      <c r="F36" s="449"/>
      <c r="G36" s="449"/>
      <c r="H36" s="449"/>
      <c r="I36" s="449"/>
      <c r="J36" s="449"/>
      <c r="K36" s="449"/>
    </row>
    <row r="37" spans="1:11">
      <c r="A37" s="449"/>
      <c r="B37" s="449"/>
      <c r="C37" s="449"/>
      <c r="D37" s="449"/>
      <c r="E37" s="449"/>
      <c r="F37" s="449"/>
      <c r="G37" s="449"/>
      <c r="H37" s="449"/>
      <c r="I37" s="449"/>
      <c r="J37" s="449"/>
      <c r="K37" s="449"/>
    </row>
    <row r="38" spans="1:11">
      <c r="A38" s="449"/>
      <c r="B38" s="449"/>
      <c r="C38" s="449"/>
      <c r="D38" s="449"/>
      <c r="E38" s="449"/>
      <c r="F38" s="449"/>
      <c r="G38" s="449"/>
      <c r="H38" s="449"/>
      <c r="I38" s="449"/>
      <c r="J38" s="449"/>
      <c r="K38" s="449"/>
    </row>
    <row r="39" spans="1:11">
      <c r="A39" s="449"/>
      <c r="B39" s="449"/>
      <c r="C39" s="449"/>
      <c r="D39" s="449"/>
      <c r="E39" s="449"/>
      <c r="F39" s="449"/>
      <c r="G39" s="449"/>
      <c r="H39" s="449"/>
      <c r="I39" s="449"/>
      <c r="J39" s="449"/>
      <c r="K39" s="449"/>
    </row>
    <row r="40" spans="1:11">
      <c r="A40" s="449"/>
      <c r="B40" s="449"/>
      <c r="C40" s="449"/>
      <c r="D40" s="449"/>
      <c r="E40" s="449"/>
      <c r="F40" s="449"/>
      <c r="G40" s="449"/>
      <c r="H40" s="449"/>
      <c r="I40" s="449"/>
      <c r="J40" s="449"/>
      <c r="K40" s="449"/>
    </row>
    <row r="41" spans="1:11">
      <c r="G41" t="s">
        <v>63</v>
      </c>
    </row>
  </sheetData>
  <protectedRanges>
    <protectedRange password="CA4D" sqref="A1:K3 A11:K13" name="Range1"/>
    <protectedRange password="CA4D" sqref="E5 A4:D10 E6:K10" name="Range1_5"/>
  </protectedRanges>
  <mergeCells count="14">
    <mergeCell ref="B16:E16"/>
    <mergeCell ref="A1:K2"/>
    <mergeCell ref="A3:K3"/>
    <mergeCell ref="A11:A12"/>
    <mergeCell ref="B11:B12"/>
    <mergeCell ref="C11:C12"/>
    <mergeCell ref="D11:D12"/>
    <mergeCell ref="E11:E12"/>
    <mergeCell ref="F11:F12"/>
    <mergeCell ref="G11:G12"/>
    <mergeCell ref="H11:H12"/>
    <mergeCell ref="I11:I12"/>
    <mergeCell ref="J11:J12"/>
    <mergeCell ref="K11:K12"/>
  </mergeCells>
  <pageMargins left="1.02" right="0.7" top="0.75" bottom="0.75" header="0.34" footer="0.3"/>
  <pageSetup scale="75" orientation="landscape"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41"/>
  <sheetViews>
    <sheetView workbookViewId="0">
      <selection activeCell="G49" sqref="G49"/>
    </sheetView>
  </sheetViews>
  <sheetFormatPr defaultRowHeight="15"/>
  <cols>
    <col min="5" max="5" width="33.85546875" customWidth="1"/>
    <col min="12" max="12" width="10.42578125" customWidth="1"/>
  </cols>
  <sheetData>
    <row r="1" spans="1:12">
      <c r="A1" s="783" t="s">
        <v>176</v>
      </c>
      <c r="B1" s="783"/>
      <c r="C1" s="783"/>
      <c r="D1" s="783"/>
      <c r="E1" s="783"/>
      <c r="F1" s="783"/>
      <c r="G1" s="783"/>
      <c r="H1" s="783"/>
      <c r="I1" s="783"/>
      <c r="J1" s="783"/>
      <c r="K1" s="783"/>
      <c r="L1" s="783"/>
    </row>
    <row r="2" spans="1:12">
      <c r="A2" s="783"/>
      <c r="B2" s="783"/>
      <c r="C2" s="783"/>
      <c r="D2" s="783"/>
      <c r="E2" s="783"/>
      <c r="F2" s="783"/>
      <c r="G2" s="783"/>
      <c r="H2" s="783"/>
      <c r="I2" s="783"/>
      <c r="J2" s="783"/>
      <c r="K2" s="783"/>
      <c r="L2" s="783"/>
    </row>
    <row r="3" spans="1:12">
      <c r="A3" s="784" t="s">
        <v>177</v>
      </c>
      <c r="B3" s="784"/>
      <c r="C3" s="784"/>
      <c r="D3" s="784"/>
      <c r="E3" s="784"/>
      <c r="F3" s="784"/>
      <c r="G3" s="784"/>
      <c r="H3" s="784"/>
      <c r="I3" s="784"/>
      <c r="J3" s="784"/>
      <c r="K3" s="784"/>
      <c r="L3" s="784"/>
    </row>
    <row r="4" spans="1:12" ht="15" customHeight="1">
      <c r="A4" s="67" t="s">
        <v>178</v>
      </c>
      <c r="B4" s="59"/>
      <c r="C4" s="59"/>
      <c r="D4" s="59" t="str">
        <f>'0422Master'!F5</f>
        <v>Burgeon IT Services Pvt.Ltd.</v>
      </c>
      <c r="E4" s="60"/>
      <c r="F4" s="67" t="s">
        <v>179</v>
      </c>
      <c r="G4" s="59"/>
      <c r="H4" s="59"/>
      <c r="I4" s="59"/>
      <c r="J4" s="59"/>
      <c r="K4" s="59"/>
      <c r="L4" s="60"/>
    </row>
    <row r="5" spans="1:12">
      <c r="A5" s="61"/>
      <c r="B5" s="62" t="str">
        <f>'0422Master'!F6</f>
        <v>Siri Mansion LIGB 436 Dr.A S Rao Nagar,Hyderabad</v>
      </c>
      <c r="C5" s="62"/>
      <c r="D5" s="62"/>
      <c r="E5" s="63"/>
      <c r="F5" s="61"/>
      <c r="G5" s="62"/>
      <c r="H5" s="62"/>
      <c r="I5" s="62"/>
      <c r="J5" s="62"/>
      <c r="K5" s="62"/>
      <c r="L5" s="63"/>
    </row>
    <row r="6" spans="1:12">
      <c r="A6" s="64"/>
      <c r="B6" s="65">
        <f>'0422Master'!F7</f>
        <v>0</v>
      </c>
      <c r="C6" s="65"/>
      <c r="D6" s="65"/>
      <c r="E6" s="66"/>
      <c r="F6" s="64"/>
      <c r="G6" s="65"/>
      <c r="H6" s="65"/>
      <c r="I6" s="65"/>
      <c r="J6" s="65"/>
      <c r="K6" s="65"/>
      <c r="L6" s="66"/>
    </row>
    <row r="7" spans="1:12">
      <c r="A7" s="67" t="s">
        <v>141</v>
      </c>
      <c r="B7" s="59"/>
      <c r="C7" s="59"/>
      <c r="D7" s="59" t="str">
        <f>'0422Master'!F8</f>
        <v>IT SUPPORTIVE SERVICES &amp; BHUBANESWAR</v>
      </c>
      <c r="E7" s="60"/>
      <c r="F7" s="67" t="s">
        <v>142</v>
      </c>
      <c r="G7" s="59"/>
      <c r="H7" s="59"/>
      <c r="I7" s="59"/>
      <c r="J7" s="59"/>
      <c r="K7" s="59"/>
      <c r="L7" s="60"/>
    </row>
    <row r="8" spans="1:12">
      <c r="A8" s="61"/>
      <c r="B8" s="62"/>
      <c r="C8" s="62"/>
      <c r="D8" s="62"/>
      <c r="E8" s="63"/>
      <c r="F8" s="68" t="str">
        <f>'0422Master'!AO8</f>
        <v>INFOSYS LIMITED, IL BHUBANESHWAR-STP,UNIT-II</v>
      </c>
      <c r="G8" s="62"/>
      <c r="H8" s="62"/>
      <c r="I8" s="62"/>
      <c r="J8" s="62"/>
      <c r="K8" s="62"/>
      <c r="L8" s="63"/>
    </row>
    <row r="9" spans="1:12">
      <c r="A9" s="61"/>
      <c r="B9" s="62"/>
      <c r="C9" s="62"/>
      <c r="D9" s="62"/>
      <c r="E9" s="63"/>
      <c r="F9" s="61" t="str">
        <f>'0422Master'!AO10</f>
        <v>Plot No E/4,Info city,Chandaka Industrial, Bhubaneswar,Odisha - 751024</v>
      </c>
      <c r="G9" s="62"/>
      <c r="H9" s="62"/>
      <c r="I9" s="62"/>
      <c r="J9" s="62"/>
      <c r="K9" s="62"/>
      <c r="L9" s="63"/>
    </row>
    <row r="10" spans="1:12">
      <c r="A10" s="64"/>
      <c r="B10" s="65"/>
      <c r="C10" s="65"/>
      <c r="D10" s="65"/>
      <c r="E10" s="66"/>
      <c r="F10" s="64"/>
      <c r="G10" s="65"/>
      <c r="H10" s="65"/>
      <c r="I10" s="65"/>
      <c r="J10" s="65"/>
      <c r="K10" s="65"/>
      <c r="L10" s="66"/>
    </row>
    <row r="11" spans="1:12">
      <c r="A11" s="782" t="s">
        <v>59</v>
      </c>
      <c r="B11" s="782" t="s">
        <v>143</v>
      </c>
      <c r="C11" s="803" t="s">
        <v>144</v>
      </c>
      <c r="D11" s="450" t="s">
        <v>11</v>
      </c>
      <c r="E11" s="804" t="s">
        <v>145</v>
      </c>
      <c r="F11" s="781" t="s">
        <v>180</v>
      </c>
      <c r="G11" s="781" t="s">
        <v>181</v>
      </c>
      <c r="H11" s="781" t="s">
        <v>182</v>
      </c>
      <c r="I11" s="781" t="s">
        <v>183</v>
      </c>
      <c r="J11" s="781" t="s">
        <v>184</v>
      </c>
      <c r="K11" s="781" t="s">
        <v>185</v>
      </c>
      <c r="L11" s="782" t="s">
        <v>186</v>
      </c>
    </row>
    <row r="12" spans="1:12" ht="102" customHeight="1">
      <c r="A12" s="782"/>
      <c r="B12" s="782"/>
      <c r="C12" s="803"/>
      <c r="D12" s="399"/>
      <c r="E12" s="804"/>
      <c r="F12" s="781"/>
      <c r="G12" s="781"/>
      <c r="H12" s="781"/>
      <c r="I12" s="781"/>
      <c r="J12" s="781"/>
      <c r="K12" s="781"/>
      <c r="L12" s="782"/>
    </row>
    <row r="13" spans="1:12">
      <c r="A13" s="454">
        <v>1</v>
      </c>
      <c r="B13" s="454">
        <v>2</v>
      </c>
      <c r="C13" s="454">
        <v>3</v>
      </c>
      <c r="D13" s="71">
        <v>4</v>
      </c>
      <c r="E13" s="454">
        <v>5</v>
      </c>
      <c r="F13" s="454">
        <v>6</v>
      </c>
      <c r="G13" s="454">
        <v>7</v>
      </c>
      <c r="H13" s="454">
        <v>8</v>
      </c>
      <c r="I13" s="454">
        <v>9</v>
      </c>
      <c r="J13" s="454">
        <v>10</v>
      </c>
      <c r="K13" s="454">
        <v>11</v>
      </c>
      <c r="L13" s="454">
        <v>12</v>
      </c>
    </row>
    <row r="14" spans="1:12">
      <c r="A14" s="449"/>
      <c r="B14" s="449"/>
      <c r="C14" s="449"/>
      <c r="D14" s="449"/>
      <c r="E14" s="449"/>
      <c r="F14" s="449"/>
      <c r="G14" s="449"/>
      <c r="H14" s="449"/>
      <c r="I14" s="449"/>
      <c r="J14" s="449"/>
      <c r="K14" s="449"/>
      <c r="L14" s="449"/>
    </row>
    <row r="15" spans="1:12">
      <c r="A15" s="449"/>
      <c r="B15" s="455"/>
      <c r="C15" s="455"/>
      <c r="D15" s="455"/>
      <c r="E15" s="455"/>
      <c r="F15" s="449"/>
      <c r="G15" s="449"/>
      <c r="H15" s="449"/>
      <c r="I15" s="449"/>
      <c r="J15" s="449"/>
      <c r="K15" s="449"/>
      <c r="L15" s="449"/>
    </row>
    <row r="16" spans="1:12">
      <c r="A16" s="81"/>
      <c r="B16" s="800" t="s">
        <v>187</v>
      </c>
      <c r="C16" s="801"/>
      <c r="D16" s="801"/>
      <c r="E16" s="802"/>
      <c r="F16" s="84">
        <f>'0422Master'!D9</f>
        <v>44652</v>
      </c>
      <c r="G16" s="449"/>
      <c r="H16" s="449"/>
      <c r="I16" s="449"/>
      <c r="J16" s="449"/>
      <c r="K16" s="449"/>
      <c r="L16" s="449"/>
    </row>
    <row r="17" spans="1:12">
      <c r="A17" s="449"/>
      <c r="B17" s="78"/>
      <c r="C17" s="78"/>
      <c r="D17" s="78"/>
      <c r="E17" s="78"/>
      <c r="F17" s="449"/>
      <c r="G17" s="449"/>
      <c r="H17" s="449"/>
      <c r="I17" s="449"/>
      <c r="J17" s="449"/>
      <c r="K17" s="449"/>
      <c r="L17" s="449"/>
    </row>
    <row r="18" spans="1:12">
      <c r="A18" s="449"/>
      <c r="B18" s="449"/>
      <c r="C18" s="449"/>
      <c r="D18" s="449"/>
      <c r="E18" s="449"/>
      <c r="F18" s="449"/>
      <c r="G18" s="449"/>
      <c r="H18" s="449"/>
      <c r="I18" s="449"/>
      <c r="J18" s="449"/>
      <c r="K18" s="449"/>
      <c r="L18" s="449"/>
    </row>
    <row r="19" spans="1:12">
      <c r="A19" s="449"/>
      <c r="B19" s="449"/>
      <c r="C19" s="449"/>
      <c r="D19" s="449"/>
      <c r="E19" s="449"/>
      <c r="F19" s="449"/>
      <c r="G19" s="449"/>
      <c r="H19" s="449"/>
      <c r="I19" s="449"/>
      <c r="J19" s="449"/>
      <c r="K19" s="449"/>
      <c r="L19" s="449"/>
    </row>
    <row r="20" spans="1:12">
      <c r="A20" s="449"/>
      <c r="B20" s="449"/>
      <c r="C20" s="449"/>
      <c r="D20" s="449"/>
      <c r="E20" s="449"/>
      <c r="F20" s="449"/>
      <c r="G20" s="449"/>
      <c r="H20" s="449"/>
      <c r="I20" s="449"/>
      <c r="J20" s="449"/>
      <c r="K20" s="449"/>
      <c r="L20" s="449"/>
    </row>
    <row r="21" spans="1:12">
      <c r="A21" s="449"/>
      <c r="B21" s="449"/>
      <c r="C21" s="449"/>
      <c r="D21" s="449"/>
      <c r="E21" s="449"/>
      <c r="F21" s="449"/>
      <c r="G21" s="449"/>
      <c r="H21" s="449"/>
      <c r="I21" s="449"/>
      <c r="J21" s="449"/>
      <c r="K21" s="449"/>
      <c r="L21" s="449"/>
    </row>
    <row r="22" spans="1:12">
      <c r="A22" s="449"/>
      <c r="B22" s="449"/>
      <c r="C22" s="449"/>
      <c r="D22" s="449"/>
      <c r="E22" s="449"/>
      <c r="F22" s="449"/>
      <c r="G22" s="449"/>
      <c r="H22" s="449"/>
      <c r="I22" s="449"/>
      <c r="J22" s="449"/>
      <c r="K22" s="449"/>
      <c r="L22" s="449"/>
    </row>
    <row r="23" spans="1:12">
      <c r="A23" s="449"/>
      <c r="B23" s="449"/>
      <c r="C23" s="449"/>
      <c r="D23" s="449"/>
      <c r="E23" s="449"/>
      <c r="F23" s="449"/>
      <c r="G23" s="449"/>
      <c r="H23" s="449"/>
      <c r="I23" s="449"/>
      <c r="J23" s="449"/>
      <c r="K23" s="449"/>
      <c r="L23" s="449"/>
    </row>
    <row r="24" spans="1:12">
      <c r="A24" s="449"/>
      <c r="B24" s="449"/>
      <c r="C24" s="449"/>
      <c r="D24" s="449"/>
      <c r="E24" s="449"/>
      <c r="F24" s="449"/>
      <c r="G24" s="449"/>
      <c r="H24" s="449"/>
      <c r="I24" s="449"/>
      <c r="J24" s="449"/>
      <c r="K24" s="449"/>
      <c r="L24" s="449"/>
    </row>
    <row r="25" spans="1:12">
      <c r="A25" s="449"/>
      <c r="B25" s="449"/>
      <c r="C25" s="449"/>
      <c r="D25" s="449"/>
      <c r="E25" s="449"/>
      <c r="F25" s="449"/>
      <c r="G25" s="449"/>
      <c r="H25" s="449"/>
      <c r="I25" s="449"/>
      <c r="J25" s="449"/>
      <c r="K25" s="449"/>
      <c r="L25" s="449"/>
    </row>
    <row r="26" spans="1:12">
      <c r="A26" s="449"/>
      <c r="B26" s="449"/>
      <c r="C26" s="449"/>
      <c r="D26" s="449"/>
      <c r="E26" s="449"/>
      <c r="F26" s="449"/>
      <c r="G26" s="449"/>
      <c r="H26" s="449"/>
      <c r="I26" s="449"/>
      <c r="J26" s="449"/>
      <c r="K26" s="449"/>
      <c r="L26" s="449"/>
    </row>
    <row r="27" spans="1:12">
      <c r="A27" s="449"/>
      <c r="B27" s="449"/>
      <c r="C27" s="449"/>
      <c r="D27" s="449"/>
      <c r="E27" s="449"/>
      <c r="F27" s="449"/>
      <c r="G27" s="449"/>
      <c r="H27" s="449"/>
      <c r="I27" s="449"/>
      <c r="J27" s="449"/>
      <c r="K27" s="449"/>
      <c r="L27" s="449"/>
    </row>
    <row r="28" spans="1:12">
      <c r="A28" s="449"/>
      <c r="B28" s="449"/>
      <c r="C28" s="449"/>
      <c r="D28" s="449"/>
      <c r="E28" s="449"/>
      <c r="F28" s="449"/>
      <c r="G28" s="449"/>
      <c r="H28" s="449"/>
      <c r="I28" s="449"/>
      <c r="J28" s="449"/>
      <c r="K28" s="449"/>
      <c r="L28" s="449"/>
    </row>
    <row r="29" spans="1:12">
      <c r="A29" s="449"/>
      <c r="B29" s="449"/>
      <c r="C29" s="449"/>
      <c r="D29" s="449"/>
      <c r="E29" s="449"/>
      <c r="F29" s="449"/>
      <c r="G29" s="449"/>
      <c r="H29" s="449"/>
      <c r="I29" s="449"/>
      <c r="J29" s="449"/>
      <c r="K29" s="449"/>
      <c r="L29" s="449"/>
    </row>
    <row r="30" spans="1:12">
      <c r="A30" s="449"/>
      <c r="B30" s="449"/>
      <c r="C30" s="449"/>
      <c r="D30" s="449"/>
      <c r="E30" s="449"/>
      <c r="F30" s="449"/>
      <c r="G30" s="449"/>
      <c r="H30" s="449"/>
      <c r="I30" s="449"/>
      <c r="J30" s="449"/>
      <c r="K30" s="449"/>
      <c r="L30" s="449"/>
    </row>
    <row r="31" spans="1:12">
      <c r="A31" s="449"/>
      <c r="B31" s="449"/>
      <c r="C31" s="449"/>
      <c r="D31" s="449"/>
      <c r="E31" s="449"/>
      <c r="F31" s="449"/>
      <c r="G31" s="449"/>
      <c r="H31" s="449"/>
      <c r="I31" s="449"/>
      <c r="J31" s="449"/>
      <c r="K31" s="449"/>
      <c r="L31" s="449"/>
    </row>
    <row r="32" spans="1:12">
      <c r="A32" s="449"/>
      <c r="B32" s="449"/>
      <c r="C32" s="449"/>
      <c r="D32" s="449"/>
      <c r="E32" s="449"/>
      <c r="F32" s="449"/>
      <c r="G32" s="449"/>
      <c r="H32" s="449"/>
      <c r="I32" s="449"/>
      <c r="J32" s="449"/>
      <c r="K32" s="449"/>
      <c r="L32" s="449"/>
    </row>
    <row r="33" spans="1:12">
      <c r="A33" s="449"/>
      <c r="B33" s="449"/>
      <c r="C33" s="449"/>
      <c r="D33" s="449"/>
      <c r="E33" s="449"/>
      <c r="F33" s="449"/>
      <c r="G33" s="449"/>
      <c r="H33" s="449"/>
      <c r="I33" s="449"/>
      <c r="J33" s="449"/>
      <c r="K33" s="449"/>
      <c r="L33" s="449"/>
    </row>
    <row r="34" spans="1:12">
      <c r="A34" s="449"/>
      <c r="B34" s="449"/>
      <c r="C34" s="449"/>
      <c r="D34" s="449"/>
      <c r="E34" s="449"/>
      <c r="F34" s="449"/>
      <c r="G34" s="449"/>
      <c r="H34" s="449"/>
      <c r="I34" s="449"/>
      <c r="J34" s="449"/>
      <c r="K34" s="449"/>
      <c r="L34" s="449"/>
    </row>
    <row r="35" spans="1:12">
      <c r="A35" s="449"/>
      <c r="B35" s="449"/>
      <c r="C35" s="449"/>
      <c r="D35" s="449"/>
      <c r="E35" s="449"/>
      <c r="F35" s="449"/>
      <c r="G35" s="449"/>
      <c r="H35" s="449"/>
      <c r="I35" s="449"/>
      <c r="J35" s="449"/>
      <c r="K35" s="449"/>
      <c r="L35" s="449"/>
    </row>
    <row r="36" spans="1:12">
      <c r="A36" s="61"/>
      <c r="B36" s="62"/>
      <c r="C36" s="62"/>
      <c r="D36" s="62"/>
      <c r="E36" s="62"/>
      <c r="F36" s="62"/>
      <c r="G36" s="62"/>
      <c r="H36" s="62"/>
      <c r="I36" s="62"/>
      <c r="J36" s="62"/>
      <c r="K36" s="62"/>
      <c r="L36" s="63"/>
    </row>
    <row r="37" spans="1:12">
      <c r="A37" s="61"/>
      <c r="B37" s="62"/>
      <c r="C37" s="62"/>
      <c r="D37" s="62"/>
      <c r="E37" s="62"/>
      <c r="F37" s="62"/>
      <c r="G37" s="62"/>
      <c r="H37" s="62"/>
      <c r="I37" s="62"/>
      <c r="J37" s="62"/>
      <c r="K37" s="62"/>
      <c r="L37" s="63"/>
    </row>
    <row r="38" spans="1:12">
      <c r="A38" s="85"/>
      <c r="B38" s="27"/>
      <c r="C38" s="27"/>
      <c r="D38" s="27"/>
      <c r="E38" s="27"/>
      <c r="F38" s="27"/>
      <c r="G38" s="27" t="s">
        <v>63</v>
      </c>
      <c r="H38" s="27"/>
      <c r="I38" s="27"/>
      <c r="J38" s="27"/>
      <c r="K38" s="27"/>
      <c r="L38" s="77"/>
    </row>
    <row r="39" spans="1:12">
      <c r="A39" s="85"/>
      <c r="B39" s="27"/>
      <c r="C39" s="27"/>
      <c r="D39" s="27"/>
      <c r="E39" s="27"/>
      <c r="F39" s="27"/>
      <c r="G39" s="27"/>
      <c r="H39" s="27"/>
      <c r="I39" s="27"/>
      <c r="J39" s="27"/>
      <c r="K39" s="27"/>
      <c r="L39" s="77"/>
    </row>
    <row r="40" spans="1:12">
      <c r="A40" s="85"/>
      <c r="B40" s="27"/>
      <c r="C40" s="27"/>
      <c r="D40" s="27"/>
      <c r="E40" s="27"/>
      <c r="F40" s="27"/>
      <c r="G40" s="27"/>
      <c r="H40" s="27"/>
      <c r="I40" s="27"/>
      <c r="J40" s="27"/>
      <c r="K40" s="27"/>
      <c r="L40" s="77"/>
    </row>
    <row r="41" spans="1:12">
      <c r="A41" s="86"/>
      <c r="B41" s="46"/>
      <c r="C41" s="46"/>
      <c r="D41" s="46"/>
      <c r="E41" s="46"/>
      <c r="F41" s="46"/>
      <c r="G41" s="46"/>
      <c r="H41" s="46"/>
      <c r="I41" s="46"/>
      <c r="J41" s="46"/>
      <c r="K41" s="46"/>
      <c r="L41" s="87"/>
    </row>
  </sheetData>
  <protectedRanges>
    <protectedRange password="CA4D" sqref="A1:L3 A4:E4 A6:E10 A5 E5 A11:L13" name="Range1"/>
    <protectedRange password="CA4D" sqref="F4:L6" name="Range1_2"/>
    <protectedRange password="CA4D" sqref="F7:L10" name="Range1_4"/>
    <protectedRange password="CA4D" sqref="B5:D5" name="Range1_1"/>
  </protectedRanges>
  <mergeCells count="14">
    <mergeCell ref="B16:E16"/>
    <mergeCell ref="A1:L2"/>
    <mergeCell ref="A3:L3"/>
    <mergeCell ref="A11:A12"/>
    <mergeCell ref="B11:B12"/>
    <mergeCell ref="C11:C12"/>
    <mergeCell ref="E11:E12"/>
    <mergeCell ref="F11:F12"/>
    <mergeCell ref="G11:G12"/>
    <mergeCell ref="H11:H12"/>
    <mergeCell ref="I11:I12"/>
    <mergeCell ref="J11:J12"/>
    <mergeCell ref="L11:L12"/>
    <mergeCell ref="K11:K12"/>
  </mergeCells>
  <pageMargins left="0.94488188976377963" right="0.70866141732283472" top="0.74803149606299213" bottom="0.74803149606299213" header="0.31496062992125984" footer="0.31496062992125984"/>
  <pageSetup scale="75" orientation="landscape"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27"/>
  <sheetViews>
    <sheetView topLeftCell="A4" workbookViewId="0">
      <selection activeCell="E18" sqref="E18"/>
    </sheetView>
  </sheetViews>
  <sheetFormatPr defaultRowHeight="15"/>
  <cols>
    <col min="1" max="1" width="7" customWidth="1"/>
    <col min="2" max="2" width="7.140625" customWidth="1"/>
    <col min="3" max="3" width="8.85546875" customWidth="1"/>
    <col min="4" max="4" width="13.85546875" customWidth="1"/>
    <col min="5" max="5" width="21" customWidth="1"/>
    <col min="7" max="7" width="7.85546875" customWidth="1"/>
    <col min="8" max="8" width="7.140625" customWidth="1"/>
    <col min="9" max="9" width="7.5703125" customWidth="1"/>
    <col min="10" max="10" width="5.85546875" customWidth="1"/>
    <col min="11" max="11" width="6.42578125" customWidth="1"/>
    <col min="12" max="13" width="7.85546875" customWidth="1"/>
    <col min="14" max="14" width="8.28515625" customWidth="1"/>
  </cols>
  <sheetData>
    <row r="1" spans="1:18">
      <c r="A1" s="814" t="s">
        <v>451</v>
      </c>
      <c r="B1" s="815"/>
      <c r="C1" s="815"/>
      <c r="D1" s="815"/>
      <c r="E1" s="815"/>
      <c r="F1" s="815"/>
      <c r="G1" s="815"/>
      <c r="H1" s="815"/>
      <c r="I1" s="815"/>
      <c r="J1" s="815"/>
      <c r="K1" s="815"/>
      <c r="L1" s="815"/>
      <c r="M1" s="815"/>
      <c r="N1" s="815"/>
      <c r="O1" s="815"/>
      <c r="P1" s="815"/>
      <c r="Q1" s="815"/>
      <c r="R1" s="816"/>
    </row>
    <row r="2" spans="1:18">
      <c r="A2" s="817"/>
      <c r="B2" s="818"/>
      <c r="C2" s="818"/>
      <c r="D2" s="818"/>
      <c r="E2" s="818"/>
      <c r="F2" s="818"/>
      <c r="G2" s="818"/>
      <c r="H2" s="818"/>
      <c r="I2" s="818"/>
      <c r="J2" s="818"/>
      <c r="K2" s="818"/>
      <c r="L2" s="818"/>
      <c r="M2" s="818"/>
      <c r="N2" s="818"/>
      <c r="O2" s="818"/>
      <c r="P2" s="818"/>
      <c r="Q2" s="818"/>
      <c r="R2" s="819"/>
    </row>
    <row r="3" spans="1:18">
      <c r="A3" s="820" t="s">
        <v>452</v>
      </c>
      <c r="B3" s="820"/>
      <c r="C3" s="820"/>
      <c r="D3" s="820"/>
      <c r="E3" s="820"/>
      <c r="F3" s="820"/>
      <c r="G3" s="820"/>
      <c r="H3" s="820"/>
      <c r="I3" s="820"/>
      <c r="J3" s="820"/>
      <c r="K3" s="820"/>
      <c r="L3" s="820"/>
      <c r="M3" s="820"/>
      <c r="N3" s="820"/>
      <c r="O3" s="820"/>
      <c r="P3" s="820"/>
      <c r="Q3" s="820"/>
      <c r="R3" s="820"/>
    </row>
    <row r="4" spans="1:18" ht="15" customHeight="1">
      <c r="A4" s="820" t="s">
        <v>453</v>
      </c>
      <c r="B4" s="820"/>
      <c r="C4" s="820"/>
      <c r="D4" s="820"/>
      <c r="E4" s="820"/>
      <c r="F4" s="820"/>
      <c r="G4" s="820"/>
      <c r="H4" s="820"/>
      <c r="I4" s="820"/>
      <c r="J4" s="820"/>
      <c r="K4" s="820"/>
      <c r="L4" s="820"/>
      <c r="M4" s="820"/>
      <c r="N4" s="820"/>
      <c r="O4" s="820"/>
      <c r="P4" s="820"/>
      <c r="Q4" s="820"/>
      <c r="R4" s="820"/>
    </row>
    <row r="5" spans="1:18">
      <c r="A5" s="557"/>
      <c r="B5" s="820" t="s">
        <v>454</v>
      </c>
      <c r="C5" s="820"/>
      <c r="D5" s="820"/>
      <c r="E5" s="820"/>
      <c r="F5" s="820"/>
      <c r="G5" s="820"/>
      <c r="H5" s="820"/>
      <c r="I5" s="820"/>
      <c r="J5" s="820"/>
      <c r="K5" s="820"/>
      <c r="L5" s="820"/>
      <c r="M5" s="820"/>
      <c r="N5" s="820"/>
      <c r="O5" s="820"/>
      <c r="P5" s="820"/>
      <c r="Q5" s="820"/>
      <c r="R5" s="820"/>
    </row>
    <row r="6" spans="1:18">
      <c r="A6" s="821"/>
      <c r="B6" s="821"/>
      <c r="C6" s="821"/>
      <c r="D6" s="822"/>
      <c r="E6" s="821"/>
      <c r="F6" s="64"/>
      <c r="G6" s="65"/>
      <c r="H6" s="65"/>
      <c r="I6" s="62"/>
      <c r="J6" s="62"/>
      <c r="K6" s="62"/>
      <c r="L6" s="62"/>
      <c r="M6" s="62"/>
      <c r="N6" s="62"/>
      <c r="O6" s="62"/>
      <c r="P6" s="65"/>
      <c r="Q6" s="65"/>
      <c r="R6" s="66"/>
    </row>
    <row r="7" spans="1:18">
      <c r="A7" s="811" t="s">
        <v>59</v>
      </c>
      <c r="B7" s="805" t="s">
        <v>455</v>
      </c>
      <c r="C7" s="805" t="s">
        <v>456</v>
      </c>
      <c r="D7" s="808" t="s">
        <v>457</v>
      </c>
      <c r="E7" s="805" t="s">
        <v>11</v>
      </c>
      <c r="F7" s="805" t="s">
        <v>188</v>
      </c>
      <c r="G7" s="558"/>
      <c r="H7" s="808" t="s">
        <v>190</v>
      </c>
      <c r="I7" s="823" t="s">
        <v>458</v>
      </c>
      <c r="J7" s="824"/>
      <c r="K7" s="824"/>
      <c r="L7" s="824"/>
      <c r="M7" s="554"/>
      <c r="N7" s="554"/>
      <c r="O7" s="554"/>
      <c r="P7" s="827" t="s">
        <v>459</v>
      </c>
      <c r="Q7" s="828" t="s">
        <v>191</v>
      </c>
      <c r="R7" s="808" t="s">
        <v>460</v>
      </c>
    </row>
    <row r="8" spans="1:18" ht="171.75">
      <c r="A8" s="812"/>
      <c r="B8" s="806"/>
      <c r="C8" s="806"/>
      <c r="D8" s="809"/>
      <c r="E8" s="806"/>
      <c r="F8" s="806"/>
      <c r="G8" s="806" t="s">
        <v>189</v>
      </c>
      <c r="H8" s="809"/>
      <c r="I8" s="825"/>
      <c r="J8" s="826"/>
      <c r="K8" s="826"/>
      <c r="L8" s="826"/>
      <c r="M8" s="555"/>
      <c r="N8" s="559" t="s">
        <v>461</v>
      </c>
      <c r="O8" s="559" t="s">
        <v>462</v>
      </c>
      <c r="P8" s="827"/>
      <c r="Q8" s="828"/>
      <c r="R8" s="810"/>
    </row>
    <row r="9" spans="1:18" ht="34.5">
      <c r="A9" s="813"/>
      <c r="B9" s="807"/>
      <c r="C9" s="807"/>
      <c r="D9" s="810"/>
      <c r="E9" s="807"/>
      <c r="F9" s="807"/>
      <c r="G9" s="807"/>
      <c r="H9" s="810"/>
      <c r="I9" s="95" t="s">
        <v>463</v>
      </c>
      <c r="J9" s="94" t="s">
        <v>464</v>
      </c>
      <c r="K9" s="89" t="s">
        <v>465</v>
      </c>
      <c r="L9" s="89" t="s">
        <v>466</v>
      </c>
      <c r="M9" s="89" t="s">
        <v>272</v>
      </c>
      <c r="N9" s="89"/>
      <c r="O9" s="89"/>
      <c r="P9" s="454"/>
      <c r="Q9" s="454"/>
      <c r="R9" s="454"/>
    </row>
    <row r="10" spans="1:18">
      <c r="A10" s="560">
        <v>1</v>
      </c>
      <c r="B10" s="560">
        <v>2</v>
      </c>
      <c r="C10" s="560">
        <v>3</v>
      </c>
      <c r="D10" s="560">
        <v>4</v>
      </c>
      <c r="E10" s="560">
        <v>5</v>
      </c>
      <c r="F10" s="560">
        <v>6</v>
      </c>
      <c r="G10" s="561">
        <v>7</v>
      </c>
      <c r="H10" s="561">
        <v>8</v>
      </c>
      <c r="I10" s="560">
        <v>9</v>
      </c>
      <c r="J10" s="560">
        <v>10</v>
      </c>
      <c r="K10" s="560">
        <v>11</v>
      </c>
      <c r="L10" s="560">
        <v>12</v>
      </c>
      <c r="M10" s="560">
        <v>13</v>
      </c>
      <c r="N10" s="560">
        <v>14</v>
      </c>
      <c r="O10" s="560">
        <v>15</v>
      </c>
      <c r="P10" s="560">
        <v>16</v>
      </c>
      <c r="Q10" s="560">
        <v>17</v>
      </c>
      <c r="R10" s="560">
        <v>18</v>
      </c>
    </row>
    <row r="11" spans="1:18" ht="15.75" thickBot="1">
      <c r="A11" s="449"/>
      <c r="B11" s="455"/>
      <c r="C11" s="455"/>
      <c r="D11" s="455"/>
      <c r="E11" s="455"/>
      <c r="F11" s="449"/>
      <c r="G11" s="449"/>
      <c r="H11" s="449"/>
      <c r="I11" s="449"/>
      <c r="J11" s="449"/>
      <c r="K11" s="449"/>
      <c r="L11" s="449"/>
      <c r="M11" s="449"/>
      <c r="N11" s="449"/>
      <c r="O11" s="449"/>
      <c r="P11" s="449"/>
      <c r="Q11" s="449"/>
      <c r="R11" s="449"/>
    </row>
    <row r="12" spans="1:18" ht="15.75" thickBot="1">
      <c r="A12" s="81"/>
      <c r="B12" s="91" t="s">
        <v>192</v>
      </c>
      <c r="C12" s="92"/>
      <c r="D12" s="92"/>
      <c r="E12" s="93"/>
      <c r="F12" s="562">
        <f>'0422Master'!D9</f>
        <v>44652</v>
      </c>
      <c r="G12" s="84"/>
      <c r="H12" s="449"/>
      <c r="I12" s="449"/>
      <c r="J12" s="449"/>
      <c r="K12" s="449"/>
      <c r="L12" s="449"/>
      <c r="M12" s="449"/>
      <c r="N12" s="449"/>
      <c r="O12" s="449"/>
      <c r="P12" s="449"/>
      <c r="Q12" s="449"/>
      <c r="R12" s="449"/>
    </row>
    <row r="13" spans="1:18">
      <c r="A13" s="449"/>
      <c r="B13" s="78"/>
      <c r="C13" s="78"/>
      <c r="D13" s="78"/>
      <c r="E13" s="78"/>
      <c r="F13" s="449"/>
      <c r="G13" s="449"/>
      <c r="H13" s="449"/>
      <c r="I13" s="449"/>
      <c r="J13" s="449"/>
      <c r="K13" s="449"/>
      <c r="L13" s="449"/>
      <c r="M13" s="449"/>
      <c r="N13" s="449"/>
      <c r="O13" s="449"/>
      <c r="P13" s="449"/>
      <c r="Q13" s="449"/>
      <c r="R13" s="449"/>
    </row>
    <row r="14" spans="1:18">
      <c r="A14" s="455"/>
      <c r="B14" s="455"/>
      <c r="C14" s="455"/>
      <c r="D14" s="449"/>
      <c r="E14" s="449"/>
      <c r="F14" s="449"/>
      <c r="G14" s="449"/>
      <c r="H14" s="449"/>
      <c r="I14" s="449"/>
      <c r="J14" s="449"/>
      <c r="K14" s="449"/>
      <c r="L14" s="449"/>
      <c r="M14" s="449"/>
      <c r="N14" s="449"/>
      <c r="O14" s="449"/>
      <c r="P14" s="449"/>
      <c r="Q14" s="449"/>
      <c r="R14" s="449"/>
    </row>
    <row r="15" spans="1:18">
      <c r="A15" s="449"/>
      <c r="B15" s="449"/>
      <c r="C15" s="449"/>
      <c r="D15" s="449"/>
      <c r="E15" s="449"/>
      <c r="F15" s="84"/>
      <c r="G15" s="449"/>
      <c r="H15" s="449"/>
      <c r="I15" s="449"/>
      <c r="J15" s="449"/>
      <c r="K15" s="449"/>
      <c r="L15" s="449"/>
      <c r="M15" s="449"/>
      <c r="N15" s="449"/>
      <c r="O15" s="449"/>
      <c r="P15" s="449"/>
      <c r="Q15" s="449"/>
      <c r="R15" s="449"/>
    </row>
    <row r="16" spans="1:18">
      <c r="A16" s="449"/>
      <c r="B16" s="449"/>
      <c r="C16" s="449"/>
      <c r="D16" s="449"/>
      <c r="E16" s="449"/>
      <c r="F16" s="562"/>
      <c r="G16" s="449"/>
      <c r="H16" s="449"/>
      <c r="I16" s="449"/>
      <c r="J16" s="449"/>
      <c r="K16" s="449"/>
      <c r="L16" s="449"/>
      <c r="M16" s="449"/>
      <c r="N16" s="449"/>
      <c r="O16" s="449"/>
      <c r="P16" s="449"/>
      <c r="Q16" s="449"/>
      <c r="R16" s="449"/>
    </row>
    <row r="17" spans="1:18">
      <c r="A17" s="449"/>
      <c r="B17" s="449"/>
      <c r="C17" s="449"/>
      <c r="D17" s="449"/>
      <c r="E17" s="449"/>
      <c r="F17" s="449"/>
      <c r="G17" s="449"/>
      <c r="H17" s="449"/>
      <c r="I17" s="449"/>
      <c r="J17" s="449"/>
      <c r="K17" s="449"/>
      <c r="L17" s="449"/>
      <c r="M17" s="449"/>
      <c r="N17" s="449"/>
      <c r="O17" s="449"/>
      <c r="P17" s="449"/>
      <c r="Q17" s="449"/>
      <c r="R17" s="449"/>
    </row>
    <row r="18" spans="1:18">
      <c r="A18" s="449"/>
      <c r="B18" s="449"/>
      <c r="C18" s="449"/>
      <c r="D18" s="449"/>
      <c r="E18" s="449"/>
      <c r="F18" s="84"/>
      <c r="G18" s="449"/>
      <c r="H18" s="449"/>
      <c r="I18" s="449"/>
      <c r="J18" s="449"/>
      <c r="K18" s="449"/>
      <c r="L18" s="449"/>
      <c r="M18" s="449"/>
      <c r="N18" s="449"/>
      <c r="O18" s="449"/>
      <c r="P18" s="449"/>
      <c r="Q18" s="449"/>
      <c r="R18" s="449"/>
    </row>
    <row r="19" spans="1:18">
      <c r="A19" s="78"/>
      <c r="B19" s="78"/>
      <c r="C19" s="78"/>
      <c r="D19" s="449"/>
      <c r="E19" s="449"/>
      <c r="F19" s="449"/>
      <c r="G19" s="449"/>
      <c r="H19" s="449"/>
      <c r="I19" s="449"/>
      <c r="J19" s="449"/>
      <c r="K19" s="449"/>
      <c r="L19" s="449"/>
      <c r="M19" s="449"/>
      <c r="N19" s="449"/>
      <c r="O19" s="449"/>
      <c r="P19" s="449"/>
      <c r="Q19" s="449"/>
      <c r="R19" s="449"/>
    </row>
    <row r="20" spans="1:18">
      <c r="A20" s="449"/>
      <c r="B20" s="449"/>
      <c r="C20" s="449"/>
      <c r="D20" s="449"/>
      <c r="E20" s="449"/>
      <c r="F20" s="562"/>
      <c r="G20" s="449"/>
      <c r="H20" s="449"/>
      <c r="I20" s="449"/>
      <c r="J20" s="449"/>
      <c r="K20" s="449"/>
      <c r="L20" s="449"/>
      <c r="M20" s="449"/>
      <c r="N20" s="449"/>
      <c r="O20" s="449"/>
      <c r="P20" s="449"/>
      <c r="Q20" s="449"/>
      <c r="R20" s="449"/>
    </row>
    <row r="21" spans="1:18">
      <c r="A21" s="449"/>
      <c r="B21" s="449"/>
      <c r="C21" s="449"/>
      <c r="D21" s="449"/>
      <c r="E21" s="449"/>
      <c r="F21" s="449"/>
      <c r="G21" s="449"/>
      <c r="H21" s="449"/>
      <c r="I21" s="449"/>
      <c r="J21" s="449"/>
      <c r="K21" s="449"/>
      <c r="L21" s="449"/>
      <c r="M21" s="449"/>
      <c r="N21" s="449"/>
      <c r="O21" s="449"/>
      <c r="P21" s="449"/>
      <c r="Q21" s="449"/>
      <c r="R21" s="449"/>
    </row>
    <row r="27" spans="1:18">
      <c r="J27" t="s">
        <v>63</v>
      </c>
    </row>
  </sheetData>
  <protectedRanges>
    <protectedRange password="CA4D" sqref="A1:O3 A4:E4 A6:E10 A5 E5 A13:O13 A11:A12 C11:O11 F15 F18 C12:E12 G12:O12" name="Range1"/>
    <protectedRange password="CA4D" sqref="F4:O6" name="Range1_2"/>
    <protectedRange password="CA4D" sqref="F7:O10" name="Range1_4"/>
    <protectedRange password="CA4D" sqref="B5:D5" name="Range1_1"/>
    <protectedRange password="CA4D" sqref="B11:B12 B18 B15:B16 B20" name="Range1_3"/>
  </protectedRanges>
  <mergeCells count="17">
    <mergeCell ref="I7:L8"/>
    <mergeCell ref="P7:P8"/>
    <mergeCell ref="Q7:Q8"/>
    <mergeCell ref="R7:R8"/>
    <mergeCell ref="G8:G9"/>
    <mergeCell ref="A1:R2"/>
    <mergeCell ref="A3:R3"/>
    <mergeCell ref="A4:R4"/>
    <mergeCell ref="B5:R5"/>
    <mergeCell ref="A6:E6"/>
    <mergeCell ref="F7:F9"/>
    <mergeCell ref="H7:H9"/>
    <mergeCell ref="A7:A9"/>
    <mergeCell ref="B7:B9"/>
    <mergeCell ref="C7:C9"/>
    <mergeCell ref="D7:D9"/>
    <mergeCell ref="E7:E9"/>
  </mergeCells>
  <pageMargins left="0.70866141732283472" right="0.70866141732283472" top="0.74803149606299213" bottom="0.74803149606299213" header="0.31496062992125984" footer="0.31496062992125984"/>
  <pageSetup scale="75"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G20"/>
  <sheetViews>
    <sheetView zoomScale="115" zoomScaleNormal="115" workbookViewId="0">
      <selection activeCell="G16" sqref="G16"/>
    </sheetView>
  </sheetViews>
  <sheetFormatPr defaultRowHeight="15"/>
  <cols>
    <col min="3" max="3" width="21.7109375" bestFit="1" customWidth="1"/>
    <col min="4" max="4" width="17" customWidth="1"/>
    <col min="5" max="5" width="14.42578125" customWidth="1"/>
    <col min="6" max="6" width="17" customWidth="1"/>
    <col min="7" max="7" width="16.42578125" customWidth="1"/>
  </cols>
  <sheetData>
    <row r="1" spans="2:7" ht="23.25" customHeight="1">
      <c r="C1" s="174" t="str">
        <f>'0422Master'!F5</f>
        <v>Burgeon IT Services Pvt.Ltd.</v>
      </c>
      <c r="E1" s="174" t="s">
        <v>238</v>
      </c>
    </row>
    <row r="2" spans="2:7">
      <c r="B2" s="476" t="s">
        <v>59</v>
      </c>
      <c r="C2" s="476" t="s">
        <v>198</v>
      </c>
      <c r="D2" s="476" t="s">
        <v>22</v>
      </c>
      <c r="E2" s="476" t="s">
        <v>239</v>
      </c>
      <c r="F2" s="476" t="s">
        <v>240</v>
      </c>
      <c r="G2" s="476" t="s">
        <v>20</v>
      </c>
    </row>
    <row r="3" spans="2:7">
      <c r="B3" s="308">
        <v>1</v>
      </c>
      <c r="C3" s="315" t="str">
        <f>'0422Master'!U14</f>
        <v>KRANTHI KUMAR VEDULLA</v>
      </c>
      <c r="D3" s="315" t="str">
        <f>'0422Master'!T14</f>
        <v>NA</v>
      </c>
      <c r="E3" s="308"/>
      <c r="F3" s="308"/>
      <c r="G3" s="308"/>
    </row>
    <row r="4" spans="2:7">
      <c r="B4" s="308">
        <v>2</v>
      </c>
      <c r="C4" s="315" t="str">
        <f>'0422Master'!U15</f>
        <v>Vipin U.N</v>
      </c>
      <c r="D4" s="315" t="str">
        <f>'0422Master'!T15</f>
        <v>NA</v>
      </c>
      <c r="E4" s="308"/>
      <c r="F4" s="308"/>
      <c r="G4" s="308"/>
    </row>
    <row r="5" spans="2:7">
      <c r="B5" s="308">
        <v>3</v>
      </c>
      <c r="C5" s="315"/>
      <c r="D5" s="315"/>
      <c r="E5" s="308"/>
      <c r="F5" s="308"/>
      <c r="G5" s="308"/>
    </row>
    <row r="6" spans="2:7">
      <c r="B6" s="308">
        <v>4</v>
      </c>
      <c r="C6" s="315"/>
      <c r="D6" s="315"/>
      <c r="E6" s="308"/>
      <c r="F6" s="308"/>
      <c r="G6" s="308"/>
    </row>
    <row r="7" spans="2:7">
      <c r="B7" s="308">
        <v>5</v>
      </c>
      <c r="C7" s="315"/>
      <c r="D7" s="315"/>
      <c r="E7" s="308"/>
      <c r="F7" s="308"/>
      <c r="G7" s="308"/>
    </row>
    <row r="8" spans="2:7">
      <c r="B8" s="308">
        <v>6</v>
      </c>
      <c r="C8" s="315"/>
      <c r="D8" s="315"/>
      <c r="E8" s="308"/>
      <c r="F8" s="308"/>
      <c r="G8" s="308"/>
    </row>
    <row r="9" spans="2:7">
      <c r="B9" s="308">
        <v>7</v>
      </c>
      <c r="C9" s="315"/>
      <c r="D9" s="315"/>
      <c r="E9" s="308"/>
      <c r="F9" s="308"/>
      <c r="G9" s="308"/>
    </row>
    <row r="10" spans="2:7">
      <c r="B10" s="308">
        <v>8</v>
      </c>
      <c r="C10" s="315"/>
      <c r="D10" s="315"/>
      <c r="E10" s="308"/>
      <c r="F10" s="308"/>
      <c r="G10" s="308"/>
    </row>
    <row r="11" spans="2:7">
      <c r="B11" s="308">
        <v>9</v>
      </c>
      <c r="C11" s="315"/>
      <c r="D11" s="315"/>
      <c r="E11" s="308"/>
      <c r="F11" s="308"/>
      <c r="G11" s="308"/>
    </row>
    <row r="12" spans="2:7">
      <c r="B12" s="308">
        <v>10</v>
      </c>
      <c r="C12" s="315"/>
      <c r="D12" s="315"/>
      <c r="E12" s="308"/>
      <c r="F12" s="308"/>
      <c r="G12" s="308"/>
    </row>
    <row r="13" spans="2:7">
      <c r="B13" s="308">
        <v>11</v>
      </c>
      <c r="C13" s="315"/>
      <c r="D13" s="315"/>
      <c r="E13" s="308"/>
      <c r="F13" s="308"/>
      <c r="G13" s="308"/>
    </row>
    <row r="14" spans="2:7">
      <c r="B14" s="308">
        <v>12</v>
      </c>
      <c r="C14" s="315"/>
      <c r="D14" s="315"/>
      <c r="E14" s="308"/>
      <c r="F14" s="308"/>
      <c r="G14" s="308"/>
    </row>
    <row r="15" spans="2:7">
      <c r="B15" s="308">
        <v>13</v>
      </c>
      <c r="C15" s="315"/>
      <c r="D15" s="315"/>
      <c r="E15" s="308"/>
      <c r="F15" s="308"/>
      <c r="G15" s="308"/>
    </row>
    <row r="16" spans="2:7">
      <c r="B16" s="308">
        <v>14</v>
      </c>
      <c r="C16" s="315"/>
      <c r="D16" s="315"/>
      <c r="E16" s="308"/>
      <c r="F16" s="308"/>
      <c r="G16" s="308"/>
    </row>
    <row r="17" spans="2:7">
      <c r="B17" s="308">
        <v>15</v>
      </c>
      <c r="C17" s="315"/>
      <c r="D17" s="315"/>
      <c r="E17" s="308"/>
      <c r="F17" s="308"/>
      <c r="G17" s="308"/>
    </row>
    <row r="18" spans="2:7">
      <c r="B18" s="308">
        <v>16</v>
      </c>
      <c r="C18" s="315"/>
      <c r="D18" s="315"/>
      <c r="E18" s="308"/>
      <c r="F18" s="308"/>
      <c r="G18" s="308"/>
    </row>
    <row r="19" spans="2:7">
      <c r="B19" s="308">
        <v>17</v>
      </c>
      <c r="C19" s="315"/>
      <c r="D19" s="315"/>
      <c r="E19" s="308"/>
      <c r="F19" s="308"/>
      <c r="G19" s="308"/>
    </row>
    <row r="20" spans="2:7">
      <c r="B20" s="308">
        <v>18</v>
      </c>
      <c r="C20" s="315"/>
      <c r="D20" s="315"/>
      <c r="E20" s="308"/>
      <c r="F20" s="308"/>
      <c r="G20" s="308"/>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795"/>
  <sheetViews>
    <sheetView workbookViewId="0">
      <selection activeCell="M390" sqref="M390"/>
    </sheetView>
  </sheetViews>
  <sheetFormatPr defaultRowHeight="15"/>
  <cols>
    <col min="6" max="6" width="16.85546875" customWidth="1"/>
    <col min="10" max="10" width="14.5703125" customWidth="1"/>
    <col min="12" max="12" width="22.7109375" customWidth="1"/>
  </cols>
  <sheetData>
    <row r="1" spans="1:12" ht="29.25" customHeight="1">
      <c r="A1" s="96"/>
      <c r="B1" s="735" t="s">
        <v>241</v>
      </c>
      <c r="C1" s="736"/>
      <c r="D1" s="736"/>
      <c r="E1" s="736"/>
      <c r="F1" s="736"/>
      <c r="G1" s="736"/>
      <c r="H1" s="736"/>
      <c r="I1" s="736"/>
      <c r="J1" s="736"/>
      <c r="K1" s="736"/>
      <c r="L1" s="737"/>
    </row>
    <row r="2" spans="1:12" ht="23.25">
      <c r="A2" s="40"/>
      <c r="B2" s="738" t="s">
        <v>242</v>
      </c>
      <c r="C2" s="738"/>
      <c r="D2" s="738"/>
      <c r="E2" s="738"/>
      <c r="F2" s="738"/>
      <c r="G2" s="738"/>
      <c r="H2" s="738"/>
      <c r="I2" s="738"/>
      <c r="J2" s="738"/>
      <c r="K2" s="738"/>
      <c r="L2" s="739"/>
    </row>
    <row r="3" spans="1:12" ht="12.75" customHeight="1" thickBot="1">
      <c r="A3" s="54"/>
      <c r="B3" s="745" t="s">
        <v>243</v>
      </c>
      <c r="C3" s="745"/>
      <c r="D3" s="745"/>
      <c r="E3" s="745"/>
      <c r="F3" s="745"/>
      <c r="G3" s="745"/>
      <c r="H3" s="745"/>
      <c r="I3" s="745"/>
      <c r="J3" s="745"/>
      <c r="K3" s="745"/>
      <c r="L3" s="746"/>
    </row>
    <row r="4" spans="1:12">
      <c r="A4" s="40"/>
      <c r="B4" s="747" t="s">
        <v>92</v>
      </c>
      <c r="C4" s="747"/>
      <c r="D4" s="747"/>
      <c r="E4" s="747"/>
      <c r="F4" s="747"/>
      <c r="G4" s="27"/>
      <c r="H4" s="748" t="s">
        <v>93</v>
      </c>
      <c r="I4" s="748"/>
      <c r="J4" s="748"/>
      <c r="K4" s="748"/>
      <c r="L4" s="749"/>
    </row>
    <row r="5" spans="1:12" ht="15.75" thickBot="1">
      <c r="A5" s="40"/>
      <c r="B5" s="747"/>
      <c r="C5" s="747"/>
      <c r="D5" s="747"/>
      <c r="E5" s="747"/>
      <c r="F5" s="747"/>
      <c r="G5" s="27"/>
      <c r="H5" s="748"/>
      <c r="I5" s="748"/>
      <c r="J5" s="748"/>
      <c r="K5" s="748"/>
      <c r="L5" s="749"/>
    </row>
    <row r="6" spans="1:12">
      <c r="A6" s="40"/>
      <c r="B6" s="96"/>
      <c r="C6" s="97"/>
      <c r="D6" s="97"/>
      <c r="E6" s="97"/>
      <c r="F6" s="98"/>
      <c r="G6" s="27"/>
      <c r="H6" s="96"/>
      <c r="I6" s="97"/>
      <c r="J6" s="97"/>
      <c r="K6" s="97"/>
      <c r="L6" s="98"/>
    </row>
    <row r="7" spans="1:12">
      <c r="A7" s="40"/>
      <c r="B7" s="102" t="str">
        <f>'04-22M Roll'!D5</f>
        <v>Burgeon IT Services Pvt.Ltd.</v>
      </c>
      <c r="C7" s="100"/>
      <c r="D7" s="100"/>
      <c r="E7" s="100"/>
      <c r="F7" s="101"/>
      <c r="G7" s="27"/>
      <c r="H7" s="102">
        <f>'04-22M Roll'!Z5</f>
        <v>0</v>
      </c>
      <c r="I7" s="100"/>
      <c r="J7" s="100"/>
      <c r="K7" s="100"/>
      <c r="L7" s="101"/>
    </row>
    <row r="8" spans="1:12">
      <c r="A8" s="40"/>
      <c r="B8" s="40"/>
      <c r="C8" s="100"/>
      <c r="D8" s="100"/>
      <c r="E8" s="100"/>
      <c r="F8" s="101"/>
      <c r="G8" s="27"/>
      <c r="H8" s="40"/>
      <c r="I8" s="100"/>
      <c r="J8" s="100"/>
      <c r="K8" s="100"/>
      <c r="L8" s="101"/>
    </row>
    <row r="9" spans="1:12">
      <c r="A9" s="40"/>
      <c r="B9" s="102" t="str">
        <f>'04-22M Roll'!D6</f>
        <v>Siri Mansion LIGB 436 Dr.A S Rao Nagar,Hyderabad</v>
      </c>
      <c r="C9" s="100"/>
      <c r="D9" s="100"/>
      <c r="E9" s="100"/>
      <c r="F9" s="101"/>
      <c r="G9" s="27"/>
      <c r="H9" s="102">
        <f>'04-22M Roll'!Z6</f>
        <v>0</v>
      </c>
      <c r="I9" s="100"/>
      <c r="J9" s="100"/>
      <c r="K9" s="100"/>
      <c r="L9" s="101"/>
    </row>
    <row r="10" spans="1:12" ht="15.75" thickBot="1">
      <c r="A10" s="40"/>
      <c r="B10" s="103"/>
      <c r="C10" s="55"/>
      <c r="D10" s="55"/>
      <c r="E10" s="55"/>
      <c r="F10" s="104"/>
      <c r="G10" s="27"/>
      <c r="H10" s="103"/>
      <c r="I10" s="55"/>
      <c r="J10" s="55"/>
      <c r="K10" s="55"/>
      <c r="L10" s="104"/>
    </row>
    <row r="11" spans="1:12">
      <c r="A11" s="40"/>
      <c r="B11" s="27"/>
      <c r="C11" s="27"/>
      <c r="D11" s="27"/>
      <c r="E11" s="27"/>
      <c r="F11" s="27"/>
      <c r="G11" s="27"/>
      <c r="H11" s="27"/>
      <c r="I11" s="27"/>
      <c r="J11" s="27" t="s">
        <v>94</v>
      </c>
      <c r="K11" s="27"/>
      <c r="L11" s="41"/>
    </row>
    <row r="12" spans="1:12">
      <c r="A12" s="40"/>
      <c r="B12" s="664" t="s">
        <v>95</v>
      </c>
      <c r="C12" s="664"/>
      <c r="D12" s="664"/>
      <c r="E12" s="664"/>
      <c r="F12" s="664"/>
      <c r="G12" s="27"/>
      <c r="H12" s="664" t="s">
        <v>5</v>
      </c>
      <c r="I12" s="664"/>
      <c r="J12" s="664"/>
      <c r="K12" s="664"/>
      <c r="L12" s="750"/>
    </row>
    <row r="13" spans="1:12" ht="15.75" thickBot="1">
      <c r="A13" s="40"/>
      <c r="B13" s="27"/>
      <c r="C13" s="27"/>
      <c r="D13" s="27"/>
      <c r="E13" s="27"/>
      <c r="F13" s="27"/>
      <c r="G13" s="27"/>
      <c r="H13" s="27"/>
      <c r="I13" s="27"/>
      <c r="J13" s="27"/>
      <c r="K13" s="27"/>
      <c r="L13" s="41"/>
    </row>
    <row r="14" spans="1:12">
      <c r="A14" s="40"/>
      <c r="B14" s="96"/>
      <c r="C14" s="97"/>
      <c r="D14" s="97"/>
      <c r="E14" s="97"/>
      <c r="F14" s="98"/>
      <c r="G14" s="27"/>
      <c r="H14" s="105"/>
      <c r="I14" s="106"/>
      <c r="J14" s="106"/>
      <c r="K14" s="106"/>
      <c r="L14" s="107"/>
    </row>
    <row r="15" spans="1:12">
      <c r="A15" s="40"/>
      <c r="B15" s="99"/>
      <c r="C15" s="100"/>
      <c r="D15" s="100"/>
      <c r="E15" s="100"/>
      <c r="F15" s="101"/>
      <c r="G15" s="27"/>
      <c r="H15" s="102" t="str">
        <f>'04-22M Roll'!Z9</f>
        <v>INFOSYS LIMITED, IL BHUBANESHWAR-STP,UNIT-II</v>
      </c>
      <c r="I15" s="108"/>
      <c r="J15" s="108"/>
      <c r="K15" s="108"/>
      <c r="L15" s="109"/>
    </row>
    <row r="16" spans="1:12">
      <c r="A16" s="40"/>
      <c r="B16" s="102" t="str">
        <f>'04-22M Roll'!D7</f>
        <v>IT SUPPORTIVE SERVICES &amp; BHUBANESWAR</v>
      </c>
      <c r="C16" s="100"/>
      <c r="D16" s="100"/>
      <c r="E16" s="100"/>
      <c r="F16" s="101"/>
      <c r="G16" s="27"/>
      <c r="H16" s="102"/>
      <c r="I16" s="108"/>
      <c r="J16" s="108"/>
      <c r="K16" s="108"/>
      <c r="L16" s="109"/>
    </row>
    <row r="17" spans="1:12">
      <c r="A17" s="40"/>
      <c r="B17" s="99"/>
      <c r="C17" s="100"/>
      <c r="D17" s="100"/>
      <c r="E17" s="100"/>
      <c r="F17" s="101"/>
      <c r="G17" s="27"/>
      <c r="H17" s="102" t="str">
        <f>'04-22M Roll'!Z10</f>
        <v>Plot No E/4,Info city,Chandaka Industrial, Bhubaneswar,Odisha - 751024</v>
      </c>
      <c r="I17" s="108"/>
      <c r="J17" s="108"/>
      <c r="K17" s="108"/>
      <c r="L17" s="109"/>
    </row>
    <row r="18" spans="1:12" ht="15.75" thickBot="1">
      <c r="A18" s="40"/>
      <c r="B18" s="103"/>
      <c r="C18" s="55"/>
      <c r="D18" s="55"/>
      <c r="E18" s="55"/>
      <c r="F18" s="104"/>
      <c r="G18" s="27"/>
      <c r="H18" s="110"/>
      <c r="I18" s="111"/>
      <c r="J18" s="111"/>
      <c r="K18" s="111"/>
      <c r="L18" s="112"/>
    </row>
    <row r="19" spans="1:12" ht="27.95" customHeight="1">
      <c r="A19" s="113"/>
      <c r="B19" s="744" t="s">
        <v>244</v>
      </c>
      <c r="C19" s="744"/>
      <c r="D19" s="744"/>
      <c r="E19" s="744"/>
      <c r="F19" s="744"/>
      <c r="G19" s="744"/>
      <c r="H19" s="741" t="e">
        <f>'0422Master'!#REF!</f>
        <v>#REF!</v>
      </c>
      <c r="I19" s="742"/>
      <c r="J19" s="742"/>
      <c r="K19" s="742"/>
      <c r="L19" s="743"/>
    </row>
    <row r="20" spans="1:12" ht="27.95" customHeight="1">
      <c r="A20" s="113"/>
      <c r="B20" s="740" t="s">
        <v>245</v>
      </c>
      <c r="C20" s="740"/>
      <c r="D20" s="740"/>
      <c r="E20" s="740"/>
      <c r="F20" s="740"/>
      <c r="G20" s="740"/>
      <c r="H20" s="741" t="e">
        <f>'0422Master'!#REF!</f>
        <v>#REF!</v>
      </c>
      <c r="I20" s="742"/>
      <c r="J20" s="742"/>
      <c r="K20" s="742"/>
      <c r="L20" s="743"/>
    </row>
    <row r="21" spans="1:12" ht="27.95" customHeight="1">
      <c r="A21" s="113"/>
      <c r="B21" s="744" t="s">
        <v>246</v>
      </c>
      <c r="C21" s="744"/>
      <c r="D21" s="744"/>
      <c r="E21" s="744"/>
      <c r="F21" s="744"/>
      <c r="G21" s="744"/>
      <c r="H21" s="741" t="e">
        <f>'0422Master'!#REF!</f>
        <v>#REF!</v>
      </c>
      <c r="I21" s="742"/>
      <c r="J21" s="742"/>
      <c r="K21" s="742"/>
      <c r="L21" s="743"/>
    </row>
    <row r="22" spans="1:12" ht="27.95" customHeight="1">
      <c r="A22" s="113"/>
      <c r="B22" s="744" t="s">
        <v>247</v>
      </c>
      <c r="C22" s="744"/>
      <c r="D22" s="744"/>
      <c r="E22" s="744"/>
      <c r="F22" s="744"/>
      <c r="G22" s="744"/>
      <c r="H22" s="837" t="e">
        <f>'0422Master'!#REF!</f>
        <v>#REF!</v>
      </c>
      <c r="I22" s="742"/>
      <c r="J22" s="742"/>
      <c r="K22" s="742"/>
      <c r="L22" s="743"/>
    </row>
    <row r="23" spans="1:12" ht="27.95" customHeight="1">
      <c r="A23" s="113"/>
      <c r="B23" s="114" t="s">
        <v>248</v>
      </c>
      <c r="C23" s="221"/>
      <c r="D23" s="221"/>
      <c r="E23" s="221"/>
      <c r="F23" s="221"/>
      <c r="G23" s="221"/>
      <c r="H23" s="838" t="s">
        <v>249</v>
      </c>
      <c r="I23" s="839"/>
      <c r="J23" s="839"/>
      <c r="K23" s="839"/>
      <c r="L23" s="840"/>
    </row>
    <row r="24" spans="1:12" ht="27.95" customHeight="1">
      <c r="A24" s="113"/>
      <c r="B24" s="114" t="s">
        <v>250</v>
      </c>
      <c r="C24" s="221"/>
      <c r="D24" s="221"/>
      <c r="E24" s="221"/>
      <c r="F24" s="221"/>
      <c r="G24" s="221"/>
      <c r="H24" s="418"/>
      <c r="I24" s="414"/>
      <c r="J24" s="189"/>
      <c r="K24" s="414"/>
      <c r="L24" s="415"/>
    </row>
    <row r="25" spans="1:12" ht="27.95" customHeight="1">
      <c r="A25" s="113"/>
      <c r="B25" s="755" t="s">
        <v>251</v>
      </c>
      <c r="C25" s="755"/>
      <c r="D25" s="755"/>
      <c r="E25" s="755"/>
      <c r="F25" s="755"/>
      <c r="G25" s="755"/>
      <c r="H25" s="756" t="e">
        <f>'0422Master'!#REF!</f>
        <v>#REF!</v>
      </c>
      <c r="I25" s="757"/>
      <c r="J25" s="757"/>
      <c r="K25" s="757"/>
      <c r="L25" s="758"/>
    </row>
    <row r="26" spans="1:12" ht="27.95" customHeight="1">
      <c r="A26" s="113"/>
      <c r="B26" s="744"/>
      <c r="C26" s="744"/>
      <c r="D26" s="744"/>
      <c r="E26" s="744"/>
      <c r="F26" s="744"/>
      <c r="G26" s="744"/>
      <c r="H26" s="751" t="e">
        <f>'0422Master'!#REF!</f>
        <v>#REF!</v>
      </c>
      <c r="I26" s="742"/>
      <c r="J26" s="742"/>
      <c r="K26" s="742"/>
      <c r="L26" s="743"/>
    </row>
    <row r="27" spans="1:12" ht="27.95" customHeight="1">
      <c r="A27" s="40"/>
      <c r="B27" s="744"/>
      <c r="C27" s="744"/>
      <c r="D27" s="744"/>
      <c r="E27" s="744"/>
      <c r="F27" s="744"/>
      <c r="G27" s="744"/>
      <c r="H27" s="741" t="e">
        <f>'0422Master'!#REF!</f>
        <v>#REF!</v>
      </c>
      <c r="I27" s="742"/>
      <c r="J27" s="742"/>
      <c r="K27" s="742"/>
      <c r="L27" s="743"/>
    </row>
    <row r="28" spans="1:12" ht="27.95" customHeight="1">
      <c r="A28" s="40"/>
      <c r="B28" s="114" t="s">
        <v>252</v>
      </c>
      <c r="C28" s="221"/>
      <c r="D28" s="221"/>
      <c r="E28" s="221"/>
      <c r="F28" s="221"/>
      <c r="G28" s="222"/>
      <c r="H28" s="829" t="e">
        <f>'0422Master'!#REF!</f>
        <v>#REF!</v>
      </c>
      <c r="I28" s="830"/>
      <c r="J28" s="830"/>
      <c r="K28" s="830"/>
      <c r="L28" s="831"/>
    </row>
    <row r="29" spans="1:12" ht="27.95" customHeight="1">
      <c r="A29" s="40"/>
      <c r="B29" s="114"/>
      <c r="C29" s="221"/>
      <c r="D29" s="221"/>
      <c r="E29" s="221"/>
      <c r="F29" s="221"/>
      <c r="G29" s="222"/>
      <c r="H29" s="829" t="e">
        <f>'0422Master'!#REF!</f>
        <v>#REF!</v>
      </c>
      <c r="I29" s="830"/>
      <c r="J29" s="830"/>
      <c r="K29" s="830"/>
      <c r="L29" s="831"/>
    </row>
    <row r="30" spans="1:12" ht="27.95" customHeight="1">
      <c r="A30" s="40"/>
      <c r="B30" s="114"/>
      <c r="C30" s="221"/>
      <c r="D30" s="221"/>
      <c r="E30" s="221"/>
      <c r="F30" s="221"/>
      <c r="G30" s="222"/>
      <c r="H30" s="829" t="e">
        <f>'0422Master'!#REF!</f>
        <v>#REF!</v>
      </c>
      <c r="I30" s="830"/>
      <c r="J30" s="830"/>
      <c r="K30" s="830"/>
      <c r="L30" s="831"/>
    </row>
    <row r="31" spans="1:12" ht="27.95" customHeight="1">
      <c r="A31" s="40"/>
      <c r="B31" s="114" t="s">
        <v>253</v>
      </c>
      <c r="C31" s="221"/>
      <c r="D31" s="221"/>
      <c r="E31" s="221"/>
      <c r="F31" s="221"/>
      <c r="G31" s="222"/>
      <c r="H31" s="418"/>
      <c r="I31" s="414"/>
      <c r="J31" s="414"/>
      <c r="K31" s="414"/>
      <c r="L31" s="415"/>
    </row>
    <row r="32" spans="1:12" ht="27.95" customHeight="1">
      <c r="A32" s="40"/>
      <c r="B32" s="117" t="s">
        <v>254</v>
      </c>
      <c r="C32" s="179"/>
      <c r="D32" s="179"/>
      <c r="E32" s="179"/>
      <c r="F32" s="179"/>
      <c r="G32" s="180"/>
      <c r="H32" s="181"/>
      <c r="I32" s="182"/>
      <c r="J32" s="183"/>
      <c r="K32" s="182"/>
      <c r="L32" s="184"/>
    </row>
    <row r="33" spans="1:12" ht="49.5" customHeight="1">
      <c r="A33" s="40"/>
      <c r="B33" s="114" t="s">
        <v>255</v>
      </c>
      <c r="C33" s="221"/>
      <c r="D33" s="414"/>
      <c r="E33" s="413" t="s">
        <v>256</v>
      </c>
      <c r="F33" s="80"/>
      <c r="G33" s="832" t="s">
        <v>257</v>
      </c>
      <c r="H33" s="833"/>
      <c r="I33" s="417" t="s">
        <v>258</v>
      </c>
      <c r="J33" s="477" t="s">
        <v>259</v>
      </c>
      <c r="K33" s="832" t="s">
        <v>260</v>
      </c>
      <c r="L33" s="834"/>
    </row>
    <row r="34" spans="1:12" ht="27.95" customHeight="1">
      <c r="A34" s="40"/>
      <c r="B34" s="187">
        <v>1</v>
      </c>
      <c r="C34" s="221"/>
      <c r="D34" s="221"/>
      <c r="E34" s="188">
        <v>2</v>
      </c>
      <c r="F34" s="222"/>
      <c r="G34" s="188">
        <v>3</v>
      </c>
      <c r="H34" s="419"/>
      <c r="I34" s="419">
        <v>4</v>
      </c>
      <c r="J34" s="448">
        <v>5</v>
      </c>
      <c r="K34" s="115"/>
      <c r="L34" s="116">
        <v>6</v>
      </c>
    </row>
    <row r="35" spans="1:12" ht="27.95" customHeight="1">
      <c r="A35" s="40"/>
      <c r="B35" s="298" t="e">
        <f>'0422Master'!#REF!</f>
        <v>#REF!</v>
      </c>
      <c r="C35" s="202"/>
      <c r="D35" s="203"/>
      <c r="E35" s="299" t="s">
        <v>261</v>
      </c>
      <c r="F35" s="203"/>
      <c r="G35" s="299" t="s">
        <v>262</v>
      </c>
      <c r="H35" s="80"/>
      <c r="I35" s="308" t="s">
        <v>263</v>
      </c>
      <c r="J35" s="478">
        <v>1</v>
      </c>
      <c r="K35" s="835" t="s">
        <v>109</v>
      </c>
      <c r="L35" s="836"/>
    </row>
    <row r="36" spans="1:12" ht="27.95" customHeight="1">
      <c r="A36" s="40"/>
      <c r="B36" s="114"/>
      <c r="C36" s="202"/>
      <c r="D36" s="203"/>
      <c r="E36" s="204"/>
      <c r="F36" s="203"/>
      <c r="G36" s="204"/>
      <c r="H36" s="80"/>
      <c r="I36" s="308"/>
      <c r="J36" s="308"/>
      <c r="K36" s="205"/>
      <c r="L36" s="80"/>
    </row>
    <row r="37" spans="1:12" ht="26.25" customHeight="1">
      <c r="A37" s="40"/>
      <c r="B37" s="114"/>
      <c r="C37" s="202"/>
      <c r="D37" s="203"/>
      <c r="E37" s="204"/>
      <c r="F37" s="203"/>
      <c r="G37" s="204"/>
      <c r="H37" s="80"/>
      <c r="I37" s="308"/>
      <c r="J37" s="308"/>
      <c r="K37" s="205"/>
      <c r="L37" s="80"/>
    </row>
    <row r="38" spans="1:12" ht="27.75" customHeight="1">
      <c r="A38" s="40"/>
      <c r="B38" s="86"/>
      <c r="C38" s="46"/>
      <c r="D38" s="87"/>
      <c r="E38" s="204"/>
      <c r="F38" s="203"/>
      <c r="G38" s="204"/>
      <c r="H38" s="80"/>
      <c r="I38" s="308"/>
      <c r="J38" s="308"/>
      <c r="K38" s="205"/>
      <c r="L38" s="80"/>
    </row>
    <row r="39" spans="1:12">
      <c r="A39" s="40"/>
      <c r="B39" s="27" t="s">
        <v>264</v>
      </c>
      <c r="C39" s="27"/>
      <c r="D39" s="27"/>
      <c r="E39" s="27"/>
      <c r="F39" s="27"/>
      <c r="G39" s="27"/>
      <c r="H39" s="27"/>
      <c r="I39" s="27"/>
      <c r="J39" s="27"/>
      <c r="K39" s="27"/>
      <c r="L39" s="41"/>
    </row>
    <row r="40" spans="1:12">
      <c r="A40" s="40"/>
      <c r="B40" s="27" t="s">
        <v>265</v>
      </c>
      <c r="C40" s="27"/>
      <c r="D40" s="27"/>
      <c r="E40" s="27"/>
      <c r="F40" s="27"/>
      <c r="G40" s="27"/>
      <c r="H40" s="27"/>
      <c r="I40" s="27"/>
      <c r="J40" s="27"/>
      <c r="K40" s="27"/>
      <c r="L40" s="41"/>
    </row>
    <row r="41" spans="1:12">
      <c r="A41" s="40"/>
      <c r="B41" s="27" t="s">
        <v>266</v>
      </c>
      <c r="C41" s="27"/>
      <c r="D41" s="27"/>
      <c r="E41" s="27"/>
      <c r="F41" s="27"/>
      <c r="G41" s="27"/>
      <c r="H41" s="27"/>
      <c r="I41" s="27"/>
      <c r="J41" s="27"/>
      <c r="K41" s="27"/>
      <c r="L41" s="41"/>
    </row>
    <row r="42" spans="1:12">
      <c r="A42" s="40"/>
      <c r="B42" s="27"/>
      <c r="C42" s="27"/>
      <c r="D42" s="27"/>
      <c r="E42" s="27"/>
      <c r="F42" s="27"/>
      <c r="G42" s="27"/>
      <c r="H42" s="27"/>
      <c r="I42" s="27"/>
      <c r="J42" s="27"/>
      <c r="K42" s="27"/>
      <c r="L42" s="41"/>
    </row>
    <row r="43" spans="1:12">
      <c r="A43" s="40"/>
      <c r="B43" s="27"/>
      <c r="C43" s="27"/>
      <c r="D43" s="27"/>
      <c r="E43" s="27"/>
      <c r="F43" s="27"/>
      <c r="G43" s="27"/>
      <c r="H43" s="27"/>
      <c r="I43" s="27" t="s">
        <v>267</v>
      </c>
      <c r="J43" s="27"/>
      <c r="K43" s="27"/>
      <c r="L43" s="41"/>
    </row>
    <row r="44" spans="1:12" ht="18.75">
      <c r="A44" s="40"/>
      <c r="B44" s="27"/>
      <c r="C44" s="27"/>
      <c r="D44" s="27"/>
      <c r="E44" s="27"/>
      <c r="F44" s="190" t="s">
        <v>268</v>
      </c>
      <c r="G44" s="27"/>
      <c r="H44" s="27"/>
      <c r="I44" s="27"/>
      <c r="J44" s="27"/>
      <c r="K44" s="27"/>
      <c r="L44" s="41"/>
    </row>
    <row r="45" spans="1:12">
      <c r="A45" s="40" t="s">
        <v>269</v>
      </c>
      <c r="B45" s="27"/>
      <c r="C45" s="27"/>
      <c r="D45" s="27"/>
      <c r="E45" s="27"/>
      <c r="F45" s="27"/>
      <c r="G45" s="27"/>
      <c r="H45" s="27"/>
      <c r="I45" s="27"/>
      <c r="J45" s="27"/>
      <c r="K45" s="243" t="e">
        <f>'0422Master'!#REF!</f>
        <v>#REF!</v>
      </c>
      <c r="L45" s="41"/>
    </row>
    <row r="46" spans="1:12">
      <c r="A46" s="40" t="s">
        <v>270</v>
      </c>
      <c r="B46" s="27"/>
      <c r="C46" s="27"/>
      <c r="D46" s="27"/>
      <c r="E46" s="27"/>
      <c r="F46" s="27"/>
      <c r="G46" s="27"/>
      <c r="H46" s="27"/>
      <c r="I46" s="27"/>
      <c r="J46" s="27"/>
      <c r="K46" s="27"/>
      <c r="L46" s="41"/>
    </row>
    <row r="47" spans="1:12">
      <c r="A47" s="40"/>
      <c r="B47" s="27"/>
      <c r="C47" s="27"/>
      <c r="D47" s="27"/>
      <c r="E47" s="27"/>
      <c r="F47" s="27"/>
      <c r="G47" s="27"/>
      <c r="H47" s="27"/>
      <c r="I47" s="27"/>
      <c r="J47" s="27"/>
      <c r="K47" s="27"/>
      <c r="L47" s="41"/>
    </row>
    <row r="48" spans="1:12">
      <c r="A48" s="40"/>
      <c r="B48" s="27"/>
      <c r="C48" s="27"/>
      <c r="D48" s="27"/>
      <c r="E48" s="27"/>
      <c r="F48" s="27"/>
      <c r="G48" s="27"/>
      <c r="H48" s="27"/>
      <c r="I48" s="27"/>
      <c r="J48" s="27"/>
      <c r="K48" s="27"/>
      <c r="L48" s="41"/>
    </row>
    <row r="49" spans="1:12">
      <c r="A49" s="40"/>
      <c r="B49" s="27"/>
      <c r="C49" s="27"/>
      <c r="D49" s="27"/>
      <c r="E49" s="27"/>
      <c r="F49" s="27" t="s">
        <v>271</v>
      </c>
      <c r="G49" s="27"/>
      <c r="H49" s="27"/>
      <c r="I49" s="27"/>
      <c r="J49" s="27"/>
      <c r="K49" s="27"/>
      <c r="L49" s="41"/>
    </row>
    <row r="50" spans="1:12">
      <c r="A50" s="40" t="s">
        <v>272</v>
      </c>
      <c r="B50" s="27" t="s">
        <v>273</v>
      </c>
      <c r="C50" s="27"/>
      <c r="D50" s="27"/>
      <c r="E50" s="27"/>
      <c r="F50" s="27" t="str">
        <f>'0422Master'!AO5</f>
        <v>Burgeon IT Services Pvt.Ltd.</v>
      </c>
      <c r="G50" s="27"/>
      <c r="H50" s="27"/>
      <c r="I50" s="27"/>
      <c r="J50" s="27"/>
      <c r="K50" s="27"/>
      <c r="L50" s="41"/>
    </row>
    <row r="51" spans="1:12">
      <c r="A51" s="40" t="s">
        <v>274</v>
      </c>
      <c r="B51" s="297" t="e">
        <f>'0422Master'!#REF!</f>
        <v>#REF!</v>
      </c>
      <c r="C51" s="27"/>
      <c r="D51" s="27"/>
      <c r="E51" s="27"/>
      <c r="F51" s="192" t="str">
        <f>'0422Master'!AO6</f>
        <v>Siri Mansion LIGB 436 Dr.A S Rao Nagar,Hyderabad</v>
      </c>
      <c r="G51" s="192"/>
      <c r="H51" s="192"/>
      <c r="I51" s="192"/>
      <c r="J51" s="192"/>
      <c r="K51" s="192"/>
      <c r="L51" s="41"/>
    </row>
    <row r="52" spans="1:12" ht="15.75" thickBot="1">
      <c r="A52" s="54"/>
      <c r="B52" s="52"/>
      <c r="C52" s="52"/>
      <c r="D52" s="52"/>
      <c r="E52" s="52"/>
      <c r="F52" s="52"/>
      <c r="G52" s="52"/>
      <c r="H52" s="52"/>
      <c r="I52" s="52"/>
      <c r="J52" s="52"/>
      <c r="K52" s="52"/>
      <c r="L52" s="53"/>
    </row>
    <row r="53" spans="1:12" ht="27.95" customHeight="1">
      <c r="A53" s="96"/>
      <c r="B53" s="735" t="s">
        <v>241</v>
      </c>
      <c r="C53" s="736"/>
      <c r="D53" s="736"/>
      <c r="E53" s="736"/>
      <c r="F53" s="736"/>
      <c r="G53" s="736"/>
      <c r="H53" s="736"/>
      <c r="I53" s="736"/>
      <c r="J53" s="736"/>
      <c r="K53" s="736"/>
      <c r="L53" s="737"/>
    </row>
    <row r="54" spans="1:12" ht="27.95" customHeight="1">
      <c r="A54" s="40"/>
      <c r="B54" s="738" t="s">
        <v>242</v>
      </c>
      <c r="C54" s="738"/>
      <c r="D54" s="738"/>
      <c r="E54" s="738"/>
      <c r="F54" s="738"/>
      <c r="G54" s="738"/>
      <c r="H54" s="738"/>
      <c r="I54" s="738"/>
      <c r="J54" s="738"/>
      <c r="K54" s="738"/>
      <c r="L54" s="739"/>
    </row>
    <row r="55" spans="1:12" ht="27.95" customHeight="1" thickBot="1">
      <c r="A55" s="54"/>
      <c r="B55" s="745" t="s">
        <v>243</v>
      </c>
      <c r="C55" s="745"/>
      <c r="D55" s="745"/>
      <c r="E55" s="745"/>
      <c r="F55" s="745"/>
      <c r="G55" s="745"/>
      <c r="H55" s="745"/>
      <c r="I55" s="745"/>
      <c r="J55" s="745"/>
      <c r="K55" s="745"/>
      <c r="L55" s="746"/>
    </row>
    <row r="56" spans="1:12" ht="27.95" customHeight="1">
      <c r="A56" s="40"/>
      <c r="B56" s="747" t="s">
        <v>92</v>
      </c>
      <c r="C56" s="747"/>
      <c r="D56" s="747"/>
      <c r="E56" s="747"/>
      <c r="F56" s="747"/>
      <c r="G56" s="27"/>
      <c r="H56" s="748" t="s">
        <v>93</v>
      </c>
      <c r="I56" s="748"/>
      <c r="J56" s="748"/>
      <c r="K56" s="748"/>
      <c r="L56" s="749"/>
    </row>
    <row r="57" spans="1:12" ht="27.95" customHeight="1" thickBot="1">
      <c r="A57" s="40"/>
      <c r="B57" s="747"/>
      <c r="C57" s="747"/>
      <c r="D57" s="747"/>
      <c r="E57" s="747"/>
      <c r="F57" s="747"/>
      <c r="G57" s="27"/>
      <c r="H57" s="748"/>
      <c r="I57" s="748"/>
      <c r="J57" s="748"/>
      <c r="K57" s="748"/>
      <c r="L57" s="749"/>
    </row>
    <row r="58" spans="1:12" ht="27.95" customHeight="1">
      <c r="A58" s="40"/>
      <c r="B58" s="96"/>
      <c r="C58" s="97"/>
      <c r="D58" s="97"/>
      <c r="E58" s="97"/>
      <c r="F58" s="98"/>
      <c r="G58" s="27"/>
      <c r="H58" s="96"/>
      <c r="I58" s="97"/>
      <c r="J58" s="97"/>
      <c r="K58" s="97"/>
      <c r="L58" s="98"/>
    </row>
    <row r="59" spans="1:12">
      <c r="A59" s="40"/>
      <c r="B59" s="102" t="str">
        <f>'0422Master'!F5</f>
        <v>Burgeon IT Services Pvt.Ltd.</v>
      </c>
      <c r="C59" s="100"/>
      <c r="D59" s="100"/>
      <c r="E59" s="100"/>
      <c r="F59" s="101"/>
      <c r="G59" s="27"/>
      <c r="H59" s="102" t="str">
        <f>'0422Master'!AO5</f>
        <v>Burgeon IT Services Pvt.Ltd.</v>
      </c>
      <c r="I59" s="100"/>
      <c r="J59" s="100"/>
      <c r="K59" s="100"/>
      <c r="L59" s="101"/>
    </row>
    <row r="60" spans="1:12">
      <c r="A60" s="40"/>
      <c r="B60" s="40"/>
      <c r="C60" s="100"/>
      <c r="D60" s="100"/>
      <c r="E60" s="100"/>
      <c r="F60" s="101"/>
      <c r="G60" s="27"/>
      <c r="H60" s="40"/>
      <c r="I60" s="100"/>
      <c r="J60" s="100"/>
      <c r="K60" s="100"/>
      <c r="L60" s="101"/>
    </row>
    <row r="61" spans="1:12">
      <c r="A61" s="40"/>
      <c r="B61" s="102" t="str">
        <f>'0422Master'!F6</f>
        <v>Siri Mansion LIGB 436 Dr.A S Rao Nagar,Hyderabad</v>
      </c>
      <c r="C61" s="100"/>
      <c r="D61" s="100"/>
      <c r="E61" s="100"/>
      <c r="F61" s="101"/>
      <c r="G61" s="27"/>
      <c r="H61" s="102" t="str">
        <f>'0422Master'!AO6</f>
        <v>Siri Mansion LIGB 436 Dr.A S Rao Nagar,Hyderabad</v>
      </c>
      <c r="I61" s="100"/>
      <c r="J61" s="100"/>
      <c r="K61" s="100"/>
      <c r="L61" s="101"/>
    </row>
    <row r="62" spans="1:12" ht="15.75" thickBot="1">
      <c r="A62" s="40"/>
      <c r="B62" s="103"/>
      <c r="C62" s="55"/>
      <c r="D62" s="55"/>
      <c r="E62" s="55"/>
      <c r="F62" s="104"/>
      <c r="G62" s="27"/>
      <c r="H62" s="103"/>
      <c r="I62" s="55"/>
      <c r="J62" s="55"/>
      <c r="K62" s="55"/>
      <c r="L62" s="104"/>
    </row>
    <row r="63" spans="1:12">
      <c r="A63" s="40"/>
      <c r="B63" s="27"/>
      <c r="C63" s="27"/>
      <c r="D63" s="27"/>
      <c r="E63" s="27"/>
      <c r="F63" s="27"/>
      <c r="G63" s="27"/>
      <c r="H63" s="27"/>
      <c r="I63" s="27"/>
      <c r="J63" s="27" t="s">
        <v>94</v>
      </c>
      <c r="K63" s="27"/>
      <c r="L63" s="41"/>
    </row>
    <row r="64" spans="1:12">
      <c r="A64" s="40"/>
      <c r="B64" s="664" t="s">
        <v>95</v>
      </c>
      <c r="C64" s="664"/>
      <c r="D64" s="664"/>
      <c r="E64" s="664"/>
      <c r="F64" s="664"/>
      <c r="G64" s="27"/>
      <c r="H64" s="664" t="s">
        <v>5</v>
      </c>
      <c r="I64" s="664"/>
      <c r="J64" s="664"/>
      <c r="K64" s="664"/>
      <c r="L64" s="750"/>
    </row>
    <row r="65" spans="1:12" ht="15.75" thickBot="1">
      <c r="A65" s="40"/>
      <c r="B65" s="27"/>
      <c r="C65" s="27"/>
      <c r="D65" s="27"/>
      <c r="E65" s="27"/>
      <c r="F65" s="27"/>
      <c r="G65" s="27"/>
      <c r="H65" s="27"/>
      <c r="I65" s="27"/>
      <c r="J65" s="27"/>
      <c r="K65" s="27"/>
      <c r="L65" s="41"/>
    </row>
    <row r="66" spans="1:12">
      <c r="A66" s="40"/>
      <c r="B66" s="96"/>
      <c r="C66" s="97"/>
      <c r="D66" s="97"/>
      <c r="E66" s="97"/>
      <c r="F66" s="98"/>
      <c r="G66" s="27"/>
      <c r="H66" s="105"/>
      <c r="I66" s="106"/>
      <c r="J66" s="106"/>
      <c r="K66" s="106"/>
      <c r="L66" s="107"/>
    </row>
    <row r="67" spans="1:12">
      <c r="A67" s="40"/>
      <c r="B67" s="99"/>
      <c r="C67" s="100"/>
      <c r="D67" s="100"/>
      <c r="E67" s="100"/>
      <c r="F67" s="101"/>
      <c r="G67" s="27"/>
      <c r="H67" s="102" t="str">
        <f>'0422Master'!AO8</f>
        <v>INFOSYS LIMITED, IL BHUBANESHWAR-STP,UNIT-II</v>
      </c>
      <c r="I67" s="108"/>
      <c r="J67" s="108"/>
      <c r="K67" s="108"/>
      <c r="L67" s="109"/>
    </row>
    <row r="68" spans="1:12">
      <c r="A68" s="40"/>
      <c r="B68" s="102" t="str">
        <f>'0422Master'!F8</f>
        <v>IT SUPPORTIVE SERVICES &amp; BHUBANESWAR</v>
      </c>
      <c r="C68" s="100"/>
      <c r="D68" s="100"/>
      <c r="E68" s="100"/>
      <c r="F68" s="101"/>
      <c r="G68" s="27"/>
      <c r="H68" s="102"/>
      <c r="I68" s="108"/>
      <c r="J68" s="108"/>
      <c r="K68" s="108"/>
      <c r="L68" s="109"/>
    </row>
    <row r="69" spans="1:12">
      <c r="A69" s="40"/>
      <c r="B69" s="99"/>
      <c r="C69" s="100"/>
      <c r="D69" s="100"/>
      <c r="E69" s="100"/>
      <c r="F69" s="101"/>
      <c r="G69" s="27"/>
      <c r="H69" s="102" t="str">
        <f>'0422Master'!AO10</f>
        <v>Plot No E/4,Info city,Chandaka Industrial, Bhubaneswar,Odisha - 751024</v>
      </c>
      <c r="I69" s="108"/>
      <c r="J69" s="108"/>
      <c r="K69" s="108"/>
      <c r="L69" s="109"/>
    </row>
    <row r="70" spans="1:12" ht="15.75" thickBot="1">
      <c r="A70" s="40"/>
      <c r="B70" s="103"/>
      <c r="C70" s="55"/>
      <c r="D70" s="55"/>
      <c r="E70" s="55"/>
      <c r="F70" s="104"/>
      <c r="G70" s="27"/>
      <c r="H70" s="110"/>
      <c r="I70" s="111"/>
      <c r="J70" s="111"/>
      <c r="K70" s="111"/>
      <c r="L70" s="112"/>
    </row>
    <row r="71" spans="1:12">
      <c r="A71" s="113"/>
      <c r="B71" s="744" t="s">
        <v>244</v>
      </c>
      <c r="C71" s="744"/>
      <c r="D71" s="744"/>
      <c r="E71" s="744"/>
      <c r="F71" s="744"/>
      <c r="G71" s="744"/>
      <c r="H71" s="741" t="e">
        <f>'0422Master'!#REF!</f>
        <v>#REF!</v>
      </c>
      <c r="I71" s="742"/>
      <c r="J71" s="742"/>
      <c r="K71" s="742"/>
      <c r="L71" s="743"/>
    </row>
    <row r="72" spans="1:12">
      <c r="A72" s="113"/>
      <c r="B72" s="740" t="s">
        <v>245</v>
      </c>
      <c r="C72" s="740"/>
      <c r="D72" s="740"/>
      <c r="E72" s="740"/>
      <c r="F72" s="740"/>
      <c r="G72" s="740"/>
      <c r="H72" s="741" t="e">
        <f>'0422Master'!#REF!</f>
        <v>#REF!</v>
      </c>
      <c r="I72" s="742"/>
      <c r="J72" s="742"/>
      <c r="K72" s="742"/>
      <c r="L72" s="743"/>
    </row>
    <row r="73" spans="1:12">
      <c r="A73" s="113"/>
      <c r="B73" s="744" t="s">
        <v>246</v>
      </c>
      <c r="C73" s="744"/>
      <c r="D73" s="744"/>
      <c r="E73" s="744"/>
      <c r="F73" s="744"/>
      <c r="G73" s="744"/>
      <c r="H73" s="741" t="e">
        <f>'0422Master'!#REF!</f>
        <v>#REF!</v>
      </c>
      <c r="I73" s="742"/>
      <c r="J73" s="742"/>
      <c r="K73" s="742"/>
      <c r="L73" s="743"/>
    </row>
    <row r="74" spans="1:12">
      <c r="A74" s="113"/>
      <c r="B74" s="744" t="s">
        <v>247</v>
      </c>
      <c r="C74" s="744"/>
      <c r="D74" s="744"/>
      <c r="E74" s="744"/>
      <c r="F74" s="744"/>
      <c r="G74" s="744"/>
      <c r="H74" s="837" t="e">
        <f>'0422Master'!#REF!</f>
        <v>#REF!</v>
      </c>
      <c r="I74" s="742"/>
      <c r="J74" s="742"/>
      <c r="K74" s="742"/>
      <c r="L74" s="743"/>
    </row>
    <row r="75" spans="1:12">
      <c r="A75" s="113"/>
      <c r="B75" s="114" t="s">
        <v>248</v>
      </c>
      <c r="C75" s="221"/>
      <c r="D75" s="221"/>
      <c r="E75" s="221"/>
      <c r="F75" s="221"/>
      <c r="G75" s="221"/>
      <c r="H75" s="838" t="s">
        <v>249</v>
      </c>
      <c r="I75" s="839"/>
      <c r="J75" s="839"/>
      <c r="K75" s="839"/>
      <c r="L75" s="840"/>
    </row>
    <row r="76" spans="1:12">
      <c r="A76" s="113"/>
      <c r="B76" s="114" t="s">
        <v>250</v>
      </c>
      <c r="C76" s="221"/>
      <c r="D76" s="221"/>
      <c r="E76" s="221"/>
      <c r="F76" s="221"/>
      <c r="G76" s="221"/>
      <c r="H76" s="418"/>
      <c r="I76" s="414"/>
      <c r="J76" s="189"/>
      <c r="K76" s="414"/>
      <c r="L76" s="415"/>
    </row>
    <row r="77" spans="1:12">
      <c r="A77" s="113"/>
      <c r="B77" s="755" t="s">
        <v>251</v>
      </c>
      <c r="C77" s="755"/>
      <c r="D77" s="755"/>
      <c r="E77" s="755"/>
      <c r="F77" s="755"/>
      <c r="G77" s="755"/>
      <c r="H77" s="756" t="e">
        <f>'0422Master'!#REF!</f>
        <v>#REF!</v>
      </c>
      <c r="I77" s="757"/>
      <c r="J77" s="757"/>
      <c r="K77" s="757"/>
      <c r="L77" s="758"/>
    </row>
    <row r="78" spans="1:12">
      <c r="A78" s="113"/>
      <c r="B78" s="744"/>
      <c r="C78" s="744"/>
      <c r="D78" s="744"/>
      <c r="E78" s="744"/>
      <c r="F78" s="744"/>
      <c r="G78" s="744"/>
      <c r="H78" s="751" t="e">
        <f>'0422Master'!#REF!</f>
        <v>#REF!</v>
      </c>
      <c r="I78" s="742"/>
      <c r="J78" s="742"/>
      <c r="K78" s="742"/>
      <c r="L78" s="743"/>
    </row>
    <row r="79" spans="1:12">
      <c r="A79" s="40"/>
      <c r="B79" s="744"/>
      <c r="C79" s="744"/>
      <c r="D79" s="744"/>
      <c r="E79" s="744"/>
      <c r="F79" s="744"/>
      <c r="G79" s="744"/>
      <c r="H79" s="741" t="e">
        <f>'0422Master'!#REF!</f>
        <v>#REF!</v>
      </c>
      <c r="I79" s="742"/>
      <c r="J79" s="742"/>
      <c r="K79" s="742"/>
      <c r="L79" s="743"/>
    </row>
    <row r="80" spans="1:12" ht="15" customHeight="1">
      <c r="A80" s="40"/>
      <c r="B80" s="114" t="s">
        <v>252</v>
      </c>
      <c r="C80" s="221"/>
      <c r="D80" s="221"/>
      <c r="E80" s="221"/>
      <c r="F80" s="221"/>
      <c r="G80" s="222"/>
      <c r="H80" s="829" t="e">
        <f>'0422Master'!#REF!</f>
        <v>#REF!</v>
      </c>
      <c r="I80" s="830"/>
      <c r="J80" s="830"/>
      <c r="K80" s="830"/>
      <c r="L80" s="831"/>
    </row>
    <row r="81" spans="1:12">
      <c r="A81" s="40"/>
      <c r="B81" s="114"/>
      <c r="C81" s="221"/>
      <c r="D81" s="221"/>
      <c r="E81" s="221"/>
      <c r="F81" s="221"/>
      <c r="G81" s="222"/>
      <c r="H81" s="829" t="e">
        <f>'0422Master'!#REF!</f>
        <v>#REF!</v>
      </c>
      <c r="I81" s="830"/>
      <c r="J81" s="830"/>
      <c r="K81" s="830"/>
      <c r="L81" s="831"/>
    </row>
    <row r="82" spans="1:12">
      <c r="A82" s="40"/>
      <c r="B82" s="114"/>
      <c r="C82" s="221"/>
      <c r="D82" s="221"/>
      <c r="E82" s="221"/>
      <c r="F82" s="221"/>
      <c r="G82" s="222"/>
      <c r="H82" s="829" t="e">
        <f>'0422Master'!#REF!</f>
        <v>#REF!</v>
      </c>
      <c r="I82" s="830"/>
      <c r="J82" s="830"/>
      <c r="K82" s="830"/>
      <c r="L82" s="831"/>
    </row>
    <row r="83" spans="1:12">
      <c r="A83" s="40"/>
      <c r="B83" s="114" t="s">
        <v>253</v>
      </c>
      <c r="C83" s="221"/>
      <c r="D83" s="221"/>
      <c r="E83" s="221"/>
      <c r="F83" s="221"/>
      <c r="G83" s="222"/>
      <c r="H83" s="418"/>
      <c r="I83" s="414"/>
      <c r="J83" s="414"/>
      <c r="K83" s="414"/>
      <c r="L83" s="415"/>
    </row>
    <row r="84" spans="1:12">
      <c r="A84" s="40"/>
      <c r="B84" s="117" t="s">
        <v>254</v>
      </c>
      <c r="C84" s="179"/>
      <c r="D84" s="179"/>
      <c r="E84" s="179"/>
      <c r="F84" s="179"/>
      <c r="G84" s="180"/>
      <c r="H84" s="181"/>
      <c r="I84" s="182"/>
      <c r="J84" s="183"/>
      <c r="K84" s="182"/>
      <c r="L84" s="184"/>
    </row>
    <row r="85" spans="1:12" ht="45">
      <c r="A85" s="40"/>
      <c r="B85" s="114" t="s">
        <v>255</v>
      </c>
      <c r="C85" s="221"/>
      <c r="D85" s="414"/>
      <c r="E85" s="413" t="s">
        <v>256</v>
      </c>
      <c r="F85" s="80"/>
      <c r="G85" s="832" t="s">
        <v>257</v>
      </c>
      <c r="H85" s="833"/>
      <c r="I85" s="417" t="s">
        <v>258</v>
      </c>
      <c r="J85" s="477" t="s">
        <v>259</v>
      </c>
      <c r="K85" s="832" t="s">
        <v>260</v>
      </c>
      <c r="L85" s="834"/>
    </row>
    <row r="86" spans="1:12">
      <c r="A86" s="40"/>
      <c r="B86" s="187">
        <v>1</v>
      </c>
      <c r="C86" s="221"/>
      <c r="D86" s="221"/>
      <c r="E86" s="188">
        <v>2</v>
      </c>
      <c r="F86" s="222"/>
      <c r="G86" s="188">
        <v>3</v>
      </c>
      <c r="H86" s="419"/>
      <c r="I86" s="419">
        <v>4</v>
      </c>
      <c r="J86" s="448">
        <v>5</v>
      </c>
      <c r="K86" s="115"/>
      <c r="L86" s="116">
        <v>6</v>
      </c>
    </row>
    <row r="87" spans="1:12">
      <c r="A87" s="40"/>
      <c r="B87" s="298" t="e">
        <f>'0422Master'!#REF!</f>
        <v>#REF!</v>
      </c>
      <c r="C87" s="202"/>
      <c r="D87" s="203"/>
      <c r="E87" s="299" t="s">
        <v>261</v>
      </c>
      <c r="F87" s="203"/>
      <c r="G87" s="299" t="s">
        <v>262</v>
      </c>
      <c r="H87" s="80"/>
      <c r="I87" s="308" t="s">
        <v>263</v>
      </c>
      <c r="J87" s="478">
        <v>1</v>
      </c>
      <c r="K87" s="835" t="s">
        <v>109</v>
      </c>
      <c r="L87" s="836"/>
    </row>
    <row r="88" spans="1:12">
      <c r="A88" s="40"/>
      <c r="B88" s="114"/>
      <c r="C88" s="202"/>
      <c r="D88" s="203"/>
      <c r="E88" s="204"/>
      <c r="F88" s="203"/>
      <c r="G88" s="204"/>
      <c r="H88" s="80"/>
      <c r="I88" s="308"/>
      <c r="J88" s="308"/>
      <c r="K88" s="205"/>
      <c r="L88" s="80"/>
    </row>
    <row r="89" spans="1:12">
      <c r="A89" s="40"/>
      <c r="B89" s="114"/>
      <c r="C89" s="202"/>
      <c r="D89" s="203"/>
      <c r="E89" s="204"/>
      <c r="F89" s="203"/>
      <c r="G89" s="204"/>
      <c r="H89" s="80"/>
      <c r="I89" s="308"/>
      <c r="J89" s="308"/>
      <c r="K89" s="205"/>
      <c r="L89" s="80"/>
    </row>
    <row r="90" spans="1:12">
      <c r="A90" s="40"/>
      <c r="B90" s="86"/>
      <c r="C90" s="46"/>
      <c r="D90" s="87"/>
      <c r="E90" s="204"/>
      <c r="F90" s="203"/>
      <c r="G90" s="204"/>
      <c r="H90" s="80"/>
      <c r="I90" s="308"/>
      <c r="J90" s="308"/>
      <c r="K90" s="205"/>
      <c r="L90" s="80"/>
    </row>
    <row r="91" spans="1:12">
      <c r="A91" s="40"/>
      <c r="B91" s="27" t="s">
        <v>264</v>
      </c>
      <c r="C91" s="27"/>
      <c r="D91" s="27"/>
      <c r="E91" s="27"/>
      <c r="F91" s="27"/>
      <c r="G91" s="27"/>
      <c r="H91" s="27"/>
      <c r="I91" s="27"/>
      <c r="J91" s="27"/>
      <c r="K91" s="27"/>
      <c r="L91" s="41"/>
    </row>
    <row r="92" spans="1:12">
      <c r="A92" s="40"/>
      <c r="B92" s="27" t="s">
        <v>265</v>
      </c>
      <c r="C92" s="27"/>
      <c r="D92" s="27"/>
      <c r="E92" s="27"/>
      <c r="F92" s="27"/>
      <c r="G92" s="27"/>
      <c r="H92" s="27"/>
      <c r="I92" s="27"/>
      <c r="J92" s="27"/>
      <c r="K92" s="27"/>
      <c r="L92" s="41"/>
    </row>
    <row r="93" spans="1:12">
      <c r="A93" s="40"/>
      <c r="B93" s="27" t="s">
        <v>266</v>
      </c>
      <c r="C93" s="27"/>
      <c r="D93" s="27"/>
      <c r="E93" s="27"/>
      <c r="F93" s="27"/>
      <c r="G93" s="27"/>
      <c r="H93" s="27"/>
      <c r="I93" s="27"/>
      <c r="J93" s="27"/>
      <c r="K93" s="27"/>
      <c r="L93" s="41"/>
    </row>
    <row r="94" spans="1:12">
      <c r="A94" s="40"/>
      <c r="B94" s="27"/>
      <c r="C94" s="27"/>
      <c r="D94" s="27"/>
      <c r="E94" s="27"/>
      <c r="F94" s="27"/>
      <c r="G94" s="27"/>
      <c r="H94" s="27"/>
      <c r="I94" s="27"/>
      <c r="J94" s="27"/>
      <c r="K94" s="27"/>
      <c r="L94" s="41"/>
    </row>
    <row r="95" spans="1:12" ht="27.95" customHeight="1">
      <c r="A95" s="40"/>
      <c r="B95" s="27"/>
      <c r="C95" s="27"/>
      <c r="D95" s="27"/>
      <c r="E95" s="27"/>
      <c r="F95" s="27"/>
      <c r="G95" s="27"/>
      <c r="H95" s="27"/>
      <c r="I95" s="27" t="s">
        <v>267</v>
      </c>
      <c r="J95" s="27"/>
      <c r="K95" s="27"/>
      <c r="L95" s="41"/>
    </row>
    <row r="96" spans="1:12" ht="27.95" customHeight="1">
      <c r="A96" s="40"/>
      <c r="B96" s="27"/>
      <c r="C96" s="27"/>
      <c r="D96" s="27"/>
      <c r="E96" s="27"/>
      <c r="F96" s="190" t="s">
        <v>268</v>
      </c>
      <c r="G96" s="27"/>
      <c r="H96" s="27"/>
      <c r="I96" s="27"/>
      <c r="J96" s="27"/>
      <c r="K96" s="27"/>
      <c r="L96" s="41"/>
    </row>
    <row r="97" spans="1:12" ht="27.95" customHeight="1">
      <c r="A97" s="40" t="s">
        <v>269</v>
      </c>
      <c r="B97" s="27"/>
      <c r="C97" s="27"/>
      <c r="D97" s="27"/>
      <c r="E97" s="27"/>
      <c r="F97" s="27"/>
      <c r="G97" s="27"/>
      <c r="H97" s="27"/>
      <c r="I97" s="27"/>
      <c r="J97" s="27"/>
      <c r="K97" s="243" t="e">
        <f>'0422Master'!#REF!</f>
        <v>#REF!</v>
      </c>
      <c r="L97" s="41"/>
    </row>
    <row r="98" spans="1:12" ht="27.95" customHeight="1">
      <c r="A98" s="40" t="s">
        <v>270</v>
      </c>
      <c r="B98" s="27"/>
      <c r="C98" s="27"/>
      <c r="D98" s="27"/>
      <c r="E98" s="27"/>
      <c r="F98" s="27"/>
      <c r="G98" s="27"/>
      <c r="H98" s="27"/>
      <c r="I98" s="27"/>
      <c r="J98" s="27"/>
      <c r="K98" s="27"/>
      <c r="L98" s="41"/>
    </row>
    <row r="99" spans="1:12" ht="27.95" customHeight="1">
      <c r="A99" s="40"/>
      <c r="B99" s="27"/>
      <c r="C99" s="27"/>
      <c r="D99" s="27"/>
      <c r="E99" s="27"/>
      <c r="F99" s="27"/>
      <c r="G99" s="27"/>
      <c r="H99" s="27"/>
      <c r="I99" s="27"/>
      <c r="J99" s="27"/>
      <c r="K99" s="27"/>
      <c r="L99" s="41"/>
    </row>
    <row r="100" spans="1:12" ht="27.95" customHeight="1">
      <c r="A100" s="40"/>
      <c r="B100" s="27"/>
      <c r="C100" s="27"/>
      <c r="D100" s="27"/>
      <c r="E100" s="27"/>
      <c r="F100" s="27"/>
      <c r="G100" s="27"/>
      <c r="H100" s="27"/>
      <c r="I100" s="27"/>
      <c r="J100" s="27"/>
      <c r="K100" s="27"/>
      <c r="L100" s="41"/>
    </row>
    <row r="101" spans="1:12" ht="27.95" customHeight="1">
      <c r="A101" s="40"/>
      <c r="B101" s="27"/>
      <c r="C101" s="27"/>
      <c r="D101" s="27"/>
      <c r="E101" s="27"/>
      <c r="F101" s="27" t="s">
        <v>271</v>
      </c>
      <c r="G101" s="27"/>
      <c r="H101" s="27"/>
      <c r="I101" s="27"/>
      <c r="J101" s="27"/>
      <c r="K101" s="27"/>
      <c r="L101" s="41"/>
    </row>
    <row r="102" spans="1:12" ht="27.95" customHeight="1">
      <c r="A102" s="40" t="s">
        <v>272</v>
      </c>
      <c r="B102" s="27" t="s">
        <v>273</v>
      </c>
      <c r="C102" s="27"/>
      <c r="D102" s="27"/>
      <c r="E102" s="27"/>
      <c r="F102" s="27" t="str">
        <f>'0422Master'!F5</f>
        <v>Burgeon IT Services Pvt.Ltd.</v>
      </c>
      <c r="G102" s="27"/>
      <c r="H102" s="27"/>
      <c r="I102" s="27"/>
      <c r="J102" s="27"/>
      <c r="K102" s="27"/>
      <c r="L102" s="41"/>
    </row>
    <row r="103" spans="1:12" ht="27.95" customHeight="1">
      <c r="A103" s="40" t="s">
        <v>274</v>
      </c>
      <c r="B103" s="297" t="e">
        <f>'0422Master'!#REF!</f>
        <v>#REF!</v>
      </c>
      <c r="C103" s="27"/>
      <c r="D103" s="27"/>
      <c r="E103" s="27"/>
      <c r="F103" s="192" t="str">
        <f>'0422Master'!F6</f>
        <v>Siri Mansion LIGB 436 Dr.A S Rao Nagar,Hyderabad</v>
      </c>
      <c r="G103" s="192"/>
      <c r="H103" s="192"/>
      <c r="I103" s="192"/>
      <c r="J103" s="192"/>
      <c r="K103" s="192"/>
      <c r="L103" s="41"/>
    </row>
    <row r="104" spans="1:12" ht="27.95" customHeight="1" thickBot="1">
      <c r="A104" s="54"/>
      <c r="B104" s="52"/>
      <c r="C104" s="52"/>
      <c r="D104" s="52"/>
      <c r="E104" s="52"/>
      <c r="F104" s="52"/>
      <c r="G104" s="52"/>
      <c r="H104" s="52"/>
      <c r="I104" s="52"/>
      <c r="J104" s="52"/>
      <c r="K104" s="52"/>
      <c r="L104" s="53"/>
    </row>
    <row r="105" spans="1:12" ht="27.95" customHeight="1">
      <c r="A105" s="27"/>
      <c r="B105" s="193"/>
      <c r="C105" s="412"/>
      <c r="D105" s="412"/>
      <c r="E105" s="412"/>
      <c r="F105" s="412"/>
      <c r="G105" s="412"/>
      <c r="H105" s="841"/>
      <c r="I105" s="842"/>
      <c r="J105" s="842"/>
      <c r="K105" s="842"/>
      <c r="L105" s="842"/>
    </row>
    <row r="106" spans="1:12" ht="27.95" customHeight="1" thickBot="1">
      <c r="A106" s="27"/>
      <c r="B106" s="193"/>
      <c r="C106" s="412"/>
      <c r="D106" s="412"/>
      <c r="E106" s="412"/>
      <c r="F106" s="412"/>
      <c r="G106" s="412"/>
      <c r="H106" s="841"/>
      <c r="I106" s="842"/>
      <c r="J106" s="842"/>
      <c r="K106" s="842"/>
      <c r="L106" s="842"/>
    </row>
    <row r="107" spans="1:12" ht="27.95" customHeight="1">
      <c r="A107" s="96"/>
      <c r="B107" s="735" t="s">
        <v>241</v>
      </c>
      <c r="C107" s="736"/>
      <c r="D107" s="736"/>
      <c r="E107" s="736"/>
      <c r="F107" s="736"/>
      <c r="G107" s="736"/>
      <c r="H107" s="736"/>
      <c r="I107" s="736"/>
      <c r="J107" s="736"/>
      <c r="K107" s="736"/>
      <c r="L107" s="737"/>
    </row>
    <row r="108" spans="1:12" ht="27.95" customHeight="1">
      <c r="A108" s="40"/>
      <c r="B108" s="738" t="s">
        <v>242</v>
      </c>
      <c r="C108" s="738"/>
      <c r="D108" s="738"/>
      <c r="E108" s="738"/>
      <c r="F108" s="738"/>
      <c r="G108" s="738"/>
      <c r="H108" s="738"/>
      <c r="I108" s="738"/>
      <c r="J108" s="738"/>
      <c r="K108" s="738"/>
      <c r="L108" s="739"/>
    </row>
    <row r="109" spans="1:12" ht="27.95" customHeight="1" thickBot="1">
      <c r="A109" s="54"/>
      <c r="B109" s="745" t="s">
        <v>243</v>
      </c>
      <c r="C109" s="745"/>
      <c r="D109" s="745"/>
      <c r="E109" s="745"/>
      <c r="F109" s="745"/>
      <c r="G109" s="745"/>
      <c r="H109" s="745"/>
      <c r="I109" s="745"/>
      <c r="J109" s="745"/>
      <c r="K109" s="745"/>
      <c r="L109" s="746"/>
    </row>
    <row r="110" spans="1:12" ht="27.95" customHeight="1">
      <c r="A110" s="40"/>
      <c r="B110" s="747" t="s">
        <v>92</v>
      </c>
      <c r="C110" s="747"/>
      <c r="D110" s="747"/>
      <c r="E110" s="747"/>
      <c r="F110" s="747"/>
      <c r="G110" s="27"/>
      <c r="H110" s="748" t="s">
        <v>93</v>
      </c>
      <c r="I110" s="748"/>
      <c r="J110" s="748"/>
      <c r="K110" s="748"/>
      <c r="L110" s="749"/>
    </row>
    <row r="111" spans="1:12" ht="27.95" customHeight="1" thickBot="1">
      <c r="A111" s="40"/>
      <c r="B111" s="747"/>
      <c r="C111" s="747"/>
      <c r="D111" s="747"/>
      <c r="E111" s="747"/>
      <c r="F111" s="747"/>
      <c r="G111" s="27"/>
      <c r="H111" s="748"/>
      <c r="I111" s="748"/>
      <c r="J111" s="748"/>
      <c r="K111" s="748"/>
      <c r="L111" s="749"/>
    </row>
    <row r="112" spans="1:12" ht="27.95" customHeight="1">
      <c r="A112" s="40"/>
      <c r="B112" s="96"/>
      <c r="C112" s="97"/>
      <c r="D112" s="97"/>
      <c r="E112" s="97"/>
      <c r="F112" s="98"/>
      <c r="G112" s="27"/>
      <c r="H112" s="96"/>
      <c r="I112" s="97"/>
      <c r="J112" s="97"/>
      <c r="K112" s="97"/>
      <c r="L112" s="98"/>
    </row>
    <row r="113" spans="1:12">
      <c r="A113" s="40"/>
      <c r="B113" s="102" t="str">
        <f>'0422Master'!F5</f>
        <v>Burgeon IT Services Pvt.Ltd.</v>
      </c>
      <c r="C113" s="100"/>
      <c r="D113" s="100"/>
      <c r="E113" s="100"/>
      <c r="F113" s="101"/>
      <c r="G113" s="27"/>
      <c r="H113" s="102" t="str">
        <f>'0422Master'!AO5</f>
        <v>Burgeon IT Services Pvt.Ltd.</v>
      </c>
      <c r="I113" s="100"/>
      <c r="J113" s="100"/>
      <c r="K113" s="100"/>
      <c r="L113" s="101"/>
    </row>
    <row r="114" spans="1:12">
      <c r="A114" s="40"/>
      <c r="B114" s="40"/>
      <c r="C114" s="100"/>
      <c r="D114" s="100"/>
      <c r="E114" s="100"/>
      <c r="F114" s="101"/>
      <c r="G114" s="27"/>
      <c r="H114" s="40"/>
      <c r="I114" s="100"/>
      <c r="J114" s="100"/>
      <c r="K114" s="100"/>
      <c r="L114" s="101"/>
    </row>
    <row r="115" spans="1:12">
      <c r="A115" s="40"/>
      <c r="B115" s="102" t="str">
        <f>'0422Master'!F6</f>
        <v>Siri Mansion LIGB 436 Dr.A S Rao Nagar,Hyderabad</v>
      </c>
      <c r="C115" s="100"/>
      <c r="D115" s="100"/>
      <c r="E115" s="100"/>
      <c r="F115" s="101"/>
      <c r="G115" s="27"/>
      <c r="H115" s="102" t="str">
        <f>'0422Master'!AO6</f>
        <v>Siri Mansion LIGB 436 Dr.A S Rao Nagar,Hyderabad</v>
      </c>
      <c r="I115" s="100"/>
      <c r="J115" s="100"/>
      <c r="K115" s="100"/>
      <c r="L115" s="101"/>
    </row>
    <row r="116" spans="1:12" ht="15.75" thickBot="1">
      <c r="A116" s="40"/>
      <c r="B116" s="103"/>
      <c r="C116" s="55"/>
      <c r="D116" s="55"/>
      <c r="E116" s="55"/>
      <c r="F116" s="104"/>
      <c r="G116" s="27"/>
      <c r="H116" s="103"/>
      <c r="I116" s="55"/>
      <c r="J116" s="55"/>
      <c r="K116" s="55"/>
      <c r="L116" s="104"/>
    </row>
    <row r="117" spans="1:12">
      <c r="A117" s="40"/>
      <c r="B117" s="27"/>
      <c r="C117" s="27"/>
      <c r="D117" s="27"/>
      <c r="E117" s="27"/>
      <c r="F117" s="27"/>
      <c r="G117" s="27"/>
      <c r="H117" s="27"/>
      <c r="I117" s="27"/>
      <c r="J117" s="27" t="s">
        <v>94</v>
      </c>
      <c r="K117" s="27"/>
      <c r="L117" s="41"/>
    </row>
    <row r="118" spans="1:12">
      <c r="A118" s="40"/>
      <c r="B118" s="664" t="s">
        <v>95</v>
      </c>
      <c r="C118" s="664"/>
      <c r="D118" s="664"/>
      <c r="E118" s="664"/>
      <c r="F118" s="664"/>
      <c r="G118" s="27"/>
      <c r="H118" s="664" t="s">
        <v>5</v>
      </c>
      <c r="I118" s="664"/>
      <c r="J118" s="664"/>
      <c r="K118" s="664"/>
      <c r="L118" s="750"/>
    </row>
    <row r="119" spans="1:12" ht="15.75" thickBot="1">
      <c r="A119" s="40"/>
      <c r="B119" s="27"/>
      <c r="C119" s="27"/>
      <c r="D119" s="27"/>
      <c r="E119" s="27"/>
      <c r="F119" s="27"/>
      <c r="G119" s="27"/>
      <c r="H119" s="27"/>
      <c r="I119" s="27"/>
      <c r="J119" s="27"/>
      <c r="K119" s="27"/>
      <c r="L119" s="41"/>
    </row>
    <row r="120" spans="1:12">
      <c r="A120" s="40"/>
      <c r="B120" s="96"/>
      <c r="C120" s="97"/>
      <c r="D120" s="97"/>
      <c r="E120" s="97"/>
      <c r="F120" s="98"/>
      <c r="G120" s="27"/>
      <c r="H120" s="105"/>
      <c r="I120" s="106"/>
      <c r="J120" s="106"/>
      <c r="K120" s="106"/>
      <c r="L120" s="107"/>
    </row>
    <row r="121" spans="1:12">
      <c r="A121" s="40"/>
      <c r="B121" s="99"/>
      <c r="C121" s="100"/>
      <c r="D121" s="100"/>
      <c r="E121" s="100"/>
      <c r="F121" s="101"/>
      <c r="G121" s="27"/>
      <c r="H121" s="102" t="str">
        <f>'0422Master'!AO8</f>
        <v>INFOSYS LIMITED, IL BHUBANESHWAR-STP,UNIT-II</v>
      </c>
      <c r="I121" s="108"/>
      <c r="J121" s="108"/>
      <c r="K121" s="108"/>
      <c r="L121" s="109"/>
    </row>
    <row r="122" spans="1:12">
      <c r="A122" s="40"/>
      <c r="B122" s="102" t="str">
        <f>'0422Master'!F8</f>
        <v>IT SUPPORTIVE SERVICES &amp; BHUBANESWAR</v>
      </c>
      <c r="C122" s="100"/>
      <c r="D122" s="100"/>
      <c r="E122" s="100"/>
      <c r="F122" s="101"/>
      <c r="G122" s="27"/>
      <c r="H122" s="102"/>
      <c r="I122" s="108"/>
      <c r="J122" s="108"/>
      <c r="K122" s="108"/>
      <c r="L122" s="109"/>
    </row>
    <row r="123" spans="1:12">
      <c r="A123" s="40"/>
      <c r="B123" s="99"/>
      <c r="C123" s="100"/>
      <c r="D123" s="100"/>
      <c r="E123" s="100"/>
      <c r="F123" s="101"/>
      <c r="G123" s="27"/>
      <c r="H123" s="102" t="str">
        <f>'0422Master'!AO10</f>
        <v>Plot No E/4,Info city,Chandaka Industrial, Bhubaneswar,Odisha - 751024</v>
      </c>
      <c r="I123" s="108"/>
      <c r="J123" s="108"/>
      <c r="K123" s="108"/>
      <c r="L123" s="109"/>
    </row>
    <row r="124" spans="1:12" ht="15.75" thickBot="1">
      <c r="A124" s="40"/>
      <c r="B124" s="103"/>
      <c r="C124" s="55"/>
      <c r="D124" s="55"/>
      <c r="E124" s="55"/>
      <c r="F124" s="104"/>
      <c r="G124" s="27"/>
      <c r="H124" s="110"/>
      <c r="I124" s="111"/>
      <c r="J124" s="111"/>
      <c r="K124" s="111"/>
      <c r="L124" s="112"/>
    </row>
    <row r="125" spans="1:12">
      <c r="A125" s="113"/>
      <c r="B125" s="744" t="s">
        <v>244</v>
      </c>
      <c r="C125" s="744"/>
      <c r="D125" s="744"/>
      <c r="E125" s="744"/>
      <c r="F125" s="744"/>
      <c r="G125" s="744"/>
      <c r="H125" s="741" t="str">
        <f>'0422Master'!B14</f>
        <v>KRANTHI KUMAR VEDULLA</v>
      </c>
      <c r="I125" s="742"/>
      <c r="J125" s="742"/>
      <c r="K125" s="742"/>
      <c r="L125" s="743"/>
    </row>
    <row r="126" spans="1:12">
      <c r="A126" s="113"/>
      <c r="B126" s="740" t="s">
        <v>245</v>
      </c>
      <c r="C126" s="740"/>
      <c r="D126" s="740"/>
      <c r="E126" s="740"/>
      <c r="F126" s="740"/>
      <c r="G126" s="740"/>
      <c r="H126" s="741" t="str">
        <f>'0422Master'!E14</f>
        <v>Kamini Venkatarami Reddy</v>
      </c>
      <c r="I126" s="742"/>
      <c r="J126" s="742"/>
      <c r="K126" s="742"/>
      <c r="L126" s="743"/>
    </row>
    <row r="127" spans="1:12">
      <c r="A127" s="113"/>
      <c r="B127" s="744" t="s">
        <v>246</v>
      </c>
      <c r="C127" s="744"/>
      <c r="D127" s="744"/>
      <c r="E127" s="744"/>
      <c r="F127" s="744"/>
      <c r="G127" s="744"/>
      <c r="H127" s="741" t="str">
        <f>'0422Master'!C14</f>
        <v>05.02.1992</v>
      </c>
      <c r="I127" s="742"/>
      <c r="J127" s="742"/>
      <c r="K127" s="742"/>
      <c r="L127" s="743"/>
    </row>
    <row r="128" spans="1:12">
      <c r="A128" s="113"/>
      <c r="B128" s="744" t="s">
        <v>247</v>
      </c>
      <c r="C128" s="744"/>
      <c r="D128" s="744"/>
      <c r="E128" s="744"/>
      <c r="F128" s="744"/>
      <c r="G128" s="744"/>
      <c r="H128" s="837" t="str">
        <f>'0422Master'!D14</f>
        <v>Male</v>
      </c>
      <c r="I128" s="742"/>
      <c r="J128" s="742"/>
      <c r="K128" s="742"/>
      <c r="L128" s="743"/>
    </row>
    <row r="129" spans="1:12">
      <c r="A129" s="113"/>
      <c r="B129" s="114" t="s">
        <v>248</v>
      </c>
      <c r="C129" s="221"/>
      <c r="D129" s="221"/>
      <c r="E129" s="221"/>
      <c r="F129" s="221"/>
      <c r="G129" s="221"/>
      <c r="H129" s="838" t="s">
        <v>249</v>
      </c>
      <c r="I129" s="839"/>
      <c r="J129" s="839"/>
      <c r="K129" s="839"/>
      <c r="L129" s="840"/>
    </row>
    <row r="130" spans="1:12">
      <c r="A130" s="113"/>
      <c r="B130" s="114" t="s">
        <v>250</v>
      </c>
      <c r="C130" s="221"/>
      <c r="D130" s="221"/>
      <c r="E130" s="221"/>
      <c r="F130" s="221"/>
      <c r="G130" s="221"/>
      <c r="H130" s="418"/>
      <c r="I130" s="414"/>
      <c r="J130" s="189"/>
      <c r="K130" s="414"/>
      <c r="L130" s="415"/>
    </row>
    <row r="131" spans="1:12">
      <c r="A131" s="113"/>
      <c r="B131" s="755" t="s">
        <v>251</v>
      </c>
      <c r="C131" s="755"/>
      <c r="D131" s="755"/>
      <c r="E131" s="755"/>
      <c r="F131" s="755"/>
      <c r="G131" s="755"/>
      <c r="H131" s="756" t="str">
        <f>'0422Master'!G14</f>
        <v>1/93 , Sanagala Guduru, Putluru (M), Anantapur (D), Andhra pradesh, 515411</v>
      </c>
      <c r="I131" s="757"/>
      <c r="J131" s="757"/>
      <c r="K131" s="757"/>
      <c r="L131" s="758"/>
    </row>
    <row r="132" spans="1:12">
      <c r="A132" s="113"/>
      <c r="B132" s="744"/>
      <c r="C132" s="744"/>
      <c r="D132" s="744"/>
      <c r="E132" s="744"/>
      <c r="F132" s="744"/>
      <c r="G132" s="744"/>
      <c r="H132" s="751">
        <f>'0422Master'!H14</f>
        <v>0</v>
      </c>
      <c r="I132" s="742"/>
      <c r="J132" s="742"/>
      <c r="K132" s="742"/>
      <c r="L132" s="743"/>
    </row>
    <row r="133" spans="1:12">
      <c r="A133" s="40"/>
      <c r="B133" s="744"/>
      <c r="C133" s="744"/>
      <c r="D133" s="744"/>
      <c r="E133" s="744"/>
      <c r="F133" s="744"/>
      <c r="G133" s="744"/>
      <c r="H133" s="741">
        <f>'0422Master'!I14</f>
        <v>0</v>
      </c>
      <c r="I133" s="742"/>
      <c r="J133" s="742"/>
      <c r="K133" s="742"/>
      <c r="L133" s="743"/>
    </row>
    <row r="134" spans="1:12">
      <c r="A134" s="40"/>
      <c r="B134" s="114" t="s">
        <v>252</v>
      </c>
      <c r="C134" s="221"/>
      <c r="D134" s="221"/>
      <c r="E134" s="221"/>
      <c r="F134" s="221"/>
      <c r="G134" s="222"/>
      <c r="H134" s="829" t="str">
        <f>'0422Master'!J14</f>
        <v>1/93 , Sanagala Guduru, Putluru (M), Anantapur (D), Andhra pradesh, 515411</v>
      </c>
      <c r="I134" s="830"/>
      <c r="J134" s="830"/>
      <c r="K134" s="830"/>
      <c r="L134" s="831"/>
    </row>
    <row r="135" spans="1:12">
      <c r="A135" s="40"/>
      <c r="B135" s="114"/>
      <c r="C135" s="221"/>
      <c r="D135" s="221"/>
      <c r="E135" s="221"/>
      <c r="F135" s="221"/>
      <c r="G135" s="222"/>
      <c r="H135" s="829">
        <f>'0422Master'!K14</f>
        <v>0</v>
      </c>
      <c r="I135" s="830"/>
      <c r="J135" s="830"/>
      <c r="K135" s="830"/>
      <c r="L135" s="831"/>
    </row>
    <row r="136" spans="1:12">
      <c r="A136" s="40"/>
      <c r="B136" s="114"/>
      <c r="C136" s="221"/>
      <c r="D136" s="221"/>
      <c r="E136" s="221"/>
      <c r="F136" s="221"/>
      <c r="G136" s="222"/>
      <c r="H136" s="829">
        <f>'0422Master'!L14</f>
        <v>0</v>
      </c>
      <c r="I136" s="830"/>
      <c r="J136" s="830"/>
      <c r="K136" s="830"/>
      <c r="L136" s="831"/>
    </row>
    <row r="137" spans="1:12">
      <c r="A137" s="40"/>
      <c r="B137" s="114" t="s">
        <v>253</v>
      </c>
      <c r="C137" s="221"/>
      <c r="D137" s="221"/>
      <c r="E137" s="221"/>
      <c r="F137" s="221"/>
      <c r="G137" s="222"/>
      <c r="H137" s="418"/>
      <c r="I137" s="414"/>
      <c r="J137" s="414"/>
      <c r="K137" s="414"/>
      <c r="L137" s="415"/>
    </row>
    <row r="138" spans="1:12">
      <c r="A138" s="40"/>
      <c r="B138" s="117" t="s">
        <v>254</v>
      </c>
      <c r="C138" s="179"/>
      <c r="D138" s="179"/>
      <c r="E138" s="179"/>
      <c r="F138" s="179"/>
      <c r="G138" s="180"/>
      <c r="H138" s="181"/>
      <c r="I138" s="182"/>
      <c r="J138" s="183"/>
      <c r="K138" s="182"/>
      <c r="L138" s="184"/>
    </row>
    <row r="139" spans="1:12" ht="45">
      <c r="A139" s="40"/>
      <c r="B139" s="114" t="s">
        <v>255</v>
      </c>
      <c r="C139" s="221"/>
      <c r="D139" s="414"/>
      <c r="E139" s="413" t="s">
        <v>256</v>
      </c>
      <c r="F139" s="80"/>
      <c r="G139" s="832" t="s">
        <v>257</v>
      </c>
      <c r="H139" s="833"/>
      <c r="I139" s="417" t="s">
        <v>258</v>
      </c>
      <c r="J139" s="477" t="s">
        <v>259</v>
      </c>
      <c r="K139" s="832" t="s">
        <v>260</v>
      </c>
      <c r="L139" s="834"/>
    </row>
    <row r="140" spans="1:12">
      <c r="A140" s="40"/>
      <c r="B140" s="187">
        <v>1</v>
      </c>
      <c r="C140" s="221"/>
      <c r="D140" s="221"/>
      <c r="E140" s="188">
        <v>2</v>
      </c>
      <c r="F140" s="222"/>
      <c r="G140" s="188">
        <v>3</v>
      </c>
      <c r="H140" s="419"/>
      <c r="I140" s="419">
        <v>4</v>
      </c>
      <c r="J140" s="448">
        <v>5</v>
      </c>
      <c r="K140" s="115"/>
      <c r="L140" s="116">
        <v>6</v>
      </c>
    </row>
    <row r="141" spans="1:12">
      <c r="A141" s="40"/>
      <c r="B141" s="298" t="str">
        <f>'0422Master'!E14</f>
        <v>Kamini Venkatarami Reddy</v>
      </c>
      <c r="C141" s="202"/>
      <c r="D141" s="203"/>
      <c r="E141" s="299" t="s">
        <v>261</v>
      </c>
      <c r="F141" s="203"/>
      <c r="G141" s="299" t="s">
        <v>262</v>
      </c>
      <c r="H141" s="80"/>
      <c r="I141" s="308" t="s">
        <v>263</v>
      </c>
      <c r="J141" s="478">
        <v>1</v>
      </c>
      <c r="K141" s="835" t="s">
        <v>109</v>
      </c>
      <c r="L141" s="836"/>
    </row>
    <row r="142" spans="1:12">
      <c r="A142" s="40"/>
      <c r="B142" s="114"/>
      <c r="C142" s="202"/>
      <c r="D142" s="203"/>
      <c r="E142" s="204"/>
      <c r="F142" s="203"/>
      <c r="G142" s="204"/>
      <c r="H142" s="80"/>
      <c r="I142" s="308"/>
      <c r="J142" s="308"/>
      <c r="K142" s="205"/>
      <c r="L142" s="80"/>
    </row>
    <row r="143" spans="1:12">
      <c r="A143" s="40"/>
      <c r="B143" s="114"/>
      <c r="C143" s="202"/>
      <c r="D143" s="203"/>
      <c r="E143" s="204"/>
      <c r="F143" s="203"/>
      <c r="G143" s="204"/>
      <c r="H143" s="80"/>
      <c r="I143" s="308"/>
      <c r="J143" s="308"/>
      <c r="K143" s="205"/>
      <c r="L143" s="80"/>
    </row>
    <row r="144" spans="1:12">
      <c r="A144" s="40"/>
      <c r="B144" s="86"/>
      <c r="C144" s="46"/>
      <c r="D144" s="87"/>
      <c r="E144" s="204"/>
      <c r="F144" s="203"/>
      <c r="G144" s="204"/>
      <c r="H144" s="80"/>
      <c r="I144" s="308"/>
      <c r="J144" s="308"/>
      <c r="K144" s="205"/>
      <c r="L144" s="80"/>
    </row>
    <row r="145" spans="1:12">
      <c r="A145" s="40"/>
      <c r="B145" s="27" t="s">
        <v>264</v>
      </c>
      <c r="C145" s="27"/>
      <c r="D145" s="27"/>
      <c r="E145" s="27"/>
      <c r="F145" s="27"/>
      <c r="G145" s="27"/>
      <c r="H145" s="27"/>
      <c r="I145" s="27"/>
      <c r="J145" s="27"/>
      <c r="K145" s="27"/>
      <c r="L145" s="41"/>
    </row>
    <row r="146" spans="1:12">
      <c r="A146" s="40"/>
      <c r="B146" s="27" t="s">
        <v>265</v>
      </c>
      <c r="C146" s="27"/>
      <c r="D146" s="27"/>
      <c r="E146" s="27"/>
      <c r="F146" s="27"/>
      <c r="G146" s="27"/>
      <c r="H146" s="27"/>
      <c r="I146" s="27"/>
      <c r="J146" s="27"/>
      <c r="K146" s="27"/>
      <c r="L146" s="41"/>
    </row>
    <row r="147" spans="1:12">
      <c r="A147" s="40"/>
      <c r="B147" s="27" t="s">
        <v>266</v>
      </c>
      <c r="C147" s="27"/>
      <c r="D147" s="27"/>
      <c r="E147" s="27"/>
      <c r="F147" s="27"/>
      <c r="G147" s="27"/>
      <c r="H147" s="27"/>
      <c r="I147" s="27"/>
      <c r="J147" s="27"/>
      <c r="K147" s="27"/>
      <c r="L147" s="41"/>
    </row>
    <row r="148" spans="1:12" ht="27.95" customHeight="1">
      <c r="A148" s="40"/>
      <c r="B148" s="27"/>
      <c r="C148" s="27"/>
      <c r="D148" s="27"/>
      <c r="E148" s="27"/>
      <c r="F148" s="27"/>
      <c r="G148" s="27"/>
      <c r="H148" s="27"/>
      <c r="I148" s="27"/>
      <c r="J148" s="27"/>
      <c r="K148" s="27"/>
      <c r="L148" s="41"/>
    </row>
    <row r="149" spans="1:12" ht="27.95" customHeight="1">
      <c r="A149" s="40"/>
      <c r="B149" s="27"/>
      <c r="C149" s="27"/>
      <c r="D149" s="27"/>
      <c r="E149" s="27"/>
      <c r="F149" s="27"/>
      <c r="G149" s="27"/>
      <c r="H149" s="27"/>
      <c r="I149" s="27" t="s">
        <v>267</v>
      </c>
      <c r="J149" s="27"/>
      <c r="K149" s="27"/>
      <c r="L149" s="41"/>
    </row>
    <row r="150" spans="1:12" ht="27.95" customHeight="1">
      <c r="A150" s="40"/>
      <c r="B150" s="27"/>
      <c r="C150" s="27"/>
      <c r="D150" s="27"/>
      <c r="E150" s="27"/>
      <c r="F150" s="190" t="s">
        <v>268</v>
      </c>
      <c r="G150" s="27"/>
      <c r="H150" s="27"/>
      <c r="I150" s="27"/>
      <c r="J150" s="27"/>
      <c r="K150" s="27"/>
      <c r="L150" s="41"/>
    </row>
    <row r="151" spans="1:12" ht="27.95" customHeight="1">
      <c r="A151" s="40" t="s">
        <v>269</v>
      </c>
      <c r="B151" s="27"/>
      <c r="C151" s="27"/>
      <c r="D151" s="27"/>
      <c r="E151" s="27"/>
      <c r="F151" s="27"/>
      <c r="G151" s="27"/>
      <c r="H151" s="27"/>
      <c r="I151" s="27"/>
      <c r="J151" s="27"/>
      <c r="K151" s="243" t="str">
        <f>'0422Master'!B14</f>
        <v>KRANTHI KUMAR VEDULLA</v>
      </c>
      <c r="L151" s="41"/>
    </row>
    <row r="152" spans="1:12" ht="27.95" customHeight="1">
      <c r="A152" s="40" t="s">
        <v>270</v>
      </c>
      <c r="B152" s="27"/>
      <c r="C152" s="27"/>
      <c r="D152" s="27"/>
      <c r="E152" s="27"/>
      <c r="F152" s="27"/>
      <c r="G152" s="27"/>
      <c r="H152" s="27"/>
      <c r="I152" s="27"/>
      <c r="J152" s="27"/>
      <c r="K152" s="27"/>
      <c r="L152" s="41"/>
    </row>
    <row r="153" spans="1:12" ht="27.95" customHeight="1">
      <c r="A153" s="40"/>
      <c r="B153" s="27"/>
      <c r="C153" s="27"/>
      <c r="D153" s="27"/>
      <c r="E153" s="27"/>
      <c r="F153" s="27"/>
      <c r="G153" s="27"/>
      <c r="H153" s="27"/>
      <c r="I153" s="27"/>
      <c r="J153" s="27"/>
      <c r="K153" s="27"/>
      <c r="L153" s="41"/>
    </row>
    <row r="154" spans="1:12" ht="27.95" customHeight="1">
      <c r="A154" s="40"/>
      <c r="B154" s="27"/>
      <c r="C154" s="27"/>
      <c r="D154" s="27"/>
      <c r="E154" s="27"/>
      <c r="F154" s="27"/>
      <c r="G154" s="27"/>
      <c r="H154" s="27"/>
      <c r="I154" s="27"/>
      <c r="J154" s="27"/>
      <c r="K154" s="27"/>
      <c r="L154" s="41"/>
    </row>
    <row r="155" spans="1:12" ht="27.95" customHeight="1">
      <c r="A155" s="40"/>
      <c r="B155" s="27"/>
      <c r="C155" s="27"/>
      <c r="D155" s="27"/>
      <c r="E155" s="27"/>
      <c r="F155" s="27" t="s">
        <v>271</v>
      </c>
      <c r="G155" s="27"/>
      <c r="H155" s="27"/>
      <c r="I155" s="27"/>
      <c r="J155" s="27"/>
      <c r="K155" s="27"/>
      <c r="L155" s="41"/>
    </row>
    <row r="156" spans="1:12" ht="27.95" customHeight="1">
      <c r="A156" s="40" t="s">
        <v>272</v>
      </c>
      <c r="B156" s="27" t="s">
        <v>273</v>
      </c>
      <c r="C156" s="27"/>
      <c r="D156" s="27"/>
      <c r="E156" s="27"/>
      <c r="F156" s="27" t="str">
        <f>'0422Master'!F5</f>
        <v>Burgeon IT Services Pvt.Ltd.</v>
      </c>
      <c r="G156" s="27"/>
      <c r="H156" s="27"/>
      <c r="I156" s="27"/>
      <c r="J156" s="27"/>
      <c r="K156" s="27"/>
      <c r="L156" s="41"/>
    </row>
    <row r="157" spans="1:12" ht="27.95" customHeight="1">
      <c r="A157" s="40" t="s">
        <v>274</v>
      </c>
      <c r="B157" s="297">
        <f>'0422Master'!N14</f>
        <v>44181</v>
      </c>
      <c r="C157" s="27"/>
      <c r="D157" s="27"/>
      <c r="E157" s="27"/>
      <c r="F157" s="192" t="str">
        <f>'0422Master'!F6</f>
        <v>Siri Mansion LIGB 436 Dr.A S Rao Nagar,Hyderabad</v>
      </c>
      <c r="G157" s="192"/>
      <c r="H157" s="192"/>
      <c r="I157" s="192"/>
      <c r="J157" s="192"/>
      <c r="K157" s="192"/>
      <c r="L157" s="41"/>
    </row>
    <row r="158" spans="1:12" ht="27.95" customHeight="1" thickBot="1">
      <c r="A158" s="54"/>
      <c r="B158" s="52"/>
      <c r="C158" s="52"/>
      <c r="D158" s="52"/>
      <c r="E158" s="52"/>
      <c r="F158" s="52"/>
      <c r="G158" s="52"/>
      <c r="H158" s="52"/>
      <c r="I158" s="52"/>
      <c r="J158" s="52"/>
      <c r="K158" s="52"/>
      <c r="L158" s="53"/>
    </row>
    <row r="159" spans="1:12" ht="27.95" customHeight="1" thickBot="1">
      <c r="A159" s="27"/>
      <c r="B159" s="193"/>
      <c r="C159" s="412"/>
      <c r="D159" s="412"/>
      <c r="E159" s="412"/>
      <c r="F159" s="412"/>
      <c r="G159" s="412"/>
      <c r="H159" s="411"/>
      <c r="I159" s="411"/>
      <c r="J159" s="410"/>
      <c r="K159" s="411"/>
      <c r="L159" s="411"/>
    </row>
    <row r="160" spans="1:12" ht="27.95" customHeight="1">
      <c r="A160" s="96"/>
      <c r="B160" s="735" t="s">
        <v>241</v>
      </c>
      <c r="C160" s="736"/>
      <c r="D160" s="736"/>
      <c r="E160" s="736"/>
      <c r="F160" s="736"/>
      <c r="G160" s="736"/>
      <c r="H160" s="736"/>
      <c r="I160" s="736"/>
      <c r="J160" s="736"/>
      <c r="K160" s="736"/>
      <c r="L160" s="737"/>
    </row>
    <row r="161" spans="1:12" ht="27.95" customHeight="1">
      <c r="A161" s="40"/>
      <c r="B161" s="738" t="s">
        <v>242</v>
      </c>
      <c r="C161" s="738"/>
      <c r="D161" s="738"/>
      <c r="E161" s="738"/>
      <c r="F161" s="738"/>
      <c r="G161" s="738"/>
      <c r="H161" s="738"/>
      <c r="I161" s="738"/>
      <c r="J161" s="738"/>
      <c r="K161" s="738"/>
      <c r="L161" s="739"/>
    </row>
    <row r="162" spans="1:12" ht="27.95" customHeight="1" thickBot="1">
      <c r="A162" s="54"/>
      <c r="B162" s="745" t="s">
        <v>243</v>
      </c>
      <c r="C162" s="745"/>
      <c r="D162" s="745"/>
      <c r="E162" s="745"/>
      <c r="F162" s="745"/>
      <c r="G162" s="745"/>
      <c r="H162" s="745"/>
      <c r="I162" s="745"/>
      <c r="J162" s="745"/>
      <c r="K162" s="745"/>
      <c r="L162" s="746"/>
    </row>
    <row r="163" spans="1:12" ht="27.95" customHeight="1">
      <c r="A163" s="40"/>
      <c r="B163" s="747" t="s">
        <v>92</v>
      </c>
      <c r="C163" s="747"/>
      <c r="D163" s="747"/>
      <c r="E163" s="747"/>
      <c r="F163" s="747"/>
      <c r="G163" s="27"/>
      <c r="H163" s="748" t="s">
        <v>93</v>
      </c>
      <c r="I163" s="748"/>
      <c r="J163" s="748"/>
      <c r="K163" s="748"/>
      <c r="L163" s="749"/>
    </row>
    <row r="164" spans="1:12" ht="27.95" customHeight="1" thickBot="1">
      <c r="A164" s="40"/>
      <c r="B164" s="747"/>
      <c r="C164" s="747"/>
      <c r="D164" s="747"/>
      <c r="E164" s="747"/>
      <c r="F164" s="747"/>
      <c r="G164" s="27"/>
      <c r="H164" s="748"/>
      <c r="I164" s="748"/>
      <c r="J164" s="748"/>
      <c r="K164" s="748"/>
      <c r="L164" s="749"/>
    </row>
    <row r="165" spans="1:12" ht="27.95" customHeight="1">
      <c r="A165" s="40"/>
      <c r="B165" s="96"/>
      <c r="C165" s="97"/>
      <c r="D165" s="97"/>
      <c r="E165" s="97"/>
      <c r="F165" s="98"/>
      <c r="G165" s="27"/>
      <c r="H165" s="96"/>
      <c r="I165" s="97"/>
      <c r="J165" s="97"/>
      <c r="K165" s="97"/>
      <c r="L165" s="98"/>
    </row>
    <row r="166" spans="1:12">
      <c r="A166" s="40"/>
      <c r="B166" s="102" t="str">
        <f>'0422Master'!F5</f>
        <v>Burgeon IT Services Pvt.Ltd.</v>
      </c>
      <c r="C166" s="100"/>
      <c r="D166" s="100"/>
      <c r="E166" s="100"/>
      <c r="F166" s="101"/>
      <c r="G166" s="27"/>
      <c r="H166" s="102" t="str">
        <f>'0422Master'!AO5</f>
        <v>Burgeon IT Services Pvt.Ltd.</v>
      </c>
      <c r="I166" s="100"/>
      <c r="J166" s="100"/>
      <c r="K166" s="100"/>
      <c r="L166" s="101"/>
    </row>
    <row r="167" spans="1:12">
      <c r="A167" s="40"/>
      <c r="B167" s="40"/>
      <c r="C167" s="100"/>
      <c r="D167" s="100"/>
      <c r="E167" s="100"/>
      <c r="F167" s="101"/>
      <c r="G167" s="27"/>
      <c r="H167" s="40"/>
      <c r="I167" s="100"/>
      <c r="J167" s="100"/>
      <c r="K167" s="100"/>
      <c r="L167" s="101"/>
    </row>
    <row r="168" spans="1:12">
      <c r="A168" s="40"/>
      <c r="B168" s="102" t="str">
        <f>'0422Master'!F6</f>
        <v>Siri Mansion LIGB 436 Dr.A S Rao Nagar,Hyderabad</v>
      </c>
      <c r="C168" s="100"/>
      <c r="D168" s="100"/>
      <c r="E168" s="100"/>
      <c r="F168" s="101"/>
      <c r="G168" s="27"/>
      <c r="H168" s="102" t="str">
        <f>'0422Master'!AO6</f>
        <v>Siri Mansion LIGB 436 Dr.A S Rao Nagar,Hyderabad</v>
      </c>
      <c r="I168" s="100"/>
      <c r="J168" s="100"/>
      <c r="K168" s="100"/>
      <c r="L168" s="101"/>
    </row>
    <row r="169" spans="1:12" ht="15.75" thickBot="1">
      <c r="A169" s="40"/>
      <c r="B169" s="103"/>
      <c r="C169" s="55"/>
      <c r="D169" s="55"/>
      <c r="E169" s="55"/>
      <c r="F169" s="104"/>
      <c r="G169" s="27"/>
      <c r="H169" s="103"/>
      <c r="I169" s="55"/>
      <c r="J169" s="55"/>
      <c r="K169" s="55"/>
      <c r="L169" s="104"/>
    </row>
    <row r="170" spans="1:12">
      <c r="A170" s="40"/>
      <c r="B170" s="27"/>
      <c r="C170" s="27"/>
      <c r="D170" s="27"/>
      <c r="E170" s="27"/>
      <c r="F170" s="27"/>
      <c r="G170" s="27"/>
      <c r="H170" s="27"/>
      <c r="I170" s="27"/>
      <c r="J170" s="27" t="s">
        <v>94</v>
      </c>
      <c r="K170" s="27"/>
      <c r="L170" s="41"/>
    </row>
    <row r="171" spans="1:12">
      <c r="A171" s="40"/>
      <c r="B171" s="664" t="s">
        <v>95</v>
      </c>
      <c r="C171" s="664"/>
      <c r="D171" s="664"/>
      <c r="E171" s="664"/>
      <c r="F171" s="664"/>
      <c r="G171" s="27"/>
      <c r="H171" s="664" t="s">
        <v>5</v>
      </c>
      <c r="I171" s="664"/>
      <c r="J171" s="664"/>
      <c r="K171" s="664"/>
      <c r="L171" s="750"/>
    </row>
    <row r="172" spans="1:12" ht="15.75" thickBot="1">
      <c r="A172" s="40"/>
      <c r="B172" s="27"/>
      <c r="C172" s="27"/>
      <c r="D172" s="27"/>
      <c r="E172" s="27"/>
      <c r="F172" s="27"/>
      <c r="G172" s="27"/>
      <c r="H172" s="27"/>
      <c r="I172" s="27"/>
      <c r="J172" s="27"/>
      <c r="K172" s="27"/>
      <c r="L172" s="41"/>
    </row>
    <row r="173" spans="1:12">
      <c r="A173" s="40"/>
      <c r="B173" s="96"/>
      <c r="C173" s="97"/>
      <c r="D173" s="97"/>
      <c r="E173" s="97"/>
      <c r="F173" s="98"/>
      <c r="G173" s="27"/>
      <c r="H173" s="105"/>
      <c r="I173" s="106"/>
      <c r="J173" s="106"/>
      <c r="K173" s="106"/>
      <c r="L173" s="107"/>
    </row>
    <row r="174" spans="1:12">
      <c r="A174" s="40"/>
      <c r="B174" s="99"/>
      <c r="C174" s="100"/>
      <c r="D174" s="100"/>
      <c r="E174" s="100"/>
      <c r="F174" s="101"/>
      <c r="G174" s="27"/>
      <c r="H174" s="102" t="str">
        <f>'0422Master'!AO8</f>
        <v>INFOSYS LIMITED, IL BHUBANESHWAR-STP,UNIT-II</v>
      </c>
      <c r="I174" s="108"/>
      <c r="J174" s="108"/>
      <c r="K174" s="108"/>
      <c r="L174" s="109"/>
    </row>
    <row r="175" spans="1:12">
      <c r="A175" s="40"/>
      <c r="B175" s="102" t="str">
        <f>'0422Master'!F8</f>
        <v>IT SUPPORTIVE SERVICES &amp; BHUBANESWAR</v>
      </c>
      <c r="C175" s="100"/>
      <c r="D175" s="100"/>
      <c r="E175" s="100"/>
      <c r="F175" s="101"/>
      <c r="G175" s="27"/>
      <c r="H175" s="102"/>
      <c r="I175" s="108"/>
      <c r="J175" s="108"/>
      <c r="K175" s="108"/>
      <c r="L175" s="109"/>
    </row>
    <row r="176" spans="1:12">
      <c r="A176" s="40"/>
      <c r="B176" s="99"/>
      <c r="C176" s="100"/>
      <c r="D176" s="100"/>
      <c r="E176" s="100"/>
      <c r="F176" s="101"/>
      <c r="G176" s="27"/>
      <c r="H176" s="102" t="str">
        <f>'0422Master'!AO10</f>
        <v>Plot No E/4,Info city,Chandaka Industrial, Bhubaneswar,Odisha - 751024</v>
      </c>
      <c r="I176" s="108"/>
      <c r="J176" s="108"/>
      <c r="K176" s="108"/>
      <c r="L176" s="109"/>
    </row>
    <row r="177" spans="1:12" ht="15.75" thickBot="1">
      <c r="A177" s="40"/>
      <c r="B177" s="103"/>
      <c r="C177" s="55"/>
      <c r="D177" s="55"/>
      <c r="E177" s="55"/>
      <c r="F177" s="104"/>
      <c r="G177" s="27"/>
      <c r="H177" s="110"/>
      <c r="I177" s="111"/>
      <c r="J177" s="111"/>
      <c r="K177" s="111"/>
      <c r="L177" s="112"/>
    </row>
    <row r="178" spans="1:12">
      <c r="A178" s="113"/>
      <c r="B178" s="744" t="s">
        <v>244</v>
      </c>
      <c r="C178" s="744"/>
      <c r="D178" s="744"/>
      <c r="E178" s="744"/>
      <c r="F178" s="744"/>
      <c r="G178" s="744"/>
      <c r="H178" s="741" t="str">
        <f>'0422Master'!B15</f>
        <v>Vipin U.N</v>
      </c>
      <c r="I178" s="742"/>
      <c r="J178" s="742"/>
      <c r="K178" s="742"/>
      <c r="L178" s="743"/>
    </row>
    <row r="179" spans="1:12">
      <c r="A179" s="113"/>
      <c r="B179" s="740" t="s">
        <v>245</v>
      </c>
      <c r="C179" s="740"/>
      <c r="D179" s="740"/>
      <c r="E179" s="740"/>
      <c r="F179" s="740"/>
      <c r="G179" s="740"/>
      <c r="H179" s="741" t="str">
        <f>'0422Master'!E15</f>
        <v>GANGA G</v>
      </c>
      <c r="I179" s="742"/>
      <c r="J179" s="742"/>
      <c r="K179" s="742"/>
      <c r="L179" s="743"/>
    </row>
    <row r="180" spans="1:12">
      <c r="A180" s="113"/>
      <c r="B180" s="744" t="s">
        <v>246</v>
      </c>
      <c r="C180" s="744"/>
      <c r="D180" s="744"/>
      <c r="E180" s="744"/>
      <c r="F180" s="744"/>
      <c r="G180" s="744"/>
      <c r="H180" s="741" t="str">
        <f>'0422Master'!C15</f>
        <v>28/02/1991</v>
      </c>
      <c r="I180" s="742"/>
      <c r="J180" s="742"/>
      <c r="K180" s="742"/>
      <c r="L180" s="743"/>
    </row>
    <row r="181" spans="1:12">
      <c r="A181" s="113"/>
      <c r="B181" s="744" t="s">
        <v>247</v>
      </c>
      <c r="C181" s="744"/>
      <c r="D181" s="744"/>
      <c r="E181" s="744"/>
      <c r="F181" s="744"/>
      <c r="G181" s="744"/>
      <c r="H181" s="837" t="str">
        <f>'0422Master'!D15</f>
        <v>Male</v>
      </c>
      <c r="I181" s="742"/>
      <c r="J181" s="742"/>
      <c r="K181" s="742"/>
      <c r="L181" s="743"/>
    </row>
    <row r="182" spans="1:12">
      <c r="A182" s="113"/>
      <c r="B182" s="114" t="s">
        <v>248</v>
      </c>
      <c r="C182" s="221"/>
      <c r="D182" s="221"/>
      <c r="E182" s="221"/>
      <c r="F182" s="221"/>
      <c r="G182" s="221"/>
      <c r="H182" s="838" t="s">
        <v>249</v>
      </c>
      <c r="I182" s="839"/>
      <c r="J182" s="839"/>
      <c r="K182" s="839"/>
      <c r="L182" s="840"/>
    </row>
    <row r="183" spans="1:12">
      <c r="A183" s="113"/>
      <c r="B183" s="114" t="s">
        <v>250</v>
      </c>
      <c r="C183" s="221"/>
      <c r="D183" s="221"/>
      <c r="E183" s="221"/>
      <c r="F183" s="221"/>
      <c r="G183" s="221"/>
      <c r="H183" s="418"/>
      <c r="I183" s="414"/>
      <c r="J183" s="189"/>
      <c r="K183" s="414"/>
      <c r="L183" s="415"/>
    </row>
    <row r="184" spans="1:12">
      <c r="A184" s="113"/>
      <c r="B184" s="755" t="s">
        <v>251</v>
      </c>
      <c r="C184" s="755"/>
      <c r="D184" s="755"/>
      <c r="E184" s="755"/>
      <c r="F184" s="755"/>
      <c r="G184" s="755"/>
      <c r="H184" s="756" t="str">
        <f>'0422Master'!G15</f>
        <v>#30 "Rajeevam" Ground Floor 2nd cross,Green Garden Layout,12th Main NRI Layout Varanasi,Jinekethimmanahali, Ramamurthy Nagar ,Bangalore - 560036</v>
      </c>
      <c r="I184" s="757"/>
      <c r="J184" s="757"/>
      <c r="K184" s="757"/>
      <c r="L184" s="758"/>
    </row>
    <row r="185" spans="1:12">
      <c r="A185" s="113"/>
      <c r="B185" s="744"/>
      <c r="C185" s="744"/>
      <c r="D185" s="744"/>
      <c r="E185" s="744"/>
      <c r="F185" s="744"/>
      <c r="G185" s="744"/>
      <c r="H185" s="751">
        <f>'0422Master'!H15</f>
        <v>0</v>
      </c>
      <c r="I185" s="742"/>
      <c r="J185" s="742"/>
      <c r="K185" s="742"/>
      <c r="L185" s="743"/>
    </row>
    <row r="186" spans="1:12">
      <c r="A186" s="40"/>
      <c r="B186" s="744"/>
      <c r="C186" s="744"/>
      <c r="D186" s="744"/>
      <c r="E186" s="744"/>
      <c r="F186" s="744"/>
      <c r="G186" s="744"/>
      <c r="H186" s="741">
        <f>'0422Master'!I15</f>
        <v>0</v>
      </c>
      <c r="I186" s="742"/>
      <c r="J186" s="742"/>
      <c r="K186" s="742"/>
      <c r="L186" s="743"/>
    </row>
    <row r="187" spans="1:12">
      <c r="A187" s="40"/>
      <c r="B187" s="114" t="s">
        <v>252</v>
      </c>
      <c r="C187" s="221"/>
      <c r="D187" s="221"/>
      <c r="E187" s="221"/>
      <c r="F187" s="221"/>
      <c r="G187" s="222"/>
      <c r="H187" s="829" t="str">
        <f>'0422Master'!J15</f>
        <v>#30 "Rajeevam" Ground Floor 2nd cross,Green Garden Layout,12th Main NRI Layout Varanasi,Jinekethimmanahali, Ramamurthy Nagar ,Bangalore - 560036</v>
      </c>
      <c r="I187" s="830"/>
      <c r="J187" s="830"/>
      <c r="K187" s="830"/>
      <c r="L187" s="831"/>
    </row>
    <row r="188" spans="1:12">
      <c r="A188" s="40"/>
      <c r="B188" s="114"/>
      <c r="C188" s="221"/>
      <c r="D188" s="221"/>
      <c r="E188" s="221"/>
      <c r="F188" s="221"/>
      <c r="G188" s="222"/>
      <c r="H188" s="829">
        <f>'0422Master'!K15</f>
        <v>0</v>
      </c>
      <c r="I188" s="830"/>
      <c r="J188" s="830"/>
      <c r="K188" s="830"/>
      <c r="L188" s="831"/>
    </row>
    <row r="189" spans="1:12">
      <c r="A189" s="40"/>
      <c r="B189" s="114"/>
      <c r="C189" s="221"/>
      <c r="D189" s="221"/>
      <c r="E189" s="221"/>
      <c r="F189" s="221"/>
      <c r="G189" s="222"/>
      <c r="H189" s="829">
        <f>'0422Master'!L15</f>
        <v>0</v>
      </c>
      <c r="I189" s="830"/>
      <c r="J189" s="830"/>
      <c r="K189" s="830"/>
      <c r="L189" s="831"/>
    </row>
    <row r="190" spans="1:12">
      <c r="A190" s="40"/>
      <c r="B190" s="114" t="s">
        <v>253</v>
      </c>
      <c r="C190" s="221"/>
      <c r="D190" s="221"/>
      <c r="E190" s="221"/>
      <c r="F190" s="221"/>
      <c r="G190" s="222"/>
      <c r="H190" s="418"/>
      <c r="I190" s="414"/>
      <c r="J190" s="414"/>
      <c r="K190" s="414"/>
      <c r="L190" s="415"/>
    </row>
    <row r="191" spans="1:12">
      <c r="A191" s="40"/>
      <c r="B191" s="117" t="s">
        <v>254</v>
      </c>
      <c r="C191" s="179"/>
      <c r="D191" s="179"/>
      <c r="E191" s="179"/>
      <c r="F191" s="179"/>
      <c r="G191" s="180"/>
      <c r="H191" s="181"/>
      <c r="I191" s="182"/>
      <c r="J191" s="183"/>
      <c r="K191" s="182"/>
      <c r="L191" s="184"/>
    </row>
    <row r="192" spans="1:12" ht="45">
      <c r="A192" s="40"/>
      <c r="B192" s="114" t="s">
        <v>255</v>
      </c>
      <c r="C192" s="221"/>
      <c r="D192" s="414"/>
      <c r="E192" s="413" t="s">
        <v>256</v>
      </c>
      <c r="F192" s="80"/>
      <c r="G192" s="832" t="s">
        <v>257</v>
      </c>
      <c r="H192" s="833"/>
      <c r="I192" s="417" t="s">
        <v>258</v>
      </c>
      <c r="J192" s="477" t="s">
        <v>259</v>
      </c>
      <c r="K192" s="832" t="s">
        <v>260</v>
      </c>
      <c r="L192" s="834"/>
    </row>
    <row r="193" spans="1:12">
      <c r="A193" s="40"/>
      <c r="B193" s="187">
        <v>1</v>
      </c>
      <c r="C193" s="221"/>
      <c r="D193" s="221"/>
      <c r="E193" s="188">
        <v>2</v>
      </c>
      <c r="F193" s="222"/>
      <c r="G193" s="188">
        <v>3</v>
      </c>
      <c r="H193" s="419"/>
      <c r="I193" s="419">
        <v>4</v>
      </c>
      <c r="J193" s="448">
        <v>5</v>
      </c>
      <c r="K193" s="115"/>
      <c r="L193" s="116">
        <v>6</v>
      </c>
    </row>
    <row r="194" spans="1:12">
      <c r="A194" s="40"/>
      <c r="B194" s="298" t="str">
        <f>'0422Master'!E15</f>
        <v>GANGA G</v>
      </c>
      <c r="C194" s="202"/>
      <c r="D194" s="203"/>
      <c r="E194" s="299" t="s">
        <v>261</v>
      </c>
      <c r="F194" s="203"/>
      <c r="G194" s="299" t="s">
        <v>262</v>
      </c>
      <c r="H194" s="80"/>
      <c r="I194" s="308" t="s">
        <v>263</v>
      </c>
      <c r="J194" s="478">
        <v>1</v>
      </c>
      <c r="K194" s="835" t="s">
        <v>109</v>
      </c>
      <c r="L194" s="836"/>
    </row>
    <row r="195" spans="1:12">
      <c r="A195" s="40"/>
      <c r="B195" s="114"/>
      <c r="C195" s="202"/>
      <c r="D195" s="203"/>
      <c r="E195" s="204"/>
      <c r="F195" s="203"/>
      <c r="G195" s="204"/>
      <c r="H195" s="80"/>
      <c r="I195" s="308"/>
      <c r="J195" s="308"/>
      <c r="K195" s="205"/>
      <c r="L195" s="80"/>
    </row>
    <row r="196" spans="1:12">
      <c r="A196" s="40"/>
      <c r="B196" s="114"/>
      <c r="C196" s="202"/>
      <c r="D196" s="203"/>
      <c r="E196" s="204"/>
      <c r="F196" s="203"/>
      <c r="G196" s="204"/>
      <c r="H196" s="80"/>
      <c r="I196" s="308"/>
      <c r="J196" s="308"/>
      <c r="K196" s="205"/>
      <c r="L196" s="80"/>
    </row>
    <row r="197" spans="1:12">
      <c r="A197" s="40"/>
      <c r="B197" s="86"/>
      <c r="C197" s="46"/>
      <c r="D197" s="87"/>
      <c r="E197" s="204"/>
      <c r="F197" s="203"/>
      <c r="G197" s="204"/>
      <c r="H197" s="80"/>
      <c r="I197" s="308"/>
      <c r="J197" s="308"/>
      <c r="K197" s="205"/>
      <c r="L197" s="80"/>
    </row>
    <row r="198" spans="1:12">
      <c r="A198" s="40"/>
      <c r="B198" s="27" t="s">
        <v>264</v>
      </c>
      <c r="C198" s="27"/>
      <c r="D198" s="27"/>
      <c r="E198" s="27"/>
      <c r="F198" s="27"/>
      <c r="G198" s="27"/>
      <c r="H198" s="27"/>
      <c r="I198" s="27"/>
      <c r="J198" s="27"/>
      <c r="K198" s="27"/>
      <c r="L198" s="41"/>
    </row>
    <row r="199" spans="1:12">
      <c r="A199" s="40"/>
      <c r="B199" s="27" t="s">
        <v>265</v>
      </c>
      <c r="C199" s="27"/>
      <c r="D199" s="27"/>
      <c r="E199" s="27"/>
      <c r="F199" s="27"/>
      <c r="G199" s="27"/>
      <c r="H199" s="27"/>
      <c r="I199" s="27"/>
      <c r="J199" s="27"/>
      <c r="K199" s="27"/>
      <c r="L199" s="41"/>
    </row>
    <row r="200" spans="1:12">
      <c r="A200" s="40"/>
      <c r="B200" s="27" t="s">
        <v>266</v>
      </c>
      <c r="C200" s="27"/>
      <c r="D200" s="27"/>
      <c r="E200" s="27"/>
      <c r="F200" s="27"/>
      <c r="G200" s="27"/>
      <c r="H200" s="27"/>
      <c r="I200" s="27"/>
      <c r="J200" s="27"/>
      <c r="K200" s="27"/>
      <c r="L200" s="41"/>
    </row>
    <row r="201" spans="1:12" ht="27.95" customHeight="1">
      <c r="A201" s="40"/>
      <c r="B201" s="27"/>
      <c r="C201" s="27"/>
      <c r="D201" s="27"/>
      <c r="E201" s="27"/>
      <c r="F201" s="27"/>
      <c r="G201" s="27"/>
      <c r="H201" s="27"/>
      <c r="I201" s="27"/>
      <c r="J201" s="27"/>
      <c r="K201" s="27"/>
      <c r="L201" s="41"/>
    </row>
    <row r="202" spans="1:12" ht="27.95" customHeight="1">
      <c r="A202" s="40"/>
      <c r="B202" s="27"/>
      <c r="C202" s="27"/>
      <c r="D202" s="27"/>
      <c r="E202" s="27"/>
      <c r="F202" s="27"/>
      <c r="G202" s="27"/>
      <c r="H202" s="27"/>
      <c r="I202" s="27" t="s">
        <v>267</v>
      </c>
      <c r="J202" s="27"/>
      <c r="K202" s="27"/>
      <c r="L202" s="41"/>
    </row>
    <row r="203" spans="1:12" ht="27.95" customHeight="1">
      <c r="A203" s="40"/>
      <c r="B203" s="27"/>
      <c r="C203" s="27"/>
      <c r="D203" s="27"/>
      <c r="E203" s="27"/>
      <c r="F203" s="190" t="s">
        <v>268</v>
      </c>
      <c r="G203" s="27"/>
      <c r="H203" s="27"/>
      <c r="I203" s="27"/>
      <c r="J203" s="27"/>
      <c r="K203" s="27"/>
      <c r="L203" s="41"/>
    </row>
    <row r="204" spans="1:12" ht="27.95" customHeight="1">
      <c r="A204" s="40" t="s">
        <v>269</v>
      </c>
      <c r="B204" s="27"/>
      <c r="C204" s="27"/>
      <c r="D204" s="27"/>
      <c r="E204" s="27"/>
      <c r="F204" s="27"/>
      <c r="G204" s="27"/>
      <c r="H204" s="27"/>
      <c r="I204" s="27"/>
      <c r="J204" s="27"/>
      <c r="K204" s="243" t="str">
        <f>'0422Master'!B15</f>
        <v>Vipin U.N</v>
      </c>
      <c r="L204" s="41"/>
    </row>
    <row r="205" spans="1:12" ht="27.95" customHeight="1">
      <c r="A205" s="40" t="s">
        <v>270</v>
      </c>
      <c r="B205" s="27"/>
      <c r="C205" s="27"/>
      <c r="D205" s="27"/>
      <c r="E205" s="27"/>
      <c r="F205" s="27"/>
      <c r="G205" s="27"/>
      <c r="H205" s="27"/>
      <c r="I205" s="27"/>
      <c r="J205" s="27"/>
      <c r="K205" s="27"/>
      <c r="L205" s="41"/>
    </row>
    <row r="206" spans="1:12" ht="27.95" customHeight="1">
      <c r="A206" s="40"/>
      <c r="B206" s="27"/>
      <c r="C206" s="27"/>
      <c r="D206" s="27"/>
      <c r="E206" s="27"/>
      <c r="F206" s="27"/>
      <c r="G206" s="27"/>
      <c r="H206" s="27"/>
      <c r="I206" s="27"/>
      <c r="J206" s="27"/>
      <c r="K206" s="27"/>
      <c r="L206" s="41"/>
    </row>
    <row r="207" spans="1:12" ht="27.95" customHeight="1">
      <c r="A207" s="40"/>
      <c r="B207" s="27"/>
      <c r="C207" s="27"/>
      <c r="D207" s="27"/>
      <c r="E207" s="27"/>
      <c r="F207" s="27"/>
      <c r="G207" s="27"/>
      <c r="H207" s="27"/>
      <c r="I207" s="27"/>
      <c r="J207" s="27"/>
      <c r="K207" s="27"/>
      <c r="L207" s="41"/>
    </row>
    <row r="208" spans="1:12" ht="27.95" customHeight="1">
      <c r="A208" s="40"/>
      <c r="B208" s="27"/>
      <c r="C208" s="27"/>
      <c r="D208" s="27"/>
      <c r="E208" s="27"/>
      <c r="F208" s="27" t="s">
        <v>271</v>
      </c>
      <c r="G208" s="27"/>
      <c r="H208" s="27"/>
      <c r="I208" s="27"/>
      <c r="J208" s="27"/>
      <c r="K208" s="27"/>
      <c r="L208" s="41"/>
    </row>
    <row r="209" spans="1:12" ht="27.95" customHeight="1">
      <c r="A209" s="40" t="s">
        <v>272</v>
      </c>
      <c r="B209" s="27" t="s">
        <v>273</v>
      </c>
      <c r="C209" s="27"/>
      <c r="D209" s="27"/>
      <c r="E209" s="27"/>
      <c r="F209" s="27" t="str">
        <f>'0422Master'!F5</f>
        <v>Burgeon IT Services Pvt.Ltd.</v>
      </c>
      <c r="G209" s="27"/>
      <c r="H209" s="27"/>
      <c r="I209" s="27"/>
      <c r="J209" s="27"/>
      <c r="K209" s="27"/>
      <c r="L209" s="41"/>
    </row>
    <row r="210" spans="1:12" ht="27.95" customHeight="1">
      <c r="A210" s="40" t="s">
        <v>274</v>
      </c>
      <c r="B210" s="297">
        <f>'0422Master'!N15</f>
        <v>44181</v>
      </c>
      <c r="C210" s="27"/>
      <c r="D210" s="27"/>
      <c r="E210" s="27"/>
      <c r="F210" s="192" t="str">
        <f>'0422Master'!F6</f>
        <v>Siri Mansion LIGB 436 Dr.A S Rao Nagar,Hyderabad</v>
      </c>
      <c r="G210" s="192"/>
      <c r="H210" s="192"/>
      <c r="I210" s="192"/>
      <c r="J210" s="192"/>
      <c r="K210" s="192"/>
      <c r="L210" s="41"/>
    </row>
    <row r="211" spans="1:12" ht="27.95" customHeight="1" thickBot="1">
      <c r="A211" s="54"/>
      <c r="B211" s="52"/>
      <c r="C211" s="52"/>
      <c r="D211" s="52"/>
      <c r="E211" s="52"/>
      <c r="F211" s="52"/>
      <c r="G211" s="52"/>
      <c r="H211" s="52"/>
      <c r="I211" s="52"/>
      <c r="J211" s="52"/>
      <c r="K211" s="52"/>
      <c r="L211" s="53"/>
    </row>
    <row r="212" spans="1:12" ht="27.95" customHeight="1" thickBot="1">
      <c r="A212" s="27"/>
      <c r="B212" s="193"/>
      <c r="C212" s="412"/>
      <c r="D212" s="412"/>
      <c r="E212" s="412"/>
      <c r="F212" s="412"/>
      <c r="G212" s="412"/>
      <c r="H212" s="411"/>
      <c r="I212" s="411"/>
      <c r="J212" s="410"/>
      <c r="K212" s="411"/>
      <c r="L212" s="411"/>
    </row>
    <row r="213" spans="1:12" ht="27.95" customHeight="1">
      <c r="A213" s="96"/>
      <c r="B213" s="735" t="s">
        <v>241</v>
      </c>
      <c r="C213" s="736"/>
      <c r="D213" s="736"/>
      <c r="E213" s="736"/>
      <c r="F213" s="736"/>
      <c r="G213" s="736"/>
      <c r="H213" s="736"/>
      <c r="I213" s="736"/>
      <c r="J213" s="736"/>
      <c r="K213" s="736"/>
      <c r="L213" s="737"/>
    </row>
    <row r="214" spans="1:12" ht="27.95" customHeight="1">
      <c r="A214" s="40"/>
      <c r="B214" s="738" t="s">
        <v>242</v>
      </c>
      <c r="C214" s="738"/>
      <c r="D214" s="738"/>
      <c r="E214" s="738"/>
      <c r="F214" s="738"/>
      <c r="G214" s="738"/>
      <c r="H214" s="738"/>
      <c r="I214" s="738"/>
      <c r="J214" s="738"/>
      <c r="K214" s="738"/>
      <c r="L214" s="739"/>
    </row>
    <row r="215" spans="1:12" ht="27.95" customHeight="1" thickBot="1">
      <c r="A215" s="54"/>
      <c r="B215" s="745" t="s">
        <v>243</v>
      </c>
      <c r="C215" s="745"/>
      <c r="D215" s="745"/>
      <c r="E215" s="745"/>
      <c r="F215" s="745"/>
      <c r="G215" s="745"/>
      <c r="H215" s="745"/>
      <c r="I215" s="745"/>
      <c r="J215" s="745"/>
      <c r="K215" s="745"/>
      <c r="L215" s="746"/>
    </row>
    <row r="216" spans="1:12" ht="27.95" customHeight="1">
      <c r="A216" s="40"/>
      <c r="B216" s="747" t="s">
        <v>92</v>
      </c>
      <c r="C216" s="747"/>
      <c r="D216" s="747"/>
      <c r="E216" s="747"/>
      <c r="F216" s="747"/>
      <c r="G216" s="27"/>
      <c r="H216" s="748" t="s">
        <v>93</v>
      </c>
      <c r="I216" s="748"/>
      <c r="J216" s="748"/>
      <c r="K216" s="748"/>
      <c r="L216" s="749"/>
    </row>
    <row r="217" spans="1:12" ht="27.95" customHeight="1" thickBot="1">
      <c r="A217" s="40"/>
      <c r="B217" s="747"/>
      <c r="C217" s="747"/>
      <c r="D217" s="747"/>
      <c r="E217" s="747"/>
      <c r="F217" s="747"/>
      <c r="G217" s="27"/>
      <c r="H217" s="748"/>
      <c r="I217" s="748"/>
      <c r="J217" s="748"/>
      <c r="K217" s="748"/>
      <c r="L217" s="749"/>
    </row>
    <row r="218" spans="1:12" ht="27.95" customHeight="1">
      <c r="A218" s="40"/>
      <c r="B218" s="96"/>
      <c r="C218" s="97"/>
      <c r="D218" s="97"/>
      <c r="E218" s="97"/>
      <c r="F218" s="98"/>
      <c r="G218" s="27"/>
      <c r="H218" s="96"/>
      <c r="I218" s="97"/>
      <c r="J218" s="97"/>
      <c r="K218" s="97"/>
      <c r="L218" s="98"/>
    </row>
    <row r="219" spans="1:12">
      <c r="A219" s="40"/>
      <c r="B219" s="102" t="str">
        <f>'0422Master'!F5</f>
        <v>Burgeon IT Services Pvt.Ltd.</v>
      </c>
      <c r="C219" s="100"/>
      <c r="D219" s="100"/>
      <c r="E219" s="100"/>
      <c r="F219" s="101"/>
      <c r="G219" s="27"/>
      <c r="H219" s="102" t="str">
        <f>'0422Master'!AO5</f>
        <v>Burgeon IT Services Pvt.Ltd.</v>
      </c>
      <c r="I219" s="100"/>
      <c r="J219" s="100"/>
      <c r="K219" s="100"/>
      <c r="L219" s="101"/>
    </row>
    <row r="220" spans="1:12">
      <c r="A220" s="40"/>
      <c r="B220" s="40"/>
      <c r="C220" s="100"/>
      <c r="D220" s="100"/>
      <c r="E220" s="100"/>
      <c r="F220" s="101"/>
      <c r="G220" s="27"/>
      <c r="H220" s="40"/>
      <c r="I220" s="100"/>
      <c r="J220" s="100"/>
      <c r="K220" s="100"/>
      <c r="L220" s="101"/>
    </row>
    <row r="221" spans="1:12">
      <c r="A221" s="40"/>
      <c r="B221" s="102" t="str">
        <f>'0422Master'!F6</f>
        <v>Siri Mansion LIGB 436 Dr.A S Rao Nagar,Hyderabad</v>
      </c>
      <c r="C221" s="100"/>
      <c r="D221" s="100"/>
      <c r="E221" s="100"/>
      <c r="F221" s="101"/>
      <c r="G221" s="27"/>
      <c r="H221" s="102" t="str">
        <f>'0422Master'!AO6</f>
        <v>Siri Mansion LIGB 436 Dr.A S Rao Nagar,Hyderabad</v>
      </c>
      <c r="I221" s="100"/>
      <c r="J221" s="100"/>
      <c r="K221" s="100"/>
      <c r="L221" s="101"/>
    </row>
    <row r="222" spans="1:12" ht="15.75" thickBot="1">
      <c r="A222" s="40"/>
      <c r="B222" s="103"/>
      <c r="C222" s="55"/>
      <c r="D222" s="55"/>
      <c r="E222" s="55"/>
      <c r="F222" s="104"/>
      <c r="G222" s="27"/>
      <c r="H222" s="103"/>
      <c r="I222" s="55"/>
      <c r="J222" s="55"/>
      <c r="K222" s="55"/>
      <c r="L222" s="104"/>
    </row>
    <row r="223" spans="1:12">
      <c r="A223" s="40"/>
      <c r="B223" s="27"/>
      <c r="C223" s="27"/>
      <c r="D223" s="27"/>
      <c r="E223" s="27"/>
      <c r="F223" s="27"/>
      <c r="G223" s="27"/>
      <c r="H223" s="27"/>
      <c r="I223" s="27"/>
      <c r="J223" s="27" t="s">
        <v>94</v>
      </c>
      <c r="K223" s="27"/>
      <c r="L223" s="41"/>
    </row>
    <row r="224" spans="1:12">
      <c r="A224" s="40"/>
      <c r="B224" s="664" t="s">
        <v>95</v>
      </c>
      <c r="C224" s="664"/>
      <c r="D224" s="664"/>
      <c r="E224" s="664"/>
      <c r="F224" s="664"/>
      <c r="G224" s="27"/>
      <c r="H224" s="664" t="s">
        <v>5</v>
      </c>
      <c r="I224" s="664"/>
      <c r="J224" s="664"/>
      <c r="K224" s="664"/>
      <c r="L224" s="750"/>
    </row>
    <row r="225" spans="1:12" ht="15.75" thickBot="1">
      <c r="A225" s="40"/>
      <c r="B225" s="27"/>
      <c r="C225" s="27"/>
      <c r="D225" s="27"/>
      <c r="E225" s="27"/>
      <c r="F225" s="27"/>
      <c r="G225" s="27"/>
      <c r="H225" s="27"/>
      <c r="I225" s="27"/>
      <c r="J225" s="27"/>
      <c r="K225" s="27"/>
      <c r="L225" s="41"/>
    </row>
    <row r="226" spans="1:12">
      <c r="A226" s="40"/>
      <c r="B226" s="96"/>
      <c r="C226" s="97"/>
      <c r="D226" s="97"/>
      <c r="E226" s="97"/>
      <c r="F226" s="98"/>
      <c r="G226" s="27"/>
      <c r="H226" s="105"/>
      <c r="I226" s="106"/>
      <c r="J226" s="106"/>
      <c r="K226" s="106"/>
      <c r="L226" s="107"/>
    </row>
    <row r="227" spans="1:12">
      <c r="A227" s="40"/>
      <c r="B227" s="99"/>
      <c r="C227" s="100"/>
      <c r="D227" s="100"/>
      <c r="E227" s="100"/>
      <c r="F227" s="101"/>
      <c r="G227" s="27"/>
      <c r="H227" s="102" t="str">
        <f>'0422Master'!AO8</f>
        <v>INFOSYS LIMITED, IL BHUBANESHWAR-STP,UNIT-II</v>
      </c>
      <c r="I227" s="108"/>
      <c r="J227" s="108"/>
      <c r="K227" s="108"/>
      <c r="L227" s="109"/>
    </row>
    <row r="228" spans="1:12">
      <c r="A228" s="40"/>
      <c r="B228" s="102" t="str">
        <f>'0422Master'!F8</f>
        <v>IT SUPPORTIVE SERVICES &amp; BHUBANESWAR</v>
      </c>
      <c r="C228" s="100"/>
      <c r="D228" s="100"/>
      <c r="E228" s="100"/>
      <c r="F228" s="101"/>
      <c r="G228" s="27"/>
      <c r="H228" s="102"/>
      <c r="I228" s="108"/>
      <c r="J228" s="108"/>
      <c r="K228" s="108"/>
      <c r="L228" s="109"/>
    </row>
    <row r="229" spans="1:12">
      <c r="A229" s="40"/>
      <c r="B229" s="99"/>
      <c r="C229" s="100"/>
      <c r="D229" s="100"/>
      <c r="E229" s="100"/>
      <c r="F229" s="101"/>
      <c r="G229" s="27"/>
      <c r="H229" s="102" t="str">
        <f>'0422Master'!AO10</f>
        <v>Plot No E/4,Info city,Chandaka Industrial, Bhubaneswar,Odisha - 751024</v>
      </c>
      <c r="I229" s="108"/>
      <c r="J229" s="108"/>
      <c r="K229" s="108"/>
      <c r="L229" s="109"/>
    </row>
    <row r="230" spans="1:12" ht="15.75" thickBot="1">
      <c r="A230" s="40"/>
      <c r="B230" s="103"/>
      <c r="C230" s="55"/>
      <c r="D230" s="55"/>
      <c r="E230" s="55"/>
      <c r="F230" s="104"/>
      <c r="G230" s="27"/>
      <c r="H230" s="110"/>
      <c r="I230" s="111"/>
      <c r="J230" s="111"/>
      <c r="K230" s="111"/>
      <c r="L230" s="112"/>
    </row>
    <row r="231" spans="1:12">
      <c r="A231" s="113"/>
      <c r="B231" s="744" t="s">
        <v>244</v>
      </c>
      <c r="C231" s="744"/>
      <c r="D231" s="744"/>
      <c r="E231" s="744"/>
      <c r="F231" s="744"/>
      <c r="G231" s="744"/>
      <c r="H231" s="741" t="e">
        <f>'0422Master'!#REF!</f>
        <v>#REF!</v>
      </c>
      <c r="I231" s="742"/>
      <c r="J231" s="742"/>
      <c r="K231" s="742"/>
      <c r="L231" s="743"/>
    </row>
    <row r="232" spans="1:12">
      <c r="A232" s="113"/>
      <c r="B232" s="740" t="s">
        <v>245</v>
      </c>
      <c r="C232" s="740"/>
      <c r="D232" s="740"/>
      <c r="E232" s="740"/>
      <c r="F232" s="740"/>
      <c r="G232" s="740"/>
      <c r="H232" s="741" t="e">
        <f>'0422Master'!#REF!</f>
        <v>#REF!</v>
      </c>
      <c r="I232" s="742"/>
      <c r="J232" s="742"/>
      <c r="K232" s="742"/>
      <c r="L232" s="743"/>
    </row>
    <row r="233" spans="1:12">
      <c r="A233" s="113"/>
      <c r="B233" s="744" t="s">
        <v>246</v>
      </c>
      <c r="C233" s="744"/>
      <c r="D233" s="744"/>
      <c r="E233" s="744"/>
      <c r="F233" s="744"/>
      <c r="G233" s="744"/>
      <c r="H233" s="741" t="e">
        <f>'0422Master'!#REF!</f>
        <v>#REF!</v>
      </c>
      <c r="I233" s="742"/>
      <c r="J233" s="742"/>
      <c r="K233" s="742"/>
      <c r="L233" s="743"/>
    </row>
    <row r="234" spans="1:12">
      <c r="A234" s="113"/>
      <c r="B234" s="744" t="s">
        <v>247</v>
      </c>
      <c r="C234" s="744"/>
      <c r="D234" s="744"/>
      <c r="E234" s="744"/>
      <c r="F234" s="744"/>
      <c r="G234" s="744"/>
      <c r="H234" s="837" t="e">
        <f>'0422Master'!#REF!</f>
        <v>#REF!</v>
      </c>
      <c r="I234" s="742"/>
      <c r="J234" s="742"/>
      <c r="K234" s="742"/>
      <c r="L234" s="743"/>
    </row>
    <row r="235" spans="1:12">
      <c r="A235" s="113"/>
      <c r="B235" s="114" t="s">
        <v>248</v>
      </c>
      <c r="C235" s="221"/>
      <c r="D235" s="221"/>
      <c r="E235" s="221"/>
      <c r="F235" s="221"/>
      <c r="G235" s="221"/>
      <c r="H235" s="838" t="s">
        <v>249</v>
      </c>
      <c r="I235" s="839"/>
      <c r="J235" s="839"/>
      <c r="K235" s="839"/>
      <c r="L235" s="840"/>
    </row>
    <row r="236" spans="1:12">
      <c r="A236" s="113"/>
      <c r="B236" s="114" t="s">
        <v>250</v>
      </c>
      <c r="C236" s="221"/>
      <c r="D236" s="221"/>
      <c r="E236" s="221"/>
      <c r="F236" s="221"/>
      <c r="G236" s="221"/>
      <c r="H236" s="418"/>
      <c r="I236" s="414"/>
      <c r="J236" s="189"/>
      <c r="K236" s="414"/>
      <c r="L236" s="415"/>
    </row>
    <row r="237" spans="1:12">
      <c r="A237" s="113"/>
      <c r="B237" s="755" t="s">
        <v>251</v>
      </c>
      <c r="C237" s="755"/>
      <c r="D237" s="755"/>
      <c r="E237" s="755"/>
      <c r="F237" s="755"/>
      <c r="G237" s="755"/>
      <c r="H237" s="756" t="e">
        <f>'0422Master'!#REF!</f>
        <v>#REF!</v>
      </c>
      <c r="I237" s="757"/>
      <c r="J237" s="757"/>
      <c r="K237" s="757"/>
      <c r="L237" s="758"/>
    </row>
    <row r="238" spans="1:12">
      <c r="A238" s="113"/>
      <c r="B238" s="744"/>
      <c r="C238" s="744"/>
      <c r="D238" s="744"/>
      <c r="E238" s="744"/>
      <c r="F238" s="744"/>
      <c r="G238" s="744"/>
      <c r="H238" s="751" t="e">
        <f>'0422Master'!#REF!</f>
        <v>#REF!</v>
      </c>
      <c r="I238" s="742"/>
      <c r="J238" s="742"/>
      <c r="K238" s="742"/>
      <c r="L238" s="743"/>
    </row>
    <row r="239" spans="1:12">
      <c r="A239" s="40"/>
      <c r="B239" s="744"/>
      <c r="C239" s="744"/>
      <c r="D239" s="744"/>
      <c r="E239" s="744"/>
      <c r="F239" s="744"/>
      <c r="G239" s="744"/>
      <c r="H239" s="741" t="e">
        <f>'0422Master'!#REF!</f>
        <v>#REF!</v>
      </c>
      <c r="I239" s="742"/>
      <c r="J239" s="742"/>
      <c r="K239" s="742"/>
      <c r="L239" s="743"/>
    </row>
    <row r="240" spans="1:12">
      <c r="A240" s="40"/>
      <c r="B240" s="114" t="s">
        <v>252</v>
      </c>
      <c r="C240" s="221"/>
      <c r="D240" s="221"/>
      <c r="E240" s="221"/>
      <c r="F240" s="221"/>
      <c r="G240" s="222"/>
      <c r="H240" s="829" t="e">
        <f>'0422Master'!#REF!</f>
        <v>#REF!</v>
      </c>
      <c r="I240" s="830"/>
      <c r="J240" s="830"/>
      <c r="K240" s="830"/>
      <c r="L240" s="831"/>
    </row>
    <row r="241" spans="1:12">
      <c r="A241" s="40"/>
      <c r="B241" s="114"/>
      <c r="C241" s="221"/>
      <c r="D241" s="221"/>
      <c r="E241" s="221"/>
      <c r="F241" s="221"/>
      <c r="G241" s="222"/>
      <c r="H241" s="829" t="e">
        <f>'0422Master'!#REF!</f>
        <v>#REF!</v>
      </c>
      <c r="I241" s="830"/>
      <c r="J241" s="830"/>
      <c r="K241" s="830"/>
      <c r="L241" s="831"/>
    </row>
    <row r="242" spans="1:12">
      <c r="A242" s="40"/>
      <c r="B242" s="114"/>
      <c r="C242" s="221"/>
      <c r="D242" s="221"/>
      <c r="E242" s="221"/>
      <c r="F242" s="221"/>
      <c r="G242" s="222"/>
      <c r="H242" s="829" t="e">
        <f>'0422Master'!#REF!</f>
        <v>#REF!</v>
      </c>
      <c r="I242" s="830"/>
      <c r="J242" s="830"/>
      <c r="K242" s="830"/>
      <c r="L242" s="831"/>
    </row>
    <row r="243" spans="1:12">
      <c r="A243" s="40"/>
      <c r="B243" s="114" t="s">
        <v>253</v>
      </c>
      <c r="C243" s="221"/>
      <c r="D243" s="221"/>
      <c r="E243" s="221"/>
      <c r="F243" s="221"/>
      <c r="G243" s="222"/>
      <c r="H243" s="418"/>
      <c r="I243" s="414"/>
      <c r="J243" s="414"/>
      <c r="K243" s="414"/>
      <c r="L243" s="415"/>
    </row>
    <row r="244" spans="1:12">
      <c r="A244" s="40"/>
      <c r="B244" s="117" t="s">
        <v>254</v>
      </c>
      <c r="C244" s="179"/>
      <c r="D244" s="179"/>
      <c r="E244" s="179"/>
      <c r="F244" s="179"/>
      <c r="G244" s="180"/>
      <c r="H244" s="181"/>
      <c r="I244" s="182"/>
      <c r="J244" s="183"/>
      <c r="K244" s="182"/>
      <c r="L244" s="184"/>
    </row>
    <row r="245" spans="1:12" ht="45">
      <c r="A245" s="40"/>
      <c r="B245" s="114" t="s">
        <v>255</v>
      </c>
      <c r="C245" s="221"/>
      <c r="D245" s="414"/>
      <c r="E245" s="413" t="s">
        <v>256</v>
      </c>
      <c r="F245" s="80"/>
      <c r="G245" s="832" t="s">
        <v>257</v>
      </c>
      <c r="H245" s="833"/>
      <c r="I245" s="417" t="s">
        <v>258</v>
      </c>
      <c r="J245" s="477" t="s">
        <v>259</v>
      </c>
      <c r="K245" s="832" t="s">
        <v>260</v>
      </c>
      <c r="L245" s="834"/>
    </row>
    <row r="246" spans="1:12">
      <c r="A246" s="40"/>
      <c r="B246" s="187">
        <v>1</v>
      </c>
      <c r="C246" s="221"/>
      <c r="D246" s="221"/>
      <c r="E246" s="188">
        <v>2</v>
      </c>
      <c r="F246" s="222"/>
      <c r="G246" s="188">
        <v>3</v>
      </c>
      <c r="H246" s="419"/>
      <c r="I246" s="419">
        <v>4</v>
      </c>
      <c r="J246" s="448">
        <v>5</v>
      </c>
      <c r="K246" s="115"/>
      <c r="L246" s="116">
        <v>6</v>
      </c>
    </row>
    <row r="247" spans="1:12">
      <c r="A247" s="40"/>
      <c r="B247" s="298" t="e">
        <f>'0422Master'!#REF!</f>
        <v>#REF!</v>
      </c>
      <c r="C247" s="202"/>
      <c r="D247" s="203"/>
      <c r="E247" s="299" t="s">
        <v>261</v>
      </c>
      <c r="F247" s="203"/>
      <c r="G247" s="299" t="s">
        <v>262</v>
      </c>
      <c r="H247" s="80"/>
      <c r="I247" s="308" t="s">
        <v>263</v>
      </c>
      <c r="J247" s="478">
        <v>1</v>
      </c>
      <c r="K247" s="835" t="s">
        <v>109</v>
      </c>
      <c r="L247" s="836"/>
    </row>
    <row r="248" spans="1:12">
      <c r="A248" s="40"/>
      <c r="B248" s="114"/>
      <c r="C248" s="202"/>
      <c r="D248" s="203"/>
      <c r="E248" s="204"/>
      <c r="F248" s="203"/>
      <c r="G248" s="204"/>
      <c r="H248" s="80"/>
      <c r="I248" s="308"/>
      <c r="J248" s="308"/>
      <c r="K248" s="205"/>
      <c r="L248" s="80"/>
    </row>
    <row r="249" spans="1:12">
      <c r="A249" s="40"/>
      <c r="B249" s="114"/>
      <c r="C249" s="202"/>
      <c r="D249" s="203"/>
      <c r="E249" s="204"/>
      <c r="F249" s="203"/>
      <c r="G249" s="204"/>
      <c r="H249" s="80"/>
      <c r="I249" s="308"/>
      <c r="J249" s="308"/>
      <c r="K249" s="205"/>
      <c r="L249" s="80"/>
    </row>
    <row r="250" spans="1:12">
      <c r="A250" s="40"/>
      <c r="B250" s="86"/>
      <c r="C250" s="46"/>
      <c r="D250" s="87"/>
      <c r="E250" s="204"/>
      <c r="F250" s="203"/>
      <c r="G250" s="204"/>
      <c r="H250" s="80"/>
      <c r="I250" s="308"/>
      <c r="J250" s="308"/>
      <c r="K250" s="205"/>
      <c r="L250" s="80"/>
    </row>
    <row r="251" spans="1:12">
      <c r="A251" s="40"/>
      <c r="B251" s="27" t="s">
        <v>264</v>
      </c>
      <c r="C251" s="27"/>
      <c r="D251" s="27"/>
      <c r="E251" s="27"/>
      <c r="F251" s="27"/>
      <c r="G251" s="27"/>
      <c r="H251" s="27"/>
      <c r="I251" s="27"/>
      <c r="J251" s="27"/>
      <c r="K251" s="27"/>
      <c r="L251" s="41"/>
    </row>
    <row r="252" spans="1:12">
      <c r="A252" s="40"/>
      <c r="B252" s="27" t="s">
        <v>265</v>
      </c>
      <c r="C252" s="27"/>
      <c r="D252" s="27"/>
      <c r="E252" s="27"/>
      <c r="F252" s="27"/>
      <c r="G252" s="27"/>
      <c r="H252" s="27"/>
      <c r="I252" s="27"/>
      <c r="J252" s="27"/>
      <c r="K252" s="27"/>
      <c r="L252" s="41"/>
    </row>
    <row r="253" spans="1:12">
      <c r="A253" s="40"/>
      <c r="B253" s="27" t="s">
        <v>266</v>
      </c>
      <c r="C253" s="27"/>
      <c r="D253" s="27"/>
      <c r="E253" s="27"/>
      <c r="F253" s="27"/>
      <c r="G253" s="27"/>
      <c r="H253" s="27"/>
      <c r="I253" s="27"/>
      <c r="J253" s="27"/>
      <c r="K253" s="27"/>
      <c r="L253" s="41"/>
    </row>
    <row r="254" spans="1:12" ht="27.95" customHeight="1">
      <c r="A254" s="40"/>
      <c r="B254" s="27"/>
      <c r="C254" s="27"/>
      <c r="D254" s="27"/>
      <c r="E254" s="27"/>
      <c r="F254" s="27"/>
      <c r="G254" s="27"/>
      <c r="H254" s="27"/>
      <c r="I254" s="27"/>
      <c r="J254" s="27"/>
      <c r="K254" s="27"/>
      <c r="L254" s="41"/>
    </row>
    <row r="255" spans="1:12" ht="27.95" customHeight="1">
      <c r="A255" s="40"/>
      <c r="B255" s="27"/>
      <c r="C255" s="27"/>
      <c r="D255" s="27"/>
      <c r="E255" s="27"/>
      <c r="F255" s="27"/>
      <c r="G255" s="27"/>
      <c r="H255" s="27"/>
      <c r="I255" s="27" t="s">
        <v>267</v>
      </c>
      <c r="J255" s="27"/>
      <c r="K255" s="27"/>
      <c r="L255" s="41"/>
    </row>
    <row r="256" spans="1:12" ht="27.95" customHeight="1">
      <c r="A256" s="40"/>
      <c r="B256" s="27"/>
      <c r="C256" s="27"/>
      <c r="D256" s="27"/>
      <c r="E256" s="27"/>
      <c r="F256" s="190" t="s">
        <v>268</v>
      </c>
      <c r="G256" s="27"/>
      <c r="H256" s="27"/>
      <c r="I256" s="27"/>
      <c r="J256" s="27"/>
      <c r="K256" s="27"/>
      <c r="L256" s="41"/>
    </row>
    <row r="257" spans="1:12" ht="27.95" customHeight="1">
      <c r="A257" s="40" t="s">
        <v>269</v>
      </c>
      <c r="B257" s="27"/>
      <c r="C257" s="27"/>
      <c r="D257" s="27"/>
      <c r="E257" s="27"/>
      <c r="F257" s="27"/>
      <c r="G257" s="27"/>
      <c r="H257" s="27"/>
      <c r="I257" s="27"/>
      <c r="J257" s="27"/>
      <c r="K257" s="243" t="e">
        <f>'0422Master'!#REF!</f>
        <v>#REF!</v>
      </c>
      <c r="L257" s="41"/>
    </row>
    <row r="258" spans="1:12" ht="27.95" customHeight="1">
      <c r="A258" s="40" t="s">
        <v>270</v>
      </c>
      <c r="B258" s="27"/>
      <c r="C258" s="27"/>
      <c r="D258" s="27"/>
      <c r="E258" s="27"/>
      <c r="F258" s="27"/>
      <c r="G258" s="27"/>
      <c r="H258" s="27"/>
      <c r="I258" s="27"/>
      <c r="J258" s="27"/>
      <c r="K258" s="27"/>
      <c r="L258" s="41"/>
    </row>
    <row r="259" spans="1:12" ht="27.95" customHeight="1">
      <c r="A259" s="40"/>
      <c r="B259" s="27"/>
      <c r="C259" s="27"/>
      <c r="D259" s="27"/>
      <c r="E259" s="27"/>
      <c r="F259" s="27"/>
      <c r="G259" s="27"/>
      <c r="H259" s="27"/>
      <c r="I259" s="27"/>
      <c r="J259" s="27"/>
      <c r="K259" s="27"/>
      <c r="L259" s="41"/>
    </row>
    <row r="260" spans="1:12" ht="27.95" customHeight="1">
      <c r="A260" s="40"/>
      <c r="B260" s="27"/>
      <c r="C260" s="27"/>
      <c r="D260" s="27"/>
      <c r="E260" s="27"/>
      <c r="F260" s="27"/>
      <c r="G260" s="27"/>
      <c r="H260" s="27"/>
      <c r="I260" s="27"/>
      <c r="J260" s="27"/>
      <c r="K260" s="27"/>
      <c r="L260" s="41"/>
    </row>
    <row r="261" spans="1:12" ht="27.95" customHeight="1">
      <c r="A261" s="40"/>
      <c r="B261" s="27"/>
      <c r="C261" s="27"/>
      <c r="D261" s="27"/>
      <c r="E261" s="27"/>
      <c r="F261" s="27" t="s">
        <v>271</v>
      </c>
      <c r="G261" s="27"/>
      <c r="H261" s="27"/>
      <c r="I261" s="27"/>
      <c r="J261" s="27"/>
      <c r="K261" s="27"/>
      <c r="L261" s="41"/>
    </row>
    <row r="262" spans="1:12" ht="27.95" customHeight="1">
      <c r="A262" s="40" t="s">
        <v>272</v>
      </c>
      <c r="B262" s="27" t="s">
        <v>273</v>
      </c>
      <c r="C262" s="27"/>
      <c r="D262" s="27"/>
      <c r="E262" s="27"/>
      <c r="F262" s="27" t="str">
        <f>'0422Master'!F5</f>
        <v>Burgeon IT Services Pvt.Ltd.</v>
      </c>
      <c r="G262" s="27"/>
      <c r="H262" s="27"/>
      <c r="I262" s="27"/>
      <c r="J262" s="27"/>
      <c r="K262" s="27"/>
      <c r="L262" s="41"/>
    </row>
    <row r="263" spans="1:12" ht="27.95" customHeight="1">
      <c r="A263" s="40" t="s">
        <v>274</v>
      </c>
      <c r="B263" s="297" t="e">
        <f>'0422Master'!#REF!</f>
        <v>#REF!</v>
      </c>
      <c r="C263" s="27"/>
      <c r="D263" s="27"/>
      <c r="E263" s="27"/>
      <c r="F263" s="192" t="str">
        <f>'0422Master'!F6</f>
        <v>Siri Mansion LIGB 436 Dr.A S Rao Nagar,Hyderabad</v>
      </c>
      <c r="G263" s="192"/>
      <c r="H263" s="192"/>
      <c r="I263" s="192"/>
      <c r="J263" s="192"/>
      <c r="K263" s="192"/>
      <c r="L263" s="41"/>
    </row>
    <row r="264" spans="1:12" ht="27.95" customHeight="1" thickBot="1">
      <c r="A264" s="54"/>
      <c r="B264" s="52"/>
      <c r="C264" s="52"/>
      <c r="D264" s="52"/>
      <c r="E264" s="52"/>
      <c r="F264" s="52"/>
      <c r="G264" s="52"/>
      <c r="H264" s="52"/>
      <c r="I264" s="52"/>
      <c r="J264" s="52"/>
      <c r="K264" s="52"/>
      <c r="L264" s="53"/>
    </row>
    <row r="265" spans="1:12" ht="27.95" customHeight="1" thickBot="1">
      <c r="A265" s="27"/>
      <c r="B265" s="193"/>
      <c r="C265" s="412"/>
      <c r="D265" s="412"/>
      <c r="E265" s="412"/>
      <c r="F265" s="412"/>
      <c r="G265" s="412"/>
      <c r="H265" s="411"/>
      <c r="I265" s="411"/>
      <c r="J265" s="410"/>
      <c r="K265" s="411"/>
      <c r="L265" s="411"/>
    </row>
    <row r="266" spans="1:12" ht="27.95" customHeight="1">
      <c r="A266" s="96"/>
      <c r="B266" s="735" t="s">
        <v>241</v>
      </c>
      <c r="C266" s="736"/>
      <c r="D266" s="736"/>
      <c r="E266" s="736"/>
      <c r="F266" s="736"/>
      <c r="G266" s="736"/>
      <c r="H266" s="736"/>
      <c r="I266" s="736"/>
      <c r="J266" s="736"/>
      <c r="K266" s="736"/>
      <c r="L266" s="737"/>
    </row>
    <row r="267" spans="1:12" ht="27.95" customHeight="1">
      <c r="A267" s="40"/>
      <c r="B267" s="738" t="s">
        <v>242</v>
      </c>
      <c r="C267" s="738"/>
      <c r="D267" s="738"/>
      <c r="E267" s="738"/>
      <c r="F267" s="738"/>
      <c r="G267" s="738"/>
      <c r="H267" s="738"/>
      <c r="I267" s="738"/>
      <c r="J267" s="738"/>
      <c r="K267" s="738"/>
      <c r="L267" s="739"/>
    </row>
    <row r="268" spans="1:12" ht="27.95" customHeight="1" thickBot="1">
      <c r="A268" s="54"/>
      <c r="B268" s="745" t="s">
        <v>243</v>
      </c>
      <c r="C268" s="745"/>
      <c r="D268" s="745"/>
      <c r="E268" s="745"/>
      <c r="F268" s="745"/>
      <c r="G268" s="745"/>
      <c r="H268" s="745"/>
      <c r="I268" s="745"/>
      <c r="J268" s="745"/>
      <c r="K268" s="745"/>
      <c r="L268" s="746"/>
    </row>
    <row r="269" spans="1:12" ht="27.95" customHeight="1">
      <c r="A269" s="40"/>
      <c r="B269" s="747" t="s">
        <v>92</v>
      </c>
      <c r="C269" s="747"/>
      <c r="D269" s="747"/>
      <c r="E269" s="747"/>
      <c r="F269" s="747"/>
      <c r="G269" s="27"/>
      <c r="H269" s="748" t="s">
        <v>93</v>
      </c>
      <c r="I269" s="748"/>
      <c r="J269" s="748"/>
      <c r="K269" s="748"/>
      <c r="L269" s="749"/>
    </row>
    <row r="270" spans="1:12" ht="27.95" customHeight="1" thickBot="1">
      <c r="A270" s="40"/>
      <c r="B270" s="747"/>
      <c r="C270" s="747"/>
      <c r="D270" s="747"/>
      <c r="E270" s="747"/>
      <c r="F270" s="747"/>
      <c r="G270" s="27"/>
      <c r="H270" s="748"/>
      <c r="I270" s="748"/>
      <c r="J270" s="748"/>
      <c r="K270" s="748"/>
      <c r="L270" s="749"/>
    </row>
    <row r="271" spans="1:12" ht="27.95" customHeight="1">
      <c r="A271" s="40"/>
      <c r="B271" s="96"/>
      <c r="C271" s="97"/>
      <c r="D271" s="97"/>
      <c r="E271" s="97"/>
      <c r="F271" s="98"/>
      <c r="G271" s="27"/>
      <c r="H271" s="96"/>
      <c r="I271" s="97"/>
      <c r="J271" s="97"/>
      <c r="K271" s="97"/>
      <c r="L271" s="98"/>
    </row>
    <row r="272" spans="1:12">
      <c r="A272" s="40"/>
      <c r="B272" s="102" t="str">
        <f>'0422Master'!F5</f>
        <v>Burgeon IT Services Pvt.Ltd.</v>
      </c>
      <c r="C272" s="100"/>
      <c r="D272" s="100"/>
      <c r="E272" s="100"/>
      <c r="F272" s="101"/>
      <c r="G272" s="27"/>
      <c r="H272" s="102" t="str">
        <f>'0422Master'!AO5</f>
        <v>Burgeon IT Services Pvt.Ltd.</v>
      </c>
      <c r="I272" s="100"/>
      <c r="J272" s="100"/>
      <c r="K272" s="100"/>
      <c r="L272" s="101"/>
    </row>
    <row r="273" spans="1:12">
      <c r="A273" s="40"/>
      <c r="B273" s="40"/>
      <c r="C273" s="100"/>
      <c r="D273" s="100"/>
      <c r="E273" s="100"/>
      <c r="F273" s="101"/>
      <c r="G273" s="27"/>
      <c r="H273" s="40"/>
      <c r="I273" s="100"/>
      <c r="J273" s="100"/>
      <c r="K273" s="100"/>
      <c r="L273" s="101"/>
    </row>
    <row r="274" spans="1:12">
      <c r="A274" s="40"/>
      <c r="B274" s="102" t="str">
        <f>'0422Master'!F6</f>
        <v>Siri Mansion LIGB 436 Dr.A S Rao Nagar,Hyderabad</v>
      </c>
      <c r="C274" s="100"/>
      <c r="D274" s="100"/>
      <c r="E274" s="100"/>
      <c r="F274" s="101"/>
      <c r="G274" s="27"/>
      <c r="H274" s="102" t="str">
        <f>'0422Master'!AO6</f>
        <v>Siri Mansion LIGB 436 Dr.A S Rao Nagar,Hyderabad</v>
      </c>
      <c r="I274" s="100"/>
      <c r="J274" s="100"/>
      <c r="K274" s="100"/>
      <c r="L274" s="101"/>
    </row>
    <row r="275" spans="1:12" ht="15.75" thickBot="1">
      <c r="A275" s="40"/>
      <c r="B275" s="103"/>
      <c r="C275" s="55"/>
      <c r="D275" s="55"/>
      <c r="E275" s="55"/>
      <c r="F275" s="104"/>
      <c r="G275" s="27"/>
      <c r="H275" s="103"/>
      <c r="I275" s="55"/>
      <c r="J275" s="55"/>
      <c r="K275" s="55"/>
      <c r="L275" s="104"/>
    </row>
    <row r="276" spans="1:12">
      <c r="A276" s="40"/>
      <c r="B276" s="27"/>
      <c r="C276" s="27"/>
      <c r="D276" s="27"/>
      <c r="E276" s="27"/>
      <c r="F276" s="27"/>
      <c r="G276" s="27"/>
      <c r="H276" s="27"/>
      <c r="I276" s="27"/>
      <c r="J276" s="27" t="s">
        <v>94</v>
      </c>
      <c r="K276" s="27"/>
      <c r="L276" s="41"/>
    </row>
    <row r="277" spans="1:12">
      <c r="A277" s="40"/>
      <c r="B277" s="664" t="s">
        <v>95</v>
      </c>
      <c r="C277" s="664"/>
      <c r="D277" s="664"/>
      <c r="E277" s="664"/>
      <c r="F277" s="664"/>
      <c r="G277" s="27"/>
      <c r="H277" s="664" t="s">
        <v>5</v>
      </c>
      <c r="I277" s="664"/>
      <c r="J277" s="664"/>
      <c r="K277" s="664"/>
      <c r="L277" s="750"/>
    </row>
    <row r="278" spans="1:12" ht="15.75" thickBot="1">
      <c r="A278" s="40"/>
      <c r="B278" s="27"/>
      <c r="C278" s="27"/>
      <c r="D278" s="27"/>
      <c r="E278" s="27"/>
      <c r="F278" s="27"/>
      <c r="G278" s="27"/>
      <c r="H278" s="27"/>
      <c r="I278" s="27"/>
      <c r="J278" s="27"/>
      <c r="K278" s="27"/>
      <c r="L278" s="41"/>
    </row>
    <row r="279" spans="1:12">
      <c r="A279" s="40"/>
      <c r="B279" s="96"/>
      <c r="C279" s="97"/>
      <c r="D279" s="97"/>
      <c r="E279" s="97"/>
      <c r="F279" s="98"/>
      <c r="G279" s="27"/>
      <c r="H279" s="105"/>
      <c r="I279" s="106"/>
      <c r="J279" s="106"/>
      <c r="K279" s="106"/>
      <c r="L279" s="107"/>
    </row>
    <row r="280" spans="1:12">
      <c r="A280" s="40"/>
      <c r="B280" s="99"/>
      <c r="C280" s="100"/>
      <c r="D280" s="100"/>
      <c r="E280" s="100"/>
      <c r="F280" s="101"/>
      <c r="G280" s="27"/>
      <c r="H280" s="102" t="str">
        <f>'0422Master'!AO8</f>
        <v>INFOSYS LIMITED, IL BHUBANESHWAR-STP,UNIT-II</v>
      </c>
      <c r="I280" s="108"/>
      <c r="J280" s="108"/>
      <c r="K280" s="108"/>
      <c r="L280" s="109"/>
    </row>
    <row r="281" spans="1:12">
      <c r="A281" s="40"/>
      <c r="B281" s="102" t="str">
        <f>'0422Master'!F8</f>
        <v>IT SUPPORTIVE SERVICES &amp; BHUBANESWAR</v>
      </c>
      <c r="C281" s="100"/>
      <c r="D281" s="100"/>
      <c r="E281" s="100"/>
      <c r="F281" s="101"/>
      <c r="G281" s="27"/>
      <c r="H281" s="102"/>
      <c r="I281" s="108"/>
      <c r="J281" s="108"/>
      <c r="K281" s="108"/>
      <c r="L281" s="109"/>
    </row>
    <row r="282" spans="1:12">
      <c r="A282" s="40"/>
      <c r="B282" s="99"/>
      <c r="C282" s="100"/>
      <c r="D282" s="100"/>
      <c r="E282" s="100"/>
      <c r="F282" s="101"/>
      <c r="G282" s="27"/>
      <c r="H282" s="102" t="str">
        <f>'0422Master'!AO10</f>
        <v>Plot No E/4,Info city,Chandaka Industrial, Bhubaneswar,Odisha - 751024</v>
      </c>
      <c r="I282" s="108"/>
      <c r="J282" s="108"/>
      <c r="K282" s="108"/>
      <c r="L282" s="109"/>
    </row>
    <row r="283" spans="1:12" ht="15.75" thickBot="1">
      <c r="A283" s="40"/>
      <c r="B283" s="103"/>
      <c r="C283" s="55"/>
      <c r="D283" s="55"/>
      <c r="E283" s="55"/>
      <c r="F283" s="104"/>
      <c r="G283" s="27"/>
      <c r="H283" s="110"/>
      <c r="I283" s="111"/>
      <c r="J283" s="111"/>
      <c r="K283" s="111"/>
      <c r="L283" s="112"/>
    </row>
    <row r="284" spans="1:12">
      <c r="A284" s="113"/>
      <c r="B284" s="744" t="s">
        <v>244</v>
      </c>
      <c r="C284" s="744"/>
      <c r="D284" s="744"/>
      <c r="E284" s="744"/>
      <c r="F284" s="744"/>
      <c r="G284" s="744"/>
      <c r="H284" s="741" t="e">
        <f>'0422Master'!#REF!</f>
        <v>#REF!</v>
      </c>
      <c r="I284" s="742"/>
      <c r="J284" s="742"/>
      <c r="K284" s="742"/>
      <c r="L284" s="743"/>
    </row>
    <row r="285" spans="1:12">
      <c r="A285" s="113"/>
      <c r="B285" s="740" t="s">
        <v>245</v>
      </c>
      <c r="C285" s="740"/>
      <c r="D285" s="740"/>
      <c r="E285" s="740"/>
      <c r="F285" s="740"/>
      <c r="G285" s="740"/>
      <c r="H285" s="741" t="e">
        <f>'0422Master'!#REF!</f>
        <v>#REF!</v>
      </c>
      <c r="I285" s="742"/>
      <c r="J285" s="742"/>
      <c r="K285" s="742"/>
      <c r="L285" s="743"/>
    </row>
    <row r="286" spans="1:12">
      <c r="A286" s="113"/>
      <c r="B286" s="744" t="s">
        <v>246</v>
      </c>
      <c r="C286" s="744"/>
      <c r="D286" s="744"/>
      <c r="E286" s="744"/>
      <c r="F286" s="744"/>
      <c r="G286" s="744"/>
      <c r="H286" s="741" t="e">
        <f>'0422Master'!#REF!</f>
        <v>#REF!</v>
      </c>
      <c r="I286" s="742"/>
      <c r="J286" s="742"/>
      <c r="K286" s="742"/>
      <c r="L286" s="743"/>
    </row>
    <row r="287" spans="1:12">
      <c r="A287" s="113"/>
      <c r="B287" s="744" t="s">
        <v>247</v>
      </c>
      <c r="C287" s="744"/>
      <c r="D287" s="744"/>
      <c r="E287" s="744"/>
      <c r="F287" s="744"/>
      <c r="G287" s="744"/>
      <c r="H287" s="837" t="e">
        <f>'0422Master'!#REF!</f>
        <v>#REF!</v>
      </c>
      <c r="I287" s="742"/>
      <c r="J287" s="742"/>
      <c r="K287" s="742"/>
      <c r="L287" s="743"/>
    </row>
    <row r="288" spans="1:12">
      <c r="A288" s="113"/>
      <c r="B288" s="114" t="s">
        <v>248</v>
      </c>
      <c r="C288" s="221"/>
      <c r="D288" s="221"/>
      <c r="E288" s="221"/>
      <c r="F288" s="221"/>
      <c r="G288" s="221"/>
      <c r="H288" s="838" t="s">
        <v>249</v>
      </c>
      <c r="I288" s="839"/>
      <c r="J288" s="839"/>
      <c r="K288" s="839"/>
      <c r="L288" s="840"/>
    </row>
    <row r="289" spans="1:12">
      <c r="A289" s="113"/>
      <c r="B289" s="114" t="s">
        <v>250</v>
      </c>
      <c r="C289" s="221"/>
      <c r="D289" s="221"/>
      <c r="E289" s="221"/>
      <c r="F289" s="221"/>
      <c r="G289" s="221"/>
      <c r="H289" s="418"/>
      <c r="I289" s="414"/>
      <c r="J289" s="189"/>
      <c r="K289" s="414"/>
      <c r="L289" s="415"/>
    </row>
    <row r="290" spans="1:12">
      <c r="A290" s="113"/>
      <c r="B290" s="755" t="s">
        <v>251</v>
      </c>
      <c r="C290" s="755"/>
      <c r="D290" s="755"/>
      <c r="E290" s="755"/>
      <c r="F290" s="755"/>
      <c r="G290" s="755"/>
      <c r="H290" s="756" t="e">
        <f>'0422Master'!#REF!</f>
        <v>#REF!</v>
      </c>
      <c r="I290" s="757"/>
      <c r="J290" s="757"/>
      <c r="K290" s="757"/>
      <c r="L290" s="758"/>
    </row>
    <row r="291" spans="1:12">
      <c r="A291" s="113"/>
      <c r="B291" s="744"/>
      <c r="C291" s="744"/>
      <c r="D291" s="744"/>
      <c r="E291" s="744"/>
      <c r="F291" s="744"/>
      <c r="G291" s="744"/>
      <c r="H291" s="751" t="e">
        <f>'0422Master'!#REF!</f>
        <v>#REF!</v>
      </c>
      <c r="I291" s="742"/>
      <c r="J291" s="742"/>
      <c r="K291" s="742"/>
      <c r="L291" s="743"/>
    </row>
    <row r="292" spans="1:12">
      <c r="A292" s="40"/>
      <c r="B292" s="744"/>
      <c r="C292" s="744"/>
      <c r="D292" s="744"/>
      <c r="E292" s="744"/>
      <c r="F292" s="744"/>
      <c r="G292" s="744"/>
      <c r="H292" s="741" t="e">
        <f>'0422Master'!#REF!</f>
        <v>#REF!</v>
      </c>
      <c r="I292" s="742"/>
      <c r="J292" s="742"/>
      <c r="K292" s="742"/>
      <c r="L292" s="743"/>
    </row>
    <row r="293" spans="1:12">
      <c r="A293" s="40"/>
      <c r="B293" s="114" t="s">
        <v>252</v>
      </c>
      <c r="C293" s="221"/>
      <c r="D293" s="221"/>
      <c r="E293" s="221"/>
      <c r="F293" s="221"/>
      <c r="G293" s="222"/>
      <c r="H293" s="829" t="e">
        <f>'0422Master'!#REF!</f>
        <v>#REF!</v>
      </c>
      <c r="I293" s="830"/>
      <c r="J293" s="830"/>
      <c r="K293" s="830"/>
      <c r="L293" s="831"/>
    </row>
    <row r="294" spans="1:12">
      <c r="A294" s="40"/>
      <c r="B294" s="114"/>
      <c r="C294" s="221"/>
      <c r="D294" s="221"/>
      <c r="E294" s="221"/>
      <c r="F294" s="221"/>
      <c r="G294" s="222"/>
      <c r="H294" s="829" t="e">
        <f>'0422Master'!#REF!</f>
        <v>#REF!</v>
      </c>
      <c r="I294" s="830"/>
      <c r="J294" s="830"/>
      <c r="K294" s="830"/>
      <c r="L294" s="831"/>
    </row>
    <row r="295" spans="1:12">
      <c r="A295" s="40"/>
      <c r="B295" s="114"/>
      <c r="C295" s="221"/>
      <c r="D295" s="221"/>
      <c r="E295" s="221"/>
      <c r="F295" s="221"/>
      <c r="G295" s="222"/>
      <c r="H295" s="829" t="e">
        <f>'0422Master'!#REF!</f>
        <v>#REF!</v>
      </c>
      <c r="I295" s="830"/>
      <c r="J295" s="830"/>
      <c r="K295" s="830"/>
      <c r="L295" s="831"/>
    </row>
    <row r="296" spans="1:12">
      <c r="A296" s="40"/>
      <c r="B296" s="114" t="s">
        <v>253</v>
      </c>
      <c r="C296" s="221"/>
      <c r="D296" s="221"/>
      <c r="E296" s="221"/>
      <c r="F296" s="221"/>
      <c r="G296" s="222"/>
      <c r="H296" s="418"/>
      <c r="I296" s="414"/>
      <c r="J296" s="414"/>
      <c r="K296" s="414"/>
      <c r="L296" s="415"/>
    </row>
    <row r="297" spans="1:12">
      <c r="A297" s="40"/>
      <c r="B297" s="117" t="s">
        <v>254</v>
      </c>
      <c r="C297" s="179"/>
      <c r="D297" s="179"/>
      <c r="E297" s="179"/>
      <c r="F297" s="179"/>
      <c r="G297" s="180"/>
      <c r="H297" s="181"/>
      <c r="I297" s="182"/>
      <c r="J297" s="183"/>
      <c r="K297" s="182"/>
      <c r="L297" s="184"/>
    </row>
    <row r="298" spans="1:12" ht="45">
      <c r="A298" s="40"/>
      <c r="B298" s="114" t="s">
        <v>255</v>
      </c>
      <c r="C298" s="221"/>
      <c r="D298" s="414"/>
      <c r="E298" s="413" t="s">
        <v>256</v>
      </c>
      <c r="F298" s="80"/>
      <c r="G298" s="832" t="s">
        <v>257</v>
      </c>
      <c r="H298" s="833"/>
      <c r="I298" s="417" t="s">
        <v>258</v>
      </c>
      <c r="J298" s="477" t="s">
        <v>259</v>
      </c>
      <c r="K298" s="832" t="s">
        <v>260</v>
      </c>
      <c r="L298" s="834"/>
    </row>
    <row r="299" spans="1:12">
      <c r="A299" s="40"/>
      <c r="B299" s="187">
        <v>1</v>
      </c>
      <c r="C299" s="221"/>
      <c r="D299" s="221"/>
      <c r="E299" s="188">
        <v>2</v>
      </c>
      <c r="F299" s="222"/>
      <c r="G299" s="188">
        <v>3</v>
      </c>
      <c r="H299" s="419"/>
      <c r="I299" s="419">
        <v>4</v>
      </c>
      <c r="J299" s="448">
        <v>5</v>
      </c>
      <c r="K299" s="115"/>
      <c r="L299" s="116">
        <v>6</v>
      </c>
    </row>
    <row r="300" spans="1:12">
      <c r="A300" s="40"/>
      <c r="B300" s="298" t="e">
        <f>'0422Master'!#REF!</f>
        <v>#REF!</v>
      </c>
      <c r="C300" s="202"/>
      <c r="D300" s="203"/>
      <c r="E300" s="299" t="s">
        <v>261</v>
      </c>
      <c r="F300" s="203"/>
      <c r="G300" s="299" t="s">
        <v>262</v>
      </c>
      <c r="H300" s="80"/>
      <c r="I300" s="308" t="s">
        <v>263</v>
      </c>
      <c r="J300" s="478">
        <v>1</v>
      </c>
      <c r="K300" s="835" t="s">
        <v>109</v>
      </c>
      <c r="L300" s="836"/>
    </row>
    <row r="301" spans="1:12">
      <c r="A301" s="40"/>
      <c r="B301" s="114"/>
      <c r="C301" s="202"/>
      <c r="D301" s="203"/>
      <c r="E301" s="204"/>
      <c r="F301" s="203"/>
      <c r="G301" s="204"/>
      <c r="H301" s="80"/>
      <c r="I301" s="308"/>
      <c r="J301" s="308"/>
      <c r="K301" s="205"/>
      <c r="L301" s="80"/>
    </row>
    <row r="302" spans="1:12">
      <c r="A302" s="40"/>
      <c r="B302" s="114"/>
      <c r="C302" s="202"/>
      <c r="D302" s="203"/>
      <c r="E302" s="204"/>
      <c r="F302" s="203"/>
      <c r="G302" s="204"/>
      <c r="H302" s="80"/>
      <c r="I302" s="308"/>
      <c r="J302" s="308"/>
      <c r="K302" s="205"/>
      <c r="L302" s="80"/>
    </row>
    <row r="303" spans="1:12">
      <c r="A303" s="40"/>
      <c r="B303" s="86"/>
      <c r="C303" s="46"/>
      <c r="D303" s="87"/>
      <c r="E303" s="204"/>
      <c r="F303" s="203"/>
      <c r="G303" s="204"/>
      <c r="H303" s="80"/>
      <c r="I303" s="308"/>
      <c r="J303" s="308"/>
      <c r="K303" s="205"/>
      <c r="L303" s="80"/>
    </row>
    <row r="304" spans="1:12">
      <c r="A304" s="40"/>
      <c r="B304" s="27" t="s">
        <v>264</v>
      </c>
      <c r="C304" s="27"/>
      <c r="D304" s="27"/>
      <c r="E304" s="27"/>
      <c r="F304" s="27"/>
      <c r="G304" s="27"/>
      <c r="H304" s="27"/>
      <c r="I304" s="27"/>
      <c r="J304" s="27"/>
      <c r="K304" s="27"/>
      <c r="L304" s="41"/>
    </row>
    <row r="305" spans="1:12">
      <c r="A305" s="40"/>
      <c r="B305" s="27" t="s">
        <v>265</v>
      </c>
      <c r="C305" s="27"/>
      <c r="D305" s="27"/>
      <c r="E305" s="27"/>
      <c r="F305" s="27"/>
      <c r="G305" s="27"/>
      <c r="H305" s="27"/>
      <c r="I305" s="27"/>
      <c r="J305" s="27"/>
      <c r="K305" s="27"/>
      <c r="L305" s="41"/>
    </row>
    <row r="306" spans="1:12">
      <c r="A306" s="40"/>
      <c r="B306" s="27" t="s">
        <v>266</v>
      </c>
      <c r="C306" s="27"/>
      <c r="D306" s="27"/>
      <c r="E306" s="27"/>
      <c r="F306" s="27"/>
      <c r="G306" s="27"/>
      <c r="H306" s="27"/>
      <c r="I306" s="27"/>
      <c r="J306" s="27"/>
      <c r="K306" s="27"/>
      <c r="L306" s="41"/>
    </row>
    <row r="307" spans="1:12" ht="27.95" customHeight="1">
      <c r="A307" s="40"/>
      <c r="B307" s="27"/>
      <c r="C307" s="27"/>
      <c r="D307" s="27"/>
      <c r="E307" s="27"/>
      <c r="F307" s="27"/>
      <c r="G307" s="27"/>
      <c r="H307" s="27"/>
      <c r="I307" s="27"/>
      <c r="J307" s="27"/>
      <c r="K307" s="27"/>
      <c r="L307" s="41"/>
    </row>
    <row r="308" spans="1:12" ht="27.95" customHeight="1">
      <c r="A308" s="40"/>
      <c r="B308" s="27"/>
      <c r="C308" s="27"/>
      <c r="D308" s="27"/>
      <c r="E308" s="27"/>
      <c r="F308" s="27"/>
      <c r="G308" s="27"/>
      <c r="H308" s="27"/>
      <c r="I308" s="27" t="s">
        <v>267</v>
      </c>
      <c r="J308" s="27"/>
      <c r="K308" s="27"/>
      <c r="L308" s="41"/>
    </row>
    <row r="309" spans="1:12" ht="27.95" customHeight="1">
      <c r="A309" s="40"/>
      <c r="B309" s="27"/>
      <c r="C309" s="27"/>
      <c r="D309" s="27"/>
      <c r="E309" s="27"/>
      <c r="F309" s="190" t="s">
        <v>268</v>
      </c>
      <c r="G309" s="27"/>
      <c r="H309" s="27"/>
      <c r="I309" s="27"/>
      <c r="J309" s="27"/>
      <c r="K309" s="27"/>
      <c r="L309" s="41"/>
    </row>
    <row r="310" spans="1:12" ht="27.95" customHeight="1">
      <c r="A310" s="40" t="s">
        <v>269</v>
      </c>
      <c r="B310" s="27"/>
      <c r="C310" s="27"/>
      <c r="D310" s="27"/>
      <c r="E310" s="27"/>
      <c r="F310" s="27"/>
      <c r="G310" s="27"/>
      <c r="H310" s="27"/>
      <c r="I310" s="27"/>
      <c r="J310" s="27"/>
      <c r="K310" s="243" t="e">
        <f>'0422Master'!#REF!</f>
        <v>#REF!</v>
      </c>
      <c r="L310" s="41"/>
    </row>
    <row r="311" spans="1:12" ht="27.95" customHeight="1">
      <c r="A311" s="40" t="s">
        <v>270</v>
      </c>
      <c r="B311" s="27"/>
      <c r="C311" s="27"/>
      <c r="D311" s="27"/>
      <c r="E311" s="27"/>
      <c r="F311" s="27"/>
      <c r="G311" s="27"/>
      <c r="H311" s="27"/>
      <c r="I311" s="27"/>
      <c r="J311" s="27"/>
      <c r="K311" s="27"/>
      <c r="L311" s="41"/>
    </row>
    <row r="312" spans="1:12" ht="27.95" customHeight="1">
      <c r="A312" s="40"/>
      <c r="B312" s="27"/>
      <c r="C312" s="27"/>
      <c r="D312" s="27"/>
      <c r="E312" s="27"/>
      <c r="F312" s="27"/>
      <c r="G312" s="27"/>
      <c r="H312" s="27"/>
      <c r="I312" s="27"/>
      <c r="J312" s="27"/>
      <c r="K312" s="27"/>
      <c r="L312" s="41"/>
    </row>
    <row r="313" spans="1:12" ht="27.95" customHeight="1">
      <c r="A313" s="40"/>
      <c r="B313" s="27"/>
      <c r="C313" s="27"/>
      <c r="D313" s="27"/>
      <c r="E313" s="27"/>
      <c r="F313" s="27"/>
      <c r="G313" s="27"/>
      <c r="H313" s="27"/>
      <c r="I313" s="27"/>
      <c r="J313" s="27"/>
      <c r="K313" s="27"/>
      <c r="L313" s="41"/>
    </row>
    <row r="314" spans="1:12" ht="27.95" customHeight="1">
      <c r="A314" s="40"/>
      <c r="B314" s="27"/>
      <c r="C314" s="27"/>
      <c r="D314" s="27"/>
      <c r="E314" s="27"/>
      <c r="F314" s="27" t="s">
        <v>271</v>
      </c>
      <c r="G314" s="27"/>
      <c r="H314" s="27"/>
      <c r="I314" s="27"/>
      <c r="J314" s="27"/>
      <c r="K314" s="27"/>
      <c r="L314" s="41"/>
    </row>
    <row r="315" spans="1:12" ht="27.95" customHeight="1">
      <c r="A315" s="40" t="s">
        <v>272</v>
      </c>
      <c r="B315" s="27" t="s">
        <v>273</v>
      </c>
      <c r="C315" s="27"/>
      <c r="D315" s="27"/>
      <c r="E315" s="27"/>
      <c r="F315" s="27" t="str">
        <f>'0422Master'!F5</f>
        <v>Burgeon IT Services Pvt.Ltd.</v>
      </c>
      <c r="G315" s="27"/>
      <c r="H315" s="27"/>
      <c r="I315" s="27"/>
      <c r="J315" s="27"/>
      <c r="K315" s="27"/>
      <c r="L315" s="41"/>
    </row>
    <row r="316" spans="1:12" ht="27.95" customHeight="1">
      <c r="A316" s="40" t="s">
        <v>274</v>
      </c>
      <c r="B316" s="297" t="e">
        <f>'0422Master'!#REF!</f>
        <v>#REF!</v>
      </c>
      <c r="C316" s="27"/>
      <c r="D316" s="27"/>
      <c r="E316" s="27"/>
      <c r="F316" s="192" t="str">
        <f>'0422Master'!F6</f>
        <v>Siri Mansion LIGB 436 Dr.A S Rao Nagar,Hyderabad</v>
      </c>
      <c r="G316" s="192"/>
      <c r="H316" s="192"/>
      <c r="I316" s="192"/>
      <c r="J316" s="192"/>
      <c r="K316" s="192"/>
      <c r="L316" s="41"/>
    </row>
    <row r="317" spans="1:12" ht="27.95" customHeight="1" thickBot="1">
      <c r="A317" s="54"/>
      <c r="B317" s="52"/>
      <c r="C317" s="52"/>
      <c r="D317" s="52"/>
      <c r="E317" s="52"/>
      <c r="F317" s="52"/>
      <c r="G317" s="52"/>
      <c r="H317" s="52"/>
      <c r="I317" s="52"/>
      <c r="J317" s="52"/>
      <c r="K317" s="52"/>
      <c r="L317" s="53"/>
    </row>
    <row r="318" spans="1:12" ht="27.95" customHeight="1" thickBot="1">
      <c r="A318" s="27"/>
      <c r="B318" s="193"/>
      <c r="C318" s="412"/>
      <c r="D318" s="412"/>
      <c r="E318" s="412"/>
      <c r="F318" s="412"/>
      <c r="G318" s="412"/>
      <c r="H318" s="411"/>
      <c r="I318" s="411"/>
      <c r="J318" s="410"/>
      <c r="K318" s="411"/>
      <c r="L318" s="411"/>
    </row>
    <row r="319" spans="1:12" ht="27.95" customHeight="1">
      <c r="A319" s="96"/>
      <c r="B319" s="735" t="s">
        <v>241</v>
      </c>
      <c r="C319" s="736"/>
      <c r="D319" s="736"/>
      <c r="E319" s="736"/>
      <c r="F319" s="736"/>
      <c r="G319" s="736"/>
      <c r="H319" s="736"/>
      <c r="I319" s="736"/>
      <c r="J319" s="736"/>
      <c r="K319" s="736"/>
      <c r="L319" s="737"/>
    </row>
    <row r="320" spans="1:12" ht="27.95" customHeight="1">
      <c r="A320" s="40"/>
      <c r="B320" s="738" t="s">
        <v>242</v>
      </c>
      <c r="C320" s="738"/>
      <c r="D320" s="738"/>
      <c r="E320" s="738"/>
      <c r="F320" s="738"/>
      <c r="G320" s="738"/>
      <c r="H320" s="738"/>
      <c r="I320" s="738"/>
      <c r="J320" s="738"/>
      <c r="K320" s="738"/>
      <c r="L320" s="739"/>
    </row>
    <row r="321" spans="1:12" ht="27.95" customHeight="1" thickBot="1">
      <c r="A321" s="54"/>
      <c r="B321" s="745" t="s">
        <v>243</v>
      </c>
      <c r="C321" s="745"/>
      <c r="D321" s="745"/>
      <c r="E321" s="745"/>
      <c r="F321" s="745"/>
      <c r="G321" s="745"/>
      <c r="H321" s="745"/>
      <c r="I321" s="745"/>
      <c r="J321" s="745"/>
      <c r="K321" s="745"/>
      <c r="L321" s="746"/>
    </row>
    <row r="322" spans="1:12" ht="27.95" customHeight="1">
      <c r="A322" s="40"/>
      <c r="B322" s="747" t="s">
        <v>92</v>
      </c>
      <c r="C322" s="747"/>
      <c r="D322" s="747"/>
      <c r="E322" s="747"/>
      <c r="F322" s="747"/>
      <c r="G322" s="27"/>
      <c r="H322" s="748" t="s">
        <v>93</v>
      </c>
      <c r="I322" s="748"/>
      <c r="J322" s="748"/>
      <c r="K322" s="748"/>
      <c r="L322" s="749"/>
    </row>
    <row r="323" spans="1:12" ht="27.95" customHeight="1" thickBot="1">
      <c r="A323" s="40"/>
      <c r="B323" s="747"/>
      <c r="C323" s="747"/>
      <c r="D323" s="747"/>
      <c r="E323" s="747"/>
      <c r="F323" s="747"/>
      <c r="G323" s="27"/>
      <c r="H323" s="748"/>
      <c r="I323" s="748"/>
      <c r="J323" s="748"/>
      <c r="K323" s="748"/>
      <c r="L323" s="749"/>
    </row>
    <row r="324" spans="1:12" ht="27.95" customHeight="1">
      <c r="A324" s="40"/>
      <c r="B324" s="96"/>
      <c r="C324" s="97"/>
      <c r="D324" s="97"/>
      <c r="E324" s="97"/>
      <c r="F324" s="98"/>
      <c r="G324" s="27"/>
      <c r="H324" s="96"/>
      <c r="I324" s="97"/>
      <c r="J324" s="97"/>
      <c r="K324" s="97"/>
      <c r="L324" s="98"/>
    </row>
    <row r="325" spans="1:12">
      <c r="A325" s="40"/>
      <c r="B325" s="178" t="str">
        <f>'0422Master'!F5</f>
        <v>Burgeon IT Services Pvt.Ltd.</v>
      </c>
      <c r="C325" s="100"/>
      <c r="D325" s="100"/>
      <c r="E325" s="100"/>
      <c r="F325" s="101"/>
      <c r="G325" s="27"/>
      <c r="H325" s="102" t="str">
        <f>'0422Master'!AO5</f>
        <v>Burgeon IT Services Pvt.Ltd.</v>
      </c>
      <c r="I325" s="100"/>
      <c r="J325" s="100"/>
      <c r="K325" s="100"/>
      <c r="L325" s="101"/>
    </row>
    <row r="326" spans="1:12">
      <c r="A326" s="40"/>
      <c r="B326" s="40"/>
      <c r="C326" s="100"/>
      <c r="D326" s="100"/>
      <c r="E326" s="100"/>
      <c r="F326" s="101"/>
      <c r="G326" s="27"/>
      <c r="H326" s="40"/>
      <c r="I326" s="100"/>
      <c r="J326" s="100"/>
      <c r="K326" s="100"/>
      <c r="L326" s="101"/>
    </row>
    <row r="327" spans="1:12">
      <c r="A327" s="40"/>
      <c r="B327" s="102" t="str">
        <f>'0422Master'!F6</f>
        <v>Siri Mansion LIGB 436 Dr.A S Rao Nagar,Hyderabad</v>
      </c>
      <c r="C327" s="100"/>
      <c r="D327" s="100"/>
      <c r="E327" s="100"/>
      <c r="F327" s="101"/>
      <c r="G327" s="27"/>
      <c r="H327" s="102" t="str">
        <f>'0422Master'!AO6</f>
        <v>Siri Mansion LIGB 436 Dr.A S Rao Nagar,Hyderabad</v>
      </c>
      <c r="I327" s="100"/>
      <c r="J327" s="100"/>
      <c r="K327" s="100"/>
      <c r="L327" s="101"/>
    </row>
    <row r="328" spans="1:12" ht="15.75" thickBot="1">
      <c r="A328" s="40"/>
      <c r="B328" s="103"/>
      <c r="C328" s="55"/>
      <c r="D328" s="55"/>
      <c r="E328" s="55"/>
      <c r="F328" s="104"/>
      <c r="G328" s="27"/>
      <c r="H328" s="103"/>
      <c r="I328" s="55"/>
      <c r="J328" s="55"/>
      <c r="K328" s="55"/>
      <c r="L328" s="104"/>
    </row>
    <row r="329" spans="1:12">
      <c r="A329" s="40"/>
      <c r="B329" s="27"/>
      <c r="C329" s="27"/>
      <c r="D329" s="27"/>
      <c r="E329" s="27"/>
      <c r="F329" s="27"/>
      <c r="G329" s="27"/>
      <c r="H329" s="27"/>
      <c r="I329" s="27"/>
      <c r="J329" s="27" t="s">
        <v>94</v>
      </c>
      <c r="K329" s="27"/>
      <c r="L329" s="41"/>
    </row>
    <row r="330" spans="1:12">
      <c r="A330" s="40"/>
      <c r="B330" s="664" t="s">
        <v>95</v>
      </c>
      <c r="C330" s="664"/>
      <c r="D330" s="664"/>
      <c r="E330" s="664"/>
      <c r="F330" s="664"/>
      <c r="G330" s="27"/>
      <c r="H330" s="664" t="s">
        <v>5</v>
      </c>
      <c r="I330" s="664"/>
      <c r="J330" s="664"/>
      <c r="K330" s="664"/>
      <c r="L330" s="750"/>
    </row>
    <row r="331" spans="1:12" ht="15.75" thickBot="1">
      <c r="A331" s="40"/>
      <c r="B331" s="27"/>
      <c r="C331" s="27"/>
      <c r="D331" s="27"/>
      <c r="E331" s="27"/>
      <c r="F331" s="27"/>
      <c r="G331" s="27"/>
      <c r="H331" s="27"/>
      <c r="I331" s="27"/>
      <c r="J331" s="27"/>
      <c r="K331" s="27"/>
      <c r="L331" s="41"/>
    </row>
    <row r="332" spans="1:12">
      <c r="A332" s="40"/>
      <c r="B332" s="96"/>
      <c r="C332" s="97"/>
      <c r="D332" s="97"/>
      <c r="E332" s="97"/>
      <c r="F332" s="98"/>
      <c r="G332" s="27"/>
      <c r="H332" s="105"/>
      <c r="I332" s="106"/>
      <c r="J332" s="106"/>
      <c r="K332" s="106"/>
      <c r="L332" s="107"/>
    </row>
    <row r="333" spans="1:12">
      <c r="A333" s="40"/>
      <c r="B333" s="99"/>
      <c r="C333" s="100"/>
      <c r="D333" s="100"/>
      <c r="E333" s="100"/>
      <c r="F333" s="101"/>
      <c r="G333" s="27"/>
      <c r="H333" s="102" t="str">
        <f>'0422Master'!AO8</f>
        <v>INFOSYS LIMITED, IL BHUBANESHWAR-STP,UNIT-II</v>
      </c>
      <c r="I333" s="108"/>
      <c r="J333" s="108"/>
      <c r="K333" s="108"/>
      <c r="L333" s="109"/>
    </row>
    <row r="334" spans="1:12">
      <c r="A334" s="40"/>
      <c r="B334" s="102" t="str">
        <f>'0422Master'!F8</f>
        <v>IT SUPPORTIVE SERVICES &amp; BHUBANESWAR</v>
      </c>
      <c r="C334" s="100"/>
      <c r="D334" s="100"/>
      <c r="E334" s="100"/>
      <c r="F334" s="101"/>
      <c r="G334" s="27"/>
      <c r="H334" s="102"/>
      <c r="I334" s="108"/>
      <c r="J334" s="108"/>
      <c r="K334" s="108"/>
      <c r="L334" s="109"/>
    </row>
    <row r="335" spans="1:12">
      <c r="A335" s="40"/>
      <c r="B335" s="99"/>
      <c r="C335" s="100"/>
      <c r="D335" s="100"/>
      <c r="E335" s="100"/>
      <c r="F335" s="101"/>
      <c r="G335" s="27"/>
      <c r="H335" s="102" t="str">
        <f>'0422Master'!AO10</f>
        <v>Plot No E/4,Info city,Chandaka Industrial, Bhubaneswar,Odisha - 751024</v>
      </c>
      <c r="I335" s="108"/>
      <c r="J335" s="108"/>
      <c r="K335" s="108"/>
      <c r="L335" s="109"/>
    </row>
    <row r="336" spans="1:12" ht="15.75" thickBot="1">
      <c r="A336" s="40"/>
      <c r="B336" s="103"/>
      <c r="C336" s="55"/>
      <c r="D336" s="55"/>
      <c r="E336" s="55"/>
      <c r="F336" s="104"/>
      <c r="G336" s="27"/>
      <c r="H336" s="110"/>
      <c r="I336" s="111"/>
      <c r="J336" s="111"/>
      <c r="K336" s="111"/>
      <c r="L336" s="112"/>
    </row>
    <row r="337" spans="1:12">
      <c r="A337" s="113"/>
      <c r="B337" s="744" t="s">
        <v>244</v>
      </c>
      <c r="C337" s="744"/>
      <c r="D337" s="744"/>
      <c r="E337" s="744"/>
      <c r="F337" s="744"/>
      <c r="G337" s="744"/>
      <c r="H337" s="741">
        <f>'0422Master'!B16</f>
        <v>0</v>
      </c>
      <c r="I337" s="742"/>
      <c r="J337" s="742"/>
      <c r="K337" s="742"/>
      <c r="L337" s="743"/>
    </row>
    <row r="338" spans="1:12">
      <c r="A338" s="113"/>
      <c r="B338" s="740" t="s">
        <v>245</v>
      </c>
      <c r="C338" s="740"/>
      <c r="D338" s="740"/>
      <c r="E338" s="740"/>
      <c r="F338" s="740"/>
      <c r="G338" s="740"/>
      <c r="H338" s="741">
        <f>'0422Master'!E16</f>
        <v>0</v>
      </c>
      <c r="I338" s="742"/>
      <c r="J338" s="742"/>
      <c r="K338" s="742"/>
      <c r="L338" s="743"/>
    </row>
    <row r="339" spans="1:12">
      <c r="A339" s="113"/>
      <c r="B339" s="744" t="s">
        <v>246</v>
      </c>
      <c r="C339" s="744"/>
      <c r="D339" s="744"/>
      <c r="E339" s="744"/>
      <c r="F339" s="744"/>
      <c r="G339" s="744"/>
      <c r="H339" s="741">
        <f>'0422Master'!C16</f>
        <v>0</v>
      </c>
      <c r="I339" s="742"/>
      <c r="J339" s="742"/>
      <c r="K339" s="742"/>
      <c r="L339" s="743"/>
    </row>
    <row r="340" spans="1:12">
      <c r="A340" s="113"/>
      <c r="B340" s="744" t="s">
        <v>247</v>
      </c>
      <c r="C340" s="744"/>
      <c r="D340" s="744"/>
      <c r="E340" s="744"/>
      <c r="F340" s="744"/>
      <c r="G340" s="744"/>
      <c r="H340" s="837">
        <f>'0422Master'!D16</f>
        <v>0</v>
      </c>
      <c r="I340" s="742"/>
      <c r="J340" s="742"/>
      <c r="K340" s="742"/>
      <c r="L340" s="743"/>
    </row>
    <row r="341" spans="1:12">
      <c r="A341" s="113"/>
      <c r="B341" s="114" t="s">
        <v>248</v>
      </c>
      <c r="C341" s="221"/>
      <c r="D341" s="221"/>
      <c r="E341" s="221"/>
      <c r="F341" s="221"/>
      <c r="G341" s="221"/>
      <c r="H341" s="838" t="s">
        <v>249</v>
      </c>
      <c r="I341" s="839"/>
      <c r="J341" s="839"/>
      <c r="K341" s="839"/>
      <c r="L341" s="840"/>
    </row>
    <row r="342" spans="1:12">
      <c r="A342" s="113"/>
      <c r="B342" s="114" t="s">
        <v>250</v>
      </c>
      <c r="C342" s="221"/>
      <c r="D342" s="221"/>
      <c r="E342" s="221"/>
      <c r="F342" s="221"/>
      <c r="G342" s="221"/>
      <c r="H342" s="418"/>
      <c r="I342" s="414"/>
      <c r="J342" s="189"/>
      <c r="K342" s="414"/>
      <c r="L342" s="415"/>
    </row>
    <row r="343" spans="1:12">
      <c r="A343" s="113"/>
      <c r="B343" s="755" t="s">
        <v>251</v>
      </c>
      <c r="C343" s="755"/>
      <c r="D343" s="755"/>
      <c r="E343" s="755"/>
      <c r="F343" s="755"/>
      <c r="G343" s="755"/>
      <c r="H343" s="756">
        <f>'0422Master'!G16</f>
        <v>0</v>
      </c>
      <c r="I343" s="757"/>
      <c r="J343" s="757"/>
      <c r="K343" s="757"/>
      <c r="L343" s="758"/>
    </row>
    <row r="344" spans="1:12">
      <c r="A344" s="113"/>
      <c r="B344" s="744"/>
      <c r="C344" s="744"/>
      <c r="D344" s="744"/>
      <c r="E344" s="744"/>
      <c r="F344" s="744"/>
      <c r="G344" s="744"/>
      <c r="H344" s="751">
        <f>'0422Master'!H16</f>
        <v>0</v>
      </c>
      <c r="I344" s="742"/>
      <c r="J344" s="742"/>
      <c r="K344" s="742"/>
      <c r="L344" s="743"/>
    </row>
    <row r="345" spans="1:12">
      <c r="A345" s="40"/>
      <c r="B345" s="744"/>
      <c r="C345" s="744"/>
      <c r="D345" s="744"/>
      <c r="E345" s="744"/>
      <c r="F345" s="744"/>
      <c r="G345" s="744"/>
      <c r="H345" s="741">
        <f>'0422Master'!I16</f>
        <v>0</v>
      </c>
      <c r="I345" s="742"/>
      <c r="J345" s="742"/>
      <c r="K345" s="742"/>
      <c r="L345" s="743"/>
    </row>
    <row r="346" spans="1:12">
      <c r="A346" s="40"/>
      <c r="B346" s="114" t="s">
        <v>252</v>
      </c>
      <c r="C346" s="221"/>
      <c r="D346" s="221"/>
      <c r="E346" s="221"/>
      <c r="F346" s="221"/>
      <c r="G346" s="222"/>
      <c r="H346" s="829">
        <f>'0422Master'!J16</f>
        <v>0</v>
      </c>
      <c r="I346" s="830"/>
      <c r="J346" s="830"/>
      <c r="K346" s="830"/>
      <c r="L346" s="831"/>
    </row>
    <row r="347" spans="1:12">
      <c r="A347" s="40"/>
      <c r="B347" s="114"/>
      <c r="C347" s="221"/>
      <c r="D347" s="221"/>
      <c r="E347" s="221"/>
      <c r="F347" s="221"/>
      <c r="G347" s="222"/>
      <c r="H347" s="829">
        <f>'0422Master'!K16</f>
        <v>0</v>
      </c>
      <c r="I347" s="830"/>
      <c r="J347" s="830"/>
      <c r="K347" s="830"/>
      <c r="L347" s="831"/>
    </row>
    <row r="348" spans="1:12">
      <c r="A348" s="40"/>
      <c r="B348" s="114"/>
      <c r="C348" s="221"/>
      <c r="D348" s="221"/>
      <c r="E348" s="221"/>
      <c r="F348" s="221"/>
      <c r="G348" s="222"/>
      <c r="H348" s="829">
        <f>'0422Master'!L16</f>
        <v>0</v>
      </c>
      <c r="I348" s="830"/>
      <c r="J348" s="830"/>
      <c r="K348" s="830"/>
      <c r="L348" s="831"/>
    </row>
    <row r="349" spans="1:12">
      <c r="A349" s="40"/>
      <c r="B349" s="114" t="s">
        <v>253</v>
      </c>
      <c r="C349" s="221"/>
      <c r="D349" s="221"/>
      <c r="E349" s="221"/>
      <c r="F349" s="221"/>
      <c r="G349" s="222"/>
      <c r="H349" s="418"/>
      <c r="I349" s="414"/>
      <c r="J349" s="414"/>
      <c r="K349" s="414"/>
      <c r="L349" s="415"/>
    </row>
    <row r="350" spans="1:12">
      <c r="A350" s="40"/>
      <c r="B350" s="117" t="s">
        <v>254</v>
      </c>
      <c r="C350" s="179"/>
      <c r="D350" s="179"/>
      <c r="E350" s="179"/>
      <c r="F350" s="179"/>
      <c r="G350" s="180"/>
      <c r="H350" s="181"/>
      <c r="I350" s="182"/>
      <c r="J350" s="183"/>
      <c r="K350" s="182"/>
      <c r="L350" s="184"/>
    </row>
    <row r="351" spans="1:12" ht="45">
      <c r="A351" s="40"/>
      <c r="B351" s="114" t="s">
        <v>255</v>
      </c>
      <c r="C351" s="221"/>
      <c r="D351" s="414"/>
      <c r="E351" s="413" t="s">
        <v>256</v>
      </c>
      <c r="F351" s="80"/>
      <c r="G351" s="832" t="s">
        <v>257</v>
      </c>
      <c r="H351" s="833"/>
      <c r="I351" s="417" t="s">
        <v>258</v>
      </c>
      <c r="J351" s="477" t="s">
        <v>259</v>
      </c>
      <c r="K351" s="832" t="s">
        <v>260</v>
      </c>
      <c r="L351" s="834"/>
    </row>
    <row r="352" spans="1:12">
      <c r="A352" s="40"/>
      <c r="B352" s="187">
        <v>1</v>
      </c>
      <c r="C352" s="221"/>
      <c r="D352" s="221"/>
      <c r="E352" s="188">
        <v>2</v>
      </c>
      <c r="F352" s="222"/>
      <c r="G352" s="188">
        <v>3</v>
      </c>
      <c r="H352" s="419"/>
      <c r="I352" s="419">
        <v>4</v>
      </c>
      <c r="J352" s="448">
        <v>5</v>
      </c>
      <c r="K352" s="115"/>
      <c r="L352" s="116">
        <v>6</v>
      </c>
    </row>
    <row r="353" spans="1:12">
      <c r="A353" s="40"/>
      <c r="B353" s="298">
        <f>'0422Master'!E16</f>
        <v>0</v>
      </c>
      <c r="C353" s="202"/>
      <c r="D353" s="203"/>
      <c r="E353" s="299" t="s">
        <v>261</v>
      </c>
      <c r="F353" s="203"/>
      <c r="G353" s="299" t="s">
        <v>262</v>
      </c>
      <c r="H353" s="80"/>
      <c r="I353" s="308" t="s">
        <v>263</v>
      </c>
      <c r="J353" s="478">
        <v>1</v>
      </c>
      <c r="K353" s="835" t="s">
        <v>109</v>
      </c>
      <c r="L353" s="836"/>
    </row>
    <row r="354" spans="1:12">
      <c r="A354" s="40"/>
      <c r="B354" s="114"/>
      <c r="C354" s="202"/>
      <c r="D354" s="203"/>
      <c r="E354" s="204"/>
      <c r="F354" s="203"/>
      <c r="G354" s="204"/>
      <c r="H354" s="80"/>
      <c r="I354" s="308"/>
      <c r="J354" s="308"/>
      <c r="K354" s="205"/>
      <c r="L354" s="80"/>
    </row>
    <row r="355" spans="1:12">
      <c r="A355" s="40"/>
      <c r="B355" s="114"/>
      <c r="C355" s="202"/>
      <c r="D355" s="203"/>
      <c r="E355" s="204"/>
      <c r="F355" s="203"/>
      <c r="G355" s="204"/>
      <c r="H355" s="80"/>
      <c r="I355" s="308"/>
      <c r="J355" s="308"/>
      <c r="K355" s="205"/>
      <c r="L355" s="80"/>
    </row>
    <row r="356" spans="1:12">
      <c r="A356" s="40"/>
      <c r="B356" s="86"/>
      <c r="C356" s="46"/>
      <c r="D356" s="87"/>
      <c r="E356" s="204"/>
      <c r="F356" s="203"/>
      <c r="G356" s="204"/>
      <c r="H356" s="80"/>
      <c r="I356" s="308"/>
      <c r="J356" s="308"/>
      <c r="K356" s="205"/>
      <c r="L356" s="80"/>
    </row>
    <row r="357" spans="1:12">
      <c r="A357" s="40"/>
      <c r="B357" s="27" t="s">
        <v>264</v>
      </c>
      <c r="C357" s="27"/>
      <c r="D357" s="27"/>
      <c r="E357" s="27"/>
      <c r="F357" s="27"/>
      <c r="G357" s="27"/>
      <c r="H357" s="27"/>
      <c r="I357" s="27"/>
      <c r="J357" s="27"/>
      <c r="K357" s="27"/>
      <c r="L357" s="41"/>
    </row>
    <row r="358" spans="1:12">
      <c r="A358" s="40"/>
      <c r="B358" s="27" t="s">
        <v>265</v>
      </c>
      <c r="C358" s="27"/>
      <c r="D358" s="27"/>
      <c r="E358" s="27"/>
      <c r="F358" s="27"/>
      <c r="G358" s="27"/>
      <c r="H358" s="27"/>
      <c r="I358" s="27"/>
      <c r="J358" s="27"/>
      <c r="K358" s="27"/>
      <c r="L358" s="41"/>
    </row>
    <row r="359" spans="1:12">
      <c r="A359" s="40"/>
      <c r="B359" s="27" t="s">
        <v>266</v>
      </c>
      <c r="C359" s="27"/>
      <c r="D359" s="27"/>
      <c r="E359" s="27"/>
      <c r="F359" s="27"/>
      <c r="G359" s="27"/>
      <c r="H359" s="27"/>
      <c r="I359" s="27"/>
      <c r="J359" s="27"/>
      <c r="K359" s="27"/>
      <c r="L359" s="41"/>
    </row>
    <row r="360" spans="1:12" ht="27.95" customHeight="1">
      <c r="A360" s="40"/>
      <c r="B360" s="27"/>
      <c r="C360" s="27"/>
      <c r="D360" s="27"/>
      <c r="E360" s="27"/>
      <c r="F360" s="27"/>
      <c r="G360" s="27"/>
      <c r="H360" s="27"/>
      <c r="I360" s="27"/>
      <c r="J360" s="27"/>
      <c r="K360" s="27"/>
      <c r="L360" s="41"/>
    </row>
    <row r="361" spans="1:12" ht="27.95" customHeight="1">
      <c r="A361" s="40"/>
      <c r="B361" s="27"/>
      <c r="C361" s="27"/>
      <c r="D361" s="27"/>
      <c r="E361" s="27"/>
      <c r="F361" s="27"/>
      <c r="G361" s="27"/>
      <c r="H361" s="27"/>
      <c r="I361" s="27" t="s">
        <v>267</v>
      </c>
      <c r="J361" s="27"/>
      <c r="K361" s="27"/>
      <c r="L361" s="41"/>
    </row>
    <row r="362" spans="1:12" ht="27.95" customHeight="1">
      <c r="A362" s="40"/>
      <c r="B362" s="27"/>
      <c r="C362" s="27"/>
      <c r="D362" s="27"/>
      <c r="E362" s="27"/>
      <c r="F362" s="190" t="s">
        <v>268</v>
      </c>
      <c r="G362" s="27"/>
      <c r="H362" s="27"/>
      <c r="I362" s="27"/>
      <c r="J362" s="27"/>
      <c r="K362" s="27"/>
      <c r="L362" s="41"/>
    </row>
    <row r="363" spans="1:12" ht="27.95" customHeight="1">
      <c r="A363" s="40" t="s">
        <v>269</v>
      </c>
      <c r="B363" s="27"/>
      <c r="C363" s="27"/>
      <c r="D363" s="27"/>
      <c r="E363" s="27"/>
      <c r="F363" s="27"/>
      <c r="G363" s="27"/>
      <c r="H363" s="27"/>
      <c r="I363" s="27"/>
      <c r="J363" s="27"/>
      <c r="K363" s="243">
        <f>'0422Master'!B16</f>
        <v>0</v>
      </c>
      <c r="L363" s="41"/>
    </row>
    <row r="364" spans="1:12" ht="27.95" customHeight="1">
      <c r="A364" s="40" t="s">
        <v>270</v>
      </c>
      <c r="B364" s="27"/>
      <c r="C364" s="27"/>
      <c r="D364" s="27"/>
      <c r="E364" s="27"/>
      <c r="F364" s="27"/>
      <c r="G364" s="27"/>
      <c r="H364" s="27"/>
      <c r="I364" s="27"/>
      <c r="J364" s="27"/>
      <c r="K364" s="27"/>
      <c r="L364" s="41"/>
    </row>
    <row r="365" spans="1:12" ht="27.95" customHeight="1">
      <c r="A365" s="40"/>
      <c r="B365" s="27"/>
      <c r="C365" s="27"/>
      <c r="D365" s="27"/>
      <c r="E365" s="27"/>
      <c r="F365" s="27"/>
      <c r="G365" s="27"/>
      <c r="H365" s="27"/>
      <c r="I365" s="27"/>
      <c r="J365" s="27"/>
      <c r="K365" s="27"/>
      <c r="L365" s="41"/>
    </row>
    <row r="366" spans="1:12" ht="27.95" customHeight="1">
      <c r="A366" s="40"/>
      <c r="B366" s="27"/>
      <c r="C366" s="27"/>
      <c r="D366" s="27"/>
      <c r="E366" s="27"/>
      <c r="F366" s="27"/>
      <c r="G366" s="27"/>
      <c r="H366" s="27"/>
      <c r="I366" s="27"/>
      <c r="J366" s="27"/>
      <c r="K366" s="27"/>
      <c r="L366" s="41"/>
    </row>
    <row r="367" spans="1:12" ht="27.95" customHeight="1">
      <c r="A367" s="40"/>
      <c r="B367" s="27"/>
      <c r="C367" s="27"/>
      <c r="D367" s="27"/>
      <c r="E367" s="27"/>
      <c r="F367" s="27" t="s">
        <v>271</v>
      </c>
      <c r="G367" s="27"/>
      <c r="H367" s="27"/>
      <c r="I367" s="27"/>
      <c r="J367" s="27"/>
      <c r="K367" s="27"/>
      <c r="L367" s="41"/>
    </row>
    <row r="368" spans="1:12" ht="27.95" customHeight="1">
      <c r="A368" s="40" t="s">
        <v>272</v>
      </c>
      <c r="B368" s="27" t="s">
        <v>273</v>
      </c>
      <c r="C368" s="27"/>
      <c r="D368" s="27"/>
      <c r="E368" s="27"/>
      <c r="F368" s="27" t="str">
        <f>'0422Master'!F5</f>
        <v>Burgeon IT Services Pvt.Ltd.</v>
      </c>
      <c r="G368" s="27"/>
      <c r="H368" s="27"/>
      <c r="I368" s="27"/>
      <c r="J368" s="27"/>
      <c r="K368" s="27"/>
      <c r="L368" s="41"/>
    </row>
    <row r="369" spans="1:12" ht="27.95" customHeight="1">
      <c r="A369" s="40" t="s">
        <v>274</v>
      </c>
      <c r="B369" s="297">
        <f>'0422Master'!N16</f>
        <v>0</v>
      </c>
      <c r="C369" s="27"/>
      <c r="D369" s="27"/>
      <c r="E369" s="27"/>
      <c r="F369" s="192" t="str">
        <f>'0422Master'!F6</f>
        <v>Siri Mansion LIGB 436 Dr.A S Rao Nagar,Hyderabad</v>
      </c>
      <c r="G369" s="192"/>
      <c r="H369" s="192"/>
      <c r="I369" s="192"/>
      <c r="J369" s="192"/>
      <c r="K369" s="192"/>
      <c r="L369" s="41"/>
    </row>
    <row r="370" spans="1:12" ht="27.95" customHeight="1" thickBot="1">
      <c r="A370" s="54"/>
      <c r="B370" s="52"/>
      <c r="C370" s="52"/>
      <c r="D370" s="52"/>
      <c r="E370" s="52"/>
      <c r="F370" s="52"/>
      <c r="G370" s="52"/>
      <c r="H370" s="52"/>
      <c r="I370" s="52"/>
      <c r="J370" s="52"/>
      <c r="K370" s="52"/>
      <c r="L370" s="53"/>
    </row>
    <row r="371" spans="1:12" ht="27.95" customHeight="1" thickBot="1">
      <c r="A371" s="27"/>
      <c r="B371" s="193"/>
      <c r="C371" s="412"/>
      <c r="D371" s="412"/>
      <c r="E371" s="412"/>
      <c r="F371" s="412"/>
      <c r="G371" s="412"/>
      <c r="H371" s="411"/>
      <c r="I371" s="411"/>
      <c r="J371" s="410"/>
      <c r="K371" s="411"/>
      <c r="L371" s="411"/>
    </row>
    <row r="372" spans="1:12" ht="27.95" customHeight="1">
      <c r="A372" s="96"/>
      <c r="B372" s="735" t="s">
        <v>241</v>
      </c>
      <c r="C372" s="736"/>
      <c r="D372" s="736"/>
      <c r="E372" s="736"/>
      <c r="F372" s="736"/>
      <c r="G372" s="736"/>
      <c r="H372" s="736"/>
      <c r="I372" s="736"/>
      <c r="J372" s="736"/>
      <c r="K372" s="736"/>
      <c r="L372" s="737"/>
    </row>
    <row r="373" spans="1:12" ht="27.95" customHeight="1">
      <c r="A373" s="40"/>
      <c r="B373" s="738" t="s">
        <v>242</v>
      </c>
      <c r="C373" s="738"/>
      <c r="D373" s="738"/>
      <c r="E373" s="738"/>
      <c r="F373" s="738"/>
      <c r="G373" s="738"/>
      <c r="H373" s="738"/>
      <c r="I373" s="738"/>
      <c r="J373" s="738"/>
      <c r="K373" s="738"/>
      <c r="L373" s="739"/>
    </row>
    <row r="374" spans="1:12" ht="27.95" customHeight="1" thickBot="1">
      <c r="A374" s="54"/>
      <c r="B374" s="745" t="s">
        <v>243</v>
      </c>
      <c r="C374" s="745"/>
      <c r="D374" s="745"/>
      <c r="E374" s="745"/>
      <c r="F374" s="745"/>
      <c r="G374" s="745"/>
      <c r="H374" s="745"/>
      <c r="I374" s="745"/>
      <c r="J374" s="745"/>
      <c r="K374" s="745"/>
      <c r="L374" s="746"/>
    </row>
    <row r="375" spans="1:12" ht="27.95" customHeight="1">
      <c r="A375" s="40"/>
      <c r="B375" s="747" t="s">
        <v>92</v>
      </c>
      <c r="C375" s="747"/>
      <c r="D375" s="747"/>
      <c r="E375" s="747"/>
      <c r="F375" s="747"/>
      <c r="G375" s="27"/>
      <c r="H375" s="748" t="s">
        <v>93</v>
      </c>
      <c r="I375" s="748"/>
      <c r="J375" s="748"/>
      <c r="K375" s="748"/>
      <c r="L375" s="749"/>
    </row>
    <row r="376" spans="1:12" ht="27.95" customHeight="1" thickBot="1">
      <c r="A376" s="40"/>
      <c r="B376" s="747"/>
      <c r="C376" s="747"/>
      <c r="D376" s="747"/>
      <c r="E376" s="747"/>
      <c r="F376" s="747"/>
      <c r="G376" s="27"/>
      <c r="H376" s="748"/>
      <c r="I376" s="748"/>
      <c r="J376" s="748"/>
      <c r="K376" s="748"/>
      <c r="L376" s="749"/>
    </row>
    <row r="377" spans="1:12" ht="27.95" customHeight="1">
      <c r="A377" s="40"/>
      <c r="B377" s="96"/>
      <c r="C377" s="97"/>
      <c r="D377" s="97"/>
      <c r="E377" s="97"/>
      <c r="F377" s="98"/>
      <c r="G377" s="27"/>
      <c r="H377" s="96"/>
      <c r="I377" s="97"/>
      <c r="J377" s="97"/>
      <c r="K377" s="97"/>
      <c r="L377" s="98"/>
    </row>
    <row r="378" spans="1:12">
      <c r="A378" s="40"/>
      <c r="B378" s="102" t="str">
        <f>'0422Master'!F5</f>
        <v>Burgeon IT Services Pvt.Ltd.</v>
      </c>
      <c r="C378" s="100"/>
      <c r="D378" s="100"/>
      <c r="E378" s="100"/>
      <c r="F378" s="101"/>
      <c r="G378" s="27"/>
      <c r="H378" s="102" t="str">
        <f>'0422Master'!AO5</f>
        <v>Burgeon IT Services Pvt.Ltd.</v>
      </c>
      <c r="I378" s="100"/>
      <c r="J378" s="100"/>
      <c r="K378" s="100"/>
      <c r="L378" s="101"/>
    </row>
    <row r="379" spans="1:12">
      <c r="A379" s="40"/>
      <c r="B379" s="40"/>
      <c r="C379" s="100"/>
      <c r="D379" s="100"/>
      <c r="E379" s="100"/>
      <c r="F379" s="101"/>
      <c r="G379" s="27"/>
      <c r="H379" s="40"/>
      <c r="I379" s="100"/>
      <c r="J379" s="100"/>
      <c r="K379" s="100"/>
      <c r="L379" s="101"/>
    </row>
    <row r="380" spans="1:12">
      <c r="A380" s="40"/>
      <c r="B380" s="102" t="str">
        <f>'0422Master'!F6</f>
        <v>Siri Mansion LIGB 436 Dr.A S Rao Nagar,Hyderabad</v>
      </c>
      <c r="C380" s="100"/>
      <c r="D380" s="100"/>
      <c r="E380" s="100"/>
      <c r="F380" s="101"/>
      <c r="G380" s="27"/>
      <c r="H380" s="102" t="str">
        <f>'0422Master'!AO6</f>
        <v>Siri Mansion LIGB 436 Dr.A S Rao Nagar,Hyderabad</v>
      </c>
      <c r="I380" s="100"/>
      <c r="J380" s="100"/>
      <c r="K380" s="100"/>
      <c r="L380" s="101"/>
    </row>
    <row r="381" spans="1:12" ht="15.75" thickBot="1">
      <c r="A381" s="40"/>
      <c r="B381" s="103"/>
      <c r="C381" s="55"/>
      <c r="D381" s="55"/>
      <c r="E381" s="55"/>
      <c r="F381" s="104"/>
      <c r="G381" s="27"/>
      <c r="H381" s="103"/>
      <c r="I381" s="55"/>
      <c r="J381" s="55"/>
      <c r="K381" s="55"/>
      <c r="L381" s="104"/>
    </row>
    <row r="382" spans="1:12">
      <c r="A382" s="40"/>
      <c r="B382" s="27"/>
      <c r="C382" s="27"/>
      <c r="D382" s="27"/>
      <c r="E382" s="27"/>
      <c r="F382" s="27"/>
      <c r="G382" s="27"/>
      <c r="H382" s="27"/>
      <c r="I382" s="27"/>
      <c r="J382" s="27" t="s">
        <v>94</v>
      </c>
      <c r="K382" s="27"/>
      <c r="L382" s="41"/>
    </row>
    <row r="383" spans="1:12">
      <c r="A383" s="40"/>
      <c r="B383" s="664" t="s">
        <v>95</v>
      </c>
      <c r="C383" s="664"/>
      <c r="D383" s="664"/>
      <c r="E383" s="664"/>
      <c r="F383" s="664"/>
      <c r="G383" s="27"/>
      <c r="H383" s="664" t="s">
        <v>5</v>
      </c>
      <c r="I383" s="664"/>
      <c r="J383" s="664"/>
      <c r="K383" s="664"/>
      <c r="L383" s="750"/>
    </row>
    <row r="384" spans="1:12" ht="15" customHeight="1" thickBot="1">
      <c r="A384" s="40"/>
      <c r="B384" s="27"/>
      <c r="C384" s="27"/>
      <c r="D384" s="27"/>
      <c r="E384" s="27"/>
      <c r="F384" s="27"/>
      <c r="G384" s="27"/>
      <c r="H384" s="27"/>
      <c r="I384" s="27"/>
      <c r="J384" s="27"/>
      <c r="K384" s="27"/>
      <c r="L384" s="41"/>
    </row>
    <row r="385" spans="1:12">
      <c r="A385" s="40"/>
      <c r="B385" s="96"/>
      <c r="C385" s="97"/>
      <c r="D385" s="97"/>
      <c r="E385" s="97"/>
      <c r="F385" s="98"/>
      <c r="G385" s="27"/>
      <c r="H385" s="105"/>
      <c r="I385" s="106"/>
      <c r="J385" s="106"/>
      <c r="K385" s="106"/>
      <c r="L385" s="107"/>
    </row>
    <row r="386" spans="1:12">
      <c r="A386" s="40"/>
      <c r="B386" s="99"/>
      <c r="C386" s="100"/>
      <c r="D386" s="100"/>
      <c r="E386" s="100"/>
      <c r="F386" s="101"/>
      <c r="G386" s="27"/>
      <c r="H386" s="102" t="str">
        <f>'0422Master'!AO8</f>
        <v>INFOSYS LIMITED, IL BHUBANESHWAR-STP,UNIT-II</v>
      </c>
      <c r="I386" s="108"/>
      <c r="J386" s="108"/>
      <c r="K386" s="108"/>
      <c r="L386" s="109"/>
    </row>
    <row r="387" spans="1:12">
      <c r="A387" s="40"/>
      <c r="B387" s="102" t="str">
        <f>'0422Master'!F8</f>
        <v>IT SUPPORTIVE SERVICES &amp; BHUBANESWAR</v>
      </c>
      <c r="C387" s="100"/>
      <c r="D387" s="100"/>
      <c r="E387" s="100"/>
      <c r="F387" s="101"/>
      <c r="G387" s="27"/>
      <c r="H387" s="102"/>
      <c r="I387" s="108"/>
      <c r="J387" s="108"/>
      <c r="K387" s="108"/>
      <c r="L387" s="109"/>
    </row>
    <row r="388" spans="1:12">
      <c r="A388" s="40"/>
      <c r="B388" s="99"/>
      <c r="C388" s="100"/>
      <c r="D388" s="100"/>
      <c r="E388" s="100"/>
      <c r="F388" s="101"/>
      <c r="G388" s="27"/>
      <c r="H388" s="102" t="str">
        <f>'0422Master'!AO10</f>
        <v>Plot No E/4,Info city,Chandaka Industrial, Bhubaneswar,Odisha - 751024</v>
      </c>
      <c r="I388" s="108"/>
      <c r="J388" s="108"/>
      <c r="K388" s="108"/>
      <c r="L388" s="109"/>
    </row>
    <row r="389" spans="1:12" ht="15.75" thickBot="1">
      <c r="A389" s="40"/>
      <c r="B389" s="103"/>
      <c r="C389" s="55"/>
      <c r="D389" s="55"/>
      <c r="E389" s="55"/>
      <c r="F389" s="104"/>
      <c r="G389" s="27"/>
      <c r="H389" s="110"/>
      <c r="I389" s="111"/>
      <c r="J389" s="111"/>
      <c r="K389" s="111"/>
      <c r="L389" s="112"/>
    </row>
    <row r="390" spans="1:12">
      <c r="A390" s="113"/>
      <c r="B390" s="744" t="s">
        <v>244</v>
      </c>
      <c r="C390" s="744"/>
      <c r="D390" s="744"/>
      <c r="E390" s="744"/>
      <c r="F390" s="744"/>
      <c r="G390" s="744"/>
      <c r="H390" s="741" t="e">
        <f>'0422Master'!#REF!</f>
        <v>#REF!</v>
      </c>
      <c r="I390" s="742"/>
      <c r="J390" s="742"/>
      <c r="K390" s="742"/>
      <c r="L390" s="743"/>
    </row>
    <row r="391" spans="1:12">
      <c r="A391" s="113"/>
      <c r="B391" s="740" t="s">
        <v>245</v>
      </c>
      <c r="C391" s="740"/>
      <c r="D391" s="740"/>
      <c r="E391" s="740"/>
      <c r="F391" s="740"/>
      <c r="G391" s="740"/>
      <c r="H391" s="741" t="e">
        <f>'0422Master'!#REF!</f>
        <v>#REF!</v>
      </c>
      <c r="I391" s="742"/>
      <c r="J391" s="742"/>
      <c r="K391" s="742"/>
      <c r="L391" s="743"/>
    </row>
    <row r="392" spans="1:12">
      <c r="A392" s="113"/>
      <c r="B392" s="744" t="s">
        <v>246</v>
      </c>
      <c r="C392" s="744"/>
      <c r="D392" s="744"/>
      <c r="E392" s="744"/>
      <c r="F392" s="744"/>
      <c r="G392" s="744"/>
      <c r="H392" s="741" t="e">
        <f>'0422Master'!#REF!</f>
        <v>#REF!</v>
      </c>
      <c r="I392" s="742"/>
      <c r="J392" s="742"/>
      <c r="K392" s="742"/>
      <c r="L392" s="743"/>
    </row>
    <row r="393" spans="1:12">
      <c r="A393" s="113"/>
      <c r="B393" s="744" t="s">
        <v>247</v>
      </c>
      <c r="C393" s="744"/>
      <c r="D393" s="744"/>
      <c r="E393" s="744"/>
      <c r="F393" s="744"/>
      <c r="G393" s="744"/>
      <c r="H393" s="837" t="e">
        <f>'0422Master'!#REF!</f>
        <v>#REF!</v>
      </c>
      <c r="I393" s="742"/>
      <c r="J393" s="742"/>
      <c r="K393" s="742"/>
      <c r="L393" s="743"/>
    </row>
    <row r="394" spans="1:12">
      <c r="A394" s="113"/>
      <c r="B394" s="114" t="s">
        <v>248</v>
      </c>
      <c r="C394" s="221"/>
      <c r="D394" s="221"/>
      <c r="E394" s="221"/>
      <c r="F394" s="221"/>
      <c r="G394" s="221"/>
      <c r="H394" s="838" t="s">
        <v>249</v>
      </c>
      <c r="I394" s="839"/>
      <c r="J394" s="839"/>
      <c r="K394" s="839"/>
      <c r="L394" s="840"/>
    </row>
    <row r="395" spans="1:12">
      <c r="A395" s="113"/>
      <c r="B395" s="114" t="s">
        <v>250</v>
      </c>
      <c r="C395" s="221"/>
      <c r="D395" s="221"/>
      <c r="E395" s="221"/>
      <c r="F395" s="221"/>
      <c r="G395" s="221"/>
      <c r="H395" s="418"/>
      <c r="I395" s="414"/>
      <c r="J395" s="189"/>
      <c r="K395" s="414"/>
      <c r="L395" s="415"/>
    </row>
    <row r="396" spans="1:12">
      <c r="A396" s="113"/>
      <c r="B396" s="755" t="s">
        <v>251</v>
      </c>
      <c r="C396" s="755"/>
      <c r="D396" s="755"/>
      <c r="E396" s="755"/>
      <c r="F396" s="755"/>
      <c r="G396" s="755"/>
      <c r="H396" s="756" t="e">
        <f>'0422Master'!#REF!</f>
        <v>#REF!</v>
      </c>
      <c r="I396" s="757"/>
      <c r="J396" s="757"/>
      <c r="K396" s="757"/>
      <c r="L396" s="758"/>
    </row>
    <row r="397" spans="1:12">
      <c r="A397" s="113"/>
      <c r="B397" s="744"/>
      <c r="C397" s="744"/>
      <c r="D397" s="744"/>
      <c r="E397" s="744"/>
      <c r="F397" s="744"/>
      <c r="G397" s="744"/>
      <c r="H397" s="751" t="e">
        <f>'0422Master'!#REF!</f>
        <v>#REF!</v>
      </c>
      <c r="I397" s="742"/>
      <c r="J397" s="742"/>
      <c r="K397" s="742"/>
      <c r="L397" s="743"/>
    </row>
    <row r="398" spans="1:12">
      <c r="A398" s="40"/>
      <c r="B398" s="744"/>
      <c r="C398" s="744"/>
      <c r="D398" s="744"/>
      <c r="E398" s="744"/>
      <c r="F398" s="744"/>
      <c r="G398" s="744"/>
      <c r="H398" s="741" t="e">
        <f>'0422Master'!#REF!</f>
        <v>#REF!</v>
      </c>
      <c r="I398" s="742"/>
      <c r="J398" s="742"/>
      <c r="K398" s="742"/>
      <c r="L398" s="743"/>
    </row>
    <row r="399" spans="1:12" ht="27.95" customHeight="1">
      <c r="A399" s="40"/>
      <c r="B399" s="114" t="s">
        <v>252</v>
      </c>
      <c r="C399" s="221"/>
      <c r="D399" s="221"/>
      <c r="E399" s="221"/>
      <c r="F399" s="221"/>
      <c r="G399" s="222"/>
      <c r="H399" s="829" t="e">
        <f>'0422Master'!#REF!</f>
        <v>#REF!</v>
      </c>
      <c r="I399" s="830"/>
      <c r="J399" s="830"/>
      <c r="K399" s="830"/>
      <c r="L399" s="831"/>
    </row>
    <row r="400" spans="1:12" ht="27.95" customHeight="1">
      <c r="A400" s="40"/>
      <c r="B400" s="114"/>
      <c r="C400" s="221"/>
      <c r="D400" s="221"/>
      <c r="E400" s="221"/>
      <c r="F400" s="221"/>
      <c r="G400" s="222"/>
      <c r="H400" s="829" t="e">
        <f>'0422Master'!#REF!</f>
        <v>#REF!</v>
      </c>
      <c r="I400" s="830"/>
      <c r="J400" s="830"/>
      <c r="K400" s="830"/>
      <c r="L400" s="831"/>
    </row>
    <row r="401" spans="1:12" ht="27.95" customHeight="1">
      <c r="A401" s="40"/>
      <c r="B401" s="114"/>
      <c r="C401" s="221"/>
      <c r="D401" s="221"/>
      <c r="E401" s="221"/>
      <c r="F401" s="221"/>
      <c r="G401" s="222"/>
      <c r="H401" s="829" t="e">
        <f>'0422Master'!#REF!</f>
        <v>#REF!</v>
      </c>
      <c r="I401" s="830"/>
      <c r="J401" s="830"/>
      <c r="K401" s="830"/>
      <c r="L401" s="831"/>
    </row>
    <row r="402" spans="1:12" ht="27.95" customHeight="1">
      <c r="A402" s="40"/>
      <c r="B402" s="114" t="s">
        <v>253</v>
      </c>
      <c r="C402" s="221"/>
      <c r="D402" s="221"/>
      <c r="E402" s="221"/>
      <c r="F402" s="221"/>
      <c r="G402" s="222"/>
      <c r="H402" s="418"/>
      <c r="I402" s="414"/>
      <c r="J402" s="414"/>
      <c r="K402" s="414"/>
      <c r="L402" s="415"/>
    </row>
    <row r="403" spans="1:12" ht="27.95" customHeight="1">
      <c r="A403" s="40"/>
      <c r="B403" s="117" t="s">
        <v>254</v>
      </c>
      <c r="C403" s="179"/>
      <c r="D403" s="179"/>
      <c r="E403" s="179"/>
      <c r="F403" s="179"/>
      <c r="G403" s="180"/>
      <c r="H403" s="181"/>
      <c r="I403" s="182"/>
      <c r="J403" s="183"/>
      <c r="K403" s="182"/>
      <c r="L403" s="184"/>
    </row>
    <row r="404" spans="1:12" ht="27.95" customHeight="1">
      <c r="A404" s="40"/>
      <c r="B404" s="114" t="s">
        <v>255</v>
      </c>
      <c r="C404" s="221"/>
      <c r="D404" s="414"/>
      <c r="E404" s="413" t="s">
        <v>256</v>
      </c>
      <c r="F404" s="80"/>
      <c r="G404" s="832" t="s">
        <v>257</v>
      </c>
      <c r="H404" s="833"/>
      <c r="I404" s="417" t="s">
        <v>258</v>
      </c>
      <c r="J404" s="477" t="s">
        <v>259</v>
      </c>
      <c r="K404" s="832" t="s">
        <v>260</v>
      </c>
      <c r="L404" s="834"/>
    </row>
    <row r="405" spans="1:12" ht="27.95" customHeight="1">
      <c r="A405" s="40"/>
      <c r="B405" s="187">
        <v>1</v>
      </c>
      <c r="C405" s="221"/>
      <c r="D405" s="221"/>
      <c r="E405" s="188">
        <v>2</v>
      </c>
      <c r="F405" s="222"/>
      <c r="G405" s="188">
        <v>3</v>
      </c>
      <c r="H405" s="419"/>
      <c r="I405" s="419">
        <v>4</v>
      </c>
      <c r="J405" s="448">
        <v>5</v>
      </c>
      <c r="K405" s="115"/>
      <c r="L405" s="116">
        <v>6</v>
      </c>
    </row>
    <row r="406" spans="1:12" ht="27.95" customHeight="1">
      <c r="A406" s="40"/>
      <c r="B406" s="298" t="e">
        <f>'0422Master'!#REF!</f>
        <v>#REF!</v>
      </c>
      <c r="C406" s="202"/>
      <c r="D406" s="203"/>
      <c r="E406" s="299" t="s">
        <v>261</v>
      </c>
      <c r="F406" s="203"/>
      <c r="G406" s="299" t="s">
        <v>262</v>
      </c>
      <c r="H406" s="80"/>
      <c r="I406" s="308" t="s">
        <v>263</v>
      </c>
      <c r="J406" s="478">
        <v>1</v>
      </c>
      <c r="K406" s="835" t="s">
        <v>109</v>
      </c>
      <c r="L406" s="836"/>
    </row>
    <row r="407" spans="1:12" ht="27.95" customHeight="1">
      <c r="A407" s="40"/>
      <c r="B407" s="114"/>
      <c r="C407" s="202"/>
      <c r="D407" s="203"/>
      <c r="E407" s="204"/>
      <c r="F407" s="203"/>
      <c r="G407" s="204"/>
      <c r="H407" s="80"/>
      <c r="I407" s="308"/>
      <c r="J407" s="308"/>
      <c r="K407" s="205"/>
      <c r="L407" s="80"/>
    </row>
    <row r="408" spans="1:12" ht="27.95" customHeight="1">
      <c r="A408" s="40"/>
      <c r="B408" s="114"/>
      <c r="C408" s="202"/>
      <c r="D408" s="203"/>
      <c r="E408" s="204"/>
      <c r="F408" s="203"/>
      <c r="G408" s="204"/>
      <c r="H408" s="80"/>
      <c r="I408" s="308"/>
      <c r="J408" s="308"/>
      <c r="K408" s="205"/>
      <c r="L408" s="80"/>
    </row>
    <row r="409" spans="1:12" ht="27.95" customHeight="1">
      <c r="A409" s="40"/>
      <c r="B409" s="86"/>
      <c r="C409" s="46"/>
      <c r="D409" s="87"/>
      <c r="E409" s="204"/>
      <c r="F409" s="203"/>
      <c r="G409" s="204"/>
      <c r="H409" s="80"/>
      <c r="I409" s="308"/>
      <c r="J409" s="308"/>
      <c r="K409" s="205"/>
      <c r="L409" s="80"/>
    </row>
    <row r="410" spans="1:12" ht="27.95" customHeight="1">
      <c r="A410" s="40"/>
      <c r="B410" s="27" t="s">
        <v>264</v>
      </c>
      <c r="C410" s="27"/>
      <c r="D410" s="27"/>
      <c r="E410" s="27"/>
      <c r="F410" s="27"/>
      <c r="G410" s="27"/>
      <c r="H410" s="27"/>
      <c r="I410" s="27"/>
      <c r="J410" s="27"/>
      <c r="K410" s="27"/>
      <c r="L410" s="41"/>
    </row>
    <row r="411" spans="1:12" ht="27.95" customHeight="1">
      <c r="A411" s="40"/>
      <c r="B411" s="27" t="s">
        <v>265</v>
      </c>
      <c r="C411" s="27"/>
      <c r="D411" s="27"/>
      <c r="E411" s="27"/>
      <c r="F411" s="27"/>
      <c r="G411" s="27"/>
      <c r="H411" s="27"/>
      <c r="I411" s="27"/>
      <c r="J411" s="27"/>
      <c r="K411" s="27"/>
      <c r="L411" s="41"/>
    </row>
    <row r="412" spans="1:12" ht="27.95" customHeight="1">
      <c r="A412" s="40"/>
      <c r="B412" s="27" t="s">
        <v>266</v>
      </c>
      <c r="C412" s="27"/>
      <c r="D412" s="27"/>
      <c r="E412" s="27"/>
      <c r="F412" s="27"/>
      <c r="G412" s="27"/>
      <c r="H412" s="27"/>
      <c r="I412" s="27"/>
      <c r="J412" s="27"/>
      <c r="K412" s="27"/>
      <c r="L412" s="41"/>
    </row>
    <row r="413" spans="1:12" ht="27.95" customHeight="1">
      <c r="A413" s="40"/>
      <c r="B413" s="27"/>
      <c r="C413" s="27"/>
      <c r="D413" s="27"/>
      <c r="E413" s="27"/>
      <c r="F413" s="27"/>
      <c r="G413" s="27"/>
      <c r="H413" s="27"/>
      <c r="I413" s="27" t="s">
        <v>267</v>
      </c>
      <c r="J413" s="27"/>
      <c r="K413" s="27"/>
      <c r="L413" s="41"/>
    </row>
    <row r="414" spans="1:12" ht="27.95" customHeight="1">
      <c r="A414" s="40"/>
      <c r="B414" s="27"/>
      <c r="C414" s="27"/>
      <c r="D414" s="27"/>
      <c r="E414" s="27"/>
      <c r="F414" s="190" t="s">
        <v>268</v>
      </c>
      <c r="G414" s="27"/>
      <c r="H414" s="27"/>
      <c r="I414" s="27"/>
      <c r="J414" s="27"/>
      <c r="K414" s="27"/>
      <c r="L414" s="41"/>
    </row>
    <row r="415" spans="1:12" ht="27.95" customHeight="1">
      <c r="A415" s="40" t="s">
        <v>269</v>
      </c>
      <c r="B415" s="27"/>
      <c r="C415" s="27"/>
      <c r="D415" s="27"/>
      <c r="E415" s="27"/>
      <c r="F415" s="27"/>
      <c r="G415" s="27"/>
      <c r="H415" s="27"/>
      <c r="I415" s="27"/>
      <c r="J415" s="27"/>
      <c r="K415" s="243" t="e">
        <f>'0422Master'!#REF!</f>
        <v>#REF!</v>
      </c>
      <c r="L415" s="41"/>
    </row>
    <row r="416" spans="1:12">
      <c r="A416" s="40" t="s">
        <v>270</v>
      </c>
      <c r="B416" s="27"/>
      <c r="C416" s="27"/>
      <c r="D416" s="27"/>
      <c r="E416" s="27"/>
      <c r="F416" s="27"/>
      <c r="G416" s="27"/>
      <c r="H416" s="27"/>
      <c r="I416" s="27"/>
      <c r="J416" s="27"/>
      <c r="K416" s="27"/>
      <c r="L416" s="41"/>
    </row>
    <row r="417" spans="1:12">
      <c r="A417" s="40"/>
      <c r="B417" s="27"/>
      <c r="C417" s="27"/>
      <c r="D417" s="27"/>
      <c r="E417" s="27"/>
      <c r="F417" s="27"/>
      <c r="G417" s="27"/>
      <c r="H417" s="27"/>
      <c r="I417" s="27"/>
      <c r="J417" s="27"/>
      <c r="K417" s="27"/>
      <c r="L417" s="41"/>
    </row>
    <row r="418" spans="1:12">
      <c r="A418" s="40"/>
      <c r="B418" s="27"/>
      <c r="C418" s="27"/>
      <c r="D418" s="27"/>
      <c r="E418" s="27"/>
      <c r="F418" s="27"/>
      <c r="G418" s="27"/>
      <c r="H418" s="27"/>
      <c r="I418" s="27"/>
      <c r="J418" s="27"/>
      <c r="K418" s="27"/>
      <c r="L418" s="41"/>
    </row>
    <row r="419" spans="1:12">
      <c r="A419" s="40"/>
      <c r="B419" s="27"/>
      <c r="C419" s="27"/>
      <c r="D419" s="27"/>
      <c r="E419" s="27"/>
      <c r="F419" s="27" t="s">
        <v>271</v>
      </c>
      <c r="G419" s="27"/>
      <c r="H419" s="27"/>
      <c r="I419" s="27"/>
      <c r="J419" s="27"/>
      <c r="K419" s="27"/>
      <c r="L419" s="41"/>
    </row>
    <row r="420" spans="1:12">
      <c r="A420" s="40" t="s">
        <v>272</v>
      </c>
      <c r="B420" s="27" t="s">
        <v>273</v>
      </c>
      <c r="C420" s="27"/>
      <c r="D420" s="27"/>
      <c r="E420" s="27"/>
      <c r="F420" s="27" t="str">
        <f>'0422Master'!F5</f>
        <v>Burgeon IT Services Pvt.Ltd.</v>
      </c>
      <c r="G420" s="27"/>
      <c r="H420" s="27"/>
      <c r="I420" s="27"/>
      <c r="J420" s="27"/>
      <c r="K420" s="27"/>
      <c r="L420" s="41"/>
    </row>
    <row r="421" spans="1:12">
      <c r="A421" s="40" t="s">
        <v>274</v>
      </c>
      <c r="B421" s="297" t="e">
        <f>'0422Master'!#REF!</f>
        <v>#REF!</v>
      </c>
      <c r="C421" s="27"/>
      <c r="D421" s="27"/>
      <c r="E421" s="27"/>
      <c r="F421" s="192" t="str">
        <f>'0422Master'!F6</f>
        <v>Siri Mansion LIGB 436 Dr.A S Rao Nagar,Hyderabad</v>
      </c>
      <c r="G421" s="192"/>
      <c r="H421" s="192"/>
      <c r="I421" s="192"/>
      <c r="J421" s="192"/>
      <c r="K421" s="192"/>
      <c r="L421" s="41"/>
    </row>
    <row r="422" spans="1:12" ht="15" customHeight="1" thickBot="1">
      <c r="A422" s="54"/>
      <c r="B422" s="52"/>
      <c r="C422" s="52"/>
      <c r="D422" s="52"/>
      <c r="E422" s="52"/>
      <c r="F422" s="52"/>
      <c r="G422" s="52"/>
      <c r="H422" s="52"/>
      <c r="I422" s="52"/>
      <c r="J422" s="52"/>
      <c r="K422" s="52"/>
      <c r="L422" s="53"/>
    </row>
    <row r="423" spans="1:12" ht="15.75" thickBot="1">
      <c r="A423" s="27"/>
      <c r="B423" s="193"/>
      <c r="C423" s="412"/>
      <c r="D423" s="412"/>
      <c r="E423" s="412"/>
      <c r="F423" s="412"/>
      <c r="G423" s="412"/>
      <c r="H423" s="411"/>
      <c r="I423" s="411"/>
      <c r="J423" s="410"/>
      <c r="K423" s="411"/>
      <c r="L423" s="411"/>
    </row>
    <row r="424" spans="1:12" ht="32.25">
      <c r="A424" s="96"/>
      <c r="B424" s="735" t="s">
        <v>241</v>
      </c>
      <c r="C424" s="736"/>
      <c r="D424" s="736"/>
      <c r="E424" s="736"/>
      <c r="F424" s="736"/>
      <c r="G424" s="736"/>
      <c r="H424" s="736"/>
      <c r="I424" s="736"/>
      <c r="J424" s="736"/>
      <c r="K424" s="736"/>
      <c r="L424" s="737"/>
    </row>
    <row r="425" spans="1:12" ht="23.25">
      <c r="A425" s="40"/>
      <c r="B425" s="738" t="s">
        <v>242</v>
      </c>
      <c r="C425" s="738"/>
      <c r="D425" s="738"/>
      <c r="E425" s="738"/>
      <c r="F425" s="738"/>
      <c r="G425" s="738"/>
      <c r="H425" s="738"/>
      <c r="I425" s="738"/>
      <c r="J425" s="738"/>
      <c r="K425" s="738"/>
      <c r="L425" s="739"/>
    </row>
    <row r="426" spans="1:12" ht="16.5" thickBot="1">
      <c r="A426" s="54"/>
      <c r="B426" s="745" t="s">
        <v>243</v>
      </c>
      <c r="C426" s="745"/>
      <c r="D426" s="745"/>
      <c r="E426" s="745"/>
      <c r="F426" s="745"/>
      <c r="G426" s="745"/>
      <c r="H426" s="745"/>
      <c r="I426" s="745"/>
      <c r="J426" s="745"/>
      <c r="K426" s="745"/>
      <c r="L426" s="746"/>
    </row>
    <row r="427" spans="1:12">
      <c r="A427" s="40"/>
      <c r="B427" s="747" t="s">
        <v>92</v>
      </c>
      <c r="C427" s="747"/>
      <c r="D427" s="747"/>
      <c r="E427" s="747"/>
      <c r="F427" s="747"/>
      <c r="G427" s="27"/>
      <c r="H427" s="748" t="s">
        <v>93</v>
      </c>
      <c r="I427" s="748"/>
      <c r="J427" s="748"/>
      <c r="K427" s="748"/>
      <c r="L427" s="749"/>
    </row>
    <row r="428" spans="1:12" ht="15.75" thickBot="1">
      <c r="A428" s="40"/>
      <c r="B428" s="747"/>
      <c r="C428" s="747"/>
      <c r="D428" s="747"/>
      <c r="E428" s="747"/>
      <c r="F428" s="747"/>
      <c r="G428" s="27"/>
      <c r="H428" s="748"/>
      <c r="I428" s="748"/>
      <c r="J428" s="748"/>
      <c r="K428" s="748"/>
      <c r="L428" s="749"/>
    </row>
    <row r="429" spans="1:12">
      <c r="A429" s="40"/>
      <c r="B429" s="96"/>
      <c r="C429" s="97"/>
      <c r="D429" s="97"/>
      <c r="E429" s="97"/>
      <c r="F429" s="98"/>
      <c r="G429" s="27"/>
      <c r="H429" s="96"/>
      <c r="I429" s="97"/>
      <c r="J429" s="97"/>
      <c r="K429" s="97"/>
      <c r="L429" s="98"/>
    </row>
    <row r="430" spans="1:12">
      <c r="A430" s="40"/>
      <c r="B430" s="102" t="str">
        <f>'0422Master'!F5</f>
        <v>Burgeon IT Services Pvt.Ltd.</v>
      </c>
      <c r="C430" s="100"/>
      <c r="D430" s="100"/>
      <c r="E430" s="100"/>
      <c r="F430" s="101"/>
      <c r="G430" s="27"/>
      <c r="H430" s="102" t="str">
        <f>'0422Master'!AO5</f>
        <v>Burgeon IT Services Pvt.Ltd.</v>
      </c>
      <c r="I430" s="100"/>
      <c r="J430" s="100"/>
      <c r="K430" s="100"/>
      <c r="L430" s="101"/>
    </row>
    <row r="431" spans="1:12">
      <c r="A431" s="40"/>
      <c r="B431" s="40"/>
      <c r="C431" s="100"/>
      <c r="D431" s="100"/>
      <c r="E431" s="100"/>
      <c r="F431" s="101"/>
      <c r="G431" s="27"/>
      <c r="H431" s="40"/>
      <c r="I431" s="100"/>
      <c r="J431" s="100"/>
      <c r="K431" s="100"/>
      <c r="L431" s="101"/>
    </row>
    <row r="432" spans="1:12">
      <c r="A432" s="40"/>
      <c r="B432" s="102" t="str">
        <f>'0422Master'!F6</f>
        <v>Siri Mansion LIGB 436 Dr.A S Rao Nagar,Hyderabad</v>
      </c>
      <c r="C432" s="100"/>
      <c r="D432" s="100"/>
      <c r="E432" s="100"/>
      <c r="F432" s="101"/>
      <c r="G432" s="27"/>
      <c r="H432" s="102" t="str">
        <f>'0422Master'!AO6</f>
        <v>Siri Mansion LIGB 436 Dr.A S Rao Nagar,Hyderabad</v>
      </c>
      <c r="I432" s="100"/>
      <c r="J432" s="100"/>
      <c r="K432" s="100"/>
      <c r="L432" s="101"/>
    </row>
    <row r="433" spans="1:12" ht="15.75" thickBot="1">
      <c r="A433" s="40"/>
      <c r="B433" s="103"/>
      <c r="C433" s="55"/>
      <c r="D433" s="55"/>
      <c r="E433" s="55"/>
      <c r="F433" s="104"/>
      <c r="G433" s="27"/>
      <c r="H433" s="103"/>
      <c r="I433" s="55"/>
      <c r="J433" s="55"/>
      <c r="K433" s="55"/>
      <c r="L433" s="104"/>
    </row>
    <row r="434" spans="1:12">
      <c r="A434" s="40"/>
      <c r="B434" s="27"/>
      <c r="C434" s="27"/>
      <c r="D434" s="27"/>
      <c r="E434" s="27"/>
      <c r="F434" s="27"/>
      <c r="G434" s="27"/>
      <c r="H434" s="27"/>
      <c r="I434" s="27"/>
      <c r="J434" s="27" t="s">
        <v>94</v>
      </c>
      <c r="K434" s="27"/>
      <c r="L434" s="41"/>
    </row>
    <row r="435" spans="1:12">
      <c r="A435" s="40"/>
      <c r="B435" s="664" t="s">
        <v>95</v>
      </c>
      <c r="C435" s="664"/>
      <c r="D435" s="664"/>
      <c r="E435" s="664"/>
      <c r="F435" s="664"/>
      <c r="G435" s="27"/>
      <c r="H435" s="664" t="s">
        <v>5</v>
      </c>
      <c r="I435" s="664"/>
      <c r="J435" s="664"/>
      <c r="K435" s="664"/>
      <c r="L435" s="750"/>
    </row>
    <row r="436" spans="1:12" ht="15.75" thickBot="1">
      <c r="A436" s="40"/>
      <c r="B436" s="27"/>
      <c r="C436" s="27"/>
      <c r="D436" s="27"/>
      <c r="E436" s="27"/>
      <c r="F436" s="27"/>
      <c r="G436" s="27"/>
      <c r="H436" s="27"/>
      <c r="I436" s="27"/>
      <c r="J436" s="27"/>
      <c r="K436" s="27"/>
      <c r="L436" s="41"/>
    </row>
    <row r="437" spans="1:12" ht="15" customHeight="1">
      <c r="A437" s="40"/>
      <c r="B437" s="96"/>
      <c r="C437" s="97"/>
      <c r="D437" s="97"/>
      <c r="E437" s="97"/>
      <c r="F437" s="98"/>
      <c r="G437" s="27"/>
      <c r="H437" s="105"/>
      <c r="I437" s="106"/>
      <c r="J437" s="106"/>
      <c r="K437" s="106"/>
      <c r="L437" s="107"/>
    </row>
    <row r="438" spans="1:12" ht="15" customHeight="1">
      <c r="A438" s="40"/>
      <c r="B438" s="99"/>
      <c r="C438" s="100"/>
      <c r="D438" s="100"/>
      <c r="E438" s="100"/>
      <c r="F438" s="101"/>
      <c r="G438" s="27"/>
      <c r="H438" s="102" t="str">
        <f>'0422Master'!AO8</f>
        <v>INFOSYS LIMITED, IL BHUBANESHWAR-STP,UNIT-II</v>
      </c>
      <c r="I438" s="108"/>
      <c r="J438" s="108"/>
      <c r="K438" s="108"/>
      <c r="L438" s="109"/>
    </row>
    <row r="439" spans="1:12" ht="15" customHeight="1">
      <c r="A439" s="40"/>
      <c r="B439" s="102" t="str">
        <f>'0422Master'!F8</f>
        <v>IT SUPPORTIVE SERVICES &amp; BHUBANESWAR</v>
      </c>
      <c r="C439" s="100"/>
      <c r="D439" s="100"/>
      <c r="E439" s="100"/>
      <c r="F439" s="101"/>
      <c r="G439" s="27"/>
      <c r="H439" s="102"/>
      <c r="I439" s="108"/>
      <c r="J439" s="108"/>
      <c r="K439" s="108"/>
      <c r="L439" s="109"/>
    </row>
    <row r="440" spans="1:12" ht="15" customHeight="1">
      <c r="A440" s="40"/>
      <c r="B440" s="99"/>
      <c r="C440" s="100"/>
      <c r="D440" s="100"/>
      <c r="E440" s="100"/>
      <c r="F440" s="101"/>
      <c r="G440" s="27"/>
      <c r="H440" s="102" t="str">
        <f>'0422Master'!AO10</f>
        <v>Plot No E/4,Info city,Chandaka Industrial, Bhubaneswar,Odisha - 751024</v>
      </c>
      <c r="I440" s="108"/>
      <c r="J440" s="108"/>
      <c r="K440" s="108"/>
      <c r="L440" s="109"/>
    </row>
    <row r="441" spans="1:12" ht="15" customHeight="1" thickBot="1">
      <c r="A441" s="40"/>
      <c r="B441" s="103"/>
      <c r="C441" s="55"/>
      <c r="D441" s="55"/>
      <c r="E441" s="55"/>
      <c r="F441" s="104"/>
      <c r="G441" s="27"/>
      <c r="H441" s="110"/>
      <c r="I441" s="111"/>
      <c r="J441" s="111"/>
      <c r="K441" s="111"/>
      <c r="L441" s="112"/>
    </row>
    <row r="442" spans="1:12" ht="27.95" customHeight="1">
      <c r="A442" s="113"/>
      <c r="B442" s="744" t="s">
        <v>244</v>
      </c>
      <c r="C442" s="744"/>
      <c r="D442" s="744"/>
      <c r="E442" s="744"/>
      <c r="F442" s="744"/>
      <c r="G442" s="744"/>
      <c r="H442" s="741" t="e">
        <f>'0422Master'!#REF!</f>
        <v>#REF!</v>
      </c>
      <c r="I442" s="742"/>
      <c r="J442" s="742"/>
      <c r="K442" s="742"/>
      <c r="L442" s="743"/>
    </row>
    <row r="443" spans="1:12" ht="27.95" customHeight="1">
      <c r="A443" s="113"/>
      <c r="B443" s="740" t="s">
        <v>245</v>
      </c>
      <c r="C443" s="740"/>
      <c r="D443" s="740"/>
      <c r="E443" s="740"/>
      <c r="F443" s="740"/>
      <c r="G443" s="740"/>
      <c r="H443" s="741" t="e">
        <f>'0422Master'!#REF!</f>
        <v>#REF!</v>
      </c>
      <c r="I443" s="742"/>
      <c r="J443" s="742"/>
      <c r="K443" s="742"/>
      <c r="L443" s="743"/>
    </row>
    <row r="444" spans="1:12" ht="27.95" customHeight="1">
      <c r="A444" s="113"/>
      <c r="B444" s="744" t="s">
        <v>246</v>
      </c>
      <c r="C444" s="744"/>
      <c r="D444" s="744"/>
      <c r="E444" s="744"/>
      <c r="F444" s="744"/>
      <c r="G444" s="744"/>
      <c r="H444" s="741" t="e">
        <f>'0422Master'!#REF!</f>
        <v>#REF!</v>
      </c>
      <c r="I444" s="742"/>
      <c r="J444" s="742"/>
      <c r="K444" s="742"/>
      <c r="L444" s="743"/>
    </row>
    <row r="445" spans="1:12" ht="27.95" customHeight="1">
      <c r="A445" s="113"/>
      <c r="B445" s="744" t="s">
        <v>247</v>
      </c>
      <c r="C445" s="744"/>
      <c r="D445" s="744"/>
      <c r="E445" s="744"/>
      <c r="F445" s="744"/>
      <c r="G445" s="744"/>
      <c r="H445" s="837" t="e">
        <f>'0422Master'!#REF!</f>
        <v>#REF!</v>
      </c>
      <c r="I445" s="742"/>
      <c r="J445" s="742"/>
      <c r="K445" s="742"/>
      <c r="L445" s="743"/>
    </row>
    <row r="446" spans="1:12" ht="27.95" customHeight="1">
      <c r="A446" s="113"/>
      <c r="B446" s="114" t="s">
        <v>248</v>
      </c>
      <c r="C446" s="221"/>
      <c r="D446" s="221"/>
      <c r="E446" s="221"/>
      <c r="F446" s="221"/>
      <c r="G446" s="221"/>
      <c r="H446" s="838" t="s">
        <v>249</v>
      </c>
      <c r="I446" s="839"/>
      <c r="J446" s="839"/>
      <c r="K446" s="839"/>
      <c r="L446" s="840"/>
    </row>
    <row r="447" spans="1:12" ht="27.95" customHeight="1">
      <c r="A447" s="113"/>
      <c r="B447" s="114" t="s">
        <v>250</v>
      </c>
      <c r="C447" s="221"/>
      <c r="D447" s="221"/>
      <c r="E447" s="221"/>
      <c r="F447" s="221"/>
      <c r="G447" s="221"/>
      <c r="H447" s="418"/>
      <c r="I447" s="414"/>
      <c r="J447" s="189"/>
      <c r="K447" s="414"/>
      <c r="L447" s="415"/>
    </row>
    <row r="448" spans="1:12" ht="27.95" customHeight="1">
      <c r="A448" s="113"/>
      <c r="B448" s="755" t="s">
        <v>251</v>
      </c>
      <c r="C448" s="755"/>
      <c r="D448" s="755"/>
      <c r="E448" s="755"/>
      <c r="F448" s="755"/>
      <c r="G448" s="755"/>
      <c r="H448" s="756" t="e">
        <f>'0422Master'!#REF!</f>
        <v>#REF!</v>
      </c>
      <c r="I448" s="757"/>
      <c r="J448" s="757"/>
      <c r="K448" s="757"/>
      <c r="L448" s="758"/>
    </row>
    <row r="449" spans="1:12" ht="27.95" customHeight="1">
      <c r="A449" s="113"/>
      <c r="B449" s="744"/>
      <c r="C449" s="744"/>
      <c r="D449" s="744"/>
      <c r="E449" s="744"/>
      <c r="F449" s="744"/>
      <c r="G449" s="744"/>
      <c r="H449" s="751" t="e">
        <f>'0422Master'!#REF!</f>
        <v>#REF!</v>
      </c>
      <c r="I449" s="742"/>
      <c r="J449" s="742"/>
      <c r="K449" s="742"/>
      <c r="L449" s="743"/>
    </row>
    <row r="450" spans="1:12" ht="27.95" customHeight="1">
      <c r="A450" s="40"/>
      <c r="B450" s="744"/>
      <c r="C450" s="744"/>
      <c r="D450" s="744"/>
      <c r="E450" s="744"/>
      <c r="F450" s="744"/>
      <c r="G450" s="744"/>
      <c r="H450" s="741" t="e">
        <f>'0422Master'!#REF!</f>
        <v>#REF!</v>
      </c>
      <c r="I450" s="742"/>
      <c r="J450" s="742"/>
      <c r="K450" s="742"/>
      <c r="L450" s="743"/>
    </row>
    <row r="451" spans="1:12" ht="27.95" customHeight="1">
      <c r="A451" s="40"/>
      <c r="B451" s="114" t="s">
        <v>252</v>
      </c>
      <c r="C451" s="221"/>
      <c r="D451" s="221"/>
      <c r="E451" s="221"/>
      <c r="F451" s="221"/>
      <c r="G451" s="222"/>
      <c r="H451" s="829" t="e">
        <f>'0422Master'!#REF!</f>
        <v>#REF!</v>
      </c>
      <c r="I451" s="830"/>
      <c r="J451" s="830"/>
      <c r="K451" s="830"/>
      <c r="L451" s="831"/>
    </row>
    <row r="452" spans="1:12" ht="27.95" customHeight="1">
      <c r="A452" s="40"/>
      <c r="B452" s="114"/>
      <c r="C452" s="221"/>
      <c r="D452" s="221"/>
      <c r="E452" s="221"/>
      <c r="F452" s="221"/>
      <c r="G452" s="222"/>
      <c r="H452" s="829" t="e">
        <f>'0422Master'!#REF!</f>
        <v>#REF!</v>
      </c>
      <c r="I452" s="830"/>
      <c r="J452" s="830"/>
      <c r="K452" s="830"/>
      <c r="L452" s="831"/>
    </row>
    <row r="453" spans="1:12" ht="27.95" customHeight="1">
      <c r="A453" s="40"/>
      <c r="B453" s="114"/>
      <c r="C453" s="221"/>
      <c r="D453" s="221"/>
      <c r="E453" s="221"/>
      <c r="F453" s="221"/>
      <c r="G453" s="222"/>
      <c r="H453" s="829" t="e">
        <f>'0422Master'!#REF!</f>
        <v>#REF!</v>
      </c>
      <c r="I453" s="830"/>
      <c r="J453" s="830"/>
      <c r="K453" s="830"/>
      <c r="L453" s="831"/>
    </row>
    <row r="454" spans="1:12" ht="27.95" customHeight="1">
      <c r="A454" s="40"/>
      <c r="B454" s="114" t="s">
        <v>253</v>
      </c>
      <c r="C454" s="221"/>
      <c r="D454" s="221"/>
      <c r="E454" s="221"/>
      <c r="F454" s="221"/>
      <c r="G454" s="222"/>
      <c r="H454" s="418"/>
      <c r="I454" s="414"/>
      <c r="J454" s="414"/>
      <c r="K454" s="414"/>
      <c r="L454" s="415"/>
    </row>
    <row r="455" spans="1:12">
      <c r="A455" s="40"/>
      <c r="B455" s="117" t="s">
        <v>254</v>
      </c>
      <c r="C455" s="179"/>
      <c r="D455" s="179"/>
      <c r="E455" s="179"/>
      <c r="F455" s="179"/>
      <c r="G455" s="180"/>
      <c r="H455" s="181"/>
      <c r="I455" s="182"/>
      <c r="J455" s="183"/>
      <c r="K455" s="182"/>
      <c r="L455" s="184"/>
    </row>
    <row r="456" spans="1:12" ht="45">
      <c r="A456" s="40"/>
      <c r="B456" s="114" t="s">
        <v>255</v>
      </c>
      <c r="C456" s="221"/>
      <c r="D456" s="414"/>
      <c r="E456" s="413" t="s">
        <v>256</v>
      </c>
      <c r="F456" s="80"/>
      <c r="G456" s="832" t="s">
        <v>257</v>
      </c>
      <c r="H456" s="833"/>
      <c r="I456" s="417" t="s">
        <v>258</v>
      </c>
      <c r="J456" s="477" t="s">
        <v>259</v>
      </c>
      <c r="K456" s="832" t="s">
        <v>260</v>
      </c>
      <c r="L456" s="834"/>
    </row>
    <row r="457" spans="1:12">
      <c r="A457" s="40"/>
      <c r="B457" s="187">
        <v>1</v>
      </c>
      <c r="C457" s="221"/>
      <c r="D457" s="221"/>
      <c r="E457" s="188">
        <v>2</v>
      </c>
      <c r="F457" s="222"/>
      <c r="G457" s="188">
        <v>3</v>
      </c>
      <c r="H457" s="419"/>
      <c r="I457" s="419">
        <v>4</v>
      </c>
      <c r="J457" s="448">
        <v>5</v>
      </c>
      <c r="K457" s="115"/>
      <c r="L457" s="116">
        <v>6</v>
      </c>
    </row>
    <row r="458" spans="1:12">
      <c r="A458" s="40"/>
      <c r="B458" s="298" t="e">
        <f>'0422Master'!#REF!</f>
        <v>#REF!</v>
      </c>
      <c r="C458" s="202"/>
      <c r="D458" s="203"/>
      <c r="E458" s="299" t="s">
        <v>261</v>
      </c>
      <c r="F458" s="203"/>
      <c r="G458" s="299" t="s">
        <v>262</v>
      </c>
      <c r="H458" s="80"/>
      <c r="I458" s="308" t="s">
        <v>263</v>
      </c>
      <c r="J458" s="478">
        <v>1</v>
      </c>
      <c r="K458" s="835" t="s">
        <v>109</v>
      </c>
      <c r="L458" s="836"/>
    </row>
    <row r="459" spans="1:12">
      <c r="A459" s="40"/>
      <c r="B459" s="114"/>
      <c r="C459" s="202"/>
      <c r="D459" s="203"/>
      <c r="E459" s="204"/>
      <c r="F459" s="203"/>
      <c r="G459" s="204"/>
      <c r="H459" s="80"/>
      <c r="I459" s="308"/>
      <c r="J459" s="308"/>
      <c r="K459" s="205"/>
      <c r="L459" s="80"/>
    </row>
    <row r="460" spans="1:12" ht="15" customHeight="1">
      <c r="A460" s="40"/>
      <c r="B460" s="114"/>
      <c r="C460" s="202"/>
      <c r="D460" s="203"/>
      <c r="E460" s="204"/>
      <c r="F460" s="203"/>
      <c r="G460" s="204"/>
      <c r="H460" s="80"/>
      <c r="I460" s="308"/>
      <c r="J460" s="308"/>
      <c r="K460" s="205"/>
      <c r="L460" s="80"/>
    </row>
    <row r="461" spans="1:12">
      <c r="A461" s="40"/>
      <c r="B461" s="86"/>
      <c r="C461" s="46"/>
      <c r="D461" s="87"/>
      <c r="E461" s="204"/>
      <c r="F461" s="203"/>
      <c r="G461" s="204"/>
      <c r="H461" s="80"/>
      <c r="I461" s="308"/>
      <c r="J461" s="308"/>
      <c r="K461" s="205"/>
      <c r="L461" s="80"/>
    </row>
    <row r="462" spans="1:12" ht="24.95" customHeight="1">
      <c r="A462" s="40"/>
      <c r="B462" s="27" t="s">
        <v>264</v>
      </c>
      <c r="C462" s="27"/>
      <c r="D462" s="27"/>
      <c r="E462" s="27"/>
      <c r="F462" s="27"/>
      <c r="G462" s="27"/>
      <c r="H462" s="27"/>
      <c r="I462" s="27"/>
      <c r="J462" s="27"/>
      <c r="K462" s="27"/>
      <c r="L462" s="41"/>
    </row>
    <row r="463" spans="1:12" ht="24.95" customHeight="1">
      <c r="A463" s="40"/>
      <c r="B463" s="27" t="s">
        <v>265</v>
      </c>
      <c r="C463" s="27"/>
      <c r="D463" s="27"/>
      <c r="E463" s="27"/>
      <c r="F463" s="27"/>
      <c r="G463" s="27"/>
      <c r="H463" s="27"/>
      <c r="I463" s="27"/>
      <c r="J463" s="27"/>
      <c r="K463" s="27"/>
      <c r="L463" s="41"/>
    </row>
    <row r="464" spans="1:12" ht="24.95" customHeight="1">
      <c r="A464" s="40"/>
      <c r="B464" s="27" t="s">
        <v>266</v>
      </c>
      <c r="C464" s="27"/>
      <c r="D464" s="27"/>
      <c r="E464" s="27"/>
      <c r="F464" s="27"/>
      <c r="G464" s="27"/>
      <c r="H464" s="27"/>
      <c r="I464" s="27"/>
      <c r="J464" s="27"/>
      <c r="K464" s="27"/>
      <c r="L464" s="41"/>
    </row>
    <row r="465" spans="1:12">
      <c r="A465" s="40"/>
      <c r="B465" s="27"/>
      <c r="C465" s="27"/>
      <c r="D465" s="27"/>
      <c r="E465" s="27"/>
      <c r="F465" s="27"/>
      <c r="G465" s="27"/>
      <c r="H465" s="27"/>
      <c r="I465" s="27"/>
      <c r="J465" s="27"/>
      <c r="K465" s="27"/>
      <c r="L465" s="41"/>
    </row>
    <row r="466" spans="1:12">
      <c r="A466" s="40"/>
      <c r="B466" s="27"/>
      <c r="C466" s="27"/>
      <c r="D466" s="27"/>
      <c r="E466" s="27"/>
      <c r="F466" s="27"/>
      <c r="G466" s="27"/>
      <c r="H466" s="27"/>
      <c r="I466" s="27" t="s">
        <v>267</v>
      </c>
      <c r="J466" s="27"/>
      <c r="K466" s="27"/>
      <c r="L466" s="41"/>
    </row>
    <row r="467" spans="1:12" ht="18.75">
      <c r="A467" s="40"/>
      <c r="B467" s="27"/>
      <c r="C467" s="27"/>
      <c r="D467" s="27"/>
      <c r="E467" s="27"/>
      <c r="F467" s="190" t="s">
        <v>268</v>
      </c>
      <c r="G467" s="27"/>
      <c r="H467" s="27"/>
      <c r="I467" s="27"/>
      <c r="J467" s="27"/>
      <c r="K467" s="27"/>
      <c r="L467" s="41"/>
    </row>
    <row r="468" spans="1:12">
      <c r="A468" s="40" t="s">
        <v>269</v>
      </c>
      <c r="B468" s="27"/>
      <c r="C468" s="27"/>
      <c r="D468" s="27"/>
      <c r="E468" s="27"/>
      <c r="F468" s="27"/>
      <c r="G468" s="27"/>
      <c r="H468" s="27"/>
      <c r="I468" s="27"/>
      <c r="J468" s="27"/>
      <c r="K468" s="243" t="e">
        <f>'0422Master'!#REF!</f>
        <v>#REF!</v>
      </c>
      <c r="L468" s="41"/>
    </row>
    <row r="469" spans="1:12">
      <c r="A469" s="40" t="s">
        <v>270</v>
      </c>
      <c r="B469" s="27"/>
      <c r="C469" s="27"/>
      <c r="D469" s="27"/>
      <c r="E469" s="27"/>
      <c r="F469" s="27"/>
      <c r="G469" s="27"/>
      <c r="H469" s="27"/>
      <c r="I469" s="27"/>
      <c r="J469" s="27"/>
      <c r="K469" s="27"/>
      <c r="L469" s="41"/>
    </row>
    <row r="470" spans="1:12">
      <c r="A470" s="40"/>
      <c r="B470" s="27"/>
      <c r="C470" s="27"/>
      <c r="D470" s="27"/>
      <c r="E470" s="27"/>
      <c r="F470" s="27"/>
      <c r="G470" s="27"/>
      <c r="H470" s="27"/>
      <c r="I470" s="27"/>
      <c r="J470" s="27"/>
      <c r="K470" s="27"/>
      <c r="L470" s="41"/>
    </row>
    <row r="471" spans="1:12">
      <c r="A471" s="40"/>
      <c r="B471" s="27"/>
      <c r="C471" s="27"/>
      <c r="D471" s="27"/>
      <c r="E471" s="27"/>
      <c r="F471" s="27"/>
      <c r="G471" s="27"/>
      <c r="H471" s="27"/>
      <c r="I471" s="27"/>
      <c r="J471" s="27"/>
      <c r="K471" s="27"/>
      <c r="L471" s="41"/>
    </row>
    <row r="472" spans="1:12">
      <c r="A472" s="40"/>
      <c r="B472" s="27"/>
      <c r="C472" s="27"/>
      <c r="D472" s="27"/>
      <c r="E472" s="27"/>
      <c r="F472" s="27" t="s">
        <v>271</v>
      </c>
      <c r="G472" s="27"/>
      <c r="H472" s="27"/>
      <c r="I472" s="27"/>
      <c r="J472" s="27"/>
      <c r="K472" s="27"/>
      <c r="L472" s="41"/>
    </row>
    <row r="473" spans="1:12">
      <c r="A473" s="40" t="s">
        <v>272</v>
      </c>
      <c r="B473" s="27" t="s">
        <v>273</v>
      </c>
      <c r="C473" s="27"/>
      <c r="D473" s="27"/>
      <c r="E473" s="27"/>
      <c r="F473" s="27" t="str">
        <f>'0422Master'!F5</f>
        <v>Burgeon IT Services Pvt.Ltd.</v>
      </c>
      <c r="G473" s="27"/>
      <c r="H473" s="27"/>
      <c r="I473" s="27"/>
      <c r="J473" s="27"/>
      <c r="K473" s="27"/>
      <c r="L473" s="41"/>
    </row>
    <row r="474" spans="1:12">
      <c r="A474" s="40" t="s">
        <v>274</v>
      </c>
      <c r="B474" s="297" t="e">
        <f>'0422Master'!#REF!</f>
        <v>#REF!</v>
      </c>
      <c r="C474" s="27"/>
      <c r="D474" s="27"/>
      <c r="E474" s="27"/>
      <c r="F474" s="192" t="str">
        <f>'0422Master'!F6</f>
        <v>Siri Mansion LIGB 436 Dr.A S Rao Nagar,Hyderabad</v>
      </c>
      <c r="G474" s="192"/>
      <c r="H474" s="192"/>
      <c r="I474" s="192"/>
      <c r="J474" s="192"/>
      <c r="K474" s="192"/>
      <c r="L474" s="41"/>
    </row>
    <row r="475" spans="1:12">
      <c r="A475" s="40"/>
      <c r="B475" s="297"/>
      <c r="C475" s="27"/>
      <c r="D475" s="27"/>
      <c r="E475" s="27"/>
      <c r="F475" s="192"/>
      <c r="G475" s="192"/>
      <c r="H475" s="192"/>
      <c r="I475" s="192"/>
      <c r="J475" s="192"/>
      <c r="K475" s="192"/>
      <c r="L475" s="41"/>
    </row>
    <row r="476" spans="1:12">
      <c r="A476" s="40"/>
      <c r="B476" s="297"/>
      <c r="C476" s="27"/>
      <c r="D476" s="27"/>
      <c r="E476" s="27"/>
      <c r="F476" s="192"/>
      <c r="G476" s="192"/>
      <c r="H476" s="192"/>
      <c r="I476" s="192"/>
      <c r="J476" s="192"/>
      <c r="K476" s="192"/>
      <c r="L476" s="41"/>
    </row>
    <row r="477" spans="1:12" ht="15.75" thickBot="1">
      <c r="A477" s="54"/>
      <c r="B477" s="52"/>
      <c r="C477" s="52"/>
      <c r="D477" s="52"/>
      <c r="E477" s="52"/>
      <c r="F477" s="52"/>
      <c r="G477" s="52"/>
      <c r="H477" s="52"/>
      <c r="I477" s="52"/>
      <c r="J477" s="52"/>
      <c r="K477" s="52"/>
      <c r="L477" s="53"/>
    </row>
    <row r="478" spans="1:12" ht="27.95" customHeight="1">
      <c r="A478" s="96"/>
      <c r="B478" s="735" t="s">
        <v>241</v>
      </c>
      <c r="C478" s="736"/>
      <c r="D478" s="736"/>
      <c r="E478" s="736"/>
      <c r="F478" s="736"/>
      <c r="G478" s="736"/>
      <c r="H478" s="736"/>
      <c r="I478" s="736"/>
      <c r="J478" s="736"/>
      <c r="K478" s="736"/>
      <c r="L478" s="737"/>
    </row>
    <row r="479" spans="1:12" ht="27.95" customHeight="1">
      <c r="A479" s="40"/>
      <c r="B479" s="738" t="s">
        <v>242</v>
      </c>
      <c r="C479" s="738"/>
      <c r="D479" s="738"/>
      <c r="E479" s="738"/>
      <c r="F479" s="738"/>
      <c r="G479" s="738"/>
      <c r="H479" s="738"/>
      <c r="I479" s="738"/>
      <c r="J479" s="738"/>
      <c r="K479" s="738"/>
      <c r="L479" s="739"/>
    </row>
    <row r="480" spans="1:12" ht="27.95" customHeight="1" thickBot="1">
      <c r="A480" s="54"/>
      <c r="B480" s="745" t="s">
        <v>243</v>
      </c>
      <c r="C480" s="745"/>
      <c r="D480" s="745"/>
      <c r="E480" s="745"/>
      <c r="F480" s="745"/>
      <c r="G480" s="745"/>
      <c r="H480" s="745"/>
      <c r="I480" s="745"/>
      <c r="J480" s="745"/>
      <c r="K480" s="745"/>
      <c r="L480" s="746"/>
    </row>
    <row r="481" spans="1:12" ht="27.95" customHeight="1">
      <c r="A481" s="40"/>
      <c r="B481" s="747" t="s">
        <v>92</v>
      </c>
      <c r="C481" s="747"/>
      <c r="D481" s="747"/>
      <c r="E481" s="747"/>
      <c r="F481" s="747"/>
      <c r="G481" s="27"/>
      <c r="H481" s="748" t="s">
        <v>93</v>
      </c>
      <c r="I481" s="748"/>
      <c r="J481" s="748"/>
      <c r="K481" s="748"/>
      <c r="L481" s="749"/>
    </row>
    <row r="482" spans="1:12" ht="27.95" customHeight="1" thickBot="1">
      <c r="A482" s="40"/>
      <c r="B482" s="747"/>
      <c r="C482" s="747"/>
      <c r="D482" s="747"/>
      <c r="E482" s="747"/>
      <c r="F482" s="747"/>
      <c r="G482" s="27"/>
      <c r="H482" s="748"/>
      <c r="I482" s="748"/>
      <c r="J482" s="748"/>
      <c r="K482" s="748"/>
      <c r="L482" s="749"/>
    </row>
    <row r="483" spans="1:12" ht="27.95" customHeight="1">
      <c r="A483" s="40"/>
      <c r="B483" s="96"/>
      <c r="C483" s="97"/>
      <c r="D483" s="97"/>
      <c r="E483" s="97"/>
      <c r="F483" s="98"/>
      <c r="G483" s="27"/>
      <c r="H483" s="96"/>
      <c r="I483" s="97"/>
      <c r="J483" s="97"/>
      <c r="K483" s="97"/>
      <c r="L483" s="98"/>
    </row>
    <row r="484" spans="1:12" ht="27.95" customHeight="1">
      <c r="A484" s="40"/>
      <c r="B484" s="102">
        <f>'04-22M Roll'!D467</f>
        <v>0</v>
      </c>
      <c r="C484" s="100"/>
      <c r="D484" s="100"/>
      <c r="E484" s="100"/>
      <c r="F484" s="101"/>
      <c r="G484" s="27"/>
      <c r="H484" s="102">
        <f>'04-22M Roll'!Z467</f>
        <v>0</v>
      </c>
      <c r="I484" s="100"/>
      <c r="J484" s="100"/>
      <c r="K484" s="100"/>
      <c r="L484" s="101"/>
    </row>
    <row r="485" spans="1:12" ht="27.95" customHeight="1">
      <c r="A485" s="40"/>
      <c r="B485" s="40"/>
      <c r="C485" s="100"/>
      <c r="D485" s="100"/>
      <c r="E485" s="100"/>
      <c r="F485" s="101"/>
      <c r="G485" s="27"/>
      <c r="H485" s="40"/>
      <c r="I485" s="100"/>
      <c r="J485" s="100"/>
      <c r="K485" s="100"/>
      <c r="L485" s="101"/>
    </row>
    <row r="486" spans="1:12" ht="27.95" customHeight="1">
      <c r="A486" s="40"/>
      <c r="B486" s="102">
        <f>'04-22M Roll'!D468</f>
        <v>0</v>
      </c>
      <c r="C486" s="100"/>
      <c r="D486" s="100"/>
      <c r="E486" s="100"/>
      <c r="F486" s="101"/>
      <c r="G486" s="27"/>
      <c r="H486" s="102">
        <f>'04-22M Roll'!Z468</f>
        <v>0</v>
      </c>
      <c r="I486" s="100"/>
      <c r="J486" s="100"/>
      <c r="K486" s="100"/>
      <c r="L486" s="101"/>
    </row>
    <row r="487" spans="1:12" ht="27.95" customHeight="1" thickBot="1">
      <c r="A487" s="40"/>
      <c r="B487" s="103"/>
      <c r="C487" s="55"/>
      <c r="D487" s="55"/>
      <c r="E487" s="55"/>
      <c r="F487" s="104"/>
      <c r="G487" s="27"/>
      <c r="H487" s="103"/>
      <c r="I487" s="55"/>
      <c r="J487" s="55"/>
      <c r="K487" s="55"/>
      <c r="L487" s="104"/>
    </row>
    <row r="488" spans="1:12" ht="27.95" customHeight="1">
      <c r="A488" s="40"/>
      <c r="B488" s="27"/>
      <c r="C488" s="27"/>
      <c r="D488" s="27"/>
      <c r="E488" s="27"/>
      <c r="F488" s="27"/>
      <c r="G488" s="27"/>
      <c r="H488" s="27"/>
      <c r="I488" s="27"/>
      <c r="J488" s="27" t="s">
        <v>94</v>
      </c>
      <c r="K488" s="27"/>
      <c r="L488" s="41"/>
    </row>
    <row r="489" spans="1:12" ht="27.95" customHeight="1">
      <c r="A489" s="40"/>
      <c r="B489" s="664" t="s">
        <v>95</v>
      </c>
      <c r="C489" s="664"/>
      <c r="D489" s="664"/>
      <c r="E489" s="664"/>
      <c r="F489" s="664"/>
      <c r="G489" s="27"/>
      <c r="H489" s="664" t="s">
        <v>5</v>
      </c>
      <c r="I489" s="664"/>
      <c r="J489" s="664"/>
      <c r="K489" s="664"/>
      <c r="L489" s="750"/>
    </row>
    <row r="490" spans="1:12" ht="27.95" customHeight="1" thickBot="1">
      <c r="A490" s="40"/>
      <c r="B490" s="27"/>
      <c r="C490" s="27"/>
      <c r="D490" s="27"/>
      <c r="E490" s="27"/>
      <c r="F490" s="27"/>
      <c r="G490" s="27"/>
      <c r="H490" s="27"/>
      <c r="I490" s="27"/>
      <c r="J490" s="27"/>
      <c r="K490" s="27"/>
      <c r="L490" s="41"/>
    </row>
    <row r="491" spans="1:12" ht="15" customHeight="1">
      <c r="A491" s="40"/>
      <c r="B491" s="96"/>
      <c r="C491" s="97"/>
      <c r="D491" s="97"/>
      <c r="E491" s="97"/>
      <c r="F491" s="98"/>
      <c r="G491" s="27"/>
      <c r="H491" s="105"/>
      <c r="I491" s="106"/>
      <c r="J491" s="106"/>
      <c r="K491" s="106"/>
      <c r="L491" s="107"/>
    </row>
    <row r="492" spans="1:12" ht="15" customHeight="1">
      <c r="A492" s="40"/>
      <c r="B492" s="99"/>
      <c r="C492" s="100"/>
      <c r="D492" s="100"/>
      <c r="E492" s="100"/>
      <c r="F492" s="101"/>
      <c r="G492" s="27"/>
      <c r="H492" s="102">
        <f>'04-22M Roll'!Z471</f>
        <v>0</v>
      </c>
      <c r="I492" s="108"/>
      <c r="J492" s="108"/>
      <c r="K492" s="108"/>
      <c r="L492" s="109"/>
    </row>
    <row r="493" spans="1:12" ht="15" customHeight="1">
      <c r="A493" s="40"/>
      <c r="B493" s="102">
        <f>'04-22M Roll'!D469</f>
        <v>0</v>
      </c>
      <c r="C493" s="100"/>
      <c r="D493" s="100"/>
      <c r="E493" s="100"/>
      <c r="F493" s="101"/>
      <c r="G493" s="27"/>
      <c r="H493" s="102"/>
      <c r="I493" s="108"/>
      <c r="J493" s="108"/>
      <c r="K493" s="108"/>
      <c r="L493" s="109"/>
    </row>
    <row r="494" spans="1:12" ht="15" customHeight="1">
      <c r="A494" s="40"/>
      <c r="B494" s="99"/>
      <c r="C494" s="100"/>
      <c r="D494" s="100"/>
      <c r="E494" s="100"/>
      <c r="F494" s="101"/>
      <c r="G494" s="27"/>
      <c r="H494" s="102">
        <f>'04-22M Roll'!Z472</f>
        <v>0</v>
      </c>
      <c r="I494" s="108"/>
      <c r="J494" s="108"/>
      <c r="K494" s="108"/>
      <c r="L494" s="109"/>
    </row>
    <row r="495" spans="1:12" ht="15" customHeight="1" thickBot="1">
      <c r="A495" s="40"/>
      <c r="B495" s="103"/>
      <c r="C495" s="55"/>
      <c r="D495" s="55"/>
      <c r="E495" s="55"/>
      <c r="F495" s="104"/>
      <c r="G495" s="27"/>
      <c r="H495" s="110"/>
      <c r="I495" s="111"/>
      <c r="J495" s="111"/>
      <c r="K495" s="111"/>
      <c r="L495" s="112"/>
    </row>
    <row r="496" spans="1:12">
      <c r="A496" s="113"/>
      <c r="B496" s="744" t="s">
        <v>244</v>
      </c>
      <c r="C496" s="744"/>
      <c r="D496" s="744"/>
      <c r="E496" s="744"/>
      <c r="F496" s="744"/>
      <c r="G496" s="744"/>
      <c r="H496" s="741">
        <f>'0422Master'!B472</f>
        <v>0</v>
      </c>
      <c r="I496" s="742"/>
      <c r="J496" s="742"/>
      <c r="K496" s="742"/>
      <c r="L496" s="743"/>
    </row>
    <row r="497" spans="1:12" ht="15" customHeight="1">
      <c r="A497" s="113"/>
      <c r="B497" s="740" t="s">
        <v>245</v>
      </c>
      <c r="C497" s="740"/>
      <c r="D497" s="740"/>
      <c r="E497" s="740"/>
      <c r="F497" s="740"/>
      <c r="G497" s="740"/>
      <c r="H497" s="741">
        <f>'0422Master'!E472</f>
        <v>0</v>
      </c>
      <c r="I497" s="742"/>
      <c r="J497" s="742"/>
      <c r="K497" s="742"/>
      <c r="L497" s="743"/>
    </row>
    <row r="498" spans="1:12">
      <c r="A498" s="113"/>
      <c r="B498" s="744" t="s">
        <v>246</v>
      </c>
      <c r="C498" s="744"/>
      <c r="D498" s="744"/>
      <c r="E498" s="744"/>
      <c r="F498" s="744"/>
      <c r="G498" s="744"/>
      <c r="H498" s="741">
        <f>'0422Master'!C472</f>
        <v>0</v>
      </c>
      <c r="I498" s="742"/>
      <c r="J498" s="742"/>
      <c r="K498" s="742"/>
      <c r="L498" s="743"/>
    </row>
    <row r="499" spans="1:12">
      <c r="A499" s="113"/>
      <c r="B499" s="744" t="s">
        <v>247</v>
      </c>
      <c r="C499" s="744"/>
      <c r="D499" s="744"/>
      <c r="E499" s="744"/>
      <c r="F499" s="744"/>
      <c r="G499" s="744"/>
      <c r="H499" s="837">
        <f>'0422Master'!D472</f>
        <v>0</v>
      </c>
      <c r="I499" s="742"/>
      <c r="J499" s="742"/>
      <c r="K499" s="742"/>
      <c r="L499" s="743"/>
    </row>
    <row r="500" spans="1:12">
      <c r="A500" s="113"/>
      <c r="B500" s="114" t="s">
        <v>248</v>
      </c>
      <c r="C500" s="221"/>
      <c r="D500" s="221"/>
      <c r="E500" s="221"/>
      <c r="F500" s="221"/>
      <c r="G500" s="221"/>
      <c r="H500" s="838" t="s">
        <v>249</v>
      </c>
      <c r="I500" s="839"/>
      <c r="J500" s="839"/>
      <c r="K500" s="839"/>
      <c r="L500" s="840"/>
    </row>
    <row r="501" spans="1:12" ht="15" customHeight="1">
      <c r="A501" s="113"/>
      <c r="B501" s="114" t="s">
        <v>250</v>
      </c>
      <c r="C501" s="221"/>
      <c r="D501" s="221"/>
      <c r="E501" s="221"/>
      <c r="F501" s="221"/>
      <c r="G501" s="221"/>
      <c r="H501" s="418"/>
      <c r="I501" s="414"/>
      <c r="J501" s="189"/>
      <c r="K501" s="414"/>
      <c r="L501" s="415"/>
    </row>
    <row r="502" spans="1:12" ht="15" customHeight="1">
      <c r="A502" s="113"/>
      <c r="B502" s="755" t="s">
        <v>251</v>
      </c>
      <c r="C502" s="755"/>
      <c r="D502" s="755"/>
      <c r="E502" s="755"/>
      <c r="F502" s="755"/>
      <c r="G502" s="755"/>
      <c r="H502" s="756">
        <f>'0422Master'!G472</f>
        <v>0</v>
      </c>
      <c r="I502" s="757"/>
      <c r="J502" s="757"/>
      <c r="K502" s="757"/>
      <c r="L502" s="758"/>
    </row>
    <row r="503" spans="1:12">
      <c r="A503" s="113"/>
      <c r="B503" s="744"/>
      <c r="C503" s="744"/>
      <c r="D503" s="744"/>
      <c r="E503" s="744"/>
      <c r="F503" s="744"/>
      <c r="G503" s="744"/>
      <c r="H503" s="751">
        <f>'0422Master'!H472</f>
        <v>0</v>
      </c>
      <c r="I503" s="742"/>
      <c r="J503" s="742"/>
      <c r="K503" s="742"/>
      <c r="L503" s="743"/>
    </row>
    <row r="504" spans="1:12">
      <c r="A504" s="40"/>
      <c r="B504" s="744"/>
      <c r="C504" s="744"/>
      <c r="D504" s="744"/>
      <c r="E504" s="744"/>
      <c r="F504" s="744"/>
      <c r="G504" s="744"/>
      <c r="H504" s="741">
        <f>'0422Master'!I472</f>
        <v>0</v>
      </c>
      <c r="I504" s="742"/>
      <c r="J504" s="742"/>
      <c r="K504" s="742"/>
      <c r="L504" s="743"/>
    </row>
    <row r="505" spans="1:12">
      <c r="A505" s="40"/>
      <c r="B505" s="114" t="s">
        <v>252</v>
      </c>
      <c r="C505" s="221"/>
      <c r="D505" s="221"/>
      <c r="E505" s="221"/>
      <c r="F505" s="221"/>
      <c r="G505" s="222"/>
      <c r="H505" s="829">
        <f>'0422Master'!J472</f>
        <v>0</v>
      </c>
      <c r="I505" s="830"/>
      <c r="J505" s="830"/>
      <c r="K505" s="830"/>
      <c r="L505" s="831"/>
    </row>
    <row r="506" spans="1:12">
      <c r="A506" s="40"/>
      <c r="B506" s="114"/>
      <c r="C506" s="221"/>
      <c r="D506" s="221"/>
      <c r="E506" s="221"/>
      <c r="F506" s="221"/>
      <c r="G506" s="222"/>
      <c r="H506" s="829">
        <f>'0422Master'!K472</f>
        <v>0</v>
      </c>
      <c r="I506" s="830"/>
      <c r="J506" s="830"/>
      <c r="K506" s="830"/>
      <c r="L506" s="831"/>
    </row>
    <row r="507" spans="1:12">
      <c r="A507" s="40"/>
      <c r="B507" s="114"/>
      <c r="C507" s="221"/>
      <c r="D507" s="221"/>
      <c r="E507" s="221"/>
      <c r="F507" s="221"/>
      <c r="G507" s="222"/>
      <c r="H507" s="829">
        <f>'0422Master'!L472</f>
        <v>0</v>
      </c>
      <c r="I507" s="830"/>
      <c r="J507" s="830"/>
      <c r="K507" s="830"/>
      <c r="L507" s="831"/>
    </row>
    <row r="508" spans="1:12">
      <c r="A508" s="40"/>
      <c r="B508" s="114" t="s">
        <v>253</v>
      </c>
      <c r="C508" s="221"/>
      <c r="D508" s="221"/>
      <c r="E508" s="221"/>
      <c r="F508" s="221"/>
      <c r="G508" s="222"/>
      <c r="H508" s="418"/>
      <c r="I508" s="414"/>
      <c r="J508" s="414"/>
      <c r="K508" s="414"/>
      <c r="L508" s="415"/>
    </row>
    <row r="509" spans="1:12">
      <c r="A509" s="40"/>
      <c r="B509" s="117" t="s">
        <v>254</v>
      </c>
      <c r="C509" s="179"/>
      <c r="D509" s="179"/>
      <c r="E509" s="179"/>
      <c r="F509" s="179"/>
      <c r="G509" s="180"/>
      <c r="H509" s="181"/>
      <c r="I509" s="182"/>
      <c r="J509" s="183"/>
      <c r="K509" s="182"/>
      <c r="L509" s="184"/>
    </row>
    <row r="510" spans="1:12" ht="45" customHeight="1">
      <c r="A510" s="40"/>
      <c r="B510" s="114" t="s">
        <v>255</v>
      </c>
      <c r="C510" s="221"/>
      <c r="D510" s="414"/>
      <c r="E510" s="413" t="s">
        <v>256</v>
      </c>
      <c r="F510" s="80"/>
      <c r="G510" s="832" t="s">
        <v>257</v>
      </c>
      <c r="H510" s="833"/>
      <c r="I510" s="417" t="s">
        <v>258</v>
      </c>
      <c r="J510" s="477" t="s">
        <v>259</v>
      </c>
      <c r="K510" s="832" t="s">
        <v>260</v>
      </c>
      <c r="L510" s="834"/>
    </row>
    <row r="511" spans="1:12">
      <c r="A511" s="40"/>
      <c r="B511" s="187">
        <v>1</v>
      </c>
      <c r="C511" s="221"/>
      <c r="D511" s="221"/>
      <c r="E511" s="188">
        <v>2</v>
      </c>
      <c r="F511" s="222"/>
      <c r="G511" s="188">
        <v>3</v>
      </c>
      <c r="H511" s="419"/>
      <c r="I511" s="419">
        <v>4</v>
      </c>
      <c r="J511" s="448">
        <v>5</v>
      </c>
      <c r="K511" s="115"/>
      <c r="L511" s="116">
        <v>6</v>
      </c>
    </row>
    <row r="512" spans="1:12">
      <c r="A512" s="40"/>
      <c r="B512" s="298">
        <f>'0422Master'!E472</f>
        <v>0</v>
      </c>
      <c r="C512" s="202"/>
      <c r="D512" s="203"/>
      <c r="E512" s="299" t="s">
        <v>261</v>
      </c>
      <c r="F512" s="203"/>
      <c r="G512" s="299" t="s">
        <v>262</v>
      </c>
      <c r="H512" s="80"/>
      <c r="I512" s="308" t="s">
        <v>263</v>
      </c>
      <c r="J512" s="478">
        <v>1</v>
      </c>
      <c r="K512" s="835" t="s">
        <v>109</v>
      </c>
      <c r="L512" s="836"/>
    </row>
    <row r="513" spans="1:12">
      <c r="A513" s="40"/>
      <c r="B513" s="114"/>
      <c r="C513" s="202"/>
      <c r="D513" s="203"/>
      <c r="E513" s="204"/>
      <c r="F513" s="203"/>
      <c r="G513" s="204"/>
      <c r="H513" s="80"/>
      <c r="I513" s="308"/>
      <c r="J513" s="308"/>
      <c r="K513" s="205"/>
      <c r="L513" s="80"/>
    </row>
    <row r="514" spans="1:12">
      <c r="A514" s="40"/>
      <c r="B514" s="114"/>
      <c r="C514" s="202"/>
      <c r="D514" s="203"/>
      <c r="E514" s="204"/>
      <c r="F514" s="203"/>
      <c r="G514" s="204"/>
      <c r="H514" s="80"/>
      <c r="I514" s="308"/>
      <c r="J514" s="308"/>
      <c r="K514" s="205"/>
      <c r="L514" s="80"/>
    </row>
    <row r="515" spans="1:12">
      <c r="A515" s="40"/>
      <c r="B515" s="86"/>
      <c r="C515" s="46"/>
      <c r="D515" s="87"/>
      <c r="E515" s="204"/>
      <c r="F515" s="203"/>
      <c r="G515" s="204"/>
      <c r="H515" s="80"/>
      <c r="I515" s="308"/>
      <c r="J515" s="308"/>
      <c r="K515" s="205"/>
      <c r="L515" s="80"/>
    </row>
    <row r="516" spans="1:12" ht="27.95" customHeight="1">
      <c r="A516" s="40"/>
      <c r="B516" s="27" t="s">
        <v>264</v>
      </c>
      <c r="C516" s="27"/>
      <c r="D516" s="27"/>
      <c r="E516" s="27"/>
      <c r="F516" s="27"/>
      <c r="G516" s="27"/>
      <c r="H516" s="27"/>
      <c r="I516" s="27"/>
      <c r="J516" s="27"/>
      <c r="K516" s="27"/>
      <c r="L516" s="41"/>
    </row>
    <row r="517" spans="1:12" ht="27.95" customHeight="1">
      <c r="A517" s="40"/>
      <c r="B517" s="27" t="s">
        <v>265</v>
      </c>
      <c r="C517" s="27"/>
      <c r="D517" s="27"/>
      <c r="E517" s="27"/>
      <c r="F517" s="27"/>
      <c r="G517" s="27"/>
      <c r="H517" s="27"/>
      <c r="I517" s="27"/>
      <c r="J517" s="27"/>
      <c r="K517" s="27"/>
      <c r="L517" s="41"/>
    </row>
    <row r="518" spans="1:12" ht="27.95" customHeight="1">
      <c r="A518" s="40"/>
      <c r="B518" s="27" t="s">
        <v>266</v>
      </c>
      <c r="C518" s="27"/>
      <c r="D518" s="27"/>
      <c r="E518" s="27"/>
      <c r="F518" s="27"/>
      <c r="G518" s="27"/>
      <c r="H518" s="27"/>
      <c r="I518" s="27"/>
      <c r="J518" s="27"/>
      <c r="K518" s="27"/>
      <c r="L518" s="41"/>
    </row>
    <row r="519" spans="1:12" ht="27.95" customHeight="1">
      <c r="A519" s="40"/>
      <c r="B519" s="27"/>
      <c r="C519" s="27"/>
      <c r="D519" s="27"/>
      <c r="E519" s="27"/>
      <c r="F519" s="27"/>
      <c r="G519" s="27"/>
      <c r="H519" s="27"/>
      <c r="I519" s="27" t="s">
        <v>267</v>
      </c>
      <c r="J519" s="27"/>
      <c r="K519" s="27"/>
      <c r="L519" s="41"/>
    </row>
    <row r="520" spans="1:12" ht="27.95" customHeight="1">
      <c r="A520" s="40"/>
      <c r="B520" s="27"/>
      <c r="C520" s="27"/>
      <c r="D520" s="27"/>
      <c r="E520" s="27"/>
      <c r="F520" s="190" t="s">
        <v>268</v>
      </c>
      <c r="G520" s="27"/>
      <c r="H520" s="27"/>
      <c r="I520" s="27"/>
      <c r="J520" s="27"/>
      <c r="K520" s="27"/>
      <c r="L520" s="41"/>
    </row>
    <row r="521" spans="1:12" ht="27.95" customHeight="1">
      <c r="A521" s="40" t="s">
        <v>269</v>
      </c>
      <c r="B521" s="27"/>
      <c r="C521" s="27"/>
      <c r="D521" s="27"/>
      <c r="E521" s="27"/>
      <c r="F521" s="27"/>
      <c r="G521" s="27"/>
      <c r="H521" s="27"/>
      <c r="I521" s="27"/>
      <c r="J521" s="27"/>
      <c r="K521" s="243">
        <f>'0422Master'!B472</f>
        <v>0</v>
      </c>
      <c r="L521" s="41"/>
    </row>
    <row r="522" spans="1:12" ht="27.95" customHeight="1">
      <c r="A522" s="40" t="s">
        <v>270</v>
      </c>
      <c r="B522" s="27"/>
      <c r="C522" s="27"/>
      <c r="D522" s="27"/>
      <c r="E522" s="27"/>
      <c r="F522" s="27"/>
      <c r="G522" s="27"/>
      <c r="H522" s="27"/>
      <c r="I522" s="27"/>
      <c r="J522" s="27"/>
      <c r="K522" s="27"/>
      <c r="L522" s="41"/>
    </row>
    <row r="523" spans="1:12" ht="27.95" customHeight="1">
      <c r="A523" s="40"/>
      <c r="B523" s="27"/>
      <c r="C523" s="27"/>
      <c r="D523" s="27"/>
      <c r="E523" s="27"/>
      <c r="F523" s="27" t="s">
        <v>271</v>
      </c>
      <c r="G523" s="27"/>
      <c r="H523" s="27"/>
      <c r="I523" s="27"/>
      <c r="J523" s="27"/>
      <c r="K523" s="27"/>
      <c r="L523" s="41"/>
    </row>
    <row r="524" spans="1:12" ht="27.95" customHeight="1">
      <c r="A524" s="40" t="s">
        <v>272</v>
      </c>
      <c r="B524" s="27" t="s">
        <v>273</v>
      </c>
      <c r="C524" s="27"/>
      <c r="D524" s="27"/>
      <c r="E524" s="27"/>
      <c r="F524" s="27">
        <f>'0422Master'!AO462</f>
        <v>0</v>
      </c>
      <c r="G524" s="27"/>
      <c r="H524" s="27"/>
      <c r="I524" s="27"/>
      <c r="J524" s="27"/>
      <c r="K524" s="27"/>
      <c r="L524" s="41"/>
    </row>
    <row r="525" spans="1:12" ht="27.95" customHeight="1">
      <c r="A525" s="40" t="s">
        <v>274</v>
      </c>
      <c r="B525" s="297">
        <f>'0422Master'!N472</f>
        <v>0</v>
      </c>
      <c r="C525" s="27"/>
      <c r="D525" s="27"/>
      <c r="E525" s="27"/>
      <c r="F525" s="192">
        <f>'0422Master'!AO463</f>
        <v>0</v>
      </c>
      <c r="G525" s="192"/>
      <c r="H525" s="192"/>
      <c r="I525" s="192"/>
      <c r="J525" s="192"/>
      <c r="K525" s="192"/>
      <c r="L525" s="41"/>
    </row>
    <row r="526" spans="1:12" ht="27.95" customHeight="1" thickBot="1">
      <c r="A526" s="54"/>
      <c r="B526" s="52"/>
      <c r="C526" s="52"/>
      <c r="D526" s="52"/>
      <c r="E526" s="52"/>
      <c r="F526" s="52"/>
      <c r="G526" s="52"/>
      <c r="H526" s="52"/>
      <c r="I526" s="52"/>
      <c r="J526" s="52"/>
      <c r="K526" s="52"/>
      <c r="L526" s="53"/>
    </row>
    <row r="527" spans="1:12" ht="27.95" customHeight="1">
      <c r="A527" s="96"/>
      <c r="B527" s="735" t="s">
        <v>241</v>
      </c>
      <c r="C527" s="736"/>
      <c r="D527" s="736"/>
      <c r="E527" s="736"/>
      <c r="F527" s="736"/>
      <c r="G527" s="736"/>
      <c r="H527" s="736"/>
      <c r="I527" s="736"/>
      <c r="J527" s="736"/>
      <c r="K527" s="736"/>
      <c r="L527" s="737"/>
    </row>
    <row r="528" spans="1:12" ht="27.95" customHeight="1">
      <c r="A528" s="40"/>
      <c r="B528" s="738" t="s">
        <v>242</v>
      </c>
      <c r="C528" s="738"/>
      <c r="D528" s="738"/>
      <c r="E528" s="738"/>
      <c r="F528" s="738"/>
      <c r="G528" s="738"/>
      <c r="H528" s="738"/>
      <c r="I528" s="738"/>
      <c r="J528" s="738"/>
      <c r="K528" s="738"/>
      <c r="L528" s="739"/>
    </row>
    <row r="529" spans="1:12" ht="27.95" customHeight="1" thickBot="1">
      <c r="A529" s="54"/>
      <c r="B529" s="745" t="s">
        <v>243</v>
      </c>
      <c r="C529" s="745"/>
      <c r="D529" s="745"/>
      <c r="E529" s="745"/>
      <c r="F529" s="745"/>
      <c r="G529" s="745"/>
      <c r="H529" s="745"/>
      <c r="I529" s="745"/>
      <c r="J529" s="745"/>
      <c r="K529" s="745"/>
      <c r="L529" s="746"/>
    </row>
    <row r="530" spans="1:12" ht="27.95" customHeight="1">
      <c r="A530" s="40"/>
      <c r="B530" s="747" t="s">
        <v>92</v>
      </c>
      <c r="C530" s="747"/>
      <c r="D530" s="747"/>
      <c r="E530" s="747"/>
      <c r="F530" s="747"/>
      <c r="G530" s="27"/>
      <c r="H530" s="748" t="s">
        <v>93</v>
      </c>
      <c r="I530" s="748"/>
      <c r="J530" s="748"/>
      <c r="K530" s="748"/>
      <c r="L530" s="749"/>
    </row>
    <row r="531" spans="1:12" ht="27.95" customHeight="1" thickBot="1">
      <c r="A531" s="40"/>
      <c r="B531" s="747"/>
      <c r="C531" s="747"/>
      <c r="D531" s="747"/>
      <c r="E531" s="747"/>
      <c r="F531" s="747"/>
      <c r="G531" s="27"/>
      <c r="H531" s="748"/>
      <c r="I531" s="748"/>
      <c r="J531" s="748"/>
      <c r="K531" s="748"/>
      <c r="L531" s="749"/>
    </row>
    <row r="532" spans="1:12">
      <c r="A532" s="40"/>
      <c r="B532" s="96"/>
      <c r="C532" s="97"/>
      <c r="D532" s="97"/>
      <c r="E532" s="97"/>
      <c r="F532" s="98"/>
      <c r="G532" s="27"/>
      <c r="H532" s="96"/>
      <c r="I532" s="97"/>
      <c r="J532" s="97"/>
      <c r="K532" s="97"/>
      <c r="L532" s="98"/>
    </row>
    <row r="533" spans="1:12">
      <c r="A533" s="40"/>
      <c r="B533" s="102">
        <f>'04-22M Roll'!D518</f>
        <v>0</v>
      </c>
      <c r="C533" s="100"/>
      <c r="D533" s="100"/>
      <c r="E533" s="100"/>
      <c r="F533" s="101"/>
      <c r="G533" s="27"/>
      <c r="H533" s="102">
        <f>'04-22M Roll'!Z518</f>
        <v>0</v>
      </c>
      <c r="I533" s="100"/>
      <c r="J533" s="100"/>
      <c r="K533" s="100"/>
      <c r="L533" s="101"/>
    </row>
    <row r="534" spans="1:12">
      <c r="A534" s="40"/>
      <c r="B534" s="40"/>
      <c r="C534" s="100"/>
      <c r="D534" s="100"/>
      <c r="E534" s="100"/>
      <c r="F534" s="101"/>
      <c r="G534" s="27"/>
      <c r="H534" s="40"/>
      <c r="I534" s="100"/>
      <c r="J534" s="100"/>
      <c r="K534" s="100"/>
      <c r="L534" s="101"/>
    </row>
    <row r="535" spans="1:12">
      <c r="A535" s="40"/>
      <c r="B535" s="102">
        <f>'04-22M Roll'!D519</f>
        <v>0</v>
      </c>
      <c r="C535" s="100"/>
      <c r="D535" s="100"/>
      <c r="E535" s="100"/>
      <c r="F535" s="101"/>
      <c r="G535" s="27"/>
      <c r="H535" s="102">
        <f>'04-22M Roll'!Z519</f>
        <v>0</v>
      </c>
      <c r="I535" s="100"/>
      <c r="J535" s="100"/>
      <c r="K535" s="100"/>
      <c r="L535" s="101"/>
    </row>
    <row r="536" spans="1:12" ht="15.75" thickBot="1">
      <c r="A536" s="40"/>
      <c r="B536" s="103"/>
      <c r="C536" s="55"/>
      <c r="D536" s="55"/>
      <c r="E536" s="55"/>
      <c r="F536" s="104"/>
      <c r="G536" s="27"/>
      <c r="H536" s="103"/>
      <c r="I536" s="55"/>
      <c r="J536" s="55"/>
      <c r="K536" s="55"/>
      <c r="L536" s="104"/>
    </row>
    <row r="537" spans="1:12" ht="15" customHeight="1">
      <c r="A537" s="40"/>
      <c r="B537" s="27"/>
      <c r="C537" s="27"/>
      <c r="D537" s="27"/>
      <c r="E537" s="27"/>
      <c r="F537" s="27"/>
      <c r="G537" s="27"/>
      <c r="H537" s="27"/>
      <c r="I537" s="27"/>
      <c r="J537" s="27" t="s">
        <v>94</v>
      </c>
      <c r="K537" s="27"/>
      <c r="L537" s="41"/>
    </row>
    <row r="538" spans="1:12">
      <c r="A538" s="40"/>
      <c r="B538" s="664" t="s">
        <v>95</v>
      </c>
      <c r="C538" s="664"/>
      <c r="D538" s="664"/>
      <c r="E538" s="664"/>
      <c r="F538" s="664"/>
      <c r="G538" s="27"/>
      <c r="H538" s="664" t="s">
        <v>5</v>
      </c>
      <c r="I538" s="664"/>
      <c r="J538" s="664"/>
      <c r="K538" s="664"/>
      <c r="L538" s="750"/>
    </row>
    <row r="539" spans="1:12" ht="15.75" thickBot="1">
      <c r="A539" s="40"/>
      <c r="B539" s="27"/>
      <c r="C539" s="27"/>
      <c r="D539" s="27"/>
      <c r="E539" s="27"/>
      <c r="F539" s="27"/>
      <c r="G539" s="27"/>
      <c r="H539" s="27"/>
      <c r="I539" s="27"/>
      <c r="J539" s="27"/>
      <c r="K539" s="27"/>
      <c r="L539" s="41"/>
    </row>
    <row r="540" spans="1:12">
      <c r="A540" s="40"/>
      <c r="B540" s="96"/>
      <c r="C540" s="97"/>
      <c r="D540" s="97"/>
      <c r="E540" s="97"/>
      <c r="F540" s="98"/>
      <c r="G540" s="27"/>
      <c r="H540" s="105"/>
      <c r="I540" s="106"/>
      <c r="J540" s="106"/>
      <c r="K540" s="106"/>
      <c r="L540" s="107"/>
    </row>
    <row r="541" spans="1:12">
      <c r="A541" s="40"/>
      <c r="B541" s="99"/>
      <c r="C541" s="100"/>
      <c r="D541" s="100"/>
      <c r="E541" s="100"/>
      <c r="F541" s="101"/>
      <c r="G541" s="27"/>
      <c r="H541" s="102">
        <f>'04-22M Roll'!Z522</f>
        <v>0</v>
      </c>
      <c r="I541" s="108"/>
      <c r="J541" s="108"/>
      <c r="K541" s="108"/>
      <c r="L541" s="109"/>
    </row>
    <row r="542" spans="1:12">
      <c r="A542" s="40"/>
      <c r="B542" s="102">
        <f>'04-22M Roll'!D520</f>
        <v>0</v>
      </c>
      <c r="C542" s="100"/>
      <c r="D542" s="100"/>
      <c r="E542" s="100"/>
      <c r="F542" s="101"/>
      <c r="G542" s="27"/>
      <c r="H542" s="102"/>
      <c r="I542" s="108"/>
      <c r="J542" s="108"/>
      <c r="K542" s="108"/>
      <c r="L542" s="109"/>
    </row>
    <row r="543" spans="1:12">
      <c r="A543" s="40"/>
      <c r="B543" s="99"/>
      <c r="C543" s="100"/>
      <c r="D543" s="100"/>
      <c r="E543" s="100"/>
      <c r="F543" s="101"/>
      <c r="G543" s="27"/>
      <c r="H543" s="102">
        <f>'04-22M Roll'!Z523</f>
        <v>0</v>
      </c>
      <c r="I543" s="108"/>
      <c r="J543" s="108"/>
      <c r="K543" s="108"/>
      <c r="L543" s="109"/>
    </row>
    <row r="544" spans="1:12" ht="15.75" thickBot="1">
      <c r="A544" s="40"/>
      <c r="B544" s="103"/>
      <c r="C544" s="55"/>
      <c r="D544" s="55"/>
      <c r="E544" s="55"/>
      <c r="F544" s="104"/>
      <c r="G544" s="27"/>
      <c r="H544" s="110"/>
      <c r="I544" s="111"/>
      <c r="J544" s="111"/>
      <c r="K544" s="111"/>
      <c r="L544" s="112"/>
    </row>
    <row r="545" spans="1:12">
      <c r="A545" s="113"/>
      <c r="B545" s="744" t="s">
        <v>244</v>
      </c>
      <c r="C545" s="744"/>
      <c r="D545" s="744"/>
      <c r="E545" s="744"/>
      <c r="F545" s="744"/>
      <c r="G545" s="744"/>
      <c r="H545" s="741">
        <f>'0422Master'!B523</f>
        <v>0</v>
      </c>
      <c r="I545" s="742"/>
      <c r="J545" s="742"/>
      <c r="K545" s="742"/>
      <c r="L545" s="743"/>
    </row>
    <row r="546" spans="1:12">
      <c r="A546" s="113"/>
      <c r="B546" s="740" t="s">
        <v>245</v>
      </c>
      <c r="C546" s="740"/>
      <c r="D546" s="740"/>
      <c r="E546" s="740"/>
      <c r="F546" s="740"/>
      <c r="G546" s="740"/>
      <c r="H546" s="741">
        <f>'0422Master'!E523</f>
        <v>0</v>
      </c>
      <c r="I546" s="742"/>
      <c r="J546" s="742"/>
      <c r="K546" s="742"/>
      <c r="L546" s="743"/>
    </row>
    <row r="547" spans="1:12">
      <c r="A547" s="113"/>
      <c r="B547" s="744" t="s">
        <v>246</v>
      </c>
      <c r="C547" s="744"/>
      <c r="D547" s="744"/>
      <c r="E547" s="744"/>
      <c r="F547" s="744"/>
      <c r="G547" s="744"/>
      <c r="H547" s="741">
        <f>'0422Master'!C523</f>
        <v>0</v>
      </c>
      <c r="I547" s="742"/>
      <c r="J547" s="742"/>
      <c r="K547" s="742"/>
      <c r="L547" s="743"/>
    </row>
    <row r="548" spans="1:12">
      <c r="A548" s="113"/>
      <c r="B548" s="744" t="s">
        <v>247</v>
      </c>
      <c r="C548" s="744"/>
      <c r="D548" s="744"/>
      <c r="E548" s="744"/>
      <c r="F548" s="744"/>
      <c r="G548" s="744"/>
      <c r="H548" s="837">
        <f>'0422Master'!D523</f>
        <v>0</v>
      </c>
      <c r="I548" s="742"/>
      <c r="J548" s="742"/>
      <c r="K548" s="742"/>
      <c r="L548" s="743"/>
    </row>
    <row r="549" spans="1:12">
      <c r="A549" s="113"/>
      <c r="B549" s="114" t="s">
        <v>248</v>
      </c>
      <c r="C549" s="221"/>
      <c r="D549" s="221"/>
      <c r="E549" s="221"/>
      <c r="F549" s="221"/>
      <c r="G549" s="221"/>
      <c r="H549" s="838" t="s">
        <v>249</v>
      </c>
      <c r="I549" s="839"/>
      <c r="J549" s="839"/>
      <c r="K549" s="839"/>
      <c r="L549" s="840"/>
    </row>
    <row r="550" spans="1:12">
      <c r="A550" s="113"/>
      <c r="B550" s="114" t="s">
        <v>250</v>
      </c>
      <c r="C550" s="221"/>
      <c r="D550" s="221"/>
      <c r="E550" s="221"/>
      <c r="F550" s="221"/>
      <c r="G550" s="221"/>
      <c r="H550" s="418"/>
      <c r="I550" s="414"/>
      <c r="J550" s="189"/>
      <c r="K550" s="414"/>
      <c r="L550" s="415"/>
    </row>
    <row r="551" spans="1:12">
      <c r="A551" s="113"/>
      <c r="B551" s="755" t="s">
        <v>251</v>
      </c>
      <c r="C551" s="755"/>
      <c r="D551" s="755"/>
      <c r="E551" s="755"/>
      <c r="F551" s="755"/>
      <c r="G551" s="755"/>
      <c r="H551" s="756">
        <f>'0422Master'!G523</f>
        <v>0</v>
      </c>
      <c r="I551" s="757"/>
      <c r="J551" s="757"/>
      <c r="K551" s="757"/>
      <c r="L551" s="758"/>
    </row>
    <row r="552" spans="1:12" ht="27.95" customHeight="1">
      <c r="A552" s="113"/>
      <c r="B552" s="744"/>
      <c r="C552" s="744"/>
      <c r="D552" s="744"/>
      <c r="E552" s="744"/>
      <c r="F552" s="744"/>
      <c r="G552" s="744"/>
      <c r="H552" s="751">
        <f>'0422Master'!H523</f>
        <v>0</v>
      </c>
      <c r="I552" s="742"/>
      <c r="J552" s="742"/>
      <c r="K552" s="742"/>
      <c r="L552" s="743"/>
    </row>
    <row r="553" spans="1:12" ht="27.95" customHeight="1">
      <c r="A553" s="40"/>
      <c r="B553" s="744"/>
      <c r="C553" s="744"/>
      <c r="D553" s="744"/>
      <c r="E553" s="744"/>
      <c r="F553" s="744"/>
      <c r="G553" s="744"/>
      <c r="H553" s="741">
        <f>'0422Master'!I523</f>
        <v>0</v>
      </c>
      <c r="I553" s="742"/>
      <c r="J553" s="742"/>
      <c r="K553" s="742"/>
      <c r="L553" s="743"/>
    </row>
    <row r="554" spans="1:12" ht="27.95" customHeight="1">
      <c r="A554" s="40"/>
      <c r="B554" s="114" t="s">
        <v>252</v>
      </c>
      <c r="C554" s="221"/>
      <c r="D554" s="221"/>
      <c r="E554" s="221"/>
      <c r="F554" s="221"/>
      <c r="G554" s="222"/>
      <c r="H554" s="829">
        <f>'0422Master'!J523</f>
        <v>0</v>
      </c>
      <c r="I554" s="830"/>
      <c r="J554" s="830"/>
      <c r="K554" s="830"/>
      <c r="L554" s="831"/>
    </row>
    <row r="555" spans="1:12" ht="27.95" customHeight="1">
      <c r="A555" s="40"/>
      <c r="B555" s="114"/>
      <c r="C555" s="221"/>
      <c r="D555" s="221"/>
      <c r="E555" s="221"/>
      <c r="F555" s="221"/>
      <c r="G555" s="222"/>
      <c r="H555" s="829">
        <f>'0422Master'!K523</f>
        <v>0</v>
      </c>
      <c r="I555" s="830"/>
      <c r="J555" s="830"/>
      <c r="K555" s="830"/>
      <c r="L555" s="831"/>
    </row>
    <row r="556" spans="1:12" ht="27.95" customHeight="1">
      <c r="A556" s="40"/>
      <c r="B556" s="114"/>
      <c r="C556" s="221"/>
      <c r="D556" s="221"/>
      <c r="E556" s="221"/>
      <c r="F556" s="221"/>
      <c r="G556" s="222"/>
      <c r="H556" s="829">
        <f>'0422Master'!L523</f>
        <v>0</v>
      </c>
      <c r="I556" s="830"/>
      <c r="J556" s="830"/>
      <c r="K556" s="830"/>
      <c r="L556" s="831"/>
    </row>
    <row r="557" spans="1:12" ht="27.95" customHeight="1">
      <c r="A557" s="40"/>
      <c r="B557" s="114" t="s">
        <v>253</v>
      </c>
      <c r="C557" s="221"/>
      <c r="D557" s="221"/>
      <c r="E557" s="221"/>
      <c r="F557" s="221"/>
      <c r="G557" s="222"/>
      <c r="H557" s="418"/>
      <c r="I557" s="414"/>
      <c r="J557" s="414"/>
      <c r="K557" s="414"/>
      <c r="L557" s="415"/>
    </row>
    <row r="558" spans="1:12" ht="27.95" customHeight="1">
      <c r="A558" s="40"/>
      <c r="B558" s="117" t="s">
        <v>254</v>
      </c>
      <c r="C558" s="179"/>
      <c r="D558" s="179"/>
      <c r="E558" s="179"/>
      <c r="F558" s="179"/>
      <c r="G558" s="180"/>
      <c r="H558" s="181"/>
      <c r="I558" s="182"/>
      <c r="J558" s="183"/>
      <c r="K558" s="182"/>
      <c r="L558" s="184"/>
    </row>
    <row r="559" spans="1:12" ht="27.95" customHeight="1">
      <c r="A559" s="40"/>
      <c r="B559" s="114" t="s">
        <v>255</v>
      </c>
      <c r="C559" s="221"/>
      <c r="D559" s="414"/>
      <c r="E559" s="413" t="s">
        <v>256</v>
      </c>
      <c r="F559" s="80"/>
      <c r="G559" s="832" t="s">
        <v>257</v>
      </c>
      <c r="H559" s="833"/>
      <c r="I559" s="417" t="s">
        <v>258</v>
      </c>
      <c r="J559" s="477" t="s">
        <v>259</v>
      </c>
      <c r="K559" s="832" t="s">
        <v>260</v>
      </c>
      <c r="L559" s="834"/>
    </row>
    <row r="560" spans="1:12" ht="27.95" customHeight="1">
      <c r="A560" s="40"/>
      <c r="B560" s="187">
        <v>1</v>
      </c>
      <c r="C560" s="221"/>
      <c r="D560" s="221"/>
      <c r="E560" s="188">
        <v>2</v>
      </c>
      <c r="F560" s="222"/>
      <c r="G560" s="188">
        <v>3</v>
      </c>
      <c r="H560" s="419"/>
      <c r="I560" s="419">
        <v>4</v>
      </c>
      <c r="J560" s="448">
        <v>5</v>
      </c>
      <c r="K560" s="115"/>
      <c r="L560" s="116">
        <v>6</v>
      </c>
    </row>
    <row r="561" spans="1:12" ht="27.95" customHeight="1">
      <c r="A561" s="40"/>
      <c r="B561" s="298">
        <f>'0422Master'!E523</f>
        <v>0</v>
      </c>
      <c r="C561" s="202"/>
      <c r="D561" s="203"/>
      <c r="E561" s="299" t="s">
        <v>261</v>
      </c>
      <c r="F561" s="203"/>
      <c r="G561" s="299" t="s">
        <v>262</v>
      </c>
      <c r="H561" s="80"/>
      <c r="I561" s="308" t="s">
        <v>263</v>
      </c>
      <c r="J561" s="478">
        <v>1</v>
      </c>
      <c r="K561" s="835" t="s">
        <v>109</v>
      </c>
      <c r="L561" s="843"/>
    </row>
    <row r="562" spans="1:12" ht="27.95" customHeight="1">
      <c r="A562" s="40"/>
      <c r="B562" s="114"/>
      <c r="C562" s="202"/>
      <c r="D562" s="203"/>
      <c r="E562" s="204"/>
      <c r="F562" s="203"/>
      <c r="G562" s="204"/>
      <c r="H562" s="80"/>
      <c r="I562" s="308"/>
      <c r="J562" s="308"/>
      <c r="K562" s="205"/>
      <c r="L562" s="211"/>
    </row>
    <row r="563" spans="1:12" ht="27.95" customHeight="1">
      <c r="A563" s="40"/>
      <c r="B563" s="114"/>
      <c r="C563" s="202"/>
      <c r="D563" s="203"/>
      <c r="E563" s="204"/>
      <c r="F563" s="203"/>
      <c r="G563" s="204"/>
      <c r="H563" s="80"/>
      <c r="I563" s="308"/>
      <c r="J563" s="308"/>
      <c r="K563" s="205"/>
      <c r="L563" s="211"/>
    </row>
    <row r="564" spans="1:12" ht="27.95" customHeight="1">
      <c r="A564" s="40"/>
      <c r="B564" s="86"/>
      <c r="C564" s="46"/>
      <c r="D564" s="87"/>
      <c r="E564" s="204"/>
      <c r="F564" s="203"/>
      <c r="G564" s="204"/>
      <c r="H564" s="80"/>
      <c r="I564" s="308"/>
      <c r="J564" s="308"/>
      <c r="K564" s="205"/>
      <c r="L564" s="211"/>
    </row>
    <row r="565" spans="1:12" ht="27.95" customHeight="1">
      <c r="A565" s="40"/>
      <c r="B565" s="27" t="s">
        <v>264</v>
      </c>
      <c r="C565" s="27"/>
      <c r="D565" s="27"/>
      <c r="E565" s="27"/>
      <c r="F565" s="27"/>
      <c r="G565" s="27"/>
      <c r="H565" s="27"/>
      <c r="I565" s="27"/>
      <c r="J565" s="27"/>
      <c r="K565" s="27"/>
      <c r="L565" s="41"/>
    </row>
    <row r="566" spans="1:12" ht="27.95" customHeight="1">
      <c r="A566" s="40"/>
      <c r="B566" s="27" t="s">
        <v>265</v>
      </c>
      <c r="C566" s="27"/>
      <c r="D566" s="27"/>
      <c r="E566" s="27"/>
      <c r="F566" s="27"/>
      <c r="G566" s="27"/>
      <c r="H566" s="27"/>
      <c r="I566" s="27"/>
      <c r="J566" s="27"/>
      <c r="K566" s="27"/>
      <c r="L566" s="41"/>
    </row>
    <row r="567" spans="1:12" ht="27.95" customHeight="1">
      <c r="A567" s="40"/>
      <c r="B567" s="27" t="s">
        <v>266</v>
      </c>
      <c r="C567" s="27"/>
      <c r="D567" s="27"/>
      <c r="E567" s="27"/>
      <c r="F567" s="27"/>
      <c r="G567" s="27"/>
      <c r="H567" s="27"/>
      <c r="I567" s="27"/>
      <c r="J567" s="27"/>
      <c r="K567" s="27"/>
      <c r="L567" s="41"/>
    </row>
    <row r="568" spans="1:12" ht="27.95" customHeight="1">
      <c r="A568" s="40"/>
      <c r="B568" s="27"/>
      <c r="C568" s="27"/>
      <c r="D568" s="27"/>
      <c r="E568" s="27"/>
      <c r="F568" s="27"/>
      <c r="G568" s="27"/>
      <c r="H568" s="27"/>
      <c r="I568" s="27" t="s">
        <v>267</v>
      </c>
      <c r="J568" s="27"/>
      <c r="K568" s="27"/>
      <c r="L568" s="41"/>
    </row>
    <row r="569" spans="1:12" ht="27.95" customHeight="1">
      <c r="A569" s="40"/>
      <c r="B569" s="27"/>
      <c r="C569" s="27"/>
      <c r="D569" s="27"/>
      <c r="E569" s="27"/>
      <c r="F569" s="190" t="s">
        <v>268</v>
      </c>
      <c r="G569" s="27"/>
      <c r="H569" s="27"/>
      <c r="I569" s="27"/>
      <c r="J569" s="27"/>
      <c r="K569" s="27"/>
      <c r="L569" s="41"/>
    </row>
    <row r="570" spans="1:12">
      <c r="A570" s="40" t="s">
        <v>269</v>
      </c>
      <c r="B570" s="27"/>
      <c r="C570" s="27"/>
      <c r="D570" s="27"/>
      <c r="E570" s="27"/>
      <c r="F570" s="27"/>
      <c r="G570" s="27"/>
      <c r="H570" s="27"/>
      <c r="I570" s="27"/>
      <c r="J570" s="27"/>
      <c r="K570" s="243">
        <f>'0422Master'!B523</f>
        <v>0</v>
      </c>
      <c r="L570" s="41"/>
    </row>
    <row r="571" spans="1:12">
      <c r="A571" s="40" t="s">
        <v>270</v>
      </c>
      <c r="B571" s="27"/>
      <c r="C571" s="27"/>
      <c r="D571" s="27"/>
      <c r="E571" s="27"/>
      <c r="F571" s="27"/>
      <c r="G571" s="27"/>
      <c r="H571" s="27"/>
      <c r="I571" s="27"/>
      <c r="J571" s="27"/>
      <c r="K571" s="27"/>
      <c r="L571" s="41"/>
    </row>
    <row r="572" spans="1:12">
      <c r="A572" s="40"/>
      <c r="B572" s="27"/>
      <c r="C572" s="27"/>
      <c r="D572" s="27"/>
      <c r="E572" s="27"/>
      <c r="F572" s="27"/>
      <c r="G572" s="27"/>
      <c r="H572" s="27"/>
      <c r="I572" s="27"/>
      <c r="J572" s="27"/>
      <c r="K572" s="27"/>
      <c r="L572" s="41"/>
    </row>
    <row r="573" spans="1:12">
      <c r="A573" s="40"/>
      <c r="B573" s="27"/>
      <c r="C573" s="27"/>
      <c r="D573" s="27"/>
      <c r="E573" s="27"/>
      <c r="F573" s="27"/>
      <c r="G573" s="27"/>
      <c r="H573" s="27"/>
      <c r="I573" s="27"/>
      <c r="J573" s="27"/>
      <c r="K573" s="27"/>
      <c r="L573" s="41"/>
    </row>
    <row r="574" spans="1:12">
      <c r="A574" s="40"/>
      <c r="B574" s="27"/>
      <c r="C574" s="27"/>
      <c r="D574" s="27"/>
      <c r="E574" s="27"/>
      <c r="F574" s="27" t="s">
        <v>271</v>
      </c>
      <c r="G574" s="27"/>
      <c r="H574" s="27"/>
      <c r="I574" s="27"/>
      <c r="J574" s="27"/>
      <c r="K574" s="27"/>
      <c r="L574" s="41"/>
    </row>
    <row r="575" spans="1:12">
      <c r="A575" s="40" t="s">
        <v>272</v>
      </c>
      <c r="B575" s="27" t="s">
        <v>273</v>
      </c>
      <c r="C575" s="27"/>
      <c r="D575" s="27"/>
      <c r="E575" s="27"/>
      <c r="F575" s="27">
        <f>'0422Master'!AO513</f>
        <v>0</v>
      </c>
      <c r="G575" s="27"/>
      <c r="H575" s="27"/>
      <c r="I575" s="27"/>
      <c r="J575" s="27"/>
      <c r="K575" s="27"/>
      <c r="L575" s="41"/>
    </row>
    <row r="576" spans="1:12" ht="15" customHeight="1">
      <c r="A576" s="40" t="s">
        <v>274</v>
      </c>
      <c r="B576" s="297">
        <f>'0422Master'!N523</f>
        <v>0</v>
      </c>
      <c r="C576" s="27"/>
      <c r="D576" s="27"/>
      <c r="E576" s="27"/>
      <c r="F576" s="192">
        <f>'0422Master'!AO514</f>
        <v>0</v>
      </c>
      <c r="G576" s="192"/>
      <c r="H576" s="192"/>
      <c r="I576" s="192"/>
      <c r="J576" s="192"/>
      <c r="K576" s="192"/>
      <c r="L576" s="41"/>
    </row>
    <row r="577" spans="1:12" ht="15.75" thickBot="1">
      <c r="A577" s="54"/>
      <c r="B577" s="52"/>
      <c r="C577" s="52"/>
      <c r="D577" s="52"/>
      <c r="E577" s="52"/>
      <c r="F577" s="52"/>
      <c r="G577" s="52"/>
      <c r="H577" s="52"/>
      <c r="I577" s="52"/>
      <c r="J577" s="52"/>
      <c r="K577" s="52"/>
      <c r="L577" s="53"/>
    </row>
    <row r="578" spans="1:12">
      <c r="A578" s="27"/>
      <c r="B578" s="27"/>
      <c r="C578" s="27"/>
      <c r="D578" s="27"/>
      <c r="E578" s="27"/>
      <c r="F578" s="27"/>
      <c r="G578" s="27"/>
      <c r="H578" s="27"/>
      <c r="I578" s="27"/>
      <c r="J578" s="27"/>
      <c r="K578" s="27"/>
      <c r="L578" s="27"/>
    </row>
    <row r="579" spans="1:12">
      <c r="A579" s="27"/>
      <c r="B579" s="108"/>
      <c r="C579" s="100"/>
      <c r="D579" s="100"/>
      <c r="E579" s="100"/>
      <c r="F579" s="100"/>
      <c r="G579" s="27"/>
      <c r="H579" s="108"/>
      <c r="I579" s="100"/>
      <c r="J579" s="100"/>
      <c r="K579" s="100"/>
      <c r="L579" s="100"/>
    </row>
    <row r="580" spans="1:12">
      <c r="A580" s="27"/>
      <c r="B580" s="27"/>
      <c r="C580" s="100"/>
      <c r="D580" s="100"/>
      <c r="E580" s="100"/>
      <c r="F580" s="100"/>
      <c r="G580" s="27"/>
      <c r="H580" s="27"/>
      <c r="I580" s="100"/>
      <c r="J580" s="100"/>
      <c r="K580" s="100"/>
      <c r="L580" s="100"/>
    </row>
    <row r="581" spans="1:12">
      <c r="A581" s="27"/>
      <c r="B581" s="108"/>
      <c r="C581" s="100"/>
      <c r="D581" s="100"/>
      <c r="E581" s="100"/>
      <c r="F581" s="100"/>
      <c r="G581" s="27"/>
      <c r="H581" s="108"/>
      <c r="I581" s="100"/>
      <c r="J581" s="100"/>
      <c r="K581" s="100"/>
      <c r="L581" s="100"/>
    </row>
    <row r="582" spans="1:12">
      <c r="A582" s="27"/>
      <c r="B582" s="100"/>
      <c r="C582" s="100"/>
      <c r="D582" s="100"/>
      <c r="E582" s="100"/>
      <c r="F582" s="100"/>
      <c r="G582" s="27"/>
      <c r="H582" s="100"/>
      <c r="I582" s="100"/>
      <c r="J582" s="100"/>
      <c r="K582" s="100"/>
      <c r="L582" s="100"/>
    </row>
    <row r="583" spans="1:12">
      <c r="A583" s="27"/>
      <c r="B583" s="27"/>
      <c r="C583" s="27"/>
      <c r="D583" s="27"/>
      <c r="E583" s="27"/>
      <c r="F583" s="27"/>
      <c r="G583" s="27"/>
      <c r="H583" s="27"/>
      <c r="I583" s="27"/>
      <c r="J583" s="27"/>
      <c r="K583" s="27"/>
      <c r="L583" s="27"/>
    </row>
    <row r="584" spans="1:12">
      <c r="A584" s="27"/>
      <c r="B584" s="664"/>
      <c r="C584" s="664"/>
      <c r="D584" s="664"/>
      <c r="E584" s="664"/>
      <c r="F584" s="664"/>
      <c r="G584" s="27"/>
      <c r="H584" s="664"/>
      <c r="I584" s="664"/>
      <c r="J584" s="664"/>
      <c r="K584" s="664"/>
      <c r="L584" s="664"/>
    </row>
    <row r="585" spans="1:12">
      <c r="A585" s="27"/>
      <c r="B585" s="27"/>
      <c r="C585" s="27"/>
      <c r="D585" s="27"/>
      <c r="E585" s="27"/>
      <c r="F585" s="27"/>
      <c r="G585" s="27"/>
      <c r="H585" s="27"/>
      <c r="I585" s="27"/>
      <c r="J585" s="27"/>
      <c r="K585" s="27"/>
      <c r="L585" s="27"/>
    </row>
    <row r="586" spans="1:12">
      <c r="A586" s="27"/>
      <c r="B586" s="27"/>
      <c r="C586" s="27"/>
      <c r="D586" s="27"/>
      <c r="E586" s="27"/>
      <c r="F586" s="27"/>
      <c r="G586" s="27"/>
      <c r="H586" s="185"/>
      <c r="I586" s="185"/>
      <c r="J586" s="185"/>
      <c r="K586" s="185"/>
      <c r="L586" s="185"/>
    </row>
    <row r="587" spans="1:12">
      <c r="A587" s="27"/>
      <c r="B587" s="100"/>
      <c r="C587" s="100"/>
      <c r="D587" s="100"/>
      <c r="E587" s="100"/>
      <c r="F587" s="100"/>
      <c r="G587" s="27"/>
      <c r="H587" s="108"/>
      <c r="I587" s="108"/>
      <c r="J587" s="108"/>
      <c r="K587" s="108"/>
      <c r="L587" s="108"/>
    </row>
    <row r="588" spans="1:12">
      <c r="A588" s="27"/>
      <c r="B588" s="108"/>
      <c r="C588" s="100"/>
      <c r="D588" s="100"/>
      <c r="E588" s="100"/>
      <c r="F588" s="100"/>
      <c r="G588" s="27"/>
      <c r="H588" s="108"/>
      <c r="I588" s="108"/>
      <c r="J588" s="108"/>
      <c r="K588" s="108"/>
      <c r="L588" s="108"/>
    </row>
    <row r="589" spans="1:12">
      <c r="A589" s="27"/>
      <c r="B589" s="100"/>
      <c r="C589" s="100"/>
      <c r="D589" s="100"/>
      <c r="E589" s="100"/>
      <c r="F589" s="100"/>
      <c r="G589" s="27"/>
      <c r="H589" s="108"/>
      <c r="I589" s="108"/>
      <c r="J589" s="108"/>
      <c r="K589" s="108"/>
      <c r="L589" s="108"/>
    </row>
    <row r="590" spans="1:12">
      <c r="A590" s="27"/>
      <c r="B590" s="100"/>
      <c r="C590" s="100"/>
      <c r="D590" s="100"/>
      <c r="E590" s="100"/>
      <c r="F590" s="100"/>
      <c r="G590" s="27"/>
      <c r="H590" s="108"/>
      <c r="I590" s="108"/>
      <c r="J590" s="108"/>
      <c r="K590" s="108"/>
      <c r="L590" s="108"/>
    </row>
    <row r="591" spans="1:12" ht="27.95" customHeight="1">
      <c r="A591" s="265"/>
      <c r="B591" s="844"/>
      <c r="C591" s="844"/>
      <c r="D591" s="844"/>
      <c r="E591" s="844"/>
      <c r="F591" s="844"/>
      <c r="G591" s="844"/>
      <c r="H591" s="841"/>
      <c r="I591" s="842"/>
      <c r="J591" s="842"/>
      <c r="K591" s="842"/>
      <c r="L591" s="842"/>
    </row>
    <row r="592" spans="1:12" ht="27.95" customHeight="1">
      <c r="A592" s="265"/>
      <c r="B592" s="748"/>
      <c r="C592" s="748"/>
      <c r="D592" s="748"/>
      <c r="E592" s="748"/>
      <c r="F592" s="748"/>
      <c r="G592" s="748"/>
      <c r="H592" s="841"/>
      <c r="I592" s="842"/>
      <c r="J592" s="842"/>
      <c r="K592" s="842"/>
      <c r="L592" s="842"/>
    </row>
    <row r="593" spans="1:12" ht="27.95" customHeight="1">
      <c r="A593" s="265"/>
      <c r="B593" s="844"/>
      <c r="C593" s="844"/>
      <c r="D593" s="844"/>
      <c r="E593" s="844"/>
      <c r="F593" s="844"/>
      <c r="G593" s="844"/>
      <c r="H593" s="841"/>
      <c r="I593" s="842"/>
      <c r="J593" s="842"/>
      <c r="K593" s="842"/>
      <c r="L593" s="842"/>
    </row>
    <row r="594" spans="1:12" ht="27.95" customHeight="1">
      <c r="A594" s="265"/>
      <c r="B594" s="844"/>
      <c r="C594" s="844"/>
      <c r="D594" s="844"/>
      <c r="E594" s="844"/>
      <c r="F594" s="844"/>
      <c r="G594" s="844"/>
      <c r="H594" s="845"/>
      <c r="I594" s="842"/>
      <c r="J594" s="842"/>
      <c r="K594" s="842"/>
      <c r="L594" s="842"/>
    </row>
    <row r="595" spans="1:12" ht="27.95" customHeight="1">
      <c r="A595" s="265"/>
      <c r="B595" s="193"/>
      <c r="C595" s="412"/>
      <c r="D595" s="412"/>
      <c r="E595" s="412"/>
      <c r="F595" s="412"/>
      <c r="G595" s="412"/>
      <c r="H595" s="411"/>
      <c r="I595" s="265"/>
      <c r="J595" s="266"/>
      <c r="K595" s="411"/>
      <c r="L595" s="411"/>
    </row>
    <row r="596" spans="1:12" ht="27.95" customHeight="1">
      <c r="A596" s="265"/>
      <c r="B596" s="193"/>
      <c r="C596" s="412"/>
      <c r="D596" s="412"/>
      <c r="E596" s="412"/>
      <c r="F596" s="412"/>
      <c r="G596" s="412"/>
      <c r="H596" s="411"/>
      <c r="I596" s="411"/>
      <c r="J596" s="266"/>
      <c r="K596" s="411"/>
      <c r="L596" s="411"/>
    </row>
    <row r="597" spans="1:12" ht="27.95" customHeight="1">
      <c r="A597" s="265"/>
      <c r="B597" s="748"/>
      <c r="C597" s="748"/>
      <c r="D597" s="748"/>
      <c r="E597" s="748"/>
      <c r="F597" s="748"/>
      <c r="G597" s="748"/>
      <c r="H597" s="841"/>
      <c r="I597" s="842"/>
      <c r="J597" s="842"/>
      <c r="K597" s="842"/>
      <c r="L597" s="842"/>
    </row>
    <row r="598" spans="1:12" ht="27.95" customHeight="1">
      <c r="A598" s="265"/>
      <c r="B598" s="844"/>
      <c r="C598" s="844"/>
      <c r="D598" s="844"/>
      <c r="E598" s="844"/>
      <c r="F598" s="844"/>
      <c r="G598" s="844"/>
      <c r="H598" s="847"/>
      <c r="I598" s="842"/>
      <c r="J598" s="842"/>
      <c r="K598" s="842"/>
      <c r="L598" s="842"/>
    </row>
    <row r="599" spans="1:12" ht="27.95" customHeight="1">
      <c r="A599" s="27"/>
      <c r="B599" s="844"/>
      <c r="C599" s="844"/>
      <c r="D599" s="844"/>
      <c r="E599" s="844"/>
      <c r="F599" s="844"/>
      <c r="G599" s="844"/>
      <c r="H599" s="842"/>
      <c r="I599" s="842"/>
      <c r="J599" s="842"/>
      <c r="K599" s="842"/>
      <c r="L599" s="842"/>
    </row>
    <row r="600" spans="1:12" ht="27.95" customHeight="1">
      <c r="A600" s="27"/>
      <c r="B600" s="193"/>
      <c r="C600" s="412"/>
      <c r="D600" s="412"/>
      <c r="E600" s="412"/>
      <c r="F600" s="412"/>
      <c r="G600" s="412"/>
      <c r="H600" s="411"/>
      <c r="I600" s="411"/>
      <c r="J600" s="411"/>
      <c r="K600" s="411"/>
      <c r="L600" s="411"/>
    </row>
    <row r="601" spans="1:12" ht="27.95" customHeight="1">
      <c r="A601" s="27"/>
      <c r="B601" s="193"/>
      <c r="C601" s="412"/>
      <c r="D601" s="412"/>
      <c r="E601" s="412"/>
      <c r="F601" s="412"/>
      <c r="G601" s="412"/>
      <c r="H601" s="411"/>
      <c r="I601" s="411"/>
      <c r="J601" s="411"/>
      <c r="K601" s="411"/>
      <c r="L601" s="411"/>
    </row>
    <row r="602" spans="1:12" ht="27.95" customHeight="1">
      <c r="A602" s="27"/>
      <c r="B602" s="193"/>
      <c r="C602" s="412"/>
      <c r="D602" s="412"/>
      <c r="E602" s="412"/>
      <c r="F602" s="412"/>
      <c r="G602" s="412"/>
      <c r="H602" s="411"/>
      <c r="I602" s="411"/>
      <c r="J602" s="410"/>
      <c r="K602" s="411"/>
      <c r="L602" s="411"/>
    </row>
    <row r="603" spans="1:12" ht="27.95" customHeight="1">
      <c r="A603" s="27"/>
      <c r="B603" s="193"/>
      <c r="C603" s="412"/>
      <c r="D603" s="412"/>
      <c r="E603" s="412"/>
      <c r="F603" s="412"/>
      <c r="G603" s="412"/>
      <c r="H603" s="411"/>
      <c r="I603" s="411"/>
      <c r="J603" s="411"/>
      <c r="K603" s="411"/>
      <c r="L603" s="411"/>
    </row>
    <row r="604" spans="1:12" ht="27.95" customHeight="1">
      <c r="A604" s="27"/>
      <c r="B604" s="193"/>
      <c r="C604" s="412"/>
      <c r="D604" s="412"/>
      <c r="E604" s="412"/>
      <c r="F604" s="412"/>
      <c r="G604" s="412"/>
      <c r="H604" s="411"/>
      <c r="I604" s="411"/>
      <c r="J604" s="410"/>
      <c r="K604" s="411"/>
      <c r="L604" s="411"/>
    </row>
    <row r="605" spans="1:12" ht="27.95" customHeight="1">
      <c r="A605" s="27"/>
      <c r="B605" s="193"/>
      <c r="C605" s="412"/>
      <c r="D605" s="411"/>
      <c r="E605" s="410"/>
      <c r="F605" s="411"/>
      <c r="G605" s="410"/>
      <c r="H605" s="411"/>
      <c r="I605" s="410"/>
      <c r="J605" s="411"/>
      <c r="K605" s="410"/>
      <c r="L605" s="410"/>
    </row>
    <row r="606" spans="1:12" ht="27.95" customHeight="1">
      <c r="A606" s="27"/>
      <c r="B606" s="193"/>
      <c r="C606" s="412"/>
      <c r="D606" s="412"/>
      <c r="E606" s="412"/>
      <c r="F606" s="412"/>
      <c r="G606" s="412"/>
      <c r="H606" s="411"/>
      <c r="I606" s="411"/>
      <c r="J606" s="267"/>
      <c r="K606" s="411"/>
      <c r="L606" s="411"/>
    </row>
    <row r="607" spans="1:12" ht="27.95" customHeight="1">
      <c r="A607" s="27"/>
      <c r="B607" s="193"/>
      <c r="C607" s="185"/>
      <c r="D607" s="185"/>
      <c r="E607" s="185"/>
      <c r="F607" s="185"/>
      <c r="G607" s="185"/>
      <c r="H607" s="27"/>
      <c r="I607" s="27"/>
      <c r="J607" s="27"/>
      <c r="K607" s="27"/>
      <c r="L607" s="27"/>
    </row>
    <row r="608" spans="1:12" ht="27.95" customHeight="1">
      <c r="A608" s="27"/>
      <c r="B608" s="193"/>
      <c r="C608" s="185"/>
      <c r="D608" s="185"/>
      <c r="E608" s="185"/>
      <c r="F608" s="185"/>
      <c r="G608" s="185"/>
      <c r="H608" s="27"/>
      <c r="I608" s="27"/>
      <c r="J608" s="27"/>
      <c r="K608" s="27"/>
      <c r="L608" s="27"/>
    </row>
    <row r="609" spans="1:12">
      <c r="A609" s="27"/>
      <c r="B609" s="27"/>
      <c r="C609" s="27"/>
      <c r="D609" s="27"/>
      <c r="E609" s="27"/>
      <c r="F609" s="27"/>
      <c r="G609" s="27"/>
      <c r="H609" s="27"/>
      <c r="I609" s="27"/>
      <c r="J609" s="27"/>
      <c r="K609" s="27"/>
      <c r="L609" s="27"/>
    </row>
    <row r="610" spans="1:12">
      <c r="A610" s="27"/>
      <c r="B610" s="27"/>
      <c r="C610" s="27"/>
      <c r="D610" s="27"/>
      <c r="E610" s="27"/>
      <c r="F610" s="27"/>
      <c r="G610" s="27"/>
      <c r="H610" s="27"/>
      <c r="I610" s="27"/>
      <c r="J610" s="27"/>
      <c r="K610" s="27"/>
      <c r="L610" s="27"/>
    </row>
    <row r="611" spans="1:12" ht="32.25">
      <c r="A611" s="27"/>
      <c r="B611" s="848"/>
      <c r="C611" s="767"/>
      <c r="D611" s="767"/>
      <c r="E611" s="767"/>
      <c r="F611" s="767"/>
      <c r="G611" s="767"/>
      <c r="H611" s="767"/>
      <c r="I611" s="767"/>
      <c r="J611" s="767"/>
      <c r="K611" s="767"/>
      <c r="L611" s="767"/>
    </row>
    <row r="612" spans="1:12" ht="23.25">
      <c r="A612" s="27"/>
      <c r="B612" s="738"/>
      <c r="C612" s="738"/>
      <c r="D612" s="738"/>
      <c r="E612" s="738"/>
      <c r="F612" s="738"/>
      <c r="G612" s="738"/>
      <c r="H612" s="738"/>
      <c r="I612" s="738"/>
      <c r="J612" s="738"/>
      <c r="K612" s="738"/>
      <c r="L612" s="738"/>
    </row>
    <row r="613" spans="1:12" ht="15.75">
      <c r="A613" s="27"/>
      <c r="B613" s="846"/>
      <c r="C613" s="846"/>
      <c r="D613" s="846"/>
      <c r="E613" s="846"/>
      <c r="F613" s="846"/>
      <c r="G613" s="846"/>
      <c r="H613" s="846"/>
      <c r="I613" s="846"/>
      <c r="J613" s="846"/>
      <c r="K613" s="846"/>
      <c r="L613" s="846"/>
    </row>
    <row r="614" spans="1:12" ht="15" customHeight="1">
      <c r="A614" s="27"/>
      <c r="B614" s="747"/>
      <c r="C614" s="747"/>
      <c r="D614" s="747"/>
      <c r="E614" s="747"/>
      <c r="F614" s="747"/>
      <c r="G614" s="27"/>
      <c r="H614" s="748"/>
      <c r="I614" s="748"/>
      <c r="J614" s="748"/>
      <c r="K614" s="748"/>
      <c r="L614" s="748"/>
    </row>
    <row r="615" spans="1:12">
      <c r="A615" s="27"/>
      <c r="B615" s="747"/>
      <c r="C615" s="747"/>
      <c r="D615" s="747"/>
      <c r="E615" s="747"/>
      <c r="F615" s="747"/>
      <c r="G615" s="27"/>
      <c r="H615" s="748"/>
      <c r="I615" s="748"/>
      <c r="J615" s="748"/>
      <c r="K615" s="748"/>
      <c r="L615" s="748"/>
    </row>
    <row r="616" spans="1:12">
      <c r="A616" s="27"/>
      <c r="B616" s="27"/>
      <c r="C616" s="27"/>
      <c r="D616" s="27"/>
      <c r="E616" s="27"/>
      <c r="F616" s="27"/>
      <c r="G616" s="27"/>
      <c r="H616" s="27"/>
      <c r="I616" s="27"/>
      <c r="J616" s="27"/>
      <c r="K616" s="27"/>
      <c r="L616" s="27"/>
    </row>
    <row r="617" spans="1:12">
      <c r="A617" s="27"/>
      <c r="B617" s="108"/>
      <c r="C617" s="100"/>
      <c r="D617" s="100"/>
      <c r="E617" s="100"/>
      <c r="F617" s="100"/>
      <c r="G617" s="27"/>
      <c r="H617" s="108"/>
      <c r="I617" s="100"/>
      <c r="J617" s="100"/>
      <c r="K617" s="100"/>
      <c r="L617" s="100"/>
    </row>
    <row r="618" spans="1:12">
      <c r="A618" s="27"/>
      <c r="B618" s="27"/>
      <c r="C618" s="100"/>
      <c r="D618" s="100"/>
      <c r="E618" s="100"/>
      <c r="F618" s="100"/>
      <c r="G618" s="27"/>
      <c r="H618" s="27"/>
      <c r="I618" s="100"/>
      <c r="J618" s="100"/>
      <c r="K618" s="100"/>
      <c r="L618" s="100"/>
    </row>
    <row r="619" spans="1:12">
      <c r="A619" s="27"/>
      <c r="B619" s="108"/>
      <c r="C619" s="100"/>
      <c r="D619" s="100"/>
      <c r="E619" s="100"/>
      <c r="F619" s="100"/>
      <c r="G619" s="27"/>
      <c r="H619" s="108"/>
      <c r="I619" s="100"/>
      <c r="J619" s="100"/>
      <c r="K619" s="100"/>
      <c r="L619" s="100"/>
    </row>
    <row r="620" spans="1:12">
      <c r="A620" s="27"/>
      <c r="B620" s="100"/>
      <c r="C620" s="100"/>
      <c r="D620" s="100"/>
      <c r="E620" s="100"/>
      <c r="F620" s="100"/>
      <c r="G620" s="27"/>
      <c r="H620" s="100"/>
      <c r="I620" s="100"/>
      <c r="J620" s="100"/>
      <c r="K620" s="100"/>
      <c r="L620" s="100"/>
    </row>
    <row r="621" spans="1:12">
      <c r="A621" s="27"/>
      <c r="B621" s="27"/>
      <c r="C621" s="27"/>
      <c r="D621" s="27"/>
      <c r="E621" s="27"/>
      <c r="F621" s="27"/>
      <c r="G621" s="27"/>
      <c r="H621" s="27"/>
      <c r="I621" s="27"/>
      <c r="J621" s="27"/>
      <c r="K621" s="27"/>
      <c r="L621" s="27"/>
    </row>
    <row r="622" spans="1:12">
      <c r="A622" s="27"/>
      <c r="B622" s="664"/>
      <c r="C622" s="664"/>
      <c r="D622" s="664"/>
      <c r="E622" s="664"/>
      <c r="F622" s="664"/>
      <c r="G622" s="27"/>
      <c r="H622" s="664"/>
      <c r="I622" s="664"/>
      <c r="J622" s="664"/>
      <c r="K622" s="664"/>
      <c r="L622" s="664"/>
    </row>
    <row r="623" spans="1:12">
      <c r="A623" s="27"/>
      <c r="B623" s="27"/>
      <c r="C623" s="27"/>
      <c r="D623" s="27"/>
      <c r="E623" s="27"/>
      <c r="F623" s="27"/>
      <c r="G623" s="27"/>
      <c r="H623" s="27"/>
      <c r="I623" s="27"/>
      <c r="J623" s="27"/>
      <c r="K623" s="27"/>
      <c r="L623" s="27"/>
    </row>
    <row r="624" spans="1:12">
      <c r="A624" s="27"/>
      <c r="B624" s="27"/>
      <c r="C624" s="27"/>
      <c r="D624" s="27"/>
      <c r="E624" s="27"/>
      <c r="F624" s="27"/>
      <c r="G624" s="27"/>
      <c r="H624" s="185"/>
      <c r="I624" s="185"/>
      <c r="J624" s="185"/>
      <c r="K624" s="185"/>
      <c r="L624" s="185"/>
    </row>
    <row r="625" spans="1:12">
      <c r="A625" s="27"/>
      <c r="B625" s="100"/>
      <c r="C625" s="100"/>
      <c r="D625" s="100"/>
      <c r="E625" s="100"/>
      <c r="F625" s="100"/>
      <c r="G625" s="27"/>
      <c r="H625" s="108"/>
      <c r="I625" s="108"/>
      <c r="J625" s="108"/>
      <c r="K625" s="108"/>
      <c r="L625" s="108"/>
    </row>
    <row r="626" spans="1:12">
      <c r="A626" s="27"/>
      <c r="B626" s="108"/>
      <c r="C626" s="100"/>
      <c r="D626" s="100"/>
      <c r="E626" s="100"/>
      <c r="F626" s="100"/>
      <c r="G626" s="27"/>
      <c r="H626" s="108"/>
      <c r="I626" s="108"/>
      <c r="J626" s="108"/>
      <c r="K626" s="108"/>
      <c r="L626" s="108"/>
    </row>
    <row r="627" spans="1:12">
      <c r="A627" s="27"/>
      <c r="B627" s="100"/>
      <c r="C627" s="100"/>
      <c r="D627" s="100"/>
      <c r="E627" s="100"/>
      <c r="F627" s="100"/>
      <c r="G627" s="27"/>
      <c r="H627" s="108"/>
      <c r="I627" s="108"/>
      <c r="J627" s="108"/>
      <c r="K627" s="108"/>
      <c r="L627" s="108"/>
    </row>
    <row r="628" spans="1:12">
      <c r="A628" s="27"/>
      <c r="B628" s="100"/>
      <c r="C628" s="100"/>
      <c r="D628" s="100"/>
      <c r="E628" s="100"/>
      <c r="F628" s="100"/>
      <c r="G628" s="27"/>
      <c r="H628" s="108"/>
      <c r="I628" s="108"/>
      <c r="J628" s="108"/>
      <c r="K628" s="108"/>
      <c r="L628" s="108"/>
    </row>
    <row r="629" spans="1:12" ht="27.95" customHeight="1">
      <c r="A629" s="265"/>
      <c r="B629" s="844"/>
      <c r="C629" s="844"/>
      <c r="D629" s="844"/>
      <c r="E629" s="844"/>
      <c r="F629" s="844"/>
      <c r="G629" s="844"/>
      <c r="H629" s="841"/>
      <c r="I629" s="842"/>
      <c r="J629" s="842"/>
      <c r="K629" s="842"/>
      <c r="L629" s="842"/>
    </row>
    <row r="630" spans="1:12" ht="27.95" customHeight="1">
      <c r="A630" s="265"/>
      <c r="B630" s="748"/>
      <c r="C630" s="748"/>
      <c r="D630" s="748"/>
      <c r="E630" s="748"/>
      <c r="F630" s="748"/>
      <c r="G630" s="748"/>
      <c r="H630" s="841"/>
      <c r="I630" s="842"/>
      <c r="J630" s="842"/>
      <c r="K630" s="842"/>
      <c r="L630" s="842"/>
    </row>
    <row r="631" spans="1:12" ht="27.95" customHeight="1">
      <c r="A631" s="265"/>
      <c r="B631" s="844"/>
      <c r="C631" s="844"/>
      <c r="D631" s="844"/>
      <c r="E631" s="844"/>
      <c r="F631" s="844"/>
      <c r="G631" s="844"/>
      <c r="H631" s="841"/>
      <c r="I631" s="842"/>
      <c r="J631" s="842"/>
      <c r="K631" s="842"/>
      <c r="L631" s="842"/>
    </row>
    <row r="632" spans="1:12" ht="27.95" customHeight="1">
      <c r="A632" s="265"/>
      <c r="B632" s="844"/>
      <c r="C632" s="844"/>
      <c r="D632" s="844"/>
      <c r="E632" s="844"/>
      <c r="F632" s="844"/>
      <c r="G632" s="844"/>
      <c r="H632" s="845"/>
      <c r="I632" s="842"/>
      <c r="J632" s="842"/>
      <c r="K632" s="842"/>
      <c r="L632" s="842"/>
    </row>
    <row r="633" spans="1:12" ht="27.95" customHeight="1">
      <c r="A633" s="265"/>
      <c r="B633" s="193"/>
      <c r="C633" s="412"/>
      <c r="D633" s="412"/>
      <c r="E633" s="412"/>
      <c r="F633" s="412"/>
      <c r="G633" s="412"/>
      <c r="H633" s="411"/>
      <c r="I633" s="265"/>
      <c r="J633" s="266"/>
      <c r="K633" s="411"/>
      <c r="L633" s="411"/>
    </row>
    <row r="634" spans="1:12" ht="27.95" customHeight="1">
      <c r="A634" s="265"/>
      <c r="B634" s="193"/>
      <c r="C634" s="412"/>
      <c r="D634" s="412"/>
      <c r="E634" s="412"/>
      <c r="F634" s="412"/>
      <c r="G634" s="412"/>
      <c r="H634" s="411"/>
      <c r="I634" s="411"/>
      <c r="J634" s="266"/>
      <c r="K634" s="411"/>
      <c r="L634" s="411"/>
    </row>
    <row r="635" spans="1:12" ht="27.95" customHeight="1">
      <c r="A635" s="265"/>
      <c r="B635" s="748"/>
      <c r="C635" s="748"/>
      <c r="D635" s="748"/>
      <c r="E635" s="748"/>
      <c r="F635" s="748"/>
      <c r="G635" s="748"/>
      <c r="H635" s="841"/>
      <c r="I635" s="842"/>
      <c r="J635" s="842"/>
      <c r="K635" s="842"/>
      <c r="L635" s="842"/>
    </row>
    <row r="636" spans="1:12" ht="27.95" customHeight="1">
      <c r="A636" s="265"/>
      <c r="B636" s="844"/>
      <c r="C636" s="844"/>
      <c r="D636" s="844"/>
      <c r="E636" s="844"/>
      <c r="F636" s="844"/>
      <c r="G636" s="844"/>
      <c r="H636" s="847"/>
      <c r="I636" s="842"/>
      <c r="J636" s="842"/>
      <c r="K636" s="842"/>
      <c r="L636" s="842"/>
    </row>
    <row r="637" spans="1:12" ht="27.95" customHeight="1">
      <c r="A637" s="27"/>
      <c r="B637" s="844"/>
      <c r="C637" s="844"/>
      <c r="D637" s="844"/>
      <c r="E637" s="844"/>
      <c r="F637" s="844"/>
      <c r="G637" s="844"/>
      <c r="H637" s="842"/>
      <c r="I637" s="842"/>
      <c r="J637" s="842"/>
      <c r="K637" s="842"/>
      <c r="L637" s="842"/>
    </row>
    <row r="638" spans="1:12" ht="27.95" customHeight="1">
      <c r="A638" s="27"/>
      <c r="B638" s="193"/>
      <c r="C638" s="412"/>
      <c r="D638" s="412"/>
      <c r="E638" s="412"/>
      <c r="F638" s="412"/>
      <c r="G638" s="412"/>
      <c r="H638" s="411"/>
      <c r="I638" s="411"/>
      <c r="J638" s="411"/>
      <c r="K638" s="411"/>
      <c r="L638" s="411"/>
    </row>
    <row r="639" spans="1:12" ht="27.95" customHeight="1">
      <c r="A639" s="27"/>
      <c r="B639" s="193"/>
      <c r="C639" s="412"/>
      <c r="D639" s="412"/>
      <c r="E639" s="412"/>
      <c r="F639" s="412"/>
      <c r="G639" s="412"/>
      <c r="H639" s="411"/>
      <c r="I639" s="411"/>
      <c r="J639" s="411"/>
      <c r="K639" s="411"/>
      <c r="L639" s="411"/>
    </row>
    <row r="640" spans="1:12" ht="27.95" customHeight="1">
      <c r="A640" s="27"/>
      <c r="B640" s="193"/>
      <c r="C640" s="412"/>
      <c r="D640" s="412"/>
      <c r="E640" s="412"/>
      <c r="F640" s="412"/>
      <c r="G640" s="412"/>
      <c r="H640" s="411"/>
      <c r="I640" s="411"/>
      <c r="J640" s="410"/>
      <c r="K640" s="411"/>
      <c r="L640" s="411"/>
    </row>
    <row r="641" spans="1:12" ht="27.95" customHeight="1">
      <c r="A641" s="27"/>
      <c r="B641" s="193"/>
      <c r="C641" s="412"/>
      <c r="D641" s="412"/>
      <c r="E641" s="412"/>
      <c r="F641" s="412"/>
      <c r="G641" s="412"/>
      <c r="H641" s="411"/>
      <c r="I641" s="411"/>
      <c r="J641" s="411"/>
      <c r="K641" s="411"/>
      <c r="L641" s="411"/>
    </row>
    <row r="642" spans="1:12" ht="27.95" customHeight="1">
      <c r="A642" s="27"/>
      <c r="B642" s="193"/>
      <c r="C642" s="412"/>
      <c r="D642" s="412"/>
      <c r="E642" s="412"/>
      <c r="F642" s="412"/>
      <c r="G642" s="412"/>
      <c r="H642" s="411"/>
      <c r="I642" s="411"/>
      <c r="J642" s="410"/>
      <c r="K642" s="411"/>
      <c r="L642" s="411"/>
    </row>
    <row r="643" spans="1:12" ht="27.95" customHeight="1">
      <c r="A643" s="27"/>
      <c r="B643" s="193"/>
      <c r="C643" s="412"/>
      <c r="D643" s="411"/>
      <c r="E643" s="410"/>
      <c r="F643" s="411"/>
      <c r="G643" s="410"/>
      <c r="H643" s="411"/>
      <c r="I643" s="410"/>
      <c r="J643" s="411"/>
      <c r="K643" s="410"/>
      <c r="L643" s="410"/>
    </row>
    <row r="644" spans="1:12" ht="27.95" customHeight="1">
      <c r="A644" s="27"/>
      <c r="B644" s="193"/>
      <c r="C644" s="412"/>
      <c r="D644" s="412"/>
      <c r="E644" s="412"/>
      <c r="F644" s="412"/>
      <c r="G644" s="412"/>
      <c r="H644" s="411"/>
      <c r="I644" s="411"/>
      <c r="J644" s="267"/>
      <c r="K644" s="411"/>
      <c r="L644" s="411"/>
    </row>
    <row r="645" spans="1:12" ht="27.95" customHeight="1">
      <c r="A645" s="27"/>
      <c r="B645" s="193"/>
      <c r="C645" s="185"/>
      <c r="D645" s="185"/>
      <c r="E645" s="185"/>
      <c r="F645" s="185"/>
      <c r="G645" s="185"/>
      <c r="H645" s="27"/>
      <c r="I645" s="27"/>
      <c r="J645" s="27"/>
      <c r="K645" s="27"/>
      <c r="L645" s="27"/>
    </row>
    <row r="646" spans="1:12" ht="27.95" customHeight="1">
      <c r="A646" s="27"/>
      <c r="B646" s="193"/>
      <c r="C646" s="185"/>
      <c r="D646" s="185"/>
      <c r="E646" s="185"/>
      <c r="F646" s="185"/>
      <c r="G646" s="185"/>
      <c r="H646" s="27"/>
      <c r="I646" s="27"/>
      <c r="J646" s="27"/>
      <c r="K646" s="27"/>
      <c r="L646" s="27"/>
    </row>
    <row r="647" spans="1:12">
      <c r="A647" s="27"/>
      <c r="B647" s="27"/>
      <c r="C647" s="27"/>
      <c r="D647" s="27"/>
      <c r="E647" s="27"/>
      <c r="F647" s="27"/>
      <c r="G647" s="27"/>
      <c r="H647" s="27"/>
      <c r="I647" s="27"/>
      <c r="J647" s="27"/>
      <c r="K647" s="27"/>
      <c r="L647" s="27"/>
    </row>
    <row r="648" spans="1:12">
      <c r="A648" s="27"/>
      <c r="B648" s="27"/>
      <c r="C648" s="27"/>
      <c r="D648" s="27"/>
      <c r="E648" s="27"/>
      <c r="F648" s="27"/>
      <c r="G648" s="27"/>
      <c r="H648" s="27"/>
      <c r="I648" s="27"/>
      <c r="J648" s="27"/>
      <c r="K648" s="27"/>
      <c r="L648" s="27"/>
    </row>
    <row r="649" spans="1:12">
      <c r="A649" s="27"/>
      <c r="B649" s="27"/>
      <c r="C649" s="27"/>
      <c r="D649" s="27"/>
      <c r="E649" s="27"/>
      <c r="F649" s="27"/>
      <c r="G649" s="27"/>
      <c r="H649" s="27"/>
      <c r="I649" s="27"/>
      <c r="J649" s="27"/>
      <c r="K649" s="27"/>
      <c r="L649" s="27"/>
    </row>
    <row r="650" spans="1:12" ht="32.25">
      <c r="A650" s="27"/>
      <c r="B650" s="848"/>
      <c r="C650" s="767"/>
      <c r="D650" s="767"/>
      <c r="E650" s="767"/>
      <c r="F650" s="767"/>
      <c r="G650" s="767"/>
      <c r="H650" s="767"/>
      <c r="I650" s="767"/>
      <c r="J650" s="767"/>
      <c r="K650" s="767"/>
      <c r="L650" s="767"/>
    </row>
    <row r="651" spans="1:12" ht="23.25">
      <c r="A651" s="27"/>
      <c r="B651" s="738"/>
      <c r="C651" s="738"/>
      <c r="D651" s="738"/>
      <c r="E651" s="738"/>
      <c r="F651" s="738"/>
      <c r="G651" s="738"/>
      <c r="H651" s="738"/>
      <c r="I651" s="738"/>
      <c r="J651" s="738"/>
      <c r="K651" s="738"/>
      <c r="L651" s="738"/>
    </row>
    <row r="652" spans="1:12" ht="15.75">
      <c r="A652" s="27"/>
      <c r="B652" s="846"/>
      <c r="C652" s="846"/>
      <c r="D652" s="846"/>
      <c r="E652" s="846"/>
      <c r="F652" s="846"/>
      <c r="G652" s="846"/>
      <c r="H652" s="846"/>
      <c r="I652" s="846"/>
      <c r="J652" s="846"/>
      <c r="K652" s="846"/>
      <c r="L652" s="846"/>
    </row>
    <row r="653" spans="1:12" ht="15" customHeight="1">
      <c r="A653" s="27"/>
      <c r="B653" s="747"/>
      <c r="C653" s="747"/>
      <c r="D653" s="747"/>
      <c r="E653" s="747"/>
      <c r="F653" s="747"/>
      <c r="G653" s="27"/>
      <c r="H653" s="748"/>
      <c r="I653" s="748"/>
      <c r="J653" s="748"/>
      <c r="K653" s="748"/>
      <c r="L653" s="748"/>
    </row>
    <row r="654" spans="1:12">
      <c r="A654" s="27"/>
      <c r="B654" s="747"/>
      <c r="C654" s="747"/>
      <c r="D654" s="747"/>
      <c r="E654" s="747"/>
      <c r="F654" s="747"/>
      <c r="G654" s="27"/>
      <c r="H654" s="748"/>
      <c r="I654" s="748"/>
      <c r="J654" s="748"/>
      <c r="K654" s="748"/>
      <c r="L654" s="748"/>
    </row>
    <row r="655" spans="1:12">
      <c r="A655" s="27"/>
      <c r="B655" s="27"/>
      <c r="C655" s="27"/>
      <c r="D655" s="27"/>
      <c r="E655" s="27"/>
      <c r="F655" s="27"/>
      <c r="G655" s="27"/>
      <c r="H655" s="27"/>
      <c r="I655" s="27"/>
      <c r="J655" s="27"/>
      <c r="K655" s="27"/>
      <c r="L655" s="27"/>
    </row>
    <row r="656" spans="1:12">
      <c r="A656" s="27"/>
      <c r="B656" s="108"/>
      <c r="C656" s="100"/>
      <c r="D656" s="100"/>
      <c r="E656" s="100"/>
      <c r="F656" s="100"/>
      <c r="G656" s="27"/>
      <c r="H656" s="108"/>
      <c r="I656" s="100"/>
      <c r="J656" s="100"/>
      <c r="K656" s="100"/>
      <c r="L656" s="100"/>
    </row>
    <row r="657" spans="1:12">
      <c r="A657" s="27"/>
      <c r="B657" s="27"/>
      <c r="C657" s="100"/>
      <c r="D657" s="100"/>
      <c r="E657" s="100"/>
      <c r="F657" s="100"/>
      <c r="G657" s="27"/>
      <c r="H657" s="27"/>
      <c r="I657" s="100"/>
      <c r="J657" s="100"/>
      <c r="K657" s="100"/>
      <c r="L657" s="100"/>
    </row>
    <row r="658" spans="1:12">
      <c r="A658" s="27"/>
      <c r="B658" s="108"/>
      <c r="C658" s="100"/>
      <c r="D658" s="100"/>
      <c r="E658" s="100"/>
      <c r="F658" s="100"/>
      <c r="G658" s="27"/>
      <c r="H658" s="108"/>
      <c r="I658" s="100"/>
      <c r="J658" s="100"/>
      <c r="K658" s="100"/>
      <c r="L658" s="100"/>
    </row>
    <row r="659" spans="1:12">
      <c r="A659" s="27"/>
      <c r="B659" s="100"/>
      <c r="C659" s="100"/>
      <c r="D659" s="100"/>
      <c r="E659" s="100"/>
      <c r="F659" s="100"/>
      <c r="G659" s="27"/>
      <c r="H659" s="100"/>
      <c r="I659" s="100"/>
      <c r="J659" s="100"/>
      <c r="K659" s="100"/>
      <c r="L659" s="100"/>
    </row>
    <row r="660" spans="1:12">
      <c r="A660" s="27"/>
      <c r="B660" s="27"/>
      <c r="C660" s="27"/>
      <c r="D660" s="27"/>
      <c r="E660" s="27"/>
      <c r="F660" s="27"/>
      <c r="G660" s="27"/>
      <c r="H660" s="27"/>
      <c r="I660" s="27"/>
      <c r="J660" s="27"/>
      <c r="K660" s="27"/>
      <c r="L660" s="27"/>
    </row>
    <row r="661" spans="1:12">
      <c r="A661" s="27"/>
      <c r="B661" s="664"/>
      <c r="C661" s="664"/>
      <c r="D661" s="664"/>
      <c r="E661" s="664"/>
      <c r="F661" s="664"/>
      <c r="G661" s="27"/>
      <c r="H661" s="664"/>
      <c r="I661" s="664"/>
      <c r="J661" s="664"/>
      <c r="K661" s="664"/>
      <c r="L661" s="664"/>
    </row>
    <row r="662" spans="1:12">
      <c r="A662" s="27"/>
      <c r="B662" s="27"/>
      <c r="C662" s="27"/>
      <c r="D662" s="27"/>
      <c r="E662" s="27"/>
      <c r="F662" s="27"/>
      <c r="G662" s="27"/>
      <c r="H662" s="27"/>
      <c r="I662" s="27"/>
      <c r="J662" s="27"/>
      <c r="K662" s="27"/>
      <c r="L662" s="27"/>
    </row>
    <row r="663" spans="1:12">
      <c r="A663" s="27"/>
      <c r="B663" s="27"/>
      <c r="C663" s="27"/>
      <c r="D663" s="27"/>
      <c r="E663" s="27"/>
      <c r="F663" s="27"/>
      <c r="G663" s="27"/>
      <c r="H663" s="185"/>
      <c r="I663" s="185"/>
      <c r="J663" s="185"/>
      <c r="K663" s="185"/>
      <c r="L663" s="185"/>
    </row>
    <row r="664" spans="1:12">
      <c r="A664" s="27"/>
      <c r="B664" s="100"/>
      <c r="C664" s="100"/>
      <c r="D664" s="100"/>
      <c r="E664" s="100"/>
      <c r="F664" s="100"/>
      <c r="G664" s="27"/>
      <c r="H664" s="108"/>
      <c r="I664" s="108"/>
      <c r="J664" s="108"/>
      <c r="K664" s="108"/>
      <c r="L664" s="108"/>
    </row>
    <row r="665" spans="1:12">
      <c r="A665" s="27"/>
      <c r="B665" s="108"/>
      <c r="C665" s="100"/>
      <c r="D665" s="100"/>
      <c r="E665" s="100"/>
      <c r="F665" s="100"/>
      <c r="G665" s="27"/>
      <c r="H665" s="108"/>
      <c r="I665" s="108"/>
      <c r="J665" s="108"/>
      <c r="K665" s="108"/>
      <c r="L665" s="108"/>
    </row>
    <row r="666" spans="1:12">
      <c r="A666" s="27"/>
      <c r="B666" s="100"/>
      <c r="C666" s="100"/>
      <c r="D666" s="100"/>
      <c r="E666" s="100"/>
      <c r="F666" s="100"/>
      <c r="G666" s="27"/>
      <c r="H666" s="108"/>
      <c r="I666" s="108"/>
      <c r="J666" s="108"/>
      <c r="K666" s="108"/>
      <c r="L666" s="108"/>
    </row>
    <row r="667" spans="1:12">
      <c r="A667" s="27"/>
      <c r="B667" s="100"/>
      <c r="C667" s="100"/>
      <c r="D667" s="100"/>
      <c r="E667" s="100"/>
      <c r="F667" s="100"/>
      <c r="G667" s="27"/>
      <c r="H667" s="108"/>
      <c r="I667" s="108"/>
      <c r="J667" s="108"/>
      <c r="K667" s="108"/>
      <c r="L667" s="108"/>
    </row>
    <row r="668" spans="1:12" ht="27.95" customHeight="1">
      <c r="A668" s="265"/>
      <c r="B668" s="844"/>
      <c r="C668" s="844"/>
      <c r="D668" s="844"/>
      <c r="E668" s="844"/>
      <c r="F668" s="844"/>
      <c r="G668" s="844"/>
      <c r="H668" s="841"/>
      <c r="I668" s="842"/>
      <c r="J668" s="842"/>
      <c r="K668" s="842"/>
      <c r="L668" s="842"/>
    </row>
    <row r="669" spans="1:12" ht="27.95" customHeight="1">
      <c r="A669" s="265"/>
      <c r="B669" s="748"/>
      <c r="C669" s="748"/>
      <c r="D669" s="748"/>
      <c r="E669" s="748"/>
      <c r="F669" s="748"/>
      <c r="G669" s="748"/>
      <c r="H669" s="841"/>
      <c r="I669" s="842"/>
      <c r="J669" s="842"/>
      <c r="K669" s="842"/>
      <c r="L669" s="842"/>
    </row>
    <row r="670" spans="1:12" ht="27.95" customHeight="1">
      <c r="A670" s="265"/>
      <c r="B670" s="844"/>
      <c r="C670" s="844"/>
      <c r="D670" s="844"/>
      <c r="E670" s="844"/>
      <c r="F670" s="844"/>
      <c r="G670" s="844"/>
      <c r="H670" s="841"/>
      <c r="I670" s="842"/>
      <c r="J670" s="842"/>
      <c r="K670" s="842"/>
      <c r="L670" s="842"/>
    </row>
    <row r="671" spans="1:12" ht="27.95" customHeight="1">
      <c r="A671" s="265"/>
      <c r="B671" s="844"/>
      <c r="C671" s="844"/>
      <c r="D671" s="844"/>
      <c r="E671" s="844"/>
      <c r="F671" s="844"/>
      <c r="G671" s="844"/>
      <c r="H671" s="845"/>
      <c r="I671" s="842"/>
      <c r="J671" s="842"/>
      <c r="K671" s="842"/>
      <c r="L671" s="842"/>
    </row>
    <row r="672" spans="1:12" ht="27.95" customHeight="1">
      <c r="A672" s="265"/>
      <c r="B672" s="193"/>
      <c r="C672" s="412"/>
      <c r="D672" s="412"/>
      <c r="E672" s="412"/>
      <c r="F672" s="412"/>
      <c r="G672" s="412"/>
      <c r="H672" s="411"/>
      <c r="I672" s="265"/>
      <c r="J672" s="266"/>
      <c r="K672" s="411"/>
      <c r="L672" s="411"/>
    </row>
    <row r="673" spans="1:12" ht="27.95" customHeight="1">
      <c r="A673" s="265"/>
      <c r="B673" s="193"/>
      <c r="C673" s="412"/>
      <c r="D673" s="412"/>
      <c r="E673" s="412"/>
      <c r="F673" s="412"/>
      <c r="G673" s="412"/>
      <c r="H673" s="411"/>
      <c r="I673" s="411"/>
      <c r="J673" s="266"/>
      <c r="K673" s="411"/>
      <c r="L673" s="411"/>
    </row>
    <row r="674" spans="1:12" ht="27.95" customHeight="1">
      <c r="A674" s="265"/>
      <c r="B674" s="748"/>
      <c r="C674" s="748"/>
      <c r="D674" s="748"/>
      <c r="E674" s="748"/>
      <c r="F674" s="748"/>
      <c r="G674" s="748"/>
      <c r="H674" s="841"/>
      <c r="I674" s="842"/>
      <c r="J674" s="842"/>
      <c r="K674" s="842"/>
      <c r="L674" s="842"/>
    </row>
    <row r="675" spans="1:12" ht="27.95" customHeight="1">
      <c r="A675" s="265"/>
      <c r="B675" s="844"/>
      <c r="C675" s="844"/>
      <c r="D675" s="844"/>
      <c r="E675" s="844"/>
      <c r="F675" s="844"/>
      <c r="G675" s="844"/>
      <c r="H675" s="847"/>
      <c r="I675" s="842"/>
      <c r="J675" s="842"/>
      <c r="K675" s="842"/>
      <c r="L675" s="842"/>
    </row>
    <row r="676" spans="1:12" ht="27.95" customHeight="1">
      <c r="A676" s="27"/>
      <c r="B676" s="844"/>
      <c r="C676" s="844"/>
      <c r="D676" s="844"/>
      <c r="E676" s="844"/>
      <c r="F676" s="844"/>
      <c r="G676" s="844"/>
      <c r="H676" s="842"/>
      <c r="I676" s="842"/>
      <c r="J676" s="842"/>
      <c r="K676" s="842"/>
      <c r="L676" s="842"/>
    </row>
    <row r="677" spans="1:12" ht="27.95" customHeight="1">
      <c r="A677" s="27"/>
      <c r="B677" s="193"/>
      <c r="C677" s="412"/>
      <c r="D677" s="412"/>
      <c r="E677" s="412"/>
      <c r="F677" s="412"/>
      <c r="G677" s="412"/>
      <c r="H677" s="411"/>
      <c r="I677" s="411"/>
      <c r="J677" s="411"/>
      <c r="K677" s="411"/>
      <c r="L677" s="411"/>
    </row>
    <row r="678" spans="1:12" ht="27.95" customHeight="1">
      <c r="A678" s="27"/>
      <c r="B678" s="193"/>
      <c r="C678" s="412"/>
      <c r="D678" s="412"/>
      <c r="E678" s="412"/>
      <c r="F678" s="412"/>
      <c r="G678" s="412"/>
      <c r="H678" s="411"/>
      <c r="I678" s="411"/>
      <c r="J678" s="411"/>
      <c r="K678" s="411"/>
      <c r="L678" s="411"/>
    </row>
    <row r="679" spans="1:12" ht="27.95" customHeight="1">
      <c r="A679" s="27"/>
      <c r="B679" s="193"/>
      <c r="C679" s="412"/>
      <c r="D679" s="412"/>
      <c r="E679" s="412"/>
      <c r="F679" s="412"/>
      <c r="G679" s="412"/>
      <c r="H679" s="411"/>
      <c r="I679" s="411"/>
      <c r="J679" s="410"/>
      <c r="K679" s="411"/>
      <c r="L679" s="411"/>
    </row>
    <row r="680" spans="1:12" ht="27.95" customHeight="1">
      <c r="A680" s="27"/>
      <c r="B680" s="193"/>
      <c r="C680" s="412"/>
      <c r="D680" s="412"/>
      <c r="E680" s="412"/>
      <c r="F680" s="412"/>
      <c r="G680" s="412"/>
      <c r="H680" s="411"/>
      <c r="I680" s="411"/>
      <c r="J680" s="411"/>
      <c r="K680" s="411"/>
      <c r="L680" s="411"/>
    </row>
    <row r="681" spans="1:12" ht="27.95" customHeight="1">
      <c r="A681" s="27"/>
      <c r="B681" s="193"/>
      <c r="C681" s="412"/>
      <c r="D681" s="412"/>
      <c r="E681" s="412"/>
      <c r="F681" s="412"/>
      <c r="G681" s="412"/>
      <c r="H681" s="411"/>
      <c r="I681" s="411"/>
      <c r="J681" s="410"/>
      <c r="K681" s="411"/>
      <c r="L681" s="411"/>
    </row>
    <row r="682" spans="1:12" ht="27.95" customHeight="1">
      <c r="A682" s="27"/>
      <c r="B682" s="193"/>
      <c r="C682" s="412"/>
      <c r="D682" s="411"/>
      <c r="E682" s="410"/>
      <c r="F682" s="411"/>
      <c r="G682" s="410"/>
      <c r="H682" s="411"/>
      <c r="I682" s="410"/>
      <c r="J682" s="411"/>
      <c r="K682" s="410"/>
      <c r="L682" s="410"/>
    </row>
    <row r="683" spans="1:12" ht="27.95" customHeight="1">
      <c r="A683" s="27"/>
      <c r="B683" s="193"/>
      <c r="C683" s="412"/>
      <c r="D683" s="412"/>
      <c r="E683" s="412"/>
      <c r="F683" s="412"/>
      <c r="G683" s="412"/>
      <c r="H683" s="411"/>
      <c r="I683" s="411"/>
      <c r="J683" s="267"/>
      <c r="K683" s="411"/>
      <c r="L683" s="411"/>
    </row>
    <row r="684" spans="1:12" ht="27.95" customHeight="1">
      <c r="A684" s="27"/>
      <c r="B684" s="193"/>
      <c r="C684" s="185"/>
      <c r="D684" s="185"/>
      <c r="E684" s="185"/>
      <c r="F684" s="185"/>
      <c r="G684" s="185"/>
      <c r="H684" s="27"/>
      <c r="I684" s="27"/>
      <c r="J684" s="27"/>
      <c r="K684" s="27"/>
      <c r="L684" s="27"/>
    </row>
    <row r="685" spans="1:12" ht="27.95" customHeight="1">
      <c r="A685" s="27"/>
      <c r="B685" s="193"/>
      <c r="C685" s="185"/>
      <c r="D685" s="185"/>
      <c r="E685" s="185"/>
      <c r="F685" s="185"/>
      <c r="G685" s="185"/>
      <c r="H685" s="27"/>
      <c r="I685" s="27"/>
      <c r="J685" s="27"/>
      <c r="K685" s="27"/>
      <c r="L685" s="27"/>
    </row>
    <row r="686" spans="1:12">
      <c r="A686" s="27"/>
      <c r="B686" s="27"/>
      <c r="C686" s="27"/>
      <c r="D686" s="27"/>
      <c r="E686" s="27"/>
      <c r="F686" s="27"/>
      <c r="G686" s="27"/>
      <c r="H686" s="27"/>
      <c r="I686" s="27"/>
      <c r="J686" s="27"/>
      <c r="K686" s="27"/>
      <c r="L686" s="27"/>
    </row>
    <row r="687" spans="1:12">
      <c r="A687" s="27"/>
      <c r="B687" s="27"/>
      <c r="C687" s="27"/>
      <c r="D687" s="27"/>
      <c r="E687" s="27"/>
      <c r="F687" s="27"/>
      <c r="G687" s="27"/>
      <c r="H687" s="27"/>
      <c r="I687" s="27"/>
      <c r="J687" s="27"/>
      <c r="K687" s="27"/>
      <c r="L687" s="27"/>
    </row>
    <row r="688" spans="1:12">
      <c r="A688" s="27"/>
      <c r="B688" s="27"/>
      <c r="C688" s="27"/>
      <c r="D688" s="27"/>
      <c r="E688" s="27"/>
      <c r="F688" s="27"/>
      <c r="G688" s="27"/>
      <c r="H688" s="27"/>
      <c r="I688" s="27"/>
      <c r="J688" s="27"/>
      <c r="K688" s="27"/>
      <c r="L688" s="27"/>
    </row>
    <row r="689" spans="1:12" ht="32.25">
      <c r="A689" s="27"/>
      <c r="B689" s="848"/>
      <c r="C689" s="767"/>
      <c r="D689" s="767"/>
      <c r="E689" s="767"/>
      <c r="F689" s="767"/>
      <c r="G689" s="767"/>
      <c r="H689" s="767"/>
      <c r="I689" s="767"/>
      <c r="J689" s="767"/>
      <c r="K689" s="767"/>
      <c r="L689" s="767"/>
    </row>
    <row r="690" spans="1:12" ht="23.25">
      <c r="A690" s="27"/>
      <c r="B690" s="738"/>
      <c r="C690" s="738"/>
      <c r="D690" s="738"/>
      <c r="E690" s="738"/>
      <c r="F690" s="738"/>
      <c r="G690" s="738"/>
      <c r="H690" s="738"/>
      <c r="I690" s="738"/>
      <c r="J690" s="738"/>
      <c r="K690" s="738"/>
      <c r="L690" s="738"/>
    </row>
    <row r="691" spans="1:12" ht="15.75">
      <c r="A691" s="27"/>
      <c r="B691" s="846"/>
      <c r="C691" s="846"/>
      <c r="D691" s="846"/>
      <c r="E691" s="846"/>
      <c r="F691" s="846"/>
      <c r="G691" s="846"/>
      <c r="H691" s="846"/>
      <c r="I691" s="846"/>
      <c r="J691" s="846"/>
      <c r="K691" s="846"/>
      <c r="L691" s="846"/>
    </row>
    <row r="692" spans="1:12" ht="15" customHeight="1">
      <c r="A692" s="27"/>
      <c r="B692" s="747"/>
      <c r="C692" s="747"/>
      <c r="D692" s="747"/>
      <c r="E692" s="747"/>
      <c r="F692" s="747"/>
      <c r="G692" s="27"/>
      <c r="H692" s="748"/>
      <c r="I692" s="748"/>
      <c r="J692" s="748"/>
      <c r="K692" s="748"/>
      <c r="L692" s="748"/>
    </row>
    <row r="693" spans="1:12">
      <c r="A693" s="27"/>
      <c r="B693" s="747"/>
      <c r="C693" s="747"/>
      <c r="D693" s="747"/>
      <c r="E693" s="747"/>
      <c r="F693" s="747"/>
      <c r="G693" s="27"/>
      <c r="H693" s="748"/>
      <c r="I693" s="748"/>
      <c r="J693" s="748"/>
      <c r="K693" s="748"/>
      <c r="L693" s="748"/>
    </row>
    <row r="694" spans="1:12">
      <c r="A694" s="27"/>
      <c r="B694" s="27"/>
      <c r="C694" s="27"/>
      <c r="D694" s="27"/>
      <c r="E694" s="27"/>
      <c r="F694" s="27"/>
      <c r="G694" s="27"/>
      <c r="H694" s="27"/>
      <c r="I694" s="27"/>
      <c r="J694" s="27"/>
      <c r="K694" s="27"/>
      <c r="L694" s="27"/>
    </row>
    <row r="695" spans="1:12">
      <c r="A695" s="27"/>
      <c r="B695" s="108"/>
      <c r="C695" s="100"/>
      <c r="D695" s="100"/>
      <c r="E695" s="100"/>
      <c r="F695" s="100"/>
      <c r="G695" s="27"/>
      <c r="H695" s="108"/>
      <c r="I695" s="100"/>
      <c r="J695" s="100"/>
      <c r="K695" s="100"/>
      <c r="L695" s="100"/>
    </row>
    <row r="696" spans="1:12">
      <c r="A696" s="27"/>
      <c r="B696" s="27"/>
      <c r="C696" s="100"/>
      <c r="D696" s="100"/>
      <c r="E696" s="100"/>
      <c r="F696" s="100"/>
      <c r="G696" s="27"/>
      <c r="H696" s="27"/>
      <c r="I696" s="100"/>
      <c r="J696" s="100"/>
      <c r="K696" s="100"/>
      <c r="L696" s="100"/>
    </row>
    <row r="697" spans="1:12">
      <c r="A697" s="27"/>
      <c r="B697" s="108"/>
      <c r="C697" s="100"/>
      <c r="D697" s="100"/>
      <c r="E697" s="100"/>
      <c r="F697" s="100"/>
      <c r="G697" s="27"/>
      <c r="H697" s="108"/>
      <c r="I697" s="100"/>
      <c r="J697" s="100"/>
      <c r="K697" s="100"/>
      <c r="L697" s="100"/>
    </row>
    <row r="698" spans="1:12">
      <c r="A698" s="27"/>
      <c r="B698" s="100"/>
      <c r="C698" s="100"/>
      <c r="D698" s="100"/>
      <c r="E698" s="100"/>
      <c r="F698" s="100"/>
      <c r="G698" s="27"/>
      <c r="H698" s="100"/>
      <c r="I698" s="100"/>
      <c r="J698" s="100"/>
      <c r="K698" s="100"/>
      <c r="L698" s="100"/>
    </row>
    <row r="699" spans="1:12">
      <c r="A699" s="27"/>
      <c r="B699" s="27"/>
      <c r="C699" s="27"/>
      <c r="D699" s="27"/>
      <c r="E699" s="27"/>
      <c r="F699" s="27"/>
      <c r="G699" s="27"/>
      <c r="H699" s="27"/>
      <c r="I699" s="27"/>
      <c r="J699" s="27"/>
      <c r="K699" s="27"/>
      <c r="L699" s="27"/>
    </row>
    <row r="700" spans="1:12">
      <c r="A700" s="27"/>
      <c r="B700" s="664"/>
      <c r="C700" s="664"/>
      <c r="D700" s="664"/>
      <c r="E700" s="664"/>
      <c r="F700" s="664"/>
      <c r="G700" s="27"/>
      <c r="H700" s="664"/>
      <c r="I700" s="664"/>
      <c r="J700" s="664"/>
      <c r="K700" s="664"/>
      <c r="L700" s="664"/>
    </row>
    <row r="701" spans="1:12">
      <c r="A701" s="27"/>
      <c r="B701" s="27"/>
      <c r="C701" s="27"/>
      <c r="D701" s="27"/>
      <c r="E701" s="27"/>
      <c r="F701" s="27"/>
      <c r="G701" s="27"/>
      <c r="H701" s="27"/>
      <c r="I701" s="27"/>
      <c r="J701" s="27"/>
      <c r="K701" s="27"/>
      <c r="L701" s="27"/>
    </row>
    <row r="702" spans="1:12">
      <c r="A702" s="27"/>
      <c r="B702" s="27"/>
      <c r="C702" s="27"/>
      <c r="D702" s="27"/>
      <c r="E702" s="27"/>
      <c r="F702" s="27"/>
      <c r="G702" s="27"/>
      <c r="H702" s="185"/>
      <c r="I702" s="185"/>
      <c r="J702" s="185"/>
      <c r="K702" s="185"/>
      <c r="L702" s="185"/>
    </row>
    <row r="703" spans="1:12">
      <c r="A703" s="27"/>
      <c r="B703" s="100"/>
      <c r="C703" s="100"/>
      <c r="D703" s="100"/>
      <c r="E703" s="100"/>
      <c r="F703" s="100"/>
      <c r="G703" s="27"/>
      <c r="H703" s="108"/>
      <c r="I703" s="108"/>
      <c r="J703" s="108"/>
      <c r="K703" s="108"/>
      <c r="L703" s="108"/>
    </row>
    <row r="704" spans="1:12">
      <c r="A704" s="27"/>
      <c r="B704" s="108"/>
      <c r="C704" s="100"/>
      <c r="D704" s="100"/>
      <c r="E704" s="100"/>
      <c r="F704" s="100"/>
      <c r="G704" s="27"/>
      <c r="H704" s="108"/>
      <c r="I704" s="108"/>
      <c r="J704" s="108"/>
      <c r="K704" s="108"/>
      <c r="L704" s="108"/>
    </row>
    <row r="705" spans="1:12">
      <c r="A705" s="27"/>
      <c r="B705" s="100"/>
      <c r="C705" s="100"/>
      <c r="D705" s="100"/>
      <c r="E705" s="100"/>
      <c r="F705" s="100"/>
      <c r="G705" s="27"/>
      <c r="H705" s="108"/>
      <c r="I705" s="108"/>
      <c r="J705" s="108"/>
      <c r="K705" s="108"/>
      <c r="L705" s="108"/>
    </row>
    <row r="706" spans="1:12">
      <c r="A706" s="27"/>
      <c r="B706" s="100"/>
      <c r="C706" s="100"/>
      <c r="D706" s="100"/>
      <c r="E706" s="100"/>
      <c r="F706" s="100"/>
      <c r="G706" s="27"/>
      <c r="H706" s="108"/>
      <c r="I706" s="108"/>
      <c r="J706" s="108"/>
      <c r="K706" s="108"/>
      <c r="L706" s="108"/>
    </row>
    <row r="707" spans="1:12" ht="27.95" customHeight="1">
      <c r="A707" s="265"/>
      <c r="B707" s="844"/>
      <c r="C707" s="844"/>
      <c r="D707" s="844"/>
      <c r="E707" s="844"/>
      <c r="F707" s="844"/>
      <c r="G707" s="844"/>
      <c r="H707" s="841"/>
      <c r="I707" s="842"/>
      <c r="J707" s="842"/>
      <c r="K707" s="842"/>
      <c r="L707" s="842"/>
    </row>
    <row r="708" spans="1:12" ht="27.95" customHeight="1">
      <c r="A708" s="265"/>
      <c r="B708" s="748"/>
      <c r="C708" s="748"/>
      <c r="D708" s="748"/>
      <c r="E708" s="748"/>
      <c r="F708" s="748"/>
      <c r="G708" s="748"/>
      <c r="H708" s="841"/>
      <c r="I708" s="842"/>
      <c r="J708" s="842"/>
      <c r="K708" s="842"/>
      <c r="L708" s="842"/>
    </row>
    <row r="709" spans="1:12" ht="27.95" customHeight="1">
      <c r="A709" s="265"/>
      <c r="B709" s="844"/>
      <c r="C709" s="844"/>
      <c r="D709" s="844"/>
      <c r="E709" s="844"/>
      <c r="F709" s="844"/>
      <c r="G709" s="844"/>
      <c r="H709" s="841"/>
      <c r="I709" s="842"/>
      <c r="J709" s="842"/>
      <c r="K709" s="842"/>
      <c r="L709" s="842"/>
    </row>
    <row r="710" spans="1:12" ht="27.95" customHeight="1">
      <c r="A710" s="265"/>
      <c r="B710" s="844"/>
      <c r="C710" s="844"/>
      <c r="D710" s="844"/>
      <c r="E710" s="844"/>
      <c r="F710" s="844"/>
      <c r="G710" s="844"/>
      <c r="H710" s="845"/>
      <c r="I710" s="842"/>
      <c r="J710" s="842"/>
      <c r="K710" s="842"/>
      <c r="L710" s="842"/>
    </row>
    <row r="711" spans="1:12" ht="27.95" customHeight="1">
      <c r="A711" s="265"/>
      <c r="B711" s="193"/>
      <c r="C711" s="412"/>
      <c r="D711" s="412"/>
      <c r="E711" s="412"/>
      <c r="F711" s="412"/>
      <c r="G711" s="412"/>
      <c r="H711" s="411"/>
      <c r="I711" s="265"/>
      <c r="J711" s="266"/>
      <c r="K711" s="411"/>
      <c r="L711" s="411"/>
    </row>
    <row r="712" spans="1:12" ht="27.95" customHeight="1">
      <c r="A712" s="265"/>
      <c r="B712" s="193"/>
      <c r="C712" s="412"/>
      <c r="D712" s="412"/>
      <c r="E712" s="412"/>
      <c r="F712" s="412"/>
      <c r="G712" s="412"/>
      <c r="H712" s="411"/>
      <c r="I712" s="411"/>
      <c r="J712" s="266"/>
      <c r="K712" s="411"/>
      <c r="L712" s="411"/>
    </row>
    <row r="713" spans="1:12" ht="27.95" customHeight="1">
      <c r="A713" s="265"/>
      <c r="B713" s="748"/>
      <c r="C713" s="748"/>
      <c r="D713" s="748"/>
      <c r="E713" s="748"/>
      <c r="F713" s="748"/>
      <c r="G713" s="748"/>
      <c r="H713" s="841"/>
      <c r="I713" s="842"/>
      <c r="J713" s="842"/>
      <c r="K713" s="842"/>
      <c r="L713" s="842"/>
    </row>
    <row r="714" spans="1:12" ht="27.95" customHeight="1">
      <c r="A714" s="265"/>
      <c r="B714" s="844"/>
      <c r="C714" s="844"/>
      <c r="D714" s="844"/>
      <c r="E714" s="844"/>
      <c r="F714" s="844"/>
      <c r="G714" s="844"/>
      <c r="H714" s="847"/>
      <c r="I714" s="842"/>
      <c r="J714" s="842"/>
      <c r="K714" s="842"/>
      <c r="L714" s="842"/>
    </row>
    <row r="715" spans="1:12" ht="27.95" customHeight="1">
      <c r="A715" s="27"/>
      <c r="B715" s="844"/>
      <c r="C715" s="844"/>
      <c r="D715" s="844"/>
      <c r="E715" s="844"/>
      <c r="F715" s="844"/>
      <c r="G715" s="844"/>
      <c r="H715" s="842"/>
      <c r="I715" s="842"/>
      <c r="J715" s="842"/>
      <c r="K715" s="842"/>
      <c r="L715" s="842"/>
    </row>
    <row r="716" spans="1:12" ht="27.95" customHeight="1">
      <c r="A716" s="27"/>
      <c r="B716" s="193"/>
      <c r="C716" s="412"/>
      <c r="D716" s="412"/>
      <c r="E716" s="412"/>
      <c r="F716" s="412"/>
      <c r="G716" s="412"/>
      <c r="H716" s="411"/>
      <c r="I716" s="411"/>
      <c r="J716" s="411"/>
      <c r="K716" s="411"/>
      <c r="L716" s="411"/>
    </row>
    <row r="717" spans="1:12" ht="27.95" customHeight="1">
      <c r="A717" s="27"/>
      <c r="B717" s="193"/>
      <c r="C717" s="412"/>
      <c r="D717" s="412"/>
      <c r="E717" s="412"/>
      <c r="F717" s="412"/>
      <c r="G717" s="412"/>
      <c r="H717" s="411"/>
      <c r="I717" s="411"/>
      <c r="J717" s="411"/>
      <c r="K717" s="411"/>
      <c r="L717" s="411"/>
    </row>
    <row r="718" spans="1:12" ht="27.95" customHeight="1">
      <c r="A718" s="27"/>
      <c r="B718" s="193"/>
      <c r="C718" s="412"/>
      <c r="D718" s="412"/>
      <c r="E718" s="412"/>
      <c r="F718" s="412"/>
      <c r="G718" s="412"/>
      <c r="H718" s="411"/>
      <c r="I718" s="411"/>
      <c r="J718" s="410"/>
      <c r="K718" s="411"/>
      <c r="L718" s="411"/>
    </row>
    <row r="719" spans="1:12" ht="27.95" customHeight="1">
      <c r="A719" s="27"/>
      <c r="B719" s="193"/>
      <c r="C719" s="412"/>
      <c r="D719" s="412"/>
      <c r="E719" s="412"/>
      <c r="F719" s="412"/>
      <c r="G719" s="412"/>
      <c r="H719" s="411"/>
      <c r="I719" s="411"/>
      <c r="J719" s="411"/>
      <c r="K719" s="411"/>
      <c r="L719" s="411"/>
    </row>
    <row r="720" spans="1:12" ht="27.95" customHeight="1">
      <c r="A720" s="27"/>
      <c r="B720" s="193"/>
      <c r="C720" s="412"/>
      <c r="D720" s="412"/>
      <c r="E720" s="412"/>
      <c r="F720" s="412"/>
      <c r="G720" s="412"/>
      <c r="H720" s="411"/>
      <c r="I720" s="411"/>
      <c r="J720" s="410"/>
      <c r="K720" s="411"/>
      <c r="L720" s="411"/>
    </row>
    <row r="721" spans="1:12" ht="27.95" customHeight="1">
      <c r="A721" s="27"/>
      <c r="B721" s="193"/>
      <c r="C721" s="412"/>
      <c r="D721" s="411"/>
      <c r="E721" s="410"/>
      <c r="F721" s="411"/>
      <c r="G721" s="410"/>
      <c r="H721" s="411"/>
      <c r="I721" s="410"/>
      <c r="J721" s="411"/>
      <c r="K721" s="410"/>
      <c r="L721" s="410"/>
    </row>
    <row r="722" spans="1:12" ht="27.95" customHeight="1">
      <c r="A722" s="27"/>
      <c r="B722" s="193"/>
      <c r="C722" s="412"/>
      <c r="D722" s="412"/>
      <c r="E722" s="412"/>
      <c r="F722" s="412"/>
      <c r="G722" s="412"/>
      <c r="H722" s="411"/>
      <c r="I722" s="411"/>
      <c r="J722" s="267"/>
      <c r="K722" s="411"/>
      <c r="L722" s="411"/>
    </row>
    <row r="723" spans="1:12" ht="27.95" customHeight="1">
      <c r="A723" s="27"/>
      <c r="B723" s="193"/>
      <c r="C723" s="185"/>
      <c r="D723" s="185"/>
      <c r="E723" s="185"/>
      <c r="F723" s="185"/>
      <c r="G723" s="185"/>
      <c r="H723" s="27"/>
      <c r="I723" s="27"/>
      <c r="J723" s="27"/>
      <c r="K723" s="27"/>
      <c r="L723" s="27"/>
    </row>
    <row r="724" spans="1:12" ht="27.95" customHeight="1">
      <c r="A724" s="27"/>
      <c r="B724" s="193"/>
      <c r="C724" s="185"/>
      <c r="D724" s="185"/>
      <c r="E724" s="185"/>
      <c r="F724" s="185"/>
      <c r="G724" s="185"/>
      <c r="H724" s="27"/>
      <c r="I724" s="27"/>
      <c r="J724" s="27"/>
      <c r="K724" s="27"/>
      <c r="L724" s="27"/>
    </row>
    <row r="725" spans="1:12">
      <c r="A725" s="27"/>
      <c r="B725" s="27"/>
      <c r="C725" s="27"/>
      <c r="D725" s="27"/>
      <c r="E725" s="27"/>
      <c r="F725" s="27"/>
      <c r="G725" s="27"/>
      <c r="H725" s="27"/>
      <c r="I725" s="27"/>
      <c r="J725" s="27"/>
      <c r="K725" s="27"/>
      <c r="L725" s="27"/>
    </row>
    <row r="726" spans="1:12">
      <c r="A726" s="27"/>
      <c r="B726" s="27"/>
      <c r="C726" s="27"/>
      <c r="D726" s="27"/>
      <c r="E726" s="27"/>
      <c r="F726" s="27"/>
      <c r="G726" s="27"/>
      <c r="H726" s="27"/>
      <c r="I726" s="27"/>
      <c r="J726" s="27"/>
      <c r="K726" s="27"/>
      <c r="L726" s="27"/>
    </row>
    <row r="727" spans="1:12">
      <c r="A727" s="27"/>
      <c r="B727" s="27"/>
      <c r="C727" s="27"/>
      <c r="D727" s="27"/>
      <c r="E727" s="27"/>
      <c r="F727" s="27"/>
      <c r="G727" s="27"/>
      <c r="H727" s="27"/>
      <c r="I727" s="27"/>
      <c r="J727" s="27"/>
      <c r="K727" s="27"/>
      <c r="L727" s="27"/>
    </row>
    <row r="728" spans="1:12" ht="32.25">
      <c r="A728" s="27"/>
      <c r="B728" s="848"/>
      <c r="C728" s="767"/>
      <c r="D728" s="767"/>
      <c r="E728" s="767"/>
      <c r="F728" s="767"/>
      <c r="G728" s="767"/>
      <c r="H728" s="767"/>
      <c r="I728" s="767"/>
      <c r="J728" s="767"/>
      <c r="K728" s="767"/>
      <c r="L728" s="767"/>
    </row>
    <row r="729" spans="1:12" ht="23.25">
      <c r="A729" s="27"/>
      <c r="B729" s="738"/>
      <c r="C729" s="738"/>
      <c r="D729" s="738"/>
      <c r="E729" s="738"/>
      <c r="F729" s="738"/>
      <c r="G729" s="738"/>
      <c r="H729" s="738"/>
      <c r="I729" s="738"/>
      <c r="J729" s="738"/>
      <c r="K729" s="738"/>
      <c r="L729" s="738"/>
    </row>
    <row r="730" spans="1:12" ht="15.75">
      <c r="A730" s="27"/>
      <c r="B730" s="846"/>
      <c r="C730" s="846"/>
      <c r="D730" s="846"/>
      <c r="E730" s="846"/>
      <c r="F730" s="846"/>
      <c r="G730" s="846"/>
      <c r="H730" s="846"/>
      <c r="I730" s="846"/>
      <c r="J730" s="846"/>
      <c r="K730" s="846"/>
      <c r="L730" s="846"/>
    </row>
    <row r="731" spans="1:12" ht="15" customHeight="1">
      <c r="A731" s="27"/>
      <c r="B731" s="747"/>
      <c r="C731" s="747"/>
      <c r="D731" s="747"/>
      <c r="E731" s="747"/>
      <c r="F731" s="747"/>
      <c r="G731" s="27"/>
      <c r="H731" s="748"/>
      <c r="I731" s="748"/>
      <c r="J731" s="748"/>
      <c r="K731" s="748"/>
      <c r="L731" s="748"/>
    </row>
    <row r="732" spans="1:12">
      <c r="A732" s="27"/>
      <c r="B732" s="747"/>
      <c r="C732" s="747"/>
      <c r="D732" s="747"/>
      <c r="E732" s="747"/>
      <c r="F732" s="747"/>
      <c r="G732" s="27"/>
      <c r="H732" s="748"/>
      <c r="I732" s="748"/>
      <c r="J732" s="748"/>
      <c r="K732" s="748"/>
      <c r="L732" s="748"/>
    </row>
    <row r="733" spans="1:12">
      <c r="A733" s="27"/>
      <c r="B733" s="27"/>
      <c r="C733" s="27"/>
      <c r="D733" s="27"/>
      <c r="E733" s="27"/>
      <c r="F733" s="27"/>
      <c r="G733" s="27"/>
      <c r="H733" s="27"/>
      <c r="I733" s="27"/>
      <c r="J733" s="27"/>
      <c r="K733" s="27"/>
      <c r="L733" s="27"/>
    </row>
    <row r="734" spans="1:12">
      <c r="A734" s="27"/>
      <c r="B734" s="108"/>
      <c r="C734" s="100"/>
      <c r="D734" s="100"/>
      <c r="E734" s="100"/>
      <c r="F734" s="100"/>
      <c r="G734" s="27"/>
      <c r="H734" s="108"/>
      <c r="I734" s="100"/>
      <c r="J734" s="100"/>
      <c r="K734" s="100"/>
      <c r="L734" s="100"/>
    </row>
    <row r="735" spans="1:12">
      <c r="A735" s="27"/>
      <c r="B735" s="27"/>
      <c r="C735" s="100"/>
      <c r="D735" s="100"/>
      <c r="E735" s="100"/>
      <c r="F735" s="100"/>
      <c r="G735" s="27"/>
      <c r="H735" s="27"/>
      <c r="I735" s="100"/>
      <c r="J735" s="100"/>
      <c r="K735" s="100"/>
      <c r="L735" s="100"/>
    </row>
    <row r="736" spans="1:12">
      <c r="A736" s="27"/>
      <c r="B736" s="108"/>
      <c r="C736" s="100"/>
      <c r="D736" s="100"/>
      <c r="E736" s="100"/>
      <c r="F736" s="100"/>
      <c r="G736" s="27"/>
      <c r="H736" s="108"/>
      <c r="I736" s="100"/>
      <c r="J736" s="100"/>
      <c r="K736" s="100"/>
      <c r="L736" s="100"/>
    </row>
    <row r="737" spans="1:12" ht="15" customHeight="1">
      <c r="A737" s="27"/>
      <c r="B737" s="100"/>
      <c r="C737" s="100"/>
      <c r="D737" s="100"/>
      <c r="E737" s="100"/>
      <c r="F737" s="100"/>
      <c r="G737" s="27"/>
      <c r="H737" s="100"/>
      <c r="I737" s="100"/>
      <c r="J737" s="100"/>
      <c r="K737" s="100"/>
      <c r="L737" s="100"/>
    </row>
    <row r="738" spans="1:12">
      <c r="A738" s="27"/>
      <c r="B738" s="27"/>
      <c r="C738" s="27"/>
      <c r="D738" s="27"/>
      <c r="E738" s="27"/>
      <c r="F738" s="27"/>
      <c r="G738" s="27"/>
      <c r="H738" s="27"/>
      <c r="I738" s="27"/>
      <c r="J738" s="27"/>
      <c r="K738" s="27"/>
      <c r="L738" s="27"/>
    </row>
    <row r="739" spans="1:12">
      <c r="A739" s="27"/>
      <c r="B739" s="664"/>
      <c r="C739" s="664"/>
      <c r="D739" s="664"/>
      <c r="E739" s="664"/>
      <c r="F739" s="664"/>
      <c r="G739" s="27"/>
      <c r="H739" s="664"/>
      <c r="I739" s="664"/>
      <c r="J739" s="664"/>
      <c r="K739" s="664"/>
      <c r="L739" s="664"/>
    </row>
    <row r="740" spans="1:12">
      <c r="A740" s="27"/>
      <c r="B740" s="27"/>
      <c r="C740" s="27"/>
      <c r="D740" s="27"/>
      <c r="E740" s="27"/>
      <c r="F740" s="27"/>
      <c r="G740" s="27"/>
      <c r="H740" s="27"/>
      <c r="I740" s="27"/>
      <c r="J740" s="27"/>
      <c r="K740" s="27"/>
      <c r="L740" s="27"/>
    </row>
    <row r="741" spans="1:12">
      <c r="A741" s="27"/>
      <c r="B741" s="27"/>
      <c r="C741" s="27"/>
      <c r="D741" s="27"/>
      <c r="E741" s="27"/>
      <c r="F741" s="27"/>
      <c r="G741" s="27"/>
      <c r="H741" s="185"/>
      <c r="I741" s="185"/>
      <c r="J741" s="185"/>
      <c r="K741" s="185"/>
      <c r="L741" s="185"/>
    </row>
    <row r="742" spans="1:12">
      <c r="A742" s="27"/>
      <c r="B742" s="100"/>
      <c r="C742" s="100"/>
      <c r="D742" s="100"/>
      <c r="E742" s="100"/>
      <c r="F742" s="100"/>
      <c r="G742" s="27"/>
      <c r="H742" s="108"/>
      <c r="I742" s="108"/>
      <c r="J742" s="108"/>
      <c r="K742" s="108"/>
      <c r="L742" s="108"/>
    </row>
    <row r="743" spans="1:12">
      <c r="A743" s="27"/>
      <c r="B743" s="108"/>
      <c r="C743" s="100"/>
      <c r="D743" s="100"/>
      <c r="E743" s="100"/>
      <c r="F743" s="100"/>
      <c r="G743" s="27"/>
      <c r="H743" s="108"/>
      <c r="I743" s="108"/>
      <c r="J743" s="108"/>
      <c r="K743" s="108"/>
      <c r="L743" s="108"/>
    </row>
    <row r="744" spans="1:12">
      <c r="A744" s="27"/>
      <c r="B744" s="100"/>
      <c r="C744" s="100"/>
      <c r="D744" s="100"/>
      <c r="E744" s="100"/>
      <c r="F744" s="100"/>
      <c r="G744" s="27"/>
      <c r="H744" s="108"/>
      <c r="I744" s="108"/>
      <c r="J744" s="108"/>
      <c r="K744" s="108"/>
      <c r="L744" s="108"/>
    </row>
    <row r="745" spans="1:12">
      <c r="A745" s="27"/>
      <c r="B745" s="100"/>
      <c r="C745" s="100"/>
      <c r="D745" s="100"/>
      <c r="E745" s="100"/>
      <c r="F745" s="100"/>
      <c r="G745" s="27"/>
      <c r="H745" s="108"/>
      <c r="I745" s="108"/>
      <c r="J745" s="108"/>
      <c r="K745" s="108"/>
      <c r="L745" s="108"/>
    </row>
    <row r="746" spans="1:12" ht="27.95" customHeight="1">
      <c r="A746" s="265"/>
      <c r="B746" s="844"/>
      <c r="C746" s="844"/>
      <c r="D746" s="844"/>
      <c r="E746" s="844"/>
      <c r="F746" s="844"/>
      <c r="G746" s="844"/>
      <c r="H746" s="841"/>
      <c r="I746" s="842"/>
      <c r="J746" s="842"/>
      <c r="K746" s="842"/>
      <c r="L746" s="842"/>
    </row>
    <row r="747" spans="1:12" ht="27.95" customHeight="1">
      <c r="A747" s="265"/>
      <c r="B747" s="748"/>
      <c r="C747" s="748"/>
      <c r="D747" s="748"/>
      <c r="E747" s="748"/>
      <c r="F747" s="748"/>
      <c r="G747" s="748"/>
      <c r="H747" s="841"/>
      <c r="I747" s="842"/>
      <c r="J747" s="842"/>
      <c r="K747" s="842"/>
      <c r="L747" s="842"/>
    </row>
    <row r="748" spans="1:12" ht="27.95" customHeight="1">
      <c r="A748" s="265"/>
      <c r="B748" s="844"/>
      <c r="C748" s="844"/>
      <c r="D748" s="844"/>
      <c r="E748" s="844"/>
      <c r="F748" s="844"/>
      <c r="G748" s="844"/>
      <c r="H748" s="841"/>
      <c r="I748" s="842"/>
      <c r="J748" s="842"/>
      <c r="K748" s="842"/>
      <c r="L748" s="842"/>
    </row>
    <row r="749" spans="1:12" ht="27.95" customHeight="1">
      <c r="A749" s="265"/>
      <c r="B749" s="844"/>
      <c r="C749" s="844"/>
      <c r="D749" s="844"/>
      <c r="E749" s="844"/>
      <c r="F749" s="844"/>
      <c r="G749" s="844"/>
      <c r="H749" s="845"/>
      <c r="I749" s="842"/>
      <c r="J749" s="842"/>
      <c r="K749" s="842"/>
      <c r="L749" s="842"/>
    </row>
    <row r="750" spans="1:12" ht="27.95" customHeight="1">
      <c r="A750" s="265"/>
      <c r="B750" s="193"/>
      <c r="C750" s="412"/>
      <c r="D750" s="412"/>
      <c r="E750" s="412"/>
      <c r="F750" s="412"/>
      <c r="G750" s="412"/>
      <c r="H750" s="411"/>
      <c r="I750" s="265"/>
      <c r="J750" s="266"/>
      <c r="K750" s="411"/>
      <c r="L750" s="411"/>
    </row>
    <row r="751" spans="1:12" ht="27.95" customHeight="1">
      <c r="A751" s="265"/>
      <c r="B751" s="193"/>
      <c r="C751" s="412"/>
      <c r="D751" s="412"/>
      <c r="E751" s="412"/>
      <c r="F751" s="412"/>
      <c r="G751" s="412"/>
      <c r="H751" s="411"/>
      <c r="I751" s="411"/>
      <c r="J751" s="266"/>
      <c r="K751" s="411"/>
      <c r="L751" s="411"/>
    </row>
    <row r="752" spans="1:12" ht="27.95" customHeight="1">
      <c r="A752" s="265"/>
      <c r="B752" s="748"/>
      <c r="C752" s="748"/>
      <c r="D752" s="748"/>
      <c r="E752" s="748"/>
      <c r="F752" s="748"/>
      <c r="G752" s="748"/>
      <c r="H752" s="841"/>
      <c r="I752" s="842"/>
      <c r="J752" s="842"/>
      <c r="K752" s="842"/>
      <c r="L752" s="842"/>
    </row>
    <row r="753" spans="1:12" ht="27.95" customHeight="1">
      <c r="A753" s="265"/>
      <c r="B753" s="844"/>
      <c r="C753" s="844"/>
      <c r="D753" s="844"/>
      <c r="E753" s="844"/>
      <c r="F753" s="844"/>
      <c r="G753" s="844"/>
      <c r="H753" s="847"/>
      <c r="I753" s="842"/>
      <c r="J753" s="842"/>
      <c r="K753" s="842"/>
      <c r="L753" s="842"/>
    </row>
    <row r="754" spans="1:12" ht="27.95" customHeight="1">
      <c r="A754" s="27"/>
      <c r="B754" s="844"/>
      <c r="C754" s="844"/>
      <c r="D754" s="844"/>
      <c r="E754" s="844"/>
      <c r="F754" s="844"/>
      <c r="G754" s="844"/>
      <c r="H754" s="842"/>
      <c r="I754" s="842"/>
      <c r="J754" s="842"/>
      <c r="K754" s="842"/>
      <c r="L754" s="842"/>
    </row>
    <row r="755" spans="1:12" ht="27.95" customHeight="1">
      <c r="A755" s="27"/>
      <c r="B755" s="193"/>
      <c r="C755" s="412"/>
      <c r="D755" s="412"/>
      <c r="E755" s="412"/>
      <c r="F755" s="412"/>
      <c r="G755" s="412"/>
      <c r="H755" s="411"/>
      <c r="I755" s="411"/>
      <c r="J755" s="411"/>
      <c r="K755" s="411"/>
      <c r="L755" s="411"/>
    </row>
    <row r="756" spans="1:12" ht="27.95" customHeight="1">
      <c r="A756" s="27"/>
      <c r="B756" s="193"/>
      <c r="C756" s="412"/>
      <c r="D756" s="412"/>
      <c r="E756" s="412"/>
      <c r="F756" s="412"/>
      <c r="G756" s="412"/>
      <c r="H756" s="411"/>
      <c r="I756" s="411"/>
      <c r="J756" s="411"/>
      <c r="K756" s="411"/>
      <c r="L756" s="411"/>
    </row>
    <row r="757" spans="1:12" ht="27.95" customHeight="1">
      <c r="A757" s="27"/>
      <c r="B757" s="193"/>
      <c r="C757" s="412"/>
      <c r="D757" s="412"/>
      <c r="E757" s="412"/>
      <c r="F757" s="412"/>
      <c r="G757" s="412"/>
      <c r="H757" s="411"/>
      <c r="I757" s="411"/>
      <c r="J757" s="410"/>
      <c r="K757" s="411"/>
      <c r="L757" s="411"/>
    </row>
    <row r="758" spans="1:12" ht="27.95" customHeight="1">
      <c r="A758" s="27"/>
      <c r="B758" s="193"/>
      <c r="C758" s="412"/>
      <c r="D758" s="412"/>
      <c r="E758" s="412"/>
      <c r="F758" s="412"/>
      <c r="G758" s="412"/>
      <c r="H758" s="411"/>
      <c r="I758" s="411"/>
      <c r="J758" s="411"/>
      <c r="K758" s="411"/>
      <c r="L758" s="411"/>
    </row>
    <row r="759" spans="1:12" ht="27.95" customHeight="1">
      <c r="A759" s="27"/>
      <c r="B759" s="193"/>
      <c r="C759" s="412"/>
      <c r="D759" s="412"/>
      <c r="E759" s="412"/>
      <c r="F759" s="412"/>
      <c r="G759" s="412"/>
      <c r="H759" s="411"/>
      <c r="I759" s="411"/>
      <c r="J759" s="410"/>
      <c r="K759" s="411"/>
      <c r="L759" s="411"/>
    </row>
    <row r="760" spans="1:12" ht="27.95" customHeight="1">
      <c r="A760" s="27"/>
      <c r="B760" s="193"/>
      <c r="C760" s="412"/>
      <c r="D760" s="411"/>
      <c r="E760" s="410"/>
      <c r="F760" s="411"/>
      <c r="G760" s="410"/>
      <c r="H760" s="411"/>
      <c r="I760" s="410"/>
      <c r="J760" s="411"/>
      <c r="K760" s="410"/>
      <c r="L760" s="410"/>
    </row>
    <row r="761" spans="1:12" ht="27.95" customHeight="1">
      <c r="A761" s="27"/>
      <c r="B761" s="193"/>
      <c r="C761" s="412"/>
      <c r="D761" s="412"/>
      <c r="E761" s="412"/>
      <c r="F761" s="412"/>
      <c r="G761" s="412"/>
      <c r="H761" s="411"/>
      <c r="I761" s="411"/>
      <c r="J761" s="267"/>
      <c r="K761" s="411"/>
      <c r="L761" s="411"/>
    </row>
    <row r="762" spans="1:12" ht="27.95" customHeight="1">
      <c r="A762" s="27"/>
      <c r="B762" s="193"/>
      <c r="C762" s="185"/>
      <c r="D762" s="185"/>
      <c r="E762" s="185"/>
      <c r="F762" s="185"/>
      <c r="G762" s="185"/>
      <c r="H762" s="27"/>
      <c r="I762" s="27"/>
      <c r="J762" s="27"/>
      <c r="K762" s="27"/>
      <c r="L762" s="27"/>
    </row>
    <row r="763" spans="1:12" ht="27.95" customHeight="1">
      <c r="A763" s="27"/>
      <c r="B763" s="193"/>
      <c r="C763" s="185"/>
      <c r="D763" s="185"/>
      <c r="E763" s="185"/>
      <c r="F763" s="185"/>
      <c r="G763" s="185"/>
      <c r="H763" s="27"/>
      <c r="I763" s="27"/>
      <c r="J763" s="27"/>
      <c r="K763" s="27"/>
      <c r="L763" s="27"/>
    </row>
    <row r="764" spans="1:12">
      <c r="A764" s="27"/>
      <c r="B764" s="27"/>
      <c r="C764" s="27"/>
      <c r="D764" s="27"/>
      <c r="E764" s="27"/>
      <c r="F764" s="27"/>
      <c r="G764" s="27"/>
      <c r="H764" s="27"/>
      <c r="I764" s="27"/>
      <c r="J764" s="27"/>
      <c r="K764" s="27"/>
      <c r="L764" s="27"/>
    </row>
    <row r="765" spans="1:12">
      <c r="A765" s="27"/>
      <c r="B765" s="27"/>
      <c r="C765" s="27"/>
      <c r="D765" s="27"/>
      <c r="E765" s="27"/>
      <c r="F765" s="27"/>
      <c r="G765" s="27"/>
      <c r="H765" s="27"/>
      <c r="I765" s="27"/>
      <c r="J765" s="27"/>
      <c r="K765" s="27"/>
      <c r="L765" s="27"/>
    </row>
    <row r="766" spans="1:12">
      <c r="A766" s="27"/>
      <c r="B766" s="27"/>
      <c r="C766" s="27"/>
      <c r="D766" s="27"/>
      <c r="E766" s="27"/>
      <c r="F766" s="27"/>
      <c r="G766" s="27"/>
      <c r="H766" s="27"/>
      <c r="I766" s="27"/>
      <c r="J766" s="27"/>
      <c r="K766" s="27"/>
      <c r="L766" s="27"/>
    </row>
    <row r="767" spans="1:12">
      <c r="A767" s="27"/>
      <c r="B767" s="27"/>
      <c r="C767" s="27"/>
      <c r="D767" s="27"/>
      <c r="E767" s="27"/>
      <c r="F767" s="27"/>
      <c r="G767" s="27"/>
      <c r="H767" s="27"/>
      <c r="I767" s="27"/>
      <c r="J767" s="27"/>
      <c r="K767" s="27"/>
      <c r="L767" s="27"/>
    </row>
    <row r="768" spans="1:12">
      <c r="A768" s="27"/>
      <c r="B768" s="27"/>
      <c r="C768" s="27"/>
      <c r="D768" s="27"/>
      <c r="E768" s="27"/>
      <c r="F768" s="27"/>
      <c r="G768" s="27"/>
      <c r="H768" s="27"/>
      <c r="I768" s="27"/>
      <c r="J768" s="27"/>
      <c r="K768" s="27"/>
      <c r="L768" s="27"/>
    </row>
    <row r="769" spans="1:12">
      <c r="A769" s="27"/>
      <c r="B769" s="27"/>
      <c r="C769" s="27"/>
      <c r="D769" s="27"/>
      <c r="E769" s="27"/>
      <c r="F769" s="27"/>
      <c r="G769" s="27"/>
      <c r="H769" s="27"/>
      <c r="I769" s="27"/>
      <c r="J769" s="27"/>
      <c r="K769" s="27"/>
      <c r="L769" s="27"/>
    </row>
    <row r="770" spans="1:12">
      <c r="A770" s="27"/>
      <c r="B770" s="27"/>
      <c r="C770" s="27"/>
      <c r="D770" s="27"/>
      <c r="E770" s="27"/>
      <c r="F770" s="27"/>
      <c r="G770" s="27"/>
      <c r="H770" s="27"/>
      <c r="I770" s="27"/>
      <c r="J770" s="27"/>
      <c r="K770" s="27"/>
      <c r="L770" s="27"/>
    </row>
    <row r="771" spans="1:12">
      <c r="A771" s="27"/>
      <c r="B771" s="27"/>
      <c r="C771" s="27"/>
      <c r="D771" s="27"/>
      <c r="E771" s="27"/>
      <c r="F771" s="27"/>
      <c r="G771" s="27"/>
      <c r="H771" s="27"/>
      <c r="I771" s="27"/>
      <c r="J771" s="27"/>
      <c r="K771" s="27"/>
      <c r="L771" s="27"/>
    </row>
    <row r="772" spans="1:12">
      <c r="A772" s="27"/>
      <c r="B772" s="27"/>
      <c r="C772" s="27"/>
      <c r="D772" s="27"/>
      <c r="E772" s="27"/>
      <c r="F772" s="27"/>
      <c r="G772" s="27"/>
      <c r="H772" s="27"/>
      <c r="I772" s="27"/>
      <c r="J772" s="27"/>
      <c r="K772" s="27"/>
      <c r="L772" s="27"/>
    </row>
    <row r="773" spans="1:12">
      <c r="A773" s="27"/>
      <c r="B773" s="27"/>
      <c r="C773" s="27"/>
      <c r="D773" s="27"/>
      <c r="E773" s="27"/>
      <c r="F773" s="27"/>
      <c r="G773" s="27"/>
      <c r="H773" s="27"/>
      <c r="I773" s="27"/>
      <c r="J773" s="27"/>
      <c r="K773" s="27"/>
      <c r="L773" s="27"/>
    </row>
    <row r="774" spans="1:12">
      <c r="A774" s="27"/>
      <c r="B774" s="27"/>
      <c r="C774" s="27"/>
      <c r="D774" s="27"/>
      <c r="E774" s="27"/>
      <c r="F774" s="27"/>
      <c r="G774" s="27"/>
      <c r="H774" s="27"/>
      <c r="I774" s="27"/>
      <c r="J774" s="27"/>
      <c r="K774" s="27"/>
      <c r="L774" s="27"/>
    </row>
    <row r="775" spans="1:12">
      <c r="A775" s="27"/>
      <c r="B775" s="27"/>
      <c r="C775" s="27"/>
      <c r="D775" s="27"/>
      <c r="E775" s="27"/>
      <c r="F775" s="27"/>
      <c r="G775" s="27"/>
      <c r="H775" s="27"/>
      <c r="I775" s="27"/>
      <c r="J775" s="27"/>
      <c r="K775" s="27"/>
      <c r="L775" s="27"/>
    </row>
    <row r="776" spans="1:12">
      <c r="A776" s="27"/>
      <c r="B776" s="27"/>
      <c r="C776" s="27"/>
      <c r="D776" s="27"/>
      <c r="E776" s="27"/>
      <c r="F776" s="27"/>
      <c r="G776" s="27"/>
      <c r="H776" s="27"/>
      <c r="I776" s="27"/>
      <c r="J776" s="27"/>
      <c r="K776" s="27"/>
      <c r="L776" s="27"/>
    </row>
    <row r="777" spans="1:12">
      <c r="A777" s="27"/>
      <c r="B777" s="27"/>
      <c r="C777" s="27"/>
      <c r="D777" s="27"/>
      <c r="E777" s="27"/>
      <c r="F777" s="27"/>
      <c r="G777" s="27"/>
      <c r="H777" s="27"/>
      <c r="I777" s="27"/>
      <c r="J777" s="27"/>
      <c r="K777" s="27"/>
      <c r="L777" s="27"/>
    </row>
    <row r="778" spans="1:12">
      <c r="A778" s="27"/>
      <c r="B778" s="27"/>
      <c r="C778" s="27"/>
      <c r="D778" s="27"/>
      <c r="E778" s="27"/>
      <c r="F778" s="27"/>
      <c r="G778" s="27"/>
      <c r="H778" s="27"/>
      <c r="I778" s="27"/>
      <c r="J778" s="27"/>
      <c r="K778" s="27"/>
      <c r="L778" s="27"/>
    </row>
    <row r="779" spans="1:12">
      <c r="A779" s="27"/>
      <c r="B779" s="27"/>
      <c r="C779" s="27"/>
      <c r="D779" s="27"/>
      <c r="E779" s="27"/>
      <c r="F779" s="27"/>
      <c r="G779" s="27"/>
      <c r="H779" s="27"/>
      <c r="I779" s="27"/>
      <c r="J779" s="27"/>
      <c r="K779" s="27"/>
      <c r="L779" s="27"/>
    </row>
    <row r="780" spans="1:12">
      <c r="A780" s="27"/>
      <c r="B780" s="27"/>
      <c r="C780" s="27"/>
      <c r="D780" s="27"/>
      <c r="E780" s="27"/>
      <c r="F780" s="27"/>
      <c r="G780" s="27"/>
      <c r="H780" s="27"/>
      <c r="I780" s="27"/>
      <c r="J780" s="27"/>
      <c r="K780" s="27"/>
      <c r="L780" s="27"/>
    </row>
    <row r="781" spans="1:12">
      <c r="A781" s="27"/>
      <c r="B781" s="27"/>
      <c r="C781" s="27"/>
      <c r="D781" s="27"/>
      <c r="E781" s="27"/>
      <c r="F781" s="27"/>
      <c r="G781" s="27"/>
      <c r="H781" s="27"/>
      <c r="I781" s="27"/>
      <c r="J781" s="27"/>
      <c r="K781" s="27"/>
      <c r="L781" s="27"/>
    </row>
    <row r="782" spans="1:12">
      <c r="A782" s="27"/>
      <c r="B782" s="27"/>
      <c r="C782" s="27"/>
      <c r="D782" s="27"/>
      <c r="E782" s="27"/>
      <c r="F782" s="27"/>
      <c r="G782" s="27"/>
      <c r="H782" s="27"/>
      <c r="I782" s="27"/>
      <c r="J782" s="27"/>
      <c r="K782" s="27"/>
      <c r="L782" s="27"/>
    </row>
    <row r="783" spans="1:12">
      <c r="A783" s="27"/>
      <c r="B783" s="27"/>
      <c r="C783" s="27"/>
      <c r="D783" s="27"/>
      <c r="E783" s="27"/>
      <c r="F783" s="27"/>
      <c r="G783" s="27"/>
      <c r="H783" s="27"/>
      <c r="I783" s="27"/>
      <c r="J783" s="27"/>
      <c r="K783" s="27"/>
      <c r="L783" s="27"/>
    </row>
    <row r="784" spans="1:12">
      <c r="A784" s="27"/>
      <c r="B784" s="27"/>
      <c r="C784" s="27"/>
      <c r="D784" s="27"/>
      <c r="E784" s="27"/>
      <c r="F784" s="27"/>
      <c r="G784" s="27"/>
      <c r="H784" s="27"/>
      <c r="I784" s="27"/>
      <c r="J784" s="27"/>
      <c r="K784" s="27"/>
      <c r="L784" s="27"/>
    </row>
    <row r="785" spans="1:12">
      <c r="A785" s="27"/>
      <c r="B785" s="27"/>
      <c r="C785" s="27"/>
      <c r="D785" s="27"/>
      <c r="E785" s="27"/>
      <c r="F785" s="27"/>
      <c r="G785" s="27"/>
      <c r="H785" s="27"/>
      <c r="I785" s="27"/>
      <c r="J785" s="27"/>
      <c r="K785" s="27"/>
      <c r="L785" s="27"/>
    </row>
    <row r="786" spans="1:12">
      <c r="A786" s="27"/>
      <c r="B786" s="27"/>
      <c r="C786" s="27"/>
      <c r="D786" s="27"/>
      <c r="E786" s="27"/>
      <c r="F786" s="27"/>
      <c r="G786" s="27"/>
      <c r="H786" s="27"/>
      <c r="I786" s="27"/>
      <c r="J786" s="27"/>
      <c r="K786" s="27"/>
      <c r="L786" s="27"/>
    </row>
    <row r="787" spans="1:12">
      <c r="A787" s="27"/>
      <c r="B787" s="27"/>
      <c r="C787" s="27"/>
      <c r="D787" s="27"/>
      <c r="E787" s="27"/>
      <c r="F787" s="27"/>
      <c r="G787" s="27"/>
      <c r="H787" s="27"/>
      <c r="I787" s="27"/>
      <c r="J787" s="27"/>
      <c r="K787" s="27"/>
      <c r="L787" s="27"/>
    </row>
    <row r="788" spans="1:12">
      <c r="A788" s="27"/>
      <c r="B788" s="27"/>
      <c r="C788" s="27"/>
      <c r="D788" s="27"/>
      <c r="E788" s="27"/>
      <c r="F788" s="27"/>
      <c r="G788" s="27"/>
      <c r="H788" s="27"/>
      <c r="I788" s="27"/>
      <c r="J788" s="27"/>
      <c r="K788" s="27"/>
      <c r="L788" s="27"/>
    </row>
    <row r="789" spans="1:12">
      <c r="A789" s="27"/>
      <c r="B789" s="27"/>
      <c r="C789" s="27"/>
      <c r="D789" s="27"/>
      <c r="E789" s="27"/>
      <c r="F789" s="27"/>
      <c r="G789" s="27"/>
      <c r="H789" s="27"/>
      <c r="I789" s="27"/>
      <c r="J789" s="27"/>
      <c r="K789" s="27"/>
      <c r="L789" s="27"/>
    </row>
    <row r="790" spans="1:12">
      <c r="A790" s="27"/>
      <c r="B790" s="27"/>
      <c r="C790" s="27"/>
      <c r="D790" s="27"/>
      <c r="E790" s="27"/>
      <c r="F790" s="27"/>
      <c r="G790" s="27"/>
      <c r="H790" s="27"/>
      <c r="I790" s="27"/>
      <c r="J790" s="27"/>
      <c r="K790" s="27"/>
      <c r="L790" s="27"/>
    </row>
    <row r="791" spans="1:12">
      <c r="A791" s="27"/>
      <c r="B791" s="27"/>
      <c r="C791" s="27"/>
      <c r="D791" s="27"/>
      <c r="E791" s="27"/>
      <c r="F791" s="27"/>
      <c r="G791" s="27"/>
      <c r="H791" s="27"/>
      <c r="I791" s="27"/>
      <c r="J791" s="27"/>
      <c r="K791" s="27"/>
      <c r="L791" s="27"/>
    </row>
    <row r="792" spans="1:12">
      <c r="A792" s="27"/>
      <c r="B792" s="27"/>
      <c r="C792" s="27"/>
      <c r="D792" s="27"/>
      <c r="E792" s="27"/>
      <c r="F792" s="27"/>
      <c r="G792" s="27"/>
      <c r="H792" s="27"/>
      <c r="I792" s="27"/>
      <c r="J792" s="27"/>
      <c r="K792" s="27"/>
      <c r="L792" s="27"/>
    </row>
    <row r="793" spans="1:12">
      <c r="A793" s="27"/>
      <c r="B793" s="27"/>
      <c r="C793" s="27"/>
      <c r="D793" s="27"/>
      <c r="E793" s="27"/>
      <c r="F793" s="27"/>
      <c r="G793" s="27"/>
      <c r="H793" s="27"/>
      <c r="I793" s="27"/>
      <c r="J793" s="27"/>
      <c r="K793" s="27"/>
      <c r="L793" s="27"/>
    </row>
    <row r="794" spans="1:12">
      <c r="A794" s="27"/>
      <c r="B794" s="27"/>
      <c r="C794" s="27"/>
      <c r="D794" s="27"/>
      <c r="E794" s="27"/>
      <c r="F794" s="27"/>
      <c r="G794" s="27"/>
      <c r="H794" s="27"/>
      <c r="I794" s="27"/>
      <c r="J794" s="27"/>
      <c r="K794" s="27"/>
      <c r="L794" s="27"/>
    </row>
    <row r="795" spans="1:12">
      <c r="A795" s="27"/>
      <c r="B795" s="27"/>
      <c r="C795" s="27"/>
      <c r="D795" s="27"/>
      <c r="E795" s="27"/>
      <c r="F795" s="27"/>
      <c r="G795" s="27"/>
      <c r="H795" s="27"/>
      <c r="I795" s="27"/>
      <c r="J795" s="27"/>
      <c r="K795" s="27"/>
      <c r="L795" s="27"/>
    </row>
  </sheetData>
  <mergeCells count="410">
    <mergeCell ref="B752:G752"/>
    <mergeCell ref="H752:L752"/>
    <mergeCell ref="B753:G753"/>
    <mergeCell ref="H753:L753"/>
    <mergeCell ref="B754:G754"/>
    <mergeCell ref="H754:L754"/>
    <mergeCell ref="B747:G747"/>
    <mergeCell ref="H747:L747"/>
    <mergeCell ref="B748:G748"/>
    <mergeCell ref="H748:L748"/>
    <mergeCell ref="B749:G749"/>
    <mergeCell ref="H749:L749"/>
    <mergeCell ref="B730:L730"/>
    <mergeCell ref="B731:F732"/>
    <mergeCell ref="H731:L732"/>
    <mergeCell ref="B739:F739"/>
    <mergeCell ref="H739:L739"/>
    <mergeCell ref="B746:G746"/>
    <mergeCell ref="H746:L746"/>
    <mergeCell ref="B714:G714"/>
    <mergeCell ref="H714:L714"/>
    <mergeCell ref="B715:G715"/>
    <mergeCell ref="H715:L715"/>
    <mergeCell ref="B728:L728"/>
    <mergeCell ref="B729:L729"/>
    <mergeCell ref="B709:G709"/>
    <mergeCell ref="H709:L709"/>
    <mergeCell ref="B710:G710"/>
    <mergeCell ref="H710:L710"/>
    <mergeCell ref="B713:G713"/>
    <mergeCell ref="H713:L713"/>
    <mergeCell ref="B700:F700"/>
    <mergeCell ref="H700:L700"/>
    <mergeCell ref="B707:G707"/>
    <mergeCell ref="H707:L707"/>
    <mergeCell ref="B708:G708"/>
    <mergeCell ref="H708:L708"/>
    <mergeCell ref="B676:G676"/>
    <mergeCell ref="H676:L676"/>
    <mergeCell ref="B689:L689"/>
    <mergeCell ref="B690:L690"/>
    <mergeCell ref="B691:L691"/>
    <mergeCell ref="B692:F693"/>
    <mergeCell ref="H692:L693"/>
    <mergeCell ref="B671:G671"/>
    <mergeCell ref="H671:L671"/>
    <mergeCell ref="B674:G674"/>
    <mergeCell ref="H674:L674"/>
    <mergeCell ref="B675:G675"/>
    <mergeCell ref="H675:L675"/>
    <mergeCell ref="B668:G668"/>
    <mergeCell ref="H668:L668"/>
    <mergeCell ref="B669:G669"/>
    <mergeCell ref="H669:L669"/>
    <mergeCell ref="B670:G670"/>
    <mergeCell ref="H670:L670"/>
    <mergeCell ref="B650:L650"/>
    <mergeCell ref="B651:L651"/>
    <mergeCell ref="B652:L652"/>
    <mergeCell ref="B653:F654"/>
    <mergeCell ref="H653:L654"/>
    <mergeCell ref="B661:F661"/>
    <mergeCell ref="H661:L661"/>
    <mergeCell ref="B635:G635"/>
    <mergeCell ref="H635:L635"/>
    <mergeCell ref="B636:G636"/>
    <mergeCell ref="H636:L636"/>
    <mergeCell ref="B637:G637"/>
    <mergeCell ref="H637:L637"/>
    <mergeCell ref="B630:G630"/>
    <mergeCell ref="H630:L630"/>
    <mergeCell ref="B631:G631"/>
    <mergeCell ref="H631:L631"/>
    <mergeCell ref="B632:G632"/>
    <mergeCell ref="H632:L632"/>
    <mergeCell ref="B614:F615"/>
    <mergeCell ref="H614:L615"/>
    <mergeCell ref="B622:F622"/>
    <mergeCell ref="H622:L622"/>
    <mergeCell ref="B629:G629"/>
    <mergeCell ref="H629:L629"/>
    <mergeCell ref="B598:G598"/>
    <mergeCell ref="H598:L598"/>
    <mergeCell ref="B599:G599"/>
    <mergeCell ref="H599:L599"/>
    <mergeCell ref="B611:L611"/>
    <mergeCell ref="B612:L612"/>
    <mergeCell ref="B597:G597"/>
    <mergeCell ref="H597:L597"/>
    <mergeCell ref="B584:F584"/>
    <mergeCell ref="H584:L584"/>
    <mergeCell ref="B591:G591"/>
    <mergeCell ref="H591:L591"/>
    <mergeCell ref="B592:G592"/>
    <mergeCell ref="H592:L592"/>
    <mergeCell ref="B613:L613"/>
    <mergeCell ref="H555:L555"/>
    <mergeCell ref="H556:L556"/>
    <mergeCell ref="G559:H559"/>
    <mergeCell ref="K559:L559"/>
    <mergeCell ref="K561:L561"/>
    <mergeCell ref="B593:G593"/>
    <mergeCell ref="H593:L593"/>
    <mergeCell ref="B594:G594"/>
    <mergeCell ref="H594:L594"/>
    <mergeCell ref="H500:L500"/>
    <mergeCell ref="B502:G502"/>
    <mergeCell ref="H502:L502"/>
    <mergeCell ref="B552:G552"/>
    <mergeCell ref="H552:L552"/>
    <mergeCell ref="B553:G553"/>
    <mergeCell ref="H553:L553"/>
    <mergeCell ref="H554:L554"/>
    <mergeCell ref="H545:L545"/>
    <mergeCell ref="B546:G546"/>
    <mergeCell ref="H546:L546"/>
    <mergeCell ref="B547:G547"/>
    <mergeCell ref="H547:L547"/>
    <mergeCell ref="B548:G548"/>
    <mergeCell ref="H548:L548"/>
    <mergeCell ref="H549:L549"/>
    <mergeCell ref="B551:G551"/>
    <mergeCell ref="H551:L551"/>
    <mergeCell ref="B503:G503"/>
    <mergeCell ref="H503:L503"/>
    <mergeCell ref="B504:G504"/>
    <mergeCell ref="H504:L504"/>
    <mergeCell ref="H505:L505"/>
    <mergeCell ref="H506:L506"/>
    <mergeCell ref="H453:L453"/>
    <mergeCell ref="G456:H456"/>
    <mergeCell ref="B496:G496"/>
    <mergeCell ref="H496:L496"/>
    <mergeCell ref="B497:G497"/>
    <mergeCell ref="H497:L497"/>
    <mergeCell ref="B498:G498"/>
    <mergeCell ref="H498:L498"/>
    <mergeCell ref="B499:G499"/>
    <mergeCell ref="H499:L499"/>
    <mergeCell ref="K456:L456"/>
    <mergeCell ref="K458:L458"/>
    <mergeCell ref="B478:L478"/>
    <mergeCell ref="B479:L479"/>
    <mergeCell ref="B480:L480"/>
    <mergeCell ref="B481:F482"/>
    <mergeCell ref="H481:L482"/>
    <mergeCell ref="B489:F489"/>
    <mergeCell ref="H489:L489"/>
    <mergeCell ref="H446:L446"/>
    <mergeCell ref="B448:G448"/>
    <mergeCell ref="H448:L448"/>
    <mergeCell ref="B449:G449"/>
    <mergeCell ref="H449:L449"/>
    <mergeCell ref="B450:G450"/>
    <mergeCell ref="H450:L450"/>
    <mergeCell ref="H451:L451"/>
    <mergeCell ref="H452:L452"/>
    <mergeCell ref="H400:L400"/>
    <mergeCell ref="H401:L401"/>
    <mergeCell ref="G404:H404"/>
    <mergeCell ref="K404:L404"/>
    <mergeCell ref="K406:L406"/>
    <mergeCell ref="B445:G445"/>
    <mergeCell ref="H445:L445"/>
    <mergeCell ref="B443:G443"/>
    <mergeCell ref="H443:L443"/>
    <mergeCell ref="B444:G444"/>
    <mergeCell ref="H444:L444"/>
    <mergeCell ref="B424:L424"/>
    <mergeCell ref="B425:L425"/>
    <mergeCell ref="B426:L426"/>
    <mergeCell ref="B427:F428"/>
    <mergeCell ref="H427:L428"/>
    <mergeCell ref="B435:F435"/>
    <mergeCell ref="H435:L435"/>
    <mergeCell ref="B442:G442"/>
    <mergeCell ref="H442:L442"/>
    <mergeCell ref="H399:L399"/>
    <mergeCell ref="B373:L373"/>
    <mergeCell ref="B374:L374"/>
    <mergeCell ref="B375:F376"/>
    <mergeCell ref="H375:L376"/>
    <mergeCell ref="B383:F383"/>
    <mergeCell ref="H383:L383"/>
    <mergeCell ref="B390:G390"/>
    <mergeCell ref="H390:L390"/>
    <mergeCell ref="B391:G391"/>
    <mergeCell ref="H391:L391"/>
    <mergeCell ref="B392:G392"/>
    <mergeCell ref="B398:G398"/>
    <mergeCell ref="H398:L398"/>
    <mergeCell ref="B322:F323"/>
    <mergeCell ref="H322:L323"/>
    <mergeCell ref="B330:F330"/>
    <mergeCell ref="H330:L330"/>
    <mergeCell ref="B337:G337"/>
    <mergeCell ref="H337:L337"/>
    <mergeCell ref="B338:G338"/>
    <mergeCell ref="H338:L338"/>
    <mergeCell ref="H392:L392"/>
    <mergeCell ref="B339:G339"/>
    <mergeCell ref="H339:L339"/>
    <mergeCell ref="B340:G340"/>
    <mergeCell ref="H340:L340"/>
    <mergeCell ref="H341:L341"/>
    <mergeCell ref="B343:G343"/>
    <mergeCell ref="H343:L343"/>
    <mergeCell ref="B344:G344"/>
    <mergeCell ref="H344:L344"/>
    <mergeCell ref="B345:G345"/>
    <mergeCell ref="H345:L345"/>
    <mergeCell ref="H346:L346"/>
    <mergeCell ref="H347:L347"/>
    <mergeCell ref="H348:L348"/>
    <mergeCell ref="G351:H351"/>
    <mergeCell ref="H293:L293"/>
    <mergeCell ref="H294:L294"/>
    <mergeCell ref="H295:L295"/>
    <mergeCell ref="G298:H298"/>
    <mergeCell ref="K298:L298"/>
    <mergeCell ref="K300:L300"/>
    <mergeCell ref="B319:L319"/>
    <mergeCell ref="B320:L320"/>
    <mergeCell ref="B321:L321"/>
    <mergeCell ref="B214:L214"/>
    <mergeCell ref="B215:L215"/>
    <mergeCell ref="B216:F217"/>
    <mergeCell ref="H216:L217"/>
    <mergeCell ref="B224:F224"/>
    <mergeCell ref="H224:L224"/>
    <mergeCell ref="B231:G231"/>
    <mergeCell ref="H231:L231"/>
    <mergeCell ref="B232:G232"/>
    <mergeCell ref="H232:L232"/>
    <mergeCell ref="B161:L161"/>
    <mergeCell ref="B162:L162"/>
    <mergeCell ref="B163:F164"/>
    <mergeCell ref="H163:L164"/>
    <mergeCell ref="B171:F171"/>
    <mergeCell ref="H171:L171"/>
    <mergeCell ref="B178:G178"/>
    <mergeCell ref="H178:L178"/>
    <mergeCell ref="B179:G179"/>
    <mergeCell ref="H179:L179"/>
    <mergeCell ref="B133:G133"/>
    <mergeCell ref="H133:L133"/>
    <mergeCell ref="H134:L134"/>
    <mergeCell ref="H135:L135"/>
    <mergeCell ref="H136:L136"/>
    <mergeCell ref="G139:H139"/>
    <mergeCell ref="K139:L139"/>
    <mergeCell ref="K141:L141"/>
    <mergeCell ref="B160:L160"/>
    <mergeCell ref="B109:L109"/>
    <mergeCell ref="B110:F111"/>
    <mergeCell ref="H110:L111"/>
    <mergeCell ref="B118:F118"/>
    <mergeCell ref="H118:L118"/>
    <mergeCell ref="B125:G125"/>
    <mergeCell ref="H125:L125"/>
    <mergeCell ref="B126:G126"/>
    <mergeCell ref="H126:L126"/>
    <mergeCell ref="H81:L81"/>
    <mergeCell ref="H82:L82"/>
    <mergeCell ref="G85:H85"/>
    <mergeCell ref="K85:L85"/>
    <mergeCell ref="K87:L87"/>
    <mergeCell ref="H105:L105"/>
    <mergeCell ref="H106:L106"/>
    <mergeCell ref="B107:L107"/>
    <mergeCell ref="B108:L108"/>
    <mergeCell ref="B64:F64"/>
    <mergeCell ref="H64:L64"/>
    <mergeCell ref="B71:G71"/>
    <mergeCell ref="H71:L71"/>
    <mergeCell ref="B72:G72"/>
    <mergeCell ref="H72:L72"/>
    <mergeCell ref="B73:G73"/>
    <mergeCell ref="H73:L73"/>
    <mergeCell ref="H80:L80"/>
    <mergeCell ref="B74:G74"/>
    <mergeCell ref="H74:L74"/>
    <mergeCell ref="H75:L75"/>
    <mergeCell ref="B77:G77"/>
    <mergeCell ref="H77:L77"/>
    <mergeCell ref="B78:G78"/>
    <mergeCell ref="H78:L78"/>
    <mergeCell ref="B79:G79"/>
    <mergeCell ref="H79:L79"/>
    <mergeCell ref="H28:L28"/>
    <mergeCell ref="H29:L29"/>
    <mergeCell ref="H30:L30"/>
    <mergeCell ref="G33:H33"/>
    <mergeCell ref="K33:L33"/>
    <mergeCell ref="B54:L54"/>
    <mergeCell ref="B55:L55"/>
    <mergeCell ref="B56:F57"/>
    <mergeCell ref="H56:L57"/>
    <mergeCell ref="B1:L1"/>
    <mergeCell ref="B2:L2"/>
    <mergeCell ref="B3:L3"/>
    <mergeCell ref="B4:F5"/>
    <mergeCell ref="H4:L5"/>
    <mergeCell ref="B12:F12"/>
    <mergeCell ref="H12:L12"/>
    <mergeCell ref="K35:L35"/>
    <mergeCell ref="B53:L53"/>
    <mergeCell ref="B22:G22"/>
    <mergeCell ref="H22:L22"/>
    <mergeCell ref="H23:L23"/>
    <mergeCell ref="B25:G25"/>
    <mergeCell ref="H25:L25"/>
    <mergeCell ref="B26:G26"/>
    <mergeCell ref="H26:L26"/>
    <mergeCell ref="B19:G19"/>
    <mergeCell ref="H19:L19"/>
    <mergeCell ref="B20:G20"/>
    <mergeCell ref="H20:L20"/>
    <mergeCell ref="B21:G21"/>
    <mergeCell ref="H21:L21"/>
    <mergeCell ref="B27:G27"/>
    <mergeCell ref="H27:L27"/>
    <mergeCell ref="B127:G127"/>
    <mergeCell ref="H127:L127"/>
    <mergeCell ref="B128:G128"/>
    <mergeCell ref="H128:L128"/>
    <mergeCell ref="H129:L129"/>
    <mergeCell ref="B131:G131"/>
    <mergeCell ref="H131:L131"/>
    <mergeCell ref="B132:G132"/>
    <mergeCell ref="H132:L132"/>
    <mergeCell ref="B180:G180"/>
    <mergeCell ref="H180:L180"/>
    <mergeCell ref="B181:G181"/>
    <mergeCell ref="H181:L181"/>
    <mergeCell ref="H182:L182"/>
    <mergeCell ref="B184:G184"/>
    <mergeCell ref="H184:L184"/>
    <mergeCell ref="B185:G185"/>
    <mergeCell ref="H185:L185"/>
    <mergeCell ref="B186:G186"/>
    <mergeCell ref="H186:L186"/>
    <mergeCell ref="H187:L187"/>
    <mergeCell ref="H188:L188"/>
    <mergeCell ref="H189:L189"/>
    <mergeCell ref="G192:H192"/>
    <mergeCell ref="K192:L192"/>
    <mergeCell ref="K194:L194"/>
    <mergeCell ref="B213:L213"/>
    <mergeCell ref="H233:L233"/>
    <mergeCell ref="B234:G234"/>
    <mergeCell ref="H234:L234"/>
    <mergeCell ref="H235:L235"/>
    <mergeCell ref="B237:G237"/>
    <mergeCell ref="H237:L237"/>
    <mergeCell ref="B238:G238"/>
    <mergeCell ref="H238:L238"/>
    <mergeCell ref="B239:G239"/>
    <mergeCell ref="H239:L239"/>
    <mergeCell ref="B233:G233"/>
    <mergeCell ref="H240:L240"/>
    <mergeCell ref="H241:L241"/>
    <mergeCell ref="H242:L242"/>
    <mergeCell ref="G245:H245"/>
    <mergeCell ref="K245:L245"/>
    <mergeCell ref="K247:L247"/>
    <mergeCell ref="B266:L266"/>
    <mergeCell ref="B267:L267"/>
    <mergeCell ref="B268:L268"/>
    <mergeCell ref="B269:F270"/>
    <mergeCell ref="H269:L270"/>
    <mergeCell ref="B277:F277"/>
    <mergeCell ref="H277:L277"/>
    <mergeCell ref="B284:G284"/>
    <mergeCell ref="H284:L284"/>
    <mergeCell ref="B285:G285"/>
    <mergeCell ref="H285:L285"/>
    <mergeCell ref="B286:G286"/>
    <mergeCell ref="H286:L286"/>
    <mergeCell ref="B287:G287"/>
    <mergeCell ref="H287:L287"/>
    <mergeCell ref="H288:L288"/>
    <mergeCell ref="B290:G290"/>
    <mergeCell ref="H290:L290"/>
    <mergeCell ref="B291:G291"/>
    <mergeCell ref="H291:L291"/>
    <mergeCell ref="B292:G292"/>
    <mergeCell ref="H292:L292"/>
    <mergeCell ref="K351:L351"/>
    <mergeCell ref="K353:L353"/>
    <mergeCell ref="B372:L372"/>
    <mergeCell ref="B393:G393"/>
    <mergeCell ref="H393:L393"/>
    <mergeCell ref="H394:L394"/>
    <mergeCell ref="B396:G396"/>
    <mergeCell ref="H396:L396"/>
    <mergeCell ref="B397:G397"/>
    <mergeCell ref="H397:L397"/>
    <mergeCell ref="B545:G545"/>
    <mergeCell ref="B527:L527"/>
    <mergeCell ref="H507:L507"/>
    <mergeCell ref="G510:H510"/>
    <mergeCell ref="K510:L510"/>
    <mergeCell ref="K512:L512"/>
    <mergeCell ref="B528:L528"/>
    <mergeCell ref="B529:L529"/>
    <mergeCell ref="B530:F531"/>
    <mergeCell ref="H530:L531"/>
    <mergeCell ref="B538:F538"/>
    <mergeCell ref="H538:L538"/>
  </mergeCells>
  <pageMargins left="0.70866141732283472" right="0.70866141732283472" top="0.74803149606299213" bottom="0.74803149606299213" header="0.31496062992125984" footer="0.31496062992125984"/>
  <pageSetup scale="65" orientation="portrait"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798"/>
  <sheetViews>
    <sheetView zoomScale="110" zoomScaleNormal="110" workbookViewId="0">
      <selection activeCell="K546" sqref="K546"/>
    </sheetView>
  </sheetViews>
  <sheetFormatPr defaultRowHeight="15"/>
  <cols>
    <col min="6" max="6" width="16.85546875" customWidth="1"/>
    <col min="10" max="10" width="14.5703125" customWidth="1"/>
    <col min="12" max="12" width="22.7109375" customWidth="1"/>
  </cols>
  <sheetData>
    <row r="1" spans="1:12" ht="32.25" customHeight="1">
      <c r="A1" s="128"/>
      <c r="B1" s="97"/>
      <c r="C1" s="97"/>
      <c r="D1" s="196"/>
      <c r="E1" s="196"/>
      <c r="F1" s="196"/>
      <c r="G1" s="196"/>
      <c r="H1" s="196"/>
      <c r="I1" s="196"/>
      <c r="J1" s="97"/>
      <c r="K1" s="198" t="s">
        <v>275</v>
      </c>
      <c r="L1" s="197"/>
    </row>
    <row r="2" spans="1:12" ht="21">
      <c r="A2" s="40"/>
      <c r="B2" s="851" t="s">
        <v>276</v>
      </c>
      <c r="C2" s="851"/>
      <c r="D2" s="851"/>
      <c r="E2" s="851"/>
      <c r="F2" s="851"/>
      <c r="G2" s="851"/>
      <c r="H2" s="851"/>
      <c r="I2" s="851"/>
      <c r="J2" s="851"/>
      <c r="K2" s="851"/>
      <c r="L2" s="852"/>
    </row>
    <row r="3" spans="1:12" ht="15.75">
      <c r="A3" s="40"/>
      <c r="B3" s="846" t="s">
        <v>277</v>
      </c>
      <c r="C3" s="846"/>
      <c r="D3" s="846"/>
      <c r="E3" s="846"/>
      <c r="F3" s="846"/>
      <c r="G3" s="846"/>
      <c r="H3" s="846"/>
      <c r="I3" s="846"/>
      <c r="J3" s="846"/>
      <c r="K3" s="846"/>
      <c r="L3" s="853"/>
    </row>
    <row r="4" spans="1:12" ht="15" customHeight="1">
      <c r="A4" s="40"/>
      <c r="B4" s="201" t="s">
        <v>278</v>
      </c>
      <c r="C4" s="199"/>
      <c r="D4" s="199"/>
      <c r="E4" s="199"/>
      <c r="F4" s="199"/>
      <c r="G4" s="27"/>
      <c r="H4" s="200"/>
      <c r="I4" s="200"/>
      <c r="J4" s="200"/>
      <c r="K4" s="200"/>
      <c r="L4" s="210"/>
    </row>
    <row r="5" spans="1:12">
      <c r="A5" s="40"/>
      <c r="B5" s="199"/>
      <c r="C5" s="199"/>
      <c r="D5" s="199"/>
      <c r="E5" s="199"/>
      <c r="F5" s="199"/>
      <c r="G5" s="27"/>
      <c r="H5" s="200"/>
      <c r="I5" s="200"/>
      <c r="J5" s="200"/>
      <c r="K5" s="200"/>
      <c r="L5" s="210"/>
    </row>
    <row r="6" spans="1:12">
      <c r="A6" s="40"/>
      <c r="B6" s="744" t="s">
        <v>244</v>
      </c>
      <c r="C6" s="744"/>
      <c r="D6" s="744"/>
      <c r="E6" s="744"/>
      <c r="F6" s="744"/>
      <c r="G6" s="744"/>
      <c r="H6" s="741" t="e">
        <f>'0422Master'!#REF!</f>
        <v>#REF!</v>
      </c>
      <c r="I6" s="742"/>
      <c r="J6" s="742"/>
      <c r="K6" s="742"/>
      <c r="L6" s="743"/>
    </row>
    <row r="7" spans="1:12">
      <c r="A7" s="40"/>
      <c r="B7" s="740" t="s">
        <v>245</v>
      </c>
      <c r="C7" s="740"/>
      <c r="D7" s="740"/>
      <c r="E7" s="740"/>
      <c r="F7" s="740"/>
      <c r="G7" s="740"/>
      <c r="H7" s="741" t="e">
        <f>'0422Master'!#REF!</f>
        <v>#REF!</v>
      </c>
      <c r="I7" s="742"/>
      <c r="J7" s="742"/>
      <c r="K7" s="742"/>
      <c r="L7" s="743"/>
    </row>
    <row r="8" spans="1:12">
      <c r="A8" s="40"/>
      <c r="B8" s="744" t="s">
        <v>246</v>
      </c>
      <c r="C8" s="744"/>
      <c r="D8" s="744"/>
      <c r="E8" s="744"/>
      <c r="F8" s="744"/>
      <c r="G8" s="744"/>
      <c r="H8" s="741" t="e">
        <f>'0422Master'!#REF!</f>
        <v>#REF!</v>
      </c>
      <c r="I8" s="742"/>
      <c r="J8" s="742"/>
      <c r="K8" s="742"/>
      <c r="L8" s="743"/>
    </row>
    <row r="9" spans="1:12">
      <c r="A9" s="40"/>
      <c r="B9" s="744" t="s">
        <v>247</v>
      </c>
      <c r="C9" s="744"/>
      <c r="D9" s="744"/>
      <c r="E9" s="744"/>
      <c r="F9" s="744"/>
      <c r="G9" s="744"/>
      <c r="H9" s="837" t="e">
        <f>'0422Master'!#REF!</f>
        <v>#REF!</v>
      </c>
      <c r="I9" s="742"/>
      <c r="J9" s="742"/>
      <c r="K9" s="742"/>
      <c r="L9" s="743"/>
    </row>
    <row r="10" spans="1:12">
      <c r="A10" s="40"/>
      <c r="B10" s="114" t="s">
        <v>248</v>
      </c>
      <c r="C10" s="221"/>
      <c r="D10" s="221"/>
      <c r="E10" s="221"/>
      <c r="F10" s="221"/>
      <c r="G10" s="221"/>
      <c r="H10" s="838" t="s">
        <v>249</v>
      </c>
      <c r="I10" s="839"/>
      <c r="J10" s="839"/>
      <c r="K10" s="839"/>
      <c r="L10" s="840"/>
    </row>
    <row r="11" spans="1:12">
      <c r="A11" s="40"/>
      <c r="B11" s="114" t="s">
        <v>250</v>
      </c>
      <c r="C11" s="221"/>
      <c r="D11" s="221"/>
      <c r="E11" s="221"/>
      <c r="F11" s="221"/>
      <c r="G11" s="221"/>
      <c r="H11" s="418"/>
      <c r="I11" s="414"/>
      <c r="J11" s="189"/>
      <c r="K11" s="414"/>
      <c r="L11" s="415"/>
    </row>
    <row r="12" spans="1:12">
      <c r="A12" s="40"/>
      <c r="B12" s="755" t="s">
        <v>251</v>
      </c>
      <c r="C12" s="755"/>
      <c r="D12" s="755"/>
      <c r="E12" s="755"/>
      <c r="F12" s="755"/>
      <c r="G12" s="755"/>
      <c r="H12" s="756" t="e">
        <f>'0422Master'!#REF!</f>
        <v>#REF!</v>
      </c>
      <c r="I12" s="757"/>
      <c r="J12" s="757"/>
      <c r="K12" s="757"/>
      <c r="L12" s="758"/>
    </row>
    <row r="13" spans="1:12">
      <c r="A13" s="40"/>
      <c r="B13" s="744"/>
      <c r="C13" s="744"/>
      <c r="D13" s="744"/>
      <c r="E13" s="744"/>
      <c r="F13" s="744"/>
      <c r="G13" s="744"/>
      <c r="H13" s="751" t="e">
        <f>'0422Master'!#REF!</f>
        <v>#REF!</v>
      </c>
      <c r="I13" s="742"/>
      <c r="J13" s="742"/>
      <c r="K13" s="742"/>
      <c r="L13" s="743"/>
    </row>
    <row r="14" spans="1:12">
      <c r="A14" s="40"/>
      <c r="B14" s="744"/>
      <c r="C14" s="744"/>
      <c r="D14" s="744"/>
      <c r="E14" s="744"/>
      <c r="F14" s="744"/>
      <c r="G14" s="744"/>
      <c r="H14" s="741" t="e">
        <f>'0422Master'!#REF!</f>
        <v>#REF!</v>
      </c>
      <c r="I14" s="742"/>
      <c r="J14" s="742"/>
      <c r="K14" s="742"/>
      <c r="L14" s="743"/>
    </row>
    <row r="15" spans="1:12">
      <c r="A15" s="40"/>
      <c r="B15" s="100"/>
      <c r="C15" s="100"/>
      <c r="D15" s="100"/>
      <c r="E15" s="100"/>
      <c r="F15" s="27"/>
      <c r="G15" s="108" t="s">
        <v>279</v>
      </c>
      <c r="H15" s="108"/>
      <c r="I15" s="108"/>
      <c r="J15" s="108"/>
      <c r="K15" s="108"/>
      <c r="L15" s="109"/>
    </row>
    <row r="16" spans="1:12">
      <c r="A16" s="40"/>
      <c r="B16" s="193" t="s">
        <v>253</v>
      </c>
      <c r="C16" s="412"/>
      <c r="D16" s="412"/>
      <c r="E16" s="412"/>
      <c r="F16" s="412"/>
      <c r="G16" s="412"/>
      <c r="H16" s="411"/>
      <c r="I16" s="411"/>
      <c r="J16" s="411"/>
      <c r="K16" s="411"/>
      <c r="L16" s="195"/>
    </row>
    <row r="17" spans="1:12">
      <c r="A17" s="40"/>
      <c r="B17" s="193" t="s">
        <v>254</v>
      </c>
      <c r="C17" s="412"/>
      <c r="D17" s="412"/>
      <c r="E17" s="412"/>
      <c r="F17" s="412"/>
      <c r="G17" s="412"/>
      <c r="H17" s="411"/>
      <c r="I17" s="411"/>
      <c r="J17" s="410"/>
      <c r="K17" s="411"/>
      <c r="L17" s="195"/>
    </row>
    <row r="18" spans="1:12" ht="27.95" customHeight="1">
      <c r="A18" s="113"/>
      <c r="B18" s="114" t="s">
        <v>255</v>
      </c>
      <c r="C18" s="221"/>
      <c r="D18" s="419"/>
      <c r="E18" s="413" t="s">
        <v>256</v>
      </c>
      <c r="F18" s="80"/>
      <c r="G18" s="832" t="s">
        <v>257</v>
      </c>
      <c r="H18" s="833"/>
      <c r="I18" s="479" t="s">
        <v>258</v>
      </c>
      <c r="J18" s="477" t="s">
        <v>259</v>
      </c>
      <c r="K18" s="832" t="s">
        <v>260</v>
      </c>
      <c r="L18" s="834"/>
    </row>
    <row r="19" spans="1:12" ht="20.100000000000001" customHeight="1">
      <c r="A19" s="113"/>
      <c r="B19" s="187">
        <v>1</v>
      </c>
      <c r="C19" s="221"/>
      <c r="D19" s="221"/>
      <c r="E19" s="188">
        <v>2</v>
      </c>
      <c r="F19" s="222"/>
      <c r="G19" s="188">
        <v>3</v>
      </c>
      <c r="H19" s="419"/>
      <c r="I19" s="419">
        <v>4</v>
      </c>
      <c r="J19" s="448">
        <v>5</v>
      </c>
      <c r="K19" s="115"/>
      <c r="L19" s="116">
        <v>6</v>
      </c>
    </row>
    <row r="20" spans="1:12" ht="20.100000000000001" customHeight="1">
      <c r="A20" s="113"/>
      <c r="B20" s="114" t="e">
        <f>'0422Master'!#REF!</f>
        <v>#REF!</v>
      </c>
      <c r="C20" s="202"/>
      <c r="D20" s="203"/>
      <c r="E20" s="204" t="s">
        <v>280</v>
      </c>
      <c r="F20" s="203"/>
      <c r="G20" s="204" t="s">
        <v>262</v>
      </c>
      <c r="H20" s="80"/>
      <c r="I20" s="308" t="s">
        <v>281</v>
      </c>
      <c r="J20" s="478">
        <v>1</v>
      </c>
      <c r="K20" s="205" t="s">
        <v>109</v>
      </c>
      <c r="L20" s="211"/>
    </row>
    <row r="21" spans="1:12" ht="20.100000000000001" customHeight="1">
      <c r="A21" s="113"/>
      <c r="B21" s="114"/>
      <c r="C21" s="202"/>
      <c r="D21" s="203"/>
      <c r="E21" s="204"/>
      <c r="F21" s="203"/>
      <c r="G21" s="204"/>
      <c r="H21" s="80"/>
      <c r="I21" s="308"/>
      <c r="J21" s="308"/>
      <c r="K21" s="205"/>
      <c r="L21" s="211"/>
    </row>
    <row r="22" spans="1:12" ht="20.100000000000001" customHeight="1">
      <c r="A22" s="113"/>
      <c r="B22" s="114"/>
      <c r="C22" s="202"/>
      <c r="D22" s="203"/>
      <c r="E22" s="204"/>
      <c r="F22" s="203"/>
      <c r="G22" s="204"/>
      <c r="H22" s="80"/>
      <c r="I22" s="308"/>
      <c r="J22" s="308"/>
      <c r="K22" s="205"/>
      <c r="L22" s="211"/>
    </row>
    <row r="23" spans="1:12" ht="20.100000000000001" customHeight="1">
      <c r="A23" s="113"/>
      <c r="B23" s="86"/>
      <c r="C23" s="46"/>
      <c r="D23" s="87"/>
      <c r="E23" s="204"/>
      <c r="F23" s="203"/>
      <c r="G23" s="204"/>
      <c r="H23" s="80"/>
      <c r="I23" s="308"/>
      <c r="J23" s="308"/>
      <c r="K23" s="205"/>
      <c r="L23" s="211"/>
    </row>
    <row r="24" spans="1:12" ht="27.95" customHeight="1">
      <c r="A24" s="113"/>
      <c r="B24" s="27" t="s">
        <v>264</v>
      </c>
      <c r="C24" s="27"/>
      <c r="D24" s="27"/>
      <c r="E24" s="27"/>
      <c r="F24" s="27"/>
      <c r="G24" s="27"/>
      <c r="H24" s="27"/>
      <c r="I24" s="27"/>
      <c r="J24" s="27"/>
      <c r="K24" s="27"/>
      <c r="L24" s="41"/>
    </row>
    <row r="25" spans="1:12" ht="27.95" customHeight="1">
      <c r="A25" s="40"/>
      <c r="B25" s="27" t="s">
        <v>265</v>
      </c>
      <c r="C25" s="27"/>
      <c r="D25" s="27"/>
      <c r="E25" s="27"/>
      <c r="F25" s="27"/>
      <c r="G25" s="27"/>
      <c r="H25" s="27"/>
      <c r="I25" s="27"/>
      <c r="J25" s="27"/>
      <c r="K25" s="27"/>
      <c r="L25" s="41"/>
    </row>
    <row r="26" spans="1:12" ht="27.95" customHeight="1">
      <c r="A26" s="40"/>
      <c r="B26" s="27" t="s">
        <v>282</v>
      </c>
      <c r="C26" s="27"/>
      <c r="D26" s="27"/>
      <c r="E26" s="27"/>
      <c r="F26" s="27"/>
      <c r="G26" s="27"/>
      <c r="H26" s="27"/>
      <c r="I26" s="27"/>
      <c r="J26" s="27" t="s">
        <v>283</v>
      </c>
      <c r="K26" s="27"/>
      <c r="L26" s="41"/>
    </row>
    <row r="27" spans="1:12" ht="19.5" customHeight="1">
      <c r="A27" s="40"/>
      <c r="B27" s="100"/>
      <c r="C27" s="100"/>
      <c r="D27" s="100"/>
      <c r="E27" s="100"/>
      <c r="F27" s="27"/>
      <c r="G27" s="108" t="s">
        <v>284</v>
      </c>
      <c r="H27" s="108"/>
      <c r="I27" s="108"/>
      <c r="J27" s="108"/>
      <c r="K27" s="108"/>
      <c r="L27" s="109"/>
    </row>
    <row r="28" spans="1:12" ht="11.25" customHeight="1">
      <c r="A28" s="40"/>
      <c r="B28" s="108"/>
      <c r="C28" s="100"/>
      <c r="D28" s="100"/>
      <c r="E28" s="100"/>
      <c r="F28" s="100"/>
      <c r="G28" s="27" t="s">
        <v>285</v>
      </c>
      <c r="H28" s="108"/>
      <c r="I28" s="108"/>
      <c r="J28" s="108"/>
      <c r="K28" s="108"/>
      <c r="L28" s="109"/>
    </row>
    <row r="29" spans="1:12" ht="27.95" customHeight="1">
      <c r="A29" s="40"/>
      <c r="B29" s="193" t="s">
        <v>286</v>
      </c>
      <c r="C29" s="412"/>
      <c r="D29" s="412"/>
      <c r="E29" s="412"/>
      <c r="F29" s="412"/>
      <c r="G29" s="412"/>
      <c r="H29" s="411"/>
      <c r="I29" s="411"/>
      <c r="J29" s="411"/>
      <c r="K29" s="411"/>
      <c r="L29" s="195"/>
    </row>
    <row r="30" spans="1:12" ht="27.95" customHeight="1">
      <c r="A30" s="40"/>
      <c r="B30" s="193" t="s">
        <v>287</v>
      </c>
      <c r="C30" s="412"/>
      <c r="D30" s="412"/>
      <c r="E30" s="412"/>
      <c r="F30" s="412"/>
      <c r="G30" s="412"/>
      <c r="H30" s="411"/>
      <c r="I30" s="411"/>
      <c r="J30" s="410"/>
      <c r="K30" s="411"/>
      <c r="L30" s="195"/>
    </row>
    <row r="31" spans="1:12" ht="27.95" customHeight="1">
      <c r="A31" s="40"/>
      <c r="B31" s="114" t="s">
        <v>59</v>
      </c>
      <c r="C31" s="854" t="s">
        <v>288</v>
      </c>
      <c r="D31" s="830"/>
      <c r="E31" s="830"/>
      <c r="F31" s="830"/>
      <c r="G31" s="830"/>
      <c r="H31" s="855"/>
      <c r="I31" s="416" t="s">
        <v>188</v>
      </c>
      <c r="J31" s="856" t="s">
        <v>289</v>
      </c>
      <c r="K31" s="857"/>
      <c r="L31" s="858"/>
    </row>
    <row r="32" spans="1:12" ht="20.100000000000001" customHeight="1">
      <c r="A32" s="40"/>
      <c r="B32" s="187">
        <v>1</v>
      </c>
      <c r="C32" s="220"/>
      <c r="D32" s="414"/>
      <c r="E32" s="186">
        <v>2</v>
      </c>
      <c r="F32" s="79"/>
      <c r="G32" s="850"/>
      <c r="H32" s="833"/>
      <c r="I32" s="414">
        <v>3</v>
      </c>
      <c r="J32" s="208" t="s">
        <v>290</v>
      </c>
      <c r="K32" s="859">
        <v>4</v>
      </c>
      <c r="L32" s="860"/>
    </row>
    <row r="33" spans="1:12" ht="20.100000000000001" customHeight="1">
      <c r="A33" s="40"/>
      <c r="B33" s="114"/>
      <c r="C33" s="220"/>
      <c r="D33" s="414"/>
      <c r="E33" s="186"/>
      <c r="F33" s="79"/>
      <c r="G33" s="850"/>
      <c r="H33" s="833"/>
      <c r="I33" s="205"/>
      <c r="J33" s="220"/>
      <c r="K33" s="850"/>
      <c r="L33" s="834"/>
    </row>
    <row r="34" spans="1:12" ht="20.100000000000001" customHeight="1">
      <c r="A34" s="40"/>
      <c r="B34" s="114"/>
      <c r="C34" s="220"/>
      <c r="D34" s="414"/>
      <c r="E34" s="186"/>
      <c r="F34" s="79"/>
      <c r="G34" s="850"/>
      <c r="H34" s="833"/>
      <c r="I34" s="205"/>
      <c r="J34" s="207"/>
      <c r="K34" s="850"/>
      <c r="L34" s="834"/>
    </row>
    <row r="35" spans="1:12" ht="20.100000000000001" customHeight="1">
      <c r="A35" s="40"/>
      <c r="B35" s="114"/>
      <c r="C35" s="220"/>
      <c r="D35" s="414"/>
      <c r="E35" s="186"/>
      <c r="F35" s="79"/>
      <c r="G35" s="850"/>
      <c r="H35" s="833"/>
      <c r="I35" s="205"/>
      <c r="J35" s="207"/>
      <c r="K35" s="850"/>
      <c r="L35" s="834"/>
    </row>
    <row r="36" spans="1:12" ht="20.100000000000001" customHeight="1">
      <c r="A36" s="40"/>
      <c r="B36" s="86"/>
      <c r="C36" s="220"/>
      <c r="D36" s="414"/>
      <c r="E36" s="186"/>
      <c r="F36" s="79"/>
      <c r="G36" s="850"/>
      <c r="H36" s="833"/>
      <c r="I36" s="205"/>
      <c r="J36" s="207"/>
      <c r="K36" s="850"/>
      <c r="L36" s="834"/>
    </row>
    <row r="37" spans="1:12" ht="27.95" customHeight="1">
      <c r="A37" s="40"/>
      <c r="B37" s="27" t="s">
        <v>291</v>
      </c>
      <c r="C37" s="27"/>
      <c r="D37" s="27"/>
      <c r="E37" s="27"/>
      <c r="F37" s="27"/>
      <c r="G37" s="27"/>
      <c r="H37" s="27"/>
      <c r="I37" s="27"/>
      <c r="J37" s="27"/>
      <c r="K37" s="27"/>
      <c r="L37" s="41"/>
    </row>
    <row r="38" spans="1:12" ht="19.5" customHeight="1">
      <c r="A38" s="40"/>
      <c r="B38" s="27" t="s">
        <v>292</v>
      </c>
      <c r="C38" s="27"/>
      <c r="D38" s="27"/>
      <c r="E38" s="27"/>
      <c r="F38" s="27"/>
      <c r="G38" s="27"/>
      <c r="H38" s="27"/>
      <c r="I38" s="27"/>
      <c r="J38" s="27"/>
      <c r="K38" s="27"/>
      <c r="L38" s="41"/>
    </row>
    <row r="39" spans="1:12" ht="19.5" customHeight="1">
      <c r="A39" s="40"/>
      <c r="B39" s="27" t="s">
        <v>293</v>
      </c>
      <c r="C39" s="27"/>
      <c r="D39" s="27"/>
      <c r="E39" s="27"/>
      <c r="F39" s="27"/>
      <c r="G39" s="27"/>
      <c r="H39" s="27"/>
      <c r="I39" s="27"/>
      <c r="J39" s="27"/>
      <c r="K39" s="27"/>
      <c r="L39" s="41"/>
    </row>
    <row r="40" spans="1:12" ht="15.75" customHeight="1">
      <c r="A40" s="40"/>
      <c r="B40" s="209" t="s">
        <v>294</v>
      </c>
      <c r="C40" s="27"/>
      <c r="D40" s="27"/>
      <c r="E40" s="27"/>
      <c r="F40" s="27"/>
      <c r="G40" s="27"/>
      <c r="H40" s="27"/>
      <c r="I40" s="27"/>
      <c r="J40" s="27"/>
      <c r="K40" s="27"/>
      <c r="L40" s="41"/>
    </row>
    <row r="41" spans="1:12" ht="27.95" customHeight="1">
      <c r="A41" s="40"/>
      <c r="B41" s="204" t="s">
        <v>295</v>
      </c>
      <c r="C41" s="79"/>
      <c r="D41" s="79"/>
      <c r="E41" s="79"/>
      <c r="F41" s="80"/>
      <c r="G41" s="204" t="s">
        <v>258</v>
      </c>
      <c r="H41" s="80"/>
      <c r="I41" s="204" t="s">
        <v>296</v>
      </c>
      <c r="J41" s="79"/>
      <c r="K41" s="80"/>
      <c r="L41" s="41"/>
    </row>
    <row r="42" spans="1:12" ht="27.95" customHeight="1">
      <c r="A42" s="40"/>
      <c r="B42" s="835"/>
      <c r="C42" s="849"/>
      <c r="D42" s="849"/>
      <c r="E42" s="849"/>
      <c r="F42" s="836"/>
      <c r="G42" s="835"/>
      <c r="H42" s="836"/>
      <c r="I42" s="835"/>
      <c r="J42" s="849"/>
      <c r="K42" s="836"/>
      <c r="L42" s="41"/>
    </row>
    <row r="43" spans="1:12" ht="27.95" customHeight="1">
      <c r="A43" s="40"/>
      <c r="B43" s="835"/>
      <c r="C43" s="849"/>
      <c r="D43" s="849"/>
      <c r="E43" s="849"/>
      <c r="F43" s="836"/>
      <c r="G43" s="835"/>
      <c r="H43" s="836"/>
      <c r="I43" s="835"/>
      <c r="J43" s="849"/>
      <c r="K43" s="836"/>
      <c r="L43" s="41"/>
    </row>
    <row r="44" spans="1:12" ht="27.95" customHeight="1">
      <c r="A44" s="40"/>
      <c r="B44" s="835"/>
      <c r="C44" s="849"/>
      <c r="D44" s="849"/>
      <c r="E44" s="849"/>
      <c r="F44" s="836"/>
      <c r="G44" s="835"/>
      <c r="H44" s="836"/>
      <c r="I44" s="835"/>
      <c r="J44" s="849"/>
      <c r="K44" s="836"/>
      <c r="L44" s="41"/>
    </row>
    <row r="45" spans="1:12" ht="27.95" customHeight="1">
      <c r="A45" s="40"/>
      <c r="B45" s="835"/>
      <c r="C45" s="849"/>
      <c r="D45" s="849"/>
      <c r="E45" s="849"/>
      <c r="F45" s="836"/>
      <c r="G45" s="835"/>
      <c r="H45" s="836"/>
      <c r="I45" s="835"/>
      <c r="J45" s="849"/>
      <c r="K45" s="836"/>
      <c r="L45" s="41"/>
    </row>
    <row r="46" spans="1:12">
      <c r="A46" s="40"/>
      <c r="B46" s="27"/>
      <c r="C46" s="27"/>
      <c r="D46" s="27"/>
      <c r="E46" s="27"/>
      <c r="F46" s="27"/>
      <c r="G46" s="27"/>
      <c r="H46" s="27"/>
      <c r="I46" s="27"/>
      <c r="J46" s="27"/>
      <c r="K46" s="27"/>
      <c r="L46" s="41"/>
    </row>
    <row r="47" spans="1:12">
      <c r="A47" s="40"/>
      <c r="B47" s="27" t="s">
        <v>274</v>
      </c>
      <c r="C47" s="297" t="e">
        <f>'0422Master'!#REF!</f>
        <v>#REF!</v>
      </c>
      <c r="D47" s="27"/>
      <c r="E47" s="27"/>
      <c r="F47" s="27"/>
      <c r="G47" s="27"/>
      <c r="H47" s="27"/>
      <c r="I47" s="27" t="s">
        <v>297</v>
      </c>
      <c r="J47" s="27"/>
      <c r="K47" s="27"/>
      <c r="L47" s="41"/>
    </row>
    <row r="48" spans="1:12" ht="18.75">
      <c r="A48" s="40"/>
      <c r="B48" s="27"/>
      <c r="C48" s="27"/>
      <c r="D48" s="27"/>
      <c r="E48" s="27"/>
      <c r="F48" s="190" t="s">
        <v>268</v>
      </c>
      <c r="G48" s="27"/>
      <c r="H48" s="27"/>
      <c r="I48" s="27"/>
      <c r="J48" s="27"/>
      <c r="K48" s="27"/>
      <c r="L48" s="41"/>
    </row>
    <row r="49" spans="1:12">
      <c r="A49" s="40" t="s">
        <v>269</v>
      </c>
      <c r="B49" s="27"/>
      <c r="C49" s="27"/>
      <c r="D49" s="27"/>
      <c r="E49" s="27"/>
      <c r="F49" s="27"/>
      <c r="G49" s="27"/>
      <c r="H49" s="27"/>
      <c r="I49" s="27"/>
      <c r="J49" s="27"/>
      <c r="K49" s="243" t="e">
        <f>'0422Master'!#REF!</f>
        <v>#REF!</v>
      </c>
      <c r="L49" s="41"/>
    </row>
    <row r="50" spans="1:12">
      <c r="A50" s="40" t="s">
        <v>270</v>
      </c>
      <c r="B50" s="27"/>
      <c r="C50" s="27"/>
      <c r="D50" s="27"/>
      <c r="E50" s="27"/>
      <c r="F50" s="27"/>
      <c r="G50" s="27"/>
      <c r="H50" s="27"/>
      <c r="I50" s="27"/>
      <c r="J50" s="27"/>
      <c r="K50" s="27"/>
      <c r="L50" s="41"/>
    </row>
    <row r="51" spans="1:12">
      <c r="A51" s="40"/>
      <c r="B51" s="27"/>
      <c r="C51" s="27"/>
      <c r="D51" s="27"/>
      <c r="E51" s="27"/>
      <c r="F51" s="27"/>
      <c r="G51" s="27"/>
      <c r="H51" s="27"/>
      <c r="I51" s="27"/>
      <c r="J51" s="27"/>
      <c r="K51" s="27"/>
      <c r="L51" s="41"/>
    </row>
    <row r="52" spans="1:12">
      <c r="A52" s="40"/>
      <c r="B52" s="27"/>
      <c r="C52" s="27"/>
      <c r="D52" s="27"/>
      <c r="E52" s="27"/>
      <c r="F52" s="27" t="s">
        <v>271</v>
      </c>
      <c r="G52" s="27"/>
      <c r="H52" s="27"/>
      <c r="I52" s="27"/>
      <c r="J52" s="27"/>
      <c r="K52" s="27"/>
      <c r="L52" s="41"/>
    </row>
    <row r="53" spans="1:12">
      <c r="A53" s="40" t="s">
        <v>272</v>
      </c>
      <c r="B53" s="27" t="s">
        <v>273</v>
      </c>
      <c r="C53" s="27"/>
      <c r="D53" s="27"/>
      <c r="E53" s="27"/>
      <c r="F53" s="27" t="str">
        <f>'0422Master'!F5</f>
        <v>Burgeon IT Services Pvt.Ltd.</v>
      </c>
      <c r="G53" s="27"/>
      <c r="H53" s="27"/>
      <c r="I53" s="27"/>
      <c r="J53" s="27"/>
      <c r="K53" s="27"/>
      <c r="L53" s="41"/>
    </row>
    <row r="54" spans="1:12" ht="15.75" thickBot="1">
      <c r="A54" s="54" t="s">
        <v>274</v>
      </c>
      <c r="B54" s="300" t="e">
        <f>'0422Master'!#REF!</f>
        <v>#REF!</v>
      </c>
      <c r="C54" s="52"/>
      <c r="D54" s="52"/>
      <c r="E54" s="52"/>
      <c r="F54" s="191" t="str">
        <f>'0422Master'!F6</f>
        <v>Siri Mansion LIGB 436 Dr.A S Rao Nagar,Hyderabad</v>
      </c>
      <c r="G54" s="191"/>
      <c r="H54" s="191"/>
      <c r="I54" s="191"/>
      <c r="J54" s="191"/>
      <c r="K54" s="191"/>
      <c r="L54" s="53"/>
    </row>
    <row r="55" spans="1:12" ht="27.95" customHeight="1">
      <c r="A55" s="128"/>
      <c r="B55" s="97"/>
      <c r="C55" s="97"/>
      <c r="D55" s="196"/>
      <c r="E55" s="196"/>
      <c r="F55" s="196"/>
      <c r="G55" s="196"/>
      <c r="H55" s="196"/>
      <c r="I55" s="196"/>
      <c r="J55" s="97"/>
      <c r="K55" s="198" t="s">
        <v>275</v>
      </c>
      <c r="L55" s="197"/>
    </row>
    <row r="56" spans="1:12" ht="27.95" customHeight="1">
      <c r="A56" s="40"/>
      <c r="B56" s="851" t="s">
        <v>276</v>
      </c>
      <c r="C56" s="851"/>
      <c r="D56" s="851"/>
      <c r="E56" s="851"/>
      <c r="F56" s="851"/>
      <c r="G56" s="851"/>
      <c r="H56" s="851"/>
      <c r="I56" s="851"/>
      <c r="J56" s="851"/>
      <c r="K56" s="851"/>
      <c r="L56" s="852"/>
    </row>
    <row r="57" spans="1:12" ht="27.95" customHeight="1">
      <c r="A57" s="40"/>
      <c r="B57" s="846" t="s">
        <v>277</v>
      </c>
      <c r="C57" s="846"/>
      <c r="D57" s="846"/>
      <c r="E57" s="846"/>
      <c r="F57" s="846"/>
      <c r="G57" s="846"/>
      <c r="H57" s="846"/>
      <c r="I57" s="846"/>
      <c r="J57" s="846"/>
      <c r="K57" s="846"/>
      <c r="L57" s="853"/>
    </row>
    <row r="58" spans="1:12" ht="27.95" customHeight="1">
      <c r="A58" s="40"/>
      <c r="B58" s="201" t="s">
        <v>278</v>
      </c>
      <c r="C58" s="199"/>
      <c r="D58" s="199"/>
      <c r="E58" s="199"/>
      <c r="F58" s="199"/>
      <c r="G58" s="27"/>
      <c r="H58" s="200"/>
      <c r="I58" s="200"/>
      <c r="J58" s="200"/>
      <c r="K58" s="200"/>
      <c r="L58" s="210"/>
    </row>
    <row r="59" spans="1:12" ht="27.95" customHeight="1">
      <c r="A59" s="40"/>
      <c r="B59" s="199"/>
      <c r="C59" s="199"/>
      <c r="D59" s="199"/>
      <c r="E59" s="199"/>
      <c r="F59" s="199"/>
      <c r="G59" s="27"/>
      <c r="H59" s="200"/>
      <c r="I59" s="200"/>
      <c r="J59" s="200"/>
      <c r="K59" s="200"/>
      <c r="L59" s="210"/>
    </row>
    <row r="60" spans="1:12" ht="27.95" customHeight="1">
      <c r="A60" s="40"/>
      <c r="B60" s="744" t="s">
        <v>244</v>
      </c>
      <c r="C60" s="744"/>
      <c r="D60" s="744"/>
      <c r="E60" s="744"/>
      <c r="F60" s="744"/>
      <c r="G60" s="744"/>
      <c r="H60" s="741" t="e">
        <f>'0422Master'!#REF!</f>
        <v>#REF!</v>
      </c>
      <c r="I60" s="742"/>
      <c r="J60" s="742"/>
      <c r="K60" s="742"/>
      <c r="L60" s="743"/>
    </row>
    <row r="61" spans="1:12" ht="27.95" customHeight="1">
      <c r="A61" s="40"/>
      <c r="B61" s="740" t="s">
        <v>245</v>
      </c>
      <c r="C61" s="740"/>
      <c r="D61" s="740"/>
      <c r="E61" s="740"/>
      <c r="F61" s="740"/>
      <c r="G61" s="740"/>
      <c r="H61" s="741" t="e">
        <f>'0422Master'!#REF!</f>
        <v>#REF!</v>
      </c>
      <c r="I61" s="742"/>
      <c r="J61" s="742"/>
      <c r="K61" s="742"/>
      <c r="L61" s="743"/>
    </row>
    <row r="62" spans="1:12" ht="27.95" customHeight="1">
      <c r="A62" s="40"/>
      <c r="B62" s="744" t="s">
        <v>246</v>
      </c>
      <c r="C62" s="744"/>
      <c r="D62" s="744"/>
      <c r="E62" s="744"/>
      <c r="F62" s="744"/>
      <c r="G62" s="744"/>
      <c r="H62" s="741" t="e">
        <f>'0422Master'!#REF!</f>
        <v>#REF!</v>
      </c>
      <c r="I62" s="742"/>
      <c r="J62" s="742"/>
      <c r="K62" s="742"/>
      <c r="L62" s="743"/>
    </row>
    <row r="63" spans="1:12" ht="27.95" customHeight="1">
      <c r="A63" s="40"/>
      <c r="B63" s="744" t="s">
        <v>247</v>
      </c>
      <c r="C63" s="744"/>
      <c r="D63" s="744"/>
      <c r="E63" s="744"/>
      <c r="F63" s="744"/>
      <c r="G63" s="744"/>
      <c r="H63" s="837" t="e">
        <f>'0422Master'!#REF!</f>
        <v>#REF!</v>
      </c>
      <c r="I63" s="742"/>
      <c r="J63" s="742"/>
      <c r="K63" s="742"/>
      <c r="L63" s="743"/>
    </row>
    <row r="64" spans="1:12" ht="27.95" customHeight="1">
      <c r="A64" s="40"/>
      <c r="B64" s="114" t="s">
        <v>248</v>
      </c>
      <c r="C64" s="221"/>
      <c r="D64" s="221"/>
      <c r="E64" s="221"/>
      <c r="F64" s="221"/>
      <c r="G64" s="221"/>
      <c r="H64" s="838" t="s">
        <v>249</v>
      </c>
      <c r="I64" s="839"/>
      <c r="J64" s="839"/>
      <c r="K64" s="839"/>
      <c r="L64" s="840"/>
    </row>
    <row r="65" spans="1:12" ht="27.95" customHeight="1">
      <c r="A65" s="40"/>
      <c r="B65" s="114" t="s">
        <v>250</v>
      </c>
      <c r="C65" s="221"/>
      <c r="D65" s="221"/>
      <c r="E65" s="221"/>
      <c r="F65" s="221"/>
      <c r="G65" s="221"/>
      <c r="H65" s="418"/>
      <c r="I65" s="414"/>
      <c r="J65" s="189"/>
      <c r="K65" s="414"/>
      <c r="L65" s="415"/>
    </row>
    <row r="66" spans="1:12">
      <c r="A66" s="40"/>
      <c r="B66" s="755" t="s">
        <v>251</v>
      </c>
      <c r="C66" s="755"/>
      <c r="D66" s="755"/>
      <c r="E66" s="755"/>
      <c r="F66" s="755"/>
      <c r="G66" s="755"/>
      <c r="H66" s="756" t="e">
        <f>'0422Master'!#REF!</f>
        <v>#REF!</v>
      </c>
      <c r="I66" s="757"/>
      <c r="J66" s="757"/>
      <c r="K66" s="757"/>
      <c r="L66" s="758"/>
    </row>
    <row r="67" spans="1:12">
      <c r="A67" s="40"/>
      <c r="B67" s="744"/>
      <c r="C67" s="744"/>
      <c r="D67" s="744"/>
      <c r="E67" s="744"/>
      <c r="F67" s="744"/>
      <c r="G67" s="744"/>
      <c r="H67" s="751" t="e">
        <f>'0422Master'!#REF!</f>
        <v>#REF!</v>
      </c>
      <c r="I67" s="742"/>
      <c r="J67" s="742"/>
      <c r="K67" s="742"/>
      <c r="L67" s="743"/>
    </row>
    <row r="68" spans="1:12">
      <c r="A68" s="40"/>
      <c r="B68" s="744"/>
      <c r="C68" s="744"/>
      <c r="D68" s="744"/>
      <c r="E68" s="744"/>
      <c r="F68" s="744"/>
      <c r="G68" s="744"/>
      <c r="H68" s="741" t="e">
        <f>'0422Master'!#REF!</f>
        <v>#REF!</v>
      </c>
      <c r="I68" s="742"/>
      <c r="J68" s="742"/>
      <c r="K68" s="742"/>
      <c r="L68" s="743"/>
    </row>
    <row r="69" spans="1:12">
      <c r="A69" s="40"/>
      <c r="B69" s="100"/>
      <c r="C69" s="100"/>
      <c r="D69" s="100"/>
      <c r="E69" s="100"/>
      <c r="F69" s="27"/>
      <c r="G69" s="108" t="s">
        <v>279</v>
      </c>
      <c r="H69" s="108"/>
      <c r="I69" s="108"/>
      <c r="J69" s="108"/>
      <c r="K69" s="108"/>
      <c r="L69" s="109"/>
    </row>
    <row r="70" spans="1:12">
      <c r="A70" s="40"/>
      <c r="B70" s="193" t="s">
        <v>253</v>
      </c>
      <c r="C70" s="412"/>
      <c r="D70" s="412"/>
      <c r="E70" s="412"/>
      <c r="F70" s="412"/>
      <c r="G70" s="412"/>
      <c r="H70" s="411"/>
      <c r="I70" s="411"/>
      <c r="J70" s="411"/>
      <c r="K70" s="411"/>
      <c r="L70" s="195"/>
    </row>
    <row r="71" spans="1:12">
      <c r="A71" s="40"/>
      <c r="B71" s="193" t="s">
        <v>254</v>
      </c>
      <c r="C71" s="412"/>
      <c r="D71" s="412"/>
      <c r="E71" s="412"/>
      <c r="F71" s="412"/>
      <c r="G71" s="412"/>
      <c r="H71" s="411"/>
      <c r="I71" s="411"/>
      <c r="J71" s="410"/>
      <c r="K71" s="411"/>
      <c r="L71" s="195"/>
    </row>
    <row r="72" spans="1:12" ht="45">
      <c r="A72" s="113"/>
      <c r="B72" s="114" t="s">
        <v>255</v>
      </c>
      <c r="C72" s="221"/>
      <c r="D72" s="419"/>
      <c r="E72" s="413" t="s">
        <v>256</v>
      </c>
      <c r="F72" s="80"/>
      <c r="G72" s="832" t="s">
        <v>257</v>
      </c>
      <c r="H72" s="833"/>
      <c r="I72" s="479" t="s">
        <v>258</v>
      </c>
      <c r="J72" s="477" t="s">
        <v>259</v>
      </c>
      <c r="K72" s="832" t="s">
        <v>260</v>
      </c>
      <c r="L72" s="834"/>
    </row>
    <row r="73" spans="1:12">
      <c r="A73" s="113"/>
      <c r="B73" s="187">
        <v>1</v>
      </c>
      <c r="C73" s="221"/>
      <c r="D73" s="221"/>
      <c r="E73" s="188">
        <v>2</v>
      </c>
      <c r="F73" s="222"/>
      <c r="G73" s="188">
        <v>3</v>
      </c>
      <c r="H73" s="419"/>
      <c r="I73" s="419">
        <v>4</v>
      </c>
      <c r="J73" s="448">
        <v>5</v>
      </c>
      <c r="K73" s="115"/>
      <c r="L73" s="116">
        <v>6</v>
      </c>
    </row>
    <row r="74" spans="1:12">
      <c r="A74" s="113"/>
      <c r="B74" s="114" t="e">
        <f>'0422Master'!#REF!</f>
        <v>#REF!</v>
      </c>
      <c r="C74" s="202"/>
      <c r="D74" s="203"/>
      <c r="E74" s="204" t="s">
        <v>280</v>
      </c>
      <c r="F74" s="203"/>
      <c r="G74" s="204" t="s">
        <v>262</v>
      </c>
      <c r="H74" s="80"/>
      <c r="I74" s="308" t="s">
        <v>281</v>
      </c>
      <c r="J74" s="478">
        <v>1</v>
      </c>
      <c r="K74" s="205" t="s">
        <v>109</v>
      </c>
      <c r="L74" s="211"/>
    </row>
    <row r="75" spans="1:12">
      <c r="A75" s="113"/>
      <c r="B75" s="114"/>
      <c r="C75" s="202"/>
      <c r="D75" s="203"/>
      <c r="E75" s="204"/>
      <c r="F75" s="203"/>
      <c r="G75" s="204"/>
      <c r="H75" s="80"/>
      <c r="I75" s="308"/>
      <c r="J75" s="308"/>
      <c r="K75" s="205"/>
      <c r="L75" s="211"/>
    </row>
    <row r="76" spans="1:12">
      <c r="A76" s="113"/>
      <c r="B76" s="114"/>
      <c r="C76" s="202"/>
      <c r="D76" s="203"/>
      <c r="E76" s="204"/>
      <c r="F76" s="203"/>
      <c r="G76" s="204"/>
      <c r="H76" s="80"/>
      <c r="I76" s="308"/>
      <c r="J76" s="308"/>
      <c r="K76" s="205"/>
      <c r="L76" s="211"/>
    </row>
    <row r="77" spans="1:12">
      <c r="A77" s="113"/>
      <c r="B77" s="86"/>
      <c r="C77" s="46"/>
      <c r="D77" s="87"/>
      <c r="E77" s="204"/>
      <c r="F77" s="203"/>
      <c r="G77" s="204"/>
      <c r="H77" s="80"/>
      <c r="I77" s="308"/>
      <c r="J77" s="308"/>
      <c r="K77" s="205"/>
      <c r="L77" s="211"/>
    </row>
    <row r="78" spans="1:12">
      <c r="A78" s="113"/>
      <c r="B78" s="27" t="s">
        <v>264</v>
      </c>
      <c r="C78" s="27"/>
      <c r="D78" s="27"/>
      <c r="E78" s="27"/>
      <c r="F78" s="27"/>
      <c r="G78" s="27"/>
      <c r="H78" s="27"/>
      <c r="I78" s="27"/>
      <c r="J78" s="27"/>
      <c r="K78" s="27"/>
      <c r="L78" s="41"/>
    </row>
    <row r="79" spans="1:12">
      <c r="A79" s="40"/>
      <c r="B79" s="27" t="s">
        <v>265</v>
      </c>
      <c r="C79" s="27"/>
      <c r="D79" s="27"/>
      <c r="E79" s="27"/>
      <c r="F79" s="27"/>
      <c r="G79" s="27"/>
      <c r="H79" s="27"/>
      <c r="I79" s="27"/>
      <c r="J79" s="27"/>
      <c r="K79" s="27"/>
      <c r="L79" s="41"/>
    </row>
    <row r="80" spans="1:12">
      <c r="A80" s="40"/>
      <c r="B80" s="27" t="s">
        <v>282</v>
      </c>
      <c r="C80" s="27"/>
      <c r="D80" s="27"/>
      <c r="E80" s="27"/>
      <c r="F80" s="27"/>
      <c r="G80" s="27"/>
      <c r="H80" s="27"/>
      <c r="I80" s="27"/>
      <c r="J80" s="27" t="s">
        <v>283</v>
      </c>
      <c r="K80" s="27"/>
      <c r="L80" s="41"/>
    </row>
    <row r="81" spans="1:12">
      <c r="A81" s="40"/>
      <c r="B81" s="100"/>
      <c r="C81" s="100"/>
      <c r="D81" s="100"/>
      <c r="E81" s="100"/>
      <c r="F81" s="27"/>
      <c r="G81" s="108" t="s">
        <v>284</v>
      </c>
      <c r="H81" s="108"/>
      <c r="I81" s="108"/>
      <c r="J81" s="108"/>
      <c r="K81" s="108"/>
      <c r="L81" s="109"/>
    </row>
    <row r="82" spans="1:12">
      <c r="A82" s="40"/>
      <c r="B82" s="108"/>
      <c r="C82" s="100"/>
      <c r="D82" s="100"/>
      <c r="E82" s="100"/>
      <c r="F82" s="100"/>
      <c r="G82" s="27" t="s">
        <v>285</v>
      </c>
      <c r="H82" s="108"/>
      <c r="I82" s="108"/>
      <c r="J82" s="108"/>
      <c r="K82" s="108"/>
      <c r="L82" s="109"/>
    </row>
    <row r="83" spans="1:12">
      <c r="A83" s="40"/>
      <c r="B83" s="193" t="s">
        <v>286</v>
      </c>
      <c r="C83" s="412"/>
      <c r="D83" s="412"/>
      <c r="E83" s="412"/>
      <c r="F83" s="412"/>
      <c r="G83" s="412"/>
      <c r="H83" s="411"/>
      <c r="I83" s="411"/>
      <c r="J83" s="411"/>
      <c r="K83" s="411"/>
      <c r="L83" s="195"/>
    </row>
    <row r="84" spans="1:12">
      <c r="A84" s="40"/>
      <c r="B84" s="193" t="s">
        <v>287</v>
      </c>
      <c r="C84" s="412"/>
      <c r="D84" s="412"/>
      <c r="E84" s="412"/>
      <c r="F84" s="412"/>
      <c r="G84" s="412"/>
      <c r="H84" s="411"/>
      <c r="I84" s="411"/>
      <c r="J84" s="410"/>
      <c r="K84" s="411"/>
      <c r="L84" s="195"/>
    </row>
    <row r="85" spans="1:12">
      <c r="A85" s="40"/>
      <c r="B85" s="114" t="s">
        <v>59</v>
      </c>
      <c r="C85" s="854" t="s">
        <v>288</v>
      </c>
      <c r="D85" s="830"/>
      <c r="E85" s="830"/>
      <c r="F85" s="830"/>
      <c r="G85" s="830"/>
      <c r="H85" s="855"/>
      <c r="I85" s="416" t="s">
        <v>188</v>
      </c>
      <c r="J85" s="856" t="s">
        <v>289</v>
      </c>
      <c r="K85" s="857"/>
      <c r="L85" s="858"/>
    </row>
    <row r="86" spans="1:12">
      <c r="A86" s="40"/>
      <c r="B86" s="187">
        <v>1</v>
      </c>
      <c r="C86" s="220"/>
      <c r="D86" s="414"/>
      <c r="E86" s="186">
        <v>2</v>
      </c>
      <c r="F86" s="79"/>
      <c r="G86" s="850"/>
      <c r="H86" s="833"/>
      <c r="I86" s="414">
        <v>3</v>
      </c>
      <c r="J86" s="208" t="s">
        <v>290</v>
      </c>
      <c r="K86" s="859">
        <v>4</v>
      </c>
      <c r="L86" s="860"/>
    </row>
    <row r="87" spans="1:12" ht="15" customHeight="1">
      <c r="A87" s="40"/>
      <c r="B87" s="114"/>
      <c r="C87" s="220"/>
      <c r="D87" s="414"/>
      <c r="E87" s="186"/>
      <c r="F87" s="79"/>
      <c r="G87" s="850"/>
      <c r="H87" s="833"/>
      <c r="I87" s="205"/>
      <c r="J87" s="207"/>
      <c r="K87" s="850"/>
      <c r="L87" s="834"/>
    </row>
    <row r="88" spans="1:12">
      <c r="A88" s="40"/>
      <c r="B88" s="114"/>
      <c r="C88" s="220"/>
      <c r="D88" s="414"/>
      <c r="E88" s="186"/>
      <c r="F88" s="79"/>
      <c r="G88" s="850"/>
      <c r="H88" s="833"/>
      <c r="I88" s="205"/>
      <c r="J88" s="207"/>
      <c r="K88" s="850"/>
      <c r="L88" s="834"/>
    </row>
    <row r="89" spans="1:12">
      <c r="A89" s="40"/>
      <c r="B89" s="114"/>
      <c r="C89" s="220"/>
      <c r="D89" s="414"/>
      <c r="E89" s="186"/>
      <c r="F89" s="79"/>
      <c r="G89" s="850"/>
      <c r="H89" s="833"/>
      <c r="I89" s="205"/>
      <c r="J89" s="207"/>
      <c r="K89" s="850"/>
      <c r="L89" s="834"/>
    </row>
    <row r="90" spans="1:12">
      <c r="A90" s="40"/>
      <c r="B90" s="86"/>
      <c r="C90" s="220"/>
      <c r="D90" s="414"/>
      <c r="E90" s="186"/>
      <c r="F90" s="79"/>
      <c r="G90" s="850"/>
      <c r="H90" s="833"/>
      <c r="I90" s="205"/>
      <c r="J90" s="207"/>
      <c r="K90" s="850"/>
      <c r="L90" s="834"/>
    </row>
    <row r="91" spans="1:12">
      <c r="A91" s="40"/>
      <c r="B91" s="27" t="s">
        <v>291</v>
      </c>
      <c r="C91" s="27"/>
      <c r="D91" s="27"/>
      <c r="E91" s="27"/>
      <c r="F91" s="27"/>
      <c r="G91" s="27"/>
      <c r="H91" s="27"/>
      <c r="I91" s="27"/>
      <c r="J91" s="27"/>
      <c r="K91" s="27"/>
      <c r="L91" s="41"/>
    </row>
    <row r="92" spans="1:12">
      <c r="A92" s="40"/>
      <c r="B92" s="27" t="s">
        <v>292</v>
      </c>
      <c r="C92" s="27"/>
      <c r="D92" s="27"/>
      <c r="E92" s="27"/>
      <c r="F92" s="27"/>
      <c r="G92" s="27"/>
      <c r="H92" s="27"/>
      <c r="I92" s="27"/>
      <c r="J92" s="27"/>
      <c r="K92" s="27"/>
      <c r="L92" s="41"/>
    </row>
    <row r="93" spans="1:12">
      <c r="A93" s="40"/>
      <c r="B93" s="27" t="s">
        <v>293</v>
      </c>
      <c r="C93" s="27"/>
      <c r="D93" s="27"/>
      <c r="E93" s="27"/>
      <c r="F93" s="27"/>
      <c r="G93" s="27"/>
      <c r="H93" s="27"/>
      <c r="I93" s="27"/>
      <c r="J93" s="27"/>
      <c r="K93" s="27"/>
      <c r="L93" s="41"/>
    </row>
    <row r="94" spans="1:12">
      <c r="A94" s="40"/>
      <c r="B94" s="209" t="s">
        <v>294</v>
      </c>
      <c r="C94" s="27"/>
      <c r="D94" s="27"/>
      <c r="E94" s="27"/>
      <c r="F94" s="27"/>
      <c r="G94" s="27"/>
      <c r="H94" s="27"/>
      <c r="I94" s="27"/>
      <c r="J94" s="27"/>
      <c r="K94" s="27"/>
      <c r="L94" s="41"/>
    </row>
    <row r="95" spans="1:12">
      <c r="A95" s="40"/>
      <c r="B95" s="204" t="s">
        <v>295</v>
      </c>
      <c r="C95" s="79"/>
      <c r="D95" s="79"/>
      <c r="E95" s="79"/>
      <c r="F95" s="80"/>
      <c r="G95" s="204" t="s">
        <v>258</v>
      </c>
      <c r="H95" s="80"/>
      <c r="I95" s="204" t="s">
        <v>296</v>
      </c>
      <c r="J95" s="79"/>
      <c r="K95" s="80"/>
      <c r="L95" s="41"/>
    </row>
    <row r="96" spans="1:12">
      <c r="A96" s="40"/>
      <c r="B96" s="835"/>
      <c r="C96" s="849"/>
      <c r="D96" s="849"/>
      <c r="E96" s="849"/>
      <c r="F96" s="836"/>
      <c r="G96" s="835"/>
      <c r="H96" s="836"/>
      <c r="I96" s="835"/>
      <c r="J96" s="849"/>
      <c r="K96" s="836"/>
      <c r="L96" s="41"/>
    </row>
    <row r="97" spans="1:12">
      <c r="A97" s="40"/>
      <c r="B97" s="835"/>
      <c r="C97" s="849"/>
      <c r="D97" s="849"/>
      <c r="E97" s="849"/>
      <c r="F97" s="836"/>
      <c r="G97" s="835"/>
      <c r="H97" s="836"/>
      <c r="I97" s="835"/>
      <c r="J97" s="849"/>
      <c r="K97" s="836"/>
      <c r="L97" s="41"/>
    </row>
    <row r="98" spans="1:12">
      <c r="A98" s="40"/>
      <c r="B98" s="835"/>
      <c r="C98" s="849"/>
      <c r="D98" s="849"/>
      <c r="E98" s="849"/>
      <c r="F98" s="836"/>
      <c r="G98" s="835"/>
      <c r="H98" s="836"/>
      <c r="I98" s="835"/>
      <c r="J98" s="849"/>
      <c r="K98" s="836"/>
      <c r="L98" s="41"/>
    </row>
    <row r="99" spans="1:12">
      <c r="A99" s="40"/>
      <c r="B99" s="835"/>
      <c r="C99" s="849"/>
      <c r="D99" s="849"/>
      <c r="E99" s="849"/>
      <c r="F99" s="836"/>
      <c r="G99" s="835"/>
      <c r="H99" s="836"/>
      <c r="I99" s="835"/>
      <c r="J99" s="849"/>
      <c r="K99" s="836"/>
      <c r="L99" s="41"/>
    </row>
    <row r="100" spans="1:12">
      <c r="A100" s="40"/>
      <c r="B100" s="27"/>
      <c r="C100" s="27"/>
      <c r="D100" s="27"/>
      <c r="E100" s="27"/>
      <c r="F100" s="27"/>
      <c r="G100" s="27"/>
      <c r="H100" s="27"/>
      <c r="I100" s="27"/>
      <c r="J100" s="27"/>
      <c r="K100" s="27"/>
      <c r="L100" s="41"/>
    </row>
    <row r="101" spans="1:12">
      <c r="A101" s="40"/>
      <c r="B101" s="27" t="s">
        <v>274</v>
      </c>
      <c r="C101" s="297" t="e">
        <f>'0422Master'!#REF!</f>
        <v>#REF!</v>
      </c>
      <c r="D101" s="27"/>
      <c r="E101" s="27"/>
      <c r="F101" s="27"/>
      <c r="G101" s="27"/>
      <c r="H101" s="27"/>
      <c r="I101" s="27" t="s">
        <v>297</v>
      </c>
      <c r="J101" s="27"/>
      <c r="K101" s="27"/>
      <c r="L101" s="41"/>
    </row>
    <row r="102" spans="1:12" ht="27.95" customHeight="1">
      <c r="A102" s="40"/>
      <c r="B102" s="27"/>
      <c r="C102" s="27"/>
      <c r="D102" s="27"/>
      <c r="E102" s="27"/>
      <c r="F102" s="190" t="s">
        <v>268</v>
      </c>
      <c r="G102" s="27"/>
      <c r="H102" s="27"/>
      <c r="I102" s="27"/>
      <c r="J102" s="27"/>
      <c r="K102" s="27"/>
      <c r="L102" s="41"/>
    </row>
    <row r="103" spans="1:12" ht="27.95" customHeight="1">
      <c r="A103" s="40" t="s">
        <v>269</v>
      </c>
      <c r="B103" s="27"/>
      <c r="C103" s="27"/>
      <c r="D103" s="27"/>
      <c r="E103" s="27"/>
      <c r="F103" s="27"/>
      <c r="G103" s="27"/>
      <c r="H103" s="27"/>
      <c r="I103" s="27"/>
      <c r="J103" s="27"/>
      <c r="K103" s="243" t="e">
        <f>'0422Master'!#REF!</f>
        <v>#REF!</v>
      </c>
      <c r="L103" s="41"/>
    </row>
    <row r="104" spans="1:12" ht="27.95" customHeight="1">
      <c r="A104" s="40" t="s">
        <v>270</v>
      </c>
      <c r="B104" s="27"/>
      <c r="C104" s="27"/>
      <c r="D104" s="27"/>
      <c r="E104" s="27"/>
      <c r="F104" s="27"/>
      <c r="G104" s="27"/>
      <c r="H104" s="27"/>
      <c r="I104" s="27"/>
      <c r="J104" s="27"/>
      <c r="K104" s="27"/>
      <c r="L104" s="41"/>
    </row>
    <row r="105" spans="1:12" ht="27.95" customHeight="1">
      <c r="A105" s="40"/>
      <c r="B105" s="27"/>
      <c r="C105" s="27"/>
      <c r="D105" s="27"/>
      <c r="E105" s="27"/>
      <c r="F105" s="27"/>
      <c r="G105" s="27"/>
      <c r="H105" s="27"/>
      <c r="I105" s="27"/>
      <c r="J105" s="27"/>
      <c r="K105" s="27"/>
      <c r="L105" s="41"/>
    </row>
    <row r="106" spans="1:12" ht="27.95" customHeight="1">
      <c r="A106" s="40"/>
      <c r="B106" s="27"/>
      <c r="C106" s="27"/>
      <c r="D106" s="27"/>
      <c r="E106" s="27"/>
      <c r="F106" s="27" t="s">
        <v>271</v>
      </c>
      <c r="G106" s="27"/>
      <c r="H106" s="27"/>
      <c r="I106" s="27"/>
      <c r="J106" s="27"/>
      <c r="K106" s="27"/>
      <c r="L106" s="41"/>
    </row>
    <row r="107" spans="1:12" ht="27.95" customHeight="1">
      <c r="A107" s="40" t="s">
        <v>272</v>
      </c>
      <c r="B107" s="27" t="s">
        <v>273</v>
      </c>
      <c r="C107" s="27"/>
      <c r="D107" s="27"/>
      <c r="E107" s="27"/>
      <c r="F107" s="27" t="str">
        <f>'0422Master'!F5</f>
        <v>Burgeon IT Services Pvt.Ltd.</v>
      </c>
      <c r="G107" s="27"/>
      <c r="H107" s="27"/>
      <c r="I107" s="27"/>
      <c r="J107" s="27"/>
      <c r="K107" s="27"/>
      <c r="L107" s="41"/>
    </row>
    <row r="108" spans="1:12" ht="27.95" customHeight="1" thickBot="1">
      <c r="A108" s="54" t="s">
        <v>274</v>
      </c>
      <c r="B108" s="300" t="e">
        <f>'0422Master'!#REF!</f>
        <v>#REF!</v>
      </c>
      <c r="C108" s="52"/>
      <c r="D108" s="52"/>
      <c r="E108" s="52"/>
      <c r="F108" s="191" t="str">
        <f>'0422Master'!F6</f>
        <v>Siri Mansion LIGB 436 Dr.A S Rao Nagar,Hyderabad</v>
      </c>
      <c r="G108" s="191"/>
      <c r="H108" s="191"/>
      <c r="I108" s="191"/>
      <c r="J108" s="191"/>
      <c r="K108" s="191"/>
      <c r="L108" s="53"/>
    </row>
    <row r="109" spans="1:12" ht="27.95" customHeight="1">
      <c r="A109" s="128"/>
      <c r="B109" s="97"/>
      <c r="C109" s="97"/>
      <c r="D109" s="196"/>
      <c r="E109" s="196"/>
      <c r="F109" s="196"/>
      <c r="G109" s="196"/>
      <c r="H109" s="196"/>
      <c r="I109" s="196"/>
      <c r="J109" s="97"/>
      <c r="K109" s="198" t="s">
        <v>275</v>
      </c>
      <c r="L109" s="197"/>
    </row>
    <row r="110" spans="1:12" ht="27.95" customHeight="1">
      <c r="A110" s="40"/>
      <c r="B110" s="851" t="s">
        <v>276</v>
      </c>
      <c r="C110" s="851"/>
      <c r="D110" s="851"/>
      <c r="E110" s="851"/>
      <c r="F110" s="851"/>
      <c r="G110" s="851"/>
      <c r="H110" s="851"/>
      <c r="I110" s="851"/>
      <c r="J110" s="851"/>
      <c r="K110" s="851"/>
      <c r="L110" s="852"/>
    </row>
    <row r="111" spans="1:12" ht="27.95" customHeight="1">
      <c r="A111" s="40"/>
      <c r="B111" s="846" t="s">
        <v>277</v>
      </c>
      <c r="C111" s="846"/>
      <c r="D111" s="846"/>
      <c r="E111" s="846"/>
      <c r="F111" s="846"/>
      <c r="G111" s="846"/>
      <c r="H111" s="846"/>
      <c r="I111" s="846"/>
      <c r="J111" s="846"/>
      <c r="K111" s="846"/>
      <c r="L111" s="853"/>
    </row>
    <row r="112" spans="1:12" ht="27.95" customHeight="1">
      <c r="A112" s="40"/>
      <c r="B112" s="201" t="s">
        <v>278</v>
      </c>
      <c r="C112" s="199"/>
      <c r="D112" s="199"/>
      <c r="E112" s="199"/>
      <c r="F112" s="199"/>
      <c r="G112" s="27"/>
      <c r="H112" s="200"/>
      <c r="I112" s="200"/>
      <c r="J112" s="200"/>
      <c r="K112" s="200"/>
      <c r="L112" s="210"/>
    </row>
    <row r="113" spans="1:12" ht="27.95" customHeight="1">
      <c r="A113" s="40"/>
      <c r="B113" s="199"/>
      <c r="C113" s="199"/>
      <c r="D113" s="199"/>
      <c r="E113" s="199"/>
      <c r="F113" s="199"/>
      <c r="G113" s="27"/>
      <c r="H113" s="200"/>
      <c r="I113" s="200"/>
      <c r="J113" s="200"/>
      <c r="K113" s="200"/>
      <c r="L113" s="210"/>
    </row>
    <row r="114" spans="1:12" ht="27.95" customHeight="1">
      <c r="A114" s="40"/>
      <c r="B114" s="744" t="s">
        <v>244</v>
      </c>
      <c r="C114" s="744"/>
      <c r="D114" s="744"/>
      <c r="E114" s="744"/>
      <c r="F114" s="744"/>
      <c r="G114" s="744"/>
      <c r="H114" s="741" t="str">
        <f>'0422Master'!B14</f>
        <v>KRANTHI KUMAR VEDULLA</v>
      </c>
      <c r="I114" s="742"/>
      <c r="J114" s="742"/>
      <c r="K114" s="742"/>
      <c r="L114" s="743"/>
    </row>
    <row r="115" spans="1:12" ht="27.95" customHeight="1">
      <c r="A115" s="40"/>
      <c r="B115" s="740" t="s">
        <v>245</v>
      </c>
      <c r="C115" s="740"/>
      <c r="D115" s="740"/>
      <c r="E115" s="740"/>
      <c r="F115" s="740"/>
      <c r="G115" s="740"/>
      <c r="H115" s="741" t="str">
        <f>'0422Master'!E14</f>
        <v>Kamini Venkatarami Reddy</v>
      </c>
      <c r="I115" s="742"/>
      <c r="J115" s="742"/>
      <c r="K115" s="742"/>
      <c r="L115" s="743"/>
    </row>
    <row r="116" spans="1:12" ht="27.95" customHeight="1">
      <c r="A116" s="40"/>
      <c r="B116" s="744" t="s">
        <v>246</v>
      </c>
      <c r="C116" s="744"/>
      <c r="D116" s="744"/>
      <c r="E116" s="744"/>
      <c r="F116" s="744"/>
      <c r="G116" s="744"/>
      <c r="H116" s="741" t="str">
        <f>'0422Master'!C14</f>
        <v>05.02.1992</v>
      </c>
      <c r="I116" s="742"/>
      <c r="J116" s="742"/>
      <c r="K116" s="742"/>
      <c r="L116" s="743"/>
    </row>
    <row r="117" spans="1:12" ht="27.95" customHeight="1">
      <c r="A117" s="40"/>
      <c r="B117" s="744" t="s">
        <v>247</v>
      </c>
      <c r="C117" s="744"/>
      <c r="D117" s="744"/>
      <c r="E117" s="744"/>
      <c r="F117" s="744"/>
      <c r="G117" s="744"/>
      <c r="H117" s="837" t="str">
        <f>'0422Master'!D14</f>
        <v>Male</v>
      </c>
      <c r="I117" s="742"/>
      <c r="J117" s="742"/>
      <c r="K117" s="742"/>
      <c r="L117" s="743"/>
    </row>
    <row r="118" spans="1:12" ht="27.95" customHeight="1">
      <c r="A118" s="40"/>
      <c r="B118" s="114" t="s">
        <v>248</v>
      </c>
      <c r="C118" s="221"/>
      <c r="D118" s="221"/>
      <c r="E118" s="221"/>
      <c r="F118" s="221"/>
      <c r="G118" s="221"/>
      <c r="H118" s="838" t="s">
        <v>249</v>
      </c>
      <c r="I118" s="839"/>
      <c r="J118" s="839"/>
      <c r="K118" s="839"/>
      <c r="L118" s="840"/>
    </row>
    <row r="119" spans="1:12">
      <c r="A119" s="40"/>
      <c r="B119" s="114" t="s">
        <v>250</v>
      </c>
      <c r="C119" s="221"/>
      <c r="D119" s="221"/>
      <c r="E119" s="221"/>
      <c r="F119" s="221"/>
      <c r="G119" s="221"/>
    </row>
    <row r="120" spans="1:12">
      <c r="A120" s="40"/>
      <c r="B120" s="755" t="s">
        <v>251</v>
      </c>
      <c r="C120" s="755"/>
      <c r="D120" s="755"/>
      <c r="E120" s="755"/>
      <c r="F120" s="755"/>
      <c r="G120" s="755"/>
      <c r="H120" s="741" t="str">
        <f>'0422Master'!G14</f>
        <v>1/93 , Sanagala Guduru, Putluru (M), Anantapur (D), Andhra pradesh, 515411</v>
      </c>
      <c r="I120" s="742"/>
      <c r="J120" s="742"/>
      <c r="K120" s="742"/>
      <c r="L120" s="742"/>
    </row>
    <row r="121" spans="1:12">
      <c r="A121" s="40"/>
      <c r="B121" s="744"/>
      <c r="C121" s="744"/>
      <c r="D121" s="744"/>
      <c r="E121" s="744"/>
      <c r="F121" s="744"/>
      <c r="G121" s="744"/>
      <c r="H121" s="741">
        <f>'0422Master'!H14</f>
        <v>0</v>
      </c>
      <c r="I121" s="742"/>
      <c r="J121" s="742"/>
      <c r="K121" s="742"/>
      <c r="L121" s="742"/>
    </row>
    <row r="122" spans="1:12">
      <c r="A122" s="40"/>
      <c r="B122" s="744"/>
      <c r="C122" s="744"/>
      <c r="D122" s="744"/>
      <c r="E122" s="744"/>
      <c r="F122" s="744"/>
      <c r="G122" s="744"/>
      <c r="H122" s="751">
        <f>'0422Master'!I14</f>
        <v>0</v>
      </c>
      <c r="I122" s="742"/>
      <c r="J122" s="742"/>
      <c r="K122" s="742"/>
      <c r="L122" s="743"/>
    </row>
    <row r="123" spans="1:12">
      <c r="A123" s="40"/>
      <c r="B123" s="100"/>
      <c r="C123" s="100"/>
      <c r="D123" s="100"/>
      <c r="E123" s="100"/>
      <c r="F123" s="27"/>
      <c r="G123" s="108" t="s">
        <v>279</v>
      </c>
      <c r="H123" s="108"/>
      <c r="I123" s="108"/>
      <c r="J123" s="108"/>
      <c r="K123" s="108"/>
      <c r="L123" s="109"/>
    </row>
    <row r="124" spans="1:12">
      <c r="A124" s="40"/>
      <c r="B124" s="193" t="s">
        <v>253</v>
      </c>
      <c r="C124" s="412"/>
      <c r="D124" s="412"/>
      <c r="E124" s="412"/>
      <c r="F124" s="412"/>
      <c r="G124" s="412"/>
      <c r="H124" s="411"/>
      <c r="I124" s="411"/>
      <c r="J124" s="411"/>
      <c r="K124" s="411"/>
      <c r="L124" s="195"/>
    </row>
    <row r="125" spans="1:12">
      <c r="A125" s="40"/>
      <c r="B125" s="193" t="s">
        <v>254</v>
      </c>
      <c r="C125" s="412"/>
      <c r="D125" s="412"/>
      <c r="E125" s="412"/>
      <c r="F125" s="412"/>
      <c r="G125" s="412"/>
      <c r="H125" s="411"/>
      <c r="I125" s="411"/>
      <c r="J125" s="410"/>
      <c r="K125" s="411"/>
      <c r="L125" s="195"/>
    </row>
    <row r="126" spans="1:12" ht="45">
      <c r="A126" s="113"/>
      <c r="B126" s="114" t="s">
        <v>255</v>
      </c>
      <c r="C126" s="221"/>
      <c r="D126" s="419"/>
      <c r="E126" s="413" t="s">
        <v>256</v>
      </c>
      <c r="F126" s="80"/>
      <c r="G126" s="832" t="s">
        <v>257</v>
      </c>
      <c r="H126" s="833"/>
      <c r="I126" s="479" t="s">
        <v>258</v>
      </c>
      <c r="J126" s="477" t="s">
        <v>259</v>
      </c>
      <c r="K126" s="832" t="s">
        <v>260</v>
      </c>
      <c r="L126" s="834"/>
    </row>
    <row r="127" spans="1:12">
      <c r="A127" s="113"/>
      <c r="B127" s="187">
        <v>1</v>
      </c>
      <c r="C127" s="221"/>
      <c r="D127" s="221"/>
      <c r="E127" s="188">
        <v>2</v>
      </c>
      <c r="F127" s="222"/>
      <c r="G127" s="188">
        <v>3</v>
      </c>
      <c r="H127" s="419"/>
      <c r="I127" s="419">
        <v>4</v>
      </c>
      <c r="J127" s="448">
        <v>5</v>
      </c>
      <c r="K127" s="115"/>
      <c r="L127" s="116">
        <v>6</v>
      </c>
    </row>
    <row r="128" spans="1:12">
      <c r="A128" s="113"/>
      <c r="B128" s="114" t="str">
        <f>'0422Master'!E14</f>
        <v>Kamini Venkatarami Reddy</v>
      </c>
      <c r="C128" s="202"/>
      <c r="D128" s="203"/>
      <c r="E128" s="204" t="s">
        <v>280</v>
      </c>
      <c r="F128" s="203"/>
      <c r="G128" s="204" t="s">
        <v>262</v>
      </c>
      <c r="H128" s="80"/>
      <c r="I128" s="308" t="s">
        <v>281</v>
      </c>
      <c r="J128" s="478">
        <v>1</v>
      </c>
      <c r="K128" s="205" t="s">
        <v>109</v>
      </c>
      <c r="L128" s="211"/>
    </row>
    <row r="129" spans="1:12">
      <c r="A129" s="113"/>
      <c r="B129" s="114"/>
      <c r="C129" s="202"/>
      <c r="D129" s="203"/>
      <c r="E129" s="204"/>
      <c r="F129" s="203"/>
      <c r="G129" s="204"/>
      <c r="H129" s="80"/>
      <c r="I129" s="308"/>
      <c r="J129" s="308"/>
      <c r="K129" s="205"/>
      <c r="L129" s="211"/>
    </row>
    <row r="130" spans="1:12">
      <c r="A130" s="113"/>
      <c r="B130" s="114"/>
      <c r="C130" s="202"/>
      <c r="D130" s="203"/>
      <c r="E130" s="204"/>
      <c r="F130" s="203"/>
      <c r="G130" s="204"/>
      <c r="H130" s="80"/>
      <c r="I130" s="308"/>
      <c r="J130" s="308"/>
      <c r="K130" s="205"/>
      <c r="L130" s="211"/>
    </row>
    <row r="131" spans="1:12">
      <c r="A131" s="113"/>
      <c r="B131" s="86"/>
      <c r="C131" s="46"/>
      <c r="D131" s="87"/>
      <c r="E131" s="204"/>
      <c r="F131" s="203"/>
      <c r="G131" s="204"/>
      <c r="H131" s="80"/>
      <c r="I131" s="308"/>
      <c r="J131" s="308"/>
      <c r="K131" s="205"/>
      <c r="L131" s="211"/>
    </row>
    <row r="132" spans="1:12">
      <c r="A132" s="113"/>
      <c r="B132" s="27" t="s">
        <v>264</v>
      </c>
      <c r="C132" s="27"/>
      <c r="D132" s="27"/>
      <c r="E132" s="27"/>
      <c r="F132" s="27"/>
      <c r="G132" s="27"/>
      <c r="H132" s="27"/>
      <c r="I132" s="27"/>
      <c r="J132" s="27"/>
      <c r="K132" s="27"/>
      <c r="L132" s="41"/>
    </row>
    <row r="133" spans="1:12">
      <c r="A133" s="40"/>
      <c r="B133" s="27" t="s">
        <v>265</v>
      </c>
      <c r="C133" s="27"/>
      <c r="D133" s="27"/>
      <c r="E133" s="27"/>
      <c r="F133" s="27"/>
      <c r="G133" s="27"/>
      <c r="H133" s="27"/>
      <c r="I133" s="27"/>
      <c r="J133" s="27"/>
      <c r="K133" s="27"/>
      <c r="L133" s="41"/>
    </row>
    <row r="134" spans="1:12">
      <c r="A134" s="40"/>
      <c r="B134" s="27" t="s">
        <v>282</v>
      </c>
      <c r="C134" s="27"/>
      <c r="D134" s="27"/>
      <c r="E134" s="27"/>
      <c r="F134" s="27"/>
      <c r="G134" s="27"/>
      <c r="H134" s="27"/>
      <c r="I134" s="27"/>
      <c r="J134" s="27" t="s">
        <v>283</v>
      </c>
      <c r="K134" s="27"/>
      <c r="L134" s="41"/>
    </row>
    <row r="135" spans="1:12">
      <c r="A135" s="40"/>
      <c r="B135" s="100"/>
      <c r="C135" s="100"/>
      <c r="D135" s="100"/>
      <c r="E135" s="100"/>
      <c r="F135" s="27"/>
      <c r="G135" s="108" t="s">
        <v>284</v>
      </c>
      <c r="H135" s="108"/>
      <c r="I135" s="108"/>
      <c r="J135" s="108"/>
      <c r="K135" s="108"/>
      <c r="L135" s="109"/>
    </row>
    <row r="136" spans="1:12">
      <c r="A136" s="40"/>
      <c r="B136" s="108"/>
      <c r="C136" s="100"/>
      <c r="D136" s="100"/>
      <c r="E136" s="100"/>
      <c r="F136" s="100"/>
      <c r="G136" s="27" t="s">
        <v>285</v>
      </c>
      <c r="H136" s="108"/>
      <c r="I136" s="108"/>
      <c r="J136" s="108"/>
      <c r="K136" s="108"/>
      <c r="L136" s="109"/>
    </row>
    <row r="137" spans="1:12">
      <c r="A137" s="40"/>
      <c r="B137" s="193" t="s">
        <v>286</v>
      </c>
      <c r="C137" s="412"/>
      <c r="D137" s="412"/>
      <c r="E137" s="412"/>
      <c r="F137" s="412"/>
      <c r="G137" s="412"/>
      <c r="H137" s="411"/>
      <c r="I137" s="411"/>
      <c r="J137" s="411"/>
      <c r="K137" s="411"/>
      <c r="L137" s="195"/>
    </row>
    <row r="138" spans="1:12">
      <c r="A138" s="40"/>
      <c r="B138" s="193" t="s">
        <v>287</v>
      </c>
      <c r="C138" s="412"/>
      <c r="D138" s="412"/>
      <c r="E138" s="412"/>
      <c r="F138" s="412"/>
      <c r="G138" s="412"/>
      <c r="H138" s="411"/>
      <c r="I138" s="411"/>
      <c r="J138" s="410"/>
      <c r="K138" s="411"/>
      <c r="L138" s="195"/>
    </row>
    <row r="139" spans="1:12">
      <c r="A139" s="40"/>
      <c r="B139" s="114" t="s">
        <v>59</v>
      </c>
      <c r="C139" s="854" t="s">
        <v>288</v>
      </c>
      <c r="D139" s="830"/>
      <c r="E139" s="830"/>
      <c r="F139" s="830"/>
      <c r="G139" s="830"/>
      <c r="H139" s="855"/>
      <c r="I139" s="416" t="s">
        <v>188</v>
      </c>
      <c r="J139" s="856" t="s">
        <v>289</v>
      </c>
      <c r="K139" s="857"/>
      <c r="L139" s="858"/>
    </row>
    <row r="140" spans="1:12">
      <c r="A140" s="40"/>
      <c r="B140" s="187">
        <v>1</v>
      </c>
      <c r="C140" s="220"/>
      <c r="D140" s="414"/>
      <c r="E140" s="186">
        <v>2</v>
      </c>
      <c r="F140" s="79"/>
      <c r="G140" s="850"/>
      <c r="H140" s="833"/>
      <c r="I140" s="414">
        <v>3</v>
      </c>
      <c r="J140" s="208" t="s">
        <v>290</v>
      </c>
      <c r="K140" s="859">
        <v>4</v>
      </c>
      <c r="L140" s="860"/>
    </row>
    <row r="141" spans="1:12">
      <c r="A141" s="40"/>
      <c r="B141" s="114"/>
      <c r="C141" s="220"/>
      <c r="D141" s="414"/>
      <c r="E141" s="186"/>
      <c r="F141" s="79"/>
      <c r="G141" s="850"/>
      <c r="H141" s="833"/>
      <c r="I141" s="205"/>
      <c r="J141" s="207"/>
      <c r="K141" s="850"/>
      <c r="L141" s="834"/>
    </row>
    <row r="142" spans="1:12">
      <c r="A142" s="40"/>
      <c r="B142" s="114"/>
      <c r="C142" s="220"/>
      <c r="D142" s="414"/>
      <c r="E142" s="186"/>
      <c r="F142" s="79"/>
      <c r="G142" s="850"/>
      <c r="H142" s="833"/>
      <c r="I142" s="205"/>
      <c r="J142" s="207"/>
      <c r="K142" s="850"/>
      <c r="L142" s="834"/>
    </row>
    <row r="143" spans="1:12">
      <c r="A143" s="40"/>
      <c r="B143" s="114"/>
      <c r="C143" s="220"/>
      <c r="D143" s="414"/>
      <c r="E143" s="186"/>
      <c r="F143" s="79"/>
      <c r="G143" s="850"/>
      <c r="H143" s="833"/>
      <c r="I143" s="205"/>
      <c r="J143" s="207"/>
      <c r="K143" s="850"/>
      <c r="L143" s="834"/>
    </row>
    <row r="144" spans="1:12">
      <c r="A144" s="40"/>
      <c r="B144" s="86"/>
      <c r="C144" s="220"/>
      <c r="D144" s="414"/>
      <c r="E144" s="186"/>
      <c r="F144" s="79"/>
      <c r="G144" s="850"/>
      <c r="H144" s="833"/>
      <c r="I144" s="205"/>
      <c r="J144" s="207"/>
      <c r="K144" s="850"/>
      <c r="L144" s="834"/>
    </row>
    <row r="145" spans="1:12">
      <c r="A145" s="40"/>
      <c r="B145" s="27" t="s">
        <v>291</v>
      </c>
      <c r="C145" s="27"/>
      <c r="D145" s="27"/>
      <c r="E145" s="27"/>
      <c r="F145" s="27"/>
      <c r="G145" s="27"/>
      <c r="H145" s="27"/>
      <c r="I145" s="27"/>
      <c r="J145" s="27"/>
      <c r="K145" s="27"/>
      <c r="L145" s="41"/>
    </row>
    <row r="146" spans="1:12">
      <c r="A146" s="40"/>
      <c r="B146" s="27" t="s">
        <v>292</v>
      </c>
      <c r="C146" s="27"/>
      <c r="D146" s="27"/>
      <c r="E146" s="27"/>
      <c r="F146" s="27"/>
      <c r="G146" s="27"/>
      <c r="H146" s="27"/>
      <c r="I146" s="27"/>
      <c r="J146" s="27"/>
      <c r="K146" s="27"/>
      <c r="L146" s="41"/>
    </row>
    <row r="147" spans="1:12">
      <c r="A147" s="40"/>
      <c r="B147" s="27" t="s">
        <v>293</v>
      </c>
      <c r="C147" s="27"/>
      <c r="D147" s="27"/>
      <c r="E147" s="27"/>
      <c r="F147" s="27"/>
      <c r="G147" s="27"/>
      <c r="H147" s="27"/>
      <c r="I147" s="27"/>
      <c r="J147" s="27"/>
      <c r="K147" s="27"/>
      <c r="L147" s="41"/>
    </row>
    <row r="148" spans="1:12">
      <c r="A148" s="40"/>
      <c r="B148" s="209" t="s">
        <v>294</v>
      </c>
      <c r="C148" s="27"/>
      <c r="D148" s="27"/>
      <c r="E148" s="27"/>
      <c r="F148" s="27"/>
      <c r="G148" s="27"/>
      <c r="H148" s="27"/>
      <c r="I148" s="27"/>
      <c r="J148" s="27"/>
      <c r="K148" s="27"/>
      <c r="L148" s="41"/>
    </row>
    <row r="149" spans="1:12">
      <c r="A149" s="40"/>
      <c r="B149" s="204" t="s">
        <v>295</v>
      </c>
      <c r="C149" s="79"/>
      <c r="D149" s="79"/>
      <c r="E149" s="79"/>
      <c r="F149" s="80"/>
      <c r="G149" s="204" t="s">
        <v>258</v>
      </c>
      <c r="H149" s="80"/>
      <c r="I149" s="204" t="s">
        <v>296</v>
      </c>
      <c r="J149" s="79"/>
      <c r="K149" s="80"/>
      <c r="L149" s="41"/>
    </row>
    <row r="150" spans="1:12">
      <c r="A150" s="40"/>
      <c r="B150" s="835"/>
      <c r="C150" s="849"/>
      <c r="D150" s="849"/>
      <c r="E150" s="849"/>
      <c r="F150" s="836"/>
      <c r="G150" s="835"/>
      <c r="H150" s="836"/>
      <c r="I150" s="835"/>
      <c r="J150" s="849"/>
      <c r="K150" s="836"/>
      <c r="L150" s="41"/>
    </row>
    <row r="151" spans="1:12">
      <c r="A151" s="40"/>
      <c r="B151" s="835"/>
      <c r="C151" s="849"/>
      <c r="D151" s="849"/>
      <c r="E151" s="849"/>
      <c r="F151" s="836"/>
      <c r="G151" s="835"/>
      <c r="H151" s="836"/>
      <c r="I151" s="835"/>
      <c r="J151" s="849"/>
      <c r="K151" s="836"/>
      <c r="L151" s="41"/>
    </row>
    <row r="152" spans="1:12">
      <c r="A152" s="40"/>
      <c r="B152" s="835"/>
      <c r="C152" s="849"/>
      <c r="D152" s="849"/>
      <c r="E152" s="849"/>
      <c r="F152" s="836"/>
      <c r="G152" s="835"/>
      <c r="H152" s="836"/>
      <c r="I152" s="835"/>
      <c r="J152" s="849"/>
      <c r="K152" s="836"/>
      <c r="L152" s="41"/>
    </row>
    <row r="153" spans="1:12">
      <c r="A153" s="40"/>
      <c r="B153" s="835"/>
      <c r="C153" s="849"/>
      <c r="D153" s="849"/>
      <c r="E153" s="849"/>
      <c r="F153" s="836"/>
      <c r="G153" s="835"/>
      <c r="H153" s="836"/>
      <c r="I153" s="835"/>
      <c r="J153" s="849"/>
      <c r="K153" s="836"/>
      <c r="L153" s="41"/>
    </row>
    <row r="154" spans="1:12" ht="27.95" customHeight="1">
      <c r="A154" s="40"/>
      <c r="B154" s="27"/>
      <c r="C154" s="27"/>
      <c r="D154" s="27"/>
      <c r="E154" s="27"/>
      <c r="F154" s="27"/>
      <c r="G154" s="27"/>
      <c r="H154" s="27"/>
      <c r="I154" s="27"/>
      <c r="J154" s="27"/>
      <c r="K154" s="27"/>
      <c r="L154" s="41"/>
    </row>
    <row r="155" spans="1:12" ht="27.95" customHeight="1">
      <c r="A155" s="40"/>
      <c r="B155" s="27" t="s">
        <v>274</v>
      </c>
      <c r="C155" s="297">
        <f>'0422Master'!N14</f>
        <v>44181</v>
      </c>
      <c r="D155" s="27"/>
      <c r="E155" s="27"/>
      <c r="F155" s="27"/>
      <c r="G155" s="27"/>
      <c r="H155" s="27"/>
      <c r="I155" s="27" t="s">
        <v>297</v>
      </c>
      <c r="J155" s="27"/>
      <c r="K155" s="27"/>
      <c r="L155" s="41"/>
    </row>
    <row r="156" spans="1:12" ht="27.95" customHeight="1">
      <c r="A156" s="40"/>
      <c r="B156" s="27"/>
      <c r="C156" s="27"/>
      <c r="D156" s="27"/>
      <c r="E156" s="27"/>
      <c r="F156" s="190" t="s">
        <v>268</v>
      </c>
      <c r="G156" s="27"/>
      <c r="H156" s="27"/>
      <c r="I156" s="27"/>
      <c r="J156" s="27"/>
      <c r="K156" s="27"/>
      <c r="L156" s="41"/>
    </row>
    <row r="157" spans="1:12" ht="27.95" customHeight="1">
      <c r="A157" s="40" t="s">
        <v>269</v>
      </c>
      <c r="B157" s="27"/>
      <c r="C157" s="27"/>
      <c r="D157" s="27"/>
      <c r="E157" s="27"/>
      <c r="F157" s="27"/>
      <c r="G157" s="27"/>
      <c r="H157" s="27"/>
      <c r="I157" s="27"/>
      <c r="J157" s="27"/>
      <c r="K157" s="27"/>
      <c r="L157" s="41"/>
    </row>
    <row r="158" spans="1:12" ht="27.95" customHeight="1">
      <c r="A158" s="40" t="s">
        <v>270</v>
      </c>
      <c r="B158" s="27"/>
      <c r="C158" s="27"/>
      <c r="D158" s="27"/>
      <c r="E158" s="27"/>
      <c r="F158" s="27"/>
      <c r="G158" s="27"/>
      <c r="H158" s="27"/>
      <c r="I158" s="27"/>
      <c r="J158" s="27"/>
      <c r="K158" s="27"/>
      <c r="L158" s="41"/>
    </row>
    <row r="159" spans="1:12" ht="27.95" customHeight="1">
      <c r="A159" s="40"/>
      <c r="B159" s="27"/>
      <c r="C159" s="27"/>
      <c r="D159" s="27"/>
      <c r="E159" s="27"/>
      <c r="F159" s="27"/>
      <c r="G159" s="27"/>
      <c r="H159" s="27"/>
      <c r="I159" s="27"/>
      <c r="J159" s="27"/>
      <c r="K159" s="27"/>
      <c r="L159" s="41"/>
    </row>
    <row r="160" spans="1:12" ht="27.95" customHeight="1">
      <c r="A160" s="40"/>
      <c r="B160" s="27"/>
      <c r="C160" s="27"/>
      <c r="D160" s="27"/>
      <c r="E160" s="27"/>
      <c r="F160" s="27" t="s">
        <v>271</v>
      </c>
      <c r="G160" s="27"/>
      <c r="H160" s="27"/>
      <c r="I160" s="27"/>
      <c r="J160" s="27"/>
      <c r="K160" s="27"/>
      <c r="L160" s="41"/>
    </row>
    <row r="161" spans="1:12" ht="27.95" customHeight="1">
      <c r="A161" s="40" t="s">
        <v>272</v>
      </c>
      <c r="B161" s="27" t="s">
        <v>273</v>
      </c>
      <c r="C161" s="27"/>
      <c r="D161" s="27"/>
      <c r="E161" s="27"/>
      <c r="F161" s="27" t="str">
        <f>'0422Master'!F5</f>
        <v>Burgeon IT Services Pvt.Ltd.</v>
      </c>
      <c r="G161" s="27"/>
      <c r="H161" s="27"/>
      <c r="I161" s="27"/>
      <c r="J161" s="27"/>
      <c r="K161" s="27"/>
      <c r="L161" s="41"/>
    </row>
    <row r="162" spans="1:12" ht="27.95" customHeight="1" thickBot="1">
      <c r="A162" s="54" t="s">
        <v>274</v>
      </c>
      <c r="B162" s="300">
        <f>'0422Master'!N14</f>
        <v>44181</v>
      </c>
      <c r="C162" s="52"/>
      <c r="D162" s="52"/>
      <c r="E162" s="52"/>
      <c r="F162" s="191" t="str">
        <f>'0422Master'!F6</f>
        <v>Siri Mansion LIGB 436 Dr.A S Rao Nagar,Hyderabad</v>
      </c>
      <c r="G162" s="191"/>
      <c r="H162" s="191"/>
      <c r="I162" s="191"/>
      <c r="J162" s="191"/>
      <c r="K162" s="191"/>
      <c r="L162" s="53"/>
    </row>
    <row r="163" spans="1:12" ht="27.95" customHeight="1">
      <c r="A163" s="128"/>
      <c r="B163" s="97"/>
      <c r="C163" s="97"/>
      <c r="D163" s="196"/>
      <c r="E163" s="196"/>
      <c r="F163" s="196"/>
      <c r="G163" s="196"/>
      <c r="H163" s="196"/>
      <c r="I163" s="196"/>
      <c r="J163" s="97"/>
      <c r="K163" s="198" t="s">
        <v>275</v>
      </c>
      <c r="L163" s="197"/>
    </row>
    <row r="164" spans="1:12" ht="27.95" customHeight="1">
      <c r="A164" s="40"/>
      <c r="B164" s="851" t="s">
        <v>276</v>
      </c>
      <c r="C164" s="851"/>
      <c r="D164" s="851"/>
      <c r="E164" s="851"/>
      <c r="F164" s="851"/>
      <c r="G164" s="851"/>
      <c r="H164" s="851"/>
      <c r="I164" s="851"/>
      <c r="J164" s="851"/>
      <c r="K164" s="851"/>
      <c r="L164" s="852"/>
    </row>
    <row r="165" spans="1:12" ht="27.95" customHeight="1">
      <c r="A165" s="40"/>
      <c r="B165" s="846" t="s">
        <v>277</v>
      </c>
      <c r="C165" s="846"/>
      <c r="D165" s="846"/>
      <c r="E165" s="846"/>
      <c r="F165" s="846"/>
      <c r="G165" s="846"/>
      <c r="H165" s="846"/>
      <c r="I165" s="846"/>
      <c r="J165" s="846"/>
      <c r="K165" s="846"/>
      <c r="L165" s="853"/>
    </row>
    <row r="166" spans="1:12" ht="27.95" customHeight="1">
      <c r="A166" s="40"/>
      <c r="B166" s="201" t="s">
        <v>278</v>
      </c>
      <c r="C166" s="199"/>
      <c r="D166" s="199"/>
      <c r="E166" s="199"/>
      <c r="F166" s="199"/>
      <c r="G166" s="27"/>
      <c r="H166" s="200"/>
      <c r="I166" s="200"/>
      <c r="J166" s="200"/>
      <c r="K166" s="200"/>
      <c r="L166" s="210"/>
    </row>
    <row r="167" spans="1:12" ht="27.95" customHeight="1">
      <c r="A167" s="40"/>
      <c r="B167" s="199"/>
      <c r="C167" s="199"/>
      <c r="D167" s="199"/>
      <c r="E167" s="199"/>
      <c r="F167" s="199"/>
      <c r="G167" s="27"/>
      <c r="H167" s="200"/>
      <c r="I167" s="200"/>
      <c r="J167" s="200"/>
      <c r="K167" s="200"/>
      <c r="L167" s="210"/>
    </row>
    <row r="168" spans="1:12" ht="27.95" customHeight="1">
      <c r="A168" s="40"/>
      <c r="B168" s="744" t="s">
        <v>244</v>
      </c>
      <c r="C168" s="744"/>
      <c r="D168" s="744"/>
      <c r="E168" s="744"/>
      <c r="F168" s="744"/>
      <c r="G168" s="744"/>
      <c r="H168" s="741" t="str">
        <f>'0422Master'!B15</f>
        <v>Vipin U.N</v>
      </c>
      <c r="I168" s="742"/>
      <c r="J168" s="742"/>
      <c r="K168" s="742"/>
      <c r="L168" s="743"/>
    </row>
    <row r="169" spans="1:12" ht="27.95" customHeight="1">
      <c r="A169" s="40"/>
      <c r="B169" s="740" t="s">
        <v>245</v>
      </c>
      <c r="C169" s="740"/>
      <c r="D169" s="740"/>
      <c r="E169" s="740"/>
      <c r="F169" s="740"/>
      <c r="G169" s="740"/>
      <c r="H169" s="741" t="str">
        <f>'0422Master'!E15</f>
        <v>GANGA G</v>
      </c>
      <c r="I169" s="742"/>
      <c r="J169" s="742"/>
      <c r="K169" s="742"/>
      <c r="L169" s="743"/>
    </row>
    <row r="170" spans="1:12" ht="27.95" customHeight="1">
      <c r="A170" s="40"/>
      <c r="B170" s="744" t="s">
        <v>246</v>
      </c>
      <c r="C170" s="744"/>
      <c r="D170" s="744"/>
      <c r="E170" s="744"/>
      <c r="F170" s="744"/>
      <c r="G170" s="744"/>
      <c r="H170" s="741" t="str">
        <f>'0422Master'!C15</f>
        <v>28/02/1991</v>
      </c>
      <c r="I170" s="742"/>
      <c r="J170" s="742"/>
      <c r="K170" s="742"/>
      <c r="L170" s="743"/>
    </row>
    <row r="171" spans="1:12" ht="27.95" customHeight="1">
      <c r="A171" s="40"/>
      <c r="B171" s="744" t="s">
        <v>247</v>
      </c>
      <c r="C171" s="744"/>
      <c r="D171" s="744"/>
      <c r="E171" s="744"/>
      <c r="F171" s="744"/>
      <c r="G171" s="744"/>
      <c r="H171" s="837" t="str">
        <f>'0422Master'!D15</f>
        <v>Male</v>
      </c>
      <c r="I171" s="742"/>
      <c r="J171" s="742"/>
      <c r="K171" s="742"/>
      <c r="L171" s="743"/>
    </row>
    <row r="172" spans="1:12">
      <c r="A172" s="40"/>
      <c r="B172" s="114" t="s">
        <v>248</v>
      </c>
      <c r="C172" s="221"/>
      <c r="D172" s="221"/>
      <c r="E172" s="221"/>
      <c r="F172" s="221"/>
      <c r="G172" s="221"/>
      <c r="H172" s="838" t="s">
        <v>249</v>
      </c>
      <c r="I172" s="839"/>
      <c r="J172" s="839"/>
      <c r="K172" s="839"/>
      <c r="L172" s="840"/>
    </row>
    <row r="173" spans="1:12">
      <c r="A173" s="40"/>
      <c r="B173" s="114" t="s">
        <v>250</v>
      </c>
      <c r="C173" s="221"/>
      <c r="D173" s="221"/>
      <c r="E173" s="221"/>
      <c r="F173" s="221"/>
      <c r="G173" s="221"/>
      <c r="H173" s="418"/>
      <c r="I173" s="414"/>
      <c r="J173" s="189"/>
      <c r="K173" s="414"/>
      <c r="L173" s="415"/>
    </row>
    <row r="174" spans="1:12">
      <c r="A174" s="40"/>
      <c r="B174" s="755" t="s">
        <v>251</v>
      </c>
      <c r="C174" s="755"/>
      <c r="D174" s="755"/>
      <c r="E174" s="755"/>
      <c r="F174" s="755"/>
      <c r="G174" s="755"/>
      <c r="H174" s="756" t="str">
        <f>'0422Master'!G15</f>
        <v>#30 "Rajeevam" Ground Floor 2nd cross,Green Garden Layout,12th Main NRI Layout Varanasi,Jinekethimmanahali, Ramamurthy Nagar ,Bangalore - 560036</v>
      </c>
      <c r="I174" s="757"/>
      <c r="J174" s="757"/>
      <c r="K174" s="757"/>
      <c r="L174" s="758"/>
    </row>
    <row r="175" spans="1:12">
      <c r="A175" s="40"/>
      <c r="B175" s="744"/>
      <c r="C175" s="744"/>
      <c r="D175" s="744"/>
      <c r="E175" s="744"/>
      <c r="F175" s="744"/>
      <c r="G175" s="744"/>
      <c r="H175" s="751">
        <f>'0422Master'!H15</f>
        <v>0</v>
      </c>
      <c r="I175" s="742"/>
      <c r="J175" s="742"/>
      <c r="K175" s="742"/>
      <c r="L175" s="743"/>
    </row>
    <row r="176" spans="1:12">
      <c r="A176" s="40"/>
      <c r="B176" s="744"/>
      <c r="C176" s="744"/>
      <c r="D176" s="744"/>
      <c r="E176" s="744"/>
      <c r="F176" s="744"/>
      <c r="G176" s="744"/>
      <c r="H176" s="741">
        <f>'0422Master'!I15</f>
        <v>0</v>
      </c>
      <c r="I176" s="742"/>
      <c r="J176" s="742"/>
      <c r="K176" s="742"/>
      <c r="L176" s="743"/>
    </row>
    <row r="177" spans="1:12">
      <c r="A177" s="40"/>
      <c r="B177" s="100"/>
      <c r="C177" s="100"/>
      <c r="D177" s="100"/>
      <c r="E177" s="100"/>
      <c r="F177" s="27"/>
      <c r="G177" s="108" t="s">
        <v>279</v>
      </c>
      <c r="H177" s="108"/>
      <c r="I177" s="108"/>
      <c r="J177" s="108"/>
      <c r="K177" s="108"/>
      <c r="L177" s="109"/>
    </row>
    <row r="178" spans="1:12">
      <c r="A178" s="40"/>
      <c r="B178" s="193" t="s">
        <v>253</v>
      </c>
      <c r="C178" s="412"/>
      <c r="D178" s="412"/>
      <c r="E178" s="412"/>
      <c r="F178" s="412"/>
      <c r="G178" s="412"/>
      <c r="H178" s="411"/>
      <c r="I178" s="411"/>
      <c r="J178" s="411"/>
      <c r="K178" s="411"/>
      <c r="L178" s="195"/>
    </row>
    <row r="179" spans="1:12">
      <c r="A179" s="40"/>
      <c r="B179" s="193" t="s">
        <v>254</v>
      </c>
      <c r="C179" s="412"/>
      <c r="D179" s="412"/>
      <c r="E179" s="412"/>
      <c r="F179" s="412"/>
      <c r="G179" s="412"/>
      <c r="H179" s="411"/>
      <c r="I179" s="411"/>
      <c r="J179" s="410"/>
      <c r="K179" s="411"/>
      <c r="L179" s="195"/>
    </row>
    <row r="180" spans="1:12" ht="45">
      <c r="A180" s="113"/>
      <c r="B180" s="114" t="s">
        <v>255</v>
      </c>
      <c r="C180" s="221"/>
      <c r="D180" s="419"/>
      <c r="E180" s="413" t="s">
        <v>256</v>
      </c>
      <c r="F180" s="80"/>
      <c r="G180" s="832" t="s">
        <v>257</v>
      </c>
      <c r="H180" s="833"/>
      <c r="I180" s="479" t="s">
        <v>258</v>
      </c>
      <c r="J180" s="477" t="s">
        <v>259</v>
      </c>
      <c r="K180" s="832" t="s">
        <v>260</v>
      </c>
      <c r="L180" s="834"/>
    </row>
    <row r="181" spans="1:12">
      <c r="A181" s="113"/>
      <c r="B181" s="187">
        <v>1</v>
      </c>
      <c r="C181" s="221"/>
      <c r="D181" s="221"/>
      <c r="E181" s="188">
        <v>2</v>
      </c>
      <c r="F181" s="222"/>
      <c r="G181" s="188">
        <v>3</v>
      </c>
      <c r="H181" s="419"/>
      <c r="I181" s="419">
        <v>4</v>
      </c>
      <c r="J181" s="448">
        <v>5</v>
      </c>
      <c r="K181" s="115"/>
      <c r="L181" s="116">
        <v>6</v>
      </c>
    </row>
    <row r="182" spans="1:12">
      <c r="A182" s="113"/>
      <c r="B182" s="114" t="str">
        <f>'0422Master'!E15</f>
        <v>GANGA G</v>
      </c>
      <c r="C182" s="202"/>
      <c r="D182" s="203"/>
      <c r="E182" s="204" t="s">
        <v>280</v>
      </c>
      <c r="F182" s="203"/>
      <c r="G182" s="204" t="s">
        <v>262</v>
      </c>
      <c r="H182" s="80"/>
      <c r="I182" s="308" t="s">
        <v>281</v>
      </c>
      <c r="J182" s="478">
        <v>1</v>
      </c>
      <c r="K182" s="205" t="s">
        <v>109</v>
      </c>
      <c r="L182" s="211"/>
    </row>
    <row r="183" spans="1:12">
      <c r="A183" s="113"/>
      <c r="B183" s="114"/>
      <c r="C183" s="202"/>
      <c r="D183" s="203"/>
      <c r="E183" s="204"/>
      <c r="F183" s="203"/>
      <c r="G183" s="204"/>
      <c r="H183" s="80"/>
      <c r="I183" s="308"/>
      <c r="J183" s="308"/>
      <c r="K183" s="205"/>
      <c r="L183" s="211"/>
    </row>
    <row r="184" spans="1:12">
      <c r="A184" s="113"/>
      <c r="B184" s="114"/>
      <c r="C184" s="202"/>
      <c r="D184" s="203"/>
      <c r="E184" s="204"/>
      <c r="F184" s="203"/>
      <c r="G184" s="204"/>
      <c r="H184" s="80"/>
      <c r="I184" s="308"/>
      <c r="J184" s="308"/>
      <c r="K184" s="205"/>
      <c r="L184" s="211"/>
    </row>
    <row r="185" spans="1:12">
      <c r="A185" s="113"/>
      <c r="B185" s="86"/>
      <c r="C185" s="46"/>
      <c r="D185" s="87"/>
      <c r="E185" s="204"/>
      <c r="F185" s="203"/>
      <c r="G185" s="204"/>
      <c r="H185" s="80"/>
      <c r="I185" s="308"/>
      <c r="J185" s="308"/>
      <c r="K185" s="205"/>
      <c r="L185" s="211"/>
    </row>
    <row r="186" spans="1:12">
      <c r="A186" s="113"/>
      <c r="B186" s="27" t="s">
        <v>264</v>
      </c>
      <c r="C186" s="27"/>
      <c r="D186" s="27"/>
      <c r="E186" s="27"/>
      <c r="F186" s="27"/>
      <c r="G186" s="27"/>
      <c r="H186" s="27"/>
      <c r="I186" s="27"/>
      <c r="J186" s="27"/>
      <c r="K186" s="27"/>
      <c r="L186" s="41"/>
    </row>
    <row r="187" spans="1:12">
      <c r="A187" s="40"/>
      <c r="B187" s="27" t="s">
        <v>265</v>
      </c>
      <c r="C187" s="27"/>
      <c r="D187" s="27"/>
      <c r="E187" s="27"/>
      <c r="F187" s="27"/>
      <c r="G187" s="27"/>
      <c r="H187" s="27"/>
      <c r="I187" s="27"/>
      <c r="J187" s="27"/>
      <c r="K187" s="27"/>
      <c r="L187" s="41"/>
    </row>
    <row r="188" spans="1:12">
      <c r="A188" s="40"/>
      <c r="B188" s="27" t="s">
        <v>282</v>
      </c>
      <c r="C188" s="27"/>
      <c r="D188" s="27"/>
      <c r="E188" s="27"/>
      <c r="F188" s="27"/>
      <c r="G188" s="27"/>
      <c r="H188" s="27"/>
      <c r="I188" s="27"/>
      <c r="J188" s="27" t="s">
        <v>283</v>
      </c>
      <c r="K188" s="27"/>
      <c r="L188" s="41"/>
    </row>
    <row r="189" spans="1:12">
      <c r="A189" s="40"/>
      <c r="B189" s="100"/>
      <c r="C189" s="100"/>
      <c r="D189" s="100"/>
      <c r="E189" s="100"/>
      <c r="F189" s="27"/>
      <c r="G189" s="108" t="s">
        <v>284</v>
      </c>
      <c r="H189" s="108"/>
      <c r="I189" s="108"/>
      <c r="J189" s="108"/>
      <c r="K189" s="108"/>
      <c r="L189" s="109"/>
    </row>
    <row r="190" spans="1:12">
      <c r="A190" s="40"/>
      <c r="B190" s="108"/>
      <c r="C190" s="100"/>
      <c r="D190" s="100"/>
      <c r="E190" s="100"/>
      <c r="F190" s="100"/>
      <c r="G190" s="27" t="s">
        <v>285</v>
      </c>
      <c r="H190" s="108"/>
      <c r="I190" s="108"/>
      <c r="J190" s="108"/>
      <c r="K190" s="108"/>
      <c r="L190" s="109"/>
    </row>
    <row r="191" spans="1:12">
      <c r="A191" s="40"/>
      <c r="B191" s="193" t="s">
        <v>286</v>
      </c>
      <c r="C191" s="412"/>
      <c r="D191" s="412"/>
      <c r="E191" s="412"/>
      <c r="F191" s="412"/>
      <c r="G191" s="412"/>
      <c r="H191" s="411"/>
      <c r="I191" s="411"/>
      <c r="J191" s="411"/>
      <c r="K191" s="411"/>
      <c r="L191" s="195"/>
    </row>
    <row r="192" spans="1:12">
      <c r="A192" s="40"/>
      <c r="B192" s="193" t="s">
        <v>287</v>
      </c>
      <c r="C192" s="412"/>
      <c r="D192" s="412"/>
      <c r="E192" s="412"/>
      <c r="F192" s="412"/>
      <c r="G192" s="412"/>
      <c r="H192" s="411"/>
      <c r="I192" s="411"/>
      <c r="J192" s="410"/>
      <c r="K192" s="411"/>
      <c r="L192" s="195"/>
    </row>
    <row r="193" spans="1:12">
      <c r="A193" s="40"/>
      <c r="B193" s="114" t="s">
        <v>59</v>
      </c>
      <c r="C193" s="854" t="s">
        <v>288</v>
      </c>
      <c r="D193" s="830"/>
      <c r="E193" s="830"/>
      <c r="F193" s="830"/>
      <c r="G193" s="830"/>
      <c r="H193" s="855"/>
      <c r="I193" s="416" t="s">
        <v>188</v>
      </c>
      <c r="J193" s="856" t="s">
        <v>289</v>
      </c>
      <c r="K193" s="857"/>
      <c r="L193" s="858"/>
    </row>
    <row r="194" spans="1:12">
      <c r="A194" s="40"/>
      <c r="B194" s="187">
        <v>1</v>
      </c>
      <c r="C194" s="220"/>
      <c r="D194" s="414"/>
      <c r="E194" s="186">
        <v>2</v>
      </c>
      <c r="F194" s="79"/>
      <c r="G194" s="850"/>
      <c r="H194" s="833"/>
      <c r="I194" s="414">
        <v>3</v>
      </c>
      <c r="J194" s="208" t="s">
        <v>290</v>
      </c>
      <c r="K194" s="859">
        <v>4</v>
      </c>
      <c r="L194" s="860"/>
    </row>
    <row r="195" spans="1:12">
      <c r="A195" s="40"/>
      <c r="B195" s="114"/>
      <c r="C195" s="220"/>
      <c r="D195" s="414"/>
      <c r="E195" s="186"/>
      <c r="F195" s="79"/>
      <c r="G195" s="850"/>
      <c r="H195" s="833"/>
      <c r="I195" s="205"/>
      <c r="J195" s="207"/>
      <c r="K195" s="850"/>
      <c r="L195" s="834"/>
    </row>
    <row r="196" spans="1:12">
      <c r="A196" s="40"/>
      <c r="B196" s="114"/>
      <c r="C196" s="220"/>
      <c r="D196" s="414"/>
      <c r="E196" s="186"/>
      <c r="F196" s="79"/>
      <c r="G196" s="850"/>
      <c r="H196" s="833"/>
      <c r="I196" s="205"/>
      <c r="J196" s="207"/>
      <c r="K196" s="850"/>
      <c r="L196" s="834"/>
    </row>
    <row r="197" spans="1:12">
      <c r="A197" s="40"/>
      <c r="B197" s="114"/>
      <c r="C197" s="220"/>
      <c r="D197" s="414"/>
      <c r="E197" s="186"/>
      <c r="F197" s="79"/>
      <c r="G197" s="850"/>
      <c r="H197" s="833"/>
      <c r="I197" s="205"/>
      <c r="J197" s="207"/>
      <c r="K197" s="850"/>
      <c r="L197" s="834"/>
    </row>
    <row r="198" spans="1:12">
      <c r="A198" s="40"/>
      <c r="B198" s="86"/>
      <c r="C198" s="220"/>
      <c r="D198" s="414"/>
      <c r="E198" s="186"/>
      <c r="F198" s="79"/>
      <c r="G198" s="850"/>
      <c r="H198" s="833"/>
      <c r="I198" s="205"/>
      <c r="J198" s="207"/>
      <c r="K198" s="850"/>
      <c r="L198" s="834"/>
    </row>
    <row r="199" spans="1:12">
      <c r="A199" s="40"/>
      <c r="B199" s="27" t="s">
        <v>291</v>
      </c>
      <c r="C199" s="27"/>
      <c r="D199" s="27"/>
      <c r="E199" s="27"/>
      <c r="F199" s="27"/>
      <c r="G199" s="27"/>
      <c r="H199" s="27"/>
      <c r="I199" s="27"/>
      <c r="J199" s="27"/>
      <c r="K199" s="27"/>
      <c r="L199" s="41"/>
    </row>
    <row r="200" spans="1:12">
      <c r="A200" s="40"/>
      <c r="B200" s="27" t="s">
        <v>292</v>
      </c>
      <c r="C200" s="27"/>
      <c r="D200" s="27"/>
      <c r="E200" s="27"/>
      <c r="F200" s="27"/>
      <c r="G200" s="27"/>
      <c r="H200" s="27"/>
      <c r="I200" s="27"/>
      <c r="J200" s="27"/>
      <c r="K200" s="27"/>
      <c r="L200" s="41"/>
    </row>
    <row r="201" spans="1:12">
      <c r="A201" s="40"/>
      <c r="B201" s="27" t="s">
        <v>293</v>
      </c>
      <c r="C201" s="27"/>
      <c r="D201" s="27"/>
      <c r="E201" s="27"/>
      <c r="F201" s="27"/>
      <c r="G201" s="27"/>
      <c r="H201" s="27"/>
      <c r="I201" s="27"/>
      <c r="J201" s="27"/>
      <c r="K201" s="27"/>
      <c r="L201" s="41"/>
    </row>
    <row r="202" spans="1:12">
      <c r="A202" s="40"/>
      <c r="B202" s="209" t="s">
        <v>294</v>
      </c>
      <c r="C202" s="27"/>
      <c r="D202" s="27"/>
      <c r="E202" s="27"/>
      <c r="F202" s="27"/>
      <c r="G202" s="27"/>
      <c r="H202" s="27"/>
      <c r="I202" s="27"/>
      <c r="J202" s="27"/>
      <c r="K202" s="27"/>
      <c r="L202" s="41"/>
    </row>
    <row r="203" spans="1:12">
      <c r="A203" s="40"/>
      <c r="B203" s="204" t="s">
        <v>295</v>
      </c>
      <c r="C203" s="79"/>
      <c r="D203" s="79"/>
      <c r="E203" s="79"/>
      <c r="F203" s="80"/>
      <c r="G203" s="204" t="s">
        <v>258</v>
      </c>
      <c r="H203" s="80"/>
      <c r="I203" s="204" t="s">
        <v>296</v>
      </c>
      <c r="J203" s="79"/>
      <c r="K203" s="80"/>
      <c r="L203" s="41"/>
    </row>
    <row r="204" spans="1:12">
      <c r="A204" s="40"/>
      <c r="B204" s="835"/>
      <c r="C204" s="849"/>
      <c r="D204" s="849"/>
      <c r="E204" s="849"/>
      <c r="F204" s="836"/>
      <c r="G204" s="835"/>
      <c r="H204" s="836"/>
      <c r="I204" s="835"/>
      <c r="J204" s="849"/>
      <c r="K204" s="836"/>
      <c r="L204" s="41"/>
    </row>
    <row r="205" spans="1:12">
      <c r="A205" s="40"/>
      <c r="B205" s="835"/>
      <c r="C205" s="849"/>
      <c r="D205" s="849"/>
      <c r="E205" s="849"/>
      <c r="F205" s="836"/>
      <c r="G205" s="835"/>
      <c r="H205" s="836"/>
      <c r="I205" s="835"/>
      <c r="J205" s="849"/>
      <c r="K205" s="836"/>
      <c r="L205" s="41"/>
    </row>
    <row r="206" spans="1:12">
      <c r="A206" s="40"/>
      <c r="B206" s="835"/>
      <c r="C206" s="849"/>
      <c r="D206" s="849"/>
      <c r="E206" s="849"/>
      <c r="F206" s="836"/>
      <c r="G206" s="835"/>
      <c r="H206" s="836"/>
      <c r="I206" s="835"/>
      <c r="J206" s="849"/>
      <c r="K206" s="836"/>
      <c r="L206" s="41"/>
    </row>
    <row r="207" spans="1:12" ht="27.95" customHeight="1">
      <c r="A207" s="40"/>
      <c r="B207" s="835"/>
      <c r="C207" s="849"/>
      <c r="D207" s="849"/>
      <c r="E207" s="849"/>
      <c r="F207" s="836"/>
      <c r="G207" s="835"/>
      <c r="H207" s="836"/>
      <c r="I207" s="835"/>
      <c r="J207" s="849"/>
      <c r="K207" s="836"/>
      <c r="L207" s="41"/>
    </row>
    <row r="208" spans="1:12" ht="27.95" customHeight="1">
      <c r="A208" s="40"/>
      <c r="B208" s="27"/>
      <c r="C208" s="27"/>
      <c r="D208" s="27"/>
      <c r="E208" s="27"/>
      <c r="F208" s="27"/>
      <c r="G208" s="27"/>
      <c r="H208" s="27"/>
      <c r="I208" s="27"/>
      <c r="J208" s="27"/>
      <c r="K208" s="27"/>
      <c r="L208" s="41"/>
    </row>
    <row r="209" spans="1:12" ht="27.95" customHeight="1">
      <c r="A209" s="40"/>
      <c r="B209" s="27" t="s">
        <v>274</v>
      </c>
      <c r="C209" s="297">
        <f>'0422Master'!N15</f>
        <v>44181</v>
      </c>
      <c r="D209" s="27"/>
      <c r="E209" s="27"/>
      <c r="F209" s="27"/>
      <c r="G209" s="27"/>
      <c r="H209" s="27"/>
      <c r="I209" s="27" t="s">
        <v>297</v>
      </c>
      <c r="J209" s="27"/>
      <c r="K209" s="27"/>
      <c r="L209" s="41"/>
    </row>
    <row r="210" spans="1:12" ht="27.95" customHeight="1">
      <c r="A210" s="40"/>
      <c r="B210" s="27"/>
      <c r="C210" s="27"/>
      <c r="D210" s="27"/>
      <c r="E210" s="27"/>
      <c r="F210" s="190" t="s">
        <v>268</v>
      </c>
      <c r="G210" s="27"/>
      <c r="H210" s="27"/>
      <c r="I210" s="27"/>
      <c r="J210" s="27"/>
      <c r="K210" s="27"/>
      <c r="L210" s="41"/>
    </row>
    <row r="211" spans="1:12" ht="27.95" customHeight="1">
      <c r="A211" s="40" t="s">
        <v>269</v>
      </c>
      <c r="B211" s="27"/>
      <c r="C211" s="27"/>
      <c r="D211" s="27"/>
      <c r="E211" s="27"/>
      <c r="F211" s="27"/>
      <c r="G211" s="27"/>
      <c r="H211" s="27"/>
      <c r="I211" s="27"/>
      <c r="J211" s="27"/>
      <c r="K211" s="243" t="str">
        <f>'0422Master'!B15</f>
        <v>Vipin U.N</v>
      </c>
      <c r="L211" s="41"/>
    </row>
    <row r="212" spans="1:12" ht="27.95" customHeight="1">
      <c r="A212" s="40" t="s">
        <v>270</v>
      </c>
      <c r="B212" s="27"/>
      <c r="C212" s="27"/>
      <c r="D212" s="27"/>
      <c r="E212" s="27"/>
      <c r="F212" s="27"/>
      <c r="G212" s="27"/>
      <c r="H212" s="27"/>
      <c r="I212" s="27"/>
      <c r="J212" s="27"/>
      <c r="K212" s="27"/>
      <c r="L212" s="41"/>
    </row>
    <row r="213" spans="1:12" ht="27.95" customHeight="1">
      <c r="A213" s="40"/>
      <c r="B213" s="27"/>
      <c r="C213" s="27"/>
      <c r="D213" s="27"/>
      <c r="E213" s="27"/>
      <c r="F213" s="27"/>
      <c r="G213" s="27"/>
      <c r="H213" s="27"/>
      <c r="I213" s="27"/>
      <c r="J213" s="27"/>
      <c r="K213" s="27"/>
      <c r="L213" s="41"/>
    </row>
    <row r="214" spans="1:12" ht="27.95" customHeight="1">
      <c r="A214" s="40"/>
      <c r="B214" s="27"/>
      <c r="C214" s="27"/>
      <c r="D214" s="27"/>
      <c r="E214" s="27"/>
      <c r="F214" s="27" t="s">
        <v>271</v>
      </c>
      <c r="G214" s="27"/>
      <c r="H214" s="27"/>
      <c r="I214" s="27"/>
      <c r="J214" s="27"/>
      <c r="K214" s="27"/>
      <c r="L214" s="41"/>
    </row>
    <row r="215" spans="1:12" ht="27.95" customHeight="1">
      <c r="A215" s="40" t="s">
        <v>272</v>
      </c>
      <c r="B215" s="27" t="s">
        <v>273</v>
      </c>
      <c r="C215" s="27"/>
      <c r="D215" s="27"/>
      <c r="E215" s="27"/>
      <c r="F215" s="27" t="str">
        <f>'0422Master'!F5</f>
        <v>Burgeon IT Services Pvt.Ltd.</v>
      </c>
      <c r="G215" s="27"/>
      <c r="H215" s="27"/>
      <c r="I215" s="27"/>
      <c r="J215" s="27"/>
      <c r="K215" s="27"/>
      <c r="L215" s="41"/>
    </row>
    <row r="216" spans="1:12" ht="27.95" customHeight="1" thickBot="1">
      <c r="A216" s="54" t="s">
        <v>274</v>
      </c>
      <c r="B216" s="300">
        <f>'0422Master'!N15</f>
        <v>44181</v>
      </c>
      <c r="C216" s="52"/>
      <c r="D216" s="52"/>
      <c r="E216" s="52"/>
      <c r="F216" s="191" t="str">
        <f>'0422Master'!F6</f>
        <v>Siri Mansion LIGB 436 Dr.A S Rao Nagar,Hyderabad</v>
      </c>
      <c r="G216" s="191"/>
      <c r="H216" s="191"/>
      <c r="I216" s="191"/>
      <c r="J216" s="191"/>
      <c r="K216" s="191"/>
      <c r="L216" s="53"/>
    </row>
    <row r="217" spans="1:12" ht="27.95" customHeight="1">
      <c r="A217" s="128"/>
      <c r="B217" s="97"/>
      <c r="C217" s="97"/>
      <c r="D217" s="196"/>
      <c r="E217" s="196"/>
      <c r="F217" s="196"/>
      <c r="G217" s="196"/>
      <c r="H217" s="196"/>
      <c r="I217" s="196"/>
      <c r="J217" s="97"/>
      <c r="K217" s="198" t="s">
        <v>275</v>
      </c>
      <c r="L217" s="197"/>
    </row>
    <row r="218" spans="1:12" ht="27.95" customHeight="1">
      <c r="A218" s="40"/>
      <c r="B218" s="851" t="s">
        <v>276</v>
      </c>
      <c r="C218" s="851"/>
      <c r="D218" s="851"/>
      <c r="E218" s="851"/>
      <c r="F218" s="851"/>
      <c r="G218" s="851"/>
      <c r="H218" s="851"/>
      <c r="I218" s="851"/>
      <c r="J218" s="851"/>
      <c r="K218" s="851"/>
      <c r="L218" s="852"/>
    </row>
    <row r="219" spans="1:12" ht="27.95" customHeight="1">
      <c r="A219" s="40"/>
      <c r="B219" s="846" t="s">
        <v>277</v>
      </c>
      <c r="C219" s="846"/>
      <c r="D219" s="846"/>
      <c r="E219" s="846"/>
      <c r="F219" s="846"/>
      <c r="G219" s="846"/>
      <c r="H219" s="846"/>
      <c r="I219" s="846"/>
      <c r="J219" s="846"/>
      <c r="K219" s="846"/>
      <c r="L219" s="853"/>
    </row>
    <row r="220" spans="1:12" ht="27.95" customHeight="1">
      <c r="A220" s="40"/>
      <c r="B220" s="201" t="s">
        <v>278</v>
      </c>
      <c r="C220" s="199"/>
      <c r="D220" s="199"/>
      <c r="E220" s="199"/>
      <c r="F220" s="199"/>
      <c r="G220" s="27"/>
      <c r="H220" s="200"/>
      <c r="I220" s="200"/>
      <c r="J220" s="200"/>
      <c r="K220" s="200"/>
      <c r="L220" s="210"/>
    </row>
    <row r="221" spans="1:12" ht="27.95" customHeight="1">
      <c r="A221" s="40"/>
      <c r="B221" s="199"/>
      <c r="C221" s="199"/>
      <c r="D221" s="199"/>
      <c r="E221" s="199"/>
      <c r="F221" s="199"/>
      <c r="G221" s="27"/>
      <c r="H221" s="200"/>
      <c r="I221" s="200"/>
      <c r="J221" s="200"/>
      <c r="K221" s="200"/>
      <c r="L221" s="210"/>
    </row>
    <row r="222" spans="1:12" ht="27.95" customHeight="1">
      <c r="A222" s="40"/>
      <c r="B222" s="744" t="s">
        <v>244</v>
      </c>
      <c r="C222" s="744"/>
      <c r="D222" s="744"/>
      <c r="E222" s="744"/>
      <c r="F222" s="744"/>
      <c r="G222" s="744"/>
      <c r="H222" s="741" t="e">
        <f>'0422Master'!#REF!</f>
        <v>#REF!</v>
      </c>
      <c r="I222" s="742"/>
      <c r="J222" s="742"/>
      <c r="K222" s="742"/>
      <c r="L222" s="743"/>
    </row>
    <row r="223" spans="1:12" ht="27.95" customHeight="1">
      <c r="A223" s="40"/>
      <c r="B223" s="740" t="s">
        <v>245</v>
      </c>
      <c r="C223" s="740"/>
      <c r="D223" s="740"/>
      <c r="E223" s="740"/>
      <c r="F223" s="740"/>
      <c r="G223" s="740"/>
      <c r="H223" s="741" t="e">
        <f>'0422Master'!#REF!</f>
        <v>#REF!</v>
      </c>
      <c r="I223" s="742"/>
      <c r="J223" s="742"/>
      <c r="K223" s="742"/>
      <c r="L223" s="743"/>
    </row>
    <row r="224" spans="1:12" ht="27.95" customHeight="1">
      <c r="A224" s="40"/>
      <c r="B224" s="744" t="s">
        <v>246</v>
      </c>
      <c r="C224" s="744"/>
      <c r="D224" s="744"/>
      <c r="E224" s="744"/>
      <c r="F224" s="744"/>
      <c r="G224" s="744"/>
      <c r="H224" s="741" t="e">
        <f>'0422Master'!#REF!</f>
        <v>#REF!</v>
      </c>
      <c r="I224" s="742"/>
      <c r="J224" s="742"/>
      <c r="K224" s="742"/>
      <c r="L224" s="743"/>
    </row>
    <row r="225" spans="1:12">
      <c r="A225" s="40"/>
      <c r="B225" s="744" t="s">
        <v>247</v>
      </c>
      <c r="C225" s="744"/>
      <c r="D225" s="744"/>
      <c r="E225" s="744"/>
      <c r="F225" s="744"/>
      <c r="G225" s="744"/>
      <c r="H225" s="837" t="e">
        <f>'0422Master'!#REF!</f>
        <v>#REF!</v>
      </c>
      <c r="I225" s="742"/>
      <c r="J225" s="742"/>
      <c r="K225" s="742"/>
      <c r="L225" s="743"/>
    </row>
    <row r="226" spans="1:12">
      <c r="A226" s="40"/>
      <c r="B226" s="114" t="s">
        <v>248</v>
      </c>
      <c r="C226" s="221"/>
      <c r="D226" s="221"/>
      <c r="E226" s="221"/>
      <c r="F226" s="221"/>
      <c r="G226" s="221"/>
      <c r="H226" s="838" t="s">
        <v>249</v>
      </c>
      <c r="I226" s="839"/>
      <c r="J226" s="839"/>
      <c r="K226" s="839"/>
      <c r="L226" s="840"/>
    </row>
    <row r="227" spans="1:12">
      <c r="A227" s="40"/>
      <c r="B227" s="114" t="s">
        <v>250</v>
      </c>
      <c r="C227" s="221"/>
      <c r="D227" s="221"/>
      <c r="E227" s="221"/>
      <c r="F227" s="221"/>
      <c r="G227" s="221"/>
      <c r="H227" s="418"/>
      <c r="I227" s="414"/>
      <c r="J227" s="189"/>
      <c r="K227" s="414"/>
      <c r="L227" s="415"/>
    </row>
    <row r="228" spans="1:12">
      <c r="A228" s="40"/>
      <c r="B228" s="755" t="s">
        <v>251</v>
      </c>
      <c r="C228" s="755"/>
      <c r="D228" s="755"/>
      <c r="E228" s="755"/>
      <c r="F228" s="755"/>
      <c r="G228" s="755"/>
      <c r="H228" s="756" t="e">
        <f>'0422Master'!#REF!</f>
        <v>#REF!</v>
      </c>
      <c r="I228" s="757"/>
      <c r="J228" s="757"/>
      <c r="K228" s="757"/>
      <c r="L228" s="758"/>
    </row>
    <row r="229" spans="1:12">
      <c r="A229" s="40"/>
      <c r="B229" s="744"/>
      <c r="C229" s="744"/>
      <c r="D229" s="744"/>
      <c r="E229" s="744"/>
      <c r="F229" s="744"/>
      <c r="G229" s="744"/>
      <c r="H229" s="751" t="e">
        <f>'0422Master'!#REF!</f>
        <v>#REF!</v>
      </c>
      <c r="I229" s="742"/>
      <c r="J229" s="742"/>
      <c r="K229" s="742"/>
      <c r="L229" s="743"/>
    </row>
    <row r="230" spans="1:12">
      <c r="A230" s="40"/>
      <c r="B230" s="744"/>
      <c r="C230" s="744"/>
      <c r="D230" s="744"/>
      <c r="E230" s="744"/>
      <c r="F230" s="744"/>
      <c r="G230" s="744"/>
      <c r="H230" s="741" t="e">
        <f>'0422Master'!#REF!</f>
        <v>#REF!</v>
      </c>
      <c r="I230" s="742"/>
      <c r="J230" s="742"/>
      <c r="K230" s="742"/>
      <c r="L230" s="743"/>
    </row>
    <row r="231" spans="1:12">
      <c r="A231" s="40"/>
      <c r="B231" s="100"/>
      <c r="C231" s="100"/>
      <c r="D231" s="100"/>
      <c r="E231" s="100"/>
      <c r="F231" s="27"/>
      <c r="G231" s="108" t="s">
        <v>279</v>
      </c>
      <c r="H231" s="108"/>
      <c r="I231" s="108"/>
      <c r="J231" s="108"/>
      <c r="K231" s="108"/>
      <c r="L231" s="109"/>
    </row>
    <row r="232" spans="1:12">
      <c r="A232" s="40"/>
      <c r="B232" s="193" t="s">
        <v>253</v>
      </c>
      <c r="C232" s="412"/>
      <c r="D232" s="412"/>
      <c r="E232" s="412"/>
      <c r="F232" s="412"/>
      <c r="G232" s="412"/>
      <c r="H232" s="411"/>
      <c r="I232" s="411"/>
      <c r="J232" s="411"/>
      <c r="K232" s="411"/>
      <c r="L232" s="195"/>
    </row>
    <row r="233" spans="1:12">
      <c r="A233" s="40"/>
      <c r="B233" s="193" t="s">
        <v>254</v>
      </c>
      <c r="C233" s="412"/>
      <c r="D233" s="412"/>
      <c r="E233" s="412"/>
      <c r="F233" s="412"/>
      <c r="G233" s="412"/>
      <c r="H233" s="411"/>
      <c r="I233" s="411"/>
      <c r="J233" s="410"/>
      <c r="K233" s="411"/>
      <c r="L233" s="195"/>
    </row>
    <row r="234" spans="1:12" ht="45">
      <c r="A234" s="113"/>
      <c r="B234" s="114" t="s">
        <v>255</v>
      </c>
      <c r="C234" s="221"/>
      <c r="D234" s="419"/>
      <c r="E234" s="413" t="s">
        <v>256</v>
      </c>
      <c r="F234" s="80"/>
      <c r="G234" s="832" t="s">
        <v>257</v>
      </c>
      <c r="H234" s="833"/>
      <c r="I234" s="479" t="s">
        <v>258</v>
      </c>
      <c r="J234" s="477" t="s">
        <v>259</v>
      </c>
      <c r="K234" s="832" t="s">
        <v>260</v>
      </c>
      <c r="L234" s="834"/>
    </row>
    <row r="235" spans="1:12">
      <c r="A235" s="113"/>
      <c r="B235" s="187">
        <v>1</v>
      </c>
      <c r="C235" s="221"/>
      <c r="D235" s="221"/>
      <c r="E235" s="188">
        <v>2</v>
      </c>
      <c r="F235" s="222"/>
      <c r="G235" s="188">
        <v>3</v>
      </c>
      <c r="H235" s="419"/>
      <c r="I235" s="419">
        <v>4</v>
      </c>
      <c r="J235" s="448">
        <v>5</v>
      </c>
      <c r="K235" s="115"/>
      <c r="L235" s="116">
        <v>6</v>
      </c>
    </row>
    <row r="236" spans="1:12">
      <c r="A236" s="113"/>
      <c r="B236" s="114" t="e">
        <f>'0422Master'!#REF!</f>
        <v>#REF!</v>
      </c>
      <c r="C236" s="202"/>
      <c r="D236" s="203"/>
      <c r="E236" s="204" t="s">
        <v>280</v>
      </c>
      <c r="F236" s="203"/>
      <c r="G236" s="204" t="s">
        <v>262</v>
      </c>
      <c r="H236" s="80"/>
      <c r="I236" s="308" t="s">
        <v>281</v>
      </c>
      <c r="J236" s="478">
        <v>1</v>
      </c>
      <c r="K236" s="205" t="s">
        <v>109</v>
      </c>
      <c r="L236" s="211"/>
    </row>
    <row r="237" spans="1:12">
      <c r="A237" s="113"/>
      <c r="B237" s="114"/>
      <c r="C237" s="202"/>
      <c r="D237" s="203"/>
      <c r="E237" s="204"/>
      <c r="F237" s="203"/>
      <c r="G237" s="204"/>
      <c r="H237" s="80"/>
      <c r="I237" s="308"/>
      <c r="J237" s="308"/>
      <c r="K237" s="205"/>
      <c r="L237" s="211"/>
    </row>
    <row r="238" spans="1:12">
      <c r="A238" s="113"/>
      <c r="B238" s="114"/>
      <c r="C238" s="202"/>
      <c r="D238" s="203"/>
      <c r="E238" s="204"/>
      <c r="F238" s="203"/>
      <c r="G238" s="204"/>
      <c r="H238" s="80"/>
      <c r="I238" s="308"/>
      <c r="J238" s="308"/>
      <c r="K238" s="205"/>
      <c r="L238" s="211"/>
    </row>
    <row r="239" spans="1:12">
      <c r="A239" s="113"/>
      <c r="B239" s="86"/>
      <c r="C239" s="46"/>
      <c r="D239" s="87"/>
      <c r="E239" s="204"/>
      <c r="F239" s="203"/>
      <c r="G239" s="204"/>
      <c r="H239" s="80"/>
      <c r="I239" s="308"/>
      <c r="J239" s="308"/>
      <c r="K239" s="205"/>
      <c r="L239" s="211"/>
    </row>
    <row r="240" spans="1:12">
      <c r="A240" s="113"/>
      <c r="B240" s="27" t="s">
        <v>264</v>
      </c>
      <c r="C240" s="27"/>
      <c r="D240" s="27"/>
      <c r="E240" s="27"/>
      <c r="F240" s="27"/>
      <c r="G240" s="27"/>
      <c r="H240" s="27"/>
      <c r="I240" s="27"/>
      <c r="J240" s="27"/>
      <c r="K240" s="27"/>
      <c r="L240" s="41"/>
    </row>
    <row r="241" spans="1:12">
      <c r="A241" s="40"/>
      <c r="B241" s="27" t="s">
        <v>265</v>
      </c>
      <c r="C241" s="27"/>
      <c r="D241" s="27"/>
      <c r="E241" s="27"/>
      <c r="F241" s="27"/>
      <c r="G241" s="27"/>
      <c r="H241" s="27"/>
      <c r="I241" s="27"/>
      <c r="J241" s="27"/>
      <c r="K241" s="27"/>
      <c r="L241" s="41"/>
    </row>
    <row r="242" spans="1:12">
      <c r="A242" s="40"/>
      <c r="B242" s="27" t="s">
        <v>282</v>
      </c>
      <c r="C242" s="27"/>
      <c r="D242" s="27"/>
      <c r="E242" s="27"/>
      <c r="F242" s="27"/>
      <c r="G242" s="27"/>
      <c r="H242" s="27"/>
      <c r="I242" s="27"/>
      <c r="J242" s="27" t="s">
        <v>283</v>
      </c>
      <c r="K242" s="27"/>
      <c r="L242" s="41"/>
    </row>
    <row r="243" spans="1:12">
      <c r="A243" s="40"/>
      <c r="B243" s="100"/>
      <c r="C243" s="100"/>
      <c r="D243" s="100"/>
      <c r="E243" s="100"/>
      <c r="F243" s="27"/>
      <c r="G243" s="108" t="s">
        <v>284</v>
      </c>
      <c r="H243" s="108"/>
      <c r="I243" s="108"/>
      <c r="J243" s="108"/>
      <c r="K243" s="108"/>
      <c r="L243" s="109"/>
    </row>
    <row r="244" spans="1:12">
      <c r="A244" s="40"/>
      <c r="B244" s="108"/>
      <c r="C244" s="100"/>
      <c r="D244" s="100"/>
      <c r="E244" s="100"/>
      <c r="F244" s="100"/>
      <c r="G244" s="27" t="s">
        <v>285</v>
      </c>
      <c r="H244" s="108"/>
      <c r="I244" s="108"/>
      <c r="J244" s="108"/>
      <c r="K244" s="108"/>
      <c r="L244" s="109"/>
    </row>
    <row r="245" spans="1:12">
      <c r="A245" s="40"/>
      <c r="B245" s="193" t="s">
        <v>286</v>
      </c>
      <c r="C245" s="412"/>
      <c r="D245" s="412"/>
      <c r="E245" s="412"/>
      <c r="F245" s="412"/>
      <c r="G245" s="412"/>
      <c r="H245" s="411"/>
      <c r="I245" s="411"/>
      <c r="J245" s="411"/>
      <c r="K245" s="411"/>
      <c r="L245" s="195"/>
    </row>
    <row r="246" spans="1:12">
      <c r="A246" s="40"/>
      <c r="B246" s="193" t="s">
        <v>287</v>
      </c>
      <c r="C246" s="412"/>
      <c r="D246" s="412"/>
      <c r="E246" s="412"/>
      <c r="F246" s="412"/>
      <c r="G246" s="412"/>
      <c r="H246" s="411"/>
      <c r="I246" s="411"/>
      <c r="J246" s="410"/>
      <c r="K246" s="411"/>
      <c r="L246" s="195"/>
    </row>
    <row r="247" spans="1:12">
      <c r="A247" s="40"/>
      <c r="B247" s="114" t="s">
        <v>59</v>
      </c>
      <c r="C247" s="854" t="s">
        <v>288</v>
      </c>
      <c r="D247" s="830"/>
      <c r="E247" s="830"/>
      <c r="F247" s="830"/>
      <c r="G247" s="830"/>
      <c r="H247" s="855"/>
      <c r="I247" s="416" t="s">
        <v>188</v>
      </c>
      <c r="J247" s="856" t="s">
        <v>289</v>
      </c>
      <c r="K247" s="857"/>
      <c r="L247" s="858"/>
    </row>
    <row r="248" spans="1:12">
      <c r="A248" s="40"/>
      <c r="B248" s="187">
        <v>1</v>
      </c>
      <c r="C248" s="220"/>
      <c r="D248" s="414"/>
      <c r="E248" s="186">
        <v>2</v>
      </c>
      <c r="F248" s="79"/>
      <c r="G248" s="850"/>
      <c r="H248" s="833"/>
      <c r="I248" s="414">
        <v>3</v>
      </c>
      <c r="J248" s="208" t="s">
        <v>290</v>
      </c>
      <c r="K248" s="859">
        <v>4</v>
      </c>
      <c r="L248" s="860"/>
    </row>
    <row r="249" spans="1:12">
      <c r="A249" s="40"/>
      <c r="B249" s="114"/>
      <c r="C249" s="220"/>
      <c r="D249" s="414"/>
      <c r="E249" s="186"/>
      <c r="F249" s="79"/>
      <c r="G249" s="850"/>
      <c r="H249" s="833"/>
      <c r="I249" s="205"/>
      <c r="J249" s="207"/>
      <c r="K249" s="850"/>
      <c r="L249" s="834"/>
    </row>
    <row r="250" spans="1:12">
      <c r="A250" s="40"/>
      <c r="B250" s="114"/>
      <c r="C250" s="220"/>
      <c r="D250" s="414"/>
      <c r="E250" s="186"/>
      <c r="F250" s="79"/>
      <c r="G250" s="850"/>
      <c r="H250" s="833"/>
      <c r="I250" s="205"/>
      <c r="J250" s="207"/>
      <c r="K250" s="850"/>
      <c r="L250" s="834"/>
    </row>
    <row r="251" spans="1:12">
      <c r="A251" s="40"/>
      <c r="B251" s="114"/>
      <c r="C251" s="220"/>
      <c r="D251" s="414"/>
      <c r="E251" s="186"/>
      <c r="F251" s="79"/>
      <c r="G251" s="850"/>
      <c r="H251" s="833"/>
      <c r="I251" s="205"/>
      <c r="J251" s="207"/>
      <c r="K251" s="850"/>
      <c r="L251" s="834"/>
    </row>
    <row r="252" spans="1:12">
      <c r="A252" s="40"/>
      <c r="B252" s="86"/>
      <c r="C252" s="220"/>
      <c r="D252" s="414"/>
      <c r="E252" s="186"/>
      <c r="F252" s="79"/>
      <c r="G252" s="850"/>
      <c r="H252" s="833"/>
      <c r="I252" s="205"/>
      <c r="J252" s="207"/>
      <c r="K252" s="850"/>
      <c r="L252" s="834"/>
    </row>
    <row r="253" spans="1:12">
      <c r="A253" s="40"/>
      <c r="B253" s="27" t="s">
        <v>291</v>
      </c>
      <c r="C253" s="27"/>
      <c r="D253" s="27"/>
      <c r="E253" s="27"/>
      <c r="F253" s="27"/>
      <c r="G253" s="27"/>
      <c r="H253" s="27"/>
      <c r="I253" s="27"/>
      <c r="J253" s="27"/>
      <c r="K253" s="27"/>
      <c r="L253" s="41"/>
    </row>
    <row r="254" spans="1:12">
      <c r="A254" s="40"/>
      <c r="B254" s="27" t="s">
        <v>292</v>
      </c>
      <c r="C254" s="27"/>
      <c r="D254" s="27"/>
      <c r="E254" s="27"/>
      <c r="F254" s="27"/>
      <c r="G254" s="27"/>
      <c r="H254" s="27"/>
      <c r="I254" s="27"/>
      <c r="J254" s="27"/>
      <c r="K254" s="27"/>
      <c r="L254" s="41"/>
    </row>
    <row r="255" spans="1:12">
      <c r="A255" s="40"/>
      <c r="B255" s="27" t="s">
        <v>293</v>
      </c>
      <c r="C255" s="27"/>
      <c r="D255" s="27"/>
      <c r="E255" s="27"/>
      <c r="F255" s="27"/>
      <c r="G255" s="27"/>
      <c r="H255" s="27"/>
      <c r="I255" s="27"/>
      <c r="J255" s="27"/>
      <c r="K255" s="27"/>
      <c r="L255" s="41"/>
    </row>
    <row r="256" spans="1:12">
      <c r="A256" s="40"/>
      <c r="B256" s="209" t="s">
        <v>294</v>
      </c>
      <c r="C256" s="27"/>
      <c r="D256" s="27"/>
      <c r="E256" s="27"/>
      <c r="F256" s="27"/>
      <c r="G256" s="27"/>
      <c r="H256" s="27"/>
      <c r="I256" s="27"/>
      <c r="J256" s="27"/>
      <c r="K256" s="27"/>
      <c r="L256" s="41"/>
    </row>
    <row r="257" spans="1:12">
      <c r="A257" s="40"/>
      <c r="B257" s="204" t="s">
        <v>295</v>
      </c>
      <c r="C257" s="79"/>
      <c r="D257" s="79"/>
      <c r="E257" s="79"/>
      <c r="F257" s="80"/>
      <c r="G257" s="204" t="s">
        <v>258</v>
      </c>
      <c r="H257" s="80"/>
      <c r="I257" s="204" t="s">
        <v>296</v>
      </c>
      <c r="J257" s="79"/>
      <c r="K257" s="80"/>
      <c r="L257" s="41"/>
    </row>
    <row r="258" spans="1:12">
      <c r="A258" s="40"/>
      <c r="B258" s="835"/>
      <c r="C258" s="849"/>
      <c r="D258" s="849"/>
      <c r="E258" s="849"/>
      <c r="F258" s="836"/>
      <c r="G258" s="835"/>
      <c r="H258" s="836"/>
      <c r="I258" s="835"/>
      <c r="J258" s="849"/>
      <c r="K258" s="836"/>
      <c r="L258" s="41"/>
    </row>
    <row r="259" spans="1:12">
      <c r="A259" s="40"/>
      <c r="B259" s="835"/>
      <c r="C259" s="849"/>
      <c r="D259" s="849"/>
      <c r="E259" s="849"/>
      <c r="F259" s="836"/>
      <c r="G259" s="835"/>
      <c r="H259" s="836"/>
      <c r="I259" s="835"/>
      <c r="J259" s="849"/>
      <c r="K259" s="836"/>
      <c r="L259" s="41"/>
    </row>
    <row r="260" spans="1:12" ht="27.95" customHeight="1">
      <c r="A260" s="40"/>
      <c r="B260" s="835"/>
      <c r="C260" s="849"/>
      <c r="D260" s="849"/>
      <c r="E260" s="849"/>
      <c r="F260" s="836"/>
      <c r="G260" s="835"/>
      <c r="H260" s="836"/>
      <c r="I260" s="835"/>
      <c r="J260" s="849"/>
      <c r="K260" s="836"/>
      <c r="L260" s="41"/>
    </row>
    <row r="261" spans="1:12" ht="27.95" customHeight="1">
      <c r="A261" s="40"/>
      <c r="B261" s="835"/>
      <c r="C261" s="849"/>
      <c r="D261" s="849"/>
      <c r="E261" s="849"/>
      <c r="F261" s="836"/>
      <c r="G261" s="835"/>
      <c r="H261" s="836"/>
      <c r="I261" s="835"/>
      <c r="J261" s="849"/>
      <c r="K261" s="836"/>
      <c r="L261" s="41"/>
    </row>
    <row r="262" spans="1:12" ht="27.95" customHeight="1">
      <c r="A262" s="40"/>
      <c r="B262" s="27"/>
      <c r="C262" s="27"/>
      <c r="D262" s="27"/>
      <c r="E262" s="27"/>
      <c r="F262" s="27"/>
      <c r="G262" s="27"/>
      <c r="H262" s="27"/>
      <c r="I262" s="27"/>
      <c r="J262" s="27"/>
      <c r="K262" s="27"/>
      <c r="L262" s="41"/>
    </row>
    <row r="263" spans="1:12" ht="27.95" customHeight="1">
      <c r="A263" s="40"/>
      <c r="B263" s="27" t="s">
        <v>274</v>
      </c>
      <c r="C263" s="297" t="e">
        <f>'0422Master'!#REF!</f>
        <v>#REF!</v>
      </c>
      <c r="D263" s="27"/>
      <c r="E263" s="27"/>
      <c r="F263" s="27"/>
      <c r="G263" s="27"/>
      <c r="H263" s="27"/>
      <c r="I263" s="27" t="s">
        <v>297</v>
      </c>
      <c r="J263" s="27"/>
      <c r="K263" s="27"/>
      <c r="L263" s="41"/>
    </row>
    <row r="264" spans="1:12" ht="27.95" customHeight="1">
      <c r="A264" s="40"/>
      <c r="B264" s="27"/>
      <c r="C264" s="27"/>
      <c r="D264" s="27"/>
      <c r="E264" s="27"/>
      <c r="F264" s="190" t="s">
        <v>268</v>
      </c>
      <c r="G264" s="27"/>
      <c r="H264" s="27"/>
      <c r="I264" s="27"/>
      <c r="J264" s="27"/>
      <c r="K264" s="27"/>
      <c r="L264" s="41"/>
    </row>
    <row r="265" spans="1:12" ht="27.95" customHeight="1">
      <c r="A265" s="40" t="s">
        <v>269</v>
      </c>
      <c r="B265" s="27"/>
      <c r="C265" s="27"/>
      <c r="D265" s="27"/>
      <c r="E265" s="27"/>
      <c r="F265" s="27"/>
      <c r="G265" s="27"/>
      <c r="H265" s="27"/>
      <c r="I265" s="27"/>
      <c r="J265" s="27"/>
      <c r="K265" s="243" t="e">
        <f>'0422Master'!#REF!</f>
        <v>#REF!</v>
      </c>
      <c r="L265" s="41"/>
    </row>
    <row r="266" spans="1:12" ht="27.95" customHeight="1">
      <c r="A266" s="40" t="s">
        <v>270</v>
      </c>
      <c r="B266" s="27"/>
      <c r="C266" s="27"/>
      <c r="D266" s="27"/>
      <c r="E266" s="27"/>
      <c r="F266" s="27"/>
      <c r="G266" s="27"/>
      <c r="H266" s="27"/>
      <c r="I266" s="27"/>
      <c r="J266" s="27"/>
      <c r="K266" s="27"/>
      <c r="L266" s="41"/>
    </row>
    <row r="267" spans="1:12" ht="27.95" customHeight="1">
      <c r="A267" s="40"/>
      <c r="B267" s="27"/>
      <c r="C267" s="27"/>
      <c r="D267" s="27"/>
      <c r="E267" s="27"/>
      <c r="F267" s="27"/>
      <c r="G267" s="27"/>
      <c r="H267" s="27"/>
      <c r="I267" s="27"/>
      <c r="J267" s="27"/>
      <c r="K267" s="27"/>
      <c r="L267" s="41"/>
    </row>
    <row r="268" spans="1:12" ht="27.95" customHeight="1">
      <c r="A268" s="40"/>
      <c r="B268" s="27"/>
      <c r="C268" s="27"/>
      <c r="D268" s="27"/>
      <c r="E268" s="27"/>
      <c r="F268" s="27" t="s">
        <v>271</v>
      </c>
      <c r="G268" s="27"/>
      <c r="H268" s="27"/>
      <c r="I268" s="27"/>
      <c r="J268" s="27"/>
      <c r="K268" s="27"/>
      <c r="L268" s="41"/>
    </row>
    <row r="269" spans="1:12" ht="27.95" customHeight="1">
      <c r="A269" s="40" t="s">
        <v>272</v>
      </c>
      <c r="B269" s="27" t="s">
        <v>273</v>
      </c>
      <c r="C269" s="27"/>
      <c r="D269" s="27"/>
      <c r="E269" s="27"/>
      <c r="F269" s="266" t="str">
        <f>'0422Master'!F5</f>
        <v>Burgeon IT Services Pvt.Ltd.</v>
      </c>
      <c r="G269" s="27"/>
      <c r="H269" s="27"/>
      <c r="I269" s="27"/>
      <c r="J269" s="27"/>
      <c r="K269" s="27"/>
      <c r="L269" s="41"/>
    </row>
    <row r="270" spans="1:12" ht="27.95" customHeight="1" thickBot="1">
      <c r="A270" s="54" t="s">
        <v>274</v>
      </c>
      <c r="B270" s="300" t="e">
        <f>'0422Master'!#REF!</f>
        <v>#REF!</v>
      </c>
      <c r="C270" s="52"/>
      <c r="D270" s="52"/>
      <c r="E270" s="52"/>
      <c r="F270" s="191" t="str">
        <f>'0422Master'!F6</f>
        <v>Siri Mansion LIGB 436 Dr.A S Rao Nagar,Hyderabad</v>
      </c>
      <c r="G270" s="191"/>
      <c r="H270" s="191"/>
      <c r="I270" s="191"/>
      <c r="J270" s="191"/>
      <c r="K270" s="191"/>
      <c r="L270" s="53"/>
    </row>
    <row r="271" spans="1:12" ht="27.95" customHeight="1">
      <c r="A271" s="128"/>
      <c r="B271" s="97"/>
      <c r="C271" s="97"/>
      <c r="D271" s="196"/>
      <c r="E271" s="196"/>
      <c r="F271" s="196"/>
      <c r="G271" s="196"/>
      <c r="H271" s="196"/>
      <c r="I271" s="196"/>
      <c r="J271" s="97"/>
      <c r="K271" s="198" t="s">
        <v>275</v>
      </c>
      <c r="L271" s="197"/>
    </row>
    <row r="272" spans="1:12" ht="27.95" customHeight="1">
      <c r="A272" s="40"/>
      <c r="B272" s="851" t="s">
        <v>276</v>
      </c>
      <c r="C272" s="851"/>
      <c r="D272" s="851"/>
      <c r="E272" s="851"/>
      <c r="F272" s="851"/>
      <c r="G272" s="851"/>
      <c r="H272" s="851"/>
      <c r="I272" s="851"/>
      <c r="J272" s="851"/>
      <c r="K272" s="851"/>
      <c r="L272" s="852"/>
    </row>
    <row r="273" spans="1:12" ht="27.95" customHeight="1">
      <c r="A273" s="40"/>
      <c r="B273" s="846" t="s">
        <v>277</v>
      </c>
      <c r="C273" s="846"/>
      <c r="D273" s="846"/>
      <c r="E273" s="846"/>
      <c r="F273" s="846"/>
      <c r="G273" s="846"/>
      <c r="H273" s="846"/>
      <c r="I273" s="846"/>
      <c r="J273" s="846"/>
      <c r="K273" s="846"/>
      <c r="L273" s="853"/>
    </row>
    <row r="274" spans="1:12" ht="27.95" customHeight="1">
      <c r="A274" s="40"/>
      <c r="B274" s="201" t="s">
        <v>278</v>
      </c>
      <c r="C274" s="199"/>
      <c r="D274" s="199"/>
      <c r="E274" s="199"/>
      <c r="F274" s="199"/>
      <c r="G274" s="27"/>
      <c r="H274" s="200"/>
      <c r="I274" s="200"/>
      <c r="J274" s="200"/>
      <c r="K274" s="200"/>
      <c r="L274" s="210"/>
    </row>
    <row r="275" spans="1:12" ht="27.95" customHeight="1">
      <c r="A275" s="40"/>
      <c r="B275" s="744" t="s">
        <v>244</v>
      </c>
      <c r="C275" s="744"/>
      <c r="D275" s="744"/>
      <c r="E275" s="744"/>
      <c r="F275" s="744"/>
      <c r="G275" s="744"/>
      <c r="H275" s="741" t="e">
        <f>'0422Master'!#REF!</f>
        <v>#REF!</v>
      </c>
      <c r="I275" s="742"/>
      <c r="J275" s="742"/>
      <c r="K275" s="742"/>
      <c r="L275" s="743"/>
    </row>
    <row r="276" spans="1:12" ht="27.95" customHeight="1">
      <c r="A276" s="40"/>
      <c r="B276" s="740" t="s">
        <v>245</v>
      </c>
      <c r="C276" s="740"/>
      <c r="D276" s="740"/>
      <c r="E276" s="740"/>
      <c r="F276" s="740"/>
      <c r="G276" s="740"/>
      <c r="H276" s="741" t="e">
        <f>'0422Master'!#REF!</f>
        <v>#REF!</v>
      </c>
      <c r="I276" s="742"/>
      <c r="J276" s="742"/>
      <c r="K276" s="742"/>
      <c r="L276" s="743"/>
    </row>
    <row r="277" spans="1:12">
      <c r="A277" s="40"/>
      <c r="B277" s="744" t="s">
        <v>246</v>
      </c>
      <c r="C277" s="744"/>
      <c r="D277" s="744"/>
      <c r="E277" s="744"/>
      <c r="F277" s="744"/>
      <c r="G277" s="744"/>
      <c r="H277" s="741" t="e">
        <f>'0422Master'!#REF!</f>
        <v>#REF!</v>
      </c>
      <c r="I277" s="742"/>
      <c r="J277" s="742"/>
      <c r="K277" s="742"/>
      <c r="L277" s="743"/>
    </row>
    <row r="278" spans="1:12">
      <c r="A278" s="40"/>
      <c r="B278" s="744" t="s">
        <v>247</v>
      </c>
      <c r="C278" s="744"/>
      <c r="D278" s="744"/>
      <c r="E278" s="744"/>
      <c r="F278" s="744"/>
      <c r="G278" s="744"/>
      <c r="H278" s="837" t="e">
        <f>'0422Master'!#REF!</f>
        <v>#REF!</v>
      </c>
      <c r="I278" s="742"/>
      <c r="J278" s="742"/>
      <c r="K278" s="742"/>
      <c r="L278" s="743"/>
    </row>
    <row r="279" spans="1:12">
      <c r="A279" s="40"/>
      <c r="B279" s="114" t="s">
        <v>248</v>
      </c>
      <c r="C279" s="221"/>
      <c r="D279" s="221"/>
      <c r="E279" s="221"/>
      <c r="F279" s="221"/>
      <c r="G279" s="221"/>
      <c r="H279" s="838" t="s">
        <v>249</v>
      </c>
      <c r="I279" s="839"/>
      <c r="J279" s="839"/>
      <c r="K279" s="839"/>
      <c r="L279" s="840"/>
    </row>
    <row r="280" spans="1:12">
      <c r="A280" s="40"/>
      <c r="B280" s="114" t="s">
        <v>250</v>
      </c>
      <c r="C280" s="221"/>
      <c r="D280" s="221"/>
      <c r="E280" s="221"/>
      <c r="F280" s="221"/>
      <c r="G280" s="221"/>
      <c r="H280" s="418"/>
      <c r="I280" s="414"/>
      <c r="J280" s="189"/>
      <c r="K280" s="414"/>
      <c r="L280" s="415"/>
    </row>
    <row r="281" spans="1:12">
      <c r="A281" s="40"/>
      <c r="B281" s="755" t="s">
        <v>251</v>
      </c>
      <c r="C281" s="755"/>
      <c r="D281" s="755"/>
      <c r="E281" s="755"/>
      <c r="F281" s="755"/>
      <c r="G281" s="755"/>
      <c r="H281" s="756" t="e">
        <f>'0422Master'!#REF!</f>
        <v>#REF!</v>
      </c>
      <c r="I281" s="757"/>
      <c r="J281" s="757"/>
      <c r="K281" s="757"/>
      <c r="L281" s="758"/>
    </row>
    <row r="282" spans="1:12">
      <c r="A282" s="40"/>
      <c r="B282" s="744"/>
      <c r="C282" s="744"/>
      <c r="D282" s="744"/>
      <c r="E282" s="744"/>
      <c r="F282" s="744"/>
      <c r="G282" s="744"/>
      <c r="H282" s="751" t="e">
        <f>'0422Master'!#REF!</f>
        <v>#REF!</v>
      </c>
      <c r="I282" s="742"/>
      <c r="J282" s="742"/>
      <c r="K282" s="742"/>
      <c r="L282" s="743"/>
    </row>
    <row r="283" spans="1:12">
      <c r="A283" s="40"/>
      <c r="B283" s="744"/>
      <c r="C283" s="744"/>
      <c r="D283" s="744"/>
      <c r="E283" s="744"/>
      <c r="F283" s="744"/>
      <c r="G283" s="744"/>
      <c r="H283" s="741" t="e">
        <f>'0422Master'!#REF!</f>
        <v>#REF!</v>
      </c>
      <c r="I283" s="742"/>
      <c r="J283" s="742"/>
      <c r="K283" s="742"/>
      <c r="L283" s="743"/>
    </row>
    <row r="284" spans="1:12">
      <c r="A284" s="40"/>
      <c r="B284" s="100"/>
      <c r="C284" s="100"/>
      <c r="D284" s="100"/>
      <c r="E284" s="100"/>
      <c r="F284" s="27"/>
      <c r="G284" s="108" t="s">
        <v>279</v>
      </c>
      <c r="H284" s="108"/>
      <c r="I284" s="108"/>
      <c r="J284" s="108"/>
      <c r="K284" s="108"/>
      <c r="L284" s="109"/>
    </row>
    <row r="285" spans="1:12">
      <c r="A285" s="40"/>
      <c r="B285" s="193" t="s">
        <v>253</v>
      </c>
      <c r="C285" s="412"/>
      <c r="D285" s="412"/>
      <c r="E285" s="412"/>
      <c r="F285" s="412"/>
      <c r="G285" s="412"/>
      <c r="H285" s="411"/>
      <c r="I285" s="411"/>
      <c r="J285" s="411"/>
      <c r="K285" s="411"/>
      <c r="L285" s="195"/>
    </row>
    <row r="286" spans="1:12">
      <c r="A286" s="40"/>
      <c r="B286" s="193" t="s">
        <v>254</v>
      </c>
      <c r="C286" s="412"/>
      <c r="D286" s="412"/>
      <c r="E286" s="412"/>
      <c r="F286" s="412"/>
      <c r="G286" s="412"/>
      <c r="H286" s="411"/>
      <c r="I286" s="411"/>
      <c r="J286" s="410"/>
      <c r="K286" s="411"/>
      <c r="L286" s="195"/>
    </row>
    <row r="287" spans="1:12" ht="45">
      <c r="A287" s="113"/>
      <c r="B287" s="114" t="s">
        <v>255</v>
      </c>
      <c r="C287" s="221"/>
      <c r="D287" s="419"/>
      <c r="E287" s="413" t="s">
        <v>256</v>
      </c>
      <c r="F287" s="80"/>
      <c r="G287" s="832" t="s">
        <v>257</v>
      </c>
      <c r="H287" s="833"/>
      <c r="I287" s="479" t="s">
        <v>258</v>
      </c>
      <c r="J287" s="477" t="s">
        <v>259</v>
      </c>
      <c r="K287" s="832" t="s">
        <v>260</v>
      </c>
      <c r="L287" s="834"/>
    </row>
    <row r="288" spans="1:12">
      <c r="A288" s="113"/>
      <c r="B288" s="187">
        <v>1</v>
      </c>
      <c r="C288" s="221"/>
      <c r="D288" s="221"/>
      <c r="E288" s="188">
        <v>2</v>
      </c>
      <c r="F288" s="222"/>
      <c r="G288" s="188">
        <v>3</v>
      </c>
      <c r="H288" s="419"/>
      <c r="I288" s="419">
        <v>4</v>
      </c>
      <c r="J288" s="448">
        <v>5</v>
      </c>
      <c r="K288" s="115"/>
      <c r="L288" s="116">
        <v>6</v>
      </c>
    </row>
    <row r="289" spans="1:12">
      <c r="A289" s="113"/>
      <c r="B289" s="114" t="e">
        <f>'0422Master'!#REF!</f>
        <v>#REF!</v>
      </c>
      <c r="C289" s="202"/>
      <c r="D289" s="203"/>
      <c r="E289" s="204" t="s">
        <v>280</v>
      </c>
      <c r="F289" s="203"/>
      <c r="G289" s="204" t="s">
        <v>262</v>
      </c>
      <c r="H289" s="80"/>
      <c r="I289" s="308" t="s">
        <v>281</v>
      </c>
      <c r="J289" s="478">
        <v>1</v>
      </c>
      <c r="K289" s="205" t="s">
        <v>109</v>
      </c>
      <c r="L289" s="211"/>
    </row>
    <row r="290" spans="1:12">
      <c r="A290" s="113"/>
      <c r="B290" s="114"/>
      <c r="C290" s="202"/>
      <c r="D290" s="203"/>
      <c r="E290" s="204"/>
      <c r="F290" s="203"/>
      <c r="G290" s="204"/>
      <c r="H290" s="80"/>
      <c r="I290" s="308"/>
      <c r="J290" s="308"/>
      <c r="K290" s="205"/>
      <c r="L290" s="211"/>
    </row>
    <row r="291" spans="1:12">
      <c r="A291" s="113"/>
      <c r="B291" s="114"/>
      <c r="C291" s="202"/>
      <c r="D291" s="203"/>
      <c r="E291" s="204"/>
      <c r="F291" s="203"/>
      <c r="G291" s="204"/>
      <c r="H291" s="80"/>
      <c r="I291" s="308"/>
      <c r="J291" s="308"/>
      <c r="K291" s="205"/>
      <c r="L291" s="211"/>
    </row>
    <row r="292" spans="1:12">
      <c r="A292" s="113"/>
      <c r="B292" s="86"/>
      <c r="C292" s="46"/>
      <c r="D292" s="87"/>
      <c r="E292" s="204"/>
      <c r="F292" s="203"/>
      <c r="G292" s="204"/>
      <c r="H292" s="80"/>
      <c r="I292" s="308"/>
      <c r="J292" s="308"/>
      <c r="K292" s="205"/>
      <c r="L292" s="211"/>
    </row>
    <row r="293" spans="1:12">
      <c r="A293" s="113"/>
      <c r="B293" s="27" t="s">
        <v>264</v>
      </c>
      <c r="C293" s="27"/>
      <c r="D293" s="27"/>
      <c r="E293" s="27"/>
      <c r="F293" s="27"/>
      <c r="G293" s="27"/>
      <c r="H293" s="27"/>
      <c r="I293" s="27"/>
      <c r="J293" s="27"/>
      <c r="K293" s="27"/>
      <c r="L293" s="41"/>
    </row>
    <row r="294" spans="1:12">
      <c r="A294" s="40"/>
      <c r="B294" s="27" t="s">
        <v>265</v>
      </c>
      <c r="C294" s="27"/>
      <c r="D294" s="27"/>
      <c r="E294" s="27"/>
      <c r="F294" s="27"/>
      <c r="G294" s="27"/>
      <c r="H294" s="27"/>
      <c r="I294" s="27"/>
      <c r="J294" s="27"/>
      <c r="K294" s="27"/>
      <c r="L294" s="41"/>
    </row>
    <row r="295" spans="1:12">
      <c r="A295" s="40"/>
      <c r="B295" s="27" t="s">
        <v>282</v>
      </c>
      <c r="C295" s="27"/>
      <c r="D295" s="27"/>
      <c r="E295" s="27"/>
      <c r="F295" s="27"/>
      <c r="G295" s="27"/>
      <c r="H295" s="27"/>
      <c r="I295" s="27"/>
      <c r="J295" s="27" t="s">
        <v>283</v>
      </c>
      <c r="K295" s="27"/>
      <c r="L295" s="41"/>
    </row>
    <row r="296" spans="1:12">
      <c r="A296" s="40"/>
      <c r="B296" s="100"/>
      <c r="C296" s="100"/>
      <c r="D296" s="100"/>
      <c r="E296" s="100"/>
      <c r="F296" s="27"/>
      <c r="G296" s="108" t="s">
        <v>284</v>
      </c>
      <c r="H296" s="108"/>
      <c r="I296" s="108"/>
      <c r="J296" s="108"/>
      <c r="K296" s="108"/>
      <c r="L296" s="109"/>
    </row>
    <row r="297" spans="1:12">
      <c r="A297" s="40"/>
      <c r="B297" s="108"/>
      <c r="C297" s="100"/>
      <c r="D297" s="100"/>
      <c r="E297" s="100"/>
      <c r="F297" s="100"/>
      <c r="G297" s="27" t="s">
        <v>285</v>
      </c>
      <c r="H297" s="108"/>
      <c r="I297" s="108"/>
      <c r="J297" s="108"/>
      <c r="K297" s="108"/>
      <c r="L297" s="109"/>
    </row>
    <row r="298" spans="1:12">
      <c r="A298" s="40"/>
      <c r="B298" s="193" t="s">
        <v>286</v>
      </c>
      <c r="C298" s="412"/>
      <c r="D298" s="412"/>
      <c r="E298" s="412"/>
      <c r="F298" s="412"/>
      <c r="G298" s="412"/>
      <c r="H298" s="411"/>
      <c r="I298" s="411"/>
      <c r="J298" s="411"/>
      <c r="K298" s="411"/>
      <c r="L298" s="195"/>
    </row>
    <row r="299" spans="1:12">
      <c r="A299" s="40"/>
      <c r="B299" s="193" t="s">
        <v>287</v>
      </c>
      <c r="C299" s="412"/>
      <c r="D299" s="412"/>
      <c r="E299" s="412"/>
      <c r="F299" s="412"/>
      <c r="G299" s="412"/>
      <c r="H299" s="411"/>
      <c r="I299" s="411"/>
      <c r="J299" s="410"/>
      <c r="K299" s="411"/>
      <c r="L299" s="195"/>
    </row>
    <row r="300" spans="1:12">
      <c r="A300" s="40"/>
      <c r="B300" s="114" t="s">
        <v>59</v>
      </c>
      <c r="C300" s="854" t="s">
        <v>288</v>
      </c>
      <c r="D300" s="830"/>
      <c r="E300" s="830"/>
      <c r="F300" s="830"/>
      <c r="G300" s="830"/>
      <c r="H300" s="855"/>
      <c r="I300" s="416" t="s">
        <v>188</v>
      </c>
      <c r="J300" s="856" t="s">
        <v>289</v>
      </c>
      <c r="K300" s="857"/>
      <c r="L300" s="858"/>
    </row>
    <row r="301" spans="1:12">
      <c r="A301" s="40"/>
      <c r="B301" s="187">
        <v>1</v>
      </c>
      <c r="C301" s="220"/>
      <c r="D301" s="414"/>
      <c r="E301" s="186">
        <v>2</v>
      </c>
      <c r="F301" s="79"/>
      <c r="G301" s="850"/>
      <c r="H301" s="833"/>
      <c r="I301" s="414">
        <v>3</v>
      </c>
      <c r="J301" s="208" t="s">
        <v>290</v>
      </c>
      <c r="K301" s="859">
        <v>4</v>
      </c>
      <c r="L301" s="860"/>
    </row>
    <row r="302" spans="1:12">
      <c r="A302" s="40"/>
      <c r="B302" s="114"/>
      <c r="C302" s="220"/>
      <c r="D302" s="414"/>
      <c r="E302" s="186"/>
      <c r="F302" s="79"/>
      <c r="G302" s="850"/>
      <c r="H302" s="833"/>
      <c r="I302" s="205"/>
      <c r="J302" s="207"/>
      <c r="K302" s="850"/>
      <c r="L302" s="834"/>
    </row>
    <row r="303" spans="1:12">
      <c r="A303" s="40"/>
      <c r="B303" s="114"/>
      <c r="C303" s="220"/>
      <c r="D303" s="414"/>
      <c r="E303" s="186"/>
      <c r="F303" s="79"/>
      <c r="G303" s="850"/>
      <c r="H303" s="833"/>
      <c r="I303" s="205"/>
      <c r="J303" s="207"/>
      <c r="K303" s="850"/>
      <c r="L303" s="834"/>
    </row>
    <row r="304" spans="1:12">
      <c r="A304" s="40"/>
      <c r="B304" s="114"/>
      <c r="C304" s="220"/>
      <c r="D304" s="414"/>
      <c r="E304" s="186"/>
      <c r="F304" s="79"/>
      <c r="G304" s="850"/>
      <c r="H304" s="833"/>
      <c r="I304" s="205"/>
      <c r="J304" s="207"/>
      <c r="K304" s="850"/>
      <c r="L304" s="834"/>
    </row>
    <row r="305" spans="1:12">
      <c r="A305" s="40"/>
      <c r="B305" s="86"/>
      <c r="C305" s="220"/>
      <c r="D305" s="414"/>
      <c r="E305" s="186"/>
      <c r="F305" s="79"/>
      <c r="G305" s="850"/>
      <c r="H305" s="833"/>
      <c r="I305" s="205"/>
      <c r="J305" s="207"/>
      <c r="K305" s="850"/>
      <c r="L305" s="834"/>
    </row>
    <row r="306" spans="1:12">
      <c r="A306" s="40"/>
      <c r="B306" s="27" t="s">
        <v>291</v>
      </c>
      <c r="C306" s="27"/>
      <c r="D306" s="27"/>
      <c r="E306" s="27"/>
      <c r="F306" s="27"/>
      <c r="G306" s="27"/>
      <c r="H306" s="27"/>
      <c r="I306" s="27"/>
      <c r="J306" s="27"/>
      <c r="K306" s="27"/>
      <c r="L306" s="41"/>
    </row>
    <row r="307" spans="1:12">
      <c r="A307" s="40"/>
      <c r="B307" s="27" t="s">
        <v>292</v>
      </c>
      <c r="C307" s="27"/>
      <c r="D307" s="27"/>
      <c r="E307" s="27"/>
      <c r="F307" s="27"/>
      <c r="G307" s="27"/>
      <c r="H307" s="27"/>
      <c r="I307" s="27"/>
      <c r="J307" s="27"/>
      <c r="K307" s="27"/>
      <c r="L307" s="41"/>
    </row>
    <row r="308" spans="1:12">
      <c r="A308" s="40"/>
      <c r="B308" s="27" t="s">
        <v>293</v>
      </c>
      <c r="C308" s="27"/>
      <c r="D308" s="27"/>
      <c r="E308" s="27"/>
      <c r="F308" s="27"/>
      <c r="G308" s="27"/>
      <c r="H308" s="27"/>
      <c r="I308" s="27"/>
      <c r="J308" s="27"/>
      <c r="K308" s="27"/>
      <c r="L308" s="41"/>
    </row>
    <row r="309" spans="1:12">
      <c r="A309" s="40"/>
      <c r="B309" s="209" t="s">
        <v>294</v>
      </c>
      <c r="C309" s="27"/>
      <c r="D309" s="27"/>
      <c r="E309" s="27"/>
      <c r="F309" s="27"/>
      <c r="G309" s="27"/>
      <c r="H309" s="27"/>
      <c r="I309" s="27"/>
      <c r="J309" s="27"/>
      <c r="K309" s="27"/>
      <c r="L309" s="41"/>
    </row>
    <row r="310" spans="1:12">
      <c r="A310" s="40"/>
      <c r="B310" s="204" t="s">
        <v>295</v>
      </c>
      <c r="C310" s="79"/>
      <c r="D310" s="79"/>
      <c r="E310" s="79"/>
      <c r="F310" s="80"/>
      <c r="G310" s="204" t="s">
        <v>258</v>
      </c>
      <c r="H310" s="80"/>
      <c r="I310" s="204" t="s">
        <v>296</v>
      </c>
      <c r="J310" s="79"/>
      <c r="K310" s="80"/>
      <c r="L310" s="41"/>
    </row>
    <row r="311" spans="1:12">
      <c r="A311" s="40"/>
      <c r="B311" s="835"/>
      <c r="C311" s="849"/>
      <c r="D311" s="849"/>
      <c r="E311" s="849"/>
      <c r="F311" s="836"/>
      <c r="G311" s="835"/>
      <c r="H311" s="836"/>
      <c r="I311" s="835"/>
      <c r="J311" s="849"/>
      <c r="K311" s="836"/>
      <c r="L311" s="41"/>
    </row>
    <row r="312" spans="1:12" ht="27.95" customHeight="1">
      <c r="A312" s="40"/>
      <c r="B312" s="835"/>
      <c r="C312" s="849"/>
      <c r="D312" s="849"/>
      <c r="E312" s="849"/>
      <c r="F312" s="836"/>
      <c r="G312" s="835"/>
      <c r="H312" s="836"/>
      <c r="I312" s="835"/>
      <c r="J312" s="849"/>
      <c r="K312" s="836"/>
      <c r="L312" s="41"/>
    </row>
    <row r="313" spans="1:12" ht="27.95" customHeight="1">
      <c r="A313" s="40"/>
      <c r="B313" s="835"/>
      <c r="C313" s="849"/>
      <c r="D313" s="849"/>
      <c r="E313" s="849"/>
      <c r="F313" s="836"/>
      <c r="G313" s="835"/>
      <c r="H313" s="836"/>
      <c r="I313" s="835"/>
      <c r="J313" s="849"/>
      <c r="K313" s="836"/>
      <c r="L313" s="41"/>
    </row>
    <row r="314" spans="1:12" ht="27.95" customHeight="1">
      <c r="A314" s="40"/>
      <c r="B314" s="835"/>
      <c r="C314" s="849"/>
      <c r="D314" s="849"/>
      <c r="E314" s="849"/>
      <c r="F314" s="836"/>
      <c r="G314" s="835"/>
      <c r="H314" s="836"/>
      <c r="I314" s="835"/>
      <c r="J314" s="849"/>
      <c r="K314" s="836"/>
      <c r="L314" s="41"/>
    </row>
    <row r="315" spans="1:12" ht="27.95" customHeight="1">
      <c r="A315" s="40"/>
      <c r="B315" s="27"/>
      <c r="C315" s="27"/>
      <c r="D315" s="27"/>
      <c r="E315" s="27"/>
      <c r="F315" s="27"/>
      <c r="G315" s="27"/>
      <c r="H315" s="27"/>
      <c r="I315" s="27"/>
      <c r="J315" s="27"/>
      <c r="K315" s="27"/>
      <c r="L315" s="41"/>
    </row>
    <row r="316" spans="1:12" ht="27.95" customHeight="1">
      <c r="A316" s="40"/>
      <c r="B316" s="27" t="s">
        <v>274</v>
      </c>
      <c r="C316" s="297" t="e">
        <f>'0422Master'!#REF!</f>
        <v>#REF!</v>
      </c>
      <c r="D316" s="27"/>
      <c r="E316" s="27"/>
      <c r="F316" s="27"/>
      <c r="G316" s="27"/>
      <c r="H316" s="27"/>
      <c r="I316" s="27" t="s">
        <v>297</v>
      </c>
      <c r="J316" s="27"/>
      <c r="K316" s="27"/>
      <c r="L316" s="41"/>
    </row>
    <row r="317" spans="1:12" ht="27.95" customHeight="1">
      <c r="A317" s="40"/>
      <c r="B317" s="27"/>
      <c r="C317" s="27"/>
      <c r="D317" s="27"/>
      <c r="E317" s="27"/>
      <c r="F317" s="190" t="s">
        <v>268</v>
      </c>
      <c r="G317" s="27"/>
      <c r="H317" s="27"/>
      <c r="I317" s="27"/>
      <c r="J317" s="27"/>
      <c r="K317" s="27"/>
      <c r="L317" s="41"/>
    </row>
    <row r="318" spans="1:12" ht="27.95" customHeight="1">
      <c r="A318" s="40" t="s">
        <v>269</v>
      </c>
      <c r="B318" s="27"/>
      <c r="C318" s="27"/>
      <c r="D318" s="27"/>
      <c r="E318" s="27"/>
      <c r="F318" s="27"/>
      <c r="G318" s="27"/>
      <c r="H318" s="27"/>
      <c r="I318" s="27"/>
      <c r="J318" s="27"/>
      <c r="K318" s="243" t="e">
        <f>'0422Master'!#REF!</f>
        <v>#REF!</v>
      </c>
      <c r="L318" s="41"/>
    </row>
    <row r="319" spans="1:12" ht="27.95" customHeight="1">
      <c r="A319" s="40" t="s">
        <v>270</v>
      </c>
      <c r="B319" s="27"/>
      <c r="C319" s="27"/>
      <c r="D319" s="27"/>
      <c r="E319" s="27"/>
      <c r="F319" s="27"/>
      <c r="G319" s="27"/>
      <c r="H319" s="27"/>
      <c r="I319" s="27"/>
      <c r="J319" s="27"/>
      <c r="K319" s="27"/>
      <c r="L319" s="41"/>
    </row>
    <row r="320" spans="1:12" ht="27.95" customHeight="1">
      <c r="A320" s="40"/>
      <c r="B320" s="27"/>
      <c r="C320" s="27"/>
      <c r="D320" s="27"/>
      <c r="E320" s="27"/>
      <c r="F320" s="27"/>
      <c r="G320" s="27"/>
      <c r="H320" s="27"/>
      <c r="I320" s="27"/>
      <c r="J320" s="27"/>
      <c r="K320" s="27"/>
      <c r="L320" s="41"/>
    </row>
    <row r="321" spans="1:12" ht="27.95" customHeight="1">
      <c r="A321" s="40"/>
      <c r="B321" s="27"/>
      <c r="C321" s="27"/>
      <c r="D321" s="27"/>
      <c r="E321" s="27"/>
      <c r="F321" s="27" t="s">
        <v>271</v>
      </c>
      <c r="G321" s="27"/>
      <c r="H321" s="27"/>
      <c r="I321" s="27"/>
      <c r="J321" s="27"/>
      <c r="K321" s="27"/>
      <c r="L321" s="41"/>
    </row>
    <row r="322" spans="1:12" ht="27.95" customHeight="1">
      <c r="A322" s="40" t="s">
        <v>272</v>
      </c>
      <c r="B322" s="27" t="s">
        <v>273</v>
      </c>
      <c r="C322" s="27"/>
      <c r="D322" s="27"/>
      <c r="E322" s="27"/>
      <c r="F322" s="27" t="str">
        <f>'0422Master'!F5</f>
        <v>Burgeon IT Services Pvt.Ltd.</v>
      </c>
      <c r="G322" s="27"/>
      <c r="H322" s="27"/>
      <c r="I322" s="27"/>
      <c r="J322" s="27"/>
      <c r="K322" s="27"/>
      <c r="L322" s="41"/>
    </row>
    <row r="323" spans="1:12" ht="27.95" customHeight="1" thickBot="1">
      <c r="A323" s="54" t="s">
        <v>274</v>
      </c>
      <c r="B323" s="300" t="e">
        <f>'0422Master'!#REF!</f>
        <v>#REF!</v>
      </c>
      <c r="C323" s="52"/>
      <c r="D323" s="52"/>
      <c r="E323" s="52"/>
      <c r="F323" s="191" t="str">
        <f>'0422Master'!F6</f>
        <v>Siri Mansion LIGB 436 Dr.A S Rao Nagar,Hyderabad</v>
      </c>
      <c r="G323" s="191"/>
      <c r="H323" s="191"/>
      <c r="I323" s="191"/>
      <c r="J323" s="191"/>
      <c r="K323" s="191"/>
      <c r="L323" s="53"/>
    </row>
    <row r="324" spans="1:12" ht="27.95" customHeight="1" thickBot="1">
      <c r="A324" s="40"/>
      <c r="B324" s="297"/>
      <c r="C324" s="27"/>
      <c r="D324" s="27"/>
      <c r="E324" s="27"/>
      <c r="F324" s="192"/>
      <c r="G324" s="192"/>
      <c r="H324" s="192"/>
      <c r="I324" s="192"/>
      <c r="J324" s="192"/>
      <c r="K324" s="192"/>
      <c r="L324" s="41"/>
    </row>
    <row r="325" spans="1:12" ht="27.95" customHeight="1">
      <c r="A325" s="128"/>
      <c r="B325" s="97"/>
      <c r="C325" s="97"/>
      <c r="D325" s="196"/>
      <c r="E325" s="196"/>
      <c r="F325" s="196"/>
      <c r="G325" s="196"/>
      <c r="H325" s="196"/>
      <c r="I325" s="196"/>
      <c r="J325" s="97"/>
      <c r="K325" s="198" t="s">
        <v>275</v>
      </c>
      <c r="L325" s="197"/>
    </row>
    <row r="326" spans="1:12" ht="27.95" customHeight="1">
      <c r="A326" s="40"/>
      <c r="B326" s="851" t="s">
        <v>276</v>
      </c>
      <c r="C326" s="851"/>
      <c r="D326" s="851"/>
      <c r="E326" s="851"/>
      <c r="F326" s="851"/>
      <c r="G326" s="851"/>
      <c r="H326" s="851"/>
      <c r="I326" s="851"/>
      <c r="J326" s="851"/>
      <c r="K326" s="851"/>
      <c r="L326" s="852"/>
    </row>
    <row r="327" spans="1:12" ht="27.95" customHeight="1">
      <c r="A327" s="40"/>
      <c r="B327" s="846" t="s">
        <v>277</v>
      </c>
      <c r="C327" s="846"/>
      <c r="D327" s="846"/>
      <c r="E327" s="846"/>
      <c r="F327" s="846"/>
      <c r="G327" s="846"/>
      <c r="H327" s="846"/>
      <c r="I327" s="846"/>
      <c r="J327" s="846"/>
      <c r="K327" s="846"/>
      <c r="L327" s="853"/>
    </row>
    <row r="328" spans="1:12" ht="27.95" customHeight="1">
      <c r="A328" s="40"/>
      <c r="B328" s="201" t="s">
        <v>278</v>
      </c>
      <c r="C328" s="199"/>
      <c r="D328" s="199"/>
      <c r="E328" s="199"/>
      <c r="F328" s="199"/>
      <c r="G328" s="27"/>
      <c r="H328" s="200"/>
      <c r="I328" s="200"/>
      <c r="J328" s="200"/>
      <c r="K328" s="200"/>
      <c r="L328" s="210"/>
    </row>
    <row r="329" spans="1:12" ht="27.95" customHeight="1">
      <c r="A329" s="40"/>
      <c r="B329" s="199"/>
      <c r="C329" s="199"/>
      <c r="D329" s="199"/>
      <c r="E329" s="199"/>
      <c r="F329" s="199"/>
      <c r="G329" s="27"/>
      <c r="H329" s="200"/>
      <c r="I329" s="200"/>
      <c r="J329" s="200"/>
      <c r="K329" s="200"/>
      <c r="L329" s="210"/>
    </row>
    <row r="330" spans="1:12" ht="27.95" customHeight="1">
      <c r="A330" s="40"/>
      <c r="B330" s="744" t="s">
        <v>244</v>
      </c>
      <c r="C330" s="744"/>
      <c r="D330" s="744"/>
      <c r="E330" s="744"/>
      <c r="F330" s="744"/>
      <c r="G330" s="744"/>
      <c r="H330" s="741">
        <f>'0422Master'!B16</f>
        <v>0</v>
      </c>
      <c r="I330" s="742"/>
      <c r="J330" s="742"/>
      <c r="K330" s="742"/>
      <c r="L330" s="743"/>
    </row>
    <row r="331" spans="1:12">
      <c r="A331" s="40"/>
      <c r="B331" s="740" t="s">
        <v>245</v>
      </c>
      <c r="C331" s="740"/>
      <c r="D331" s="740"/>
      <c r="E331" s="740"/>
      <c r="F331" s="740"/>
      <c r="G331" s="740"/>
      <c r="H331" s="741">
        <f>'0422Master'!E16</f>
        <v>0</v>
      </c>
      <c r="I331" s="742"/>
      <c r="J331" s="742"/>
      <c r="K331" s="742"/>
      <c r="L331" s="743"/>
    </row>
    <row r="332" spans="1:12">
      <c r="A332" s="40"/>
      <c r="B332" s="744" t="s">
        <v>246</v>
      </c>
      <c r="C332" s="744"/>
      <c r="D332" s="744"/>
      <c r="E332" s="744"/>
      <c r="F332" s="744"/>
      <c r="G332" s="744"/>
      <c r="H332" s="741">
        <f>'0422Master'!C16</f>
        <v>0</v>
      </c>
      <c r="I332" s="742"/>
      <c r="J332" s="742"/>
      <c r="K332" s="742"/>
      <c r="L332" s="743"/>
    </row>
    <row r="333" spans="1:12">
      <c r="A333" s="40"/>
      <c r="B333" s="744" t="s">
        <v>247</v>
      </c>
      <c r="C333" s="744"/>
      <c r="D333" s="744"/>
      <c r="E333" s="744"/>
      <c r="F333" s="744"/>
      <c r="G333" s="744"/>
      <c r="H333" s="837">
        <f>'0422Master'!D16</f>
        <v>0</v>
      </c>
      <c r="I333" s="742"/>
      <c r="J333" s="742"/>
      <c r="K333" s="742"/>
      <c r="L333" s="743"/>
    </row>
    <row r="334" spans="1:12">
      <c r="A334" s="40"/>
      <c r="B334" s="114" t="s">
        <v>248</v>
      </c>
      <c r="C334" s="221"/>
      <c r="D334" s="221"/>
      <c r="E334" s="221"/>
      <c r="F334" s="221"/>
      <c r="G334" s="221"/>
      <c r="H334" s="838" t="s">
        <v>249</v>
      </c>
      <c r="I334" s="839"/>
      <c r="J334" s="839"/>
      <c r="K334" s="839"/>
      <c r="L334" s="840"/>
    </row>
    <row r="335" spans="1:12">
      <c r="A335" s="40"/>
      <c r="B335" s="114" t="s">
        <v>250</v>
      </c>
      <c r="C335" s="221"/>
      <c r="D335" s="221"/>
      <c r="E335" s="221"/>
      <c r="F335" s="221"/>
      <c r="G335" s="221"/>
      <c r="H335" s="418"/>
      <c r="I335" s="414"/>
      <c r="J335" s="189"/>
      <c r="K335" s="414"/>
      <c r="L335" s="415"/>
    </row>
    <row r="336" spans="1:12">
      <c r="A336" s="40"/>
      <c r="B336" s="755" t="s">
        <v>251</v>
      </c>
      <c r="C336" s="755"/>
      <c r="D336" s="755"/>
      <c r="E336" s="755"/>
      <c r="F336" s="755"/>
      <c r="G336" s="755"/>
      <c r="H336" s="756">
        <f>'0422Master'!G16</f>
        <v>0</v>
      </c>
      <c r="I336" s="757"/>
      <c r="J336" s="757"/>
      <c r="K336" s="757"/>
      <c r="L336" s="758"/>
    </row>
    <row r="337" spans="1:12">
      <c r="A337" s="40"/>
      <c r="B337" s="744"/>
      <c r="C337" s="744"/>
      <c r="D337" s="744"/>
      <c r="E337" s="744"/>
      <c r="F337" s="744"/>
      <c r="G337" s="744"/>
      <c r="H337" s="751">
        <f>'0422Master'!H16</f>
        <v>0</v>
      </c>
      <c r="I337" s="742"/>
      <c r="J337" s="742"/>
      <c r="K337" s="742"/>
      <c r="L337" s="743"/>
    </row>
    <row r="338" spans="1:12">
      <c r="A338" s="40"/>
      <c r="B338" s="744"/>
      <c r="C338" s="744"/>
      <c r="D338" s="744"/>
      <c r="E338" s="744"/>
      <c r="F338" s="744"/>
      <c r="G338" s="744"/>
      <c r="H338" s="741">
        <f>'0422Master'!I16</f>
        <v>0</v>
      </c>
      <c r="I338" s="742"/>
      <c r="J338" s="742"/>
      <c r="K338" s="742"/>
      <c r="L338" s="743"/>
    </row>
    <row r="339" spans="1:12">
      <c r="A339" s="40"/>
      <c r="B339" s="100"/>
      <c r="C339" s="100"/>
      <c r="D339" s="100"/>
      <c r="E339" s="100"/>
      <c r="F339" s="27"/>
      <c r="G339" s="108" t="s">
        <v>279</v>
      </c>
      <c r="H339" s="108"/>
      <c r="I339" s="108"/>
      <c r="J339" s="108"/>
      <c r="K339" s="108"/>
      <c r="L339" s="109"/>
    </row>
    <row r="340" spans="1:12">
      <c r="A340" s="40"/>
      <c r="B340" s="193" t="s">
        <v>253</v>
      </c>
      <c r="C340" s="412"/>
      <c r="D340" s="412"/>
      <c r="E340" s="412"/>
      <c r="F340" s="412"/>
      <c r="G340" s="412"/>
      <c r="H340" s="411"/>
      <c r="I340" s="411"/>
      <c r="J340" s="411"/>
      <c r="K340" s="411"/>
      <c r="L340" s="195"/>
    </row>
    <row r="341" spans="1:12">
      <c r="A341" s="40"/>
      <c r="B341" s="193" t="s">
        <v>254</v>
      </c>
      <c r="C341" s="412"/>
      <c r="D341" s="412"/>
      <c r="E341" s="412"/>
      <c r="F341" s="412"/>
      <c r="G341" s="412"/>
      <c r="H341" s="411"/>
      <c r="I341" s="411"/>
      <c r="J341" s="410"/>
      <c r="K341" s="411"/>
      <c r="L341" s="195"/>
    </row>
    <row r="342" spans="1:12" ht="45">
      <c r="A342" s="113"/>
      <c r="B342" s="114" t="s">
        <v>255</v>
      </c>
      <c r="C342" s="221"/>
      <c r="D342" s="419"/>
      <c r="E342" s="413" t="s">
        <v>256</v>
      </c>
      <c r="F342" s="80"/>
      <c r="G342" s="832" t="s">
        <v>257</v>
      </c>
      <c r="H342" s="833"/>
      <c r="I342" s="479" t="s">
        <v>258</v>
      </c>
      <c r="J342" s="477" t="s">
        <v>259</v>
      </c>
      <c r="K342" s="832" t="s">
        <v>260</v>
      </c>
      <c r="L342" s="834"/>
    </row>
    <row r="343" spans="1:12">
      <c r="A343" s="113"/>
      <c r="B343" s="187">
        <v>1</v>
      </c>
      <c r="C343" s="221"/>
      <c r="D343" s="221"/>
      <c r="E343" s="188">
        <v>2</v>
      </c>
      <c r="F343" s="222"/>
      <c r="G343" s="188">
        <v>3</v>
      </c>
      <c r="H343" s="419"/>
      <c r="I343" s="419">
        <v>4</v>
      </c>
      <c r="J343" s="448">
        <v>5</v>
      </c>
      <c r="K343" s="115"/>
      <c r="L343" s="116">
        <v>6</v>
      </c>
    </row>
    <row r="344" spans="1:12">
      <c r="A344" s="113"/>
      <c r="B344" s="114">
        <f>'0422Master'!E16</f>
        <v>0</v>
      </c>
      <c r="C344" s="202"/>
      <c r="D344" s="203"/>
      <c r="E344" s="204" t="s">
        <v>280</v>
      </c>
      <c r="F344" s="203"/>
      <c r="G344" s="204" t="s">
        <v>262</v>
      </c>
      <c r="H344" s="80"/>
      <c r="I344" s="308" t="s">
        <v>281</v>
      </c>
      <c r="J344" s="478">
        <v>1</v>
      </c>
      <c r="K344" s="205" t="s">
        <v>109</v>
      </c>
      <c r="L344" s="211"/>
    </row>
    <row r="345" spans="1:12">
      <c r="A345" s="113"/>
      <c r="B345" s="114"/>
      <c r="C345" s="202"/>
      <c r="D345" s="203"/>
      <c r="E345" s="204"/>
      <c r="F345" s="203"/>
      <c r="G345" s="204"/>
      <c r="H345" s="80"/>
      <c r="I345" s="308"/>
      <c r="J345" s="308"/>
      <c r="K345" s="205"/>
      <c r="L345" s="211"/>
    </row>
    <row r="346" spans="1:12">
      <c r="A346" s="113"/>
      <c r="B346" s="114"/>
      <c r="C346" s="202"/>
      <c r="D346" s="203"/>
      <c r="E346" s="204"/>
      <c r="F346" s="203"/>
      <c r="G346" s="204"/>
      <c r="H346" s="80"/>
      <c r="I346" s="308"/>
      <c r="J346" s="308"/>
      <c r="K346" s="205"/>
      <c r="L346" s="211"/>
    </row>
    <row r="347" spans="1:12">
      <c r="A347" s="113"/>
      <c r="B347" s="86"/>
      <c r="C347" s="46"/>
      <c r="D347" s="87"/>
      <c r="E347" s="204"/>
      <c r="F347" s="203"/>
      <c r="G347" s="204"/>
      <c r="H347" s="80"/>
      <c r="I347" s="308"/>
      <c r="J347" s="308"/>
      <c r="K347" s="205"/>
      <c r="L347" s="211"/>
    </row>
    <row r="348" spans="1:12">
      <c r="A348" s="113"/>
      <c r="B348" s="27" t="s">
        <v>264</v>
      </c>
      <c r="C348" s="27"/>
      <c r="D348" s="27"/>
      <c r="E348" s="27"/>
      <c r="F348" s="27"/>
      <c r="G348" s="27"/>
      <c r="H348" s="27"/>
      <c r="I348" s="27"/>
      <c r="J348" s="27"/>
      <c r="K348" s="27"/>
      <c r="L348" s="41"/>
    </row>
    <row r="349" spans="1:12">
      <c r="A349" s="40"/>
      <c r="B349" s="27" t="s">
        <v>265</v>
      </c>
      <c r="C349" s="27"/>
      <c r="D349" s="27"/>
      <c r="E349" s="27"/>
      <c r="F349" s="27"/>
      <c r="G349" s="27"/>
      <c r="H349" s="27"/>
      <c r="I349" s="27"/>
      <c r="J349" s="27"/>
      <c r="K349" s="27"/>
      <c r="L349" s="41"/>
    </row>
    <row r="350" spans="1:12">
      <c r="A350" s="40"/>
      <c r="B350" s="27" t="s">
        <v>282</v>
      </c>
      <c r="C350" s="27"/>
      <c r="D350" s="27"/>
      <c r="E350" s="27"/>
      <c r="F350" s="27"/>
      <c r="G350" s="27"/>
      <c r="H350" s="27"/>
      <c r="I350" s="27"/>
      <c r="J350" s="27" t="s">
        <v>283</v>
      </c>
      <c r="K350" s="27"/>
      <c r="L350" s="41"/>
    </row>
    <row r="351" spans="1:12">
      <c r="A351" s="40"/>
      <c r="B351" s="100"/>
      <c r="C351" s="100"/>
      <c r="D351" s="100"/>
      <c r="E351" s="100"/>
      <c r="F351" s="27"/>
      <c r="G351" s="108" t="s">
        <v>284</v>
      </c>
      <c r="H351" s="108"/>
      <c r="I351" s="108"/>
      <c r="J351" s="108"/>
      <c r="K351" s="108"/>
      <c r="L351" s="109"/>
    </row>
    <row r="352" spans="1:12">
      <c r="A352" s="40"/>
      <c r="B352" s="108"/>
      <c r="C352" s="100"/>
      <c r="D352" s="100"/>
      <c r="E352" s="100"/>
      <c r="F352" s="100"/>
      <c r="G352" s="27" t="s">
        <v>285</v>
      </c>
      <c r="H352" s="108"/>
      <c r="I352" s="108"/>
      <c r="J352" s="108"/>
      <c r="K352" s="108"/>
      <c r="L352" s="109"/>
    </row>
    <row r="353" spans="1:12">
      <c r="A353" s="40"/>
      <c r="B353" s="193" t="s">
        <v>286</v>
      </c>
      <c r="C353" s="412"/>
      <c r="D353" s="412"/>
      <c r="E353" s="412"/>
      <c r="F353" s="412"/>
      <c r="G353" s="412"/>
      <c r="H353" s="411"/>
      <c r="I353" s="411"/>
      <c r="J353" s="411"/>
      <c r="K353" s="411"/>
      <c r="L353" s="195"/>
    </row>
    <row r="354" spans="1:12">
      <c r="A354" s="40"/>
      <c r="B354" s="193" t="s">
        <v>287</v>
      </c>
      <c r="C354" s="412"/>
      <c r="D354" s="412"/>
      <c r="E354" s="412"/>
      <c r="F354" s="412"/>
      <c r="G354" s="412"/>
      <c r="H354" s="411"/>
      <c r="I354" s="411"/>
      <c r="J354" s="410"/>
      <c r="K354" s="411"/>
      <c r="L354" s="195"/>
    </row>
    <row r="355" spans="1:12">
      <c r="A355" s="40"/>
      <c r="B355" s="114" t="s">
        <v>59</v>
      </c>
      <c r="C355" s="854" t="s">
        <v>288</v>
      </c>
      <c r="D355" s="830"/>
      <c r="E355" s="830"/>
      <c r="F355" s="830"/>
      <c r="G355" s="830"/>
      <c r="H355" s="855"/>
      <c r="I355" s="416" t="s">
        <v>188</v>
      </c>
      <c r="J355" s="856" t="s">
        <v>289</v>
      </c>
      <c r="K355" s="857"/>
      <c r="L355" s="858"/>
    </row>
    <row r="356" spans="1:12">
      <c r="A356" s="40"/>
      <c r="B356" s="187">
        <v>1</v>
      </c>
      <c r="C356" s="220"/>
      <c r="D356" s="414"/>
      <c r="E356" s="186">
        <v>2</v>
      </c>
      <c r="F356" s="79"/>
      <c r="G356" s="850"/>
      <c r="H356" s="833"/>
      <c r="I356" s="414">
        <v>3</v>
      </c>
      <c r="J356" s="208" t="s">
        <v>290</v>
      </c>
      <c r="K356" s="859">
        <v>4</v>
      </c>
      <c r="L356" s="860"/>
    </row>
    <row r="357" spans="1:12">
      <c r="A357" s="40"/>
      <c r="B357" s="114"/>
      <c r="C357" s="220"/>
      <c r="D357" s="414"/>
      <c r="E357" s="186"/>
      <c r="F357" s="79"/>
      <c r="G357" s="850"/>
      <c r="H357" s="833"/>
      <c r="I357" s="205"/>
      <c r="J357" s="207"/>
      <c r="K357" s="850"/>
      <c r="L357" s="834"/>
    </row>
    <row r="358" spans="1:12">
      <c r="A358" s="40"/>
      <c r="B358" s="114"/>
      <c r="C358" s="220"/>
      <c r="D358" s="414"/>
      <c r="E358" s="186"/>
      <c r="F358" s="79"/>
      <c r="G358" s="850"/>
      <c r="H358" s="833"/>
      <c r="I358" s="205"/>
      <c r="J358" s="207"/>
      <c r="K358" s="850"/>
      <c r="L358" s="834"/>
    </row>
    <row r="359" spans="1:12">
      <c r="A359" s="40"/>
      <c r="B359" s="114"/>
      <c r="C359" s="220"/>
      <c r="D359" s="414"/>
      <c r="E359" s="186"/>
      <c r="F359" s="79"/>
      <c r="G359" s="850"/>
      <c r="H359" s="833"/>
      <c r="I359" s="205"/>
      <c r="J359" s="207"/>
      <c r="K359" s="850"/>
      <c r="L359" s="834"/>
    </row>
    <row r="360" spans="1:12">
      <c r="A360" s="40"/>
      <c r="B360" s="86"/>
      <c r="C360" s="220"/>
      <c r="D360" s="414"/>
      <c r="E360" s="186"/>
      <c r="F360" s="79"/>
      <c r="G360" s="850"/>
      <c r="H360" s="833"/>
      <c r="I360" s="205"/>
      <c r="J360" s="207"/>
      <c r="K360" s="850"/>
      <c r="L360" s="834"/>
    </row>
    <row r="361" spans="1:12">
      <c r="A361" s="40"/>
      <c r="B361" s="27" t="s">
        <v>291</v>
      </c>
      <c r="C361" s="27"/>
      <c r="D361" s="27"/>
      <c r="E361" s="27"/>
      <c r="F361" s="27"/>
      <c r="G361" s="27"/>
      <c r="H361" s="27"/>
      <c r="I361" s="27"/>
      <c r="J361" s="27"/>
      <c r="K361" s="27"/>
      <c r="L361" s="41"/>
    </row>
    <row r="362" spans="1:12">
      <c r="A362" s="40"/>
      <c r="B362" s="27" t="s">
        <v>292</v>
      </c>
      <c r="C362" s="27"/>
      <c r="D362" s="27"/>
      <c r="E362" s="27"/>
      <c r="F362" s="27"/>
      <c r="G362" s="27"/>
      <c r="H362" s="27"/>
      <c r="I362" s="27"/>
      <c r="J362" s="27"/>
      <c r="K362" s="27"/>
      <c r="L362" s="41"/>
    </row>
    <row r="363" spans="1:12">
      <c r="A363" s="40"/>
      <c r="B363" s="27" t="s">
        <v>293</v>
      </c>
      <c r="C363" s="27"/>
      <c r="D363" s="27"/>
      <c r="E363" s="27"/>
      <c r="F363" s="27"/>
      <c r="G363" s="27"/>
      <c r="H363" s="27"/>
      <c r="I363" s="27"/>
      <c r="J363" s="27"/>
      <c r="K363" s="27"/>
      <c r="L363" s="41"/>
    </row>
    <row r="364" spans="1:12">
      <c r="A364" s="40"/>
      <c r="B364" s="209" t="s">
        <v>294</v>
      </c>
      <c r="C364" s="27"/>
      <c r="D364" s="27"/>
      <c r="E364" s="27"/>
      <c r="F364" s="27"/>
      <c r="G364" s="27"/>
      <c r="H364" s="27"/>
      <c r="I364" s="27"/>
      <c r="J364" s="27"/>
      <c r="K364" s="27"/>
      <c r="L364" s="41"/>
    </row>
    <row r="365" spans="1:12">
      <c r="A365" s="40"/>
      <c r="B365" s="204" t="s">
        <v>295</v>
      </c>
      <c r="C365" s="79"/>
      <c r="D365" s="79"/>
      <c r="E365" s="79"/>
      <c r="F365" s="80"/>
      <c r="G365" s="204" t="s">
        <v>258</v>
      </c>
      <c r="H365" s="80"/>
      <c r="I365" s="204" t="s">
        <v>296</v>
      </c>
      <c r="J365" s="79"/>
      <c r="K365" s="80"/>
      <c r="L365" s="41"/>
    </row>
    <row r="366" spans="1:12" ht="27.95" customHeight="1">
      <c r="A366" s="40"/>
      <c r="B366" s="835"/>
      <c r="C366" s="849"/>
      <c r="D366" s="849"/>
      <c r="E366" s="849"/>
      <c r="F366" s="836"/>
      <c r="G366" s="835"/>
      <c r="H366" s="836"/>
      <c r="I366" s="835"/>
      <c r="J366" s="849"/>
      <c r="K366" s="836"/>
      <c r="L366" s="41"/>
    </row>
    <row r="367" spans="1:12" ht="27.95" customHeight="1">
      <c r="A367" s="40"/>
      <c r="B367" s="835"/>
      <c r="C367" s="849"/>
      <c r="D367" s="849"/>
      <c r="E367" s="849"/>
      <c r="F367" s="836"/>
      <c r="G367" s="835"/>
      <c r="H367" s="836"/>
      <c r="I367" s="835"/>
      <c r="J367" s="849"/>
      <c r="K367" s="836"/>
      <c r="L367" s="41"/>
    </row>
    <row r="368" spans="1:12" ht="27.95" customHeight="1">
      <c r="A368" s="40"/>
      <c r="B368" s="835"/>
      <c r="C368" s="849"/>
      <c r="D368" s="849"/>
      <c r="E368" s="849"/>
      <c r="F368" s="836"/>
      <c r="G368" s="835"/>
      <c r="H368" s="836"/>
      <c r="I368" s="835"/>
      <c r="J368" s="849"/>
      <c r="K368" s="836"/>
      <c r="L368" s="41"/>
    </row>
    <row r="369" spans="1:12" ht="27.95" customHeight="1">
      <c r="A369" s="40"/>
      <c r="B369" s="835"/>
      <c r="C369" s="849"/>
      <c r="D369" s="849"/>
      <c r="E369" s="849"/>
      <c r="F369" s="836"/>
      <c r="G369" s="835"/>
      <c r="H369" s="836"/>
      <c r="I369" s="835"/>
      <c r="J369" s="849"/>
      <c r="K369" s="836"/>
      <c r="L369" s="41"/>
    </row>
    <row r="370" spans="1:12" ht="27.95" customHeight="1">
      <c r="A370" s="40"/>
      <c r="B370" s="27"/>
      <c r="C370" s="27"/>
      <c r="D370" s="27"/>
      <c r="E370" s="27"/>
      <c r="F370" s="27"/>
      <c r="G370" s="27"/>
      <c r="H370" s="27"/>
      <c r="I370" s="27"/>
      <c r="J370" s="27"/>
      <c r="K370" s="27"/>
      <c r="L370" s="41"/>
    </row>
    <row r="371" spans="1:12" ht="27.95" customHeight="1">
      <c r="A371" s="40"/>
      <c r="B371" s="27" t="s">
        <v>274</v>
      </c>
      <c r="C371" s="297">
        <f>'0422Master'!N16</f>
        <v>0</v>
      </c>
      <c r="D371" s="27"/>
      <c r="E371" s="27"/>
      <c r="F371" s="27"/>
      <c r="G371" s="27"/>
      <c r="H371" s="27"/>
      <c r="I371" s="27" t="s">
        <v>297</v>
      </c>
      <c r="J371" s="27"/>
      <c r="K371" s="27"/>
      <c r="L371" s="41"/>
    </row>
    <row r="372" spans="1:12" ht="27.95" customHeight="1">
      <c r="A372" s="40"/>
      <c r="B372" s="27"/>
      <c r="C372" s="27"/>
      <c r="D372" s="27"/>
      <c r="E372" s="27"/>
      <c r="F372" s="190" t="s">
        <v>268</v>
      </c>
      <c r="G372" s="27"/>
      <c r="H372" s="27"/>
      <c r="I372" s="27"/>
      <c r="J372" s="27"/>
      <c r="K372" s="27"/>
      <c r="L372" s="41"/>
    </row>
    <row r="373" spans="1:12" ht="27.95" customHeight="1">
      <c r="A373" s="40" t="s">
        <v>269</v>
      </c>
      <c r="B373" s="27"/>
      <c r="C373" s="27"/>
      <c r="D373" s="27"/>
      <c r="E373" s="27"/>
      <c r="F373" s="27"/>
      <c r="G373" s="27"/>
      <c r="H373" s="27"/>
      <c r="I373" s="27"/>
      <c r="J373" s="27"/>
      <c r="K373" s="243">
        <f>'0422Master'!B16</f>
        <v>0</v>
      </c>
      <c r="L373" s="41"/>
    </row>
    <row r="374" spans="1:12" ht="27.95" customHeight="1">
      <c r="A374" s="40" t="s">
        <v>270</v>
      </c>
      <c r="B374" s="27"/>
      <c r="C374" s="27"/>
      <c r="D374" s="27"/>
      <c r="E374" s="27"/>
      <c r="F374" s="27"/>
      <c r="G374" s="27"/>
      <c r="H374" s="27"/>
      <c r="I374" s="27"/>
      <c r="J374" s="27"/>
      <c r="K374" s="27"/>
      <c r="L374" s="41"/>
    </row>
    <row r="375" spans="1:12" ht="27.95" customHeight="1">
      <c r="A375" s="40"/>
      <c r="B375" s="27"/>
      <c r="C375" s="27"/>
      <c r="D375" s="27"/>
      <c r="E375" s="27"/>
      <c r="F375" s="27"/>
      <c r="G375" s="27"/>
      <c r="H375" s="27"/>
      <c r="I375" s="27"/>
      <c r="J375" s="27"/>
      <c r="K375" s="27"/>
      <c r="L375" s="41"/>
    </row>
    <row r="376" spans="1:12" ht="27.95" customHeight="1">
      <c r="A376" s="40"/>
      <c r="B376" s="27"/>
      <c r="C376" s="27"/>
      <c r="D376" s="27"/>
      <c r="E376" s="27"/>
      <c r="F376" s="27" t="s">
        <v>271</v>
      </c>
      <c r="G376" s="27"/>
      <c r="H376" s="27"/>
      <c r="I376" s="27"/>
      <c r="J376" s="27"/>
      <c r="K376" s="27"/>
      <c r="L376" s="41"/>
    </row>
    <row r="377" spans="1:12" ht="27.95" customHeight="1">
      <c r="A377" s="40" t="s">
        <v>272</v>
      </c>
      <c r="B377" s="27" t="s">
        <v>273</v>
      </c>
      <c r="C377" s="27"/>
      <c r="D377" s="27"/>
      <c r="E377" s="27"/>
      <c r="F377" s="27" t="str">
        <f>'0422Master'!F5</f>
        <v>Burgeon IT Services Pvt.Ltd.</v>
      </c>
      <c r="G377" s="27"/>
      <c r="H377" s="27"/>
      <c r="I377" s="27"/>
      <c r="J377" s="27"/>
      <c r="K377" s="27"/>
      <c r="L377" s="41"/>
    </row>
    <row r="378" spans="1:12" ht="27.95" customHeight="1" thickBot="1">
      <c r="A378" s="54" t="s">
        <v>274</v>
      </c>
      <c r="B378" s="300">
        <f>'0422Master'!N16</f>
        <v>0</v>
      </c>
      <c r="C378" s="52"/>
      <c r="D378" s="52"/>
      <c r="E378" s="52"/>
      <c r="F378" s="191" t="str">
        <f>'0422Master'!F6</f>
        <v>Siri Mansion LIGB 436 Dr.A S Rao Nagar,Hyderabad</v>
      </c>
      <c r="G378" s="191"/>
      <c r="H378" s="191"/>
      <c r="I378" s="191"/>
      <c r="J378" s="191"/>
      <c r="K378" s="191"/>
      <c r="L378" s="53"/>
    </row>
    <row r="379" spans="1:12" ht="27.95" customHeight="1">
      <c r="A379" s="128"/>
      <c r="B379" s="97"/>
      <c r="C379" s="97"/>
      <c r="D379" s="196"/>
      <c r="E379" s="196"/>
      <c r="F379" s="196"/>
      <c r="G379" s="196"/>
      <c r="H379" s="196"/>
      <c r="I379" s="196"/>
      <c r="J379" s="97"/>
      <c r="K379" s="198" t="s">
        <v>275</v>
      </c>
      <c r="L379" s="197"/>
    </row>
    <row r="380" spans="1:12" ht="27.95" customHeight="1">
      <c r="A380" s="40"/>
      <c r="B380" s="851" t="s">
        <v>276</v>
      </c>
      <c r="C380" s="851"/>
      <c r="D380" s="851"/>
      <c r="E380" s="851"/>
      <c r="F380" s="851"/>
      <c r="G380" s="851"/>
      <c r="H380" s="851"/>
      <c r="I380" s="851"/>
      <c r="J380" s="851"/>
      <c r="K380" s="851"/>
      <c r="L380" s="852"/>
    </row>
    <row r="381" spans="1:12" ht="27.95" customHeight="1">
      <c r="A381" s="40"/>
      <c r="B381" s="846" t="s">
        <v>277</v>
      </c>
      <c r="C381" s="846"/>
      <c r="D381" s="846"/>
      <c r="E381" s="846"/>
      <c r="F381" s="846"/>
      <c r="G381" s="846"/>
      <c r="H381" s="846"/>
      <c r="I381" s="846"/>
      <c r="J381" s="846"/>
      <c r="K381" s="846"/>
      <c r="L381" s="853"/>
    </row>
    <row r="382" spans="1:12" ht="27.95" customHeight="1">
      <c r="A382" s="40"/>
      <c r="B382" s="201" t="s">
        <v>278</v>
      </c>
      <c r="C382" s="199"/>
      <c r="D382" s="199"/>
      <c r="E382" s="199"/>
      <c r="F382" s="199"/>
      <c r="G382" s="27"/>
      <c r="H382" s="200"/>
      <c r="I382" s="200"/>
      <c r="J382" s="200"/>
      <c r="K382" s="200"/>
      <c r="L382" s="210"/>
    </row>
    <row r="383" spans="1:12" ht="27.95" customHeight="1">
      <c r="A383" s="40"/>
      <c r="B383" s="199"/>
      <c r="C383" s="199"/>
      <c r="D383" s="199"/>
      <c r="E383" s="199"/>
      <c r="F383" s="199"/>
      <c r="G383" s="27"/>
      <c r="H383" s="200"/>
      <c r="I383" s="200"/>
      <c r="J383" s="200"/>
      <c r="K383" s="200"/>
      <c r="L383" s="210"/>
    </row>
    <row r="384" spans="1:12">
      <c r="A384" s="40"/>
      <c r="B384" s="744" t="s">
        <v>244</v>
      </c>
      <c r="C384" s="744"/>
      <c r="D384" s="744"/>
      <c r="E384" s="744"/>
      <c r="F384" s="744"/>
      <c r="G384" s="744"/>
      <c r="H384" s="741" t="e">
        <f>'0422Master'!#REF!</f>
        <v>#REF!</v>
      </c>
      <c r="I384" s="742"/>
      <c r="J384" s="742"/>
      <c r="K384" s="742"/>
      <c r="L384" s="743"/>
    </row>
    <row r="385" spans="1:12">
      <c r="A385" s="40"/>
      <c r="B385" s="740" t="s">
        <v>245</v>
      </c>
      <c r="C385" s="740"/>
      <c r="D385" s="740"/>
      <c r="E385" s="740"/>
      <c r="F385" s="740"/>
      <c r="G385" s="740"/>
      <c r="H385" s="741" t="e">
        <f>'0422Master'!#REF!</f>
        <v>#REF!</v>
      </c>
      <c r="I385" s="742"/>
      <c r="J385" s="742"/>
      <c r="K385" s="742"/>
      <c r="L385" s="743"/>
    </row>
    <row r="386" spans="1:12">
      <c r="A386" s="40"/>
      <c r="B386" s="744" t="s">
        <v>246</v>
      </c>
      <c r="C386" s="744"/>
      <c r="D386" s="744"/>
      <c r="E386" s="744"/>
      <c r="F386" s="744"/>
      <c r="G386" s="744"/>
      <c r="H386" s="741" t="e">
        <f>'0422Master'!#REF!</f>
        <v>#REF!</v>
      </c>
      <c r="I386" s="742"/>
      <c r="J386" s="742"/>
      <c r="K386" s="742"/>
      <c r="L386" s="743"/>
    </row>
    <row r="387" spans="1:12">
      <c r="A387" s="40"/>
      <c r="B387" s="744" t="s">
        <v>247</v>
      </c>
      <c r="C387" s="744"/>
      <c r="D387" s="744"/>
      <c r="E387" s="744"/>
      <c r="F387" s="744"/>
      <c r="G387" s="744"/>
      <c r="H387" s="837" t="e">
        <f>'0422Master'!#REF!</f>
        <v>#REF!</v>
      </c>
      <c r="I387" s="742"/>
      <c r="J387" s="742"/>
      <c r="K387" s="742"/>
      <c r="L387" s="743"/>
    </row>
    <row r="388" spans="1:12">
      <c r="A388" s="40"/>
      <c r="B388" s="114" t="s">
        <v>248</v>
      </c>
      <c r="C388" s="221"/>
      <c r="D388" s="221"/>
      <c r="E388" s="221"/>
      <c r="F388" s="221"/>
      <c r="G388" s="221"/>
      <c r="H388" s="838" t="s">
        <v>249</v>
      </c>
      <c r="I388" s="839"/>
      <c r="J388" s="839"/>
      <c r="K388" s="839"/>
      <c r="L388" s="840"/>
    </row>
    <row r="389" spans="1:12">
      <c r="A389" s="40"/>
      <c r="B389" s="114" t="s">
        <v>250</v>
      </c>
      <c r="C389" s="221"/>
      <c r="D389" s="221"/>
      <c r="E389" s="221"/>
      <c r="F389" s="221"/>
      <c r="G389" s="221"/>
      <c r="H389" s="418"/>
      <c r="I389" s="414"/>
      <c r="J389" s="189"/>
      <c r="K389" s="414"/>
      <c r="L389" s="415"/>
    </row>
    <row r="390" spans="1:12" ht="15" customHeight="1">
      <c r="A390" s="40"/>
      <c r="B390" s="755" t="s">
        <v>251</v>
      </c>
      <c r="C390" s="755"/>
      <c r="D390" s="755"/>
      <c r="E390" s="755"/>
      <c r="F390" s="755"/>
      <c r="G390" s="755"/>
      <c r="H390" s="756" t="e">
        <f>'0422Master'!#REF!</f>
        <v>#REF!</v>
      </c>
      <c r="I390" s="757"/>
      <c r="J390" s="757"/>
      <c r="K390" s="757"/>
      <c r="L390" s="758"/>
    </row>
    <row r="391" spans="1:12">
      <c r="A391" s="40"/>
      <c r="B391" s="744"/>
      <c r="C391" s="744"/>
      <c r="D391" s="744"/>
      <c r="E391" s="744"/>
      <c r="F391" s="744"/>
      <c r="G391" s="744"/>
      <c r="H391" s="751" t="e">
        <f>'0422Master'!#REF!</f>
        <v>#REF!</v>
      </c>
      <c r="I391" s="742"/>
      <c r="J391" s="742"/>
      <c r="K391" s="742"/>
      <c r="L391" s="743"/>
    </row>
    <row r="392" spans="1:12">
      <c r="A392" s="40"/>
      <c r="B392" s="744"/>
      <c r="C392" s="744"/>
      <c r="D392" s="744"/>
      <c r="E392" s="744"/>
      <c r="F392" s="744"/>
      <c r="G392" s="744"/>
      <c r="H392" s="741" t="e">
        <f>'0422Master'!#REF!</f>
        <v>#REF!</v>
      </c>
      <c r="I392" s="742"/>
      <c r="J392" s="742"/>
      <c r="K392" s="742"/>
      <c r="L392" s="743"/>
    </row>
    <row r="393" spans="1:12">
      <c r="A393" s="40"/>
      <c r="B393" s="100"/>
      <c r="C393" s="100"/>
      <c r="D393" s="100"/>
      <c r="E393" s="100"/>
      <c r="F393" s="27"/>
      <c r="G393" s="108" t="s">
        <v>279</v>
      </c>
      <c r="H393" s="108"/>
      <c r="I393" s="108"/>
      <c r="J393" s="108"/>
      <c r="K393" s="108"/>
      <c r="L393" s="109"/>
    </row>
    <row r="394" spans="1:12">
      <c r="A394" s="40"/>
      <c r="B394" s="193" t="s">
        <v>253</v>
      </c>
      <c r="C394" s="412"/>
      <c r="D394" s="412"/>
      <c r="E394" s="412"/>
      <c r="F394" s="412"/>
      <c r="G394" s="412"/>
      <c r="H394" s="411"/>
      <c r="I394" s="411"/>
      <c r="J394" s="411"/>
      <c r="K394" s="411"/>
      <c r="L394" s="195"/>
    </row>
    <row r="395" spans="1:12">
      <c r="A395" s="40"/>
      <c r="B395" s="193" t="s">
        <v>254</v>
      </c>
      <c r="C395" s="412"/>
      <c r="D395" s="412"/>
      <c r="E395" s="412"/>
      <c r="F395" s="412"/>
      <c r="G395" s="412"/>
      <c r="H395" s="411"/>
      <c r="I395" s="411"/>
      <c r="J395" s="410"/>
      <c r="K395" s="411"/>
      <c r="L395" s="195"/>
    </row>
    <row r="396" spans="1:12" ht="45">
      <c r="A396" s="113"/>
      <c r="B396" s="114" t="s">
        <v>255</v>
      </c>
      <c r="C396" s="221"/>
      <c r="D396" s="419"/>
      <c r="E396" s="413" t="s">
        <v>256</v>
      </c>
      <c r="F396" s="80"/>
      <c r="G396" s="832" t="s">
        <v>257</v>
      </c>
      <c r="H396" s="833"/>
      <c r="I396" s="479" t="s">
        <v>258</v>
      </c>
      <c r="J396" s="477" t="s">
        <v>259</v>
      </c>
      <c r="K396" s="832" t="s">
        <v>260</v>
      </c>
      <c r="L396" s="834"/>
    </row>
    <row r="397" spans="1:12">
      <c r="A397" s="113"/>
      <c r="B397" s="187">
        <v>1</v>
      </c>
      <c r="C397" s="221"/>
      <c r="D397" s="221"/>
      <c r="E397" s="188">
        <v>2</v>
      </c>
      <c r="F397" s="222"/>
      <c r="G397" s="188">
        <v>3</v>
      </c>
      <c r="H397" s="419"/>
      <c r="I397" s="419">
        <v>4</v>
      </c>
      <c r="J397" s="448">
        <v>5</v>
      </c>
      <c r="K397" s="115"/>
      <c r="L397" s="116">
        <v>6</v>
      </c>
    </row>
    <row r="398" spans="1:12">
      <c r="A398" s="113"/>
      <c r="B398" s="114" t="e">
        <f>'0422Master'!#REF!</f>
        <v>#REF!</v>
      </c>
      <c r="C398" s="202"/>
      <c r="D398" s="203"/>
      <c r="E398" s="204" t="s">
        <v>280</v>
      </c>
      <c r="F398" s="203"/>
      <c r="G398" s="204" t="s">
        <v>262</v>
      </c>
      <c r="H398" s="80"/>
      <c r="I398" s="308" t="s">
        <v>281</v>
      </c>
      <c r="J398" s="478">
        <v>1</v>
      </c>
      <c r="K398" s="205" t="s">
        <v>109</v>
      </c>
      <c r="L398" s="211"/>
    </row>
    <row r="399" spans="1:12">
      <c r="A399" s="113"/>
      <c r="B399" s="114"/>
      <c r="C399" s="202"/>
      <c r="D399" s="203"/>
      <c r="E399" s="204"/>
      <c r="F399" s="203"/>
      <c r="G399" s="204"/>
      <c r="H399" s="80"/>
      <c r="I399" s="308"/>
      <c r="J399" s="308"/>
      <c r="K399" s="205"/>
      <c r="L399" s="211"/>
    </row>
    <row r="400" spans="1:12">
      <c r="A400" s="113"/>
      <c r="B400" s="114"/>
      <c r="C400" s="202"/>
      <c r="D400" s="203"/>
      <c r="E400" s="204"/>
      <c r="F400" s="203"/>
      <c r="G400" s="204"/>
      <c r="H400" s="80"/>
      <c r="I400" s="308"/>
      <c r="J400" s="308"/>
      <c r="K400" s="205"/>
      <c r="L400" s="211"/>
    </row>
    <row r="401" spans="1:12">
      <c r="A401" s="113"/>
      <c r="B401" s="86"/>
      <c r="C401" s="46"/>
      <c r="D401" s="87"/>
      <c r="E401" s="204"/>
      <c r="F401" s="203"/>
      <c r="G401" s="204"/>
      <c r="H401" s="80"/>
      <c r="I401" s="308"/>
      <c r="J401" s="308"/>
      <c r="K401" s="205"/>
      <c r="L401" s="211"/>
    </row>
    <row r="402" spans="1:12">
      <c r="A402" s="113"/>
      <c r="B402" s="27" t="s">
        <v>264</v>
      </c>
      <c r="C402" s="27"/>
      <c r="D402" s="27"/>
      <c r="E402" s="27"/>
      <c r="F402" s="27"/>
      <c r="G402" s="27"/>
      <c r="H402" s="27"/>
      <c r="I402" s="27"/>
      <c r="J402" s="27"/>
      <c r="K402" s="27"/>
      <c r="L402" s="41"/>
    </row>
    <row r="403" spans="1:12">
      <c r="A403" s="40"/>
      <c r="B403" s="27" t="s">
        <v>265</v>
      </c>
      <c r="C403" s="27"/>
      <c r="D403" s="27"/>
      <c r="E403" s="27"/>
      <c r="F403" s="27"/>
      <c r="G403" s="27"/>
      <c r="H403" s="27"/>
      <c r="I403" s="27"/>
      <c r="J403" s="27"/>
      <c r="K403" s="27"/>
      <c r="L403" s="41"/>
    </row>
    <row r="404" spans="1:12">
      <c r="A404" s="40"/>
      <c r="B404" s="27" t="s">
        <v>282</v>
      </c>
      <c r="C404" s="27"/>
      <c r="D404" s="27"/>
      <c r="E404" s="27"/>
      <c r="F404" s="27"/>
      <c r="G404" s="27"/>
      <c r="H404" s="27"/>
      <c r="I404" s="27"/>
      <c r="J404" s="27" t="s">
        <v>283</v>
      </c>
      <c r="K404" s="27"/>
      <c r="L404" s="41"/>
    </row>
    <row r="405" spans="1:12" ht="21" customHeight="1">
      <c r="A405" s="40"/>
      <c r="B405" s="100"/>
      <c r="C405" s="100"/>
      <c r="D405" s="100"/>
      <c r="E405" s="100"/>
      <c r="F405" s="27"/>
      <c r="G405" s="108" t="s">
        <v>284</v>
      </c>
      <c r="H405" s="108"/>
      <c r="I405" s="108"/>
      <c r="J405" s="108"/>
      <c r="K405" s="108"/>
      <c r="L405" s="109"/>
    </row>
    <row r="406" spans="1:12" ht="15" customHeight="1">
      <c r="A406" s="40"/>
      <c r="B406" s="108"/>
      <c r="C406" s="100"/>
      <c r="D406" s="100"/>
      <c r="E406" s="100"/>
      <c r="F406" s="100"/>
      <c r="G406" s="27" t="s">
        <v>285</v>
      </c>
      <c r="H406" s="108"/>
      <c r="I406" s="108"/>
      <c r="J406" s="108"/>
      <c r="K406" s="108"/>
      <c r="L406" s="109"/>
    </row>
    <row r="407" spans="1:12" ht="20.25" customHeight="1">
      <c r="A407" s="40"/>
      <c r="B407" s="193" t="s">
        <v>286</v>
      </c>
      <c r="C407" s="412"/>
      <c r="D407" s="412"/>
      <c r="E407" s="412"/>
      <c r="F407" s="412"/>
      <c r="G407" s="412"/>
      <c r="H407" s="411"/>
      <c r="I407" s="411"/>
      <c r="J407" s="411"/>
      <c r="K407" s="411"/>
      <c r="L407" s="195"/>
    </row>
    <row r="408" spans="1:12" ht="18.75" customHeight="1">
      <c r="A408" s="40"/>
      <c r="B408" s="193" t="s">
        <v>287</v>
      </c>
      <c r="C408" s="412"/>
      <c r="D408" s="412"/>
      <c r="E408" s="412"/>
      <c r="F408" s="412"/>
      <c r="G408" s="412"/>
      <c r="H408" s="411"/>
      <c r="I408" s="411"/>
      <c r="J408" s="410"/>
      <c r="K408" s="411"/>
      <c r="L408" s="195"/>
    </row>
    <row r="409" spans="1:12" ht="27.95" customHeight="1">
      <c r="A409" s="40"/>
      <c r="B409" s="114" t="s">
        <v>59</v>
      </c>
      <c r="C409" s="854" t="s">
        <v>288</v>
      </c>
      <c r="D409" s="830"/>
      <c r="E409" s="830"/>
      <c r="F409" s="830"/>
      <c r="G409" s="830"/>
      <c r="H409" s="855"/>
      <c r="I409" s="416" t="s">
        <v>188</v>
      </c>
      <c r="J409" s="856" t="s">
        <v>289</v>
      </c>
      <c r="K409" s="857"/>
      <c r="L409" s="858"/>
    </row>
    <row r="410" spans="1:12" ht="27.95" customHeight="1">
      <c r="A410" s="40"/>
      <c r="B410" s="187">
        <v>1</v>
      </c>
      <c r="C410" s="220"/>
      <c r="D410" s="414"/>
      <c r="E410" s="186">
        <v>2</v>
      </c>
      <c r="F410" s="79"/>
      <c r="G410" s="850"/>
      <c r="H410" s="833"/>
      <c r="I410" s="414">
        <v>3</v>
      </c>
      <c r="J410" s="208" t="s">
        <v>290</v>
      </c>
      <c r="K410" s="859">
        <v>4</v>
      </c>
      <c r="L410" s="860"/>
    </row>
    <row r="411" spans="1:12" ht="27.95" customHeight="1">
      <c r="A411" s="40"/>
      <c r="B411" s="114"/>
      <c r="C411" s="220"/>
      <c r="D411" s="414"/>
      <c r="E411" s="186"/>
      <c r="F411" s="79"/>
      <c r="G411" s="850"/>
      <c r="H411" s="833"/>
      <c r="I411" s="205"/>
      <c r="J411" s="207"/>
      <c r="K411" s="850"/>
      <c r="L411" s="834"/>
    </row>
    <row r="412" spans="1:12" ht="27.95" customHeight="1">
      <c r="A412" s="40"/>
      <c r="B412" s="114"/>
      <c r="C412" s="220"/>
      <c r="D412" s="414"/>
      <c r="E412" s="186"/>
      <c r="F412" s="79"/>
      <c r="G412" s="850"/>
      <c r="H412" s="833"/>
      <c r="I412" s="205"/>
      <c r="J412" s="207"/>
      <c r="K412" s="850"/>
      <c r="L412" s="834"/>
    </row>
    <row r="413" spans="1:12" ht="27.95" customHeight="1">
      <c r="A413" s="40"/>
      <c r="B413" s="114"/>
      <c r="C413" s="220"/>
      <c r="D413" s="414"/>
      <c r="E413" s="186"/>
      <c r="F413" s="79"/>
      <c r="G413" s="850"/>
      <c r="H413" s="833"/>
      <c r="I413" s="205"/>
      <c r="J413" s="207"/>
      <c r="K413" s="850"/>
      <c r="L413" s="834"/>
    </row>
    <row r="414" spans="1:12" ht="27.95" customHeight="1">
      <c r="A414" s="40"/>
      <c r="B414" s="86"/>
      <c r="C414" s="220"/>
      <c r="D414" s="414"/>
      <c r="E414" s="186"/>
      <c r="F414" s="79"/>
      <c r="G414" s="850"/>
      <c r="H414" s="833"/>
      <c r="I414" s="205"/>
      <c r="J414" s="207"/>
      <c r="K414" s="850"/>
      <c r="L414" s="834"/>
    </row>
    <row r="415" spans="1:12" ht="27.95" customHeight="1">
      <c r="A415" s="40"/>
      <c r="B415" s="27" t="s">
        <v>291</v>
      </c>
      <c r="C415" s="27"/>
      <c r="D415" s="27"/>
      <c r="E415" s="27"/>
      <c r="F415" s="27"/>
      <c r="G415" s="27"/>
      <c r="H415" s="27"/>
      <c r="I415" s="27"/>
      <c r="J415" s="27"/>
      <c r="K415" s="27"/>
      <c r="L415" s="41"/>
    </row>
    <row r="416" spans="1:12" ht="21" customHeight="1">
      <c r="A416" s="40"/>
      <c r="B416" s="27" t="s">
        <v>292</v>
      </c>
      <c r="C416" s="27"/>
      <c r="D416" s="27"/>
      <c r="E416" s="27"/>
      <c r="F416" s="27"/>
      <c r="G416" s="27"/>
      <c r="H416" s="27"/>
      <c r="I416" s="27"/>
      <c r="J416" s="27"/>
      <c r="K416" s="27"/>
      <c r="L416" s="41"/>
    </row>
    <row r="417" spans="1:12" ht="18" customHeight="1">
      <c r="A417" s="40"/>
      <c r="B417" s="27" t="s">
        <v>293</v>
      </c>
      <c r="C417" s="27"/>
      <c r="D417" s="27"/>
      <c r="E417" s="27"/>
      <c r="F417" s="27"/>
      <c r="G417" s="27"/>
      <c r="H417" s="27"/>
      <c r="I417" s="27"/>
      <c r="J417" s="27"/>
      <c r="K417" s="27"/>
      <c r="L417" s="41"/>
    </row>
    <row r="418" spans="1:12" ht="23.25" customHeight="1">
      <c r="A418" s="40"/>
      <c r="B418" s="209" t="s">
        <v>294</v>
      </c>
      <c r="C418" s="27"/>
      <c r="D418" s="27"/>
      <c r="E418" s="27"/>
      <c r="F418" s="27"/>
      <c r="G418" s="27"/>
      <c r="H418" s="27"/>
      <c r="I418" s="27"/>
      <c r="J418" s="27"/>
      <c r="K418" s="27"/>
      <c r="L418" s="41"/>
    </row>
    <row r="419" spans="1:12" ht="27.95" customHeight="1">
      <c r="A419" s="40"/>
      <c r="B419" s="204" t="s">
        <v>295</v>
      </c>
      <c r="C419" s="79"/>
      <c r="D419" s="79"/>
      <c r="E419" s="79"/>
      <c r="F419" s="80"/>
      <c r="G419" s="204" t="s">
        <v>258</v>
      </c>
      <c r="H419" s="80"/>
      <c r="I419" s="204" t="s">
        <v>296</v>
      </c>
      <c r="J419" s="79"/>
      <c r="K419" s="80"/>
      <c r="L419" s="41"/>
    </row>
    <row r="420" spans="1:12" ht="27.95" customHeight="1">
      <c r="A420" s="40"/>
      <c r="B420" s="835"/>
      <c r="C420" s="849"/>
      <c r="D420" s="849"/>
      <c r="E420" s="849"/>
      <c r="F420" s="836"/>
      <c r="G420" s="835"/>
      <c r="H420" s="836"/>
      <c r="I420" s="835"/>
      <c r="J420" s="849"/>
      <c r="K420" s="836"/>
      <c r="L420" s="41"/>
    </row>
    <row r="421" spans="1:12" ht="27.95" customHeight="1">
      <c r="A421" s="40"/>
      <c r="B421" s="835"/>
      <c r="C421" s="849"/>
      <c r="D421" s="849"/>
      <c r="E421" s="849"/>
      <c r="F421" s="836"/>
      <c r="G421" s="835"/>
      <c r="H421" s="836"/>
      <c r="I421" s="835"/>
      <c r="J421" s="849"/>
      <c r="K421" s="836"/>
      <c r="L421" s="41"/>
    </row>
    <row r="422" spans="1:12" ht="27.95" customHeight="1">
      <c r="A422" s="40"/>
      <c r="B422" s="835"/>
      <c r="C422" s="849"/>
      <c r="D422" s="849"/>
      <c r="E422" s="849"/>
      <c r="F422" s="836"/>
      <c r="G422" s="835"/>
      <c r="H422" s="836"/>
      <c r="I422" s="835"/>
      <c r="J422" s="849"/>
      <c r="K422" s="836"/>
      <c r="L422" s="41"/>
    </row>
    <row r="423" spans="1:12">
      <c r="A423" s="40"/>
      <c r="B423" s="835"/>
      <c r="C423" s="849"/>
      <c r="D423" s="849"/>
      <c r="E423" s="849"/>
      <c r="F423" s="836"/>
      <c r="G423" s="835"/>
      <c r="H423" s="836"/>
      <c r="I423" s="835"/>
      <c r="J423" s="849"/>
      <c r="K423" s="836"/>
      <c r="L423" s="41"/>
    </row>
    <row r="424" spans="1:12">
      <c r="A424" s="40"/>
      <c r="B424" s="27"/>
      <c r="C424" s="27"/>
      <c r="D424" s="27"/>
      <c r="E424" s="27"/>
      <c r="F424" s="27"/>
      <c r="G424" s="27"/>
      <c r="H424" s="27"/>
      <c r="I424" s="27"/>
      <c r="J424" s="27"/>
      <c r="K424" s="27"/>
      <c r="L424" s="41"/>
    </row>
    <row r="425" spans="1:12">
      <c r="A425" s="40"/>
      <c r="B425" s="27" t="s">
        <v>274</v>
      </c>
      <c r="C425" s="297" t="e">
        <f>'0422Master'!#REF!</f>
        <v>#REF!</v>
      </c>
      <c r="D425" s="27"/>
      <c r="E425" s="27"/>
      <c r="F425" s="27"/>
      <c r="G425" s="27"/>
      <c r="H425" s="27"/>
      <c r="I425" s="27" t="s">
        <v>297</v>
      </c>
      <c r="J425" s="27"/>
      <c r="K425" s="27"/>
      <c r="L425" s="41"/>
    </row>
    <row r="426" spans="1:12" ht="18.75">
      <c r="A426" s="40"/>
      <c r="B426" s="27"/>
      <c r="C426" s="27"/>
      <c r="D426" s="27"/>
      <c r="E426" s="27"/>
      <c r="F426" s="190" t="s">
        <v>268</v>
      </c>
      <c r="G426" s="27"/>
      <c r="H426" s="27"/>
      <c r="I426" s="27"/>
      <c r="J426" s="27"/>
      <c r="K426" s="27"/>
      <c r="L426" s="41"/>
    </row>
    <row r="427" spans="1:12">
      <c r="A427" s="40" t="s">
        <v>269</v>
      </c>
      <c r="B427" s="27"/>
      <c r="C427" s="27"/>
      <c r="D427" s="27"/>
      <c r="E427" s="27"/>
      <c r="F427" s="27"/>
      <c r="G427" s="27"/>
      <c r="H427" s="27"/>
      <c r="I427" s="27"/>
      <c r="J427" s="27"/>
      <c r="K427" s="243" t="e">
        <f>'0422Master'!#REF!</f>
        <v>#REF!</v>
      </c>
      <c r="L427" s="41"/>
    </row>
    <row r="428" spans="1:12">
      <c r="A428" s="40" t="s">
        <v>270</v>
      </c>
      <c r="B428" s="27"/>
      <c r="C428" s="27"/>
      <c r="D428" s="27"/>
      <c r="E428" s="27"/>
      <c r="F428" s="27"/>
      <c r="G428" s="27"/>
      <c r="H428" s="27"/>
      <c r="I428" s="27"/>
      <c r="J428" s="27"/>
      <c r="K428" s="27"/>
      <c r="L428" s="41"/>
    </row>
    <row r="429" spans="1:12" ht="15" customHeight="1">
      <c r="A429" s="40"/>
      <c r="B429" s="27"/>
      <c r="C429" s="27"/>
      <c r="D429" s="27"/>
      <c r="E429" s="27"/>
      <c r="F429" s="27"/>
      <c r="G429" s="27"/>
      <c r="H429" s="27"/>
      <c r="I429" s="27"/>
      <c r="J429" s="27"/>
      <c r="K429" s="27"/>
      <c r="L429" s="41"/>
    </row>
    <row r="430" spans="1:12">
      <c r="A430" s="40"/>
      <c r="B430" s="27"/>
      <c r="C430" s="27"/>
      <c r="D430" s="27"/>
      <c r="E430" s="27"/>
      <c r="F430" s="27" t="s">
        <v>271</v>
      </c>
      <c r="G430" s="27"/>
      <c r="H430" s="27"/>
      <c r="I430" s="27"/>
      <c r="J430" s="27"/>
      <c r="K430" s="27"/>
      <c r="L430" s="41"/>
    </row>
    <row r="431" spans="1:12">
      <c r="A431" s="40" t="s">
        <v>272</v>
      </c>
      <c r="B431" s="27" t="s">
        <v>273</v>
      </c>
      <c r="C431" s="27"/>
      <c r="D431" s="27"/>
      <c r="E431" s="27"/>
      <c r="F431" s="27" t="str">
        <f>'0422Master'!F5</f>
        <v>Burgeon IT Services Pvt.Ltd.</v>
      </c>
      <c r="G431" s="27"/>
      <c r="H431" s="27"/>
      <c r="I431" s="27"/>
      <c r="J431" s="27"/>
      <c r="K431" s="27"/>
      <c r="L431" s="41"/>
    </row>
    <row r="432" spans="1:12" ht="15.75" thickBot="1">
      <c r="A432" s="54" t="s">
        <v>274</v>
      </c>
      <c r="B432" s="300" t="e">
        <f>'0422Master'!#REF!</f>
        <v>#REF!</v>
      </c>
      <c r="C432" s="52"/>
      <c r="D432" s="52"/>
      <c r="E432" s="52"/>
      <c r="F432" s="191" t="str">
        <f>'0422Master'!F6</f>
        <v>Siri Mansion LIGB 436 Dr.A S Rao Nagar,Hyderabad</v>
      </c>
      <c r="G432" s="191"/>
      <c r="H432" s="191"/>
      <c r="I432" s="191"/>
      <c r="J432" s="191"/>
      <c r="K432" s="191"/>
      <c r="L432" s="53"/>
    </row>
    <row r="433" spans="1:12" ht="32.25">
      <c r="A433" s="128"/>
      <c r="B433" s="97"/>
      <c r="C433" s="97"/>
      <c r="D433" s="196"/>
      <c r="E433" s="196"/>
      <c r="F433" s="196"/>
      <c r="G433" s="196"/>
      <c r="H433" s="196"/>
      <c r="I433" s="196"/>
      <c r="J433" s="97"/>
      <c r="K433" s="198" t="s">
        <v>275</v>
      </c>
      <c r="L433" s="197"/>
    </row>
    <row r="434" spans="1:12" ht="21">
      <c r="A434" s="40"/>
      <c r="B434" s="851" t="s">
        <v>276</v>
      </c>
      <c r="C434" s="851"/>
      <c r="D434" s="851"/>
      <c r="E434" s="851"/>
      <c r="F434" s="851"/>
      <c r="G434" s="851"/>
      <c r="H434" s="851"/>
      <c r="I434" s="851"/>
      <c r="J434" s="851"/>
      <c r="K434" s="851"/>
      <c r="L434" s="852"/>
    </row>
    <row r="435" spans="1:12" ht="15.75">
      <c r="A435" s="40"/>
      <c r="B435" s="846" t="s">
        <v>277</v>
      </c>
      <c r="C435" s="846"/>
      <c r="D435" s="846"/>
      <c r="E435" s="846"/>
      <c r="F435" s="846"/>
      <c r="G435" s="846"/>
      <c r="H435" s="846"/>
      <c r="I435" s="846"/>
      <c r="J435" s="846"/>
      <c r="K435" s="846"/>
      <c r="L435" s="853"/>
    </row>
    <row r="436" spans="1:12">
      <c r="A436" s="40"/>
      <c r="B436" s="201" t="s">
        <v>278</v>
      </c>
      <c r="C436" s="199"/>
      <c r="D436" s="199"/>
      <c r="E436" s="199"/>
      <c r="F436" s="199"/>
      <c r="G436" s="27"/>
      <c r="H436" s="200"/>
      <c r="I436" s="200"/>
      <c r="J436" s="200"/>
      <c r="K436" s="200"/>
      <c r="L436" s="210"/>
    </row>
    <row r="437" spans="1:12">
      <c r="A437" s="40"/>
      <c r="B437" s="199"/>
      <c r="C437" s="199"/>
      <c r="D437" s="199"/>
      <c r="E437" s="199"/>
      <c r="F437" s="199"/>
      <c r="G437" s="27"/>
      <c r="H437" s="200"/>
      <c r="I437" s="200"/>
      <c r="J437" s="200"/>
      <c r="K437" s="200"/>
      <c r="L437" s="210"/>
    </row>
    <row r="438" spans="1:12">
      <c r="A438" s="40"/>
      <c r="B438" s="744" t="s">
        <v>244</v>
      </c>
      <c r="C438" s="744"/>
      <c r="D438" s="744"/>
      <c r="E438" s="744"/>
      <c r="F438" s="744"/>
      <c r="G438" s="744"/>
      <c r="H438" s="741" t="e">
        <f>'0422Master'!#REF!</f>
        <v>#REF!</v>
      </c>
      <c r="I438" s="742"/>
      <c r="J438" s="742"/>
      <c r="K438" s="742"/>
      <c r="L438" s="743"/>
    </row>
    <row r="439" spans="1:12">
      <c r="A439" s="40"/>
      <c r="B439" s="740" t="s">
        <v>245</v>
      </c>
      <c r="C439" s="740"/>
      <c r="D439" s="740"/>
      <c r="E439" s="740"/>
      <c r="F439" s="740"/>
      <c r="G439" s="740"/>
      <c r="H439" s="741" t="e">
        <f>'0422Master'!#REF!</f>
        <v>#REF!</v>
      </c>
      <c r="I439" s="742"/>
      <c r="J439" s="742"/>
      <c r="K439" s="742"/>
      <c r="L439" s="743"/>
    </row>
    <row r="440" spans="1:12">
      <c r="A440" s="40"/>
      <c r="B440" s="744" t="s">
        <v>246</v>
      </c>
      <c r="C440" s="744"/>
      <c r="D440" s="744"/>
      <c r="E440" s="744"/>
      <c r="F440" s="744"/>
      <c r="G440" s="744"/>
      <c r="H440" s="741" t="e">
        <f>'0422Master'!#REF!</f>
        <v>#REF!</v>
      </c>
      <c r="I440" s="742"/>
      <c r="J440" s="742"/>
      <c r="K440" s="742"/>
      <c r="L440" s="743"/>
    </row>
    <row r="441" spans="1:12">
      <c r="A441" s="40"/>
      <c r="B441" s="744" t="s">
        <v>247</v>
      </c>
      <c r="C441" s="744"/>
      <c r="D441" s="744"/>
      <c r="E441" s="744"/>
      <c r="F441" s="744"/>
      <c r="G441" s="744"/>
      <c r="H441" s="837" t="e">
        <f>'0422Master'!#REF!</f>
        <v>#REF!</v>
      </c>
      <c r="I441" s="742"/>
      <c r="J441" s="742"/>
      <c r="K441" s="742"/>
      <c r="L441" s="743"/>
    </row>
    <row r="442" spans="1:12">
      <c r="A442" s="40"/>
      <c r="B442" s="114" t="s">
        <v>248</v>
      </c>
      <c r="C442" s="221"/>
      <c r="D442" s="221"/>
      <c r="E442" s="221"/>
      <c r="F442" s="221"/>
      <c r="G442" s="221"/>
      <c r="H442" s="838" t="s">
        <v>249</v>
      </c>
      <c r="I442" s="839"/>
      <c r="J442" s="839"/>
      <c r="K442" s="839"/>
      <c r="L442" s="840"/>
    </row>
    <row r="443" spans="1:12">
      <c r="A443" s="40"/>
      <c r="B443" s="114" t="s">
        <v>250</v>
      </c>
      <c r="C443" s="221"/>
      <c r="D443" s="221"/>
      <c r="E443" s="221"/>
      <c r="F443" s="221"/>
      <c r="G443" s="221"/>
      <c r="H443" s="418"/>
      <c r="I443" s="414"/>
      <c r="J443" s="189"/>
      <c r="K443" s="414"/>
      <c r="L443" s="415"/>
    </row>
    <row r="444" spans="1:12" ht="27.95" customHeight="1">
      <c r="A444" s="40"/>
      <c r="B444" s="755" t="s">
        <v>251</v>
      </c>
      <c r="C444" s="755"/>
      <c r="D444" s="755"/>
      <c r="E444" s="755"/>
      <c r="F444" s="755"/>
      <c r="G444" s="755"/>
      <c r="H444" s="756" t="e">
        <f>'0422Master'!#REF!</f>
        <v>#REF!</v>
      </c>
      <c r="I444" s="757"/>
      <c r="J444" s="757"/>
      <c r="K444" s="757"/>
      <c r="L444" s="758"/>
    </row>
    <row r="445" spans="1:12" ht="27.95" customHeight="1">
      <c r="A445" s="40"/>
      <c r="B445" s="744"/>
      <c r="C445" s="744"/>
      <c r="D445" s="744"/>
      <c r="E445" s="744"/>
      <c r="F445" s="744"/>
      <c r="G445" s="744"/>
      <c r="H445" s="751" t="e">
        <f>'0422Master'!#REF!</f>
        <v>#REF!</v>
      </c>
      <c r="I445" s="742"/>
      <c r="J445" s="742"/>
      <c r="K445" s="742"/>
      <c r="L445" s="743"/>
    </row>
    <row r="446" spans="1:12" ht="27.95" customHeight="1">
      <c r="A446" s="40"/>
      <c r="B446" s="744"/>
      <c r="C446" s="744"/>
      <c r="D446" s="744"/>
      <c r="E446" s="744"/>
      <c r="F446" s="744"/>
      <c r="G446" s="744"/>
      <c r="H446" s="741" t="e">
        <f>'0422Master'!#REF!</f>
        <v>#REF!</v>
      </c>
      <c r="I446" s="742"/>
      <c r="J446" s="742"/>
      <c r="K446" s="742"/>
      <c r="L446" s="743"/>
    </row>
    <row r="447" spans="1:12" ht="27.95" customHeight="1">
      <c r="A447" s="40"/>
      <c r="B447" s="100"/>
      <c r="C447" s="100"/>
      <c r="D447" s="100"/>
      <c r="E447" s="100"/>
      <c r="F447" s="27"/>
      <c r="G447" s="108" t="s">
        <v>279</v>
      </c>
      <c r="H447" s="108"/>
      <c r="I447" s="108"/>
      <c r="J447" s="108"/>
      <c r="K447" s="108"/>
      <c r="L447" s="109"/>
    </row>
    <row r="448" spans="1:12" ht="27.95" customHeight="1">
      <c r="A448" s="40"/>
      <c r="B448" s="193" t="s">
        <v>253</v>
      </c>
      <c r="C448" s="412"/>
      <c r="D448" s="412"/>
      <c r="E448" s="412"/>
      <c r="F448" s="412"/>
      <c r="G448" s="412"/>
      <c r="H448" s="411"/>
      <c r="I448" s="411"/>
      <c r="J448" s="411"/>
      <c r="K448" s="411"/>
      <c r="L448" s="195"/>
    </row>
    <row r="449" spans="1:12" ht="27.95" customHeight="1">
      <c r="A449" s="40"/>
      <c r="B449" s="193" t="s">
        <v>254</v>
      </c>
      <c r="C449" s="412"/>
      <c r="D449" s="412"/>
      <c r="E449" s="412"/>
      <c r="F449" s="412"/>
      <c r="G449" s="412"/>
      <c r="H449" s="411"/>
      <c r="I449" s="411"/>
      <c r="J449" s="410"/>
      <c r="K449" s="411"/>
      <c r="L449" s="195"/>
    </row>
    <row r="450" spans="1:12" ht="27.95" customHeight="1">
      <c r="A450" s="113"/>
      <c r="B450" s="114" t="s">
        <v>255</v>
      </c>
      <c r="C450" s="221"/>
      <c r="D450" s="419"/>
      <c r="E450" s="413" t="s">
        <v>256</v>
      </c>
      <c r="F450" s="80"/>
      <c r="G450" s="832" t="s">
        <v>257</v>
      </c>
      <c r="H450" s="833"/>
      <c r="I450" s="479" t="s">
        <v>258</v>
      </c>
      <c r="J450" s="477" t="s">
        <v>259</v>
      </c>
      <c r="K450" s="832" t="s">
        <v>260</v>
      </c>
      <c r="L450" s="834"/>
    </row>
    <row r="451" spans="1:12" ht="27.95" customHeight="1">
      <c r="A451" s="113"/>
      <c r="B451" s="187">
        <v>1</v>
      </c>
      <c r="C451" s="221"/>
      <c r="D451" s="221"/>
      <c r="E451" s="188">
        <v>2</v>
      </c>
      <c r="F451" s="222"/>
      <c r="G451" s="188">
        <v>3</v>
      </c>
      <c r="H451" s="419"/>
      <c r="I451" s="419">
        <v>4</v>
      </c>
      <c r="J451" s="448">
        <v>5</v>
      </c>
      <c r="K451" s="115"/>
      <c r="L451" s="116">
        <v>6</v>
      </c>
    </row>
    <row r="452" spans="1:12" ht="27.95" customHeight="1">
      <c r="A452" s="113"/>
      <c r="B452" s="114" t="e">
        <f>'0422Master'!#REF!</f>
        <v>#REF!</v>
      </c>
      <c r="C452" s="202"/>
      <c r="D452" s="203"/>
      <c r="E452" s="204" t="s">
        <v>280</v>
      </c>
      <c r="F452" s="203"/>
      <c r="G452" s="204" t="s">
        <v>262</v>
      </c>
      <c r="H452" s="80"/>
      <c r="I452" s="308" t="s">
        <v>281</v>
      </c>
      <c r="J452" s="478">
        <v>1</v>
      </c>
      <c r="K452" s="205" t="s">
        <v>109</v>
      </c>
      <c r="L452" s="211"/>
    </row>
    <row r="453" spans="1:12" ht="27.95" customHeight="1">
      <c r="A453" s="113"/>
      <c r="B453" s="114"/>
      <c r="C453" s="202"/>
      <c r="D453" s="203"/>
      <c r="E453" s="204"/>
      <c r="F453" s="203"/>
      <c r="G453" s="204"/>
      <c r="H453" s="80"/>
      <c r="I453" s="308"/>
      <c r="J453" s="308"/>
      <c r="K453" s="205"/>
      <c r="L453" s="211"/>
    </row>
    <row r="454" spans="1:12" ht="27.95" customHeight="1">
      <c r="A454" s="113"/>
      <c r="B454" s="114"/>
      <c r="C454" s="202"/>
      <c r="D454" s="203"/>
      <c r="E454" s="204"/>
      <c r="F454" s="203"/>
      <c r="G454" s="204"/>
      <c r="H454" s="80"/>
      <c r="I454" s="308"/>
      <c r="J454" s="308"/>
      <c r="K454" s="205"/>
      <c r="L454" s="211"/>
    </row>
    <row r="455" spans="1:12" ht="27.95" customHeight="1">
      <c r="A455" s="113"/>
      <c r="B455" s="86"/>
      <c r="C455" s="46"/>
      <c r="D455" s="87"/>
      <c r="E455" s="204"/>
      <c r="F455" s="203"/>
      <c r="G455" s="204"/>
      <c r="H455" s="80"/>
      <c r="I455" s="308"/>
      <c r="J455" s="308"/>
      <c r="K455" s="205"/>
      <c r="L455" s="211"/>
    </row>
    <row r="456" spans="1:12" ht="27.95" customHeight="1">
      <c r="A456" s="113"/>
      <c r="B456" s="27" t="s">
        <v>264</v>
      </c>
      <c r="C456" s="27"/>
      <c r="D456" s="27"/>
      <c r="E456" s="27"/>
      <c r="F456" s="27"/>
      <c r="G456" s="27"/>
      <c r="H456" s="27"/>
      <c r="I456" s="27"/>
      <c r="J456" s="27"/>
      <c r="K456" s="27"/>
      <c r="L456" s="41"/>
    </row>
    <row r="457" spans="1:12" ht="27.95" customHeight="1">
      <c r="A457" s="40"/>
      <c r="B457" s="27" t="s">
        <v>265</v>
      </c>
      <c r="C457" s="27"/>
      <c r="D457" s="27"/>
      <c r="E457" s="27"/>
      <c r="F457" s="27"/>
      <c r="G457" s="27"/>
      <c r="H457" s="27"/>
      <c r="I457" s="27"/>
      <c r="J457" s="27"/>
      <c r="K457" s="27"/>
      <c r="L457" s="41"/>
    </row>
    <row r="458" spans="1:12" ht="27.95" customHeight="1">
      <c r="A458" s="40"/>
      <c r="B458" s="27" t="s">
        <v>282</v>
      </c>
      <c r="C458" s="27"/>
      <c r="D458" s="27"/>
      <c r="E458" s="27"/>
      <c r="F458" s="27"/>
      <c r="G458" s="27"/>
      <c r="H458" s="27"/>
      <c r="I458" s="27"/>
      <c r="J458" s="27" t="s">
        <v>283</v>
      </c>
      <c r="K458" s="27"/>
      <c r="L458" s="41"/>
    </row>
    <row r="459" spans="1:12" ht="24" customHeight="1">
      <c r="A459" s="40"/>
      <c r="B459" s="100"/>
      <c r="C459" s="100"/>
      <c r="D459" s="100"/>
      <c r="E459" s="100"/>
      <c r="F459" s="27"/>
      <c r="G459" s="108" t="s">
        <v>284</v>
      </c>
      <c r="H459" s="108"/>
      <c r="I459" s="108"/>
      <c r="J459" s="108"/>
      <c r="K459" s="108"/>
      <c r="L459" s="109"/>
    </row>
    <row r="460" spans="1:12" ht="18" customHeight="1">
      <c r="A460" s="40"/>
      <c r="B460" s="108"/>
      <c r="C460" s="100"/>
      <c r="D460" s="100"/>
      <c r="E460" s="100"/>
      <c r="F460" s="100"/>
      <c r="G460" s="27" t="s">
        <v>285</v>
      </c>
      <c r="H460" s="108"/>
      <c r="I460" s="108"/>
      <c r="J460" s="108"/>
      <c r="K460" s="108"/>
      <c r="L460" s="109"/>
    </row>
    <row r="461" spans="1:12" ht="18.75" customHeight="1">
      <c r="A461" s="40"/>
      <c r="B461" s="193" t="s">
        <v>286</v>
      </c>
      <c r="C461" s="412"/>
      <c r="D461" s="412"/>
      <c r="E461" s="412"/>
      <c r="F461" s="412"/>
      <c r="G461" s="412"/>
      <c r="H461" s="411"/>
      <c r="I461" s="411"/>
      <c r="J461" s="411"/>
      <c r="K461" s="411"/>
      <c r="L461" s="195"/>
    </row>
    <row r="462" spans="1:12">
      <c r="A462" s="40"/>
      <c r="B462" s="193" t="s">
        <v>287</v>
      </c>
      <c r="C462" s="412"/>
      <c r="D462" s="412"/>
      <c r="E462" s="412"/>
      <c r="F462" s="412"/>
      <c r="G462" s="412"/>
      <c r="H462" s="411"/>
      <c r="I462" s="411"/>
      <c r="J462" s="410"/>
      <c r="K462" s="411"/>
      <c r="L462" s="195"/>
    </row>
    <row r="463" spans="1:12">
      <c r="A463" s="40"/>
      <c r="B463" s="114" t="s">
        <v>59</v>
      </c>
      <c r="C463" s="854" t="s">
        <v>288</v>
      </c>
      <c r="D463" s="830"/>
      <c r="E463" s="830"/>
      <c r="F463" s="830"/>
      <c r="G463" s="830"/>
      <c r="H463" s="855"/>
      <c r="I463" s="416" t="s">
        <v>188</v>
      </c>
      <c r="J463" s="856" t="s">
        <v>289</v>
      </c>
      <c r="K463" s="857"/>
      <c r="L463" s="858"/>
    </row>
    <row r="464" spans="1:12">
      <c r="A464" s="40"/>
      <c r="B464" s="187">
        <v>1</v>
      </c>
      <c r="C464" s="220"/>
      <c r="D464" s="414"/>
      <c r="E464" s="186">
        <v>2</v>
      </c>
      <c r="F464" s="79"/>
      <c r="G464" s="850"/>
      <c r="H464" s="833"/>
      <c r="I464" s="414">
        <v>3</v>
      </c>
      <c r="J464" s="208" t="s">
        <v>290</v>
      </c>
      <c r="K464" s="859">
        <v>4</v>
      </c>
      <c r="L464" s="860"/>
    </row>
    <row r="465" spans="1:12">
      <c r="A465" s="40"/>
      <c r="B465" s="114"/>
      <c r="C465" s="220"/>
      <c r="D465" s="414"/>
      <c r="E465" s="186"/>
      <c r="F465" s="79"/>
      <c r="G465" s="850"/>
      <c r="H465" s="833"/>
      <c r="I465" s="205"/>
      <c r="J465" s="207"/>
      <c r="K465" s="850"/>
      <c r="L465" s="834"/>
    </row>
    <row r="466" spans="1:12">
      <c r="A466" s="40"/>
      <c r="B466" s="114"/>
      <c r="C466" s="220"/>
      <c r="D466" s="414"/>
      <c r="E466" s="186"/>
      <c r="F466" s="79"/>
      <c r="G466" s="850"/>
      <c r="H466" s="833"/>
      <c r="I466" s="205"/>
      <c r="J466" s="207"/>
      <c r="K466" s="850"/>
      <c r="L466" s="834"/>
    </row>
    <row r="467" spans="1:12" ht="15" customHeight="1">
      <c r="A467" s="40"/>
      <c r="B467" s="114"/>
      <c r="C467" s="220"/>
      <c r="D467" s="414"/>
      <c r="E467" s="186"/>
      <c r="F467" s="79"/>
      <c r="G467" s="850"/>
      <c r="H467" s="833"/>
      <c r="I467" s="205"/>
      <c r="J467" s="207"/>
      <c r="K467" s="850"/>
      <c r="L467" s="834"/>
    </row>
    <row r="468" spans="1:12">
      <c r="A468" s="40"/>
      <c r="B468" s="86"/>
      <c r="C468" s="220"/>
      <c r="D468" s="414"/>
      <c r="E468" s="186"/>
      <c r="F468" s="79"/>
      <c r="G468" s="850"/>
      <c r="H468" s="833"/>
      <c r="I468" s="205"/>
      <c r="J468" s="207"/>
      <c r="K468" s="850"/>
      <c r="L468" s="834"/>
    </row>
    <row r="469" spans="1:12">
      <c r="A469" s="40"/>
      <c r="B469" s="27" t="s">
        <v>291</v>
      </c>
      <c r="C469" s="27"/>
      <c r="D469" s="27"/>
      <c r="E469" s="27"/>
      <c r="F469" s="27"/>
      <c r="G469" s="27"/>
      <c r="H469" s="27"/>
      <c r="I469" s="27"/>
      <c r="J469" s="27"/>
      <c r="K469" s="27"/>
      <c r="L469" s="41"/>
    </row>
    <row r="470" spans="1:12">
      <c r="A470" s="40"/>
      <c r="B470" s="27" t="s">
        <v>292</v>
      </c>
      <c r="C470" s="27"/>
      <c r="D470" s="27"/>
      <c r="E470" s="27"/>
      <c r="F470" s="27"/>
      <c r="G470" s="27"/>
      <c r="H470" s="27"/>
      <c r="I470" s="27"/>
      <c r="J470" s="27"/>
      <c r="K470" s="27"/>
      <c r="L470" s="41"/>
    </row>
    <row r="471" spans="1:12">
      <c r="A471" s="40"/>
      <c r="B471" s="27" t="s">
        <v>293</v>
      </c>
      <c r="C471" s="27"/>
      <c r="D471" s="27"/>
      <c r="E471" s="27"/>
      <c r="F471" s="27"/>
      <c r="G471" s="27"/>
      <c r="H471" s="27"/>
      <c r="I471" s="27"/>
      <c r="J471" s="27"/>
      <c r="K471" s="27"/>
      <c r="L471" s="41"/>
    </row>
    <row r="472" spans="1:12">
      <c r="A472" s="40"/>
      <c r="B472" s="209" t="s">
        <v>294</v>
      </c>
      <c r="C472" s="27"/>
      <c r="D472" s="27"/>
      <c r="E472" s="27"/>
      <c r="F472" s="27"/>
      <c r="G472" s="27"/>
      <c r="H472" s="27"/>
      <c r="I472" s="27"/>
      <c r="J472" s="27"/>
      <c r="K472" s="27"/>
      <c r="L472" s="41"/>
    </row>
    <row r="473" spans="1:12">
      <c r="A473" s="40"/>
      <c r="B473" s="204" t="s">
        <v>295</v>
      </c>
      <c r="C473" s="79"/>
      <c r="D473" s="79"/>
      <c r="E473" s="79"/>
      <c r="F473" s="80"/>
      <c r="G473" s="204" t="s">
        <v>258</v>
      </c>
      <c r="H473" s="80"/>
      <c r="I473" s="204" t="s">
        <v>296</v>
      </c>
      <c r="J473" s="79"/>
      <c r="K473" s="80"/>
      <c r="L473" s="41"/>
    </row>
    <row r="474" spans="1:12">
      <c r="A474" s="40"/>
      <c r="B474" s="835"/>
      <c r="C474" s="849"/>
      <c r="D474" s="849"/>
      <c r="E474" s="849"/>
      <c r="F474" s="836"/>
      <c r="G474" s="835"/>
      <c r="H474" s="836"/>
      <c r="I474" s="835"/>
      <c r="J474" s="849"/>
      <c r="K474" s="836"/>
      <c r="L474" s="41"/>
    </row>
    <row r="475" spans="1:12">
      <c r="A475" s="40"/>
      <c r="B475" s="835"/>
      <c r="C475" s="849"/>
      <c r="D475" s="849"/>
      <c r="E475" s="849"/>
      <c r="F475" s="836"/>
      <c r="G475" s="835"/>
      <c r="H475" s="836"/>
      <c r="I475" s="835"/>
      <c r="J475" s="849"/>
      <c r="K475" s="836"/>
      <c r="L475" s="41"/>
    </row>
    <row r="476" spans="1:12">
      <c r="A476" s="40"/>
      <c r="B476" s="835"/>
      <c r="C476" s="849"/>
      <c r="D476" s="849"/>
      <c r="E476" s="849"/>
      <c r="F476" s="836"/>
      <c r="G476" s="835"/>
      <c r="H476" s="836"/>
      <c r="I476" s="835"/>
      <c r="J476" s="849"/>
      <c r="K476" s="836"/>
      <c r="L476" s="41"/>
    </row>
    <row r="477" spans="1:12">
      <c r="A477" s="40"/>
      <c r="B477" s="835"/>
      <c r="C477" s="849"/>
      <c r="D477" s="849"/>
      <c r="E477" s="849"/>
      <c r="F477" s="836"/>
      <c r="G477" s="835"/>
      <c r="H477" s="836"/>
      <c r="I477" s="835"/>
      <c r="J477" s="849"/>
      <c r="K477" s="836"/>
      <c r="L477" s="41"/>
    </row>
    <row r="478" spans="1:12">
      <c r="A478" s="40"/>
      <c r="B478" s="27"/>
      <c r="C478" s="27"/>
      <c r="D478" s="27"/>
      <c r="E478" s="27"/>
      <c r="F478" s="27"/>
      <c r="G478" s="27"/>
      <c r="H478" s="27"/>
      <c r="I478" s="27"/>
      <c r="J478" s="27"/>
      <c r="K478" s="27"/>
      <c r="L478" s="41"/>
    </row>
    <row r="479" spans="1:12">
      <c r="A479" s="40"/>
      <c r="B479" s="27" t="s">
        <v>274</v>
      </c>
      <c r="C479" s="297" t="e">
        <f>'0422Master'!#REF!</f>
        <v>#REF!</v>
      </c>
      <c r="D479" s="27"/>
      <c r="E479" s="27"/>
      <c r="F479" s="27"/>
      <c r="G479" s="27"/>
      <c r="H479" s="27"/>
      <c r="I479" s="27" t="s">
        <v>297</v>
      </c>
      <c r="J479" s="27"/>
      <c r="K479" s="27"/>
      <c r="L479" s="41"/>
    </row>
    <row r="480" spans="1:12" ht="18.75">
      <c r="A480" s="40"/>
      <c r="B480" s="27"/>
      <c r="C480" s="27"/>
      <c r="D480" s="27"/>
      <c r="E480" s="27"/>
      <c r="F480" s="190" t="s">
        <v>268</v>
      </c>
      <c r="G480" s="27"/>
      <c r="H480" s="27"/>
      <c r="I480" s="27"/>
      <c r="J480" s="27"/>
      <c r="K480" s="27"/>
      <c r="L480" s="41"/>
    </row>
    <row r="481" spans="1:12">
      <c r="A481" s="40" t="s">
        <v>269</v>
      </c>
      <c r="B481" s="27"/>
      <c r="C481" s="27"/>
      <c r="D481" s="27"/>
      <c r="E481" s="27"/>
      <c r="F481" s="27"/>
      <c r="G481" s="27"/>
      <c r="H481" s="27"/>
      <c r="I481" s="27"/>
      <c r="J481" s="27"/>
      <c r="K481" s="243" t="e">
        <f>'0422Master'!#REF!</f>
        <v>#REF!</v>
      </c>
      <c r="L481" s="41"/>
    </row>
    <row r="482" spans="1:12" ht="27.95" customHeight="1">
      <c r="A482" s="40" t="s">
        <v>270</v>
      </c>
      <c r="B482" s="27"/>
      <c r="C482" s="27"/>
      <c r="D482" s="27"/>
      <c r="E482" s="27"/>
      <c r="F482" s="27"/>
      <c r="G482" s="27"/>
      <c r="H482" s="27"/>
      <c r="I482" s="27"/>
      <c r="J482" s="27"/>
      <c r="K482" s="27"/>
      <c r="L482" s="41"/>
    </row>
    <row r="483" spans="1:12" ht="27.95" customHeight="1">
      <c r="A483" s="40"/>
      <c r="B483" s="27"/>
      <c r="C483" s="27"/>
      <c r="D483" s="27"/>
      <c r="E483" s="27"/>
      <c r="F483" s="27" t="s">
        <v>271</v>
      </c>
      <c r="G483" s="27"/>
      <c r="H483" s="27"/>
      <c r="I483" s="27"/>
      <c r="J483" s="27"/>
      <c r="K483" s="27"/>
      <c r="L483" s="41"/>
    </row>
    <row r="484" spans="1:12" ht="27.95" customHeight="1">
      <c r="A484" s="40" t="s">
        <v>272</v>
      </c>
      <c r="B484" s="27" t="s">
        <v>273</v>
      </c>
      <c r="C484" s="27"/>
      <c r="D484" s="27"/>
      <c r="E484" s="27"/>
      <c r="F484" s="27" t="str">
        <f>'0422Master'!F5</f>
        <v>Burgeon IT Services Pvt.Ltd.</v>
      </c>
      <c r="G484" s="27"/>
      <c r="H484" s="27"/>
      <c r="I484" s="27"/>
      <c r="J484" s="27"/>
      <c r="K484" s="27"/>
      <c r="L484" s="41"/>
    </row>
    <row r="485" spans="1:12" ht="27.95" customHeight="1" thickBot="1">
      <c r="A485" s="54" t="s">
        <v>274</v>
      </c>
      <c r="B485" s="300" t="e">
        <f>'0422Master'!#REF!</f>
        <v>#REF!</v>
      </c>
      <c r="C485" s="52"/>
      <c r="D485" s="52"/>
      <c r="E485" s="52"/>
      <c r="F485" s="191" t="str">
        <f>'0422Master'!F6</f>
        <v>Siri Mansion LIGB 436 Dr.A S Rao Nagar,Hyderabad</v>
      </c>
      <c r="G485" s="191"/>
      <c r="H485" s="191"/>
      <c r="I485" s="191"/>
      <c r="J485" s="191"/>
      <c r="K485" s="191"/>
      <c r="L485" s="53"/>
    </row>
    <row r="486" spans="1:12" ht="27.95" customHeight="1">
      <c r="A486" s="128"/>
      <c r="B486" s="97"/>
      <c r="C486" s="97"/>
      <c r="D486" s="196"/>
      <c r="E486" s="196"/>
      <c r="F486" s="196"/>
      <c r="G486" s="196"/>
      <c r="H486" s="196"/>
      <c r="I486" s="196"/>
      <c r="J486" s="97"/>
      <c r="K486" s="198" t="s">
        <v>275</v>
      </c>
      <c r="L486" s="197"/>
    </row>
    <row r="487" spans="1:12" ht="27.95" customHeight="1">
      <c r="A487" s="40"/>
      <c r="B487" s="851" t="s">
        <v>276</v>
      </c>
      <c r="C487" s="851"/>
      <c r="D487" s="851"/>
      <c r="E487" s="851"/>
      <c r="F487" s="851"/>
      <c r="G487" s="851"/>
      <c r="H487" s="851"/>
      <c r="I487" s="851"/>
      <c r="J487" s="851"/>
      <c r="K487" s="851"/>
      <c r="L487" s="852"/>
    </row>
    <row r="488" spans="1:12" ht="21.75" customHeight="1">
      <c r="A488" s="40"/>
      <c r="B488" s="846" t="s">
        <v>277</v>
      </c>
      <c r="C488" s="846"/>
      <c r="D488" s="846"/>
      <c r="E488" s="846"/>
      <c r="F488" s="846"/>
      <c r="G488" s="846"/>
      <c r="H488" s="846"/>
      <c r="I488" s="846"/>
      <c r="J488" s="846"/>
      <c r="K488" s="846"/>
      <c r="L488" s="853"/>
    </row>
    <row r="489" spans="1:12" ht="27.95" customHeight="1">
      <c r="A489" s="40"/>
      <c r="B489" s="201" t="s">
        <v>278</v>
      </c>
      <c r="C489" s="199"/>
      <c r="D489" s="199"/>
      <c r="E489" s="199"/>
      <c r="F489" s="199"/>
      <c r="G489" s="27"/>
      <c r="H489" s="200"/>
      <c r="I489" s="200"/>
      <c r="J489" s="200"/>
      <c r="K489" s="200"/>
      <c r="L489" s="210"/>
    </row>
    <row r="490" spans="1:12" ht="27.95" customHeight="1">
      <c r="A490" s="40"/>
      <c r="B490" s="744" t="s">
        <v>244</v>
      </c>
      <c r="C490" s="744"/>
      <c r="D490" s="744"/>
      <c r="E490" s="744"/>
      <c r="F490" s="744"/>
      <c r="G490" s="744"/>
      <c r="H490" s="741">
        <f>'0422Master'!B484</f>
        <v>0</v>
      </c>
      <c r="I490" s="742"/>
      <c r="J490" s="742"/>
      <c r="K490" s="742"/>
      <c r="L490" s="743"/>
    </row>
    <row r="491" spans="1:12" ht="24" customHeight="1">
      <c r="A491" s="40"/>
      <c r="B491" s="740" t="s">
        <v>245</v>
      </c>
      <c r="C491" s="740"/>
      <c r="D491" s="740"/>
      <c r="E491" s="740"/>
      <c r="F491" s="740"/>
      <c r="G491" s="740"/>
      <c r="H491" s="741">
        <f>'0422Master'!E484</f>
        <v>0</v>
      </c>
      <c r="I491" s="742"/>
      <c r="J491" s="742"/>
      <c r="K491" s="742"/>
      <c r="L491" s="743"/>
    </row>
    <row r="492" spans="1:12" ht="24.75" customHeight="1">
      <c r="A492" s="40"/>
      <c r="B492" s="744" t="s">
        <v>246</v>
      </c>
      <c r="C492" s="744"/>
      <c r="D492" s="744"/>
      <c r="E492" s="744"/>
      <c r="F492" s="744"/>
      <c r="G492" s="744"/>
      <c r="H492" s="741">
        <f>'0422Master'!C484</f>
        <v>0</v>
      </c>
      <c r="I492" s="742"/>
      <c r="J492" s="742"/>
      <c r="K492" s="742"/>
      <c r="L492" s="743"/>
    </row>
    <row r="493" spans="1:12" ht="26.25" customHeight="1">
      <c r="A493" s="40"/>
      <c r="B493" s="744" t="s">
        <v>247</v>
      </c>
      <c r="C493" s="744"/>
      <c r="D493" s="744"/>
      <c r="E493" s="744"/>
      <c r="F493" s="744"/>
      <c r="G493" s="744"/>
      <c r="H493" s="837">
        <f>'0422Master'!D484</f>
        <v>0</v>
      </c>
      <c r="I493" s="742"/>
      <c r="J493" s="742"/>
      <c r="K493" s="742"/>
      <c r="L493" s="743"/>
    </row>
    <row r="494" spans="1:12" ht="25.5" customHeight="1">
      <c r="A494" s="40"/>
      <c r="B494" s="114" t="s">
        <v>248</v>
      </c>
      <c r="C494" s="221"/>
      <c r="D494" s="221"/>
      <c r="E494" s="221"/>
      <c r="F494" s="221"/>
      <c r="G494" s="221"/>
      <c r="H494" s="838" t="s">
        <v>249</v>
      </c>
      <c r="I494" s="839"/>
      <c r="J494" s="839"/>
      <c r="K494" s="839"/>
      <c r="L494" s="840"/>
    </row>
    <row r="495" spans="1:12" ht="27.95" customHeight="1">
      <c r="A495" s="40"/>
      <c r="B495" s="114" t="s">
        <v>250</v>
      </c>
      <c r="C495" s="221"/>
      <c r="D495" s="221"/>
      <c r="E495" s="221"/>
      <c r="F495" s="221"/>
      <c r="G495" s="221"/>
      <c r="H495" s="418"/>
      <c r="I495" s="414"/>
      <c r="J495" s="189"/>
      <c r="K495" s="414"/>
      <c r="L495" s="415"/>
    </row>
    <row r="496" spans="1:12" ht="24" customHeight="1">
      <c r="A496" s="40"/>
      <c r="B496" s="755" t="s">
        <v>251</v>
      </c>
      <c r="C496" s="755"/>
      <c r="D496" s="755"/>
      <c r="E496" s="755"/>
      <c r="F496" s="755"/>
      <c r="G496" s="755"/>
      <c r="H496" s="756">
        <f>'0422Master'!G484</f>
        <v>0</v>
      </c>
      <c r="I496" s="757"/>
      <c r="J496" s="757"/>
      <c r="K496" s="757"/>
      <c r="L496" s="758"/>
    </row>
    <row r="497" spans="1:12" ht="22.5" customHeight="1">
      <c r="A497" s="40"/>
      <c r="B497" s="744"/>
      <c r="C497" s="744"/>
      <c r="D497" s="744"/>
      <c r="E497" s="744"/>
      <c r="F497" s="744"/>
      <c r="G497" s="744"/>
      <c r="H497" s="751">
        <f>'0422Master'!H484</f>
        <v>0</v>
      </c>
      <c r="I497" s="742"/>
      <c r="J497" s="742"/>
      <c r="K497" s="742"/>
      <c r="L497" s="743"/>
    </row>
    <row r="498" spans="1:12" ht="18.75" customHeight="1">
      <c r="A498" s="40"/>
      <c r="B498" s="744"/>
      <c r="C498" s="744"/>
      <c r="D498" s="744"/>
      <c r="E498" s="744"/>
      <c r="F498" s="744"/>
      <c r="G498" s="744"/>
      <c r="H498" s="741">
        <f>'0422Master'!I484</f>
        <v>0</v>
      </c>
      <c r="I498" s="742"/>
      <c r="J498" s="742"/>
      <c r="K498" s="742"/>
      <c r="L498" s="743"/>
    </row>
    <row r="499" spans="1:12">
      <c r="A499" s="40"/>
      <c r="B499" s="100"/>
      <c r="C499" s="100"/>
      <c r="D499" s="100"/>
      <c r="E499" s="100"/>
      <c r="F499" s="27"/>
      <c r="G499" s="108" t="s">
        <v>279</v>
      </c>
      <c r="H499" s="108"/>
      <c r="I499" s="108"/>
      <c r="J499" s="108"/>
      <c r="K499" s="108"/>
      <c r="L499" s="109"/>
    </row>
    <row r="500" spans="1:12">
      <c r="A500" s="40"/>
      <c r="B500" s="193" t="s">
        <v>253</v>
      </c>
      <c r="C500" s="412"/>
      <c r="D500" s="412"/>
      <c r="E500" s="412"/>
      <c r="F500" s="412"/>
      <c r="G500" s="412"/>
      <c r="H500" s="411"/>
      <c r="I500" s="411"/>
      <c r="J500" s="411"/>
      <c r="K500" s="411"/>
      <c r="L500" s="195"/>
    </row>
    <row r="501" spans="1:12">
      <c r="A501" s="40"/>
      <c r="B501" s="193" t="s">
        <v>254</v>
      </c>
      <c r="C501" s="412"/>
      <c r="D501" s="412"/>
      <c r="E501" s="412"/>
      <c r="F501" s="412"/>
      <c r="G501" s="412"/>
      <c r="H501" s="411"/>
      <c r="I501" s="411"/>
      <c r="J501" s="410"/>
      <c r="K501" s="411"/>
      <c r="L501" s="195"/>
    </row>
    <row r="502" spans="1:12" ht="45">
      <c r="A502" s="113"/>
      <c r="B502" s="114" t="s">
        <v>255</v>
      </c>
      <c r="C502" s="221"/>
      <c r="D502" s="419"/>
      <c r="E502" s="413" t="s">
        <v>256</v>
      </c>
      <c r="F502" s="80"/>
      <c r="G502" s="832" t="s">
        <v>257</v>
      </c>
      <c r="H502" s="833"/>
      <c r="I502" s="479" t="s">
        <v>258</v>
      </c>
      <c r="J502" s="477" t="s">
        <v>259</v>
      </c>
      <c r="K502" s="832" t="s">
        <v>260</v>
      </c>
      <c r="L502" s="834"/>
    </row>
    <row r="503" spans="1:12" ht="15" customHeight="1">
      <c r="A503" s="113"/>
      <c r="B503" s="187">
        <v>1</v>
      </c>
      <c r="C503" s="221"/>
      <c r="D503" s="221"/>
      <c r="E503" s="188">
        <v>2</v>
      </c>
      <c r="F503" s="222"/>
      <c r="G503" s="188">
        <v>3</v>
      </c>
      <c r="H503" s="419"/>
      <c r="I503" s="419">
        <v>4</v>
      </c>
      <c r="J503" s="448">
        <v>5</v>
      </c>
      <c r="K503" s="115"/>
      <c r="L503" s="116">
        <v>6</v>
      </c>
    </row>
    <row r="504" spans="1:12">
      <c r="A504" s="113"/>
      <c r="B504" s="114"/>
      <c r="C504" s="202"/>
      <c r="D504" s="203"/>
      <c r="E504" s="204" t="s">
        <v>280</v>
      </c>
      <c r="F504" s="203"/>
      <c r="G504" s="204" t="s">
        <v>262</v>
      </c>
      <c r="H504" s="80"/>
      <c r="I504" s="308" t="s">
        <v>281</v>
      </c>
      <c r="J504" s="478">
        <v>1</v>
      </c>
      <c r="K504" s="205" t="s">
        <v>109</v>
      </c>
      <c r="L504" s="211"/>
    </row>
    <row r="505" spans="1:12">
      <c r="A505" s="113"/>
      <c r="B505" s="114"/>
      <c r="C505" s="202"/>
      <c r="D505" s="203"/>
      <c r="E505" s="204"/>
      <c r="F505" s="203"/>
      <c r="G505" s="204"/>
      <c r="H505" s="80"/>
      <c r="I505" s="308"/>
      <c r="J505" s="308"/>
      <c r="K505" s="205"/>
      <c r="L505" s="211"/>
    </row>
    <row r="506" spans="1:12">
      <c r="A506" s="113"/>
      <c r="B506" s="114"/>
      <c r="C506" s="202"/>
      <c r="D506" s="203"/>
      <c r="E506" s="204"/>
      <c r="F506" s="203"/>
      <c r="G506" s="204"/>
      <c r="H506" s="80"/>
      <c r="I506" s="308"/>
      <c r="J506" s="308"/>
      <c r="K506" s="205"/>
      <c r="L506" s="211"/>
    </row>
    <row r="507" spans="1:12">
      <c r="A507" s="113"/>
      <c r="B507" s="86"/>
      <c r="C507" s="46"/>
      <c r="D507" s="87"/>
      <c r="E507" s="204"/>
      <c r="F507" s="203"/>
      <c r="G507" s="204"/>
      <c r="H507" s="80"/>
      <c r="I507" s="308"/>
      <c r="J507" s="308"/>
      <c r="K507" s="205"/>
      <c r="L507" s="211"/>
    </row>
    <row r="508" spans="1:12">
      <c r="A508" s="113"/>
      <c r="B508" s="27" t="s">
        <v>264</v>
      </c>
      <c r="C508" s="27"/>
      <c r="D508" s="27"/>
      <c r="E508" s="27"/>
      <c r="F508" s="27"/>
      <c r="G508" s="27"/>
      <c r="H508" s="27"/>
      <c r="I508" s="27"/>
      <c r="J508" s="27"/>
      <c r="K508" s="27"/>
      <c r="L508" s="41"/>
    </row>
    <row r="509" spans="1:12">
      <c r="A509" s="40"/>
      <c r="B509" s="27" t="s">
        <v>265</v>
      </c>
      <c r="C509" s="27"/>
      <c r="D509" s="27"/>
      <c r="E509" s="27"/>
      <c r="F509" s="27"/>
      <c r="G509" s="27"/>
      <c r="H509" s="27"/>
      <c r="I509" s="27"/>
      <c r="J509" s="27"/>
      <c r="K509" s="27"/>
      <c r="L509" s="41"/>
    </row>
    <row r="510" spans="1:12">
      <c r="A510" s="40"/>
      <c r="B510" s="27" t="s">
        <v>282</v>
      </c>
      <c r="C510" s="27"/>
      <c r="D510" s="27"/>
      <c r="E510" s="27"/>
      <c r="F510" s="27"/>
      <c r="G510" s="27"/>
      <c r="H510" s="27"/>
      <c r="I510" s="27"/>
      <c r="J510" s="27" t="s">
        <v>283</v>
      </c>
      <c r="K510" s="27"/>
      <c r="L510" s="41"/>
    </row>
    <row r="511" spans="1:12">
      <c r="A511" s="40"/>
      <c r="B511" s="100"/>
      <c r="C511" s="100"/>
      <c r="D511" s="100"/>
      <c r="E511" s="100"/>
      <c r="F511" s="27"/>
      <c r="G511" s="108" t="s">
        <v>284</v>
      </c>
      <c r="H511" s="108"/>
      <c r="I511" s="108"/>
      <c r="J511" s="108"/>
      <c r="K511" s="108"/>
      <c r="L511" s="109"/>
    </row>
    <row r="512" spans="1:12">
      <c r="A512" s="40"/>
      <c r="B512" s="108"/>
      <c r="C512" s="100"/>
      <c r="D512" s="100"/>
      <c r="E512" s="100"/>
      <c r="F512" s="100"/>
      <c r="G512" s="27" t="s">
        <v>285</v>
      </c>
      <c r="H512" s="108"/>
      <c r="I512" s="108"/>
      <c r="J512" s="108"/>
      <c r="K512" s="108"/>
      <c r="L512" s="109"/>
    </row>
    <row r="513" spans="1:12">
      <c r="A513" s="40"/>
      <c r="B513" s="193" t="s">
        <v>286</v>
      </c>
      <c r="C513" s="412"/>
      <c r="D513" s="412"/>
      <c r="E513" s="412"/>
      <c r="F513" s="412"/>
      <c r="G513" s="412"/>
      <c r="H513" s="411"/>
      <c r="I513" s="411"/>
      <c r="J513" s="411"/>
      <c r="K513" s="411"/>
      <c r="L513" s="195"/>
    </row>
    <row r="514" spans="1:12">
      <c r="A514" s="40"/>
      <c r="B514" s="193" t="s">
        <v>287</v>
      </c>
      <c r="C514" s="412"/>
      <c r="D514" s="412"/>
      <c r="E514" s="412"/>
      <c r="F514" s="412"/>
      <c r="G514" s="412"/>
      <c r="H514" s="411"/>
      <c r="I514" s="411"/>
      <c r="J514" s="410"/>
      <c r="K514" s="411"/>
      <c r="L514" s="195"/>
    </row>
    <row r="515" spans="1:12">
      <c r="A515" s="40"/>
      <c r="B515" s="114" t="s">
        <v>59</v>
      </c>
      <c r="C515" s="854" t="s">
        <v>288</v>
      </c>
      <c r="D515" s="830"/>
      <c r="E515" s="830"/>
      <c r="F515" s="830"/>
      <c r="G515" s="830"/>
      <c r="H515" s="855"/>
      <c r="I515" s="416" t="s">
        <v>188</v>
      </c>
      <c r="J515" s="856" t="s">
        <v>289</v>
      </c>
      <c r="K515" s="857"/>
      <c r="L515" s="858"/>
    </row>
    <row r="516" spans="1:12">
      <c r="A516" s="40"/>
      <c r="B516" s="187">
        <v>1</v>
      </c>
      <c r="C516" s="220"/>
      <c r="D516" s="414"/>
      <c r="E516" s="186">
        <v>2</v>
      </c>
      <c r="F516" s="79"/>
      <c r="G516" s="850"/>
      <c r="H516" s="833"/>
      <c r="I516" s="414">
        <v>3</v>
      </c>
      <c r="J516" s="208" t="s">
        <v>290</v>
      </c>
      <c r="K516" s="859">
        <v>4</v>
      </c>
      <c r="L516" s="860"/>
    </row>
    <row r="517" spans="1:12">
      <c r="A517" s="40"/>
      <c r="B517" s="114"/>
      <c r="C517" s="220"/>
      <c r="D517" s="414"/>
      <c r="E517" s="186"/>
      <c r="F517" s="79"/>
      <c r="G517" s="850"/>
      <c r="H517" s="833"/>
      <c r="I517" s="205"/>
      <c r="J517" s="207"/>
      <c r="K517" s="850"/>
      <c r="L517" s="834"/>
    </row>
    <row r="518" spans="1:12" ht="27.95" customHeight="1">
      <c r="A518" s="40"/>
      <c r="B518" s="114"/>
      <c r="C518" s="220"/>
      <c r="D518" s="414"/>
      <c r="E518" s="186"/>
      <c r="F518" s="79"/>
      <c r="G518" s="850"/>
      <c r="H518" s="833"/>
      <c r="I518" s="205"/>
      <c r="J518" s="207"/>
      <c r="K518" s="850"/>
      <c r="L518" s="834"/>
    </row>
    <row r="519" spans="1:12" ht="27.95" customHeight="1">
      <c r="A519" s="40"/>
      <c r="B519" s="114"/>
      <c r="C519" s="220"/>
      <c r="D519" s="414"/>
      <c r="E519" s="186"/>
      <c r="F519" s="79"/>
      <c r="G519" s="850"/>
      <c r="H519" s="833"/>
      <c r="I519" s="205"/>
      <c r="J519" s="207"/>
      <c r="K519" s="850"/>
      <c r="L519" s="834"/>
    </row>
    <row r="520" spans="1:12" ht="27.95" customHeight="1">
      <c r="A520" s="40"/>
      <c r="B520" s="86"/>
      <c r="C520" s="220"/>
      <c r="D520" s="414"/>
      <c r="E520" s="186"/>
      <c r="F520" s="79"/>
      <c r="G520" s="850"/>
      <c r="H520" s="833"/>
      <c r="I520" s="205"/>
      <c r="J520" s="207"/>
      <c r="K520" s="850"/>
      <c r="L520" s="834"/>
    </row>
    <row r="521" spans="1:12" ht="25.5" customHeight="1">
      <c r="A521" s="40"/>
      <c r="B521" s="27" t="s">
        <v>291</v>
      </c>
      <c r="C521" s="27"/>
      <c r="D521" s="27"/>
      <c r="E521" s="27"/>
      <c r="F521" s="27"/>
      <c r="G521" s="27"/>
      <c r="H521" s="27"/>
      <c r="I521" s="27"/>
      <c r="J521" s="27"/>
      <c r="K521" s="27"/>
      <c r="L521" s="41"/>
    </row>
    <row r="522" spans="1:12" ht="18" customHeight="1">
      <c r="A522" s="40"/>
      <c r="B522" s="27" t="s">
        <v>292</v>
      </c>
      <c r="C522" s="27"/>
      <c r="D522" s="27"/>
      <c r="E522" s="27"/>
      <c r="F522" s="27"/>
      <c r="G522" s="27"/>
      <c r="H522" s="27"/>
      <c r="I522" s="27"/>
      <c r="J522" s="27"/>
      <c r="K522" s="27"/>
      <c r="L522" s="41"/>
    </row>
    <row r="523" spans="1:12" ht="16.5" customHeight="1">
      <c r="A523" s="40"/>
      <c r="B523" s="27" t="s">
        <v>293</v>
      </c>
      <c r="C523" s="27"/>
      <c r="D523" s="27"/>
      <c r="E523" s="27"/>
      <c r="F523" s="27"/>
      <c r="G523" s="27"/>
      <c r="H523" s="27"/>
      <c r="I523" s="27"/>
      <c r="J523" s="27"/>
      <c r="K523" s="27"/>
      <c r="L523" s="41"/>
    </row>
    <row r="524" spans="1:12" ht="16.5" customHeight="1">
      <c r="A524" s="40"/>
      <c r="B524" s="209" t="s">
        <v>294</v>
      </c>
      <c r="C524" s="27"/>
      <c r="D524" s="27"/>
      <c r="E524" s="27"/>
      <c r="F524" s="27"/>
      <c r="G524" s="27"/>
      <c r="H524" s="27"/>
      <c r="I524" s="27"/>
      <c r="J524" s="27"/>
      <c r="K524" s="27"/>
      <c r="L524" s="41"/>
    </row>
    <row r="525" spans="1:12" ht="27.95" customHeight="1">
      <c r="A525" s="40"/>
      <c r="B525" s="204" t="s">
        <v>295</v>
      </c>
      <c r="C525" s="79"/>
      <c r="D525" s="79"/>
      <c r="E525" s="79"/>
      <c r="F525" s="80"/>
      <c r="G525" s="204" t="s">
        <v>258</v>
      </c>
      <c r="H525" s="80"/>
      <c r="I525" s="204" t="s">
        <v>296</v>
      </c>
      <c r="J525" s="79"/>
      <c r="K525" s="80"/>
      <c r="L525" s="41"/>
    </row>
    <row r="526" spans="1:12" ht="24.75" customHeight="1">
      <c r="A526" s="40"/>
      <c r="B526" s="835"/>
      <c r="C526" s="849"/>
      <c r="D526" s="849"/>
      <c r="E526" s="849"/>
      <c r="F526" s="836"/>
      <c r="G526" s="835"/>
      <c r="H526" s="836"/>
      <c r="I526" s="835"/>
      <c r="J526" s="849"/>
      <c r="K526" s="836"/>
      <c r="L526" s="41"/>
    </row>
    <row r="527" spans="1:12" ht="23.25" customHeight="1">
      <c r="A527" s="40"/>
      <c r="B527" s="835"/>
      <c r="C527" s="849"/>
      <c r="D527" s="849"/>
      <c r="E527" s="849"/>
      <c r="F527" s="836"/>
      <c r="G527" s="835"/>
      <c r="H527" s="836"/>
      <c r="I527" s="835"/>
      <c r="J527" s="849"/>
      <c r="K527" s="836"/>
      <c r="L527" s="41"/>
    </row>
    <row r="528" spans="1:12" ht="21.75" customHeight="1">
      <c r="A528" s="40"/>
      <c r="B528" s="835"/>
      <c r="C528" s="849"/>
      <c r="D528" s="849"/>
      <c r="E528" s="849"/>
      <c r="F528" s="836"/>
      <c r="G528" s="835"/>
      <c r="H528" s="836"/>
      <c r="I528" s="835"/>
      <c r="J528" s="849"/>
      <c r="K528" s="836"/>
      <c r="L528" s="41"/>
    </row>
    <row r="529" spans="1:12" ht="19.5" customHeight="1">
      <c r="A529" s="40"/>
      <c r="B529" s="835"/>
      <c r="C529" s="849"/>
      <c r="D529" s="849"/>
      <c r="E529" s="849"/>
      <c r="F529" s="836"/>
      <c r="G529" s="835"/>
      <c r="H529" s="836"/>
      <c r="I529" s="835"/>
      <c r="J529" s="849"/>
      <c r="K529" s="836"/>
      <c r="L529" s="41"/>
    </row>
    <row r="530" spans="1:12" ht="27.95" customHeight="1">
      <c r="A530" s="40"/>
      <c r="B530" s="27" t="s">
        <v>274</v>
      </c>
      <c r="C530" s="27"/>
      <c r="D530" s="27"/>
      <c r="E530" s="27"/>
      <c r="F530" s="27"/>
      <c r="G530" s="27"/>
      <c r="H530" s="27"/>
      <c r="I530" s="27" t="s">
        <v>297</v>
      </c>
      <c r="J530" s="27"/>
      <c r="K530" s="27"/>
      <c r="L530" s="41"/>
    </row>
    <row r="531" spans="1:12" ht="24" customHeight="1">
      <c r="A531" s="40"/>
      <c r="B531" s="27"/>
      <c r="C531" s="27"/>
      <c r="D531" s="27"/>
      <c r="E531" s="27"/>
      <c r="F531" s="190" t="s">
        <v>268</v>
      </c>
      <c r="G531" s="27"/>
      <c r="H531" s="27"/>
      <c r="I531" s="27"/>
      <c r="J531" s="27"/>
      <c r="K531" s="27"/>
      <c r="L531" s="41"/>
    </row>
    <row r="532" spans="1:12" ht="27.95" customHeight="1">
      <c r="A532" s="40" t="s">
        <v>269</v>
      </c>
      <c r="B532" s="27"/>
      <c r="C532" s="27"/>
      <c r="D532" s="27"/>
      <c r="E532" s="27"/>
      <c r="F532" s="27"/>
      <c r="G532" s="27"/>
      <c r="H532" s="27"/>
      <c r="I532" s="27"/>
      <c r="J532" s="27"/>
      <c r="K532" s="27"/>
      <c r="L532" s="41"/>
    </row>
    <row r="533" spans="1:12" ht="27.95" customHeight="1">
      <c r="A533" s="40" t="s">
        <v>270</v>
      </c>
      <c r="B533" s="27"/>
      <c r="C533" s="27"/>
      <c r="D533" s="27"/>
      <c r="E533" s="27"/>
      <c r="F533" s="27"/>
      <c r="G533" s="27"/>
      <c r="H533" s="27"/>
      <c r="I533" s="27"/>
      <c r="J533" s="27"/>
      <c r="K533" s="27"/>
      <c r="L533" s="41"/>
    </row>
    <row r="534" spans="1:12" ht="27.95" customHeight="1">
      <c r="A534" s="40"/>
      <c r="B534" s="27"/>
      <c r="C534" s="27"/>
      <c r="D534" s="27"/>
      <c r="E534" s="27"/>
      <c r="F534" s="27" t="s">
        <v>271</v>
      </c>
      <c r="G534" s="27"/>
      <c r="H534" s="27"/>
      <c r="I534" s="27"/>
      <c r="J534" s="27"/>
      <c r="K534" s="27"/>
      <c r="L534" s="41"/>
    </row>
    <row r="535" spans="1:12">
      <c r="A535" s="40" t="s">
        <v>272</v>
      </c>
      <c r="B535" s="27"/>
      <c r="C535" s="27"/>
      <c r="D535" s="27"/>
      <c r="E535" s="27"/>
      <c r="F535" s="27">
        <f>'0422Master'!F474</f>
        <v>0</v>
      </c>
      <c r="G535" s="27"/>
      <c r="H535" s="27"/>
      <c r="I535" s="27"/>
      <c r="J535" s="27"/>
      <c r="K535" s="27"/>
      <c r="L535" s="41"/>
    </row>
    <row r="536" spans="1:12" ht="15.75" thickBot="1">
      <c r="A536" s="54" t="s">
        <v>274</v>
      </c>
      <c r="B536" s="52"/>
      <c r="C536" s="52"/>
      <c r="D536" s="52"/>
      <c r="E536" s="52"/>
      <c r="F536" s="191">
        <f>'0422Master'!F475</f>
        <v>0</v>
      </c>
      <c r="G536" s="191"/>
      <c r="H536" s="191"/>
      <c r="I536" s="191"/>
      <c r="J536" s="191"/>
      <c r="K536" s="191"/>
      <c r="L536" s="53"/>
    </row>
    <row r="537" spans="1:12" ht="32.25">
      <c r="A537" s="128"/>
      <c r="B537" s="97"/>
      <c r="C537" s="97"/>
      <c r="D537" s="196"/>
      <c r="E537" s="196"/>
      <c r="F537" s="196"/>
      <c r="G537" s="196"/>
      <c r="H537" s="196"/>
      <c r="I537" s="196"/>
      <c r="J537" s="97"/>
      <c r="K537" s="198" t="s">
        <v>275</v>
      </c>
      <c r="L537" s="197"/>
    </row>
    <row r="538" spans="1:12" ht="21">
      <c r="A538" s="40"/>
      <c r="B538" s="851" t="s">
        <v>276</v>
      </c>
      <c r="C538" s="851"/>
      <c r="D538" s="851"/>
      <c r="E538" s="851"/>
      <c r="F538" s="851"/>
      <c r="G538" s="851"/>
      <c r="H538" s="851"/>
      <c r="I538" s="851"/>
      <c r="J538" s="851"/>
      <c r="K538" s="851"/>
      <c r="L538" s="852"/>
    </row>
    <row r="539" spans="1:12" ht="15.75">
      <c r="A539" s="40"/>
      <c r="B539" s="846" t="s">
        <v>277</v>
      </c>
      <c r="C539" s="846"/>
      <c r="D539" s="846"/>
      <c r="E539" s="846"/>
      <c r="F539" s="846"/>
      <c r="G539" s="846"/>
      <c r="H539" s="846"/>
      <c r="I539" s="846"/>
      <c r="J539" s="846"/>
      <c r="K539" s="846"/>
      <c r="L539" s="853"/>
    </row>
    <row r="540" spans="1:12" ht="15" customHeight="1">
      <c r="A540" s="40"/>
      <c r="B540" s="201" t="s">
        <v>278</v>
      </c>
      <c r="C540" s="199"/>
      <c r="D540" s="199"/>
      <c r="E540" s="199"/>
      <c r="F540" s="199"/>
      <c r="G540" s="27"/>
      <c r="H540" s="200"/>
      <c r="I540" s="200"/>
      <c r="J540" s="200"/>
      <c r="K540" s="200"/>
      <c r="L540" s="210"/>
    </row>
    <row r="541" spans="1:12">
      <c r="A541" s="40"/>
      <c r="B541" s="744" t="s">
        <v>244</v>
      </c>
      <c r="C541" s="744"/>
      <c r="D541" s="744"/>
      <c r="E541" s="744"/>
      <c r="F541" s="744"/>
      <c r="G541" s="744"/>
      <c r="H541" s="741">
        <f>'0422Master'!B535</f>
        <v>0</v>
      </c>
      <c r="I541" s="742"/>
      <c r="J541" s="742"/>
      <c r="K541" s="742"/>
      <c r="L541" s="743"/>
    </row>
    <row r="542" spans="1:12">
      <c r="A542" s="40"/>
      <c r="B542" s="740" t="s">
        <v>245</v>
      </c>
      <c r="C542" s="740"/>
      <c r="D542" s="740"/>
      <c r="E542" s="740"/>
      <c r="F542" s="740"/>
      <c r="G542" s="740"/>
      <c r="H542" s="741">
        <f>'0422Master'!E535</f>
        <v>0</v>
      </c>
      <c r="I542" s="742"/>
      <c r="J542" s="742"/>
      <c r="K542" s="742"/>
      <c r="L542" s="743"/>
    </row>
    <row r="543" spans="1:12">
      <c r="A543" s="40"/>
      <c r="B543" s="744" t="s">
        <v>246</v>
      </c>
      <c r="C543" s="744"/>
      <c r="D543" s="744"/>
      <c r="E543" s="744"/>
      <c r="F543" s="744"/>
      <c r="G543" s="744"/>
      <c r="H543" s="741">
        <f>'0422Master'!C535</f>
        <v>0</v>
      </c>
      <c r="I543" s="742"/>
      <c r="J543" s="742"/>
      <c r="K543" s="742"/>
      <c r="L543" s="743"/>
    </row>
    <row r="544" spans="1:12">
      <c r="A544" s="40"/>
      <c r="B544" s="744" t="s">
        <v>247</v>
      </c>
      <c r="C544" s="744"/>
      <c r="D544" s="744"/>
      <c r="E544" s="744"/>
      <c r="F544" s="744"/>
      <c r="G544" s="744"/>
      <c r="H544" s="837">
        <f>'0422Master'!D535</f>
        <v>0</v>
      </c>
      <c r="I544" s="742"/>
      <c r="J544" s="742"/>
      <c r="K544" s="742"/>
      <c r="L544" s="743"/>
    </row>
    <row r="545" spans="1:12">
      <c r="A545" s="40"/>
      <c r="B545" s="114" t="s">
        <v>248</v>
      </c>
      <c r="C545" s="221"/>
      <c r="D545" s="221"/>
      <c r="E545" s="221"/>
      <c r="F545" s="221"/>
      <c r="G545" s="221"/>
      <c r="H545" s="838" t="s">
        <v>249</v>
      </c>
      <c r="I545" s="839"/>
      <c r="J545" s="839"/>
      <c r="K545" s="839"/>
      <c r="L545" s="840"/>
    </row>
    <row r="546" spans="1:12">
      <c r="A546" s="40"/>
      <c r="B546" s="114" t="s">
        <v>250</v>
      </c>
      <c r="C546" s="221"/>
      <c r="D546" s="221"/>
      <c r="E546" s="221"/>
      <c r="F546" s="221"/>
      <c r="G546" s="221"/>
      <c r="H546" s="418"/>
      <c r="I546" s="414"/>
      <c r="J546" s="189"/>
      <c r="K546" s="414"/>
      <c r="L546" s="415"/>
    </row>
    <row r="547" spans="1:12">
      <c r="A547" s="40"/>
      <c r="B547" s="755" t="s">
        <v>251</v>
      </c>
      <c r="C547" s="755"/>
      <c r="D547" s="755"/>
      <c r="E547" s="755"/>
      <c r="F547" s="755"/>
      <c r="G547" s="755"/>
      <c r="H547" s="756">
        <f>'0422Master'!G535</f>
        <v>0</v>
      </c>
      <c r="I547" s="757"/>
      <c r="J547" s="757"/>
      <c r="K547" s="757"/>
      <c r="L547" s="758"/>
    </row>
    <row r="548" spans="1:12">
      <c r="A548" s="40"/>
      <c r="B548" s="744"/>
      <c r="C548" s="744"/>
      <c r="D548" s="744"/>
      <c r="E548" s="744"/>
      <c r="F548" s="744"/>
      <c r="G548" s="744"/>
      <c r="H548" s="751">
        <f>'0422Master'!H535</f>
        <v>0</v>
      </c>
      <c r="I548" s="742"/>
      <c r="J548" s="742"/>
      <c r="K548" s="742"/>
      <c r="L548" s="743"/>
    </row>
    <row r="549" spans="1:12">
      <c r="A549" s="40"/>
      <c r="B549" s="744"/>
      <c r="C549" s="744"/>
      <c r="D549" s="744"/>
      <c r="E549" s="744"/>
      <c r="F549" s="744"/>
      <c r="G549" s="744"/>
      <c r="H549" s="741">
        <f>'0422Master'!I535</f>
        <v>0</v>
      </c>
      <c r="I549" s="742"/>
      <c r="J549" s="742"/>
      <c r="K549" s="742"/>
      <c r="L549" s="743"/>
    </row>
    <row r="550" spans="1:12">
      <c r="A550" s="40"/>
      <c r="B550" s="100"/>
      <c r="C550" s="100"/>
      <c r="D550" s="100"/>
      <c r="E550" s="100"/>
      <c r="F550" s="27"/>
      <c r="G550" s="108" t="s">
        <v>279</v>
      </c>
      <c r="H550" s="108"/>
      <c r="I550" s="108"/>
      <c r="J550" s="108"/>
      <c r="K550" s="108"/>
      <c r="L550" s="109"/>
    </row>
    <row r="551" spans="1:12">
      <c r="A551" s="40"/>
      <c r="B551" s="193" t="s">
        <v>253</v>
      </c>
      <c r="C551" s="412"/>
      <c r="D551" s="412"/>
      <c r="E551" s="412"/>
      <c r="F551" s="412"/>
      <c r="G551" s="412"/>
      <c r="H551" s="411"/>
      <c r="I551" s="411"/>
      <c r="J551" s="411"/>
      <c r="K551" s="411"/>
      <c r="L551" s="195"/>
    </row>
    <row r="552" spans="1:12">
      <c r="A552" s="40"/>
      <c r="B552" s="193" t="s">
        <v>254</v>
      </c>
      <c r="C552" s="412"/>
      <c r="D552" s="412"/>
      <c r="E552" s="412"/>
      <c r="F552" s="412"/>
      <c r="G552" s="412"/>
      <c r="H552" s="411"/>
      <c r="I552" s="411"/>
      <c r="J552" s="410"/>
      <c r="K552" s="411"/>
      <c r="L552" s="195"/>
    </row>
    <row r="553" spans="1:12" ht="45">
      <c r="A553" s="113"/>
      <c r="B553" s="114" t="s">
        <v>255</v>
      </c>
      <c r="C553" s="221"/>
      <c r="D553" s="419"/>
      <c r="E553" s="413" t="s">
        <v>256</v>
      </c>
      <c r="F553" s="80"/>
      <c r="G553" s="832" t="s">
        <v>257</v>
      </c>
      <c r="H553" s="833"/>
      <c r="I553" s="479" t="s">
        <v>258</v>
      </c>
      <c r="J553" s="477" t="s">
        <v>259</v>
      </c>
      <c r="K553" s="832" t="s">
        <v>260</v>
      </c>
      <c r="L553" s="834"/>
    </row>
    <row r="554" spans="1:12">
      <c r="A554" s="113"/>
      <c r="B554" s="187">
        <v>1</v>
      </c>
      <c r="C554" s="221"/>
      <c r="D554" s="221"/>
      <c r="E554" s="188">
        <v>2</v>
      </c>
      <c r="F554" s="222"/>
      <c r="G554" s="188">
        <v>3</v>
      </c>
      <c r="H554" s="419"/>
      <c r="I554" s="419">
        <v>4</v>
      </c>
      <c r="J554" s="448">
        <v>5</v>
      </c>
      <c r="K554" s="115"/>
      <c r="L554" s="116">
        <v>6</v>
      </c>
    </row>
    <row r="555" spans="1:12" ht="27.95" customHeight="1">
      <c r="A555" s="113"/>
      <c r="B555" s="114"/>
      <c r="C555" s="202"/>
      <c r="D555" s="203"/>
      <c r="E555" s="204" t="s">
        <v>280</v>
      </c>
      <c r="F555" s="203"/>
      <c r="G555" s="204" t="s">
        <v>262</v>
      </c>
      <c r="H555" s="80"/>
      <c r="I555" s="308" t="s">
        <v>281</v>
      </c>
      <c r="J555" s="478">
        <v>1</v>
      </c>
      <c r="K555" s="205" t="s">
        <v>109</v>
      </c>
      <c r="L555" s="211"/>
    </row>
    <row r="556" spans="1:12" ht="27.95" customHeight="1">
      <c r="A556" s="113"/>
      <c r="B556" s="114"/>
      <c r="C556" s="202"/>
      <c r="D556" s="203"/>
      <c r="E556" s="204"/>
      <c r="F556" s="203"/>
      <c r="G556" s="204"/>
      <c r="H556" s="80"/>
      <c r="I556" s="308"/>
      <c r="J556" s="308"/>
      <c r="K556" s="205"/>
      <c r="L556" s="211"/>
    </row>
    <row r="557" spans="1:12" ht="27.95" customHeight="1">
      <c r="A557" s="113"/>
      <c r="B557" s="114"/>
      <c r="C557" s="202"/>
      <c r="D557" s="203"/>
      <c r="E557" s="204"/>
      <c r="F557" s="203"/>
      <c r="G557" s="204"/>
      <c r="H557" s="80"/>
      <c r="I557" s="308"/>
      <c r="J557" s="308"/>
      <c r="K557" s="205"/>
      <c r="L557" s="211"/>
    </row>
    <row r="558" spans="1:12" ht="27.95" customHeight="1">
      <c r="A558" s="113"/>
      <c r="B558" s="86"/>
      <c r="C558" s="46"/>
      <c r="D558" s="87"/>
      <c r="E558" s="204"/>
      <c r="F558" s="203"/>
      <c r="G558" s="204"/>
      <c r="H558" s="80"/>
      <c r="I558" s="308"/>
      <c r="J558" s="308"/>
      <c r="K558" s="205"/>
      <c r="L558" s="211"/>
    </row>
    <row r="559" spans="1:12" ht="27.95" customHeight="1">
      <c r="A559" s="113"/>
      <c r="B559" s="27" t="s">
        <v>264</v>
      </c>
      <c r="C559" s="27"/>
      <c r="D559" s="27"/>
      <c r="E559" s="27"/>
      <c r="F559" s="27"/>
      <c r="G559" s="27"/>
      <c r="H559" s="27"/>
      <c r="I559" s="27"/>
      <c r="J559" s="27"/>
      <c r="K559" s="27"/>
      <c r="L559" s="41"/>
    </row>
    <row r="560" spans="1:12" ht="27.95" customHeight="1">
      <c r="A560" s="40"/>
      <c r="B560" s="27" t="s">
        <v>265</v>
      </c>
      <c r="C560" s="27"/>
      <c r="D560" s="27"/>
      <c r="E560" s="27"/>
      <c r="F560" s="27"/>
      <c r="G560" s="27"/>
      <c r="H560" s="27"/>
      <c r="I560" s="27"/>
      <c r="J560" s="27"/>
      <c r="K560" s="27"/>
      <c r="L560" s="41"/>
    </row>
    <row r="561" spans="1:12" ht="27.95" customHeight="1">
      <c r="A561" s="40"/>
      <c r="B561" s="27" t="s">
        <v>282</v>
      </c>
      <c r="C561" s="27"/>
      <c r="D561" s="27"/>
      <c r="E561" s="27"/>
      <c r="F561" s="27"/>
      <c r="G561" s="27"/>
      <c r="H561" s="27"/>
      <c r="I561" s="27"/>
      <c r="J561" s="27" t="s">
        <v>283</v>
      </c>
      <c r="K561" s="27"/>
      <c r="L561" s="41"/>
    </row>
    <row r="562" spans="1:12" ht="27.95" customHeight="1">
      <c r="A562" s="40"/>
      <c r="B562" s="100"/>
      <c r="C562" s="100"/>
      <c r="D562" s="100"/>
      <c r="E562" s="100"/>
      <c r="F562" s="27"/>
      <c r="G562" s="108" t="s">
        <v>284</v>
      </c>
      <c r="H562" s="108"/>
      <c r="I562" s="108"/>
      <c r="J562" s="108"/>
      <c r="K562" s="108"/>
      <c r="L562" s="109"/>
    </row>
    <row r="563" spans="1:12" ht="27.95" customHeight="1">
      <c r="A563" s="40"/>
      <c r="B563" s="108"/>
      <c r="C563" s="100"/>
      <c r="D563" s="100"/>
      <c r="E563" s="100"/>
      <c r="F563" s="100"/>
      <c r="G563" s="27" t="s">
        <v>285</v>
      </c>
      <c r="H563" s="108"/>
      <c r="I563" s="108"/>
      <c r="J563" s="108"/>
      <c r="K563" s="108"/>
      <c r="L563" s="109"/>
    </row>
    <row r="564" spans="1:12" ht="27.95" customHeight="1">
      <c r="A564" s="40"/>
      <c r="B564" s="193" t="s">
        <v>286</v>
      </c>
      <c r="C564" s="412"/>
      <c r="D564" s="412"/>
      <c r="E564" s="412"/>
      <c r="F564" s="412"/>
      <c r="G564" s="412"/>
      <c r="H564" s="411"/>
      <c r="I564" s="411"/>
      <c r="J564" s="411"/>
      <c r="K564" s="411"/>
      <c r="L564" s="195"/>
    </row>
    <row r="565" spans="1:12" ht="27.95" customHeight="1">
      <c r="A565" s="40"/>
      <c r="B565" s="193" t="s">
        <v>287</v>
      </c>
      <c r="C565" s="412"/>
      <c r="D565" s="412"/>
      <c r="E565" s="412"/>
      <c r="F565" s="412"/>
      <c r="G565" s="412"/>
      <c r="H565" s="411"/>
      <c r="I565" s="411"/>
      <c r="J565" s="410"/>
      <c r="K565" s="411"/>
      <c r="L565" s="195"/>
    </row>
    <row r="566" spans="1:12" ht="27.95" customHeight="1">
      <c r="A566" s="40"/>
      <c r="B566" s="114" t="s">
        <v>59</v>
      </c>
      <c r="C566" s="854" t="s">
        <v>288</v>
      </c>
      <c r="D566" s="830"/>
      <c r="E566" s="830"/>
      <c r="F566" s="830"/>
      <c r="G566" s="830"/>
      <c r="H566" s="855"/>
      <c r="I566" s="416" t="s">
        <v>188</v>
      </c>
      <c r="J566" s="856" t="s">
        <v>289</v>
      </c>
      <c r="K566" s="857"/>
      <c r="L566" s="858"/>
    </row>
    <row r="567" spans="1:12" ht="27.95" customHeight="1">
      <c r="A567" s="40"/>
      <c r="B567" s="187">
        <v>1</v>
      </c>
      <c r="C567" s="220"/>
      <c r="D567" s="414"/>
      <c r="E567" s="186">
        <v>2</v>
      </c>
      <c r="F567" s="79"/>
      <c r="G567" s="850"/>
      <c r="H567" s="833"/>
      <c r="I567" s="414">
        <v>3</v>
      </c>
      <c r="J567" s="208" t="s">
        <v>290</v>
      </c>
      <c r="K567" s="859">
        <v>4</v>
      </c>
      <c r="L567" s="860"/>
    </row>
    <row r="568" spans="1:12" ht="27.95" customHeight="1">
      <c r="A568" s="40"/>
      <c r="B568" s="114"/>
      <c r="C568" s="220"/>
      <c r="D568" s="414"/>
      <c r="E568" s="186"/>
      <c r="F568" s="79"/>
      <c r="G568" s="850"/>
      <c r="H568" s="833"/>
      <c r="I568" s="205"/>
      <c r="J568" s="207"/>
      <c r="K568" s="850"/>
      <c r="L568" s="834"/>
    </row>
    <row r="569" spans="1:12" ht="27.95" customHeight="1">
      <c r="A569" s="40"/>
      <c r="B569" s="114"/>
      <c r="C569" s="220"/>
      <c r="D569" s="414"/>
      <c r="E569" s="186"/>
      <c r="F569" s="79"/>
      <c r="G569" s="850"/>
      <c r="H569" s="833"/>
      <c r="I569" s="205"/>
      <c r="J569" s="207"/>
      <c r="K569" s="850"/>
      <c r="L569" s="834"/>
    </row>
    <row r="570" spans="1:12" ht="27.95" customHeight="1">
      <c r="A570" s="40"/>
      <c r="B570" s="114"/>
      <c r="C570" s="220"/>
      <c r="D570" s="414"/>
      <c r="E570" s="186"/>
      <c r="F570" s="79"/>
      <c r="G570" s="850"/>
      <c r="H570" s="833"/>
      <c r="I570" s="205"/>
      <c r="J570" s="207"/>
      <c r="K570" s="850"/>
      <c r="L570" s="834"/>
    </row>
    <row r="571" spans="1:12" ht="27.95" customHeight="1">
      <c r="A571" s="40"/>
      <c r="B571" s="86"/>
      <c r="C571" s="220"/>
      <c r="D571" s="414"/>
      <c r="E571" s="186"/>
      <c r="F571" s="79"/>
      <c r="G571" s="850"/>
      <c r="H571" s="833"/>
      <c r="I571" s="205"/>
      <c r="J571" s="207"/>
      <c r="K571" s="850"/>
      <c r="L571" s="834"/>
    </row>
    <row r="572" spans="1:12" ht="27.95" customHeight="1">
      <c r="A572" s="40"/>
      <c r="B572" s="27" t="s">
        <v>291</v>
      </c>
      <c r="C572" s="27"/>
      <c r="D572" s="27"/>
      <c r="E572" s="27"/>
      <c r="F572" s="27"/>
      <c r="G572" s="27"/>
      <c r="H572" s="27"/>
      <c r="I572" s="27"/>
      <c r="J572" s="27"/>
      <c r="K572" s="27"/>
      <c r="L572" s="41"/>
    </row>
    <row r="573" spans="1:12">
      <c r="A573" s="40"/>
      <c r="B573" s="27" t="s">
        <v>292</v>
      </c>
      <c r="C573" s="27"/>
      <c r="D573" s="27"/>
      <c r="E573" s="27"/>
      <c r="F573" s="27"/>
      <c r="G573" s="27"/>
      <c r="H573" s="27"/>
      <c r="I573" s="27"/>
      <c r="J573" s="27"/>
      <c r="K573" s="27"/>
      <c r="L573" s="41"/>
    </row>
    <row r="574" spans="1:12">
      <c r="A574" s="40"/>
      <c r="B574" s="27" t="s">
        <v>293</v>
      </c>
      <c r="C574" s="27"/>
      <c r="D574" s="27"/>
      <c r="E574" s="27"/>
      <c r="F574" s="27"/>
      <c r="G574" s="27"/>
      <c r="H574" s="27"/>
      <c r="I574" s="27"/>
      <c r="J574" s="27"/>
      <c r="K574" s="27"/>
      <c r="L574" s="41"/>
    </row>
    <row r="575" spans="1:12">
      <c r="A575" s="40"/>
      <c r="B575" s="209" t="s">
        <v>294</v>
      </c>
      <c r="C575" s="27"/>
      <c r="D575" s="27"/>
      <c r="E575" s="27"/>
      <c r="F575" s="27"/>
      <c r="G575" s="27"/>
      <c r="H575" s="27"/>
      <c r="I575" s="27"/>
      <c r="J575" s="27"/>
      <c r="K575" s="27"/>
      <c r="L575" s="41"/>
    </row>
    <row r="576" spans="1:12">
      <c r="A576" s="40"/>
      <c r="B576" s="204" t="s">
        <v>295</v>
      </c>
      <c r="C576" s="79"/>
      <c r="D576" s="79"/>
      <c r="E576" s="79"/>
      <c r="F576" s="80"/>
      <c r="G576" s="204" t="s">
        <v>258</v>
      </c>
      <c r="H576" s="80"/>
      <c r="I576" s="204" t="s">
        <v>296</v>
      </c>
      <c r="J576" s="79"/>
      <c r="K576" s="80"/>
      <c r="L576" s="41"/>
    </row>
    <row r="577" spans="1:12">
      <c r="A577" s="40"/>
      <c r="B577" s="835"/>
      <c r="C577" s="849"/>
      <c r="D577" s="849"/>
      <c r="E577" s="849"/>
      <c r="F577" s="836"/>
      <c r="G577" s="835"/>
      <c r="H577" s="836"/>
      <c r="I577" s="835"/>
      <c r="J577" s="849"/>
      <c r="K577" s="836"/>
      <c r="L577" s="41"/>
    </row>
    <row r="578" spans="1:12">
      <c r="A578" s="40"/>
      <c r="B578" s="835"/>
      <c r="C578" s="849"/>
      <c r="D578" s="849"/>
      <c r="E578" s="849"/>
      <c r="F578" s="836"/>
      <c r="G578" s="835"/>
      <c r="H578" s="836"/>
      <c r="I578" s="835"/>
      <c r="J578" s="849"/>
      <c r="K578" s="836"/>
      <c r="L578" s="41"/>
    </row>
    <row r="579" spans="1:12" ht="15" customHeight="1">
      <c r="A579" s="40"/>
      <c r="B579" s="835"/>
      <c r="C579" s="849"/>
      <c r="D579" s="849"/>
      <c r="E579" s="849"/>
      <c r="F579" s="836"/>
      <c r="G579" s="835"/>
      <c r="H579" s="836"/>
      <c r="I579" s="835"/>
      <c r="J579" s="849"/>
      <c r="K579" s="836"/>
      <c r="L579" s="41"/>
    </row>
    <row r="580" spans="1:12">
      <c r="A580" s="40"/>
      <c r="B580" s="835"/>
      <c r="C580" s="849"/>
      <c r="D580" s="849"/>
      <c r="E580" s="849"/>
      <c r="F580" s="836"/>
      <c r="G580" s="835"/>
      <c r="H580" s="836"/>
      <c r="I580" s="835"/>
      <c r="J580" s="849"/>
      <c r="K580" s="836"/>
      <c r="L580" s="41"/>
    </row>
    <row r="581" spans="1:12">
      <c r="A581" s="40"/>
      <c r="B581" s="27" t="s">
        <v>274</v>
      </c>
      <c r="C581" s="27"/>
      <c r="D581" s="27"/>
      <c r="E581" s="27"/>
      <c r="F581" s="27"/>
      <c r="G581" s="27"/>
      <c r="H581" s="27"/>
      <c r="I581" s="27" t="s">
        <v>297</v>
      </c>
      <c r="J581" s="27"/>
      <c r="K581" s="27"/>
      <c r="L581" s="41"/>
    </row>
    <row r="582" spans="1:12" ht="18.75">
      <c r="A582" s="40"/>
      <c r="B582" s="27"/>
      <c r="C582" s="27"/>
      <c r="D582" s="27"/>
      <c r="E582" s="27"/>
      <c r="F582" s="190" t="s">
        <v>268</v>
      </c>
      <c r="G582" s="27"/>
      <c r="H582" s="27"/>
      <c r="I582" s="27"/>
      <c r="J582" s="27"/>
      <c r="K582" s="27"/>
      <c r="L582" s="41"/>
    </row>
    <row r="583" spans="1:12">
      <c r="A583" s="40" t="s">
        <v>269</v>
      </c>
      <c r="B583" s="27"/>
      <c r="C583" s="27"/>
      <c r="D583" s="27"/>
      <c r="E583" s="27"/>
      <c r="F583" s="27"/>
      <c r="G583" s="27"/>
      <c r="H583" s="27"/>
      <c r="I583" s="27"/>
      <c r="J583" s="27"/>
      <c r="K583" s="27"/>
      <c r="L583" s="41"/>
    </row>
    <row r="584" spans="1:12">
      <c r="A584" s="40" t="s">
        <v>270</v>
      </c>
      <c r="B584" s="27"/>
      <c r="C584" s="27"/>
      <c r="D584" s="27"/>
      <c r="E584" s="27"/>
      <c r="F584" s="27"/>
      <c r="G584" s="27"/>
      <c r="H584" s="27"/>
      <c r="I584" s="27"/>
      <c r="J584" s="27"/>
      <c r="K584" s="27"/>
      <c r="L584" s="41"/>
    </row>
    <row r="585" spans="1:12">
      <c r="A585" s="40"/>
      <c r="B585" s="27"/>
      <c r="C585" s="27"/>
      <c r="D585" s="27"/>
      <c r="E585" s="27"/>
      <c r="F585" s="27" t="s">
        <v>271</v>
      </c>
      <c r="G585" s="27"/>
      <c r="H585" s="27"/>
      <c r="I585" s="27"/>
      <c r="J585" s="27"/>
      <c r="K585" s="27"/>
      <c r="L585" s="41"/>
    </row>
    <row r="586" spans="1:12">
      <c r="A586" s="40" t="s">
        <v>272</v>
      </c>
      <c r="B586" s="27"/>
      <c r="C586" s="27"/>
      <c r="D586" s="27"/>
      <c r="E586" s="27"/>
      <c r="F586" s="27">
        <f>'0422Master'!F525</f>
        <v>0</v>
      </c>
      <c r="G586" s="27"/>
      <c r="H586" s="27"/>
      <c r="I586" s="27"/>
      <c r="J586" s="27"/>
      <c r="K586" s="27"/>
      <c r="L586" s="41"/>
    </row>
    <row r="587" spans="1:12" ht="15.75" thickBot="1">
      <c r="A587" s="54" t="s">
        <v>274</v>
      </c>
      <c r="B587" s="52"/>
      <c r="C587" s="52"/>
      <c r="D587" s="52"/>
      <c r="E587" s="52"/>
      <c r="F587" s="191">
        <f>'0422Master'!F526</f>
        <v>0</v>
      </c>
      <c r="G587" s="191"/>
      <c r="H587" s="191"/>
      <c r="I587" s="191"/>
      <c r="J587" s="191"/>
      <c r="K587" s="191"/>
      <c r="L587" s="53"/>
    </row>
    <row r="588" spans="1:12">
      <c r="A588" s="27"/>
      <c r="B588" s="27"/>
      <c r="C588" s="27"/>
      <c r="D588" s="27"/>
      <c r="E588" s="27"/>
      <c r="F588" s="27"/>
      <c r="G588" s="27"/>
      <c r="H588" s="27"/>
      <c r="I588" s="27"/>
      <c r="J588" s="27"/>
      <c r="K588" s="27"/>
      <c r="L588" s="27"/>
    </row>
    <row r="589" spans="1:12">
      <c r="A589" s="27"/>
      <c r="B589" s="27"/>
      <c r="C589" s="27"/>
      <c r="D589" s="27"/>
      <c r="E589" s="27"/>
      <c r="F589" s="27"/>
      <c r="G589" s="27"/>
      <c r="H589" s="185"/>
      <c r="I589" s="185"/>
      <c r="J589" s="185"/>
      <c r="K589" s="185"/>
      <c r="L589" s="185"/>
    </row>
    <row r="590" spans="1:12">
      <c r="A590" s="27"/>
      <c r="B590" s="100"/>
      <c r="C590" s="100"/>
      <c r="D590" s="100"/>
      <c r="E590" s="100"/>
      <c r="F590" s="100"/>
      <c r="G590" s="27"/>
      <c r="H590" s="108"/>
      <c r="I590" s="108"/>
      <c r="J590" s="108"/>
      <c r="K590" s="108"/>
      <c r="L590" s="108"/>
    </row>
    <row r="591" spans="1:12">
      <c r="A591" s="27"/>
      <c r="B591" s="108"/>
      <c r="C591" s="100"/>
      <c r="D591" s="100"/>
      <c r="E591" s="100"/>
      <c r="F591" s="100"/>
      <c r="G591" s="27"/>
      <c r="H591" s="108"/>
      <c r="I591" s="108"/>
      <c r="J591" s="108"/>
      <c r="K591" s="108"/>
      <c r="L591" s="108"/>
    </row>
    <row r="592" spans="1:12">
      <c r="A592" s="27"/>
      <c r="B592" s="100"/>
      <c r="C592" s="100"/>
      <c r="D592" s="100"/>
      <c r="E592" s="100"/>
      <c r="F592" s="100"/>
      <c r="G592" s="27"/>
      <c r="H592" s="108"/>
      <c r="I592" s="108"/>
      <c r="J592" s="108"/>
      <c r="K592" s="108"/>
      <c r="L592" s="108"/>
    </row>
    <row r="593" spans="1:12">
      <c r="A593" s="27"/>
      <c r="B593" s="100"/>
      <c r="C593" s="100"/>
      <c r="D593" s="100"/>
      <c r="E593" s="100"/>
      <c r="F593" s="100"/>
      <c r="G593" s="27"/>
      <c r="H593" s="108"/>
      <c r="I593" s="108"/>
      <c r="J593" s="108"/>
      <c r="K593" s="108"/>
      <c r="L593" s="108"/>
    </row>
    <row r="594" spans="1:12" ht="27.95" customHeight="1">
      <c r="A594" s="265"/>
      <c r="B594" s="844"/>
      <c r="C594" s="844"/>
      <c r="D594" s="844"/>
      <c r="E594" s="844"/>
      <c r="F594" s="844"/>
      <c r="G594" s="844"/>
      <c r="H594" s="841"/>
      <c r="I594" s="842"/>
      <c r="J594" s="842"/>
      <c r="K594" s="842"/>
      <c r="L594" s="842"/>
    </row>
    <row r="595" spans="1:12" ht="27.95" customHeight="1">
      <c r="A595" s="265"/>
      <c r="B595" s="748"/>
      <c r="C595" s="748"/>
      <c r="D595" s="748"/>
      <c r="E595" s="748"/>
      <c r="F595" s="748"/>
      <c r="G595" s="748"/>
      <c r="H595" s="841"/>
      <c r="I595" s="842"/>
      <c r="J595" s="842"/>
      <c r="K595" s="842"/>
      <c r="L595" s="842"/>
    </row>
    <row r="596" spans="1:12" ht="27.95" customHeight="1">
      <c r="A596" s="265"/>
      <c r="B596" s="844"/>
      <c r="C596" s="844"/>
      <c r="D596" s="844"/>
      <c r="E596" s="844"/>
      <c r="F596" s="844"/>
      <c r="G596" s="844"/>
      <c r="H596" s="841"/>
      <c r="I596" s="842"/>
      <c r="J596" s="842"/>
      <c r="K596" s="842"/>
      <c r="L596" s="842"/>
    </row>
    <row r="597" spans="1:12" ht="27.95" customHeight="1">
      <c r="A597" s="265"/>
      <c r="B597" s="844"/>
      <c r="C597" s="844"/>
      <c r="D597" s="844"/>
      <c r="E597" s="844"/>
      <c r="F597" s="844"/>
      <c r="G597" s="844"/>
      <c r="H597" s="845"/>
      <c r="I597" s="842"/>
      <c r="J597" s="842"/>
      <c r="K597" s="842"/>
      <c r="L597" s="842"/>
    </row>
    <row r="598" spans="1:12" ht="27.95" customHeight="1">
      <c r="A598" s="265"/>
      <c r="B598" s="193"/>
      <c r="C598" s="412"/>
      <c r="D598" s="412"/>
      <c r="E598" s="412"/>
      <c r="F598" s="412"/>
      <c r="G598" s="412"/>
      <c r="H598" s="411"/>
      <c r="I598" s="265"/>
      <c r="J598" s="266"/>
      <c r="K598" s="411"/>
      <c r="L598" s="411"/>
    </row>
    <row r="599" spans="1:12" ht="27.95" customHeight="1">
      <c r="A599" s="265"/>
      <c r="B599" s="193"/>
      <c r="C599" s="412"/>
      <c r="D599" s="412"/>
      <c r="E599" s="412"/>
      <c r="F599" s="412"/>
      <c r="G599" s="412"/>
      <c r="H599" s="411"/>
      <c r="I599" s="411"/>
      <c r="J599" s="266"/>
      <c r="K599" s="411"/>
      <c r="L599" s="411"/>
    </row>
    <row r="600" spans="1:12" ht="27.95" customHeight="1">
      <c r="A600" s="265"/>
      <c r="B600" s="748"/>
      <c r="C600" s="748"/>
      <c r="D600" s="748"/>
      <c r="E600" s="748"/>
      <c r="F600" s="748"/>
      <c r="G600" s="748"/>
      <c r="H600" s="841"/>
      <c r="I600" s="842"/>
      <c r="J600" s="842"/>
      <c r="K600" s="842"/>
      <c r="L600" s="842"/>
    </row>
    <row r="601" spans="1:12" ht="27.95" customHeight="1">
      <c r="A601" s="265"/>
      <c r="B601" s="844"/>
      <c r="C601" s="844"/>
      <c r="D601" s="844"/>
      <c r="E601" s="844"/>
      <c r="F601" s="844"/>
      <c r="G601" s="844"/>
      <c r="H601" s="847"/>
      <c r="I601" s="842"/>
      <c r="J601" s="842"/>
      <c r="K601" s="842"/>
      <c r="L601" s="842"/>
    </row>
    <row r="602" spans="1:12" ht="27.95" customHeight="1">
      <c r="A602" s="27"/>
      <c r="B602" s="844"/>
      <c r="C602" s="844"/>
      <c r="D602" s="844"/>
      <c r="E602" s="844"/>
      <c r="F602" s="844"/>
      <c r="G602" s="844"/>
      <c r="H602" s="842"/>
      <c r="I602" s="842"/>
      <c r="J602" s="842"/>
      <c r="K602" s="842"/>
      <c r="L602" s="842"/>
    </row>
    <row r="603" spans="1:12" ht="27.95" customHeight="1">
      <c r="A603" s="27"/>
      <c r="B603" s="193"/>
      <c r="C603" s="412"/>
      <c r="D603" s="412"/>
      <c r="E603" s="412"/>
      <c r="F603" s="412"/>
      <c r="G603" s="412"/>
      <c r="H603" s="411"/>
      <c r="I603" s="411"/>
      <c r="J603" s="411"/>
      <c r="K603" s="411"/>
      <c r="L603" s="411"/>
    </row>
    <row r="604" spans="1:12" ht="27.95" customHeight="1">
      <c r="A604" s="27"/>
      <c r="B604" s="193"/>
      <c r="C604" s="412"/>
      <c r="D604" s="412"/>
      <c r="E604" s="412"/>
      <c r="F604" s="412"/>
      <c r="G604" s="412"/>
      <c r="H604" s="411"/>
      <c r="I604" s="411"/>
      <c r="J604" s="411"/>
      <c r="K604" s="411"/>
      <c r="L604" s="411"/>
    </row>
    <row r="605" spans="1:12" ht="27.95" customHeight="1">
      <c r="A605" s="27"/>
      <c r="B605" s="193"/>
      <c r="C605" s="412"/>
      <c r="D605" s="412"/>
      <c r="E605" s="412"/>
      <c r="F605" s="412"/>
      <c r="G605" s="412"/>
      <c r="H605" s="411"/>
      <c r="I605" s="411"/>
      <c r="J605" s="410"/>
      <c r="K605" s="411"/>
      <c r="L605" s="411"/>
    </row>
    <row r="606" spans="1:12" ht="27.95" customHeight="1">
      <c r="A606" s="27"/>
      <c r="B606" s="193"/>
      <c r="C606" s="412"/>
      <c r="D606" s="412"/>
      <c r="E606" s="412"/>
      <c r="F606" s="412"/>
      <c r="G606" s="412"/>
      <c r="H606" s="411"/>
      <c r="I606" s="411"/>
      <c r="J606" s="411"/>
      <c r="K606" s="411"/>
      <c r="L606" s="411"/>
    </row>
    <row r="607" spans="1:12" ht="27.95" customHeight="1">
      <c r="A607" s="27"/>
      <c r="B607" s="193"/>
      <c r="C607" s="412"/>
      <c r="D607" s="412"/>
      <c r="E607" s="412"/>
      <c r="F607" s="412"/>
      <c r="G607" s="412"/>
      <c r="H607" s="411"/>
      <c r="I607" s="411"/>
      <c r="J607" s="410"/>
      <c r="K607" s="411"/>
      <c r="L607" s="411"/>
    </row>
    <row r="608" spans="1:12" ht="27.95" customHeight="1">
      <c r="A608" s="27"/>
      <c r="B608" s="193"/>
      <c r="C608" s="412"/>
      <c r="D608" s="411"/>
      <c r="E608" s="410"/>
      <c r="F608" s="411"/>
      <c r="G608" s="410"/>
      <c r="H608" s="411"/>
      <c r="I608" s="410"/>
      <c r="J608" s="411"/>
      <c r="K608" s="410"/>
      <c r="L608" s="410"/>
    </row>
    <row r="609" spans="1:12" ht="27.95" customHeight="1">
      <c r="A609" s="27"/>
      <c r="B609" s="193"/>
      <c r="C609" s="412"/>
      <c r="D609" s="412"/>
      <c r="E609" s="412"/>
      <c r="F609" s="412"/>
      <c r="G609" s="412"/>
      <c r="H609" s="411"/>
      <c r="I609" s="411"/>
      <c r="J609" s="267"/>
      <c r="K609" s="411"/>
      <c r="L609" s="411"/>
    </row>
    <row r="610" spans="1:12" ht="27.95" customHeight="1">
      <c r="A610" s="27"/>
      <c r="B610" s="193"/>
      <c r="C610" s="185"/>
      <c r="D610" s="185"/>
      <c r="E610" s="185"/>
      <c r="F610" s="185"/>
      <c r="G610" s="185"/>
      <c r="H610" s="27"/>
      <c r="I610" s="27"/>
      <c r="J610" s="27"/>
      <c r="K610" s="27"/>
      <c r="L610" s="27"/>
    </row>
    <row r="611" spans="1:12" ht="27.95" customHeight="1">
      <c r="A611" s="27"/>
      <c r="B611" s="193"/>
      <c r="C611" s="185"/>
      <c r="D611" s="185"/>
      <c r="E611" s="185"/>
      <c r="F611" s="185"/>
      <c r="G611" s="185"/>
      <c r="H611" s="27"/>
      <c r="I611" s="27"/>
      <c r="J611" s="27"/>
      <c r="K611" s="27"/>
      <c r="L611" s="27"/>
    </row>
    <row r="612" spans="1:12">
      <c r="A612" s="27"/>
      <c r="B612" s="27"/>
      <c r="C612" s="27"/>
      <c r="D612" s="27"/>
      <c r="E612" s="27"/>
      <c r="F612" s="27"/>
      <c r="G612" s="27"/>
      <c r="H612" s="27"/>
      <c r="I612" s="27"/>
      <c r="J612" s="27"/>
      <c r="K612" s="27"/>
      <c r="L612" s="27"/>
    </row>
    <row r="613" spans="1:12">
      <c r="A613" s="27"/>
      <c r="B613" s="27"/>
      <c r="C613" s="27"/>
      <c r="D613" s="27"/>
      <c r="E613" s="27"/>
      <c r="F613" s="27"/>
      <c r="G613" s="27"/>
      <c r="H613" s="27"/>
      <c r="I613" s="27"/>
      <c r="J613" s="27"/>
      <c r="K613" s="27"/>
      <c r="L613" s="27"/>
    </row>
    <row r="614" spans="1:12" ht="32.25">
      <c r="A614" s="27"/>
      <c r="B614" s="848"/>
      <c r="C614" s="767"/>
      <c r="D614" s="767"/>
      <c r="E614" s="767"/>
      <c r="F614" s="767"/>
      <c r="G614" s="767"/>
      <c r="H614" s="767"/>
      <c r="I614" s="767"/>
      <c r="J614" s="767"/>
      <c r="K614" s="767"/>
      <c r="L614" s="767"/>
    </row>
    <row r="615" spans="1:12" ht="23.25">
      <c r="A615" s="27"/>
      <c r="B615" s="738"/>
      <c r="C615" s="738"/>
      <c r="D615" s="738"/>
      <c r="E615" s="738"/>
      <c r="F615" s="738"/>
      <c r="G615" s="738"/>
      <c r="H615" s="738"/>
      <c r="I615" s="738"/>
      <c r="J615" s="738"/>
      <c r="K615" s="738"/>
      <c r="L615" s="738"/>
    </row>
    <row r="616" spans="1:12" ht="15.75">
      <c r="A616" s="27"/>
      <c r="B616" s="846"/>
      <c r="C616" s="846"/>
      <c r="D616" s="846"/>
      <c r="E616" s="846"/>
      <c r="F616" s="846"/>
      <c r="G616" s="846"/>
      <c r="H616" s="846"/>
      <c r="I616" s="846"/>
      <c r="J616" s="846"/>
      <c r="K616" s="846"/>
      <c r="L616" s="846"/>
    </row>
    <row r="617" spans="1:12" ht="15" customHeight="1">
      <c r="A617" s="27"/>
      <c r="B617" s="747"/>
      <c r="C617" s="747"/>
      <c r="D617" s="747"/>
      <c r="E617" s="747"/>
      <c r="F617" s="747"/>
      <c r="G617" s="27"/>
      <c r="H617" s="748"/>
      <c r="I617" s="748"/>
      <c r="J617" s="748"/>
      <c r="K617" s="748"/>
      <c r="L617" s="748"/>
    </row>
    <row r="618" spans="1:12">
      <c r="A618" s="27"/>
      <c r="B618" s="747"/>
      <c r="C618" s="747"/>
      <c r="D618" s="747"/>
      <c r="E618" s="747"/>
      <c r="F618" s="747"/>
      <c r="G618" s="27"/>
      <c r="H618" s="748"/>
      <c r="I618" s="748"/>
      <c r="J618" s="748"/>
      <c r="K618" s="748"/>
      <c r="L618" s="748"/>
    </row>
    <row r="619" spans="1:12">
      <c r="A619" s="27"/>
      <c r="B619" s="27"/>
      <c r="C619" s="27"/>
      <c r="D619" s="27"/>
      <c r="E619" s="27"/>
      <c r="F619" s="27"/>
      <c r="G619" s="27"/>
      <c r="H619" s="27"/>
      <c r="I619" s="27"/>
      <c r="J619" s="27"/>
      <c r="K619" s="27"/>
      <c r="L619" s="27"/>
    </row>
    <row r="620" spans="1:12">
      <c r="A620" s="27"/>
      <c r="B620" s="108"/>
      <c r="C620" s="100"/>
      <c r="D620" s="100"/>
      <c r="E620" s="100"/>
      <c r="F620" s="100"/>
      <c r="G620" s="27"/>
      <c r="H620" s="108"/>
      <c r="I620" s="100"/>
      <c r="J620" s="100"/>
      <c r="K620" s="100"/>
      <c r="L620" s="100"/>
    </row>
    <row r="621" spans="1:12">
      <c r="A621" s="27"/>
      <c r="B621" s="27"/>
      <c r="C621" s="100"/>
      <c r="D621" s="100"/>
      <c r="E621" s="100"/>
      <c r="F621" s="100"/>
      <c r="G621" s="27"/>
      <c r="H621" s="27"/>
      <c r="I621" s="100"/>
      <c r="J621" s="100"/>
      <c r="K621" s="100"/>
      <c r="L621" s="100"/>
    </row>
    <row r="622" spans="1:12">
      <c r="A622" s="27"/>
      <c r="B622" s="108"/>
      <c r="C622" s="100"/>
      <c r="D622" s="100"/>
      <c r="E622" s="100"/>
      <c r="F622" s="100"/>
      <c r="G622" s="27"/>
      <c r="H622" s="108"/>
      <c r="I622" s="100"/>
      <c r="J622" s="100"/>
      <c r="K622" s="100"/>
      <c r="L622" s="100"/>
    </row>
    <row r="623" spans="1:12">
      <c r="A623" s="27"/>
      <c r="B623" s="100"/>
      <c r="C623" s="100"/>
      <c r="D623" s="100"/>
      <c r="E623" s="100"/>
      <c r="F623" s="100"/>
      <c r="G623" s="27"/>
      <c r="H623" s="100"/>
      <c r="I623" s="100"/>
      <c r="J623" s="100"/>
      <c r="K623" s="100"/>
      <c r="L623" s="100"/>
    </row>
    <row r="624" spans="1:12">
      <c r="A624" s="27"/>
      <c r="B624" s="27"/>
      <c r="C624" s="27"/>
      <c r="D624" s="27"/>
      <c r="E624" s="27"/>
      <c r="F624" s="27"/>
      <c r="G624" s="27"/>
      <c r="H624" s="27"/>
      <c r="I624" s="27"/>
      <c r="J624" s="27"/>
      <c r="K624" s="27"/>
      <c r="L624" s="27"/>
    </row>
    <row r="625" spans="1:12">
      <c r="A625" s="27"/>
      <c r="B625" s="664"/>
      <c r="C625" s="664"/>
      <c r="D625" s="664"/>
      <c r="E625" s="664"/>
      <c r="F625" s="664"/>
      <c r="G625" s="27"/>
      <c r="H625" s="664"/>
      <c r="I625" s="664"/>
      <c r="J625" s="664"/>
      <c r="K625" s="664"/>
      <c r="L625" s="664"/>
    </row>
    <row r="626" spans="1:12">
      <c r="A626" s="27"/>
      <c r="B626" s="27"/>
      <c r="C626" s="27"/>
      <c r="D626" s="27"/>
      <c r="E626" s="27"/>
      <c r="F626" s="27"/>
      <c r="G626" s="27"/>
      <c r="H626" s="27"/>
      <c r="I626" s="27"/>
      <c r="J626" s="27"/>
      <c r="K626" s="27"/>
      <c r="L626" s="27"/>
    </row>
    <row r="627" spans="1:12">
      <c r="A627" s="27"/>
      <c r="B627" s="27"/>
      <c r="C627" s="27"/>
      <c r="D627" s="27"/>
      <c r="E627" s="27"/>
      <c r="F627" s="27"/>
      <c r="G627" s="27"/>
      <c r="H627" s="185"/>
      <c r="I627" s="185"/>
      <c r="J627" s="185"/>
      <c r="K627" s="185"/>
      <c r="L627" s="185"/>
    </row>
    <row r="628" spans="1:12">
      <c r="A628" s="27"/>
      <c r="B628" s="100"/>
      <c r="C628" s="100"/>
      <c r="D628" s="100"/>
      <c r="E628" s="100"/>
      <c r="F628" s="100"/>
      <c r="G628" s="27"/>
      <c r="H628" s="108"/>
      <c r="I628" s="108"/>
      <c r="J628" s="108"/>
      <c r="K628" s="108"/>
      <c r="L628" s="108"/>
    </row>
    <row r="629" spans="1:12">
      <c r="A629" s="27"/>
      <c r="B629" s="108"/>
      <c r="C629" s="100"/>
      <c r="D629" s="100"/>
      <c r="E629" s="100"/>
      <c r="F629" s="100"/>
      <c r="G629" s="27"/>
      <c r="H629" s="108"/>
      <c r="I629" s="108"/>
      <c r="J629" s="108"/>
      <c r="K629" s="108"/>
      <c r="L629" s="108"/>
    </row>
    <row r="630" spans="1:12">
      <c r="A630" s="27"/>
      <c r="B630" s="100"/>
      <c r="C630" s="100"/>
      <c r="D630" s="100"/>
      <c r="E630" s="100"/>
      <c r="F630" s="100"/>
      <c r="G630" s="27"/>
      <c r="H630" s="108"/>
      <c r="I630" s="108"/>
      <c r="J630" s="108"/>
      <c r="K630" s="108"/>
      <c r="L630" s="108"/>
    </row>
    <row r="631" spans="1:12">
      <c r="A631" s="27"/>
      <c r="B631" s="100"/>
      <c r="C631" s="100"/>
      <c r="D631" s="100"/>
      <c r="E631" s="100"/>
      <c r="F631" s="100"/>
      <c r="G631" s="27"/>
      <c r="H631" s="108"/>
      <c r="I631" s="108"/>
      <c r="J631" s="108"/>
      <c r="K631" s="108"/>
      <c r="L631" s="108"/>
    </row>
    <row r="632" spans="1:12" ht="27.95" customHeight="1">
      <c r="A632" s="265"/>
      <c r="B632" s="844"/>
      <c r="C632" s="844"/>
      <c r="D632" s="844"/>
      <c r="E632" s="844"/>
      <c r="F632" s="844"/>
      <c r="G632" s="844"/>
      <c r="H632" s="841"/>
      <c r="I632" s="842"/>
      <c r="J632" s="842"/>
      <c r="K632" s="842"/>
      <c r="L632" s="842"/>
    </row>
    <row r="633" spans="1:12" ht="27.95" customHeight="1">
      <c r="A633" s="265"/>
      <c r="B633" s="748"/>
      <c r="C633" s="748"/>
      <c r="D633" s="748"/>
      <c r="E633" s="748"/>
      <c r="F633" s="748"/>
      <c r="G633" s="748"/>
      <c r="H633" s="841"/>
      <c r="I633" s="842"/>
      <c r="J633" s="842"/>
      <c r="K633" s="842"/>
      <c r="L633" s="842"/>
    </row>
    <row r="634" spans="1:12" ht="27.95" customHeight="1">
      <c r="A634" s="265"/>
      <c r="B634" s="844"/>
      <c r="C634" s="844"/>
      <c r="D634" s="844"/>
      <c r="E634" s="844"/>
      <c r="F634" s="844"/>
      <c r="G634" s="844"/>
      <c r="H634" s="841"/>
      <c r="I634" s="842"/>
      <c r="J634" s="842"/>
      <c r="K634" s="842"/>
      <c r="L634" s="842"/>
    </row>
    <row r="635" spans="1:12" ht="27.95" customHeight="1">
      <c r="A635" s="265"/>
      <c r="B635" s="844"/>
      <c r="C635" s="844"/>
      <c r="D635" s="844"/>
      <c r="E635" s="844"/>
      <c r="F635" s="844"/>
      <c r="G635" s="844"/>
      <c r="H635" s="845"/>
      <c r="I635" s="842"/>
      <c r="J635" s="842"/>
      <c r="K635" s="842"/>
      <c r="L635" s="842"/>
    </row>
    <row r="636" spans="1:12" ht="27.95" customHeight="1">
      <c r="A636" s="265"/>
      <c r="B636" s="193"/>
      <c r="C636" s="412"/>
      <c r="D636" s="412"/>
      <c r="E636" s="412"/>
      <c r="F636" s="412"/>
      <c r="G636" s="412"/>
      <c r="H636" s="411"/>
      <c r="I636" s="265"/>
      <c r="J636" s="266"/>
      <c r="K636" s="411"/>
      <c r="L636" s="411"/>
    </row>
    <row r="637" spans="1:12" ht="27.95" customHeight="1">
      <c r="A637" s="265"/>
      <c r="B637" s="193"/>
      <c r="C637" s="412"/>
      <c r="D637" s="412"/>
      <c r="E637" s="412"/>
      <c r="F637" s="412"/>
      <c r="G637" s="412"/>
      <c r="H637" s="411"/>
      <c r="I637" s="411"/>
      <c r="J637" s="266"/>
      <c r="K637" s="411"/>
      <c r="L637" s="411"/>
    </row>
    <row r="638" spans="1:12" ht="27.95" customHeight="1">
      <c r="A638" s="265"/>
      <c r="B638" s="748"/>
      <c r="C638" s="748"/>
      <c r="D638" s="748"/>
      <c r="E638" s="748"/>
      <c r="F638" s="748"/>
      <c r="G638" s="748"/>
      <c r="H638" s="841"/>
      <c r="I638" s="842"/>
      <c r="J638" s="842"/>
      <c r="K638" s="842"/>
      <c r="L638" s="842"/>
    </row>
    <row r="639" spans="1:12" ht="27.95" customHeight="1">
      <c r="A639" s="265"/>
      <c r="B639" s="844"/>
      <c r="C639" s="844"/>
      <c r="D639" s="844"/>
      <c r="E639" s="844"/>
      <c r="F639" s="844"/>
      <c r="G639" s="844"/>
      <c r="H639" s="847"/>
      <c r="I639" s="842"/>
      <c r="J639" s="842"/>
      <c r="K639" s="842"/>
      <c r="L639" s="842"/>
    </row>
    <row r="640" spans="1:12" ht="27.95" customHeight="1">
      <c r="A640" s="27"/>
      <c r="B640" s="844"/>
      <c r="C640" s="844"/>
      <c r="D640" s="844"/>
      <c r="E640" s="844"/>
      <c r="F640" s="844"/>
      <c r="G640" s="844"/>
      <c r="H640" s="842"/>
      <c r="I640" s="842"/>
      <c r="J640" s="842"/>
      <c r="K640" s="842"/>
      <c r="L640" s="842"/>
    </row>
    <row r="641" spans="1:12" ht="27.95" customHeight="1">
      <c r="A641" s="27"/>
      <c r="B641" s="193"/>
      <c r="C641" s="412"/>
      <c r="D641" s="412"/>
      <c r="E641" s="412"/>
      <c r="F641" s="412"/>
      <c r="G641" s="412"/>
      <c r="H641" s="411"/>
      <c r="I641" s="411"/>
      <c r="J641" s="411"/>
      <c r="K641" s="411"/>
      <c r="L641" s="411"/>
    </row>
    <row r="642" spans="1:12" ht="27.95" customHeight="1">
      <c r="A642" s="27"/>
      <c r="B642" s="193"/>
      <c r="C642" s="412"/>
      <c r="D642" s="412"/>
      <c r="E642" s="412"/>
      <c r="F642" s="412"/>
      <c r="G642" s="412"/>
      <c r="H642" s="411"/>
      <c r="I642" s="411"/>
      <c r="J642" s="411"/>
      <c r="K642" s="411"/>
      <c r="L642" s="411"/>
    </row>
    <row r="643" spans="1:12" ht="27.95" customHeight="1">
      <c r="A643" s="27"/>
      <c r="B643" s="193"/>
      <c r="C643" s="412"/>
      <c r="D643" s="412"/>
      <c r="E643" s="412"/>
      <c r="F643" s="412"/>
      <c r="G643" s="412"/>
      <c r="H643" s="411"/>
      <c r="I643" s="411"/>
      <c r="J643" s="410"/>
      <c r="K643" s="411"/>
      <c r="L643" s="411"/>
    </row>
    <row r="644" spans="1:12" ht="27.95" customHeight="1">
      <c r="A644" s="27"/>
      <c r="B644" s="193"/>
      <c r="C644" s="412"/>
      <c r="D644" s="412"/>
      <c r="E644" s="412"/>
      <c r="F644" s="412"/>
      <c r="G644" s="412"/>
      <c r="H644" s="411"/>
      <c r="I644" s="411"/>
      <c r="J644" s="411"/>
      <c r="K644" s="411"/>
      <c r="L644" s="411"/>
    </row>
    <row r="645" spans="1:12" ht="27.95" customHeight="1">
      <c r="A645" s="27"/>
      <c r="B645" s="193"/>
      <c r="C645" s="412"/>
      <c r="D645" s="412"/>
      <c r="E645" s="412"/>
      <c r="F645" s="412"/>
      <c r="G645" s="412"/>
      <c r="H645" s="411"/>
      <c r="I645" s="411"/>
      <c r="J645" s="410"/>
      <c r="K645" s="411"/>
      <c r="L645" s="411"/>
    </row>
    <row r="646" spans="1:12" ht="27.95" customHeight="1">
      <c r="A646" s="27"/>
      <c r="B646" s="193"/>
      <c r="C646" s="412"/>
      <c r="D646" s="411"/>
      <c r="E646" s="410"/>
      <c r="F646" s="411"/>
      <c r="G646" s="410"/>
      <c r="H646" s="411"/>
      <c r="I646" s="410"/>
      <c r="J646" s="411"/>
      <c r="K646" s="410"/>
      <c r="L646" s="410"/>
    </row>
    <row r="647" spans="1:12" ht="27.95" customHeight="1">
      <c r="A647" s="27"/>
      <c r="B647" s="193"/>
      <c r="C647" s="412"/>
      <c r="D647" s="412"/>
      <c r="E647" s="412"/>
      <c r="F647" s="412"/>
      <c r="G647" s="412"/>
      <c r="H647" s="411"/>
      <c r="I647" s="411"/>
      <c r="J647" s="267"/>
      <c r="K647" s="411"/>
      <c r="L647" s="411"/>
    </row>
    <row r="648" spans="1:12" ht="27.95" customHeight="1">
      <c r="A648" s="27"/>
      <c r="B648" s="193"/>
      <c r="C648" s="185"/>
      <c r="D648" s="185"/>
      <c r="E648" s="185"/>
      <c r="F648" s="185"/>
      <c r="G648" s="185"/>
      <c r="H648" s="27"/>
      <c r="I648" s="27"/>
      <c r="J648" s="27"/>
      <c r="K648" s="27"/>
      <c r="L648" s="27"/>
    </row>
    <row r="649" spans="1:12" ht="27.95" customHeight="1">
      <c r="A649" s="27"/>
      <c r="B649" s="193"/>
      <c r="C649" s="185"/>
      <c r="D649" s="185"/>
      <c r="E649" s="185"/>
      <c r="F649" s="185"/>
      <c r="G649" s="185"/>
      <c r="H649" s="27"/>
      <c r="I649" s="27"/>
      <c r="J649" s="27"/>
      <c r="K649" s="27"/>
      <c r="L649" s="27"/>
    </row>
    <row r="650" spans="1:12">
      <c r="A650" s="27"/>
      <c r="B650" s="27"/>
      <c r="C650" s="27"/>
      <c r="D650" s="27"/>
      <c r="E650" s="27"/>
      <c r="F650" s="27"/>
      <c r="G650" s="27"/>
      <c r="H650" s="27"/>
      <c r="I650" s="27"/>
      <c r="J650" s="27"/>
      <c r="K650" s="27"/>
      <c r="L650" s="27"/>
    </row>
    <row r="651" spans="1:12">
      <c r="A651" s="27"/>
      <c r="B651" s="27"/>
      <c r="C651" s="27"/>
      <c r="D651" s="27"/>
      <c r="E651" s="27"/>
      <c r="F651" s="27"/>
      <c r="G651" s="27"/>
      <c r="H651" s="27"/>
      <c r="I651" s="27"/>
      <c r="J651" s="27"/>
      <c r="K651" s="27"/>
      <c r="L651" s="27"/>
    </row>
    <row r="652" spans="1:12">
      <c r="A652" s="27"/>
      <c r="B652" s="27"/>
      <c r="C652" s="27"/>
      <c r="D652" s="27"/>
      <c r="E652" s="27"/>
      <c r="F652" s="27"/>
      <c r="G652" s="27"/>
      <c r="H652" s="27"/>
      <c r="I652" s="27"/>
      <c r="J652" s="27"/>
      <c r="K652" s="27"/>
      <c r="L652" s="27"/>
    </row>
    <row r="653" spans="1:12" ht="32.25">
      <c r="A653" s="27"/>
      <c r="B653" s="848"/>
      <c r="C653" s="767"/>
      <c r="D653" s="767"/>
      <c r="E653" s="767"/>
      <c r="F653" s="767"/>
      <c r="G653" s="767"/>
      <c r="H653" s="767"/>
      <c r="I653" s="767"/>
      <c r="J653" s="767"/>
      <c r="K653" s="767"/>
      <c r="L653" s="767"/>
    </row>
    <row r="654" spans="1:12" ht="23.25">
      <c r="A654" s="27"/>
      <c r="B654" s="738"/>
      <c r="C654" s="738"/>
      <c r="D654" s="738"/>
      <c r="E654" s="738"/>
      <c r="F654" s="738"/>
      <c r="G654" s="738"/>
      <c r="H654" s="738"/>
      <c r="I654" s="738"/>
      <c r="J654" s="738"/>
      <c r="K654" s="738"/>
      <c r="L654" s="738"/>
    </row>
    <row r="655" spans="1:12" ht="15.75">
      <c r="A655" s="27"/>
      <c r="B655" s="846"/>
      <c r="C655" s="846"/>
      <c r="D655" s="846"/>
      <c r="E655" s="846"/>
      <c r="F655" s="846"/>
      <c r="G655" s="846"/>
      <c r="H655" s="846"/>
      <c r="I655" s="846"/>
      <c r="J655" s="846"/>
      <c r="K655" s="846"/>
      <c r="L655" s="846"/>
    </row>
    <row r="656" spans="1:12" ht="15" customHeight="1">
      <c r="A656" s="27"/>
      <c r="B656" s="747"/>
      <c r="C656" s="747"/>
      <c r="D656" s="747"/>
      <c r="E656" s="747"/>
      <c r="F656" s="747"/>
      <c r="G656" s="27"/>
      <c r="H656" s="748"/>
      <c r="I656" s="748"/>
      <c r="J656" s="748"/>
      <c r="K656" s="748"/>
      <c r="L656" s="748"/>
    </row>
    <row r="657" spans="1:12">
      <c r="A657" s="27"/>
      <c r="B657" s="747"/>
      <c r="C657" s="747"/>
      <c r="D657" s="747"/>
      <c r="E657" s="747"/>
      <c r="F657" s="747"/>
      <c r="G657" s="27"/>
      <c r="H657" s="748"/>
      <c r="I657" s="748"/>
      <c r="J657" s="748"/>
      <c r="K657" s="748"/>
      <c r="L657" s="748"/>
    </row>
    <row r="658" spans="1:12">
      <c r="A658" s="27"/>
      <c r="B658" s="27"/>
      <c r="C658" s="27"/>
      <c r="D658" s="27"/>
      <c r="E658" s="27"/>
      <c r="F658" s="27"/>
      <c r="G658" s="27"/>
      <c r="H658" s="27"/>
      <c r="I658" s="27"/>
      <c r="J658" s="27"/>
      <c r="K658" s="27"/>
      <c r="L658" s="27"/>
    </row>
    <row r="659" spans="1:12">
      <c r="A659" s="27"/>
      <c r="B659" s="108"/>
      <c r="C659" s="100"/>
      <c r="D659" s="100"/>
      <c r="E659" s="100"/>
      <c r="F659" s="100"/>
      <c r="G659" s="27"/>
      <c r="H659" s="108"/>
      <c r="I659" s="100"/>
      <c r="J659" s="100"/>
      <c r="K659" s="100"/>
      <c r="L659" s="100"/>
    </row>
    <row r="660" spans="1:12">
      <c r="A660" s="27"/>
      <c r="B660" s="27"/>
      <c r="C660" s="100"/>
      <c r="D660" s="100"/>
      <c r="E660" s="100"/>
      <c r="F660" s="100"/>
      <c r="G660" s="27"/>
      <c r="H660" s="27"/>
      <c r="I660" s="100"/>
      <c r="J660" s="100"/>
      <c r="K660" s="100"/>
      <c r="L660" s="100"/>
    </row>
    <row r="661" spans="1:12">
      <c r="A661" s="27"/>
      <c r="B661" s="108"/>
      <c r="C661" s="100"/>
      <c r="D661" s="100"/>
      <c r="E661" s="100"/>
      <c r="F661" s="100"/>
      <c r="G661" s="27"/>
      <c r="H661" s="108"/>
      <c r="I661" s="100"/>
      <c r="J661" s="100"/>
      <c r="K661" s="100"/>
      <c r="L661" s="100"/>
    </row>
    <row r="662" spans="1:12">
      <c r="A662" s="27"/>
      <c r="B662" s="100"/>
      <c r="C662" s="100"/>
      <c r="D662" s="100"/>
      <c r="E662" s="100"/>
      <c r="F662" s="100"/>
      <c r="G662" s="27"/>
      <c r="H662" s="100"/>
      <c r="I662" s="100"/>
      <c r="J662" s="100"/>
      <c r="K662" s="100"/>
      <c r="L662" s="100"/>
    </row>
    <row r="663" spans="1:12">
      <c r="A663" s="27"/>
      <c r="B663" s="27"/>
      <c r="C663" s="27"/>
      <c r="D663" s="27"/>
      <c r="E663" s="27"/>
      <c r="F663" s="27"/>
      <c r="G663" s="27"/>
      <c r="H663" s="27"/>
      <c r="I663" s="27"/>
      <c r="J663" s="27"/>
      <c r="K663" s="27"/>
      <c r="L663" s="27"/>
    </row>
    <row r="664" spans="1:12">
      <c r="A664" s="27"/>
      <c r="B664" s="664"/>
      <c r="C664" s="664"/>
      <c r="D664" s="664"/>
      <c r="E664" s="664"/>
      <c r="F664" s="664"/>
      <c r="G664" s="27"/>
      <c r="H664" s="664"/>
      <c r="I664" s="664"/>
      <c r="J664" s="664"/>
      <c r="K664" s="664"/>
      <c r="L664" s="664"/>
    </row>
    <row r="665" spans="1:12">
      <c r="A665" s="27"/>
      <c r="B665" s="27"/>
      <c r="C665" s="27"/>
      <c r="D665" s="27"/>
      <c r="E665" s="27"/>
      <c r="F665" s="27"/>
      <c r="G665" s="27"/>
      <c r="H665" s="27"/>
      <c r="I665" s="27"/>
      <c r="J665" s="27"/>
      <c r="K665" s="27"/>
      <c r="L665" s="27"/>
    </row>
    <row r="666" spans="1:12">
      <c r="A666" s="27"/>
      <c r="B666" s="27"/>
      <c r="C666" s="27"/>
      <c r="D666" s="27"/>
      <c r="E666" s="27"/>
      <c r="F666" s="27"/>
      <c r="G666" s="27"/>
      <c r="H666" s="185"/>
      <c r="I666" s="185"/>
      <c r="J666" s="185"/>
      <c r="K666" s="185"/>
      <c r="L666" s="185"/>
    </row>
    <row r="667" spans="1:12">
      <c r="A667" s="27"/>
      <c r="B667" s="100"/>
      <c r="C667" s="100"/>
      <c r="D667" s="100"/>
      <c r="E667" s="100"/>
      <c r="F667" s="100"/>
      <c r="G667" s="27"/>
      <c r="H667" s="108"/>
      <c r="I667" s="108"/>
      <c r="J667" s="108"/>
      <c r="K667" s="108"/>
      <c r="L667" s="108"/>
    </row>
    <row r="668" spans="1:12">
      <c r="A668" s="27"/>
      <c r="B668" s="108"/>
      <c r="C668" s="100"/>
      <c r="D668" s="100"/>
      <c r="E668" s="100"/>
      <c r="F668" s="100"/>
      <c r="G668" s="27"/>
      <c r="H668" s="108"/>
      <c r="I668" s="108"/>
      <c r="J668" s="108"/>
      <c r="K668" s="108"/>
      <c r="L668" s="108"/>
    </row>
    <row r="669" spans="1:12">
      <c r="A669" s="27"/>
      <c r="B669" s="100"/>
      <c r="C669" s="100"/>
      <c r="D669" s="100"/>
      <c r="E669" s="100"/>
      <c r="F669" s="100"/>
      <c r="G669" s="27"/>
      <c r="H669" s="108"/>
      <c r="I669" s="108"/>
      <c r="J669" s="108"/>
      <c r="K669" s="108"/>
      <c r="L669" s="108"/>
    </row>
    <row r="670" spans="1:12">
      <c r="A670" s="27"/>
      <c r="B670" s="100"/>
      <c r="C670" s="100"/>
      <c r="D670" s="100"/>
      <c r="E670" s="100"/>
      <c r="F670" s="100"/>
      <c r="G670" s="27"/>
      <c r="H670" s="108"/>
      <c r="I670" s="108"/>
      <c r="J670" s="108"/>
      <c r="K670" s="108"/>
      <c r="L670" s="108"/>
    </row>
    <row r="671" spans="1:12" ht="27.95" customHeight="1">
      <c r="A671" s="265"/>
      <c r="B671" s="844"/>
      <c r="C671" s="844"/>
      <c r="D671" s="844"/>
      <c r="E671" s="844"/>
      <c r="F671" s="844"/>
      <c r="G671" s="844"/>
      <c r="H671" s="841"/>
      <c r="I671" s="842"/>
      <c r="J671" s="842"/>
      <c r="K671" s="842"/>
      <c r="L671" s="842"/>
    </row>
    <row r="672" spans="1:12" ht="27.95" customHeight="1">
      <c r="A672" s="265"/>
      <c r="B672" s="748"/>
      <c r="C672" s="748"/>
      <c r="D672" s="748"/>
      <c r="E672" s="748"/>
      <c r="F672" s="748"/>
      <c r="G672" s="748"/>
      <c r="H672" s="841"/>
      <c r="I672" s="842"/>
      <c r="J672" s="842"/>
      <c r="K672" s="842"/>
      <c r="L672" s="842"/>
    </row>
    <row r="673" spans="1:12" ht="27.95" customHeight="1">
      <c r="A673" s="265"/>
      <c r="B673" s="844"/>
      <c r="C673" s="844"/>
      <c r="D673" s="844"/>
      <c r="E673" s="844"/>
      <c r="F673" s="844"/>
      <c r="G673" s="844"/>
      <c r="H673" s="841"/>
      <c r="I673" s="842"/>
      <c r="J673" s="842"/>
      <c r="K673" s="842"/>
      <c r="L673" s="842"/>
    </row>
    <row r="674" spans="1:12" ht="27.95" customHeight="1">
      <c r="A674" s="265"/>
      <c r="B674" s="844"/>
      <c r="C674" s="844"/>
      <c r="D674" s="844"/>
      <c r="E674" s="844"/>
      <c r="F674" s="844"/>
      <c r="G674" s="844"/>
      <c r="H674" s="845"/>
      <c r="I674" s="842"/>
      <c r="J674" s="842"/>
      <c r="K674" s="842"/>
      <c r="L674" s="842"/>
    </row>
    <row r="675" spans="1:12" ht="27.95" customHeight="1">
      <c r="A675" s="265"/>
      <c r="B675" s="193"/>
      <c r="C675" s="412"/>
      <c r="D675" s="412"/>
      <c r="E675" s="412"/>
      <c r="F675" s="412"/>
      <c r="G675" s="412"/>
      <c r="H675" s="411"/>
      <c r="I675" s="265"/>
      <c r="J675" s="266"/>
      <c r="K675" s="411"/>
      <c r="L675" s="411"/>
    </row>
    <row r="676" spans="1:12" ht="27.95" customHeight="1">
      <c r="A676" s="265"/>
      <c r="B676" s="193"/>
      <c r="C676" s="412"/>
      <c r="D676" s="412"/>
      <c r="E676" s="412"/>
      <c r="F676" s="412"/>
      <c r="G676" s="412"/>
      <c r="H676" s="411"/>
      <c r="I676" s="411"/>
      <c r="J676" s="266"/>
      <c r="K676" s="411"/>
      <c r="L676" s="411"/>
    </row>
    <row r="677" spans="1:12" ht="27.95" customHeight="1">
      <c r="A677" s="265"/>
      <c r="B677" s="748"/>
      <c r="C677" s="748"/>
      <c r="D677" s="748"/>
      <c r="E677" s="748"/>
      <c r="F677" s="748"/>
      <c r="G677" s="748"/>
      <c r="H677" s="841"/>
      <c r="I677" s="842"/>
      <c r="J677" s="842"/>
      <c r="K677" s="842"/>
      <c r="L677" s="842"/>
    </row>
    <row r="678" spans="1:12" ht="27.95" customHeight="1">
      <c r="A678" s="265"/>
      <c r="B678" s="844"/>
      <c r="C678" s="844"/>
      <c r="D678" s="844"/>
      <c r="E678" s="844"/>
      <c r="F678" s="844"/>
      <c r="G678" s="844"/>
      <c r="H678" s="847"/>
      <c r="I678" s="842"/>
      <c r="J678" s="842"/>
      <c r="K678" s="842"/>
      <c r="L678" s="842"/>
    </row>
    <row r="679" spans="1:12" ht="27.95" customHeight="1">
      <c r="A679" s="27"/>
      <c r="B679" s="844"/>
      <c r="C679" s="844"/>
      <c r="D679" s="844"/>
      <c r="E679" s="844"/>
      <c r="F679" s="844"/>
      <c r="G679" s="844"/>
      <c r="H679" s="842"/>
      <c r="I679" s="842"/>
      <c r="J679" s="842"/>
      <c r="K679" s="842"/>
      <c r="L679" s="842"/>
    </row>
    <row r="680" spans="1:12" ht="27.95" customHeight="1">
      <c r="A680" s="27"/>
      <c r="B680" s="193"/>
      <c r="C680" s="412"/>
      <c r="D680" s="412"/>
      <c r="E680" s="412"/>
      <c r="F680" s="412"/>
      <c r="G680" s="412"/>
      <c r="H680" s="411"/>
      <c r="I680" s="411"/>
      <c r="J680" s="411"/>
      <c r="K680" s="411"/>
      <c r="L680" s="411"/>
    </row>
    <row r="681" spans="1:12" ht="27.95" customHeight="1">
      <c r="A681" s="27"/>
      <c r="B681" s="193"/>
      <c r="C681" s="412"/>
      <c r="D681" s="412"/>
      <c r="E681" s="412"/>
      <c r="F681" s="412"/>
      <c r="G681" s="412"/>
      <c r="H681" s="411"/>
      <c r="I681" s="411"/>
      <c r="J681" s="411"/>
      <c r="K681" s="411"/>
      <c r="L681" s="411"/>
    </row>
    <row r="682" spans="1:12" ht="27.95" customHeight="1">
      <c r="A682" s="27"/>
      <c r="B682" s="193"/>
      <c r="C682" s="412"/>
      <c r="D682" s="412"/>
      <c r="E682" s="412"/>
      <c r="F682" s="412"/>
      <c r="G682" s="412"/>
      <c r="H682" s="411"/>
      <c r="I682" s="411"/>
      <c r="J682" s="410"/>
      <c r="K682" s="411"/>
      <c r="L682" s="411"/>
    </row>
    <row r="683" spans="1:12" ht="27.95" customHeight="1">
      <c r="A683" s="27"/>
      <c r="B683" s="193"/>
      <c r="C683" s="412"/>
      <c r="D683" s="412"/>
      <c r="E683" s="412"/>
      <c r="F683" s="412"/>
      <c r="G683" s="412"/>
      <c r="H683" s="411"/>
      <c r="I683" s="411"/>
      <c r="J683" s="411"/>
      <c r="K683" s="411"/>
      <c r="L683" s="411"/>
    </row>
    <row r="684" spans="1:12" ht="27.95" customHeight="1">
      <c r="A684" s="27"/>
      <c r="B684" s="193"/>
      <c r="C684" s="412"/>
      <c r="D684" s="412"/>
      <c r="E684" s="412"/>
      <c r="F684" s="412"/>
      <c r="G684" s="412"/>
      <c r="H684" s="411"/>
      <c r="I684" s="411"/>
      <c r="J684" s="410"/>
      <c r="K684" s="411"/>
      <c r="L684" s="411"/>
    </row>
    <row r="685" spans="1:12" ht="27.95" customHeight="1">
      <c r="A685" s="27"/>
      <c r="B685" s="193"/>
      <c r="C685" s="412"/>
      <c r="D685" s="411"/>
      <c r="E685" s="410"/>
      <c r="F685" s="411"/>
      <c r="G685" s="410"/>
      <c r="H685" s="411"/>
      <c r="I685" s="410"/>
      <c r="J685" s="411"/>
      <c r="K685" s="410"/>
      <c r="L685" s="410"/>
    </row>
    <row r="686" spans="1:12" ht="27.95" customHeight="1">
      <c r="A686" s="27"/>
      <c r="B686" s="193"/>
      <c r="C686" s="412"/>
      <c r="D686" s="412"/>
      <c r="E686" s="412"/>
      <c r="F686" s="412"/>
      <c r="G686" s="412"/>
      <c r="H686" s="411"/>
      <c r="I686" s="411"/>
      <c r="J686" s="267"/>
      <c r="K686" s="411"/>
      <c r="L686" s="411"/>
    </row>
    <row r="687" spans="1:12" ht="27.95" customHeight="1">
      <c r="A687" s="27"/>
      <c r="B687" s="193"/>
      <c r="C687" s="185"/>
      <c r="D687" s="185"/>
      <c r="E687" s="185"/>
      <c r="F687" s="185"/>
      <c r="G687" s="185"/>
      <c r="H687" s="27"/>
      <c r="I687" s="27"/>
      <c r="J687" s="27"/>
      <c r="K687" s="27"/>
      <c r="L687" s="27"/>
    </row>
    <row r="688" spans="1:12" ht="27.95" customHeight="1">
      <c r="A688" s="27"/>
      <c r="B688" s="193"/>
      <c r="C688" s="185"/>
      <c r="D688" s="185"/>
      <c r="E688" s="185"/>
      <c r="F688" s="185"/>
      <c r="G688" s="185"/>
      <c r="H688" s="27"/>
      <c r="I688" s="27"/>
      <c r="J688" s="27"/>
      <c r="K688" s="27"/>
      <c r="L688" s="27"/>
    </row>
    <row r="689" spans="1:12">
      <c r="A689" s="27"/>
      <c r="B689" s="27"/>
      <c r="C689" s="27"/>
      <c r="D689" s="27"/>
      <c r="E689" s="27"/>
      <c r="F689" s="27"/>
      <c r="G689" s="27"/>
      <c r="H689" s="27"/>
      <c r="I689" s="27"/>
      <c r="J689" s="27"/>
      <c r="K689" s="27"/>
      <c r="L689" s="27"/>
    </row>
    <row r="690" spans="1:12">
      <c r="A690" s="27"/>
      <c r="B690" s="27"/>
      <c r="C690" s="27"/>
      <c r="D690" s="27"/>
      <c r="E690" s="27"/>
      <c r="F690" s="27"/>
      <c r="G690" s="27"/>
      <c r="H690" s="27"/>
      <c r="I690" s="27"/>
      <c r="J690" s="27"/>
      <c r="K690" s="27"/>
      <c r="L690" s="27"/>
    </row>
    <row r="691" spans="1:12">
      <c r="A691" s="27"/>
      <c r="B691" s="27"/>
      <c r="C691" s="27"/>
      <c r="D691" s="27"/>
      <c r="E691" s="27"/>
      <c r="F691" s="27"/>
      <c r="G691" s="27"/>
      <c r="H691" s="27"/>
      <c r="I691" s="27"/>
      <c r="J691" s="27"/>
      <c r="K691" s="27"/>
      <c r="L691" s="27"/>
    </row>
    <row r="692" spans="1:12" ht="32.25">
      <c r="A692" s="27"/>
      <c r="B692" s="848"/>
      <c r="C692" s="767"/>
      <c r="D692" s="767"/>
      <c r="E692" s="767"/>
      <c r="F692" s="767"/>
      <c r="G692" s="767"/>
      <c r="H692" s="767"/>
      <c r="I692" s="767"/>
      <c r="J692" s="767"/>
      <c r="K692" s="767"/>
      <c r="L692" s="767"/>
    </row>
    <row r="693" spans="1:12" ht="23.25">
      <c r="A693" s="27"/>
      <c r="B693" s="738"/>
      <c r="C693" s="738"/>
      <c r="D693" s="738"/>
      <c r="E693" s="738"/>
      <c r="F693" s="738"/>
      <c r="G693" s="738"/>
      <c r="H693" s="738"/>
      <c r="I693" s="738"/>
      <c r="J693" s="738"/>
      <c r="K693" s="738"/>
      <c r="L693" s="738"/>
    </row>
    <row r="694" spans="1:12" ht="15.75">
      <c r="A694" s="27"/>
      <c r="B694" s="846"/>
      <c r="C694" s="846"/>
      <c r="D694" s="846"/>
      <c r="E694" s="846"/>
      <c r="F694" s="846"/>
      <c r="G694" s="846"/>
      <c r="H694" s="846"/>
      <c r="I694" s="846"/>
      <c r="J694" s="846"/>
      <c r="K694" s="846"/>
      <c r="L694" s="846"/>
    </row>
    <row r="695" spans="1:12" ht="15" customHeight="1">
      <c r="A695" s="27"/>
      <c r="B695" s="747"/>
      <c r="C695" s="747"/>
      <c r="D695" s="747"/>
      <c r="E695" s="747"/>
      <c r="F695" s="747"/>
      <c r="G695" s="27"/>
      <c r="H695" s="748"/>
      <c r="I695" s="748"/>
      <c r="J695" s="748"/>
      <c r="K695" s="748"/>
      <c r="L695" s="748"/>
    </row>
    <row r="696" spans="1:12">
      <c r="A696" s="27"/>
      <c r="B696" s="747"/>
      <c r="C696" s="747"/>
      <c r="D696" s="747"/>
      <c r="E696" s="747"/>
      <c r="F696" s="747"/>
      <c r="G696" s="27"/>
      <c r="H696" s="748"/>
      <c r="I696" s="748"/>
      <c r="J696" s="748"/>
      <c r="K696" s="748"/>
      <c r="L696" s="748"/>
    </row>
    <row r="697" spans="1:12">
      <c r="A697" s="27"/>
      <c r="B697" s="27"/>
      <c r="C697" s="27"/>
      <c r="D697" s="27"/>
      <c r="E697" s="27"/>
      <c r="F697" s="27"/>
      <c r="G697" s="27"/>
      <c r="H697" s="27"/>
      <c r="I697" s="27"/>
      <c r="J697" s="27"/>
      <c r="K697" s="27"/>
      <c r="L697" s="27"/>
    </row>
    <row r="698" spans="1:12">
      <c r="A698" s="27"/>
      <c r="B698" s="108"/>
      <c r="C698" s="100"/>
      <c r="D698" s="100"/>
      <c r="E698" s="100"/>
      <c r="F698" s="100"/>
      <c r="G698" s="27"/>
      <c r="H698" s="108"/>
      <c r="I698" s="100"/>
      <c r="J698" s="100"/>
      <c r="K698" s="100"/>
      <c r="L698" s="100"/>
    </row>
    <row r="699" spans="1:12">
      <c r="A699" s="27"/>
      <c r="B699" s="27"/>
      <c r="C699" s="100"/>
      <c r="D699" s="100"/>
      <c r="E699" s="100"/>
      <c r="F699" s="100"/>
      <c r="G699" s="27"/>
      <c r="H699" s="27"/>
      <c r="I699" s="100"/>
      <c r="J699" s="100"/>
      <c r="K699" s="100"/>
      <c r="L699" s="100"/>
    </row>
    <row r="700" spans="1:12">
      <c r="A700" s="27"/>
      <c r="B700" s="108"/>
      <c r="C700" s="100"/>
      <c r="D700" s="100"/>
      <c r="E700" s="100"/>
      <c r="F700" s="100"/>
      <c r="G700" s="27"/>
      <c r="H700" s="108"/>
      <c r="I700" s="100"/>
      <c r="J700" s="100"/>
      <c r="K700" s="100"/>
      <c r="L700" s="100"/>
    </row>
    <row r="701" spans="1:12">
      <c r="A701" s="27"/>
      <c r="B701" s="100"/>
      <c r="C701" s="100"/>
      <c r="D701" s="100"/>
      <c r="E701" s="100"/>
      <c r="F701" s="100"/>
      <c r="G701" s="27"/>
      <c r="H701" s="100"/>
      <c r="I701" s="100"/>
      <c r="J701" s="100"/>
      <c r="K701" s="100"/>
      <c r="L701" s="100"/>
    </row>
    <row r="702" spans="1:12">
      <c r="A702" s="27"/>
      <c r="B702" s="27"/>
      <c r="C702" s="27"/>
      <c r="D702" s="27"/>
      <c r="E702" s="27"/>
      <c r="F702" s="27"/>
      <c r="G702" s="27"/>
      <c r="H702" s="27"/>
      <c r="I702" s="27"/>
      <c r="J702" s="27"/>
      <c r="K702" s="27"/>
      <c r="L702" s="27"/>
    </row>
    <row r="703" spans="1:12">
      <c r="A703" s="27"/>
      <c r="B703" s="664"/>
      <c r="C703" s="664"/>
      <c r="D703" s="664"/>
      <c r="E703" s="664"/>
      <c r="F703" s="664"/>
      <c r="G703" s="27"/>
      <c r="H703" s="664"/>
      <c r="I703" s="664"/>
      <c r="J703" s="664"/>
      <c r="K703" s="664"/>
      <c r="L703" s="664"/>
    </row>
    <row r="704" spans="1:12">
      <c r="A704" s="27"/>
      <c r="B704" s="27"/>
      <c r="C704" s="27"/>
      <c r="D704" s="27"/>
      <c r="E704" s="27"/>
      <c r="F704" s="27"/>
      <c r="G704" s="27"/>
      <c r="H704" s="27"/>
      <c r="I704" s="27"/>
      <c r="J704" s="27"/>
      <c r="K704" s="27"/>
      <c r="L704" s="27"/>
    </row>
    <row r="705" spans="1:12">
      <c r="A705" s="27"/>
      <c r="B705" s="27"/>
      <c r="C705" s="27"/>
      <c r="D705" s="27"/>
      <c r="E705" s="27"/>
      <c r="F705" s="27"/>
      <c r="G705" s="27"/>
      <c r="H705" s="185"/>
      <c r="I705" s="185"/>
      <c r="J705" s="185"/>
      <c r="K705" s="185"/>
      <c r="L705" s="185"/>
    </row>
    <row r="706" spans="1:12">
      <c r="A706" s="27"/>
      <c r="B706" s="100"/>
      <c r="C706" s="100"/>
      <c r="D706" s="100"/>
      <c r="E706" s="100"/>
      <c r="F706" s="100"/>
      <c r="G706" s="27"/>
      <c r="H706" s="108"/>
      <c r="I706" s="108"/>
      <c r="J706" s="108"/>
      <c r="K706" s="108"/>
      <c r="L706" s="108"/>
    </row>
    <row r="707" spans="1:12">
      <c r="A707" s="27"/>
      <c r="B707" s="108"/>
      <c r="C707" s="100"/>
      <c r="D707" s="100"/>
      <c r="E707" s="100"/>
      <c r="F707" s="100"/>
      <c r="G707" s="27"/>
      <c r="H707" s="108"/>
      <c r="I707" s="108"/>
      <c r="J707" s="108"/>
      <c r="K707" s="108"/>
      <c r="L707" s="108"/>
    </row>
    <row r="708" spans="1:12">
      <c r="A708" s="27"/>
      <c r="B708" s="100"/>
      <c r="C708" s="100"/>
      <c r="D708" s="100"/>
      <c r="E708" s="100"/>
      <c r="F708" s="100"/>
      <c r="G708" s="27"/>
      <c r="H708" s="108"/>
      <c r="I708" s="108"/>
      <c r="J708" s="108"/>
      <c r="K708" s="108"/>
      <c r="L708" s="108"/>
    </row>
    <row r="709" spans="1:12">
      <c r="A709" s="27"/>
      <c r="B709" s="100"/>
      <c r="C709" s="100"/>
      <c r="D709" s="100"/>
      <c r="E709" s="100"/>
      <c r="F709" s="100"/>
      <c r="G709" s="27"/>
      <c r="H709" s="108"/>
      <c r="I709" s="108"/>
      <c r="J709" s="108"/>
      <c r="K709" s="108"/>
      <c r="L709" s="108"/>
    </row>
    <row r="710" spans="1:12" ht="27.95" customHeight="1">
      <c r="A710" s="265"/>
      <c r="B710" s="844"/>
      <c r="C710" s="844"/>
      <c r="D710" s="844"/>
      <c r="E710" s="844"/>
      <c r="F710" s="844"/>
      <c r="G710" s="844"/>
      <c r="H710" s="841"/>
      <c r="I710" s="842"/>
      <c r="J710" s="842"/>
      <c r="K710" s="842"/>
      <c r="L710" s="842"/>
    </row>
    <row r="711" spans="1:12" ht="27.95" customHeight="1">
      <c r="A711" s="265"/>
      <c r="B711" s="748"/>
      <c r="C711" s="748"/>
      <c r="D711" s="748"/>
      <c r="E711" s="748"/>
      <c r="F711" s="748"/>
      <c r="G711" s="748"/>
      <c r="H711" s="841"/>
      <c r="I711" s="842"/>
      <c r="J711" s="842"/>
      <c r="K711" s="842"/>
      <c r="L711" s="842"/>
    </row>
    <row r="712" spans="1:12" ht="27.95" customHeight="1">
      <c r="A712" s="265"/>
      <c r="B712" s="844"/>
      <c r="C712" s="844"/>
      <c r="D712" s="844"/>
      <c r="E712" s="844"/>
      <c r="F712" s="844"/>
      <c r="G712" s="844"/>
      <c r="H712" s="841"/>
      <c r="I712" s="842"/>
      <c r="J712" s="842"/>
      <c r="K712" s="842"/>
      <c r="L712" s="842"/>
    </row>
    <row r="713" spans="1:12" ht="27.95" customHeight="1">
      <c r="A713" s="265"/>
      <c r="B713" s="844"/>
      <c r="C713" s="844"/>
      <c r="D713" s="844"/>
      <c r="E713" s="844"/>
      <c r="F713" s="844"/>
      <c r="G713" s="844"/>
      <c r="H713" s="845"/>
      <c r="I713" s="842"/>
      <c r="J713" s="842"/>
      <c r="K713" s="842"/>
      <c r="L713" s="842"/>
    </row>
    <row r="714" spans="1:12" ht="27.95" customHeight="1">
      <c r="A714" s="265"/>
      <c r="B714" s="193"/>
      <c r="C714" s="412"/>
      <c r="D714" s="412"/>
      <c r="E714" s="412"/>
      <c r="F714" s="412"/>
      <c r="G714" s="412"/>
      <c r="H714" s="411"/>
      <c r="I714" s="265"/>
      <c r="J714" s="266"/>
      <c r="K714" s="411"/>
      <c r="L714" s="411"/>
    </row>
    <row r="715" spans="1:12" ht="27.95" customHeight="1">
      <c r="A715" s="265"/>
      <c r="B715" s="193"/>
      <c r="C715" s="412"/>
      <c r="D715" s="412"/>
      <c r="E715" s="412"/>
      <c r="F715" s="412"/>
      <c r="G715" s="412"/>
      <c r="H715" s="411"/>
      <c r="I715" s="411"/>
      <c r="J715" s="266"/>
      <c r="K715" s="411"/>
      <c r="L715" s="411"/>
    </row>
    <row r="716" spans="1:12" ht="27.95" customHeight="1">
      <c r="A716" s="265"/>
      <c r="B716" s="748"/>
      <c r="C716" s="748"/>
      <c r="D716" s="748"/>
      <c r="E716" s="748"/>
      <c r="F716" s="748"/>
      <c r="G716" s="748"/>
      <c r="H716" s="841"/>
      <c r="I716" s="842"/>
      <c r="J716" s="842"/>
      <c r="K716" s="842"/>
      <c r="L716" s="842"/>
    </row>
    <row r="717" spans="1:12" ht="27.95" customHeight="1">
      <c r="A717" s="265"/>
      <c r="B717" s="844"/>
      <c r="C717" s="844"/>
      <c r="D717" s="844"/>
      <c r="E717" s="844"/>
      <c r="F717" s="844"/>
      <c r="G717" s="844"/>
      <c r="H717" s="847"/>
      <c r="I717" s="842"/>
      <c r="J717" s="842"/>
      <c r="K717" s="842"/>
      <c r="L717" s="842"/>
    </row>
    <row r="718" spans="1:12" ht="27.95" customHeight="1">
      <c r="A718" s="27"/>
      <c r="B718" s="844"/>
      <c r="C718" s="844"/>
      <c r="D718" s="844"/>
      <c r="E718" s="844"/>
      <c r="F718" s="844"/>
      <c r="G718" s="844"/>
      <c r="H718" s="842"/>
      <c r="I718" s="842"/>
      <c r="J718" s="842"/>
      <c r="K718" s="842"/>
      <c r="L718" s="842"/>
    </row>
    <row r="719" spans="1:12" ht="27.95" customHeight="1">
      <c r="A719" s="27"/>
      <c r="B719" s="193"/>
      <c r="C719" s="412"/>
      <c r="D719" s="412"/>
      <c r="E719" s="412"/>
      <c r="F719" s="412"/>
      <c r="G719" s="412"/>
      <c r="H719" s="411"/>
      <c r="I719" s="411"/>
      <c r="J719" s="411"/>
      <c r="K719" s="411"/>
      <c r="L719" s="411"/>
    </row>
    <row r="720" spans="1:12" ht="27.95" customHeight="1">
      <c r="A720" s="27"/>
      <c r="B720" s="193"/>
      <c r="C720" s="412"/>
      <c r="D720" s="412"/>
      <c r="E720" s="412"/>
      <c r="F720" s="412"/>
      <c r="G720" s="412"/>
      <c r="H720" s="411"/>
      <c r="I720" s="411"/>
      <c r="J720" s="411"/>
      <c r="K720" s="411"/>
      <c r="L720" s="411"/>
    </row>
    <row r="721" spans="1:12" ht="27.95" customHeight="1">
      <c r="A721" s="27"/>
      <c r="B721" s="193"/>
      <c r="C721" s="412"/>
      <c r="D721" s="412"/>
      <c r="E721" s="412"/>
      <c r="F721" s="412"/>
      <c r="G721" s="412"/>
      <c r="H721" s="411"/>
      <c r="I721" s="411"/>
      <c r="J721" s="410"/>
      <c r="K721" s="411"/>
      <c r="L721" s="411"/>
    </row>
    <row r="722" spans="1:12" ht="27.95" customHeight="1">
      <c r="A722" s="27"/>
      <c r="B722" s="193"/>
      <c r="C722" s="412"/>
      <c r="D722" s="412"/>
      <c r="E722" s="412"/>
      <c r="F722" s="412"/>
      <c r="G722" s="412"/>
      <c r="H722" s="411"/>
      <c r="I722" s="411"/>
      <c r="J722" s="411"/>
      <c r="K722" s="411"/>
      <c r="L722" s="411"/>
    </row>
    <row r="723" spans="1:12" ht="27.95" customHeight="1">
      <c r="A723" s="27"/>
      <c r="B723" s="193"/>
      <c r="C723" s="412"/>
      <c r="D723" s="412"/>
      <c r="E723" s="412"/>
      <c r="F723" s="412"/>
      <c r="G723" s="412"/>
      <c r="H723" s="411"/>
      <c r="I723" s="411"/>
      <c r="J723" s="410"/>
      <c r="K723" s="411"/>
      <c r="L723" s="411"/>
    </row>
    <row r="724" spans="1:12" ht="27.95" customHeight="1">
      <c r="A724" s="27"/>
      <c r="B724" s="193"/>
      <c r="C724" s="412"/>
      <c r="D724" s="411"/>
      <c r="E724" s="410"/>
      <c r="F724" s="411"/>
      <c r="G724" s="410"/>
      <c r="H724" s="411"/>
      <c r="I724" s="410"/>
      <c r="J724" s="411"/>
      <c r="K724" s="410"/>
      <c r="L724" s="410"/>
    </row>
    <row r="725" spans="1:12" ht="27.95" customHeight="1">
      <c r="A725" s="27"/>
      <c r="B725" s="193"/>
      <c r="C725" s="412"/>
      <c r="D725" s="412"/>
      <c r="E725" s="412"/>
      <c r="F725" s="412"/>
      <c r="G725" s="412"/>
      <c r="H725" s="411"/>
      <c r="I725" s="411"/>
      <c r="J725" s="267"/>
      <c r="K725" s="411"/>
      <c r="L725" s="411"/>
    </row>
    <row r="726" spans="1:12" ht="27.95" customHeight="1">
      <c r="A726" s="27"/>
      <c r="B726" s="193"/>
      <c r="C726" s="185"/>
      <c r="D726" s="185"/>
      <c r="E726" s="185"/>
      <c r="F726" s="185"/>
      <c r="G726" s="185"/>
      <c r="H726" s="27"/>
      <c r="I726" s="27"/>
      <c r="J726" s="27"/>
      <c r="K726" s="27"/>
      <c r="L726" s="27"/>
    </row>
    <row r="727" spans="1:12" ht="27.95" customHeight="1">
      <c r="A727" s="27"/>
      <c r="B727" s="193"/>
      <c r="C727" s="185"/>
      <c r="D727" s="185"/>
      <c r="E727" s="185"/>
      <c r="F727" s="185"/>
      <c r="G727" s="185"/>
      <c r="H727" s="27"/>
      <c r="I727" s="27"/>
      <c r="J727" s="27"/>
      <c r="K727" s="27"/>
      <c r="L727" s="27"/>
    </row>
    <row r="728" spans="1:12">
      <c r="A728" s="27"/>
      <c r="B728" s="27"/>
      <c r="C728" s="27"/>
      <c r="D728" s="27"/>
      <c r="E728" s="27"/>
      <c r="F728" s="27"/>
      <c r="G728" s="27"/>
      <c r="H728" s="27"/>
      <c r="I728" s="27"/>
      <c r="J728" s="27"/>
      <c r="K728" s="27"/>
      <c r="L728" s="27"/>
    </row>
    <row r="729" spans="1:12">
      <c r="A729" s="27"/>
      <c r="B729" s="27"/>
      <c r="C729" s="27"/>
      <c r="D729" s="27"/>
      <c r="E729" s="27"/>
      <c r="F729" s="27"/>
      <c r="G729" s="27"/>
      <c r="H729" s="27"/>
      <c r="I729" s="27"/>
      <c r="J729" s="27"/>
      <c r="K729" s="27"/>
      <c r="L729" s="27"/>
    </row>
    <row r="730" spans="1:12">
      <c r="A730" s="27"/>
      <c r="B730" s="27"/>
      <c r="C730" s="27"/>
      <c r="D730" s="27"/>
      <c r="E730" s="27"/>
      <c r="F730" s="27"/>
      <c r="G730" s="27"/>
      <c r="H730" s="27"/>
      <c r="I730" s="27"/>
      <c r="J730" s="27"/>
      <c r="K730" s="27"/>
      <c r="L730" s="27"/>
    </row>
    <row r="731" spans="1:12" ht="32.25">
      <c r="A731" s="27"/>
      <c r="B731" s="848"/>
      <c r="C731" s="767"/>
      <c r="D731" s="767"/>
      <c r="E731" s="767"/>
      <c r="F731" s="767"/>
      <c r="G731" s="767"/>
      <c r="H731" s="767"/>
      <c r="I731" s="767"/>
      <c r="J731" s="767"/>
      <c r="K731" s="767"/>
      <c r="L731" s="767"/>
    </row>
    <row r="732" spans="1:12" ht="23.25">
      <c r="A732" s="27"/>
      <c r="B732" s="738"/>
      <c r="C732" s="738"/>
      <c r="D732" s="738"/>
      <c r="E732" s="738"/>
      <c r="F732" s="738"/>
      <c r="G732" s="738"/>
      <c r="H732" s="738"/>
      <c r="I732" s="738"/>
      <c r="J732" s="738"/>
      <c r="K732" s="738"/>
      <c r="L732" s="738"/>
    </row>
    <row r="733" spans="1:12" ht="15.75">
      <c r="A733" s="27"/>
      <c r="B733" s="846"/>
      <c r="C733" s="846"/>
      <c r="D733" s="846"/>
      <c r="E733" s="846"/>
      <c r="F733" s="846"/>
      <c r="G733" s="846"/>
      <c r="H733" s="846"/>
      <c r="I733" s="846"/>
      <c r="J733" s="846"/>
      <c r="K733" s="846"/>
      <c r="L733" s="846"/>
    </row>
    <row r="734" spans="1:12" ht="15" customHeight="1">
      <c r="A734" s="27"/>
      <c r="B734" s="747"/>
      <c r="C734" s="747"/>
      <c r="D734" s="747"/>
      <c r="E734" s="747"/>
      <c r="F734" s="747"/>
      <c r="G734" s="27"/>
      <c r="H734" s="748"/>
      <c r="I734" s="748"/>
      <c r="J734" s="748"/>
      <c r="K734" s="748"/>
      <c r="L734" s="748"/>
    </row>
    <row r="735" spans="1:12">
      <c r="A735" s="27"/>
      <c r="B735" s="747"/>
      <c r="C735" s="747"/>
      <c r="D735" s="747"/>
      <c r="E735" s="747"/>
      <c r="F735" s="747"/>
      <c r="G735" s="27"/>
      <c r="H735" s="748"/>
      <c r="I735" s="748"/>
      <c r="J735" s="748"/>
      <c r="K735" s="748"/>
      <c r="L735" s="748"/>
    </row>
    <row r="736" spans="1:12">
      <c r="A736" s="27"/>
      <c r="B736" s="27"/>
      <c r="C736" s="27"/>
      <c r="D736" s="27"/>
      <c r="E736" s="27"/>
      <c r="F736" s="27"/>
      <c r="G736" s="27"/>
      <c r="H736" s="27"/>
      <c r="I736" s="27"/>
      <c r="J736" s="27"/>
      <c r="K736" s="27"/>
      <c r="L736" s="27"/>
    </row>
    <row r="737" spans="1:12">
      <c r="A737" s="27"/>
      <c r="B737" s="108"/>
      <c r="C737" s="100"/>
      <c r="D737" s="100"/>
      <c r="E737" s="100"/>
      <c r="F737" s="100"/>
      <c r="G737" s="27"/>
      <c r="H737" s="108"/>
      <c r="I737" s="100"/>
      <c r="J737" s="100"/>
      <c r="K737" s="100"/>
      <c r="L737" s="100"/>
    </row>
    <row r="738" spans="1:12">
      <c r="A738" s="27"/>
      <c r="B738" s="27"/>
      <c r="C738" s="100"/>
      <c r="D738" s="100"/>
      <c r="E738" s="100"/>
      <c r="F738" s="100"/>
      <c r="G738" s="27"/>
      <c r="H738" s="27"/>
      <c r="I738" s="100"/>
      <c r="J738" s="100"/>
      <c r="K738" s="100"/>
      <c r="L738" s="100"/>
    </row>
    <row r="739" spans="1:12">
      <c r="A739" s="27"/>
      <c r="B739" s="108"/>
      <c r="C739" s="100"/>
      <c r="D739" s="100"/>
      <c r="E739" s="100"/>
      <c r="F739" s="100"/>
      <c r="G739" s="27"/>
      <c r="H739" s="108"/>
      <c r="I739" s="100"/>
      <c r="J739" s="100"/>
      <c r="K739" s="100"/>
      <c r="L739" s="100"/>
    </row>
    <row r="740" spans="1:12" ht="15" customHeight="1">
      <c r="A740" s="27"/>
      <c r="B740" s="100"/>
      <c r="C740" s="100"/>
      <c r="D740" s="100"/>
      <c r="E740" s="100"/>
      <c r="F740" s="100"/>
      <c r="G740" s="27"/>
      <c r="H740" s="100"/>
      <c r="I740" s="100"/>
      <c r="J740" s="100"/>
      <c r="K740" s="100"/>
      <c r="L740" s="100"/>
    </row>
    <row r="741" spans="1:12">
      <c r="A741" s="27"/>
      <c r="B741" s="27"/>
      <c r="C741" s="27"/>
      <c r="D741" s="27"/>
      <c r="E741" s="27"/>
      <c r="F741" s="27"/>
      <c r="G741" s="27"/>
      <c r="H741" s="27"/>
      <c r="I741" s="27"/>
      <c r="J741" s="27"/>
      <c r="K741" s="27"/>
      <c r="L741" s="27"/>
    </row>
    <row r="742" spans="1:12">
      <c r="A742" s="27"/>
      <c r="B742" s="664"/>
      <c r="C742" s="664"/>
      <c r="D742" s="664"/>
      <c r="E742" s="664"/>
      <c r="F742" s="664"/>
      <c r="G742" s="27"/>
      <c r="H742" s="664"/>
      <c r="I742" s="664"/>
      <c r="J742" s="664"/>
      <c r="K742" s="664"/>
      <c r="L742" s="664"/>
    </row>
    <row r="743" spans="1:12">
      <c r="A743" s="27"/>
      <c r="B743" s="27"/>
      <c r="C743" s="27"/>
      <c r="D743" s="27"/>
      <c r="E743" s="27"/>
      <c r="F743" s="27"/>
      <c r="G743" s="27"/>
      <c r="H743" s="27"/>
      <c r="I743" s="27"/>
      <c r="J743" s="27"/>
      <c r="K743" s="27"/>
      <c r="L743" s="27"/>
    </row>
    <row r="744" spans="1:12">
      <c r="A744" s="27"/>
      <c r="B744" s="27"/>
      <c r="C744" s="27"/>
      <c r="D744" s="27"/>
      <c r="E744" s="27"/>
      <c r="F744" s="27"/>
      <c r="G744" s="27"/>
      <c r="H744" s="185"/>
      <c r="I744" s="185"/>
      <c r="J744" s="185"/>
      <c r="K744" s="185"/>
      <c r="L744" s="185"/>
    </row>
    <row r="745" spans="1:12">
      <c r="A745" s="27"/>
      <c r="B745" s="100"/>
      <c r="C745" s="100"/>
      <c r="D745" s="100"/>
      <c r="E745" s="100"/>
      <c r="F745" s="100"/>
      <c r="G745" s="27"/>
      <c r="H745" s="108"/>
      <c r="I745" s="108"/>
      <c r="J745" s="108"/>
      <c r="K745" s="108"/>
      <c r="L745" s="108"/>
    </row>
    <row r="746" spans="1:12">
      <c r="A746" s="27"/>
      <c r="B746" s="108"/>
      <c r="C746" s="100"/>
      <c r="D746" s="100"/>
      <c r="E746" s="100"/>
      <c r="F746" s="100"/>
      <c r="G746" s="27"/>
      <c r="H746" s="108"/>
      <c r="I746" s="108"/>
      <c r="J746" s="108"/>
      <c r="K746" s="108"/>
      <c r="L746" s="108"/>
    </row>
    <row r="747" spans="1:12">
      <c r="A747" s="27"/>
      <c r="B747" s="100"/>
      <c r="C747" s="100"/>
      <c r="D747" s="100"/>
      <c r="E747" s="100"/>
      <c r="F747" s="100"/>
      <c r="G747" s="27"/>
      <c r="H747" s="108"/>
      <c r="I747" s="108"/>
      <c r="J747" s="108"/>
      <c r="K747" s="108"/>
      <c r="L747" s="108"/>
    </row>
    <row r="748" spans="1:12">
      <c r="A748" s="27"/>
      <c r="B748" s="100"/>
      <c r="C748" s="100"/>
      <c r="D748" s="100"/>
      <c r="E748" s="100"/>
      <c r="F748" s="100"/>
      <c r="G748" s="27"/>
      <c r="H748" s="108"/>
      <c r="I748" s="108"/>
      <c r="J748" s="108"/>
      <c r="K748" s="108"/>
      <c r="L748" s="108"/>
    </row>
    <row r="749" spans="1:12" ht="27.95" customHeight="1">
      <c r="A749" s="265"/>
      <c r="B749" s="844"/>
      <c r="C749" s="844"/>
      <c r="D749" s="844"/>
      <c r="E749" s="844"/>
      <c r="F749" s="844"/>
      <c r="G749" s="844"/>
      <c r="H749" s="841"/>
      <c r="I749" s="842"/>
      <c r="J749" s="842"/>
      <c r="K749" s="842"/>
      <c r="L749" s="842"/>
    </row>
    <row r="750" spans="1:12" ht="27.95" customHeight="1">
      <c r="A750" s="265"/>
      <c r="B750" s="748"/>
      <c r="C750" s="748"/>
      <c r="D750" s="748"/>
      <c r="E750" s="748"/>
      <c r="F750" s="748"/>
      <c r="G750" s="748"/>
      <c r="H750" s="841"/>
      <c r="I750" s="842"/>
      <c r="J750" s="842"/>
      <c r="K750" s="842"/>
      <c r="L750" s="842"/>
    </row>
    <row r="751" spans="1:12" ht="27.95" customHeight="1">
      <c r="A751" s="265"/>
      <c r="B751" s="844"/>
      <c r="C751" s="844"/>
      <c r="D751" s="844"/>
      <c r="E751" s="844"/>
      <c r="F751" s="844"/>
      <c r="G751" s="844"/>
      <c r="H751" s="841"/>
      <c r="I751" s="842"/>
      <c r="J751" s="842"/>
      <c r="K751" s="842"/>
      <c r="L751" s="842"/>
    </row>
    <row r="752" spans="1:12" ht="27.95" customHeight="1">
      <c r="A752" s="265"/>
      <c r="B752" s="844"/>
      <c r="C752" s="844"/>
      <c r="D752" s="844"/>
      <c r="E752" s="844"/>
      <c r="F752" s="844"/>
      <c r="G752" s="844"/>
      <c r="H752" s="845"/>
      <c r="I752" s="842"/>
      <c r="J752" s="842"/>
      <c r="K752" s="842"/>
      <c r="L752" s="842"/>
    </row>
    <row r="753" spans="1:12" ht="27.95" customHeight="1">
      <c r="A753" s="265"/>
      <c r="B753" s="193"/>
      <c r="C753" s="412"/>
      <c r="D753" s="412"/>
      <c r="E753" s="412"/>
      <c r="F753" s="412"/>
      <c r="G753" s="412"/>
      <c r="H753" s="411"/>
      <c r="I753" s="265"/>
      <c r="J753" s="266"/>
      <c r="K753" s="411"/>
      <c r="L753" s="411"/>
    </row>
    <row r="754" spans="1:12" ht="27.95" customHeight="1">
      <c r="A754" s="265"/>
      <c r="B754" s="193"/>
      <c r="C754" s="412"/>
      <c r="D754" s="412"/>
      <c r="E754" s="412"/>
      <c r="F754" s="412"/>
      <c r="G754" s="412"/>
      <c r="H754" s="411"/>
      <c r="I754" s="411"/>
      <c r="J754" s="266"/>
      <c r="K754" s="411"/>
      <c r="L754" s="411"/>
    </row>
    <row r="755" spans="1:12" ht="27.95" customHeight="1">
      <c r="A755" s="265"/>
      <c r="B755" s="748"/>
      <c r="C755" s="748"/>
      <c r="D755" s="748"/>
      <c r="E755" s="748"/>
      <c r="F755" s="748"/>
      <c r="G755" s="748"/>
      <c r="H755" s="841"/>
      <c r="I755" s="842"/>
      <c r="J755" s="842"/>
      <c r="K755" s="842"/>
      <c r="L755" s="842"/>
    </row>
    <row r="756" spans="1:12" ht="27.95" customHeight="1">
      <c r="A756" s="265"/>
      <c r="B756" s="844"/>
      <c r="C756" s="844"/>
      <c r="D756" s="844"/>
      <c r="E756" s="844"/>
      <c r="F756" s="844"/>
      <c r="G756" s="844"/>
      <c r="H756" s="847"/>
      <c r="I756" s="842"/>
      <c r="J756" s="842"/>
      <c r="K756" s="842"/>
      <c r="L756" s="842"/>
    </row>
    <row r="757" spans="1:12" ht="27.95" customHeight="1">
      <c r="A757" s="27"/>
      <c r="B757" s="844"/>
      <c r="C757" s="844"/>
      <c r="D757" s="844"/>
      <c r="E757" s="844"/>
      <c r="F757" s="844"/>
      <c r="G757" s="844"/>
      <c r="H757" s="842"/>
      <c r="I757" s="842"/>
      <c r="J757" s="842"/>
      <c r="K757" s="842"/>
      <c r="L757" s="842"/>
    </row>
    <row r="758" spans="1:12" ht="27.95" customHeight="1">
      <c r="A758" s="27"/>
      <c r="B758" s="193"/>
      <c r="C758" s="412"/>
      <c r="D758" s="412"/>
      <c r="E758" s="412"/>
      <c r="F758" s="412"/>
      <c r="G758" s="412"/>
      <c r="H758" s="411"/>
      <c r="I758" s="411"/>
      <c r="J758" s="411"/>
      <c r="K758" s="411"/>
      <c r="L758" s="411"/>
    </row>
    <row r="759" spans="1:12" ht="27.95" customHeight="1">
      <c r="A759" s="27"/>
      <c r="B759" s="193"/>
      <c r="C759" s="412"/>
      <c r="D759" s="412"/>
      <c r="E759" s="412"/>
      <c r="F759" s="412"/>
      <c r="G759" s="412"/>
      <c r="H759" s="411"/>
      <c r="I759" s="411"/>
      <c r="J759" s="411"/>
      <c r="K759" s="411"/>
      <c r="L759" s="411"/>
    </row>
    <row r="760" spans="1:12" ht="27.95" customHeight="1">
      <c r="A760" s="27"/>
      <c r="B760" s="193"/>
      <c r="C760" s="412"/>
      <c r="D760" s="412"/>
      <c r="E760" s="412"/>
      <c r="F760" s="412"/>
      <c r="G760" s="412"/>
      <c r="H760" s="411"/>
      <c r="I760" s="411"/>
      <c r="J760" s="410"/>
      <c r="K760" s="411"/>
      <c r="L760" s="411"/>
    </row>
    <row r="761" spans="1:12" ht="27.95" customHeight="1">
      <c r="A761" s="27"/>
      <c r="B761" s="193"/>
      <c r="C761" s="412"/>
      <c r="D761" s="412"/>
      <c r="E761" s="412"/>
      <c r="F761" s="412"/>
      <c r="G761" s="412"/>
      <c r="H761" s="411"/>
      <c r="I761" s="411"/>
      <c r="J761" s="411"/>
      <c r="K761" s="411"/>
      <c r="L761" s="411"/>
    </row>
    <row r="762" spans="1:12" ht="27.95" customHeight="1">
      <c r="A762" s="27"/>
      <c r="B762" s="193"/>
      <c r="C762" s="412"/>
      <c r="D762" s="412"/>
      <c r="E762" s="412"/>
      <c r="F762" s="412"/>
      <c r="G762" s="412"/>
      <c r="H762" s="411"/>
      <c r="I762" s="411"/>
      <c r="J762" s="410"/>
      <c r="K762" s="411"/>
      <c r="L762" s="411"/>
    </row>
    <row r="763" spans="1:12" ht="27.95" customHeight="1">
      <c r="A763" s="27"/>
      <c r="B763" s="193"/>
      <c r="C763" s="412"/>
      <c r="D763" s="411"/>
      <c r="E763" s="410"/>
      <c r="F763" s="411"/>
      <c r="G763" s="410"/>
      <c r="H763" s="411"/>
      <c r="I763" s="410"/>
      <c r="J763" s="411"/>
      <c r="K763" s="410"/>
      <c r="L763" s="410"/>
    </row>
    <row r="764" spans="1:12" ht="27.95" customHeight="1">
      <c r="A764" s="27"/>
      <c r="B764" s="193"/>
      <c r="C764" s="412"/>
      <c r="D764" s="412"/>
      <c r="E764" s="412"/>
      <c r="F764" s="412"/>
      <c r="G764" s="412"/>
      <c r="H764" s="411"/>
      <c r="I764" s="411"/>
      <c r="J764" s="267"/>
      <c r="K764" s="411"/>
      <c r="L764" s="411"/>
    </row>
    <row r="765" spans="1:12" ht="27.95" customHeight="1">
      <c r="A765" s="27"/>
      <c r="B765" s="193"/>
      <c r="C765" s="185"/>
      <c r="D765" s="185"/>
      <c r="E765" s="185"/>
      <c r="F765" s="185"/>
      <c r="G765" s="185"/>
      <c r="H765" s="27"/>
      <c r="I765" s="27"/>
      <c r="J765" s="27"/>
      <c r="K765" s="27"/>
      <c r="L765" s="27"/>
    </row>
    <row r="766" spans="1:12" ht="27.95" customHeight="1">
      <c r="A766" s="27"/>
      <c r="B766" s="193"/>
      <c r="C766" s="185"/>
      <c r="D766" s="185"/>
      <c r="E766" s="185"/>
      <c r="F766" s="185"/>
      <c r="G766" s="185"/>
      <c r="H766" s="27"/>
      <c r="I766" s="27"/>
      <c r="J766" s="27"/>
      <c r="K766" s="27"/>
      <c r="L766" s="27"/>
    </row>
    <row r="767" spans="1:12">
      <c r="A767" s="27"/>
      <c r="B767" s="27"/>
      <c r="C767" s="27"/>
      <c r="D767" s="27"/>
      <c r="E767" s="27"/>
      <c r="F767" s="27"/>
      <c r="G767" s="27"/>
      <c r="H767" s="27"/>
      <c r="I767" s="27"/>
      <c r="J767" s="27"/>
      <c r="K767" s="27"/>
      <c r="L767" s="27"/>
    </row>
    <row r="768" spans="1:12">
      <c r="A768" s="27"/>
      <c r="B768" s="27"/>
      <c r="C768" s="27"/>
      <c r="D768" s="27"/>
      <c r="E768" s="27"/>
      <c r="F768" s="27"/>
      <c r="G768" s="27"/>
      <c r="H768" s="27"/>
      <c r="I768" s="27"/>
      <c r="J768" s="27"/>
      <c r="K768" s="27"/>
      <c r="L768" s="27"/>
    </row>
    <row r="769" spans="1:12">
      <c r="A769" s="27"/>
      <c r="B769" s="27"/>
      <c r="C769" s="27"/>
      <c r="D769" s="27"/>
      <c r="E769" s="27"/>
      <c r="F769" s="27"/>
      <c r="G769" s="27"/>
      <c r="H769" s="27"/>
      <c r="I769" s="27"/>
      <c r="J769" s="27"/>
      <c r="K769" s="27"/>
      <c r="L769" s="27"/>
    </row>
    <row r="770" spans="1:12">
      <c r="A770" s="27"/>
      <c r="B770" s="27"/>
      <c r="C770" s="27"/>
      <c r="D770" s="27"/>
      <c r="E770" s="27"/>
      <c r="F770" s="27"/>
      <c r="G770" s="27"/>
      <c r="H770" s="27"/>
      <c r="I770" s="27"/>
      <c r="J770" s="27"/>
      <c r="K770" s="27"/>
      <c r="L770" s="27"/>
    </row>
    <row r="771" spans="1:12">
      <c r="A771" s="27"/>
      <c r="B771" s="27"/>
      <c r="C771" s="27"/>
      <c r="D771" s="27"/>
      <c r="E771" s="27"/>
      <c r="F771" s="27"/>
      <c r="G771" s="27"/>
      <c r="H771" s="27"/>
      <c r="I771" s="27"/>
      <c r="J771" s="27"/>
      <c r="K771" s="27"/>
      <c r="L771" s="27"/>
    </row>
    <row r="772" spans="1:12">
      <c r="A772" s="27"/>
      <c r="B772" s="27"/>
      <c r="C772" s="27"/>
      <c r="D772" s="27"/>
      <c r="E772" s="27"/>
      <c r="F772" s="27"/>
      <c r="G772" s="27"/>
      <c r="H772" s="27"/>
      <c r="I772" s="27"/>
      <c r="J772" s="27"/>
      <c r="K772" s="27"/>
      <c r="L772" s="27"/>
    </row>
    <row r="773" spans="1:12">
      <c r="A773" s="27"/>
      <c r="B773" s="27"/>
      <c r="C773" s="27"/>
      <c r="D773" s="27"/>
      <c r="E773" s="27"/>
      <c r="F773" s="27"/>
      <c r="G773" s="27"/>
      <c r="H773" s="27"/>
      <c r="I773" s="27"/>
      <c r="J773" s="27"/>
      <c r="K773" s="27"/>
      <c r="L773" s="27"/>
    </row>
    <row r="774" spans="1:12">
      <c r="A774" s="27"/>
      <c r="B774" s="27"/>
      <c r="C774" s="27"/>
      <c r="D774" s="27"/>
      <c r="E774" s="27"/>
      <c r="F774" s="27"/>
      <c r="G774" s="27"/>
      <c r="H774" s="27"/>
      <c r="I774" s="27"/>
      <c r="J774" s="27"/>
      <c r="K774" s="27"/>
      <c r="L774" s="27"/>
    </row>
    <row r="775" spans="1:12">
      <c r="A775" s="27"/>
      <c r="B775" s="27"/>
      <c r="C775" s="27"/>
      <c r="D775" s="27"/>
      <c r="E775" s="27"/>
      <c r="F775" s="27"/>
      <c r="G775" s="27"/>
      <c r="H775" s="27"/>
      <c r="I775" s="27"/>
      <c r="J775" s="27"/>
      <c r="K775" s="27"/>
      <c r="L775" s="27"/>
    </row>
    <row r="776" spans="1:12">
      <c r="A776" s="27"/>
      <c r="B776" s="27"/>
      <c r="C776" s="27"/>
      <c r="D776" s="27"/>
      <c r="E776" s="27"/>
      <c r="F776" s="27"/>
      <c r="G776" s="27"/>
      <c r="H776" s="27"/>
      <c r="I776" s="27"/>
      <c r="J776" s="27"/>
      <c r="K776" s="27"/>
      <c r="L776" s="27"/>
    </row>
    <row r="777" spans="1:12">
      <c r="A777" s="27"/>
      <c r="B777" s="27"/>
      <c r="C777" s="27"/>
      <c r="D777" s="27"/>
      <c r="E777" s="27"/>
      <c r="F777" s="27"/>
      <c r="G777" s="27"/>
      <c r="H777" s="27"/>
      <c r="I777" s="27"/>
      <c r="J777" s="27"/>
      <c r="K777" s="27"/>
      <c r="L777" s="27"/>
    </row>
    <row r="778" spans="1:12">
      <c r="A778" s="27"/>
      <c r="B778" s="27"/>
      <c r="C778" s="27"/>
      <c r="D778" s="27"/>
      <c r="E778" s="27"/>
      <c r="F778" s="27"/>
      <c r="G778" s="27"/>
      <c r="H778" s="27"/>
      <c r="I778" s="27"/>
      <c r="J778" s="27"/>
      <c r="K778" s="27"/>
      <c r="L778" s="27"/>
    </row>
    <row r="779" spans="1:12">
      <c r="A779" s="27"/>
      <c r="B779" s="27"/>
      <c r="C779" s="27"/>
      <c r="D779" s="27"/>
      <c r="E779" s="27"/>
      <c r="F779" s="27"/>
      <c r="G779" s="27"/>
      <c r="H779" s="27"/>
      <c r="I779" s="27"/>
      <c r="J779" s="27"/>
      <c r="K779" s="27"/>
      <c r="L779" s="27"/>
    </row>
    <row r="780" spans="1:12">
      <c r="A780" s="27"/>
      <c r="B780" s="27"/>
      <c r="C780" s="27"/>
      <c r="D780" s="27"/>
      <c r="E780" s="27"/>
      <c r="F780" s="27"/>
      <c r="G780" s="27"/>
      <c r="H780" s="27"/>
      <c r="I780" s="27"/>
      <c r="J780" s="27"/>
      <c r="K780" s="27"/>
      <c r="L780" s="27"/>
    </row>
    <row r="781" spans="1:12">
      <c r="A781" s="27"/>
      <c r="B781" s="27"/>
      <c r="C781" s="27"/>
      <c r="D781" s="27"/>
      <c r="E781" s="27"/>
      <c r="F781" s="27"/>
      <c r="G781" s="27"/>
      <c r="H781" s="27"/>
      <c r="I781" s="27"/>
      <c r="J781" s="27"/>
      <c r="K781" s="27"/>
      <c r="L781" s="27"/>
    </row>
    <row r="782" spans="1:12">
      <c r="A782" s="27"/>
      <c r="B782" s="27"/>
      <c r="C782" s="27"/>
      <c r="D782" s="27"/>
      <c r="E782" s="27"/>
      <c r="F782" s="27"/>
      <c r="G782" s="27"/>
      <c r="H782" s="27"/>
      <c r="I782" s="27"/>
      <c r="J782" s="27"/>
      <c r="K782" s="27"/>
      <c r="L782" s="27"/>
    </row>
    <row r="783" spans="1:12">
      <c r="A783" s="27"/>
      <c r="B783" s="27"/>
      <c r="C783" s="27"/>
      <c r="D783" s="27"/>
      <c r="E783" s="27"/>
      <c r="F783" s="27"/>
      <c r="G783" s="27"/>
      <c r="H783" s="27"/>
      <c r="I783" s="27"/>
      <c r="J783" s="27"/>
      <c r="K783" s="27"/>
      <c r="L783" s="27"/>
    </row>
    <row r="784" spans="1:12">
      <c r="A784" s="27"/>
      <c r="B784" s="27"/>
      <c r="C784" s="27"/>
      <c r="D784" s="27"/>
      <c r="E784" s="27"/>
      <c r="F784" s="27"/>
      <c r="G784" s="27"/>
      <c r="H784" s="27"/>
      <c r="I784" s="27"/>
      <c r="J784" s="27"/>
      <c r="K784" s="27"/>
      <c r="L784" s="27"/>
    </row>
    <row r="785" spans="1:12">
      <c r="A785" s="27"/>
      <c r="B785" s="27"/>
      <c r="C785" s="27"/>
      <c r="D785" s="27"/>
      <c r="E785" s="27"/>
      <c r="F785" s="27"/>
      <c r="G785" s="27"/>
      <c r="H785" s="27"/>
      <c r="I785" s="27"/>
      <c r="J785" s="27"/>
      <c r="K785" s="27"/>
      <c r="L785" s="27"/>
    </row>
    <row r="786" spans="1:12">
      <c r="A786" s="27"/>
      <c r="B786" s="27"/>
      <c r="C786" s="27"/>
      <c r="D786" s="27"/>
      <c r="E786" s="27"/>
      <c r="F786" s="27"/>
      <c r="G786" s="27"/>
      <c r="H786" s="27"/>
      <c r="I786" s="27"/>
      <c r="J786" s="27"/>
      <c r="K786" s="27"/>
      <c r="L786" s="27"/>
    </row>
    <row r="787" spans="1:12">
      <c r="A787" s="27"/>
      <c r="B787" s="27"/>
      <c r="C787" s="27"/>
      <c r="D787" s="27"/>
      <c r="E787" s="27"/>
      <c r="F787" s="27"/>
      <c r="G787" s="27"/>
      <c r="H787" s="27"/>
      <c r="I787" s="27"/>
      <c r="J787" s="27"/>
      <c r="K787" s="27"/>
      <c r="L787" s="27"/>
    </row>
    <row r="788" spans="1:12">
      <c r="A788" s="27"/>
      <c r="B788" s="27"/>
      <c r="C788" s="27"/>
      <c r="D788" s="27"/>
      <c r="E788" s="27"/>
      <c r="F788" s="27"/>
      <c r="G788" s="27"/>
      <c r="H788" s="27"/>
      <c r="I788" s="27"/>
      <c r="J788" s="27"/>
      <c r="K788" s="27"/>
      <c r="L788" s="27"/>
    </row>
    <row r="789" spans="1:12">
      <c r="A789" s="27"/>
      <c r="B789" s="27"/>
      <c r="C789" s="27"/>
      <c r="D789" s="27"/>
      <c r="E789" s="27"/>
      <c r="F789" s="27"/>
      <c r="G789" s="27"/>
      <c r="H789" s="27"/>
      <c r="I789" s="27"/>
      <c r="J789" s="27"/>
      <c r="K789" s="27"/>
      <c r="L789" s="27"/>
    </row>
    <row r="790" spans="1:12">
      <c r="A790" s="27"/>
      <c r="B790" s="27"/>
      <c r="C790" s="27"/>
      <c r="D790" s="27"/>
      <c r="E790" s="27"/>
      <c r="F790" s="27"/>
      <c r="G790" s="27"/>
      <c r="H790" s="27"/>
      <c r="I790" s="27"/>
      <c r="J790" s="27"/>
      <c r="K790" s="27"/>
      <c r="L790" s="27"/>
    </row>
    <row r="791" spans="1:12">
      <c r="A791" s="27"/>
      <c r="B791" s="27"/>
      <c r="C791" s="27"/>
      <c r="D791" s="27"/>
      <c r="E791" s="27"/>
      <c r="F791" s="27"/>
      <c r="G791" s="27"/>
      <c r="H791" s="27"/>
      <c r="I791" s="27"/>
      <c r="J791" s="27"/>
      <c r="K791" s="27"/>
      <c r="L791" s="27"/>
    </row>
    <row r="792" spans="1:12">
      <c r="A792" s="27"/>
      <c r="B792" s="27"/>
      <c r="C792" s="27"/>
      <c r="D792" s="27"/>
      <c r="E792" s="27"/>
      <c r="F792" s="27"/>
      <c r="G792" s="27"/>
      <c r="H792" s="27"/>
      <c r="I792" s="27"/>
      <c r="J792" s="27"/>
      <c r="K792" s="27"/>
      <c r="L792" s="27"/>
    </row>
    <row r="793" spans="1:12">
      <c r="A793" s="27"/>
      <c r="B793" s="27"/>
      <c r="C793" s="27"/>
      <c r="D793" s="27"/>
      <c r="E793" s="27"/>
      <c r="F793" s="27"/>
      <c r="G793" s="27"/>
      <c r="H793" s="27"/>
      <c r="I793" s="27"/>
      <c r="J793" s="27"/>
      <c r="K793" s="27"/>
      <c r="L793" s="27"/>
    </row>
    <row r="794" spans="1:12">
      <c r="A794" s="27"/>
      <c r="B794" s="27"/>
      <c r="C794" s="27"/>
      <c r="D794" s="27"/>
      <c r="E794" s="27"/>
      <c r="F794" s="27"/>
      <c r="G794" s="27"/>
      <c r="H794" s="27"/>
      <c r="I794" s="27"/>
      <c r="J794" s="27"/>
      <c r="K794" s="27"/>
      <c r="L794" s="27"/>
    </row>
    <row r="795" spans="1:12">
      <c r="A795" s="27"/>
      <c r="B795" s="27"/>
      <c r="C795" s="27"/>
      <c r="D795" s="27"/>
      <c r="E795" s="27"/>
      <c r="F795" s="27"/>
      <c r="G795" s="27"/>
      <c r="H795" s="27"/>
      <c r="I795" s="27"/>
      <c r="J795" s="27"/>
      <c r="K795" s="27"/>
      <c r="L795" s="27"/>
    </row>
    <row r="796" spans="1:12">
      <c r="A796" s="27"/>
      <c r="B796" s="27"/>
      <c r="C796" s="27"/>
      <c r="D796" s="27"/>
      <c r="E796" s="27"/>
      <c r="F796" s="27"/>
      <c r="G796" s="27"/>
      <c r="H796" s="27"/>
      <c r="I796" s="27"/>
      <c r="J796" s="27"/>
      <c r="K796" s="27"/>
      <c r="L796" s="27"/>
    </row>
    <row r="797" spans="1:12">
      <c r="A797" s="27"/>
      <c r="B797" s="27"/>
      <c r="C797" s="27"/>
      <c r="D797" s="27"/>
      <c r="E797" s="27"/>
      <c r="F797" s="27"/>
      <c r="G797" s="27"/>
      <c r="H797" s="27"/>
      <c r="I797" s="27"/>
      <c r="J797" s="27"/>
      <c r="K797" s="27"/>
      <c r="L797" s="27"/>
    </row>
    <row r="798" spans="1:12">
      <c r="A798" s="27"/>
      <c r="B798" s="27"/>
      <c r="C798" s="27"/>
      <c r="D798" s="27"/>
      <c r="E798" s="27"/>
      <c r="F798" s="27"/>
      <c r="G798" s="27"/>
      <c r="H798" s="27"/>
      <c r="I798" s="27"/>
      <c r="J798" s="27"/>
      <c r="K798" s="27"/>
      <c r="L798" s="27"/>
    </row>
  </sheetData>
  <mergeCells count="571">
    <mergeCell ref="B755:G755"/>
    <mergeCell ref="H755:L755"/>
    <mergeCell ref="B756:G756"/>
    <mergeCell ref="H756:L756"/>
    <mergeCell ref="B757:G757"/>
    <mergeCell ref="H757:L757"/>
    <mergeCell ref="B750:G750"/>
    <mergeCell ref="H750:L750"/>
    <mergeCell ref="B751:G751"/>
    <mergeCell ref="H751:L751"/>
    <mergeCell ref="B752:G752"/>
    <mergeCell ref="H752:L752"/>
    <mergeCell ref="B733:L733"/>
    <mergeCell ref="B734:F735"/>
    <mergeCell ref="H734:L735"/>
    <mergeCell ref="B742:F742"/>
    <mergeCell ref="H742:L742"/>
    <mergeCell ref="B749:G749"/>
    <mergeCell ref="H749:L749"/>
    <mergeCell ref="B717:G717"/>
    <mergeCell ref="H717:L717"/>
    <mergeCell ref="B718:G718"/>
    <mergeCell ref="H718:L718"/>
    <mergeCell ref="B731:L731"/>
    <mergeCell ref="B732:L732"/>
    <mergeCell ref="B712:G712"/>
    <mergeCell ref="H712:L712"/>
    <mergeCell ref="B713:G713"/>
    <mergeCell ref="H713:L713"/>
    <mergeCell ref="B716:G716"/>
    <mergeCell ref="H716:L716"/>
    <mergeCell ref="B703:F703"/>
    <mergeCell ref="H703:L703"/>
    <mergeCell ref="B710:G710"/>
    <mergeCell ref="H710:L710"/>
    <mergeCell ref="B711:G711"/>
    <mergeCell ref="H711:L711"/>
    <mergeCell ref="B679:G679"/>
    <mergeCell ref="H679:L679"/>
    <mergeCell ref="B692:L692"/>
    <mergeCell ref="B693:L693"/>
    <mergeCell ref="B694:L694"/>
    <mergeCell ref="B695:F696"/>
    <mergeCell ref="H695:L696"/>
    <mergeCell ref="B674:G674"/>
    <mergeCell ref="H674:L674"/>
    <mergeCell ref="B677:G677"/>
    <mergeCell ref="H677:L677"/>
    <mergeCell ref="B678:G678"/>
    <mergeCell ref="H678:L678"/>
    <mergeCell ref="B671:G671"/>
    <mergeCell ref="H671:L671"/>
    <mergeCell ref="B672:G672"/>
    <mergeCell ref="H672:L672"/>
    <mergeCell ref="B673:G673"/>
    <mergeCell ref="H673:L673"/>
    <mergeCell ref="B653:L653"/>
    <mergeCell ref="B654:L654"/>
    <mergeCell ref="B655:L655"/>
    <mergeCell ref="B656:F657"/>
    <mergeCell ref="H656:L657"/>
    <mergeCell ref="B664:F664"/>
    <mergeCell ref="H664:L664"/>
    <mergeCell ref="B638:G638"/>
    <mergeCell ref="H638:L638"/>
    <mergeCell ref="B639:G639"/>
    <mergeCell ref="H639:L639"/>
    <mergeCell ref="B640:G640"/>
    <mergeCell ref="H640:L640"/>
    <mergeCell ref="B633:G633"/>
    <mergeCell ref="H633:L633"/>
    <mergeCell ref="B634:G634"/>
    <mergeCell ref="H634:L634"/>
    <mergeCell ref="B635:G635"/>
    <mergeCell ref="H635:L635"/>
    <mergeCell ref="B616:L616"/>
    <mergeCell ref="B617:F618"/>
    <mergeCell ref="H617:L618"/>
    <mergeCell ref="B625:F625"/>
    <mergeCell ref="H625:L625"/>
    <mergeCell ref="B632:G632"/>
    <mergeCell ref="H632:L632"/>
    <mergeCell ref="B601:G601"/>
    <mergeCell ref="H601:L601"/>
    <mergeCell ref="B602:G602"/>
    <mergeCell ref="H602:L602"/>
    <mergeCell ref="B614:L614"/>
    <mergeCell ref="B615:L615"/>
    <mergeCell ref="B577:F577"/>
    <mergeCell ref="G577:H577"/>
    <mergeCell ref="I577:K577"/>
    <mergeCell ref="B596:G596"/>
    <mergeCell ref="H596:L596"/>
    <mergeCell ref="B597:G597"/>
    <mergeCell ref="H597:L597"/>
    <mergeCell ref="B600:G600"/>
    <mergeCell ref="H600:L600"/>
    <mergeCell ref="B594:G594"/>
    <mergeCell ref="H594:L594"/>
    <mergeCell ref="B595:G595"/>
    <mergeCell ref="H595:L595"/>
    <mergeCell ref="B578:F578"/>
    <mergeCell ref="G578:H578"/>
    <mergeCell ref="I578:K578"/>
    <mergeCell ref="B579:F579"/>
    <mergeCell ref="G579:H579"/>
    <mergeCell ref="I579:K579"/>
    <mergeCell ref="B580:F580"/>
    <mergeCell ref="G580:H580"/>
    <mergeCell ref="I580:K580"/>
    <mergeCell ref="G568:H568"/>
    <mergeCell ref="K568:L568"/>
    <mergeCell ref="G569:H569"/>
    <mergeCell ref="K569:L569"/>
    <mergeCell ref="G570:H570"/>
    <mergeCell ref="K570:L570"/>
    <mergeCell ref="G571:H571"/>
    <mergeCell ref="K571:L571"/>
    <mergeCell ref="B549:G549"/>
    <mergeCell ref="H549:L549"/>
    <mergeCell ref="G553:H553"/>
    <mergeCell ref="K553:L553"/>
    <mergeCell ref="C566:H566"/>
    <mergeCell ref="J566:L566"/>
    <mergeCell ref="G567:H567"/>
    <mergeCell ref="K567:L567"/>
    <mergeCell ref="B492:G492"/>
    <mergeCell ref="H492:L492"/>
    <mergeCell ref="B493:G493"/>
    <mergeCell ref="H493:L493"/>
    <mergeCell ref="H494:L494"/>
    <mergeCell ref="B496:G496"/>
    <mergeCell ref="H496:L496"/>
    <mergeCell ref="B538:L538"/>
    <mergeCell ref="B539:L539"/>
    <mergeCell ref="G502:H502"/>
    <mergeCell ref="K502:L502"/>
    <mergeCell ref="C515:H515"/>
    <mergeCell ref="J515:L515"/>
    <mergeCell ref="G516:H516"/>
    <mergeCell ref="K516:L516"/>
    <mergeCell ref="G528:H528"/>
    <mergeCell ref="I528:K528"/>
    <mergeCell ref="B529:F529"/>
    <mergeCell ref="G529:H529"/>
    <mergeCell ref="I529:K529"/>
    <mergeCell ref="G517:H517"/>
    <mergeCell ref="K517:L517"/>
    <mergeCell ref="G518:H518"/>
    <mergeCell ref="K518:L518"/>
    <mergeCell ref="B477:F477"/>
    <mergeCell ref="G477:H477"/>
    <mergeCell ref="I477:K477"/>
    <mergeCell ref="B487:L487"/>
    <mergeCell ref="B488:L488"/>
    <mergeCell ref="B490:G490"/>
    <mergeCell ref="H490:L490"/>
    <mergeCell ref="B491:G491"/>
    <mergeCell ref="H491:L491"/>
    <mergeCell ref="B392:G392"/>
    <mergeCell ref="H392:L392"/>
    <mergeCell ref="G413:H413"/>
    <mergeCell ref="K413:L413"/>
    <mergeCell ref="B444:G444"/>
    <mergeCell ref="H444:L444"/>
    <mergeCell ref="B445:G445"/>
    <mergeCell ref="H445:L445"/>
    <mergeCell ref="B446:G446"/>
    <mergeCell ref="H446:L446"/>
    <mergeCell ref="B440:G440"/>
    <mergeCell ref="H440:L440"/>
    <mergeCell ref="B441:G441"/>
    <mergeCell ref="H441:L441"/>
    <mergeCell ref="H442:L442"/>
    <mergeCell ref="G396:H396"/>
    <mergeCell ref="K396:L396"/>
    <mergeCell ref="C409:H409"/>
    <mergeCell ref="J409:L409"/>
    <mergeCell ref="G410:H410"/>
    <mergeCell ref="K410:L410"/>
    <mergeCell ref="G411:H411"/>
    <mergeCell ref="K411:L411"/>
    <mergeCell ref="G412:H412"/>
    <mergeCell ref="B386:G386"/>
    <mergeCell ref="H386:L386"/>
    <mergeCell ref="B387:G387"/>
    <mergeCell ref="H387:L387"/>
    <mergeCell ref="H388:L388"/>
    <mergeCell ref="B390:G390"/>
    <mergeCell ref="H390:L390"/>
    <mergeCell ref="B391:G391"/>
    <mergeCell ref="H391:L391"/>
    <mergeCell ref="G360:H360"/>
    <mergeCell ref="K360:L360"/>
    <mergeCell ref="B366:F366"/>
    <mergeCell ref="G366:H366"/>
    <mergeCell ref="I366:K366"/>
    <mergeCell ref="B367:F367"/>
    <mergeCell ref="G367:H367"/>
    <mergeCell ref="I367:K367"/>
    <mergeCell ref="B368:F368"/>
    <mergeCell ref="G368:H368"/>
    <mergeCell ref="I368:K368"/>
    <mergeCell ref="H334:L334"/>
    <mergeCell ref="B336:G336"/>
    <mergeCell ref="H336:L336"/>
    <mergeCell ref="B337:G337"/>
    <mergeCell ref="H337:L337"/>
    <mergeCell ref="B338:G338"/>
    <mergeCell ref="H338:L338"/>
    <mergeCell ref="G359:H359"/>
    <mergeCell ref="K359:L359"/>
    <mergeCell ref="G342:H342"/>
    <mergeCell ref="K342:L342"/>
    <mergeCell ref="C355:H355"/>
    <mergeCell ref="J355:L355"/>
    <mergeCell ref="G356:H356"/>
    <mergeCell ref="K356:L356"/>
    <mergeCell ref="G357:H357"/>
    <mergeCell ref="K357:L357"/>
    <mergeCell ref="G358:H358"/>
    <mergeCell ref="K358:L358"/>
    <mergeCell ref="B332:G332"/>
    <mergeCell ref="H332:L332"/>
    <mergeCell ref="B333:G333"/>
    <mergeCell ref="H333:L333"/>
    <mergeCell ref="B312:F312"/>
    <mergeCell ref="G312:H312"/>
    <mergeCell ref="I312:K312"/>
    <mergeCell ref="B313:F313"/>
    <mergeCell ref="G313:H313"/>
    <mergeCell ref="I313:K313"/>
    <mergeCell ref="B314:F314"/>
    <mergeCell ref="G314:H314"/>
    <mergeCell ref="I314:K314"/>
    <mergeCell ref="B326:L326"/>
    <mergeCell ref="B327:L327"/>
    <mergeCell ref="B330:G330"/>
    <mergeCell ref="H330:L330"/>
    <mergeCell ref="B331:G331"/>
    <mergeCell ref="H331:L331"/>
    <mergeCell ref="H226:L226"/>
    <mergeCell ref="B261:F261"/>
    <mergeCell ref="G261:H261"/>
    <mergeCell ref="I261:K261"/>
    <mergeCell ref="C300:H300"/>
    <mergeCell ref="J300:L300"/>
    <mergeCell ref="G301:H301"/>
    <mergeCell ref="K301:L301"/>
    <mergeCell ref="G302:H302"/>
    <mergeCell ref="K302:L302"/>
    <mergeCell ref="B228:G228"/>
    <mergeCell ref="H228:L228"/>
    <mergeCell ref="B229:G229"/>
    <mergeCell ref="H229:L229"/>
    <mergeCell ref="B230:G230"/>
    <mergeCell ref="H230:L230"/>
    <mergeCell ref="G234:H234"/>
    <mergeCell ref="K234:L234"/>
    <mergeCell ref="C247:H247"/>
    <mergeCell ref="J247:L247"/>
    <mergeCell ref="G248:H248"/>
    <mergeCell ref="K248:L248"/>
    <mergeCell ref="G249:H249"/>
    <mergeCell ref="K249:L249"/>
    <mergeCell ref="B218:L218"/>
    <mergeCell ref="B219:L219"/>
    <mergeCell ref="B222:G222"/>
    <mergeCell ref="H222:L222"/>
    <mergeCell ref="B223:G223"/>
    <mergeCell ref="H223:L223"/>
    <mergeCell ref="B224:G224"/>
    <mergeCell ref="H224:L224"/>
    <mergeCell ref="B225:G225"/>
    <mergeCell ref="H225:L225"/>
    <mergeCell ref="B205:F205"/>
    <mergeCell ref="G205:H205"/>
    <mergeCell ref="I205:K205"/>
    <mergeCell ref="B206:F206"/>
    <mergeCell ref="G206:H206"/>
    <mergeCell ref="I206:K206"/>
    <mergeCell ref="B207:F207"/>
    <mergeCell ref="G207:H207"/>
    <mergeCell ref="I207:K207"/>
    <mergeCell ref="B170:G170"/>
    <mergeCell ref="H170:L170"/>
    <mergeCell ref="B171:G171"/>
    <mergeCell ref="H171:L171"/>
    <mergeCell ref="H172:L172"/>
    <mergeCell ref="B174:G174"/>
    <mergeCell ref="H174:L174"/>
    <mergeCell ref="B175:G175"/>
    <mergeCell ref="H175:L175"/>
    <mergeCell ref="G144:H144"/>
    <mergeCell ref="K144:L144"/>
    <mergeCell ref="B150:F150"/>
    <mergeCell ref="G150:H150"/>
    <mergeCell ref="I150:K150"/>
    <mergeCell ref="B151:F151"/>
    <mergeCell ref="G151:H151"/>
    <mergeCell ref="I151:K151"/>
    <mergeCell ref="B169:G169"/>
    <mergeCell ref="H169:L169"/>
    <mergeCell ref="B152:F152"/>
    <mergeCell ref="G152:H152"/>
    <mergeCell ref="I152:K152"/>
    <mergeCell ref="B153:F153"/>
    <mergeCell ref="G153:H153"/>
    <mergeCell ref="I153:K153"/>
    <mergeCell ref="B164:L164"/>
    <mergeCell ref="B165:L165"/>
    <mergeCell ref="B168:G168"/>
    <mergeCell ref="H168:L168"/>
    <mergeCell ref="B117:G117"/>
    <mergeCell ref="H117:L117"/>
    <mergeCell ref="H118:L118"/>
    <mergeCell ref="B120:G120"/>
    <mergeCell ref="B121:G121"/>
    <mergeCell ref="H122:L122"/>
    <mergeCell ref="G142:H142"/>
    <mergeCell ref="K142:L142"/>
    <mergeCell ref="G143:H143"/>
    <mergeCell ref="K143:L143"/>
    <mergeCell ref="B122:G122"/>
    <mergeCell ref="G126:H126"/>
    <mergeCell ref="K126:L126"/>
    <mergeCell ref="C139:H139"/>
    <mergeCell ref="J139:L139"/>
    <mergeCell ref="G140:H140"/>
    <mergeCell ref="K140:L140"/>
    <mergeCell ref="G141:H141"/>
    <mergeCell ref="K141:L141"/>
    <mergeCell ref="B96:F96"/>
    <mergeCell ref="G96:H96"/>
    <mergeCell ref="I96:K96"/>
    <mergeCell ref="B97:F97"/>
    <mergeCell ref="G97:H97"/>
    <mergeCell ref="I97:K97"/>
    <mergeCell ref="B115:G115"/>
    <mergeCell ref="H115:L115"/>
    <mergeCell ref="B116:G116"/>
    <mergeCell ref="H116:L116"/>
    <mergeCell ref="B98:F98"/>
    <mergeCell ref="G98:H98"/>
    <mergeCell ref="I98:K98"/>
    <mergeCell ref="B99:F99"/>
    <mergeCell ref="G99:H99"/>
    <mergeCell ref="I99:K99"/>
    <mergeCell ref="B110:L110"/>
    <mergeCell ref="B111:L111"/>
    <mergeCell ref="B114:G114"/>
    <mergeCell ref="H114:L114"/>
    <mergeCell ref="B67:G67"/>
    <mergeCell ref="H67:L67"/>
    <mergeCell ref="B68:G68"/>
    <mergeCell ref="G88:H88"/>
    <mergeCell ref="K88:L88"/>
    <mergeCell ref="G89:H89"/>
    <mergeCell ref="K89:L89"/>
    <mergeCell ref="G90:H90"/>
    <mergeCell ref="K90:L90"/>
    <mergeCell ref="H68:L68"/>
    <mergeCell ref="G72:H72"/>
    <mergeCell ref="K72:L72"/>
    <mergeCell ref="C85:H85"/>
    <mergeCell ref="J85:L85"/>
    <mergeCell ref="G86:H86"/>
    <mergeCell ref="K86:L86"/>
    <mergeCell ref="G87:H87"/>
    <mergeCell ref="K87:L87"/>
    <mergeCell ref="B61:G61"/>
    <mergeCell ref="H61:L61"/>
    <mergeCell ref="B62:G62"/>
    <mergeCell ref="H62:L62"/>
    <mergeCell ref="B63:G63"/>
    <mergeCell ref="H63:L63"/>
    <mergeCell ref="H64:L64"/>
    <mergeCell ref="B66:G66"/>
    <mergeCell ref="H66:L66"/>
    <mergeCell ref="B44:F44"/>
    <mergeCell ref="G44:H44"/>
    <mergeCell ref="I44:K44"/>
    <mergeCell ref="B45:F45"/>
    <mergeCell ref="G45:H45"/>
    <mergeCell ref="I45:K45"/>
    <mergeCell ref="B42:F42"/>
    <mergeCell ref="G42:H42"/>
    <mergeCell ref="I42:K42"/>
    <mergeCell ref="B43:F43"/>
    <mergeCell ref="G43:H43"/>
    <mergeCell ref="I43:K43"/>
    <mergeCell ref="K34:L34"/>
    <mergeCell ref="G35:H35"/>
    <mergeCell ref="K35:L35"/>
    <mergeCell ref="G36:H36"/>
    <mergeCell ref="K36:L36"/>
    <mergeCell ref="C31:H31"/>
    <mergeCell ref="J31:L31"/>
    <mergeCell ref="G32:H32"/>
    <mergeCell ref="K32:L32"/>
    <mergeCell ref="G33:H33"/>
    <mergeCell ref="K33:L33"/>
    <mergeCell ref="B2:L2"/>
    <mergeCell ref="B3:L3"/>
    <mergeCell ref="B6:G6"/>
    <mergeCell ref="H6:L6"/>
    <mergeCell ref="B7:G7"/>
    <mergeCell ref="H7:L7"/>
    <mergeCell ref="B56:L56"/>
    <mergeCell ref="B57:L57"/>
    <mergeCell ref="B60:G60"/>
    <mergeCell ref="H60:L60"/>
    <mergeCell ref="B13:G13"/>
    <mergeCell ref="H13:L13"/>
    <mergeCell ref="B14:G14"/>
    <mergeCell ref="H14:L14"/>
    <mergeCell ref="G18:H18"/>
    <mergeCell ref="K18:L18"/>
    <mergeCell ref="B8:G8"/>
    <mergeCell ref="H8:L8"/>
    <mergeCell ref="B9:G9"/>
    <mergeCell ref="H9:L9"/>
    <mergeCell ref="H10:L10"/>
    <mergeCell ref="B12:G12"/>
    <mergeCell ref="H12:L12"/>
    <mergeCell ref="G34:H34"/>
    <mergeCell ref="B176:G176"/>
    <mergeCell ref="H176:L176"/>
    <mergeCell ref="G180:H180"/>
    <mergeCell ref="K180:L180"/>
    <mergeCell ref="C193:H193"/>
    <mergeCell ref="J193:L193"/>
    <mergeCell ref="G194:H194"/>
    <mergeCell ref="K194:L194"/>
    <mergeCell ref="G195:H195"/>
    <mergeCell ref="K195:L195"/>
    <mergeCell ref="G196:H196"/>
    <mergeCell ref="K196:L196"/>
    <mergeCell ref="G197:H197"/>
    <mergeCell ref="K197:L197"/>
    <mergeCell ref="G198:H198"/>
    <mergeCell ref="K198:L198"/>
    <mergeCell ref="B204:F204"/>
    <mergeCell ref="G204:H204"/>
    <mergeCell ref="I204:K204"/>
    <mergeCell ref="G250:H250"/>
    <mergeCell ref="K250:L250"/>
    <mergeCell ref="G251:H251"/>
    <mergeCell ref="K251:L251"/>
    <mergeCell ref="G252:H252"/>
    <mergeCell ref="K252:L252"/>
    <mergeCell ref="B258:F258"/>
    <mergeCell ref="G258:H258"/>
    <mergeCell ref="I258:K258"/>
    <mergeCell ref="B259:F259"/>
    <mergeCell ref="G259:H259"/>
    <mergeCell ref="I259:K259"/>
    <mergeCell ref="B260:F260"/>
    <mergeCell ref="G260:H260"/>
    <mergeCell ref="I260:K260"/>
    <mergeCell ref="B272:L272"/>
    <mergeCell ref="B273:L273"/>
    <mergeCell ref="B275:G275"/>
    <mergeCell ref="H275:L275"/>
    <mergeCell ref="B276:G276"/>
    <mergeCell ref="H276:L276"/>
    <mergeCell ref="B277:G277"/>
    <mergeCell ref="H277:L277"/>
    <mergeCell ref="B278:G278"/>
    <mergeCell ref="H278:L278"/>
    <mergeCell ref="H279:L279"/>
    <mergeCell ref="B281:G281"/>
    <mergeCell ref="H281:L281"/>
    <mergeCell ref="B282:G282"/>
    <mergeCell ref="H282:L282"/>
    <mergeCell ref="B283:G283"/>
    <mergeCell ref="H283:L283"/>
    <mergeCell ref="G287:H287"/>
    <mergeCell ref="K287:L287"/>
    <mergeCell ref="K305:L305"/>
    <mergeCell ref="B311:F311"/>
    <mergeCell ref="G311:H311"/>
    <mergeCell ref="I311:K311"/>
    <mergeCell ref="G303:H303"/>
    <mergeCell ref="K303:L303"/>
    <mergeCell ref="G304:H304"/>
    <mergeCell ref="K304:L304"/>
    <mergeCell ref="G305:H305"/>
    <mergeCell ref="B369:F369"/>
    <mergeCell ref="G369:H369"/>
    <mergeCell ref="I369:K369"/>
    <mergeCell ref="B380:L380"/>
    <mergeCell ref="B381:L381"/>
    <mergeCell ref="B384:G384"/>
    <mergeCell ref="H384:L384"/>
    <mergeCell ref="B385:G385"/>
    <mergeCell ref="H385:L385"/>
    <mergeCell ref="K412:L412"/>
    <mergeCell ref="G414:H414"/>
    <mergeCell ref="K414:L414"/>
    <mergeCell ref="B420:F420"/>
    <mergeCell ref="G420:H420"/>
    <mergeCell ref="I420:K420"/>
    <mergeCell ref="B421:F421"/>
    <mergeCell ref="G421:H421"/>
    <mergeCell ref="I421:K421"/>
    <mergeCell ref="G474:H474"/>
    <mergeCell ref="I474:K474"/>
    <mergeCell ref="G475:H475"/>
    <mergeCell ref="I475:K475"/>
    <mergeCell ref="B422:F422"/>
    <mergeCell ref="G422:H422"/>
    <mergeCell ref="I422:K422"/>
    <mergeCell ref="B423:F423"/>
    <mergeCell ref="G423:H423"/>
    <mergeCell ref="I423:K423"/>
    <mergeCell ref="B434:L434"/>
    <mergeCell ref="B435:L435"/>
    <mergeCell ref="B438:G438"/>
    <mergeCell ref="H438:L438"/>
    <mergeCell ref="G450:H450"/>
    <mergeCell ref="K450:L450"/>
    <mergeCell ref="C463:H463"/>
    <mergeCell ref="J463:L463"/>
    <mergeCell ref="G464:H464"/>
    <mergeCell ref="K464:L464"/>
    <mergeCell ref="G465:H465"/>
    <mergeCell ref="K465:L465"/>
    <mergeCell ref="G466:H466"/>
    <mergeCell ref="K466:L466"/>
    <mergeCell ref="G519:H519"/>
    <mergeCell ref="K519:L519"/>
    <mergeCell ref="G520:H520"/>
    <mergeCell ref="K520:L520"/>
    <mergeCell ref="B526:F526"/>
    <mergeCell ref="G526:H526"/>
    <mergeCell ref="I526:K526"/>
    <mergeCell ref="H120:L120"/>
    <mergeCell ref="H121:L121"/>
    <mergeCell ref="B476:F476"/>
    <mergeCell ref="G476:H476"/>
    <mergeCell ref="I476:K476"/>
    <mergeCell ref="G467:H467"/>
    <mergeCell ref="B475:F475"/>
    <mergeCell ref="B497:G497"/>
    <mergeCell ref="H497:L497"/>
    <mergeCell ref="B498:G498"/>
    <mergeCell ref="H498:L498"/>
    <mergeCell ref="B439:G439"/>
    <mergeCell ref="H439:L439"/>
    <mergeCell ref="K467:L467"/>
    <mergeCell ref="G468:H468"/>
    <mergeCell ref="K468:L468"/>
    <mergeCell ref="B474:F474"/>
    <mergeCell ref="B527:F527"/>
    <mergeCell ref="G527:H527"/>
    <mergeCell ref="I527:K527"/>
    <mergeCell ref="B528:F528"/>
    <mergeCell ref="H548:L548"/>
    <mergeCell ref="B541:G541"/>
    <mergeCell ref="H541:L541"/>
    <mergeCell ref="B542:G542"/>
    <mergeCell ref="H542:L542"/>
    <mergeCell ref="B543:G543"/>
    <mergeCell ref="H543:L543"/>
    <mergeCell ref="B544:G544"/>
    <mergeCell ref="H544:L544"/>
    <mergeCell ref="H545:L545"/>
    <mergeCell ref="B547:G547"/>
    <mergeCell ref="H547:L547"/>
    <mergeCell ref="B548:G548"/>
  </mergeCells>
  <pageMargins left="0.70866141732283472" right="0.70866141732283472" top="0.74803149606299213" bottom="0.74803149606299213" header="0.31496062992125984" footer="0.31496062992125984"/>
  <pageSetup scale="65"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807"/>
  <sheetViews>
    <sheetView zoomScale="110" zoomScaleNormal="110" workbookViewId="0">
      <selection activeCell="F503" sqref="F503"/>
    </sheetView>
  </sheetViews>
  <sheetFormatPr defaultRowHeight="15"/>
  <cols>
    <col min="6" max="6" width="16.85546875" customWidth="1"/>
    <col min="10" max="10" width="14.5703125" customWidth="1"/>
    <col min="12" max="12" width="22.7109375" customWidth="1"/>
  </cols>
  <sheetData>
    <row r="1" spans="1:14" ht="15" customHeight="1">
      <c r="A1" s="96"/>
      <c r="B1" s="97"/>
      <c r="C1" s="97"/>
      <c r="D1" s="97"/>
      <c r="E1" s="97"/>
      <c r="F1" s="97"/>
      <c r="G1" s="97"/>
      <c r="H1" s="97"/>
      <c r="I1" s="106" t="s">
        <v>298</v>
      </c>
      <c r="J1" s="97"/>
      <c r="K1" s="97"/>
      <c r="L1" s="98"/>
    </row>
    <row r="2" spans="1:14" ht="16.5" customHeight="1">
      <c r="A2" s="40"/>
      <c r="B2" s="879" t="s">
        <v>299</v>
      </c>
      <c r="C2" s="879"/>
      <c r="D2" s="879"/>
      <c r="E2" s="879"/>
      <c r="F2" s="879"/>
      <c r="G2" s="879"/>
      <c r="H2" s="879"/>
      <c r="I2" s="879"/>
      <c r="J2" s="879"/>
      <c r="K2" s="879"/>
      <c r="L2" s="880"/>
    </row>
    <row r="3" spans="1:14" ht="23.25">
      <c r="A3" s="40"/>
      <c r="B3" s="223"/>
      <c r="C3" s="223"/>
      <c r="D3" s="232" t="s">
        <v>300</v>
      </c>
      <c r="E3" s="223"/>
      <c r="F3" s="223"/>
      <c r="G3" s="223"/>
      <c r="H3" s="223"/>
      <c r="I3" s="226" t="s">
        <v>301</v>
      </c>
      <c r="J3" s="227"/>
      <c r="K3" s="302" t="e">
        <f>'0422Master'!#REF!</f>
        <v>#REF!</v>
      </c>
      <c r="L3" s="257"/>
    </row>
    <row r="4" spans="1:14" ht="15.75">
      <c r="A4" s="40"/>
      <c r="B4" s="224"/>
      <c r="C4" s="224" t="s">
        <v>302</v>
      </c>
      <c r="D4" s="27"/>
      <c r="E4" s="224"/>
      <c r="F4" s="224"/>
      <c r="G4" s="224"/>
      <c r="H4" s="224"/>
      <c r="I4" s="225" t="s">
        <v>303</v>
      </c>
      <c r="J4" s="245" t="str">
        <f>'0422Master'!F5</f>
        <v>Burgeon IT Services Pvt.Ltd.</v>
      </c>
      <c r="K4" s="228"/>
      <c r="L4" s="258"/>
    </row>
    <row r="5" spans="1:14" ht="15" customHeight="1">
      <c r="A5" s="40"/>
      <c r="B5" s="233"/>
      <c r="C5" s="199" t="s">
        <v>304</v>
      </c>
      <c r="D5" s="27"/>
      <c r="E5" s="233"/>
      <c r="F5" s="233"/>
      <c r="G5" s="27"/>
      <c r="H5" s="200"/>
      <c r="I5" s="248" t="str">
        <f>'0422Master'!F6</f>
        <v>Siri Mansion LIGB 436 Dr.A S Rao Nagar,Hyderabad</v>
      </c>
      <c r="J5" s="246"/>
      <c r="K5" s="247"/>
      <c r="L5" s="211"/>
    </row>
    <row r="6" spans="1:14" ht="15" customHeight="1">
      <c r="A6" s="40"/>
      <c r="B6" s="233"/>
      <c r="C6" s="199"/>
      <c r="D6" s="27"/>
      <c r="E6" s="233"/>
      <c r="F6" s="233"/>
      <c r="G6" s="27"/>
      <c r="H6" s="200"/>
      <c r="I6" s="249"/>
      <c r="J6" s="256"/>
      <c r="K6" s="256"/>
      <c r="L6" s="41"/>
    </row>
    <row r="7" spans="1:14">
      <c r="A7" s="40"/>
      <c r="B7" s="27"/>
      <c r="C7" s="27"/>
      <c r="D7" s="27"/>
      <c r="E7" s="27"/>
      <c r="F7" s="27"/>
      <c r="G7" s="27"/>
      <c r="H7" s="27"/>
      <c r="I7" s="27"/>
      <c r="J7" s="27"/>
      <c r="K7" s="27"/>
      <c r="L7" s="41"/>
    </row>
    <row r="8" spans="1:14" ht="26.25" customHeight="1">
      <c r="A8" s="40">
        <v>1</v>
      </c>
      <c r="B8" s="229" t="s">
        <v>305</v>
      </c>
      <c r="C8" s="206"/>
      <c r="D8" s="206"/>
      <c r="E8" s="206"/>
      <c r="F8" s="206"/>
      <c r="G8" s="80"/>
      <c r="H8" s="838" t="e">
        <f>'0422Master'!#REF!</f>
        <v>#REF!</v>
      </c>
      <c r="I8" s="857"/>
      <c r="J8" s="857"/>
      <c r="K8" s="857"/>
      <c r="L8" s="858"/>
    </row>
    <row r="9" spans="1:14">
      <c r="A9" s="40">
        <v>2</v>
      </c>
      <c r="B9" s="881" t="s">
        <v>306</v>
      </c>
      <c r="C9" s="882"/>
      <c r="D9" s="882"/>
      <c r="E9" s="882"/>
      <c r="F9" s="230" t="s">
        <v>307</v>
      </c>
      <c r="G9" s="212"/>
      <c r="H9" s="883" t="e">
        <f>'0422Master'!#REF!</f>
        <v>#REF!</v>
      </c>
      <c r="I9" s="884"/>
      <c r="J9" s="884"/>
      <c r="K9" s="884"/>
      <c r="L9" s="885"/>
      <c r="M9" s="217" t="s">
        <v>308</v>
      </c>
      <c r="N9" s="217" t="s">
        <v>308</v>
      </c>
    </row>
    <row r="10" spans="1:14" ht="10.5" customHeight="1">
      <c r="A10" s="40"/>
      <c r="B10" s="213" t="s">
        <v>309</v>
      </c>
      <c r="C10" s="214"/>
      <c r="D10" s="214"/>
      <c r="E10" s="214"/>
      <c r="F10" s="214" t="s">
        <v>308</v>
      </c>
      <c r="G10" s="215"/>
      <c r="H10" s="886"/>
      <c r="I10" s="887"/>
      <c r="J10" s="887"/>
      <c r="K10" s="887"/>
      <c r="L10" s="888"/>
      <c r="M10" s="216"/>
      <c r="N10" s="216"/>
    </row>
    <row r="11" spans="1:14">
      <c r="A11" s="40">
        <v>3</v>
      </c>
      <c r="B11" s="231" t="s">
        <v>310</v>
      </c>
      <c r="C11" s="218"/>
      <c r="D11" s="218"/>
      <c r="E11" s="218"/>
      <c r="F11" s="218"/>
      <c r="G11" s="219"/>
      <c r="H11" s="861" t="e">
        <f>'0422Master'!#REF!</f>
        <v>#REF!</v>
      </c>
      <c r="I11" s="862"/>
      <c r="J11" s="862"/>
      <c r="K11" s="862"/>
      <c r="L11" s="863"/>
      <c r="M11" s="216"/>
      <c r="N11" s="216"/>
    </row>
    <row r="12" spans="1:14">
      <c r="A12" s="260">
        <v>4</v>
      </c>
      <c r="B12" s="205" t="s">
        <v>311</v>
      </c>
      <c r="C12" s="79"/>
      <c r="D12" s="79"/>
      <c r="E12" s="79"/>
      <c r="F12" s="79"/>
      <c r="G12" s="80"/>
      <c r="H12" s="835" t="e">
        <f>'0422Master'!#REF!</f>
        <v>#REF!</v>
      </c>
      <c r="I12" s="849"/>
      <c r="J12" s="849"/>
      <c r="K12" s="849"/>
      <c r="L12" s="843"/>
    </row>
    <row r="13" spans="1:14">
      <c r="A13" s="260">
        <v>5</v>
      </c>
      <c r="B13" s="864" t="s">
        <v>312</v>
      </c>
      <c r="C13" s="865"/>
      <c r="D13" s="865"/>
      <c r="E13" s="865"/>
      <c r="F13" s="865"/>
      <c r="G13" s="80"/>
      <c r="H13" s="856" t="s">
        <v>313</v>
      </c>
      <c r="I13" s="857"/>
      <c r="J13" s="857"/>
      <c r="K13" s="857"/>
      <c r="L13" s="858"/>
    </row>
    <row r="14" spans="1:14" ht="15" customHeight="1">
      <c r="A14" s="260">
        <v>6</v>
      </c>
      <c r="B14" s="420" t="s">
        <v>314</v>
      </c>
      <c r="C14" s="218" t="s">
        <v>315</v>
      </c>
      <c r="D14" s="218"/>
      <c r="E14" s="218"/>
      <c r="F14" s="218"/>
      <c r="G14" s="219"/>
      <c r="H14" s="231"/>
      <c r="I14" s="218"/>
      <c r="J14" s="218"/>
      <c r="K14" s="218"/>
      <c r="L14" s="259"/>
      <c r="M14" s="216"/>
      <c r="N14" s="216"/>
    </row>
    <row r="15" spans="1:14">
      <c r="A15" s="40"/>
      <c r="B15" s="420" t="s">
        <v>316</v>
      </c>
      <c r="C15" s="218" t="s">
        <v>317</v>
      </c>
      <c r="D15" s="218"/>
      <c r="E15" s="218"/>
      <c r="F15" s="218"/>
      <c r="G15" s="219"/>
      <c r="H15" s="231"/>
      <c r="I15" s="422"/>
      <c r="J15" s="422"/>
      <c r="K15" s="218"/>
      <c r="L15" s="259"/>
      <c r="M15" s="216"/>
      <c r="N15" s="216"/>
    </row>
    <row r="16" spans="1:14" ht="15" customHeight="1">
      <c r="A16" s="260">
        <v>7</v>
      </c>
      <c r="B16" s="861" t="s">
        <v>318</v>
      </c>
      <c r="C16" s="862"/>
      <c r="D16" s="862"/>
      <c r="E16" s="862"/>
      <c r="F16" s="862"/>
      <c r="G16" s="869"/>
      <c r="H16" s="480" t="s">
        <v>319</v>
      </c>
      <c r="I16" s="235"/>
      <c r="J16" s="236"/>
      <c r="K16" s="480" t="s">
        <v>320</v>
      </c>
      <c r="L16" s="261"/>
      <c r="M16" s="234"/>
      <c r="N16" s="234"/>
    </row>
    <row r="17" spans="1:14">
      <c r="A17" s="260">
        <v>8</v>
      </c>
      <c r="B17" s="861" t="s">
        <v>321</v>
      </c>
      <c r="C17" s="862"/>
      <c r="D17" s="862"/>
      <c r="E17" s="862"/>
      <c r="F17" s="862"/>
      <c r="G17" s="869"/>
      <c r="H17" s="480" t="s">
        <v>319</v>
      </c>
      <c r="I17" s="235"/>
      <c r="J17" s="236"/>
      <c r="K17" s="480" t="s">
        <v>320</v>
      </c>
      <c r="L17" s="261"/>
      <c r="M17" s="234"/>
      <c r="N17" s="234"/>
    </row>
    <row r="18" spans="1:14">
      <c r="A18" s="40"/>
      <c r="B18" s="205"/>
      <c r="C18" s="238"/>
      <c r="D18" s="238"/>
      <c r="E18" s="238"/>
      <c r="F18" s="238" t="s">
        <v>322</v>
      </c>
      <c r="G18" s="238"/>
      <c r="H18" s="238"/>
      <c r="I18" s="238"/>
      <c r="J18" s="238"/>
      <c r="K18" s="238"/>
      <c r="L18" s="262"/>
      <c r="M18" s="237"/>
      <c r="N18" s="237"/>
    </row>
    <row r="19" spans="1:14">
      <c r="A19" s="260">
        <v>9</v>
      </c>
      <c r="B19" s="420" t="s">
        <v>323</v>
      </c>
      <c r="C19" s="218" t="s">
        <v>324</v>
      </c>
      <c r="D19" s="218"/>
      <c r="E19" s="218"/>
      <c r="F19" s="218"/>
      <c r="G19" s="219"/>
      <c r="H19" s="231"/>
      <c r="I19" s="218"/>
      <c r="J19" s="218"/>
      <c r="K19" s="218"/>
      <c r="L19" s="259"/>
      <c r="M19" s="216"/>
      <c r="N19" s="216"/>
    </row>
    <row r="20" spans="1:14" ht="21.75" customHeight="1">
      <c r="A20" s="113"/>
      <c r="B20" s="420" t="s">
        <v>325</v>
      </c>
      <c r="C20" s="218" t="s">
        <v>326</v>
      </c>
      <c r="D20" s="218"/>
      <c r="E20" s="218"/>
      <c r="F20" s="218"/>
      <c r="G20" s="219"/>
      <c r="H20" s="231"/>
      <c r="I20" s="218"/>
      <c r="J20" s="218"/>
      <c r="K20" s="218"/>
      <c r="L20" s="259"/>
      <c r="M20" s="216"/>
      <c r="N20" s="216"/>
    </row>
    <row r="21" spans="1:14" ht="27.95" customHeight="1">
      <c r="A21" s="113"/>
      <c r="B21" s="420" t="s">
        <v>327</v>
      </c>
      <c r="C21" s="218" t="s">
        <v>328</v>
      </c>
      <c r="D21" s="218"/>
      <c r="E21" s="218"/>
      <c r="F21" s="218"/>
      <c r="G21" s="219"/>
      <c r="H21" s="231"/>
      <c r="I21" s="218"/>
      <c r="J21" s="218"/>
      <c r="K21" s="218"/>
      <c r="L21" s="259"/>
    </row>
    <row r="22" spans="1:14" ht="27.95" customHeight="1">
      <c r="A22" s="113"/>
      <c r="B22" s="420" t="s">
        <v>329</v>
      </c>
      <c r="C22" s="218" t="s">
        <v>330</v>
      </c>
      <c r="D22" s="218"/>
      <c r="E22" s="218"/>
      <c r="F22" s="218"/>
      <c r="G22" s="219"/>
      <c r="H22" s="231"/>
      <c r="I22" s="218"/>
      <c r="J22" s="218"/>
      <c r="K22" s="218"/>
      <c r="L22" s="259"/>
    </row>
    <row r="23" spans="1:14" ht="27.95" customHeight="1">
      <c r="A23" s="113"/>
      <c r="B23" s="420" t="s">
        <v>331</v>
      </c>
      <c r="C23" s="218" t="s">
        <v>332</v>
      </c>
      <c r="D23" s="218"/>
      <c r="E23" s="218"/>
      <c r="F23" s="218"/>
      <c r="G23" s="219"/>
      <c r="H23" s="231"/>
      <c r="I23" s="218"/>
      <c r="J23" s="218"/>
      <c r="K23" s="218"/>
      <c r="L23" s="259"/>
    </row>
    <row r="24" spans="1:14" ht="27.95" customHeight="1">
      <c r="A24" s="113">
        <v>10</v>
      </c>
      <c r="B24" s="420" t="s">
        <v>323</v>
      </c>
      <c r="C24" s="218" t="s">
        <v>333</v>
      </c>
      <c r="D24" s="218"/>
      <c r="E24" s="218"/>
      <c r="F24" s="218"/>
      <c r="G24" s="219"/>
      <c r="H24" s="480" t="s">
        <v>319</v>
      </c>
      <c r="I24" s="235"/>
      <c r="J24" s="236"/>
      <c r="K24" s="480" t="s">
        <v>320</v>
      </c>
      <c r="L24" s="261"/>
    </row>
    <row r="25" spans="1:14" ht="27.95" customHeight="1">
      <c r="A25" s="113"/>
      <c r="B25" s="420" t="s">
        <v>325</v>
      </c>
      <c r="C25" s="218" t="s">
        <v>334</v>
      </c>
      <c r="D25" s="218"/>
      <c r="E25" s="218"/>
      <c r="F25" s="218"/>
      <c r="G25" s="219"/>
      <c r="H25" s="231"/>
      <c r="I25" s="218"/>
      <c r="J25" s="218"/>
      <c r="K25" s="218"/>
      <c r="L25" s="259"/>
    </row>
    <row r="26" spans="1:14" ht="27.95" customHeight="1">
      <c r="A26" s="113"/>
      <c r="B26" s="420" t="s">
        <v>327</v>
      </c>
      <c r="C26" s="218" t="s">
        <v>335</v>
      </c>
      <c r="D26" s="218"/>
      <c r="E26" s="218"/>
      <c r="F26" s="218"/>
      <c r="G26" s="219"/>
      <c r="H26" s="231"/>
      <c r="I26" s="218"/>
      <c r="J26" s="218"/>
      <c r="K26" s="218"/>
      <c r="L26" s="259"/>
    </row>
    <row r="27" spans="1:14" ht="27.95" customHeight="1">
      <c r="A27" s="113"/>
      <c r="B27" s="420" t="s">
        <v>329</v>
      </c>
      <c r="C27" s="218" t="s">
        <v>336</v>
      </c>
      <c r="D27" s="218"/>
      <c r="E27" s="218"/>
      <c r="F27" s="218"/>
      <c r="G27" s="219"/>
      <c r="H27" s="231"/>
      <c r="I27" s="218"/>
      <c r="J27" s="218"/>
      <c r="K27" s="218"/>
      <c r="L27" s="259"/>
    </row>
    <row r="28" spans="1:14" ht="27.95" customHeight="1">
      <c r="A28" s="40"/>
      <c r="B28" s="205"/>
      <c r="C28" s="238"/>
      <c r="D28" s="238"/>
      <c r="E28" s="238" t="s">
        <v>337</v>
      </c>
      <c r="F28" s="238"/>
      <c r="G28" s="238"/>
      <c r="H28" s="238"/>
      <c r="I28" s="238"/>
      <c r="J28" s="238"/>
      <c r="K28" s="238"/>
      <c r="L28" s="262"/>
    </row>
    <row r="29" spans="1:14" ht="27.95" customHeight="1">
      <c r="A29" s="40">
        <v>11</v>
      </c>
      <c r="B29" s="420" t="s">
        <v>323</v>
      </c>
      <c r="C29" s="218" t="s">
        <v>338</v>
      </c>
      <c r="D29" s="218"/>
      <c r="E29" s="218"/>
      <c r="F29" s="218"/>
      <c r="G29" s="219"/>
      <c r="H29" s="231"/>
      <c r="I29" s="218"/>
      <c r="J29" s="218"/>
      <c r="K29" s="218"/>
      <c r="L29" s="259"/>
    </row>
    <row r="30" spans="1:14" ht="27.95" customHeight="1">
      <c r="A30" s="40"/>
      <c r="B30" s="420" t="s">
        <v>325</v>
      </c>
      <c r="C30" s="218" t="s">
        <v>339</v>
      </c>
      <c r="D30" s="218"/>
      <c r="E30" s="218"/>
      <c r="F30" s="218"/>
      <c r="G30" s="219"/>
      <c r="H30" s="231"/>
      <c r="I30" s="218"/>
      <c r="J30" s="218"/>
      <c r="K30" s="218"/>
      <c r="L30" s="259"/>
    </row>
    <row r="31" spans="1:14" ht="27.95" customHeight="1">
      <c r="A31" s="40"/>
      <c r="B31" s="420" t="s">
        <v>340</v>
      </c>
      <c r="C31" s="218" t="s">
        <v>341</v>
      </c>
      <c r="D31" s="218"/>
      <c r="E31" s="218"/>
      <c r="F31" s="218"/>
      <c r="G31" s="219"/>
      <c r="H31" s="231"/>
      <c r="I31" s="218"/>
      <c r="J31" s="218"/>
      <c r="K31" s="218"/>
      <c r="L31" s="259"/>
    </row>
    <row r="32" spans="1:14" ht="20.25" customHeight="1">
      <c r="A32" s="40"/>
      <c r="B32" s="193"/>
      <c r="C32" s="412"/>
      <c r="D32" s="412"/>
      <c r="E32" s="412"/>
      <c r="F32" s="239" t="s">
        <v>342</v>
      </c>
      <c r="G32" s="412"/>
      <c r="H32" s="411"/>
      <c r="I32" s="411"/>
      <c r="J32" s="411"/>
      <c r="K32" s="411"/>
      <c r="L32" s="195"/>
    </row>
    <row r="33" spans="1:32" ht="27.95" customHeight="1">
      <c r="A33" s="40"/>
      <c r="B33" s="251" t="s">
        <v>343</v>
      </c>
      <c r="C33" s="250" t="s">
        <v>344</v>
      </c>
      <c r="D33" s="412"/>
      <c r="E33" s="412"/>
      <c r="F33" s="412"/>
      <c r="G33" s="412"/>
      <c r="H33" s="411"/>
      <c r="I33" s="411"/>
      <c r="J33" s="410"/>
      <c r="K33" s="411"/>
      <c r="L33" s="195"/>
    </row>
    <row r="34" spans="1:32" ht="19.5" customHeight="1">
      <c r="A34" s="40"/>
      <c r="B34" s="251" t="s">
        <v>345</v>
      </c>
      <c r="C34" s="249" t="s">
        <v>346</v>
      </c>
      <c r="D34" s="411"/>
      <c r="E34" s="410"/>
      <c r="F34" s="27"/>
      <c r="G34" s="870"/>
      <c r="H34" s="870"/>
      <c r="I34" s="421"/>
      <c r="J34" s="194"/>
      <c r="K34" s="870"/>
      <c r="L34" s="871"/>
    </row>
    <row r="35" spans="1:32" ht="26.25" customHeight="1">
      <c r="A35" s="40"/>
      <c r="B35" s="252" t="s">
        <v>347</v>
      </c>
      <c r="C35" s="872" t="s">
        <v>348</v>
      </c>
      <c r="D35" s="872"/>
      <c r="E35" s="872"/>
      <c r="F35" s="872"/>
      <c r="G35" s="872"/>
      <c r="H35" s="872"/>
      <c r="I35" s="872"/>
      <c r="J35" s="872"/>
      <c r="K35" s="872"/>
      <c r="L35" s="873"/>
    </row>
    <row r="36" spans="1:32" ht="19.5" customHeight="1">
      <c r="A36" s="40"/>
      <c r="B36" s="251" t="s">
        <v>349</v>
      </c>
      <c r="C36" s="250" t="s">
        <v>350</v>
      </c>
      <c r="D36" s="242"/>
      <c r="E36" s="242"/>
      <c r="F36" s="242"/>
      <c r="G36" s="242"/>
      <c r="H36" s="242"/>
      <c r="I36" s="242"/>
      <c r="J36" s="242"/>
      <c r="K36" s="242"/>
      <c r="L36" s="263"/>
    </row>
    <row r="37" spans="1:32" ht="27.95" customHeight="1">
      <c r="A37" s="40"/>
      <c r="B37" s="193"/>
      <c r="C37" s="192" t="s">
        <v>351</v>
      </c>
      <c r="D37" s="297" t="e">
        <f>'0422Master'!#REF!</f>
        <v>#REF!</v>
      </c>
      <c r="E37" s="185"/>
      <c r="F37" s="185"/>
      <c r="G37" s="185"/>
      <c r="H37" s="27"/>
      <c r="I37" s="27"/>
      <c r="J37" s="27"/>
      <c r="K37" s="27"/>
      <c r="L37" s="41"/>
    </row>
    <row r="38" spans="1:32" ht="15" customHeight="1">
      <c r="A38" s="40"/>
      <c r="B38" s="27"/>
      <c r="C38" s="192" t="s">
        <v>352</v>
      </c>
      <c r="D38" t="s">
        <v>273</v>
      </c>
      <c r="E38" s="27"/>
      <c r="F38" s="27"/>
      <c r="G38" s="27"/>
      <c r="H38" s="27"/>
      <c r="I38" s="27"/>
      <c r="J38" s="27" t="s">
        <v>353</v>
      </c>
      <c r="K38" s="27"/>
      <c r="L38" s="41"/>
    </row>
    <row r="39" spans="1:32" ht="15.75" customHeight="1">
      <c r="A39" s="40"/>
      <c r="B39" s="27"/>
      <c r="C39" s="27"/>
      <c r="D39" s="27"/>
      <c r="E39" s="27"/>
      <c r="F39" s="27"/>
      <c r="G39" s="27"/>
      <c r="H39" s="27"/>
      <c r="I39" s="27"/>
      <c r="J39" s="27"/>
      <c r="K39" s="27"/>
      <c r="L39" s="41"/>
    </row>
    <row r="40" spans="1:32">
      <c r="A40" s="40"/>
      <c r="B40" s="27"/>
      <c r="C40" s="27"/>
      <c r="D40" s="27"/>
      <c r="E40" s="27"/>
      <c r="F40" s="240" t="s">
        <v>354</v>
      </c>
      <c r="G40" s="27"/>
      <c r="H40" s="27"/>
      <c r="I40" s="27"/>
      <c r="J40" s="27"/>
      <c r="K40" s="27"/>
      <c r="L40" s="41"/>
    </row>
    <row r="41" spans="1:32" ht="12.75" customHeight="1">
      <c r="A41" s="40" t="s">
        <v>355</v>
      </c>
      <c r="B41" s="27" t="s">
        <v>356</v>
      </c>
      <c r="C41" s="27"/>
      <c r="D41" s="27"/>
      <c r="E41" s="243" t="e">
        <f>'0422Master'!#REF!</f>
        <v>#REF!</v>
      </c>
      <c r="F41" s="27"/>
      <c r="G41" s="27"/>
      <c r="H41" s="874" t="s">
        <v>357</v>
      </c>
      <c r="I41" s="874"/>
      <c r="J41" s="244" t="e">
        <f>'0422Master'!#REF!</f>
        <v>#REF!</v>
      </c>
      <c r="K41" s="27" t="s">
        <v>358</v>
      </c>
      <c r="L41" s="41"/>
    </row>
    <row r="42" spans="1:32" ht="12.75" customHeight="1">
      <c r="A42" s="40"/>
      <c r="B42" s="875" t="e">
        <f>'0422Master'!#REF!</f>
        <v>#REF!</v>
      </c>
      <c r="C42" s="876"/>
      <c r="D42" s="241"/>
      <c r="E42" s="241"/>
      <c r="F42" s="241"/>
      <c r="G42" s="241"/>
      <c r="H42" s="241"/>
      <c r="I42" s="241"/>
      <c r="J42" s="241"/>
      <c r="K42" s="241"/>
      <c r="L42" s="264"/>
      <c r="M42" s="241"/>
      <c r="N42" s="241"/>
      <c r="O42" s="241"/>
      <c r="P42" s="241"/>
      <c r="Q42" s="241"/>
      <c r="R42" s="241"/>
      <c r="S42" s="241"/>
      <c r="T42" s="241"/>
      <c r="U42" s="241"/>
      <c r="V42" s="241"/>
      <c r="W42" s="241"/>
      <c r="X42" s="241"/>
      <c r="Y42" s="241"/>
      <c r="Z42" s="241"/>
      <c r="AA42" s="241"/>
      <c r="AB42" s="241"/>
      <c r="AC42" s="241"/>
      <c r="AD42" s="241"/>
      <c r="AE42" s="241"/>
      <c r="AF42" s="241"/>
    </row>
    <row r="43" spans="1:32" ht="12.75" customHeight="1">
      <c r="A43" s="40" t="s">
        <v>359</v>
      </c>
      <c r="B43" s="241" t="s">
        <v>360</v>
      </c>
      <c r="C43" s="241"/>
      <c r="D43" s="241"/>
      <c r="E43" s="241"/>
      <c r="F43" s="241"/>
      <c r="G43" s="241"/>
      <c r="H43" s="241"/>
      <c r="I43" s="241"/>
      <c r="J43" s="241"/>
      <c r="K43" s="241"/>
      <c r="L43" s="264"/>
      <c r="M43" s="241"/>
      <c r="N43" s="241"/>
      <c r="O43" s="241"/>
      <c r="P43" s="241"/>
      <c r="Q43" s="241"/>
      <c r="R43" s="241"/>
      <c r="S43" s="241"/>
      <c r="T43" s="241"/>
      <c r="U43" s="241"/>
      <c r="V43" s="241"/>
      <c r="W43" s="241"/>
      <c r="X43" s="241"/>
      <c r="Y43" s="241"/>
      <c r="Z43" s="241"/>
      <c r="AA43" s="241"/>
      <c r="AB43" s="241"/>
      <c r="AC43" s="241"/>
      <c r="AD43" s="241"/>
      <c r="AE43" s="241"/>
      <c r="AF43" s="241"/>
    </row>
    <row r="44" spans="1:32" ht="12.75" customHeight="1">
      <c r="A44" s="40"/>
      <c r="B44" s="241" t="s">
        <v>361</v>
      </c>
      <c r="C44" s="241"/>
      <c r="D44" s="241"/>
      <c r="E44" s="241"/>
      <c r="F44" s="241"/>
      <c r="G44" s="241"/>
      <c r="H44" s="241"/>
      <c r="I44" s="241"/>
      <c r="J44" s="241"/>
      <c r="K44" s="241"/>
      <c r="L44" s="264"/>
      <c r="M44" s="241"/>
      <c r="N44" s="241"/>
      <c r="O44" s="241"/>
      <c r="P44" s="241"/>
      <c r="Q44" s="241"/>
      <c r="R44" s="241"/>
      <c r="S44" s="241"/>
      <c r="T44" s="241"/>
      <c r="U44" s="241"/>
      <c r="V44" s="241"/>
      <c r="W44" s="241"/>
      <c r="X44" s="241"/>
      <c r="Y44" s="241"/>
      <c r="Z44" s="241"/>
      <c r="AA44" s="241"/>
      <c r="AB44" s="241"/>
      <c r="AC44" s="241"/>
      <c r="AD44" s="241"/>
      <c r="AE44" s="241"/>
      <c r="AF44" s="241"/>
    </row>
    <row r="45" spans="1:32" ht="12.75" customHeight="1">
      <c r="A45" s="260"/>
      <c r="B45" s="27" t="s">
        <v>362</v>
      </c>
      <c r="C45" s="27"/>
      <c r="D45" s="27"/>
      <c r="E45" s="27"/>
      <c r="F45" s="27"/>
      <c r="G45" s="27"/>
      <c r="H45" s="27"/>
      <c r="I45" s="27"/>
      <c r="J45" s="27"/>
      <c r="K45" s="27"/>
      <c r="L45" s="41"/>
    </row>
    <row r="46" spans="1:32" ht="12.75" customHeight="1">
      <c r="A46" s="40"/>
      <c r="B46" s="185" t="s">
        <v>363</v>
      </c>
      <c r="C46" s="27"/>
      <c r="D46" s="27"/>
      <c r="E46" s="27"/>
      <c r="F46" s="190"/>
      <c r="G46" s="27"/>
      <c r="H46" s="27"/>
      <c r="I46" s="27"/>
      <c r="J46" s="27"/>
      <c r="K46" s="27"/>
      <c r="L46" s="41"/>
    </row>
    <row r="47" spans="1:32" ht="12.75" customHeight="1">
      <c r="A47" s="40"/>
      <c r="B47" s="185" t="s">
        <v>364</v>
      </c>
      <c r="C47" s="27"/>
      <c r="D47" s="27"/>
      <c r="E47" s="27"/>
      <c r="F47" s="27"/>
      <c r="G47" s="27"/>
      <c r="H47" s="27"/>
      <c r="I47" s="27"/>
      <c r="J47" s="27"/>
      <c r="K47" s="27"/>
      <c r="L47" s="41"/>
    </row>
    <row r="48" spans="1:32" ht="12.75" customHeight="1">
      <c r="A48" s="40"/>
      <c r="B48" s="27" t="s">
        <v>365</v>
      </c>
      <c r="C48" s="27"/>
      <c r="D48" s="27"/>
      <c r="E48" s="27"/>
      <c r="F48" s="27"/>
      <c r="G48" s="27"/>
      <c r="H48" s="27"/>
      <c r="I48" s="27"/>
      <c r="J48" s="27"/>
      <c r="K48" s="27"/>
      <c r="L48" s="41"/>
    </row>
    <row r="49" spans="1:12" ht="12.75" customHeight="1">
      <c r="A49" s="40"/>
      <c r="B49" s="27" t="s">
        <v>366</v>
      </c>
      <c r="C49" s="27"/>
      <c r="D49" s="27"/>
      <c r="E49" s="27"/>
      <c r="F49" s="27"/>
      <c r="G49" s="27"/>
      <c r="H49" s="27"/>
      <c r="I49" s="27"/>
      <c r="J49" s="27"/>
      <c r="K49" s="27"/>
      <c r="L49" s="41"/>
    </row>
    <row r="50" spans="1:12" ht="12.75" customHeight="1">
      <c r="A50" s="40" t="s">
        <v>327</v>
      </c>
      <c r="B50" s="27" t="s">
        <v>367</v>
      </c>
      <c r="C50" s="27"/>
      <c r="D50" s="27"/>
      <c r="E50" s="27"/>
      <c r="F50" s="27"/>
      <c r="G50" s="27"/>
      <c r="H50" s="27"/>
      <c r="I50" s="27"/>
      <c r="J50" s="27"/>
      <c r="K50" s="27"/>
      <c r="L50" s="41"/>
    </row>
    <row r="51" spans="1:12" ht="12.75" customHeight="1">
      <c r="A51" s="40"/>
      <c r="B51" s="253" t="s">
        <v>368</v>
      </c>
      <c r="C51" s="27"/>
      <c r="D51" s="27"/>
      <c r="E51" s="27"/>
      <c r="F51" s="27"/>
      <c r="G51" s="27"/>
      <c r="H51" s="27"/>
      <c r="I51" s="27"/>
      <c r="J51" s="27"/>
      <c r="K51" s="27"/>
      <c r="L51" s="41"/>
    </row>
    <row r="52" spans="1:12" ht="12.75" customHeight="1">
      <c r="A52" s="40"/>
      <c r="B52" s="27" t="s">
        <v>362</v>
      </c>
      <c r="C52" s="27"/>
      <c r="D52" s="27"/>
      <c r="E52" s="27"/>
      <c r="F52" s="27"/>
      <c r="G52" s="27"/>
      <c r="H52" s="27"/>
      <c r="I52" s="27"/>
      <c r="J52" s="27"/>
      <c r="K52" s="27"/>
      <c r="L52" s="41"/>
    </row>
    <row r="53" spans="1:12" ht="12.75" customHeight="1">
      <c r="A53" s="40"/>
      <c r="B53" s="27" t="s">
        <v>369</v>
      </c>
      <c r="C53" s="27"/>
      <c r="D53" s="27"/>
      <c r="E53" s="27"/>
      <c r="F53" s="192"/>
      <c r="G53" s="192"/>
      <c r="H53" s="192"/>
      <c r="I53" s="192"/>
      <c r="J53" s="192"/>
      <c r="K53" s="192"/>
      <c r="L53" s="41"/>
    </row>
    <row r="54" spans="1:12" ht="12.75" customHeight="1">
      <c r="A54" s="40"/>
      <c r="B54" s="27" t="s">
        <v>370</v>
      </c>
      <c r="C54" s="27"/>
      <c r="D54" s="27"/>
      <c r="E54" s="27"/>
      <c r="F54" s="27"/>
      <c r="G54" s="27"/>
      <c r="H54" s="27"/>
      <c r="I54" s="27"/>
      <c r="J54" s="27"/>
      <c r="K54" s="27"/>
      <c r="L54" s="41"/>
    </row>
    <row r="55" spans="1:12" ht="15.75" customHeight="1">
      <c r="A55" s="40"/>
      <c r="B55" s="877" t="s">
        <v>371</v>
      </c>
      <c r="C55" s="877"/>
      <c r="D55" s="877"/>
      <c r="E55" s="877"/>
      <c r="F55" s="877"/>
      <c r="G55" s="877"/>
      <c r="H55" s="877"/>
      <c r="I55" s="877"/>
      <c r="J55" s="877"/>
      <c r="K55" s="877"/>
      <c r="L55" s="878"/>
    </row>
    <row r="56" spans="1:12" ht="23.25">
      <c r="A56" s="40"/>
      <c r="B56" s="255" t="s">
        <v>274</v>
      </c>
      <c r="C56" s="301" t="e">
        <f>D37</f>
        <v>#REF!</v>
      </c>
      <c r="D56" s="223"/>
      <c r="E56" s="223"/>
      <c r="F56" s="223"/>
      <c r="G56" s="223"/>
      <c r="H56" s="223"/>
      <c r="I56" s="255" t="s">
        <v>372</v>
      </c>
      <c r="J56" s="223"/>
      <c r="K56" s="223"/>
      <c r="L56" s="254"/>
    </row>
    <row r="57" spans="1:12" ht="16.5" thickBot="1">
      <c r="A57" s="54"/>
      <c r="B57" s="745"/>
      <c r="C57" s="745"/>
      <c r="D57" s="745"/>
      <c r="E57" s="745"/>
      <c r="F57" s="745"/>
      <c r="G57" s="745"/>
      <c r="H57" s="745"/>
      <c r="I57" s="745"/>
      <c r="J57" s="745"/>
      <c r="K57" s="745"/>
      <c r="L57" s="746"/>
    </row>
    <row r="58" spans="1:12" ht="27.95" customHeight="1" thickBot="1">
      <c r="A58" s="265"/>
      <c r="B58" s="844"/>
      <c r="C58" s="844"/>
      <c r="D58" s="844"/>
      <c r="E58" s="844"/>
      <c r="F58" s="844"/>
      <c r="G58" s="844"/>
      <c r="H58" s="841"/>
      <c r="I58" s="841"/>
      <c r="J58" s="841"/>
      <c r="K58" s="841"/>
      <c r="L58" s="841"/>
    </row>
    <row r="59" spans="1:12" ht="27.95" customHeight="1">
      <c r="A59" s="96"/>
      <c r="B59" s="97"/>
      <c r="C59" s="97"/>
      <c r="D59" s="97"/>
      <c r="E59" s="97"/>
      <c r="F59" s="97"/>
      <c r="G59" s="97"/>
      <c r="H59" s="97"/>
      <c r="I59" s="106" t="s">
        <v>298</v>
      </c>
      <c r="J59" s="97"/>
      <c r="K59" s="97"/>
      <c r="L59" s="98"/>
    </row>
    <row r="60" spans="1:12" ht="27.95" customHeight="1">
      <c r="A60" s="40"/>
      <c r="B60" s="879" t="s">
        <v>299</v>
      </c>
      <c r="C60" s="879"/>
      <c r="D60" s="879"/>
      <c r="E60" s="879"/>
      <c r="F60" s="879"/>
      <c r="G60" s="879"/>
      <c r="H60" s="879"/>
      <c r="I60" s="879"/>
      <c r="J60" s="879"/>
      <c r="K60" s="879"/>
      <c r="L60" s="880"/>
    </row>
    <row r="61" spans="1:12" ht="27.95" customHeight="1">
      <c r="A61" s="40"/>
      <c r="B61" s="223"/>
      <c r="C61" s="223"/>
      <c r="D61" s="232" t="s">
        <v>300</v>
      </c>
      <c r="E61" s="223"/>
      <c r="F61" s="223"/>
      <c r="G61" s="223"/>
      <c r="H61" s="223"/>
      <c r="I61" s="226" t="s">
        <v>301</v>
      </c>
      <c r="J61" s="227"/>
      <c r="K61" s="302" t="e">
        <f>'0422Master'!#REF!</f>
        <v>#REF!</v>
      </c>
      <c r="L61" s="257"/>
    </row>
    <row r="62" spans="1:12" ht="21.75" customHeight="1">
      <c r="A62" s="40"/>
      <c r="B62" s="224"/>
      <c r="C62" s="224" t="s">
        <v>302</v>
      </c>
      <c r="D62" s="27"/>
      <c r="E62" s="224"/>
      <c r="F62" s="224"/>
      <c r="G62" s="224"/>
      <c r="H62" s="224"/>
      <c r="I62" s="225" t="s">
        <v>303</v>
      </c>
      <c r="J62" s="245" t="str">
        <f>'0422Master'!F5</f>
        <v>Burgeon IT Services Pvt.Ltd.</v>
      </c>
      <c r="K62" s="228"/>
      <c r="L62" s="258"/>
    </row>
    <row r="63" spans="1:12" ht="20.25" customHeight="1">
      <c r="A63" s="40"/>
      <c r="B63" s="233"/>
      <c r="C63" s="199" t="s">
        <v>304</v>
      </c>
      <c r="D63" s="27"/>
      <c r="E63" s="233"/>
      <c r="F63" s="233"/>
      <c r="G63" s="27"/>
      <c r="H63" s="200"/>
      <c r="I63" s="248" t="str">
        <f>'0422Master'!F6</f>
        <v>Siri Mansion LIGB 436 Dr.A S Rao Nagar,Hyderabad</v>
      </c>
      <c r="J63" s="246"/>
      <c r="K63" s="247"/>
      <c r="L63" s="211"/>
    </row>
    <row r="64" spans="1:12" ht="18.75" customHeight="1">
      <c r="A64" s="40"/>
      <c r="B64" s="27"/>
      <c r="C64" s="27"/>
      <c r="D64" s="27"/>
      <c r="E64" s="27"/>
      <c r="F64" s="27"/>
      <c r="G64" s="27"/>
      <c r="H64" s="27"/>
      <c r="I64" s="27"/>
      <c r="J64" s="27"/>
      <c r="K64" s="27"/>
      <c r="L64" s="41"/>
    </row>
    <row r="65" spans="1:12" ht="27.95" customHeight="1">
      <c r="A65" s="40">
        <v>1</v>
      </c>
      <c r="B65" s="229" t="s">
        <v>305</v>
      </c>
      <c r="C65" s="206"/>
      <c r="D65" s="206"/>
      <c r="E65" s="206"/>
      <c r="F65" s="206"/>
      <c r="G65" s="80"/>
      <c r="H65" s="838" t="e">
        <f>'0422Master'!#REF!</f>
        <v>#REF!</v>
      </c>
      <c r="I65" s="857"/>
      <c r="J65" s="857"/>
      <c r="K65" s="857"/>
      <c r="L65" s="858"/>
    </row>
    <row r="66" spans="1:12" ht="21.75" customHeight="1">
      <c r="A66" s="40">
        <v>2</v>
      </c>
      <c r="B66" s="881" t="s">
        <v>306</v>
      </c>
      <c r="C66" s="882"/>
      <c r="D66" s="882"/>
      <c r="E66" s="882"/>
      <c r="F66" s="230" t="s">
        <v>307</v>
      </c>
      <c r="G66" s="212"/>
      <c r="H66" s="883" t="e">
        <f>'0422Master'!#REF!</f>
        <v>#REF!</v>
      </c>
      <c r="I66" s="884"/>
      <c r="J66" s="884"/>
      <c r="K66" s="884"/>
      <c r="L66" s="885"/>
    </row>
    <row r="67" spans="1:12" ht="12.75" customHeight="1">
      <c r="A67" s="40"/>
      <c r="B67" s="213" t="s">
        <v>309</v>
      </c>
      <c r="C67" s="214"/>
      <c r="D67" s="214"/>
      <c r="E67" s="214"/>
      <c r="F67" s="214" t="s">
        <v>308</v>
      </c>
      <c r="G67" s="215"/>
      <c r="H67" s="886"/>
      <c r="I67" s="887"/>
      <c r="J67" s="887"/>
      <c r="K67" s="887"/>
      <c r="L67" s="888"/>
    </row>
    <row r="68" spans="1:12" ht="27.95" customHeight="1">
      <c r="A68" s="40">
        <v>3</v>
      </c>
      <c r="B68" s="231" t="s">
        <v>310</v>
      </c>
      <c r="C68" s="218"/>
      <c r="D68" s="218"/>
      <c r="E68" s="218"/>
      <c r="F68" s="218"/>
      <c r="G68" s="219"/>
      <c r="H68" s="861" t="e">
        <f>'0422Master'!#REF!</f>
        <v>#REF!</v>
      </c>
      <c r="I68" s="862"/>
      <c r="J68" s="862"/>
      <c r="K68" s="862"/>
      <c r="L68" s="869"/>
    </row>
    <row r="69" spans="1:12" ht="27.95" customHeight="1">
      <c r="A69" s="260">
        <v>4</v>
      </c>
      <c r="B69" s="205" t="s">
        <v>311</v>
      </c>
      <c r="C69" s="79"/>
      <c r="D69" s="79"/>
      <c r="E69" s="79"/>
      <c r="F69" s="79"/>
      <c r="G69" s="80"/>
      <c r="H69" s="835" t="e">
        <f>'0422Master'!#REF!</f>
        <v>#REF!</v>
      </c>
      <c r="I69" s="849"/>
      <c r="J69" s="849"/>
      <c r="K69" s="849"/>
      <c r="L69" s="836"/>
    </row>
    <row r="70" spans="1:12" ht="27.95" customHeight="1">
      <c r="A70" s="260">
        <v>5</v>
      </c>
      <c r="B70" s="864" t="s">
        <v>312</v>
      </c>
      <c r="C70" s="865"/>
      <c r="D70" s="865"/>
      <c r="E70" s="865"/>
      <c r="F70" s="865"/>
      <c r="G70" s="80"/>
      <c r="H70" s="856" t="s">
        <v>373</v>
      </c>
      <c r="I70" s="857"/>
      <c r="J70" s="857"/>
      <c r="K70" s="857"/>
      <c r="L70" s="858"/>
    </row>
    <row r="71" spans="1:12" ht="21.75" customHeight="1">
      <c r="A71" s="260">
        <v>6</v>
      </c>
      <c r="B71" s="420" t="s">
        <v>314</v>
      </c>
      <c r="C71" s="218" t="s">
        <v>315</v>
      </c>
      <c r="D71" s="218"/>
      <c r="E71" s="218"/>
      <c r="F71" s="218"/>
      <c r="G71" s="219"/>
      <c r="H71" s="231"/>
      <c r="I71" s="218"/>
      <c r="J71" s="218"/>
      <c r="K71" s="218"/>
      <c r="L71" s="259"/>
    </row>
    <row r="72" spans="1:12" ht="22.5" customHeight="1">
      <c r="A72" s="40"/>
      <c r="B72" s="420" t="s">
        <v>316</v>
      </c>
      <c r="C72" s="218" t="s">
        <v>317</v>
      </c>
      <c r="D72" s="218"/>
      <c r="E72" s="218"/>
      <c r="F72" s="218"/>
      <c r="G72" s="219"/>
      <c r="H72" s="231"/>
      <c r="I72" s="422"/>
      <c r="J72" s="422"/>
      <c r="K72" s="218"/>
      <c r="L72" s="259"/>
    </row>
    <row r="73" spans="1:12">
      <c r="A73" s="260">
        <v>7</v>
      </c>
      <c r="B73" s="861" t="s">
        <v>318</v>
      </c>
      <c r="C73" s="862"/>
      <c r="D73" s="862"/>
      <c r="E73" s="862"/>
      <c r="F73" s="862"/>
      <c r="G73" s="869"/>
      <c r="H73" s="480" t="s">
        <v>319</v>
      </c>
      <c r="I73" s="235"/>
      <c r="J73" s="236"/>
      <c r="K73" s="480" t="s">
        <v>320</v>
      </c>
      <c r="L73" s="261"/>
    </row>
    <row r="74" spans="1:12">
      <c r="A74" s="260">
        <v>8</v>
      </c>
      <c r="B74" s="861" t="s">
        <v>321</v>
      </c>
      <c r="C74" s="862"/>
      <c r="D74" s="862"/>
      <c r="E74" s="862"/>
      <c r="F74" s="862"/>
      <c r="G74" s="869"/>
      <c r="H74" s="480" t="s">
        <v>319</v>
      </c>
      <c r="I74" s="235"/>
      <c r="J74" s="236"/>
      <c r="K74" s="480" t="s">
        <v>320</v>
      </c>
      <c r="L74" s="261"/>
    </row>
    <row r="75" spans="1:12">
      <c r="A75" s="40"/>
      <c r="B75" s="205"/>
      <c r="C75" s="238"/>
      <c r="D75" s="238"/>
      <c r="E75" s="238"/>
      <c r="F75" s="238" t="s">
        <v>322</v>
      </c>
      <c r="G75" s="238"/>
      <c r="H75" s="238"/>
      <c r="I75" s="238"/>
      <c r="J75" s="238"/>
      <c r="K75" s="238"/>
      <c r="L75" s="262"/>
    </row>
    <row r="76" spans="1:12">
      <c r="A76" s="260">
        <v>9</v>
      </c>
      <c r="B76" s="420" t="s">
        <v>323</v>
      </c>
      <c r="C76" s="218" t="s">
        <v>324</v>
      </c>
      <c r="D76" s="218"/>
      <c r="E76" s="218"/>
      <c r="F76" s="218"/>
      <c r="G76" s="219"/>
      <c r="H76" s="231"/>
      <c r="I76" s="218"/>
      <c r="J76" s="218"/>
      <c r="K76" s="218"/>
      <c r="L76" s="259"/>
    </row>
    <row r="77" spans="1:12">
      <c r="A77" s="113"/>
      <c r="B77" s="420" t="s">
        <v>325</v>
      </c>
      <c r="C77" s="218" t="s">
        <v>326</v>
      </c>
      <c r="D77" s="218"/>
      <c r="E77" s="218"/>
      <c r="F77" s="218"/>
      <c r="G77" s="219"/>
      <c r="H77" s="231"/>
      <c r="I77" s="218"/>
      <c r="J77" s="218"/>
      <c r="K77" s="218"/>
      <c r="L77" s="259"/>
    </row>
    <row r="78" spans="1:12">
      <c r="A78" s="113"/>
      <c r="B78" s="420" t="s">
        <v>327</v>
      </c>
      <c r="C78" s="218" t="s">
        <v>328</v>
      </c>
      <c r="D78" s="218"/>
      <c r="E78" s="218"/>
      <c r="F78" s="218"/>
      <c r="G78" s="219"/>
      <c r="H78" s="231"/>
      <c r="I78" s="218"/>
      <c r="J78" s="218"/>
      <c r="K78" s="218"/>
      <c r="L78" s="259"/>
    </row>
    <row r="79" spans="1:12">
      <c r="A79" s="113"/>
      <c r="B79" s="420" t="s">
        <v>329</v>
      </c>
      <c r="C79" s="218" t="s">
        <v>330</v>
      </c>
      <c r="D79" s="218"/>
      <c r="E79" s="218"/>
      <c r="F79" s="218"/>
      <c r="G79" s="219"/>
      <c r="H79" s="231"/>
      <c r="I79" s="218"/>
      <c r="J79" s="218"/>
      <c r="K79" s="218"/>
      <c r="L79" s="259"/>
    </row>
    <row r="80" spans="1:12">
      <c r="A80" s="113"/>
      <c r="B80" s="420" t="s">
        <v>331</v>
      </c>
      <c r="C80" s="218" t="s">
        <v>332</v>
      </c>
      <c r="D80" s="218"/>
      <c r="E80" s="218"/>
      <c r="F80" s="218"/>
      <c r="G80" s="219"/>
      <c r="H80" s="231"/>
      <c r="I80" s="218"/>
      <c r="J80" s="218"/>
      <c r="K80" s="218"/>
      <c r="L80" s="259"/>
    </row>
    <row r="81" spans="1:12">
      <c r="A81" s="113">
        <v>10</v>
      </c>
      <c r="B81" s="420" t="s">
        <v>323</v>
      </c>
      <c r="C81" s="218" t="s">
        <v>333</v>
      </c>
      <c r="D81" s="218"/>
      <c r="E81" s="218"/>
      <c r="F81" s="218"/>
      <c r="G81" s="219"/>
      <c r="H81" s="480" t="s">
        <v>319</v>
      </c>
      <c r="I81" s="235"/>
      <c r="J81" s="236"/>
      <c r="K81" s="480" t="s">
        <v>320</v>
      </c>
      <c r="L81" s="261"/>
    </row>
    <row r="82" spans="1:12">
      <c r="A82" s="113"/>
      <c r="B82" s="420" t="s">
        <v>325</v>
      </c>
      <c r="C82" s="218" t="s">
        <v>334</v>
      </c>
      <c r="D82" s="218"/>
      <c r="E82" s="218"/>
      <c r="F82" s="218"/>
      <c r="G82" s="219"/>
      <c r="H82" s="231"/>
      <c r="I82" s="218"/>
      <c r="J82" s="218"/>
      <c r="K82" s="218"/>
      <c r="L82" s="259"/>
    </row>
    <row r="83" spans="1:12">
      <c r="A83" s="113"/>
      <c r="B83" s="420" t="s">
        <v>327</v>
      </c>
      <c r="C83" s="218" t="s">
        <v>335</v>
      </c>
      <c r="D83" s="218"/>
      <c r="E83" s="218"/>
      <c r="F83" s="218"/>
      <c r="G83" s="219"/>
      <c r="H83" s="231"/>
      <c r="I83" s="218"/>
      <c r="J83" s="218"/>
      <c r="K83" s="218"/>
      <c r="L83" s="259"/>
    </row>
    <row r="84" spans="1:12">
      <c r="A84" s="113"/>
      <c r="B84" s="420" t="s">
        <v>329</v>
      </c>
      <c r="C84" s="218" t="s">
        <v>336</v>
      </c>
      <c r="D84" s="218"/>
      <c r="E84" s="218"/>
      <c r="F84" s="218"/>
      <c r="G84" s="219"/>
      <c r="H84" s="231"/>
      <c r="I84" s="218"/>
      <c r="J84" s="218"/>
      <c r="K84" s="218"/>
      <c r="L84" s="259"/>
    </row>
    <row r="85" spans="1:12">
      <c r="A85" s="40"/>
      <c r="B85" s="205"/>
      <c r="C85" s="238"/>
      <c r="D85" s="238"/>
      <c r="E85" s="238" t="s">
        <v>337</v>
      </c>
      <c r="F85" s="238"/>
      <c r="G85" s="238"/>
      <c r="H85" s="238"/>
      <c r="I85" s="238"/>
      <c r="J85" s="238"/>
      <c r="K85" s="238"/>
      <c r="L85" s="262"/>
    </row>
    <row r="86" spans="1:12">
      <c r="A86" s="40">
        <v>11</v>
      </c>
      <c r="B86" s="420" t="s">
        <v>323</v>
      </c>
      <c r="C86" s="218" t="s">
        <v>338</v>
      </c>
      <c r="D86" s="218"/>
      <c r="E86" s="218"/>
      <c r="F86" s="218"/>
      <c r="G86" s="219"/>
      <c r="H86" s="231"/>
      <c r="I86" s="218"/>
      <c r="J86" s="218"/>
      <c r="K86" s="218"/>
      <c r="L86" s="259"/>
    </row>
    <row r="87" spans="1:12">
      <c r="A87" s="40"/>
      <c r="B87" s="420" t="s">
        <v>325</v>
      </c>
      <c r="C87" s="218" t="s">
        <v>339</v>
      </c>
      <c r="D87" s="218"/>
      <c r="E87" s="218"/>
      <c r="F87" s="218"/>
      <c r="G87" s="219"/>
      <c r="H87" s="231"/>
      <c r="I87" s="218"/>
      <c r="J87" s="218"/>
      <c r="K87" s="218"/>
      <c r="L87" s="259"/>
    </row>
    <row r="88" spans="1:12">
      <c r="A88" s="40"/>
      <c r="B88" s="420" t="s">
        <v>340</v>
      </c>
      <c r="C88" s="218" t="s">
        <v>341</v>
      </c>
      <c r="D88" s="218"/>
      <c r="E88" s="218"/>
      <c r="F88" s="218"/>
      <c r="G88" s="219"/>
      <c r="H88" s="231"/>
      <c r="I88" s="218"/>
      <c r="J88" s="218"/>
      <c r="K88" s="218"/>
      <c r="L88" s="259"/>
    </row>
    <row r="89" spans="1:12">
      <c r="A89" s="40"/>
      <c r="B89" s="193"/>
      <c r="C89" s="412"/>
      <c r="D89" s="412"/>
      <c r="E89" s="412"/>
      <c r="F89" s="239" t="s">
        <v>342</v>
      </c>
      <c r="G89" s="412"/>
      <c r="H89" s="411"/>
      <c r="I89" s="411"/>
      <c r="J89" s="411"/>
      <c r="K89" s="411"/>
      <c r="L89" s="195"/>
    </row>
    <row r="90" spans="1:12">
      <c r="A90" s="40"/>
      <c r="B90" s="251" t="s">
        <v>343</v>
      </c>
      <c r="C90" s="250" t="s">
        <v>344</v>
      </c>
      <c r="D90" s="412"/>
      <c r="E90" s="412"/>
      <c r="F90" s="412"/>
      <c r="G90" s="412"/>
      <c r="H90" s="411"/>
      <c r="I90" s="411"/>
      <c r="J90" s="410"/>
      <c r="K90" s="411"/>
      <c r="L90" s="195"/>
    </row>
    <row r="91" spans="1:12">
      <c r="A91" s="40"/>
      <c r="B91" s="251" t="s">
        <v>345</v>
      </c>
      <c r="C91" s="249" t="s">
        <v>346</v>
      </c>
      <c r="D91" s="411"/>
      <c r="E91" s="410"/>
      <c r="F91" s="27"/>
      <c r="G91" s="870"/>
      <c r="H91" s="870"/>
      <c r="I91" s="421"/>
      <c r="J91" s="194"/>
      <c r="K91" s="870"/>
      <c r="L91" s="871"/>
    </row>
    <row r="92" spans="1:12">
      <c r="A92" s="40"/>
      <c r="B92" s="252" t="s">
        <v>347</v>
      </c>
      <c r="C92" s="872" t="s">
        <v>348</v>
      </c>
      <c r="D92" s="872"/>
      <c r="E92" s="872"/>
      <c r="F92" s="872"/>
      <c r="G92" s="872"/>
      <c r="H92" s="872"/>
      <c r="I92" s="872"/>
      <c r="J92" s="872"/>
      <c r="K92" s="872"/>
      <c r="L92" s="873"/>
    </row>
    <row r="93" spans="1:12">
      <c r="A93" s="40"/>
      <c r="B93" s="251" t="s">
        <v>349</v>
      </c>
      <c r="C93" s="250" t="s">
        <v>350</v>
      </c>
      <c r="D93" s="242"/>
      <c r="E93" s="242"/>
      <c r="F93" s="242"/>
      <c r="G93" s="242"/>
      <c r="H93" s="242"/>
      <c r="I93" s="242"/>
      <c r="J93" s="242"/>
      <c r="K93" s="242"/>
      <c r="L93" s="263"/>
    </row>
    <row r="94" spans="1:12" ht="15" customHeight="1">
      <c r="A94" s="40"/>
      <c r="B94" s="193"/>
      <c r="C94" s="192" t="s">
        <v>351</v>
      </c>
      <c r="D94" s="297" t="e">
        <f>'0422Master'!#REF!</f>
        <v>#REF!</v>
      </c>
      <c r="E94" s="185"/>
      <c r="F94" s="185"/>
      <c r="G94" s="185"/>
      <c r="H94" s="27"/>
      <c r="I94" s="27"/>
      <c r="J94" s="27"/>
      <c r="K94" s="27"/>
      <c r="L94" s="41"/>
    </row>
    <row r="95" spans="1:12">
      <c r="A95" s="40"/>
      <c r="B95" s="27"/>
      <c r="C95" s="192" t="s">
        <v>352</v>
      </c>
      <c r="D95" t="s">
        <v>273</v>
      </c>
      <c r="E95" s="27"/>
      <c r="F95" s="27"/>
      <c r="G95" s="27"/>
      <c r="H95" s="27"/>
      <c r="I95" s="27"/>
      <c r="J95" s="27" t="s">
        <v>353</v>
      </c>
      <c r="K95" s="27"/>
      <c r="L95" s="41"/>
    </row>
    <row r="96" spans="1:12">
      <c r="A96" s="40"/>
      <c r="B96" s="27"/>
      <c r="C96" s="27"/>
      <c r="D96" s="27"/>
      <c r="E96" s="27"/>
      <c r="F96" s="27"/>
      <c r="G96" s="27"/>
      <c r="H96" s="27"/>
      <c r="I96" s="27"/>
      <c r="J96" s="27"/>
      <c r="K96" s="27"/>
      <c r="L96" s="41"/>
    </row>
    <row r="97" spans="1:12">
      <c r="A97" s="40"/>
      <c r="B97" s="27"/>
      <c r="C97" s="27"/>
      <c r="D97" s="27"/>
      <c r="E97" s="27"/>
      <c r="F97" s="240" t="s">
        <v>354</v>
      </c>
      <c r="G97" s="27"/>
      <c r="H97" s="27"/>
      <c r="I97" s="27"/>
      <c r="J97" s="27"/>
      <c r="K97" s="27"/>
      <c r="L97" s="41"/>
    </row>
    <row r="98" spans="1:12">
      <c r="A98" s="40" t="s">
        <v>355</v>
      </c>
      <c r="B98" s="27" t="s">
        <v>356</v>
      </c>
      <c r="C98" s="27"/>
      <c r="D98" s="27"/>
      <c r="E98" s="243" t="e">
        <f>'0422Master'!#REF!</f>
        <v>#REF!</v>
      </c>
      <c r="F98" s="27"/>
      <c r="G98" s="27"/>
      <c r="H98" s="874" t="s">
        <v>357</v>
      </c>
      <c r="I98" s="874"/>
      <c r="J98" s="244" t="e">
        <f>'0422Master'!#REF!</f>
        <v>#REF!</v>
      </c>
      <c r="K98" s="27" t="s">
        <v>358</v>
      </c>
      <c r="L98" s="41"/>
    </row>
    <row r="99" spans="1:12">
      <c r="A99" s="40"/>
      <c r="B99" s="875" t="e">
        <f>'0422Master'!#REF!</f>
        <v>#REF!</v>
      </c>
      <c r="C99" s="876"/>
      <c r="D99" s="241"/>
      <c r="E99" s="241"/>
      <c r="F99" s="241"/>
      <c r="G99" s="241"/>
      <c r="H99" s="241"/>
      <c r="I99" s="241"/>
      <c r="J99" s="241"/>
      <c r="K99" s="241"/>
      <c r="L99" s="264"/>
    </row>
    <row r="100" spans="1:12">
      <c r="A100" s="40" t="s">
        <v>359</v>
      </c>
      <c r="B100" s="241" t="s">
        <v>360</v>
      </c>
      <c r="C100" s="241"/>
      <c r="D100" s="241"/>
      <c r="E100" s="241"/>
      <c r="F100" s="241"/>
      <c r="G100" s="241"/>
      <c r="H100" s="241"/>
      <c r="I100" s="241"/>
      <c r="J100" s="241"/>
      <c r="K100" s="241"/>
      <c r="L100" s="264"/>
    </row>
    <row r="101" spans="1:12">
      <c r="A101" s="40"/>
      <c r="B101" s="241" t="s">
        <v>361</v>
      </c>
      <c r="C101" s="241"/>
      <c r="D101" s="241"/>
      <c r="E101" s="241"/>
      <c r="F101" s="241"/>
      <c r="G101" s="241"/>
      <c r="H101" s="241"/>
      <c r="I101" s="241"/>
      <c r="J101" s="241"/>
      <c r="K101" s="241"/>
      <c r="L101" s="264"/>
    </row>
    <row r="102" spans="1:12">
      <c r="A102" s="260"/>
      <c r="B102" s="27" t="s">
        <v>362</v>
      </c>
      <c r="C102" s="27"/>
      <c r="D102" s="27"/>
      <c r="E102" s="27"/>
      <c r="F102" s="27"/>
      <c r="G102" s="27"/>
      <c r="H102" s="27"/>
      <c r="I102" s="27"/>
      <c r="J102" s="27"/>
      <c r="K102" s="27"/>
      <c r="L102" s="41"/>
    </row>
    <row r="103" spans="1:12" ht="18.75">
      <c r="A103" s="40"/>
      <c r="B103" s="185" t="s">
        <v>363</v>
      </c>
      <c r="C103" s="27"/>
      <c r="D103" s="27"/>
      <c r="E103" s="27"/>
      <c r="F103" s="190"/>
      <c r="G103" s="27"/>
      <c r="H103" s="27"/>
      <c r="I103" s="27"/>
      <c r="J103" s="27"/>
      <c r="K103" s="27"/>
      <c r="L103" s="41"/>
    </row>
    <row r="104" spans="1:12">
      <c r="A104" s="40"/>
      <c r="B104" s="185" t="s">
        <v>364</v>
      </c>
      <c r="C104" s="27"/>
      <c r="D104" s="27"/>
      <c r="E104" s="27"/>
      <c r="F104" s="27"/>
      <c r="G104" s="27"/>
      <c r="H104" s="27"/>
      <c r="I104" s="27"/>
      <c r="J104" s="27"/>
      <c r="K104" s="27"/>
      <c r="L104" s="41"/>
    </row>
    <row r="105" spans="1:12">
      <c r="A105" s="40"/>
      <c r="B105" s="27" t="s">
        <v>365</v>
      </c>
      <c r="C105" s="27"/>
      <c r="D105" s="27"/>
      <c r="E105" s="27"/>
      <c r="F105" s="27"/>
      <c r="G105" s="27"/>
      <c r="H105" s="27"/>
      <c r="I105" s="27"/>
      <c r="J105" s="27"/>
      <c r="K105" s="27"/>
      <c r="L105" s="41"/>
    </row>
    <row r="106" spans="1:12">
      <c r="A106" s="40"/>
      <c r="B106" s="27" t="s">
        <v>366</v>
      </c>
      <c r="C106" s="27"/>
      <c r="D106" s="27"/>
      <c r="E106" s="27"/>
      <c r="F106" s="27"/>
      <c r="G106" s="27"/>
      <c r="H106" s="27"/>
      <c r="I106" s="27"/>
      <c r="J106" s="27"/>
      <c r="K106" s="27"/>
      <c r="L106" s="41"/>
    </row>
    <row r="107" spans="1:12">
      <c r="A107" s="40" t="s">
        <v>327</v>
      </c>
      <c r="B107" s="27" t="s">
        <v>367</v>
      </c>
      <c r="C107" s="27"/>
      <c r="D107" s="27"/>
      <c r="E107" s="27"/>
      <c r="F107" s="27"/>
      <c r="G107" s="27"/>
      <c r="H107" s="27"/>
      <c r="I107" s="27"/>
      <c r="J107" s="27"/>
      <c r="K107" s="27"/>
      <c r="L107" s="41"/>
    </row>
    <row r="108" spans="1:12">
      <c r="A108" s="40"/>
      <c r="B108" s="253" t="s">
        <v>368</v>
      </c>
      <c r="C108" s="27"/>
      <c r="D108" s="27"/>
      <c r="E108" s="27"/>
      <c r="F108" s="27"/>
      <c r="G108" s="27"/>
      <c r="H108" s="27"/>
      <c r="I108" s="27"/>
      <c r="J108" s="27"/>
      <c r="K108" s="27"/>
      <c r="L108" s="41"/>
    </row>
    <row r="109" spans="1:12" ht="27.95" customHeight="1">
      <c r="A109" s="40"/>
      <c r="B109" s="27" t="s">
        <v>362</v>
      </c>
      <c r="C109" s="27"/>
      <c r="D109" s="27"/>
      <c r="E109" s="27"/>
      <c r="F109" s="27"/>
      <c r="G109" s="27"/>
      <c r="H109" s="27"/>
      <c r="I109" s="27"/>
      <c r="J109" s="27"/>
      <c r="K109" s="27"/>
      <c r="L109" s="41"/>
    </row>
    <row r="110" spans="1:12" ht="27.95" customHeight="1">
      <c r="A110" s="40"/>
      <c r="B110" s="27" t="s">
        <v>369</v>
      </c>
      <c r="C110" s="27"/>
      <c r="D110" s="27"/>
      <c r="E110" s="27"/>
      <c r="F110" s="192"/>
      <c r="G110" s="192"/>
      <c r="H110" s="192"/>
      <c r="I110" s="192"/>
      <c r="J110" s="192"/>
      <c r="K110" s="192"/>
      <c r="L110" s="41"/>
    </row>
    <row r="111" spans="1:12" ht="27.95" customHeight="1">
      <c r="A111" s="40"/>
      <c r="B111" s="27" t="s">
        <v>370</v>
      </c>
      <c r="C111" s="27"/>
      <c r="D111" s="27"/>
      <c r="E111" s="27"/>
      <c r="F111" s="27"/>
      <c r="G111" s="27"/>
      <c r="H111" s="27"/>
      <c r="I111" s="27"/>
      <c r="J111" s="27"/>
      <c r="K111" s="27"/>
      <c r="L111" s="41"/>
    </row>
    <row r="112" spans="1:12" ht="27.95" customHeight="1">
      <c r="A112" s="40"/>
      <c r="B112" s="877" t="s">
        <v>371</v>
      </c>
      <c r="C112" s="877"/>
      <c r="D112" s="877"/>
      <c r="E112" s="877"/>
      <c r="F112" s="877"/>
      <c r="G112" s="877"/>
      <c r="H112" s="877"/>
      <c r="I112" s="877"/>
      <c r="J112" s="877"/>
      <c r="K112" s="877"/>
      <c r="L112" s="878"/>
    </row>
    <row r="113" spans="1:12" ht="27.95" customHeight="1">
      <c r="A113" s="40"/>
      <c r="B113" s="255" t="s">
        <v>274</v>
      </c>
      <c r="C113" s="301" t="e">
        <f>D94</f>
        <v>#REF!</v>
      </c>
      <c r="D113" s="223"/>
      <c r="E113" s="223"/>
      <c r="F113" s="223"/>
      <c r="G113" s="223"/>
      <c r="H113" s="223"/>
      <c r="I113" s="255" t="s">
        <v>372</v>
      </c>
      <c r="J113" s="223"/>
      <c r="K113" s="223"/>
      <c r="L113" s="254"/>
    </row>
    <row r="114" spans="1:12" ht="27.95" customHeight="1" thickBot="1">
      <c r="A114" s="54"/>
      <c r="B114" s="745"/>
      <c r="C114" s="745"/>
      <c r="D114" s="745"/>
      <c r="E114" s="745"/>
      <c r="F114" s="745"/>
      <c r="G114" s="745"/>
      <c r="H114" s="745"/>
      <c r="I114" s="745"/>
      <c r="J114" s="745"/>
      <c r="K114" s="745"/>
      <c r="L114" s="746"/>
    </row>
    <row r="115" spans="1:12" ht="27.95" customHeight="1" thickBot="1">
      <c r="A115" s="265"/>
      <c r="B115" s="844"/>
      <c r="C115" s="844"/>
      <c r="D115" s="844"/>
      <c r="E115" s="844"/>
      <c r="F115" s="844"/>
      <c r="G115" s="844"/>
      <c r="H115" s="841"/>
      <c r="I115" s="841"/>
      <c r="J115" s="841"/>
      <c r="K115" s="841"/>
      <c r="L115" s="841"/>
    </row>
    <row r="116" spans="1:12" ht="27.95" customHeight="1">
      <c r="A116" s="96"/>
      <c r="B116" s="97"/>
      <c r="C116" s="97"/>
      <c r="D116" s="97"/>
      <c r="E116" s="97"/>
      <c r="F116" s="97"/>
      <c r="G116" s="97"/>
      <c r="H116" s="97"/>
      <c r="I116" s="106" t="s">
        <v>298</v>
      </c>
      <c r="J116" s="97"/>
      <c r="K116" s="97"/>
      <c r="L116" s="98"/>
    </row>
    <row r="117" spans="1:12" ht="27.95" customHeight="1">
      <c r="A117" s="40"/>
      <c r="B117" s="879" t="s">
        <v>299</v>
      </c>
      <c r="C117" s="879"/>
      <c r="D117" s="879"/>
      <c r="E117" s="879"/>
      <c r="F117" s="879"/>
      <c r="G117" s="879"/>
      <c r="H117" s="879"/>
      <c r="I117" s="879"/>
      <c r="J117" s="879"/>
      <c r="K117" s="879"/>
      <c r="L117" s="880"/>
    </row>
    <row r="118" spans="1:12" ht="27.95" customHeight="1">
      <c r="A118" s="40"/>
      <c r="B118" s="223"/>
      <c r="C118" s="223"/>
      <c r="D118" s="232" t="s">
        <v>300</v>
      </c>
      <c r="E118" s="223"/>
      <c r="F118" s="223"/>
      <c r="G118" s="223"/>
      <c r="H118" s="223"/>
      <c r="I118" s="226" t="s">
        <v>301</v>
      </c>
      <c r="J118" s="227"/>
      <c r="K118" s="302">
        <f>'0422Master'!A14</f>
        <v>1</v>
      </c>
      <c r="L118" s="257"/>
    </row>
    <row r="119" spans="1:12" ht="27.95" customHeight="1">
      <c r="A119" s="40"/>
      <c r="B119" s="224"/>
      <c r="C119" s="224" t="s">
        <v>302</v>
      </c>
      <c r="D119" s="27"/>
      <c r="E119" s="224"/>
      <c r="F119" s="224"/>
      <c r="G119" s="224"/>
      <c r="H119" s="224"/>
      <c r="I119" s="225" t="s">
        <v>303</v>
      </c>
      <c r="J119" s="245" t="str">
        <f>'0422Master'!F5</f>
        <v>Burgeon IT Services Pvt.Ltd.</v>
      </c>
      <c r="K119" s="228"/>
      <c r="L119" s="258"/>
    </row>
    <row r="120" spans="1:12" ht="27.95" customHeight="1">
      <c r="A120" s="40"/>
      <c r="B120" s="233"/>
      <c r="C120" s="199" t="s">
        <v>304</v>
      </c>
      <c r="D120" s="27"/>
      <c r="E120" s="233"/>
      <c r="F120" s="233"/>
      <c r="G120" s="27"/>
      <c r="H120" s="200"/>
      <c r="I120" s="248" t="str">
        <f>'0422Master'!F6</f>
        <v>Siri Mansion LIGB 436 Dr.A S Rao Nagar,Hyderabad</v>
      </c>
      <c r="J120" s="246"/>
      <c r="K120" s="247"/>
      <c r="L120" s="211"/>
    </row>
    <row r="121" spans="1:12" ht="27.95" customHeight="1">
      <c r="A121" s="40"/>
      <c r="B121" s="27"/>
      <c r="C121" s="27"/>
      <c r="D121" s="27"/>
      <c r="E121" s="27"/>
      <c r="F121" s="27"/>
      <c r="G121" s="27"/>
      <c r="H121" s="27"/>
      <c r="I121" s="27"/>
      <c r="J121" s="27"/>
      <c r="K121" s="27"/>
      <c r="L121" s="41"/>
    </row>
    <row r="122" spans="1:12" ht="27.95" customHeight="1">
      <c r="A122" s="40">
        <v>1</v>
      </c>
      <c r="B122" s="229" t="s">
        <v>305</v>
      </c>
      <c r="C122" s="206"/>
      <c r="D122" s="206"/>
      <c r="E122" s="206"/>
      <c r="F122" s="206"/>
      <c r="G122" s="80"/>
      <c r="H122" s="838" t="str">
        <f>'0422Master'!B14</f>
        <v>KRANTHI KUMAR VEDULLA</v>
      </c>
      <c r="I122" s="857"/>
      <c r="J122" s="857"/>
      <c r="K122" s="857"/>
      <c r="L122" s="858"/>
    </row>
    <row r="123" spans="1:12" ht="22.5" customHeight="1">
      <c r="A123" s="40">
        <v>2</v>
      </c>
      <c r="B123" s="881" t="s">
        <v>306</v>
      </c>
      <c r="C123" s="882"/>
      <c r="D123" s="882"/>
      <c r="E123" s="882"/>
      <c r="F123" s="230" t="s">
        <v>307</v>
      </c>
      <c r="G123" s="212"/>
      <c r="H123" s="883" t="str">
        <f>'0422Master'!E14</f>
        <v>Kamini Venkatarami Reddy</v>
      </c>
      <c r="I123" s="884"/>
      <c r="J123" s="884"/>
      <c r="K123" s="884"/>
      <c r="L123" s="885"/>
    </row>
    <row r="124" spans="1:12" ht="9.75" customHeight="1">
      <c r="A124" s="40"/>
      <c r="B124" s="213" t="s">
        <v>309</v>
      </c>
      <c r="C124" s="214"/>
      <c r="D124" s="214"/>
      <c r="E124" s="214"/>
      <c r="F124" s="214" t="s">
        <v>308</v>
      </c>
      <c r="G124" s="215"/>
      <c r="H124" s="886"/>
      <c r="I124" s="887"/>
      <c r="J124" s="887"/>
      <c r="K124" s="887"/>
      <c r="L124" s="888"/>
    </row>
    <row r="125" spans="1:12" ht="22.5" customHeight="1">
      <c r="A125" s="40">
        <v>3</v>
      </c>
      <c r="B125" s="231" t="s">
        <v>310</v>
      </c>
      <c r="C125" s="218"/>
      <c r="D125" s="218"/>
      <c r="E125" s="218"/>
      <c r="F125" s="218"/>
      <c r="G125" s="219"/>
      <c r="H125" s="861" t="str">
        <f>'0422Master'!C14</f>
        <v>05.02.1992</v>
      </c>
      <c r="I125" s="862"/>
      <c r="J125" s="862"/>
      <c r="K125" s="862"/>
      <c r="L125" s="863"/>
    </row>
    <row r="126" spans="1:12" ht="20.25" customHeight="1">
      <c r="A126" s="260">
        <v>4</v>
      </c>
      <c r="B126" s="205" t="s">
        <v>311</v>
      </c>
      <c r="C126" s="79"/>
      <c r="D126" s="79"/>
      <c r="E126" s="79"/>
      <c r="F126" s="79"/>
      <c r="G126" s="80"/>
      <c r="H126" s="835" t="str">
        <f>'0422Master'!D14</f>
        <v>Male</v>
      </c>
      <c r="I126" s="849"/>
      <c r="J126" s="849"/>
      <c r="K126" s="849"/>
      <c r="L126" s="843"/>
    </row>
    <row r="127" spans="1:12">
      <c r="A127" s="260">
        <v>5</v>
      </c>
      <c r="B127" s="864" t="s">
        <v>312</v>
      </c>
      <c r="C127" s="865"/>
      <c r="D127" s="865"/>
      <c r="E127" s="865"/>
      <c r="F127" s="865"/>
      <c r="G127" s="80"/>
      <c r="H127" s="856" t="s">
        <v>374</v>
      </c>
      <c r="I127" s="857"/>
      <c r="J127" s="857"/>
      <c r="K127" s="857"/>
      <c r="L127" s="858"/>
    </row>
    <row r="128" spans="1:12">
      <c r="A128" s="260">
        <v>6</v>
      </c>
      <c r="B128" s="420" t="s">
        <v>314</v>
      </c>
      <c r="C128" s="218" t="s">
        <v>315</v>
      </c>
      <c r="D128" s="218"/>
      <c r="E128" s="218"/>
      <c r="F128" s="218"/>
      <c r="G128" s="219"/>
      <c r="H128" s="231"/>
      <c r="I128" s="218"/>
      <c r="J128" s="218"/>
      <c r="K128" s="218"/>
      <c r="L128" s="259"/>
    </row>
    <row r="129" spans="1:12">
      <c r="A129" s="40"/>
      <c r="B129" s="420" t="s">
        <v>316</v>
      </c>
      <c r="C129" s="218" t="s">
        <v>317</v>
      </c>
      <c r="D129" s="218"/>
      <c r="E129" s="218"/>
      <c r="F129" s="218"/>
      <c r="G129" s="219"/>
      <c r="H129" s="231"/>
      <c r="I129" s="422"/>
      <c r="J129" s="422"/>
      <c r="K129" s="218"/>
      <c r="L129" s="259"/>
    </row>
    <row r="130" spans="1:12">
      <c r="A130" s="260">
        <v>7</v>
      </c>
      <c r="B130" s="861" t="s">
        <v>318</v>
      </c>
      <c r="C130" s="862"/>
      <c r="D130" s="862"/>
      <c r="E130" s="862"/>
      <c r="F130" s="862"/>
      <c r="G130" s="869"/>
      <c r="H130" s="480" t="s">
        <v>319</v>
      </c>
      <c r="I130" s="235"/>
      <c r="J130" s="236"/>
      <c r="K130" s="480" t="s">
        <v>320</v>
      </c>
      <c r="L130" s="261"/>
    </row>
    <row r="131" spans="1:12">
      <c r="A131" s="260">
        <v>8</v>
      </c>
      <c r="B131" s="861" t="s">
        <v>321</v>
      </c>
      <c r="C131" s="862"/>
      <c r="D131" s="862"/>
      <c r="E131" s="862"/>
      <c r="F131" s="862"/>
      <c r="G131" s="869"/>
      <c r="H131" s="480" t="s">
        <v>319</v>
      </c>
      <c r="I131" s="235"/>
      <c r="J131" s="236"/>
      <c r="K131" s="480" t="s">
        <v>320</v>
      </c>
      <c r="L131" s="261"/>
    </row>
    <row r="132" spans="1:12">
      <c r="A132" s="40"/>
      <c r="B132" s="205"/>
      <c r="C132" s="238"/>
      <c r="D132" s="238"/>
      <c r="E132" s="238"/>
      <c r="F132" s="238" t="s">
        <v>322</v>
      </c>
      <c r="G132" s="238"/>
      <c r="H132" s="238"/>
      <c r="I132" s="238"/>
      <c r="J132" s="238"/>
      <c r="K132" s="238"/>
      <c r="L132" s="262"/>
    </row>
    <row r="133" spans="1:12">
      <c r="A133" s="260">
        <v>9</v>
      </c>
      <c r="B133" s="420" t="s">
        <v>323</v>
      </c>
      <c r="C133" s="218" t="s">
        <v>324</v>
      </c>
      <c r="D133" s="218"/>
      <c r="E133" s="218"/>
      <c r="F133" s="218"/>
      <c r="G133" s="219"/>
      <c r="H133" s="231"/>
      <c r="I133" s="218"/>
      <c r="J133" s="218"/>
      <c r="K133" s="218"/>
      <c r="L133" s="259"/>
    </row>
    <row r="134" spans="1:12">
      <c r="A134" s="113"/>
      <c r="B134" s="420" t="s">
        <v>325</v>
      </c>
      <c r="C134" s="218" t="s">
        <v>326</v>
      </c>
      <c r="D134" s="218"/>
      <c r="E134" s="218"/>
      <c r="F134" s="218"/>
      <c r="G134" s="219"/>
      <c r="H134" s="231"/>
      <c r="I134" s="218"/>
      <c r="J134" s="218"/>
      <c r="K134" s="218"/>
      <c r="L134" s="259"/>
    </row>
    <row r="135" spans="1:12">
      <c r="A135" s="113"/>
      <c r="B135" s="420" t="s">
        <v>327</v>
      </c>
      <c r="C135" s="218" t="s">
        <v>328</v>
      </c>
      <c r="D135" s="218"/>
      <c r="E135" s="218"/>
      <c r="F135" s="218"/>
      <c r="G135" s="219"/>
      <c r="H135" s="231"/>
      <c r="I135" s="218"/>
      <c r="J135" s="218"/>
      <c r="K135" s="218"/>
      <c r="L135" s="259"/>
    </row>
    <row r="136" spans="1:12">
      <c r="A136" s="113"/>
      <c r="B136" s="420" t="s">
        <v>329</v>
      </c>
      <c r="C136" s="218" t="s">
        <v>330</v>
      </c>
      <c r="D136" s="218"/>
      <c r="E136" s="218"/>
      <c r="F136" s="218"/>
      <c r="G136" s="219"/>
      <c r="H136" s="231"/>
      <c r="I136" s="218"/>
      <c r="J136" s="218"/>
      <c r="K136" s="218"/>
      <c r="L136" s="259"/>
    </row>
    <row r="137" spans="1:12">
      <c r="A137" s="113"/>
      <c r="B137" s="420" t="s">
        <v>331</v>
      </c>
      <c r="C137" s="218" t="s">
        <v>332</v>
      </c>
      <c r="D137" s="218"/>
      <c r="E137" s="218"/>
      <c r="F137" s="218"/>
      <c r="G137" s="219"/>
      <c r="H137" s="231"/>
      <c r="I137" s="218"/>
      <c r="J137" s="218"/>
      <c r="K137" s="218"/>
      <c r="L137" s="259"/>
    </row>
    <row r="138" spans="1:12">
      <c r="A138" s="113">
        <v>10</v>
      </c>
      <c r="B138" s="420" t="s">
        <v>323</v>
      </c>
      <c r="C138" s="218" t="s">
        <v>333</v>
      </c>
      <c r="D138" s="218"/>
      <c r="E138" s="218"/>
      <c r="F138" s="218"/>
      <c r="G138" s="219"/>
      <c r="H138" s="480" t="s">
        <v>319</v>
      </c>
      <c r="I138" s="235"/>
      <c r="J138" s="236"/>
      <c r="K138" s="480" t="s">
        <v>320</v>
      </c>
      <c r="L138" s="261"/>
    </row>
    <row r="139" spans="1:12">
      <c r="A139" s="113"/>
      <c r="B139" s="420" t="s">
        <v>325</v>
      </c>
      <c r="C139" s="218" t="s">
        <v>334</v>
      </c>
      <c r="D139" s="218"/>
      <c r="E139" s="218"/>
      <c r="F139" s="218"/>
      <c r="G139" s="219"/>
      <c r="H139" s="231"/>
      <c r="I139" s="218"/>
      <c r="J139" s="218"/>
      <c r="K139" s="218"/>
      <c r="L139" s="259"/>
    </row>
    <row r="140" spans="1:12">
      <c r="A140" s="113"/>
      <c r="B140" s="420" t="s">
        <v>327</v>
      </c>
      <c r="C140" s="218" t="s">
        <v>335</v>
      </c>
      <c r="D140" s="218"/>
      <c r="E140" s="218"/>
      <c r="F140" s="218"/>
      <c r="G140" s="219"/>
      <c r="H140" s="231"/>
      <c r="I140" s="218"/>
      <c r="J140" s="218"/>
      <c r="K140" s="218"/>
      <c r="L140" s="259"/>
    </row>
    <row r="141" spans="1:12">
      <c r="A141" s="113"/>
      <c r="B141" s="420" t="s">
        <v>329</v>
      </c>
      <c r="C141" s="218" t="s">
        <v>336</v>
      </c>
      <c r="D141" s="218"/>
      <c r="E141" s="218"/>
      <c r="F141" s="218"/>
      <c r="G141" s="219"/>
      <c r="H141" s="231"/>
      <c r="I141" s="218"/>
      <c r="J141" s="218"/>
      <c r="K141" s="218"/>
      <c r="L141" s="259"/>
    </row>
    <row r="142" spans="1:12">
      <c r="A142" s="40"/>
      <c r="B142" s="205"/>
      <c r="C142" s="238"/>
      <c r="D142" s="238"/>
      <c r="E142" s="238" t="s">
        <v>337</v>
      </c>
      <c r="F142" s="238"/>
      <c r="G142" s="238"/>
      <c r="H142" s="238"/>
      <c r="I142" s="238"/>
      <c r="J142" s="238"/>
      <c r="K142" s="238"/>
      <c r="L142" s="262"/>
    </row>
    <row r="143" spans="1:12">
      <c r="A143" s="40">
        <v>11</v>
      </c>
      <c r="B143" s="420" t="s">
        <v>323</v>
      </c>
      <c r="C143" s="218" t="s">
        <v>338</v>
      </c>
      <c r="D143" s="218"/>
      <c r="E143" s="218"/>
      <c r="F143" s="218"/>
      <c r="G143" s="219"/>
      <c r="H143" s="231"/>
      <c r="I143" s="218"/>
      <c r="J143" s="218"/>
      <c r="K143" s="218"/>
      <c r="L143" s="259"/>
    </row>
    <row r="144" spans="1:12">
      <c r="A144" s="40"/>
      <c r="B144" s="420" t="s">
        <v>325</v>
      </c>
      <c r="C144" s="218" t="s">
        <v>339</v>
      </c>
      <c r="D144" s="218"/>
      <c r="E144" s="218"/>
      <c r="F144" s="218"/>
      <c r="G144" s="219"/>
      <c r="H144" s="231"/>
      <c r="I144" s="218"/>
      <c r="J144" s="218"/>
      <c r="K144" s="218"/>
      <c r="L144" s="259"/>
    </row>
    <row r="145" spans="1:12">
      <c r="A145" s="40"/>
      <c r="B145" s="420" t="s">
        <v>340</v>
      </c>
      <c r="C145" s="218" t="s">
        <v>341</v>
      </c>
      <c r="D145" s="218"/>
      <c r="E145" s="218"/>
      <c r="F145" s="218"/>
      <c r="G145" s="219"/>
      <c r="H145" s="231"/>
      <c r="I145" s="218"/>
      <c r="J145" s="218"/>
      <c r="K145" s="218"/>
      <c r="L145" s="259"/>
    </row>
    <row r="146" spans="1:12">
      <c r="A146" s="40"/>
      <c r="B146" s="193"/>
      <c r="C146" s="412"/>
      <c r="D146" s="412"/>
      <c r="E146" s="412"/>
      <c r="F146" s="239" t="s">
        <v>342</v>
      </c>
      <c r="G146" s="412"/>
      <c r="H146" s="411"/>
      <c r="I146" s="411"/>
      <c r="J146" s="411"/>
      <c r="K146" s="411"/>
      <c r="L146" s="195"/>
    </row>
    <row r="147" spans="1:12">
      <c r="A147" s="40"/>
      <c r="B147" s="251" t="s">
        <v>343</v>
      </c>
      <c r="C147" s="250" t="s">
        <v>344</v>
      </c>
      <c r="D147" s="412"/>
      <c r="E147" s="412"/>
      <c r="F147" s="412"/>
      <c r="G147" s="412"/>
      <c r="H147" s="411"/>
      <c r="I147" s="411"/>
      <c r="J147" s="410"/>
      <c r="K147" s="411"/>
      <c r="L147" s="195"/>
    </row>
    <row r="148" spans="1:12">
      <c r="A148" s="40"/>
      <c r="B148" s="251" t="s">
        <v>345</v>
      </c>
      <c r="C148" s="249" t="s">
        <v>346</v>
      </c>
      <c r="D148" s="411"/>
      <c r="E148" s="410"/>
      <c r="F148" s="27"/>
      <c r="G148" s="870"/>
      <c r="H148" s="870"/>
      <c r="I148" s="421"/>
      <c r="J148" s="194"/>
      <c r="K148" s="870"/>
      <c r="L148" s="871"/>
    </row>
    <row r="149" spans="1:12">
      <c r="A149" s="40"/>
      <c r="B149" s="252" t="s">
        <v>347</v>
      </c>
      <c r="C149" s="872" t="s">
        <v>348</v>
      </c>
      <c r="D149" s="872"/>
      <c r="E149" s="872"/>
      <c r="F149" s="872"/>
      <c r="G149" s="872"/>
      <c r="H149" s="872"/>
      <c r="I149" s="872"/>
      <c r="J149" s="872"/>
      <c r="K149" s="872"/>
      <c r="L149" s="873"/>
    </row>
    <row r="150" spans="1:12">
      <c r="A150" s="40"/>
      <c r="B150" s="251" t="s">
        <v>349</v>
      </c>
      <c r="C150" s="250" t="s">
        <v>350</v>
      </c>
      <c r="D150" s="242"/>
      <c r="E150" s="242"/>
      <c r="F150" s="242"/>
      <c r="G150" s="242"/>
      <c r="H150" s="242"/>
      <c r="I150" s="242"/>
      <c r="J150" s="242"/>
      <c r="K150" s="242"/>
      <c r="L150" s="263"/>
    </row>
    <row r="151" spans="1:12">
      <c r="A151" s="40"/>
      <c r="B151" s="193"/>
      <c r="C151" s="192" t="s">
        <v>351</v>
      </c>
      <c r="D151" s="303">
        <f>'0422Master'!N14</f>
        <v>44181</v>
      </c>
      <c r="E151" s="185"/>
      <c r="F151" s="185"/>
      <c r="G151" s="185"/>
      <c r="H151" s="27"/>
      <c r="I151" s="27"/>
      <c r="J151" s="27"/>
      <c r="K151" s="27"/>
      <c r="L151" s="41"/>
    </row>
    <row r="152" spans="1:12">
      <c r="A152" s="40"/>
      <c r="B152" s="27"/>
      <c r="C152" s="192" t="s">
        <v>352</v>
      </c>
      <c r="D152" s="27" t="s">
        <v>273</v>
      </c>
      <c r="E152" s="27"/>
      <c r="F152" s="27"/>
      <c r="G152" s="27"/>
      <c r="H152" s="27"/>
      <c r="I152" s="27"/>
      <c r="J152" s="27" t="s">
        <v>353</v>
      </c>
      <c r="K152" s="27"/>
      <c r="L152" s="41"/>
    </row>
    <row r="153" spans="1:12">
      <c r="A153" s="40"/>
      <c r="B153" s="27"/>
      <c r="C153" s="27"/>
      <c r="D153" s="27"/>
      <c r="E153" s="27"/>
      <c r="F153" s="27"/>
      <c r="G153" s="27"/>
      <c r="H153" s="27"/>
      <c r="I153" s="27"/>
      <c r="J153" s="27"/>
      <c r="K153" s="27"/>
      <c r="L153" s="41"/>
    </row>
    <row r="154" spans="1:12">
      <c r="A154" s="40"/>
      <c r="B154" s="27"/>
      <c r="C154" s="27"/>
      <c r="D154" s="27"/>
      <c r="E154" s="27"/>
      <c r="F154" s="240" t="s">
        <v>354</v>
      </c>
      <c r="G154" s="27"/>
      <c r="H154" s="27"/>
      <c r="I154" s="27"/>
      <c r="J154" s="27"/>
      <c r="K154" s="27"/>
      <c r="L154" s="41"/>
    </row>
    <row r="155" spans="1:12">
      <c r="A155" s="40" t="s">
        <v>355</v>
      </c>
      <c r="B155" s="27" t="s">
        <v>356</v>
      </c>
      <c r="C155" s="27"/>
      <c r="D155" s="27"/>
      <c r="E155" s="243" t="str">
        <f>'0422Master'!B14</f>
        <v>KRANTHI KUMAR VEDULLA</v>
      </c>
      <c r="F155" s="27"/>
      <c r="G155" s="27"/>
      <c r="H155" s="874" t="s">
        <v>357</v>
      </c>
      <c r="I155" s="874"/>
      <c r="J155" s="244">
        <f>'0422Master'!N14</f>
        <v>44181</v>
      </c>
      <c r="K155" s="27" t="s">
        <v>358</v>
      </c>
      <c r="L155" s="41"/>
    </row>
    <row r="156" spans="1:12">
      <c r="A156" s="40"/>
      <c r="B156" s="875" t="e">
        <f>'0422Master'!#REF!</f>
        <v>#REF!</v>
      </c>
      <c r="C156" s="876"/>
      <c r="D156" s="241"/>
      <c r="E156" s="241"/>
      <c r="F156" s="241"/>
      <c r="G156" s="241"/>
      <c r="H156" s="241"/>
      <c r="I156" s="241"/>
      <c r="J156" s="241"/>
      <c r="K156" s="241"/>
      <c r="L156" s="264"/>
    </row>
    <row r="157" spans="1:12">
      <c r="A157" s="40" t="s">
        <v>359</v>
      </c>
      <c r="B157" s="241" t="s">
        <v>360</v>
      </c>
      <c r="C157" s="241"/>
      <c r="D157" s="241"/>
      <c r="E157" s="241"/>
      <c r="F157" s="241"/>
      <c r="G157" s="241"/>
      <c r="H157" s="241"/>
      <c r="I157" s="241"/>
      <c r="J157" s="241"/>
      <c r="K157" s="241"/>
      <c r="L157" s="264"/>
    </row>
    <row r="158" spans="1:12">
      <c r="A158" s="40"/>
      <c r="B158" s="241" t="s">
        <v>361</v>
      </c>
      <c r="C158" s="241"/>
      <c r="D158" s="241"/>
      <c r="E158" s="241"/>
      <c r="F158" s="241"/>
      <c r="G158" s="241"/>
      <c r="H158" s="241"/>
      <c r="I158" s="241"/>
      <c r="J158" s="241"/>
      <c r="K158" s="241"/>
      <c r="L158" s="264"/>
    </row>
    <row r="159" spans="1:12">
      <c r="A159" s="260"/>
      <c r="B159" s="27" t="s">
        <v>362</v>
      </c>
      <c r="C159" s="27"/>
      <c r="D159" s="27"/>
      <c r="E159" s="27"/>
      <c r="F159" s="27"/>
      <c r="G159" s="27"/>
      <c r="H159" s="27"/>
      <c r="I159" s="27"/>
      <c r="J159" s="27"/>
      <c r="K159" s="27"/>
      <c r="L159" s="41"/>
    </row>
    <row r="160" spans="1:12" ht="18.75">
      <c r="A160" s="40"/>
      <c r="B160" s="185" t="s">
        <v>363</v>
      </c>
      <c r="C160" s="27"/>
      <c r="D160" s="27"/>
      <c r="E160" s="27"/>
      <c r="F160" s="190"/>
      <c r="G160" s="27"/>
      <c r="H160" s="27"/>
      <c r="I160" s="27"/>
      <c r="J160" s="27"/>
      <c r="K160" s="27"/>
      <c r="L160" s="41"/>
    </row>
    <row r="161" spans="1:12">
      <c r="A161" s="40"/>
      <c r="B161" s="185" t="s">
        <v>364</v>
      </c>
      <c r="C161" s="27"/>
      <c r="D161" s="27"/>
      <c r="E161" s="27"/>
      <c r="F161" s="27"/>
      <c r="G161" s="27"/>
      <c r="H161" s="27"/>
      <c r="I161" s="27"/>
      <c r="J161" s="27"/>
      <c r="K161" s="27"/>
      <c r="L161" s="41"/>
    </row>
    <row r="162" spans="1:12" ht="27.95" customHeight="1">
      <c r="A162" s="40"/>
      <c r="B162" s="27" t="s">
        <v>365</v>
      </c>
      <c r="C162" s="27"/>
      <c r="D162" s="27"/>
      <c r="E162" s="27"/>
      <c r="F162" s="27"/>
      <c r="G162" s="27"/>
      <c r="H162" s="27"/>
      <c r="I162" s="27"/>
      <c r="J162" s="27"/>
      <c r="K162" s="27"/>
      <c r="L162" s="41"/>
    </row>
    <row r="163" spans="1:12" ht="27.95" customHeight="1">
      <c r="A163" s="40"/>
      <c r="B163" s="27" t="s">
        <v>366</v>
      </c>
      <c r="C163" s="27"/>
      <c r="D163" s="27"/>
      <c r="E163" s="27"/>
      <c r="F163" s="27"/>
      <c r="G163" s="27"/>
      <c r="H163" s="27"/>
      <c r="I163" s="27"/>
      <c r="J163" s="27"/>
      <c r="K163" s="27"/>
      <c r="L163" s="41"/>
    </row>
    <row r="164" spans="1:12" ht="27.95" customHeight="1">
      <c r="A164" s="40" t="s">
        <v>327</v>
      </c>
      <c r="B164" s="27" t="s">
        <v>367</v>
      </c>
      <c r="C164" s="27"/>
      <c r="D164" s="27"/>
      <c r="E164" s="27"/>
      <c r="F164" s="27"/>
      <c r="G164" s="27"/>
      <c r="H164" s="27"/>
      <c r="I164" s="27"/>
      <c r="J164" s="27"/>
      <c r="K164" s="27"/>
      <c r="L164" s="41"/>
    </row>
    <row r="165" spans="1:12" ht="27.95" customHeight="1">
      <c r="A165" s="40"/>
      <c r="B165" s="253" t="s">
        <v>368</v>
      </c>
      <c r="C165" s="27"/>
      <c r="D165" s="27"/>
      <c r="E165" s="27"/>
      <c r="F165" s="27"/>
      <c r="G165" s="27"/>
      <c r="H165" s="27"/>
      <c r="I165" s="27"/>
      <c r="J165" s="27"/>
      <c r="K165" s="27"/>
      <c r="L165" s="41"/>
    </row>
    <row r="166" spans="1:12" ht="27.95" customHeight="1">
      <c r="A166" s="40"/>
      <c r="B166" s="27" t="s">
        <v>362</v>
      </c>
      <c r="C166" s="27"/>
      <c r="D166" s="27"/>
      <c r="E166" s="27"/>
      <c r="F166" s="27"/>
      <c r="G166" s="27"/>
      <c r="H166" s="27"/>
      <c r="I166" s="27"/>
      <c r="J166" s="27"/>
      <c r="K166" s="27"/>
      <c r="L166" s="41"/>
    </row>
    <row r="167" spans="1:12" ht="27.95" customHeight="1">
      <c r="A167" s="40"/>
      <c r="B167" s="27" t="s">
        <v>369</v>
      </c>
      <c r="C167" s="27"/>
      <c r="D167" s="27"/>
      <c r="E167" s="27"/>
      <c r="F167" s="192"/>
      <c r="G167" s="192"/>
      <c r="H167" s="192"/>
      <c r="I167" s="192"/>
      <c r="J167" s="192"/>
      <c r="K167" s="192"/>
      <c r="L167" s="41"/>
    </row>
    <row r="168" spans="1:12" ht="27.95" customHeight="1">
      <c r="A168" s="40"/>
      <c r="B168" s="27" t="s">
        <v>370</v>
      </c>
      <c r="C168" s="27"/>
      <c r="D168" s="27"/>
      <c r="E168" s="27"/>
      <c r="F168" s="27"/>
      <c r="G168" s="27"/>
      <c r="H168" s="27"/>
      <c r="I168" s="27"/>
      <c r="J168" s="27"/>
      <c r="K168" s="27"/>
      <c r="L168" s="41"/>
    </row>
    <row r="169" spans="1:12" ht="27.95" customHeight="1">
      <c r="A169" s="40"/>
      <c r="B169" s="877" t="s">
        <v>371</v>
      </c>
      <c r="C169" s="877"/>
      <c r="D169" s="877"/>
      <c r="E169" s="877"/>
      <c r="F169" s="877"/>
      <c r="G169" s="877"/>
      <c r="H169" s="877"/>
      <c r="I169" s="877"/>
      <c r="J169" s="877"/>
      <c r="K169" s="877"/>
      <c r="L169" s="878"/>
    </row>
    <row r="170" spans="1:12" ht="27.95" customHeight="1">
      <c r="A170" s="40"/>
      <c r="B170" s="255" t="s">
        <v>274</v>
      </c>
      <c r="C170" s="301">
        <f>D151</f>
        <v>44181</v>
      </c>
      <c r="D170" s="223"/>
      <c r="E170" s="223"/>
      <c r="F170" s="223"/>
      <c r="G170" s="223"/>
      <c r="H170" s="223"/>
      <c r="I170" s="255" t="s">
        <v>372</v>
      </c>
      <c r="J170" s="223"/>
      <c r="K170" s="223"/>
      <c r="L170" s="254"/>
    </row>
    <row r="171" spans="1:12" ht="27.95" customHeight="1" thickBot="1">
      <c r="A171" s="54"/>
      <c r="B171" s="745"/>
      <c r="C171" s="745"/>
      <c r="D171" s="745"/>
      <c r="E171" s="745"/>
      <c r="F171" s="745"/>
      <c r="G171" s="745"/>
      <c r="H171" s="745"/>
      <c r="I171" s="745"/>
      <c r="J171" s="745"/>
      <c r="K171" s="745"/>
      <c r="L171" s="746"/>
    </row>
    <row r="172" spans="1:12" ht="27.95" customHeight="1">
      <c r="A172" s="96"/>
      <c r="B172" s="97"/>
      <c r="C172" s="97"/>
      <c r="D172" s="97"/>
      <c r="E172" s="97"/>
      <c r="F172" s="97"/>
      <c r="G172" s="97"/>
      <c r="H172" s="97"/>
      <c r="I172" s="106" t="s">
        <v>298</v>
      </c>
      <c r="J172" s="97"/>
      <c r="K172" s="97"/>
      <c r="L172" s="98"/>
    </row>
    <row r="173" spans="1:12" ht="27.95" customHeight="1">
      <c r="A173" s="40"/>
      <c r="B173" s="879" t="s">
        <v>299</v>
      </c>
      <c r="C173" s="879"/>
      <c r="D173" s="879"/>
      <c r="E173" s="879"/>
      <c r="F173" s="879"/>
      <c r="G173" s="879"/>
      <c r="H173" s="879"/>
      <c r="I173" s="879"/>
      <c r="J173" s="879"/>
      <c r="K173" s="879"/>
      <c r="L173" s="880"/>
    </row>
    <row r="174" spans="1:12" ht="27.95" customHeight="1">
      <c r="A174" s="40"/>
      <c r="B174" s="223"/>
      <c r="C174" s="223"/>
      <c r="D174" s="232" t="s">
        <v>300</v>
      </c>
      <c r="E174" s="223"/>
      <c r="F174" s="223"/>
      <c r="G174" s="223"/>
      <c r="H174" s="223"/>
      <c r="I174" s="226" t="s">
        <v>301</v>
      </c>
      <c r="J174" s="227"/>
      <c r="K174" s="302">
        <f>'0422Master'!A15</f>
        <v>2</v>
      </c>
      <c r="L174" s="257"/>
    </row>
    <row r="175" spans="1:12" ht="27.95" customHeight="1">
      <c r="A175" s="40"/>
      <c r="B175" s="224"/>
      <c r="C175" s="224" t="s">
        <v>302</v>
      </c>
      <c r="D175" s="27"/>
      <c r="E175" s="224"/>
      <c r="F175" s="224"/>
      <c r="G175" s="224"/>
      <c r="H175" s="224"/>
      <c r="I175" s="225" t="s">
        <v>303</v>
      </c>
      <c r="J175" s="304" t="str">
        <f>'0422Master'!F5</f>
        <v>Burgeon IT Services Pvt.Ltd.</v>
      </c>
      <c r="K175" s="228"/>
      <c r="L175" s="258"/>
    </row>
    <row r="176" spans="1:12" ht="27.95" customHeight="1">
      <c r="A176" s="40"/>
      <c r="B176" s="233"/>
      <c r="C176" s="199" t="s">
        <v>304</v>
      </c>
      <c r="D176" s="27"/>
      <c r="E176" s="233"/>
      <c r="F176" s="233"/>
      <c r="G176" s="27"/>
      <c r="H176" s="200"/>
      <c r="I176" s="248" t="str">
        <f>'0422Master'!F6</f>
        <v>Siri Mansion LIGB 436 Dr.A S Rao Nagar,Hyderabad</v>
      </c>
      <c r="J176" s="246"/>
      <c r="K176" s="247"/>
      <c r="L176" s="211"/>
    </row>
    <row r="177" spans="1:12" ht="15.75" customHeight="1">
      <c r="A177" s="40"/>
      <c r="B177" s="27"/>
      <c r="C177" s="27"/>
      <c r="D177" s="27"/>
      <c r="E177" s="27"/>
      <c r="F177" s="27"/>
      <c r="G177" s="27"/>
      <c r="H177" s="27"/>
      <c r="I177" s="27"/>
      <c r="J177" s="27"/>
      <c r="K177" s="27"/>
      <c r="L177" s="41"/>
    </row>
    <row r="178" spans="1:12" ht="27" customHeight="1">
      <c r="A178" s="40">
        <v>1</v>
      </c>
      <c r="B178" s="229" t="s">
        <v>305</v>
      </c>
      <c r="C178" s="206"/>
      <c r="D178" s="206"/>
      <c r="E178" s="206"/>
      <c r="F178" s="206"/>
      <c r="G178" s="80"/>
      <c r="H178" s="838" t="str">
        <f>'0422Master'!B15</f>
        <v>Vipin U.N</v>
      </c>
      <c r="I178" s="857"/>
      <c r="J178" s="857"/>
      <c r="K178" s="857"/>
      <c r="L178" s="858"/>
    </row>
    <row r="179" spans="1:12" ht="17.25" customHeight="1">
      <c r="A179" s="40">
        <v>2</v>
      </c>
      <c r="B179" s="881" t="s">
        <v>306</v>
      </c>
      <c r="C179" s="882"/>
      <c r="D179" s="882"/>
      <c r="E179" s="882"/>
      <c r="F179" s="230" t="s">
        <v>307</v>
      </c>
      <c r="G179" s="212"/>
      <c r="H179" s="883" t="str">
        <f>'0422Master'!E15</f>
        <v>GANGA G</v>
      </c>
      <c r="I179" s="884"/>
      <c r="J179" s="884"/>
      <c r="K179" s="884"/>
      <c r="L179" s="885"/>
    </row>
    <row r="180" spans="1:12" ht="11.25" customHeight="1">
      <c r="A180" s="40"/>
      <c r="B180" s="213" t="s">
        <v>309</v>
      </c>
      <c r="C180" s="214"/>
      <c r="D180" s="214"/>
      <c r="E180" s="214"/>
      <c r="F180" s="214" t="s">
        <v>308</v>
      </c>
      <c r="G180" s="215"/>
      <c r="H180" s="886"/>
      <c r="I180" s="887"/>
      <c r="J180" s="887"/>
      <c r="K180" s="887"/>
      <c r="L180" s="888"/>
    </row>
    <row r="181" spans="1:12">
      <c r="A181" s="40">
        <v>3</v>
      </c>
      <c r="B181" s="231" t="s">
        <v>310</v>
      </c>
      <c r="C181" s="218"/>
      <c r="D181" s="218"/>
      <c r="E181" s="218"/>
      <c r="F181" s="218"/>
      <c r="G181" s="219"/>
      <c r="H181" s="861" t="str">
        <f>'0422Master'!C15</f>
        <v>28/02/1991</v>
      </c>
      <c r="I181" s="862"/>
      <c r="J181" s="862"/>
      <c r="K181" s="862"/>
      <c r="L181" s="863"/>
    </row>
    <row r="182" spans="1:12">
      <c r="A182" s="260">
        <v>4</v>
      </c>
      <c r="B182" s="205" t="s">
        <v>311</v>
      </c>
      <c r="C182" s="79"/>
      <c r="D182" s="79"/>
      <c r="E182" s="79"/>
      <c r="F182" s="79"/>
      <c r="G182" s="80"/>
      <c r="H182" s="835" t="str">
        <f>'0422Master'!D15</f>
        <v>Male</v>
      </c>
      <c r="I182" s="849"/>
      <c r="J182" s="849"/>
      <c r="K182" s="849"/>
      <c r="L182" s="843"/>
    </row>
    <row r="183" spans="1:12">
      <c r="A183" s="260">
        <v>5</v>
      </c>
      <c r="B183" s="864" t="s">
        <v>312</v>
      </c>
      <c r="C183" s="865"/>
      <c r="D183" s="865"/>
      <c r="E183" s="865"/>
      <c r="F183" s="865"/>
      <c r="G183" s="80"/>
      <c r="H183" s="856" t="s">
        <v>374</v>
      </c>
      <c r="I183" s="857"/>
      <c r="J183" s="857"/>
      <c r="K183" s="857"/>
      <c r="L183" s="858"/>
    </row>
    <row r="184" spans="1:12">
      <c r="A184" s="260">
        <v>6</v>
      </c>
      <c r="B184" s="420" t="s">
        <v>314</v>
      </c>
      <c r="C184" s="218" t="s">
        <v>315</v>
      </c>
      <c r="D184" s="218"/>
      <c r="E184" s="218"/>
      <c r="F184" s="218"/>
      <c r="G184" s="219"/>
      <c r="H184" s="231"/>
      <c r="I184" s="218"/>
      <c r="J184" s="218"/>
      <c r="K184" s="218"/>
      <c r="L184" s="259"/>
    </row>
    <row r="185" spans="1:12">
      <c r="A185" s="40"/>
      <c r="B185" s="420" t="s">
        <v>316</v>
      </c>
      <c r="C185" s="218" t="s">
        <v>317</v>
      </c>
      <c r="D185" s="218"/>
      <c r="E185" s="218"/>
      <c r="F185" s="218"/>
      <c r="G185" s="219"/>
      <c r="H185" s="231"/>
      <c r="I185" s="422"/>
      <c r="J185" s="422"/>
      <c r="K185" s="218"/>
      <c r="L185" s="259"/>
    </row>
    <row r="186" spans="1:12">
      <c r="A186" s="260">
        <v>7</v>
      </c>
      <c r="B186" s="861" t="s">
        <v>318</v>
      </c>
      <c r="C186" s="862"/>
      <c r="D186" s="862"/>
      <c r="E186" s="862"/>
      <c r="F186" s="862"/>
      <c r="G186" s="869"/>
      <c r="H186" s="480" t="s">
        <v>319</v>
      </c>
      <c r="I186" s="235"/>
      <c r="J186" s="236"/>
      <c r="K186" s="480" t="s">
        <v>320</v>
      </c>
      <c r="L186" s="261"/>
    </row>
    <row r="187" spans="1:12">
      <c r="A187" s="260">
        <v>8</v>
      </c>
      <c r="B187" s="861" t="s">
        <v>321</v>
      </c>
      <c r="C187" s="862"/>
      <c r="D187" s="862"/>
      <c r="E187" s="862"/>
      <c r="F187" s="862"/>
      <c r="G187" s="869"/>
      <c r="H187" s="480" t="s">
        <v>319</v>
      </c>
      <c r="I187" s="235"/>
      <c r="J187" s="236"/>
      <c r="K187" s="480" t="s">
        <v>320</v>
      </c>
      <c r="L187" s="261"/>
    </row>
    <row r="188" spans="1:12">
      <c r="A188" s="40"/>
      <c r="B188" s="205"/>
      <c r="C188" s="238"/>
      <c r="D188" s="238"/>
      <c r="E188" s="238"/>
      <c r="F188" s="238" t="s">
        <v>322</v>
      </c>
      <c r="G188" s="238"/>
      <c r="H188" s="238"/>
      <c r="I188" s="238"/>
      <c r="J188" s="238"/>
      <c r="K188" s="238"/>
      <c r="L188" s="262"/>
    </row>
    <row r="189" spans="1:12">
      <c r="A189" s="260">
        <v>9</v>
      </c>
      <c r="B189" s="420" t="s">
        <v>323</v>
      </c>
      <c r="C189" s="218" t="s">
        <v>324</v>
      </c>
      <c r="D189" s="218"/>
      <c r="E189" s="218"/>
      <c r="F189" s="218"/>
      <c r="G189" s="219"/>
      <c r="H189" s="231"/>
      <c r="I189" s="218"/>
      <c r="J189" s="218"/>
      <c r="K189" s="218"/>
      <c r="L189" s="259"/>
    </row>
    <row r="190" spans="1:12">
      <c r="A190" s="113"/>
      <c r="B190" s="420" t="s">
        <v>325</v>
      </c>
      <c r="C190" s="218" t="s">
        <v>326</v>
      </c>
      <c r="D190" s="218"/>
      <c r="E190" s="218"/>
      <c r="F190" s="218"/>
      <c r="G190" s="219"/>
      <c r="H190" s="231"/>
      <c r="I190" s="218"/>
      <c r="J190" s="218"/>
      <c r="K190" s="218"/>
      <c r="L190" s="259"/>
    </row>
    <row r="191" spans="1:12">
      <c r="A191" s="113"/>
      <c r="B191" s="420" t="s">
        <v>327</v>
      </c>
      <c r="C191" s="218" t="s">
        <v>328</v>
      </c>
      <c r="D191" s="218"/>
      <c r="E191" s="218"/>
      <c r="F191" s="218"/>
      <c r="G191" s="219"/>
      <c r="H191" s="231"/>
      <c r="I191" s="218"/>
      <c r="J191" s="218"/>
      <c r="K191" s="218"/>
      <c r="L191" s="259"/>
    </row>
    <row r="192" spans="1:12">
      <c r="A192" s="113"/>
      <c r="B192" s="420" t="s">
        <v>329</v>
      </c>
      <c r="C192" s="218" t="s">
        <v>330</v>
      </c>
      <c r="D192" s="218"/>
      <c r="E192" s="218"/>
      <c r="F192" s="218"/>
      <c r="G192" s="219"/>
      <c r="H192" s="231"/>
      <c r="I192" s="218"/>
      <c r="J192" s="218"/>
      <c r="K192" s="218"/>
      <c r="L192" s="259"/>
    </row>
    <row r="193" spans="1:12">
      <c r="A193" s="113"/>
      <c r="B193" s="420" t="s">
        <v>331</v>
      </c>
      <c r="C193" s="218" t="s">
        <v>332</v>
      </c>
      <c r="D193" s="218"/>
      <c r="E193" s="218"/>
      <c r="F193" s="218"/>
      <c r="G193" s="219"/>
      <c r="H193" s="231"/>
      <c r="I193" s="218"/>
      <c r="J193" s="218"/>
      <c r="K193" s="218"/>
      <c r="L193" s="259"/>
    </row>
    <row r="194" spans="1:12">
      <c r="A194" s="113">
        <v>10</v>
      </c>
      <c r="B194" s="420" t="s">
        <v>323</v>
      </c>
      <c r="C194" s="218" t="s">
        <v>333</v>
      </c>
      <c r="D194" s="218"/>
      <c r="E194" s="218"/>
      <c r="F194" s="218"/>
      <c r="G194" s="219"/>
      <c r="H194" s="480" t="s">
        <v>319</v>
      </c>
      <c r="I194" s="235"/>
      <c r="J194" s="236"/>
      <c r="K194" s="480" t="s">
        <v>320</v>
      </c>
      <c r="L194" s="261"/>
    </row>
    <row r="195" spans="1:12">
      <c r="A195" s="113"/>
      <c r="B195" s="420" t="s">
        <v>325</v>
      </c>
      <c r="C195" s="218" t="s">
        <v>334</v>
      </c>
      <c r="D195" s="218"/>
      <c r="E195" s="218"/>
      <c r="F195" s="218"/>
      <c r="G195" s="219"/>
      <c r="H195" s="231"/>
      <c r="I195" s="218"/>
      <c r="J195" s="218"/>
      <c r="K195" s="218"/>
      <c r="L195" s="259"/>
    </row>
    <row r="196" spans="1:12">
      <c r="A196" s="113"/>
      <c r="B196" s="420" t="s">
        <v>327</v>
      </c>
      <c r="C196" s="218" t="s">
        <v>335</v>
      </c>
      <c r="D196" s="218"/>
      <c r="E196" s="218"/>
      <c r="F196" s="218"/>
      <c r="G196" s="219"/>
      <c r="H196" s="231"/>
      <c r="I196" s="218"/>
      <c r="J196" s="218"/>
      <c r="K196" s="218"/>
      <c r="L196" s="259"/>
    </row>
    <row r="197" spans="1:12">
      <c r="A197" s="113"/>
      <c r="B197" s="420" t="s">
        <v>329</v>
      </c>
      <c r="C197" s="218" t="s">
        <v>336</v>
      </c>
      <c r="D197" s="218"/>
      <c r="E197" s="218"/>
      <c r="F197" s="218"/>
      <c r="G197" s="219"/>
      <c r="H197" s="231"/>
      <c r="I197" s="218"/>
      <c r="J197" s="218"/>
      <c r="K197" s="218"/>
      <c r="L197" s="259"/>
    </row>
    <row r="198" spans="1:12">
      <c r="A198" s="40"/>
      <c r="B198" s="205"/>
      <c r="C198" s="238"/>
      <c r="D198" s="238"/>
      <c r="E198" s="238" t="s">
        <v>337</v>
      </c>
      <c r="F198" s="238"/>
      <c r="G198" s="238"/>
      <c r="H198" s="238"/>
      <c r="I198" s="238"/>
      <c r="J198" s="238"/>
      <c r="K198" s="238"/>
      <c r="L198" s="262"/>
    </row>
    <row r="199" spans="1:12">
      <c r="A199" s="40">
        <v>11</v>
      </c>
      <c r="B199" s="420" t="s">
        <v>323</v>
      </c>
      <c r="C199" s="218" t="s">
        <v>338</v>
      </c>
      <c r="D199" s="218"/>
      <c r="E199" s="218"/>
      <c r="F199" s="218"/>
      <c r="G199" s="219"/>
      <c r="H199" s="231"/>
      <c r="I199" s="218"/>
      <c r="J199" s="218"/>
      <c r="K199" s="218"/>
      <c r="L199" s="259"/>
    </row>
    <row r="200" spans="1:12">
      <c r="A200" s="40"/>
      <c r="B200" s="420" t="s">
        <v>325</v>
      </c>
      <c r="C200" s="218" t="s">
        <v>339</v>
      </c>
      <c r="D200" s="218"/>
      <c r="E200" s="218"/>
      <c r="F200" s="218"/>
      <c r="G200" s="219"/>
      <c r="H200" s="231"/>
      <c r="I200" s="218"/>
      <c r="J200" s="218"/>
      <c r="K200" s="218"/>
      <c r="L200" s="259"/>
    </row>
    <row r="201" spans="1:12">
      <c r="A201" s="40"/>
      <c r="B201" s="420" t="s">
        <v>340</v>
      </c>
      <c r="C201" s="218" t="s">
        <v>341</v>
      </c>
      <c r="D201" s="218"/>
      <c r="E201" s="218"/>
      <c r="F201" s="218"/>
      <c r="G201" s="219"/>
      <c r="H201" s="231"/>
      <c r="I201" s="218"/>
      <c r="J201" s="218"/>
      <c r="K201" s="218"/>
      <c r="L201" s="259"/>
    </row>
    <row r="202" spans="1:12">
      <c r="A202" s="40"/>
      <c r="B202" s="193"/>
      <c r="C202" s="412"/>
      <c r="D202" s="412"/>
      <c r="E202" s="412"/>
      <c r="F202" s="239" t="s">
        <v>342</v>
      </c>
      <c r="G202" s="412"/>
      <c r="H202" s="411"/>
      <c r="I202" s="411"/>
      <c r="J202" s="411"/>
      <c r="K202" s="411"/>
      <c r="L202" s="195"/>
    </row>
    <row r="203" spans="1:12">
      <c r="A203" s="40"/>
      <c r="B203" s="251" t="s">
        <v>343</v>
      </c>
      <c r="C203" s="250" t="s">
        <v>344</v>
      </c>
      <c r="D203" s="412"/>
      <c r="E203" s="412"/>
      <c r="F203" s="412"/>
      <c r="G203" s="412"/>
      <c r="H203" s="411"/>
      <c r="I203" s="411"/>
      <c r="J203" s="410"/>
      <c r="K203" s="411"/>
      <c r="L203" s="195"/>
    </row>
    <row r="204" spans="1:12">
      <c r="A204" s="40"/>
      <c r="B204" s="251" t="s">
        <v>345</v>
      </c>
      <c r="C204" s="249" t="s">
        <v>346</v>
      </c>
      <c r="D204" s="411"/>
      <c r="E204" s="410"/>
      <c r="F204" s="27"/>
      <c r="G204" s="870"/>
      <c r="H204" s="870"/>
      <c r="I204" s="421"/>
      <c r="J204" s="194"/>
      <c r="K204" s="870"/>
      <c r="L204" s="871"/>
    </row>
    <row r="205" spans="1:12">
      <c r="A205" s="40"/>
      <c r="B205" s="252" t="s">
        <v>347</v>
      </c>
      <c r="C205" s="872" t="s">
        <v>348</v>
      </c>
      <c r="D205" s="872"/>
      <c r="E205" s="872"/>
      <c r="F205" s="872"/>
      <c r="G205" s="872"/>
      <c r="H205" s="872"/>
      <c r="I205" s="872"/>
      <c r="J205" s="872"/>
      <c r="K205" s="872"/>
      <c r="L205" s="873"/>
    </row>
    <row r="206" spans="1:12">
      <c r="A206" s="40"/>
      <c r="B206" s="251" t="s">
        <v>349</v>
      </c>
      <c r="C206" s="250" t="s">
        <v>350</v>
      </c>
      <c r="D206" s="242"/>
      <c r="E206" s="242"/>
      <c r="F206" s="242"/>
      <c r="G206" s="242"/>
      <c r="H206" s="242"/>
      <c r="I206" s="242"/>
      <c r="J206" s="242"/>
      <c r="K206" s="242"/>
      <c r="L206" s="263"/>
    </row>
    <row r="207" spans="1:12">
      <c r="A207" s="40"/>
      <c r="B207" s="193"/>
      <c r="C207" s="192" t="s">
        <v>351</v>
      </c>
      <c r="D207" s="303">
        <f>'0422Master'!N15</f>
        <v>44181</v>
      </c>
      <c r="E207" s="185"/>
      <c r="F207" s="185"/>
      <c r="G207" s="185"/>
      <c r="H207" s="27"/>
      <c r="I207" s="27"/>
      <c r="J207" s="27"/>
      <c r="K207" s="27"/>
      <c r="L207" s="41"/>
    </row>
    <row r="208" spans="1:12">
      <c r="A208" s="40"/>
      <c r="B208" s="27"/>
      <c r="C208" s="192" t="s">
        <v>352</v>
      </c>
      <c r="D208" s="27" t="s">
        <v>273</v>
      </c>
      <c r="E208" s="27"/>
      <c r="F208" s="27"/>
      <c r="G208" s="27"/>
      <c r="H208" s="27"/>
      <c r="I208" s="27"/>
      <c r="J208" s="27" t="s">
        <v>353</v>
      </c>
      <c r="K208" s="27"/>
      <c r="L208" s="41"/>
    </row>
    <row r="209" spans="1:12">
      <c r="A209" s="40"/>
      <c r="B209" s="27"/>
      <c r="C209" s="27"/>
      <c r="D209" s="27"/>
      <c r="E209" s="27"/>
      <c r="F209" s="27"/>
      <c r="G209" s="27"/>
      <c r="H209" s="27"/>
      <c r="I209" s="27"/>
      <c r="J209" s="27"/>
      <c r="K209" s="27"/>
      <c r="L209" s="41"/>
    </row>
    <row r="210" spans="1:12">
      <c r="A210" s="40"/>
      <c r="B210" s="27"/>
      <c r="C210" s="27"/>
      <c r="D210" s="27"/>
      <c r="E210" s="27"/>
      <c r="F210" s="240" t="s">
        <v>354</v>
      </c>
      <c r="G210" s="27"/>
      <c r="H210" s="27"/>
      <c r="I210" s="27"/>
      <c r="J210" s="27"/>
      <c r="K210" s="27"/>
      <c r="L210" s="41"/>
    </row>
    <row r="211" spans="1:12">
      <c r="A211" s="40" t="s">
        <v>355</v>
      </c>
      <c r="B211" s="27" t="s">
        <v>356</v>
      </c>
      <c r="C211" s="27"/>
      <c r="D211" s="27"/>
      <c r="E211" s="243" t="str">
        <f>'0422Master'!B15</f>
        <v>Vipin U.N</v>
      </c>
      <c r="F211" s="27"/>
      <c r="G211" s="27"/>
      <c r="H211" s="874" t="s">
        <v>357</v>
      </c>
      <c r="I211" s="874"/>
      <c r="J211" s="244">
        <f>'0422Master'!N15</f>
        <v>44181</v>
      </c>
      <c r="K211" s="27" t="s">
        <v>358</v>
      </c>
      <c r="L211" s="41"/>
    </row>
    <row r="212" spans="1:12">
      <c r="A212" s="40"/>
      <c r="B212" s="875">
        <f>'0422Master'!S15</f>
        <v>101329723141</v>
      </c>
      <c r="C212" s="876"/>
      <c r="D212" s="241"/>
      <c r="E212" s="241"/>
      <c r="F212" s="241"/>
      <c r="G212" s="241"/>
      <c r="H212" s="241"/>
      <c r="I212" s="241"/>
      <c r="J212" s="241"/>
      <c r="K212" s="241"/>
      <c r="L212" s="264"/>
    </row>
    <row r="213" spans="1:12">
      <c r="A213" s="40" t="s">
        <v>359</v>
      </c>
      <c r="B213" s="241" t="s">
        <v>360</v>
      </c>
      <c r="C213" s="241"/>
      <c r="D213" s="241"/>
      <c r="E213" s="241"/>
      <c r="F213" s="241"/>
      <c r="G213" s="241"/>
      <c r="H213" s="241"/>
      <c r="I213" s="241"/>
      <c r="J213" s="241"/>
      <c r="K213" s="241"/>
      <c r="L213" s="264"/>
    </row>
    <row r="214" spans="1:12">
      <c r="A214" s="40"/>
      <c r="B214" s="241" t="s">
        <v>361</v>
      </c>
      <c r="C214" s="241"/>
      <c r="D214" s="241"/>
      <c r="E214" s="241"/>
      <c r="F214" s="241"/>
      <c r="G214" s="241"/>
      <c r="H214" s="241"/>
      <c r="I214" s="241"/>
      <c r="J214" s="241"/>
      <c r="K214" s="241"/>
      <c r="L214" s="264"/>
    </row>
    <row r="215" spans="1:12" ht="27.95" customHeight="1">
      <c r="A215" s="260"/>
      <c r="B215" s="27" t="s">
        <v>362</v>
      </c>
      <c r="C215" s="27"/>
      <c r="D215" s="27"/>
      <c r="E215" s="27"/>
      <c r="F215" s="27"/>
      <c r="G215" s="27"/>
      <c r="H215" s="27"/>
      <c r="I215" s="27"/>
      <c r="J215" s="27"/>
      <c r="K215" s="27"/>
      <c r="L215" s="41"/>
    </row>
    <row r="216" spans="1:12" ht="27.95" customHeight="1">
      <c r="A216" s="40"/>
      <c r="B216" s="185" t="s">
        <v>363</v>
      </c>
      <c r="C216" s="27"/>
      <c r="D216" s="27"/>
      <c r="E216" s="27"/>
      <c r="F216" s="190"/>
      <c r="G216" s="27"/>
      <c r="H216" s="27"/>
      <c r="I216" s="27"/>
      <c r="J216" s="27"/>
      <c r="K216" s="27"/>
      <c r="L216" s="41"/>
    </row>
    <row r="217" spans="1:12" ht="27.95" customHeight="1">
      <c r="A217" s="40"/>
      <c r="B217" s="185" t="s">
        <v>364</v>
      </c>
      <c r="C217" s="27"/>
      <c r="D217" s="27"/>
      <c r="E217" s="27"/>
      <c r="F217" s="27"/>
      <c r="G217" s="27"/>
      <c r="H217" s="27"/>
      <c r="I217" s="27"/>
      <c r="J217" s="27"/>
      <c r="K217" s="27"/>
      <c r="L217" s="41"/>
    </row>
    <row r="218" spans="1:12" ht="27.95" customHeight="1">
      <c r="A218" s="40"/>
      <c r="B218" s="27" t="s">
        <v>365</v>
      </c>
      <c r="C218" s="27"/>
      <c r="D218" s="27"/>
      <c r="E218" s="27"/>
      <c r="F218" s="27"/>
      <c r="G218" s="27"/>
      <c r="H218" s="27"/>
      <c r="I218" s="27"/>
      <c r="J218" s="27"/>
      <c r="K218" s="27"/>
      <c r="L218" s="41"/>
    </row>
    <row r="219" spans="1:12" ht="27.95" customHeight="1">
      <c r="A219" s="40"/>
      <c r="B219" s="27" t="s">
        <v>366</v>
      </c>
      <c r="C219" s="27"/>
      <c r="D219" s="27"/>
      <c r="E219" s="27"/>
      <c r="F219" s="27"/>
      <c r="G219" s="27"/>
      <c r="H219" s="27"/>
      <c r="I219" s="27"/>
      <c r="J219" s="27"/>
      <c r="K219" s="27"/>
      <c r="L219" s="41"/>
    </row>
    <row r="220" spans="1:12" ht="27.95" customHeight="1">
      <c r="A220" s="40" t="s">
        <v>327</v>
      </c>
      <c r="B220" s="27" t="s">
        <v>367</v>
      </c>
      <c r="C220" s="27"/>
      <c r="D220" s="27"/>
      <c r="E220" s="27"/>
      <c r="F220" s="27"/>
      <c r="G220" s="27"/>
      <c r="H220" s="27"/>
      <c r="I220" s="27"/>
      <c r="J220" s="27"/>
      <c r="K220" s="27"/>
      <c r="L220" s="41"/>
    </row>
    <row r="221" spans="1:12" ht="27.95" customHeight="1">
      <c r="A221" s="40"/>
      <c r="B221" s="253" t="s">
        <v>368</v>
      </c>
      <c r="C221" s="27"/>
      <c r="D221" s="27"/>
      <c r="E221" s="27"/>
      <c r="F221" s="27"/>
      <c r="G221" s="27"/>
      <c r="H221" s="27"/>
      <c r="I221" s="27"/>
      <c r="J221" s="27"/>
      <c r="K221" s="27"/>
      <c r="L221" s="41"/>
    </row>
    <row r="222" spans="1:12" ht="27.95" customHeight="1">
      <c r="A222" s="40"/>
      <c r="B222" s="27" t="s">
        <v>362</v>
      </c>
      <c r="C222" s="27"/>
      <c r="D222" s="27"/>
      <c r="E222" s="27"/>
      <c r="F222" s="27"/>
      <c r="G222" s="27"/>
      <c r="H222" s="27"/>
      <c r="I222" s="27"/>
      <c r="J222" s="27"/>
      <c r="K222" s="27"/>
      <c r="L222" s="41"/>
    </row>
    <row r="223" spans="1:12" ht="27.95" customHeight="1">
      <c r="A223" s="40"/>
      <c r="B223" s="27" t="s">
        <v>369</v>
      </c>
      <c r="C223" s="27"/>
      <c r="D223" s="27"/>
      <c r="E223" s="27"/>
      <c r="F223" s="192"/>
      <c r="G223" s="192"/>
      <c r="H223" s="192"/>
      <c r="I223" s="192"/>
      <c r="J223" s="192"/>
      <c r="K223" s="192"/>
      <c r="L223" s="41"/>
    </row>
    <row r="224" spans="1:12" ht="27.95" customHeight="1">
      <c r="A224" s="40"/>
      <c r="B224" s="27" t="s">
        <v>370</v>
      </c>
      <c r="C224" s="27"/>
      <c r="D224" s="27"/>
      <c r="E224" s="27"/>
      <c r="F224" s="27"/>
      <c r="G224" s="27"/>
      <c r="H224" s="27"/>
      <c r="I224" s="27"/>
      <c r="J224" s="27"/>
      <c r="K224" s="27"/>
      <c r="L224" s="41"/>
    </row>
    <row r="225" spans="1:12" ht="27.95" customHeight="1">
      <c r="A225" s="40"/>
      <c r="B225" s="877" t="s">
        <v>371</v>
      </c>
      <c r="C225" s="877"/>
      <c r="D225" s="877"/>
      <c r="E225" s="877"/>
      <c r="F225" s="877"/>
      <c r="G225" s="877"/>
      <c r="H225" s="877"/>
      <c r="I225" s="877"/>
      <c r="J225" s="877"/>
      <c r="K225" s="877"/>
      <c r="L225" s="878"/>
    </row>
    <row r="226" spans="1:12" ht="27.95" customHeight="1">
      <c r="A226" s="40"/>
      <c r="B226" s="255" t="s">
        <v>274</v>
      </c>
      <c r="C226" s="301">
        <f>D207</f>
        <v>44181</v>
      </c>
      <c r="D226" s="223"/>
      <c r="E226" s="223"/>
      <c r="F226" s="223"/>
      <c r="G226" s="223"/>
      <c r="H226" s="223"/>
      <c r="I226" s="255" t="s">
        <v>372</v>
      </c>
      <c r="J226" s="223"/>
      <c r="K226" s="223"/>
      <c r="L226" s="254"/>
    </row>
    <row r="227" spans="1:12" ht="27.95" customHeight="1" thickBot="1">
      <c r="A227" s="54"/>
      <c r="B227" s="745"/>
      <c r="C227" s="745"/>
      <c r="D227" s="745"/>
      <c r="E227" s="745"/>
      <c r="F227" s="745"/>
      <c r="G227" s="745"/>
      <c r="H227" s="745"/>
      <c r="I227" s="745"/>
      <c r="J227" s="745"/>
      <c r="K227" s="745"/>
      <c r="L227" s="746"/>
    </row>
    <row r="228" spans="1:12" ht="27.95" customHeight="1">
      <c r="A228" s="96"/>
      <c r="B228" s="97"/>
      <c r="C228" s="97"/>
      <c r="D228" s="97"/>
      <c r="E228" s="97"/>
      <c r="F228" s="97"/>
      <c r="G228" s="97"/>
      <c r="H228" s="97"/>
      <c r="I228" s="106" t="s">
        <v>298</v>
      </c>
      <c r="J228" s="97"/>
      <c r="K228" s="97"/>
      <c r="L228" s="98"/>
    </row>
    <row r="229" spans="1:12" ht="27.95" customHeight="1">
      <c r="A229" s="40"/>
      <c r="B229" s="879" t="s">
        <v>299</v>
      </c>
      <c r="C229" s="879"/>
      <c r="D229" s="879"/>
      <c r="E229" s="879"/>
      <c r="F229" s="879"/>
      <c r="G229" s="879"/>
      <c r="H229" s="879"/>
      <c r="I229" s="879"/>
      <c r="J229" s="879"/>
      <c r="K229" s="879"/>
      <c r="L229" s="880"/>
    </row>
    <row r="230" spans="1:12" ht="27.95" customHeight="1">
      <c r="A230" s="40"/>
      <c r="B230" s="223"/>
      <c r="C230" s="223"/>
      <c r="D230" s="232" t="s">
        <v>300</v>
      </c>
      <c r="E230" s="223"/>
      <c r="F230" s="223"/>
      <c r="G230" s="223"/>
      <c r="H230" s="223"/>
      <c r="I230" s="226" t="s">
        <v>301</v>
      </c>
      <c r="J230" s="227"/>
      <c r="K230" s="302" t="e">
        <f>'0422Master'!#REF!</f>
        <v>#REF!</v>
      </c>
      <c r="L230" s="257"/>
    </row>
    <row r="231" spans="1:12" ht="27.95" customHeight="1">
      <c r="A231" s="40"/>
      <c r="B231" s="224"/>
      <c r="C231" s="224" t="s">
        <v>302</v>
      </c>
      <c r="D231" s="27"/>
      <c r="E231" s="224"/>
      <c r="F231" s="224"/>
      <c r="G231" s="224"/>
      <c r="H231" s="224"/>
      <c r="I231" s="225" t="s">
        <v>303</v>
      </c>
      <c r="J231" s="245" t="str">
        <f>'0422Master'!F5</f>
        <v>Burgeon IT Services Pvt.Ltd.</v>
      </c>
      <c r="K231" s="228"/>
      <c r="L231" s="258"/>
    </row>
    <row r="232" spans="1:12" ht="27.95" customHeight="1">
      <c r="A232" s="40"/>
      <c r="B232" s="233"/>
      <c r="C232" s="199" t="s">
        <v>304</v>
      </c>
      <c r="D232" s="27"/>
      <c r="E232" s="233"/>
      <c r="F232" s="233"/>
      <c r="G232" s="27"/>
      <c r="H232" s="200"/>
      <c r="I232" s="248" t="str">
        <f>'0422Master'!F6</f>
        <v>Siri Mansion LIGB 436 Dr.A S Rao Nagar,Hyderabad</v>
      </c>
      <c r="J232" s="246"/>
      <c r="K232" s="247"/>
      <c r="L232" s="211"/>
    </row>
    <row r="233" spans="1:12">
      <c r="A233" s="40"/>
      <c r="B233" s="27"/>
      <c r="C233" s="27"/>
      <c r="D233" s="27"/>
      <c r="E233" s="27"/>
      <c r="F233" s="27"/>
      <c r="G233" s="27"/>
      <c r="H233" s="27"/>
      <c r="I233" s="27"/>
      <c r="J233" s="27"/>
      <c r="K233" s="27"/>
      <c r="L233" s="41"/>
    </row>
    <row r="234" spans="1:12" ht="19.5" customHeight="1">
      <c r="A234" s="40">
        <v>1</v>
      </c>
      <c r="B234" s="229" t="s">
        <v>305</v>
      </c>
      <c r="C234" s="206"/>
      <c r="D234" s="206"/>
      <c r="E234" s="206"/>
      <c r="F234" s="206"/>
      <c r="G234" s="80"/>
      <c r="H234" s="838" t="e">
        <f>'0422Master'!#REF!</f>
        <v>#REF!</v>
      </c>
      <c r="I234" s="857"/>
      <c r="J234" s="857"/>
      <c r="K234" s="857"/>
      <c r="L234" s="858"/>
    </row>
    <row r="235" spans="1:12">
      <c r="A235" s="40">
        <v>2</v>
      </c>
      <c r="B235" s="881" t="s">
        <v>306</v>
      </c>
      <c r="C235" s="882"/>
      <c r="D235" s="882"/>
      <c r="E235" s="882"/>
      <c r="F235" s="230" t="s">
        <v>307</v>
      </c>
      <c r="G235" s="212"/>
      <c r="H235" s="883" t="e">
        <f>'0422Master'!#REF!</f>
        <v>#REF!</v>
      </c>
      <c r="I235" s="884"/>
      <c r="J235" s="884"/>
      <c r="K235" s="884"/>
      <c r="L235" s="885"/>
    </row>
    <row r="236" spans="1:12" ht="12" customHeight="1">
      <c r="A236" s="40"/>
      <c r="B236" s="213" t="s">
        <v>309</v>
      </c>
      <c r="C236" s="214"/>
      <c r="D236" s="214"/>
      <c r="E236" s="214"/>
      <c r="F236" s="214" t="s">
        <v>308</v>
      </c>
      <c r="G236" s="215"/>
      <c r="H236" s="886"/>
      <c r="I236" s="887"/>
      <c r="J236" s="887"/>
      <c r="K236" s="887"/>
      <c r="L236" s="888"/>
    </row>
    <row r="237" spans="1:12">
      <c r="A237" s="40">
        <v>3</v>
      </c>
      <c r="B237" s="231" t="s">
        <v>310</v>
      </c>
      <c r="C237" s="218"/>
      <c r="D237" s="218"/>
      <c r="E237" s="218"/>
      <c r="F237" s="218"/>
      <c r="G237" s="219"/>
      <c r="H237" s="861" t="e">
        <f>'0422Master'!#REF!</f>
        <v>#REF!</v>
      </c>
      <c r="I237" s="862"/>
      <c r="J237" s="862"/>
      <c r="K237" s="862"/>
      <c r="L237" s="863"/>
    </row>
    <row r="238" spans="1:12">
      <c r="A238" s="260">
        <v>4</v>
      </c>
      <c r="B238" s="205" t="s">
        <v>311</v>
      </c>
      <c r="C238" s="79"/>
      <c r="D238" s="79"/>
      <c r="E238" s="79"/>
      <c r="F238" s="79"/>
      <c r="G238" s="80"/>
      <c r="H238" s="835" t="e">
        <f>'0422Master'!#REF!</f>
        <v>#REF!</v>
      </c>
      <c r="I238" s="849"/>
      <c r="J238" s="849"/>
      <c r="K238" s="849"/>
      <c r="L238" s="843"/>
    </row>
    <row r="239" spans="1:12">
      <c r="A239" s="260">
        <v>5</v>
      </c>
      <c r="B239" s="864" t="s">
        <v>312</v>
      </c>
      <c r="C239" s="865"/>
      <c r="D239" s="865"/>
      <c r="E239" s="865"/>
      <c r="F239" s="865"/>
      <c r="G239" s="80"/>
      <c r="H239" s="856" t="s">
        <v>374</v>
      </c>
      <c r="I239" s="857"/>
      <c r="J239" s="857"/>
      <c r="K239" s="857"/>
      <c r="L239" s="858"/>
    </row>
    <row r="240" spans="1:12">
      <c r="A240" s="260">
        <v>6</v>
      </c>
      <c r="B240" s="420" t="s">
        <v>314</v>
      </c>
      <c r="C240" s="218" t="s">
        <v>315</v>
      </c>
      <c r="D240" s="218"/>
      <c r="E240" s="218"/>
      <c r="F240" s="218"/>
      <c r="G240" s="219"/>
      <c r="H240" s="231"/>
      <c r="I240" s="218"/>
      <c r="J240" s="218"/>
      <c r="K240" s="218"/>
      <c r="L240" s="259"/>
    </row>
    <row r="241" spans="1:12">
      <c r="A241" s="40"/>
      <c r="B241" s="420" t="s">
        <v>316</v>
      </c>
      <c r="C241" s="218" t="s">
        <v>317</v>
      </c>
      <c r="D241" s="218"/>
      <c r="E241" s="218"/>
      <c r="F241" s="218"/>
      <c r="G241" s="219"/>
      <c r="H241" s="231"/>
      <c r="I241" s="422"/>
      <c r="J241" s="422"/>
      <c r="K241" s="218"/>
      <c r="L241" s="259"/>
    </row>
    <row r="242" spans="1:12">
      <c r="A242" s="260">
        <v>7</v>
      </c>
      <c r="B242" s="861" t="s">
        <v>318</v>
      </c>
      <c r="C242" s="862"/>
      <c r="D242" s="862"/>
      <c r="E242" s="862"/>
      <c r="F242" s="862"/>
      <c r="G242" s="869"/>
      <c r="H242" s="480" t="s">
        <v>319</v>
      </c>
      <c r="I242" s="235"/>
      <c r="J242" s="236"/>
      <c r="K242" s="480" t="s">
        <v>320</v>
      </c>
      <c r="L242" s="261"/>
    </row>
    <row r="243" spans="1:12">
      <c r="A243" s="260">
        <v>8</v>
      </c>
      <c r="B243" s="861" t="s">
        <v>321</v>
      </c>
      <c r="C243" s="862"/>
      <c r="D243" s="862"/>
      <c r="E243" s="862"/>
      <c r="F243" s="862"/>
      <c r="G243" s="869"/>
      <c r="H243" s="480" t="s">
        <v>319</v>
      </c>
      <c r="I243" s="235"/>
      <c r="J243" s="236"/>
      <c r="K243" s="480" t="s">
        <v>320</v>
      </c>
      <c r="L243" s="261"/>
    </row>
    <row r="244" spans="1:12">
      <c r="A244" s="40"/>
      <c r="B244" s="205"/>
      <c r="C244" s="238"/>
      <c r="D244" s="238"/>
      <c r="E244" s="238"/>
      <c r="F244" s="238" t="s">
        <v>322</v>
      </c>
      <c r="G244" s="238"/>
      <c r="H244" s="238"/>
      <c r="I244" s="238"/>
      <c r="J244" s="238"/>
      <c r="K244" s="238"/>
      <c r="L244" s="262"/>
    </row>
    <row r="245" spans="1:12">
      <c r="A245" s="260">
        <v>9</v>
      </c>
      <c r="B245" s="420" t="s">
        <v>323</v>
      </c>
      <c r="C245" s="218" t="s">
        <v>324</v>
      </c>
      <c r="D245" s="218"/>
      <c r="E245" s="218"/>
      <c r="F245" s="218"/>
      <c r="G245" s="219"/>
      <c r="H245" s="231"/>
      <c r="I245" s="218"/>
      <c r="J245" s="218"/>
      <c r="K245" s="218"/>
      <c r="L245" s="259"/>
    </row>
    <row r="246" spans="1:12">
      <c r="A246" s="113"/>
      <c r="B246" s="420" t="s">
        <v>325</v>
      </c>
      <c r="C246" s="218" t="s">
        <v>326</v>
      </c>
      <c r="D246" s="218"/>
      <c r="E246" s="218"/>
      <c r="F246" s="218"/>
      <c r="G246" s="219"/>
      <c r="H246" s="231"/>
      <c r="I246" s="218"/>
      <c r="J246" s="218"/>
      <c r="K246" s="218"/>
      <c r="L246" s="259"/>
    </row>
    <row r="247" spans="1:12">
      <c r="A247" s="113"/>
      <c r="B247" s="420" t="s">
        <v>327</v>
      </c>
      <c r="C247" s="218" t="s">
        <v>328</v>
      </c>
      <c r="D247" s="218"/>
      <c r="E247" s="218"/>
      <c r="F247" s="218"/>
      <c r="G247" s="219"/>
      <c r="H247" s="231"/>
      <c r="I247" s="218"/>
      <c r="J247" s="218"/>
      <c r="K247" s="218"/>
      <c r="L247" s="259"/>
    </row>
    <row r="248" spans="1:12">
      <c r="A248" s="113"/>
      <c r="B248" s="420" t="s">
        <v>329</v>
      </c>
      <c r="C248" s="218" t="s">
        <v>330</v>
      </c>
      <c r="D248" s="218"/>
      <c r="E248" s="218"/>
      <c r="F248" s="218"/>
      <c r="G248" s="219"/>
      <c r="H248" s="231"/>
      <c r="I248" s="218"/>
      <c r="J248" s="218"/>
      <c r="K248" s="218"/>
      <c r="L248" s="259"/>
    </row>
    <row r="249" spans="1:12">
      <c r="A249" s="113"/>
      <c r="B249" s="420" t="s">
        <v>331</v>
      </c>
      <c r="C249" s="218" t="s">
        <v>332</v>
      </c>
      <c r="D249" s="218"/>
      <c r="E249" s="218"/>
      <c r="F249" s="218"/>
      <c r="G249" s="219"/>
      <c r="H249" s="231"/>
      <c r="I249" s="218"/>
      <c r="J249" s="218"/>
      <c r="K249" s="218"/>
      <c r="L249" s="259"/>
    </row>
    <row r="250" spans="1:12">
      <c r="A250" s="113">
        <v>10</v>
      </c>
      <c r="B250" s="420" t="s">
        <v>323</v>
      </c>
      <c r="C250" s="218" t="s">
        <v>333</v>
      </c>
      <c r="D250" s="218"/>
      <c r="E250" s="218"/>
      <c r="F250" s="218"/>
      <c r="G250" s="219"/>
      <c r="H250" s="480" t="s">
        <v>319</v>
      </c>
      <c r="I250" s="235"/>
      <c r="J250" s="236"/>
      <c r="K250" s="480" t="s">
        <v>320</v>
      </c>
      <c r="L250" s="261"/>
    </row>
    <row r="251" spans="1:12">
      <c r="A251" s="113"/>
      <c r="B251" s="420" t="s">
        <v>325</v>
      </c>
      <c r="C251" s="218" t="s">
        <v>334</v>
      </c>
      <c r="D251" s="218"/>
      <c r="E251" s="218"/>
      <c r="F251" s="218"/>
      <c r="G251" s="219"/>
      <c r="H251" s="231"/>
      <c r="I251" s="218"/>
      <c r="J251" s="218"/>
      <c r="K251" s="218"/>
      <c r="L251" s="259"/>
    </row>
    <row r="252" spans="1:12">
      <c r="A252" s="113"/>
      <c r="B252" s="420" t="s">
        <v>327</v>
      </c>
      <c r="C252" s="218" t="s">
        <v>335</v>
      </c>
      <c r="D252" s="218"/>
      <c r="E252" s="218"/>
      <c r="F252" s="218"/>
      <c r="G252" s="219"/>
      <c r="H252" s="231"/>
      <c r="I252" s="218"/>
      <c r="J252" s="218"/>
      <c r="K252" s="218"/>
      <c r="L252" s="259"/>
    </row>
    <row r="253" spans="1:12">
      <c r="A253" s="113"/>
      <c r="B253" s="420" t="s">
        <v>329</v>
      </c>
      <c r="C253" s="218" t="s">
        <v>336</v>
      </c>
      <c r="D253" s="218"/>
      <c r="E253" s="218"/>
      <c r="F253" s="218"/>
      <c r="G253" s="219"/>
      <c r="H253" s="231"/>
      <c r="I253" s="218"/>
      <c r="J253" s="218"/>
      <c r="K253" s="218"/>
      <c r="L253" s="259"/>
    </row>
    <row r="254" spans="1:12">
      <c r="A254" s="40"/>
      <c r="B254" s="205"/>
      <c r="C254" s="238"/>
      <c r="D254" s="238"/>
      <c r="E254" s="238" t="s">
        <v>337</v>
      </c>
      <c r="F254" s="238"/>
      <c r="G254" s="238"/>
      <c r="H254" s="238"/>
      <c r="I254" s="238"/>
      <c r="J254" s="238"/>
      <c r="K254" s="238"/>
      <c r="L254" s="262"/>
    </row>
    <row r="255" spans="1:12">
      <c r="A255" s="40">
        <v>11</v>
      </c>
      <c r="B255" s="420" t="s">
        <v>323</v>
      </c>
      <c r="C255" s="218" t="s">
        <v>338</v>
      </c>
      <c r="D255" s="218"/>
      <c r="E255" s="218"/>
      <c r="F255" s="218"/>
      <c r="G255" s="219"/>
      <c r="H255" s="231"/>
      <c r="I255" s="218"/>
      <c r="J255" s="218"/>
      <c r="K255" s="218"/>
      <c r="L255" s="259"/>
    </row>
    <row r="256" spans="1:12">
      <c r="A256" s="40"/>
      <c r="B256" s="420" t="s">
        <v>325</v>
      </c>
      <c r="C256" s="218" t="s">
        <v>339</v>
      </c>
      <c r="D256" s="218"/>
      <c r="E256" s="218"/>
      <c r="F256" s="218"/>
      <c r="G256" s="219"/>
      <c r="H256" s="231"/>
      <c r="I256" s="218"/>
      <c r="J256" s="218"/>
      <c r="K256" s="218"/>
      <c r="L256" s="259"/>
    </row>
    <row r="257" spans="1:12">
      <c r="A257" s="40"/>
      <c r="B257" s="420" t="s">
        <v>340</v>
      </c>
      <c r="C257" s="218" t="s">
        <v>341</v>
      </c>
      <c r="D257" s="218"/>
      <c r="E257" s="218"/>
      <c r="F257" s="218"/>
      <c r="G257" s="219"/>
      <c r="H257" s="231"/>
      <c r="I257" s="218"/>
      <c r="J257" s="218"/>
      <c r="K257" s="218"/>
      <c r="L257" s="259"/>
    </row>
    <row r="258" spans="1:12">
      <c r="A258" s="40"/>
      <c r="B258" s="193"/>
      <c r="C258" s="412"/>
      <c r="D258" s="412"/>
      <c r="E258" s="412"/>
      <c r="F258" s="239" t="s">
        <v>342</v>
      </c>
      <c r="G258" s="412"/>
      <c r="H258" s="411"/>
      <c r="I258" s="411"/>
      <c r="J258" s="411"/>
      <c r="K258" s="411"/>
      <c r="L258" s="195"/>
    </row>
    <row r="259" spans="1:12">
      <c r="A259" s="40"/>
      <c r="B259" s="251" t="s">
        <v>343</v>
      </c>
      <c r="C259" s="250" t="s">
        <v>344</v>
      </c>
      <c r="D259" s="412"/>
      <c r="E259" s="412"/>
      <c r="F259" s="412"/>
      <c r="G259" s="412"/>
      <c r="H259" s="411"/>
      <c r="I259" s="411"/>
      <c r="J259" s="410"/>
      <c r="K259" s="411"/>
      <c r="L259" s="195"/>
    </row>
    <row r="260" spans="1:12">
      <c r="A260" s="40"/>
      <c r="B260" s="251" t="s">
        <v>345</v>
      </c>
      <c r="C260" s="249" t="s">
        <v>346</v>
      </c>
      <c r="D260" s="411"/>
      <c r="E260" s="410"/>
      <c r="F260" s="27"/>
      <c r="G260" s="870"/>
      <c r="H260" s="870"/>
      <c r="I260" s="421"/>
      <c r="J260" s="194"/>
      <c r="K260" s="870"/>
      <c r="L260" s="871"/>
    </row>
    <row r="261" spans="1:12">
      <c r="A261" s="40"/>
      <c r="B261" s="252" t="s">
        <v>347</v>
      </c>
      <c r="C261" s="872" t="s">
        <v>348</v>
      </c>
      <c r="D261" s="872"/>
      <c r="E261" s="872"/>
      <c r="F261" s="872"/>
      <c r="G261" s="872"/>
      <c r="H261" s="872"/>
      <c r="I261" s="872"/>
      <c r="J261" s="872"/>
      <c r="K261" s="872"/>
      <c r="L261" s="873"/>
    </row>
    <row r="262" spans="1:12">
      <c r="A262" s="40"/>
      <c r="B262" s="251" t="s">
        <v>349</v>
      </c>
      <c r="C262" s="250" t="s">
        <v>350</v>
      </c>
      <c r="D262" s="242"/>
      <c r="E262" s="242"/>
      <c r="F262" s="242"/>
      <c r="G262" s="242"/>
      <c r="H262" s="242"/>
      <c r="I262" s="242"/>
      <c r="J262" s="242"/>
      <c r="K262" s="242"/>
      <c r="L262" s="263"/>
    </row>
    <row r="263" spans="1:12">
      <c r="A263" s="40"/>
      <c r="B263" s="193"/>
      <c r="C263" s="192" t="s">
        <v>351</v>
      </c>
      <c r="D263" s="303" t="e">
        <f>'0422Master'!#REF!</f>
        <v>#REF!</v>
      </c>
      <c r="E263" s="185"/>
      <c r="F263" s="185"/>
      <c r="G263" s="185"/>
      <c r="H263" s="27"/>
      <c r="I263" s="27"/>
      <c r="J263" s="27"/>
      <c r="K263" s="27"/>
      <c r="L263" s="41"/>
    </row>
    <row r="264" spans="1:12">
      <c r="A264" s="40"/>
      <c r="B264" s="27"/>
      <c r="C264" s="192" t="s">
        <v>352</v>
      </c>
      <c r="D264" s="27" t="s">
        <v>273</v>
      </c>
      <c r="E264" s="27"/>
      <c r="F264" s="27"/>
      <c r="G264" s="27"/>
      <c r="H264" s="27"/>
      <c r="I264" s="27"/>
      <c r="J264" s="27" t="s">
        <v>353</v>
      </c>
      <c r="K264" s="27"/>
      <c r="L264" s="41"/>
    </row>
    <row r="265" spans="1:12">
      <c r="A265" s="40"/>
      <c r="B265" s="27"/>
      <c r="C265" s="27"/>
      <c r="D265" s="27"/>
      <c r="E265" s="27"/>
      <c r="F265" s="27"/>
      <c r="G265" s="27"/>
      <c r="H265" s="27"/>
      <c r="I265" s="27"/>
      <c r="J265" s="27"/>
      <c r="K265" s="27"/>
      <c r="L265" s="41"/>
    </row>
    <row r="266" spans="1:12">
      <c r="A266" s="40"/>
      <c r="B266" s="27"/>
      <c r="C266" s="27"/>
      <c r="D266" s="27"/>
      <c r="E266" s="27"/>
      <c r="F266" s="240" t="s">
        <v>354</v>
      </c>
      <c r="G266" s="27"/>
      <c r="H266" s="27"/>
      <c r="I266" s="27"/>
      <c r="J266" s="27"/>
      <c r="K266" s="27"/>
      <c r="L266" s="41"/>
    </row>
    <row r="267" spans="1:12">
      <c r="A267" s="40" t="s">
        <v>355</v>
      </c>
      <c r="B267" s="27" t="s">
        <v>356</v>
      </c>
      <c r="C267" s="27"/>
      <c r="D267" s="27"/>
      <c r="E267" s="243" t="e">
        <f>'0422Master'!#REF!</f>
        <v>#REF!</v>
      </c>
      <c r="F267" s="27"/>
      <c r="G267" s="27"/>
      <c r="H267" s="874" t="s">
        <v>357</v>
      </c>
      <c r="I267" s="874"/>
      <c r="J267" s="244" t="e">
        <f>'0422Master'!#REF!</f>
        <v>#REF!</v>
      </c>
      <c r="K267" s="27" t="s">
        <v>358</v>
      </c>
      <c r="L267" s="41"/>
    </row>
    <row r="268" spans="1:12" ht="24" customHeight="1">
      <c r="A268" s="40"/>
      <c r="B268" s="875" t="e">
        <f>'0422Master'!#REF!</f>
        <v>#REF!</v>
      </c>
      <c r="C268" s="876"/>
      <c r="D268" s="241"/>
      <c r="E268" s="241"/>
      <c r="F268" s="241"/>
      <c r="G268" s="241"/>
      <c r="H268" s="241"/>
      <c r="I268" s="241"/>
      <c r="J268" s="241"/>
      <c r="K268" s="241"/>
      <c r="L268" s="264"/>
    </row>
    <row r="269" spans="1:12" ht="24" customHeight="1">
      <c r="A269" s="40" t="s">
        <v>359</v>
      </c>
      <c r="B269" s="241" t="s">
        <v>360</v>
      </c>
      <c r="C269" s="241"/>
      <c r="D269" s="241"/>
      <c r="E269" s="241"/>
      <c r="F269" s="241"/>
      <c r="G269" s="241"/>
      <c r="H269" s="241"/>
      <c r="I269" s="241"/>
      <c r="J269" s="241"/>
      <c r="K269" s="241"/>
      <c r="L269" s="264"/>
    </row>
    <row r="270" spans="1:12" ht="23.25" customHeight="1">
      <c r="A270" s="40"/>
      <c r="B270" s="241" t="s">
        <v>361</v>
      </c>
      <c r="C270" s="241"/>
      <c r="D270" s="241"/>
      <c r="E270" s="241"/>
      <c r="F270" s="241"/>
      <c r="G270" s="241"/>
      <c r="H270" s="241"/>
      <c r="I270" s="241"/>
      <c r="J270" s="241"/>
      <c r="K270" s="241"/>
      <c r="L270" s="264"/>
    </row>
    <row r="271" spans="1:12" ht="21.75" customHeight="1">
      <c r="A271" s="260"/>
      <c r="B271" s="27" t="s">
        <v>362</v>
      </c>
      <c r="C271" s="27"/>
      <c r="D271" s="27"/>
      <c r="E271" s="27"/>
      <c r="F271" s="27"/>
      <c r="G271" s="27"/>
      <c r="H271" s="27"/>
      <c r="I271" s="27"/>
      <c r="J271" s="27"/>
      <c r="K271" s="27"/>
      <c r="L271" s="41"/>
    </row>
    <row r="272" spans="1:12" ht="27.95" customHeight="1">
      <c r="A272" s="40"/>
      <c r="B272" s="185" t="s">
        <v>363</v>
      </c>
      <c r="C272" s="27"/>
      <c r="D272" s="27"/>
      <c r="E272" s="27"/>
      <c r="F272" s="190"/>
      <c r="G272" s="27"/>
      <c r="H272" s="27"/>
      <c r="I272" s="27"/>
      <c r="J272" s="27"/>
      <c r="K272" s="27"/>
      <c r="L272" s="41"/>
    </row>
    <row r="273" spans="1:12" ht="21" customHeight="1">
      <c r="A273" s="40"/>
      <c r="B273" s="185" t="s">
        <v>364</v>
      </c>
      <c r="C273" s="27"/>
      <c r="D273" s="27"/>
      <c r="E273" s="27"/>
      <c r="F273" s="27"/>
      <c r="G273" s="27"/>
      <c r="H273" s="27"/>
      <c r="I273" s="27"/>
      <c r="J273" s="27"/>
      <c r="K273" s="27"/>
      <c r="L273" s="41"/>
    </row>
    <row r="274" spans="1:12" ht="27.95" customHeight="1">
      <c r="A274" s="40"/>
      <c r="B274" s="27" t="s">
        <v>365</v>
      </c>
      <c r="C274" s="27"/>
      <c r="D274" s="27"/>
      <c r="E274" s="27"/>
      <c r="F274" s="27"/>
      <c r="G274" s="27"/>
      <c r="H274" s="27"/>
      <c r="I274" s="27"/>
      <c r="J274" s="27"/>
      <c r="K274" s="27"/>
      <c r="L274" s="41"/>
    </row>
    <row r="275" spans="1:12" ht="27.95" customHeight="1">
      <c r="A275" s="40"/>
      <c r="B275" s="27" t="s">
        <v>366</v>
      </c>
      <c r="C275" s="27"/>
      <c r="D275" s="27"/>
      <c r="E275" s="27"/>
      <c r="F275" s="27"/>
      <c r="G275" s="27"/>
      <c r="H275" s="27"/>
      <c r="I275" s="27"/>
      <c r="J275" s="27"/>
      <c r="K275" s="27"/>
      <c r="L275" s="41"/>
    </row>
    <row r="276" spans="1:12" ht="27.95" customHeight="1">
      <c r="A276" s="40" t="s">
        <v>327</v>
      </c>
      <c r="B276" s="27" t="s">
        <v>367</v>
      </c>
      <c r="C276" s="27"/>
      <c r="D276" s="27"/>
      <c r="E276" s="27"/>
      <c r="F276" s="27"/>
      <c r="G276" s="27"/>
      <c r="H276" s="27"/>
      <c r="I276" s="27"/>
      <c r="J276" s="27"/>
      <c r="K276" s="27"/>
      <c r="L276" s="41"/>
    </row>
    <row r="277" spans="1:12" ht="27.95" customHeight="1">
      <c r="A277" s="40"/>
      <c r="B277" s="253" t="s">
        <v>368</v>
      </c>
      <c r="C277" s="27"/>
      <c r="D277" s="27"/>
      <c r="E277" s="27"/>
      <c r="F277" s="27"/>
      <c r="G277" s="27"/>
      <c r="H277" s="27"/>
      <c r="I277" s="27"/>
      <c r="J277" s="27"/>
      <c r="K277" s="27"/>
      <c r="L277" s="41"/>
    </row>
    <row r="278" spans="1:12" ht="27.95" customHeight="1">
      <c r="A278" s="40"/>
      <c r="B278" s="27" t="s">
        <v>362</v>
      </c>
      <c r="C278" s="27"/>
      <c r="D278" s="27"/>
      <c r="E278" s="27"/>
      <c r="F278" s="27"/>
      <c r="G278" s="27"/>
      <c r="H278" s="27"/>
      <c r="I278" s="27"/>
      <c r="J278" s="27"/>
      <c r="K278" s="27"/>
      <c r="L278" s="41"/>
    </row>
    <row r="279" spans="1:12" ht="19.5" customHeight="1">
      <c r="A279" s="40"/>
      <c r="B279" s="27" t="s">
        <v>369</v>
      </c>
      <c r="C279" s="27"/>
      <c r="D279" s="27"/>
      <c r="E279" s="27"/>
      <c r="F279" s="192"/>
      <c r="G279" s="192"/>
      <c r="H279" s="192"/>
      <c r="I279" s="192"/>
      <c r="J279" s="192"/>
      <c r="K279" s="192"/>
      <c r="L279" s="41"/>
    </row>
    <row r="280" spans="1:12" ht="21.75" customHeight="1">
      <c r="A280" s="40"/>
      <c r="B280" s="27" t="s">
        <v>370</v>
      </c>
      <c r="C280" s="27"/>
      <c r="D280" s="27"/>
      <c r="E280" s="27"/>
      <c r="F280" s="27"/>
      <c r="G280" s="27"/>
      <c r="H280" s="27"/>
      <c r="I280" s="27"/>
      <c r="J280" s="27"/>
      <c r="K280" s="27"/>
      <c r="L280" s="41"/>
    </row>
    <row r="281" spans="1:12" ht="18.75" customHeight="1">
      <c r="A281" s="40"/>
      <c r="B281" s="877" t="s">
        <v>371</v>
      </c>
      <c r="C281" s="877"/>
      <c r="D281" s="877"/>
      <c r="E281" s="877"/>
      <c r="F281" s="877"/>
      <c r="G281" s="877"/>
      <c r="H281" s="877"/>
      <c r="I281" s="877"/>
      <c r="J281" s="877"/>
      <c r="K281" s="877"/>
      <c r="L281" s="878"/>
    </row>
    <row r="282" spans="1:12" ht="27.95" customHeight="1">
      <c r="A282" s="40"/>
      <c r="B282" s="255" t="s">
        <v>274</v>
      </c>
      <c r="C282" s="301" t="e">
        <f>'0422Master'!#REF!</f>
        <v>#REF!</v>
      </c>
      <c r="D282" s="223"/>
      <c r="E282" s="223"/>
      <c r="F282" s="223"/>
      <c r="G282" s="223"/>
      <c r="H282" s="223"/>
      <c r="I282" s="255" t="s">
        <v>372</v>
      </c>
      <c r="J282" s="223"/>
      <c r="K282" s="223"/>
      <c r="L282" s="254"/>
    </row>
    <row r="283" spans="1:12" ht="27.95" customHeight="1" thickBot="1">
      <c r="A283" s="54"/>
      <c r="B283" s="745"/>
      <c r="C283" s="745"/>
      <c r="D283" s="745"/>
      <c r="E283" s="745"/>
      <c r="F283" s="745"/>
      <c r="G283" s="745"/>
      <c r="H283" s="745"/>
      <c r="I283" s="745"/>
      <c r="J283" s="745"/>
      <c r="K283" s="745"/>
      <c r="L283" s="746"/>
    </row>
    <row r="284" spans="1:12" ht="27.95" customHeight="1">
      <c r="A284" s="96"/>
      <c r="B284" s="97"/>
      <c r="C284" s="97"/>
      <c r="D284" s="97"/>
      <c r="E284" s="97"/>
      <c r="F284" s="97"/>
      <c r="G284" s="97"/>
      <c r="H284" s="97"/>
      <c r="I284" s="106" t="s">
        <v>298</v>
      </c>
      <c r="J284" s="97"/>
      <c r="K284" s="97"/>
      <c r="L284" s="98"/>
    </row>
    <row r="285" spans="1:12" ht="27.95" customHeight="1">
      <c r="A285" s="40"/>
      <c r="B285" s="879" t="s">
        <v>299</v>
      </c>
      <c r="C285" s="879"/>
      <c r="D285" s="879"/>
      <c r="E285" s="879"/>
      <c r="F285" s="879"/>
      <c r="G285" s="879"/>
      <c r="H285" s="879"/>
      <c r="I285" s="879"/>
      <c r="J285" s="879"/>
      <c r="K285" s="879"/>
      <c r="L285" s="880"/>
    </row>
    <row r="286" spans="1:12" ht="23.25">
      <c r="A286" s="40"/>
      <c r="B286" s="223"/>
      <c r="C286" s="223"/>
      <c r="D286" s="232" t="s">
        <v>300</v>
      </c>
      <c r="E286" s="223"/>
      <c r="F286" s="223"/>
      <c r="G286" s="223"/>
      <c r="H286" s="223"/>
      <c r="I286" s="226" t="s">
        <v>301</v>
      </c>
      <c r="J286" s="227"/>
      <c r="K286" s="302" t="e">
        <f>'0422Master'!#REF!</f>
        <v>#REF!</v>
      </c>
      <c r="L286" s="257"/>
    </row>
    <row r="287" spans="1:12" ht="15.75">
      <c r="A287" s="40"/>
      <c r="B287" s="224"/>
      <c r="C287" s="224" t="s">
        <v>302</v>
      </c>
      <c r="D287" s="27"/>
      <c r="E287" s="224"/>
      <c r="F287" s="224"/>
      <c r="G287" s="224"/>
      <c r="H287" s="224"/>
      <c r="I287" s="225" t="s">
        <v>303</v>
      </c>
      <c r="J287" s="245" t="str">
        <f>'0422Master'!F5</f>
        <v>Burgeon IT Services Pvt.Ltd.</v>
      </c>
      <c r="K287" s="228"/>
      <c r="L287" s="258"/>
    </row>
    <row r="288" spans="1:12">
      <c r="A288" s="40"/>
      <c r="B288" s="233"/>
      <c r="C288" s="199" t="s">
        <v>304</v>
      </c>
      <c r="D288" s="27"/>
      <c r="E288" s="233"/>
      <c r="F288" s="233"/>
      <c r="G288" s="27"/>
      <c r="H288" s="200"/>
      <c r="I288" s="248" t="str">
        <f>'0422Master'!F6</f>
        <v>Siri Mansion LIGB 436 Dr.A S Rao Nagar,Hyderabad</v>
      </c>
      <c r="J288" s="246"/>
      <c r="K288" s="247"/>
      <c r="L288" s="211"/>
    </row>
    <row r="289" spans="1:12">
      <c r="A289" s="40"/>
      <c r="B289" s="27"/>
      <c r="C289" s="27"/>
      <c r="D289" s="27"/>
      <c r="E289" s="27"/>
      <c r="F289" s="27"/>
      <c r="G289" s="27"/>
      <c r="H289" s="27"/>
      <c r="I289" s="27"/>
      <c r="J289" s="27"/>
      <c r="K289" s="27"/>
      <c r="L289" s="41"/>
    </row>
    <row r="290" spans="1:12">
      <c r="A290" s="40">
        <v>1</v>
      </c>
      <c r="B290" s="229" t="s">
        <v>305</v>
      </c>
      <c r="C290" s="206"/>
      <c r="D290" s="206"/>
      <c r="E290" s="206"/>
      <c r="F290" s="206"/>
      <c r="G290" s="80"/>
      <c r="H290" s="838" t="e">
        <f>'0422Master'!#REF!</f>
        <v>#REF!</v>
      </c>
      <c r="I290" s="857"/>
      <c r="J290" s="857"/>
      <c r="K290" s="857"/>
      <c r="L290" s="858"/>
    </row>
    <row r="291" spans="1:12">
      <c r="A291" s="40">
        <v>2</v>
      </c>
      <c r="B291" s="881" t="s">
        <v>306</v>
      </c>
      <c r="C291" s="882"/>
      <c r="D291" s="882"/>
      <c r="E291" s="882"/>
      <c r="F291" s="230" t="s">
        <v>307</v>
      </c>
      <c r="G291" s="212"/>
      <c r="H291" s="883" t="e">
        <f>'0422Master'!#REF!</f>
        <v>#REF!</v>
      </c>
      <c r="I291" s="884"/>
      <c r="J291" s="884"/>
      <c r="K291" s="884"/>
      <c r="L291" s="885"/>
    </row>
    <row r="292" spans="1:12">
      <c r="A292" s="40"/>
      <c r="B292" s="213" t="s">
        <v>309</v>
      </c>
      <c r="C292" s="214"/>
      <c r="D292" s="214"/>
      <c r="E292" s="214"/>
      <c r="F292" s="214" t="s">
        <v>308</v>
      </c>
      <c r="G292" s="215"/>
      <c r="H292" s="886"/>
      <c r="I292" s="887"/>
      <c r="J292" s="887"/>
      <c r="K292" s="887"/>
      <c r="L292" s="888"/>
    </row>
    <row r="293" spans="1:12">
      <c r="A293" s="40">
        <v>3</v>
      </c>
      <c r="B293" s="231" t="s">
        <v>310</v>
      </c>
      <c r="C293" s="218"/>
      <c r="D293" s="218"/>
      <c r="E293" s="218"/>
      <c r="F293" s="218"/>
      <c r="G293" s="219"/>
      <c r="H293" s="861" t="e">
        <f>'0422Master'!#REF!</f>
        <v>#REF!</v>
      </c>
      <c r="I293" s="862"/>
      <c r="J293" s="862"/>
      <c r="K293" s="862"/>
      <c r="L293" s="863"/>
    </row>
    <row r="294" spans="1:12">
      <c r="A294" s="260">
        <v>4</v>
      </c>
      <c r="B294" s="205" t="s">
        <v>311</v>
      </c>
      <c r="C294" s="79"/>
      <c r="D294" s="79"/>
      <c r="E294" s="79"/>
      <c r="F294" s="79"/>
      <c r="G294" s="80"/>
      <c r="H294" s="835" t="e">
        <f>'0422Master'!#REF!</f>
        <v>#REF!</v>
      </c>
      <c r="I294" s="849"/>
      <c r="J294" s="849"/>
      <c r="K294" s="849"/>
      <c r="L294" s="843"/>
    </row>
    <row r="295" spans="1:12">
      <c r="A295" s="260">
        <v>5</v>
      </c>
      <c r="B295" s="864" t="s">
        <v>312</v>
      </c>
      <c r="C295" s="865"/>
      <c r="D295" s="865"/>
      <c r="E295" s="865"/>
      <c r="F295" s="865"/>
      <c r="G295" s="80"/>
      <c r="H295" s="856" t="s">
        <v>374</v>
      </c>
      <c r="I295" s="857"/>
      <c r="J295" s="857"/>
      <c r="K295" s="857"/>
      <c r="L295" s="858"/>
    </row>
    <row r="296" spans="1:12">
      <c r="A296" s="260">
        <v>6</v>
      </c>
      <c r="B296" s="420" t="s">
        <v>314</v>
      </c>
      <c r="C296" s="218" t="s">
        <v>315</v>
      </c>
      <c r="D296" s="218"/>
      <c r="E296" s="218"/>
      <c r="F296" s="218"/>
      <c r="G296" s="219"/>
      <c r="H296" s="231"/>
      <c r="I296" s="218"/>
      <c r="J296" s="218"/>
      <c r="K296" s="218"/>
      <c r="L296" s="259"/>
    </row>
    <row r="297" spans="1:12">
      <c r="A297" s="40"/>
      <c r="B297" s="420" t="s">
        <v>316</v>
      </c>
      <c r="C297" s="218" t="s">
        <v>317</v>
      </c>
      <c r="D297" s="218"/>
      <c r="E297" s="218"/>
      <c r="F297" s="218"/>
      <c r="G297" s="219"/>
      <c r="H297" s="231"/>
      <c r="I297" s="422"/>
      <c r="J297" s="422"/>
      <c r="K297" s="218"/>
      <c r="L297" s="259"/>
    </row>
    <row r="298" spans="1:12">
      <c r="A298" s="260">
        <v>7</v>
      </c>
      <c r="B298" s="861" t="s">
        <v>318</v>
      </c>
      <c r="C298" s="862"/>
      <c r="D298" s="862"/>
      <c r="E298" s="862"/>
      <c r="F298" s="862"/>
      <c r="G298" s="869"/>
      <c r="H298" s="480" t="s">
        <v>319</v>
      </c>
      <c r="I298" s="235"/>
      <c r="J298" s="236"/>
      <c r="K298" s="480" t="s">
        <v>320</v>
      </c>
      <c r="L298" s="261"/>
    </row>
    <row r="299" spans="1:12">
      <c r="A299" s="260">
        <v>8</v>
      </c>
      <c r="B299" s="861" t="s">
        <v>321</v>
      </c>
      <c r="C299" s="862"/>
      <c r="D299" s="862"/>
      <c r="E299" s="862"/>
      <c r="F299" s="862"/>
      <c r="G299" s="869"/>
      <c r="H299" s="480" t="s">
        <v>319</v>
      </c>
      <c r="I299" s="235"/>
      <c r="J299" s="236"/>
      <c r="K299" s="480" t="s">
        <v>320</v>
      </c>
      <c r="L299" s="261"/>
    </row>
    <row r="300" spans="1:12">
      <c r="A300" s="40"/>
      <c r="B300" s="205"/>
      <c r="C300" s="238"/>
      <c r="D300" s="238"/>
      <c r="E300" s="238"/>
      <c r="F300" s="238" t="s">
        <v>322</v>
      </c>
      <c r="G300" s="238"/>
      <c r="H300" s="238"/>
      <c r="I300" s="238"/>
      <c r="J300" s="238"/>
      <c r="K300" s="238"/>
      <c r="L300" s="262"/>
    </row>
    <row r="301" spans="1:12">
      <c r="A301" s="260">
        <v>9</v>
      </c>
      <c r="B301" s="420" t="s">
        <v>323</v>
      </c>
      <c r="C301" s="218" t="s">
        <v>324</v>
      </c>
      <c r="D301" s="218"/>
      <c r="E301" s="218"/>
      <c r="F301" s="218"/>
      <c r="G301" s="219"/>
      <c r="H301" s="231"/>
      <c r="I301" s="218"/>
      <c r="J301" s="218"/>
      <c r="K301" s="218"/>
      <c r="L301" s="259"/>
    </row>
    <row r="302" spans="1:12">
      <c r="A302" s="113"/>
      <c r="B302" s="420" t="s">
        <v>325</v>
      </c>
      <c r="C302" s="218" t="s">
        <v>326</v>
      </c>
      <c r="D302" s="218"/>
      <c r="E302" s="218"/>
      <c r="F302" s="218"/>
      <c r="G302" s="219"/>
      <c r="H302" s="231"/>
      <c r="I302" s="218"/>
      <c r="J302" s="218"/>
      <c r="K302" s="218"/>
      <c r="L302" s="259"/>
    </row>
    <row r="303" spans="1:12">
      <c r="A303" s="113"/>
      <c r="B303" s="420" t="s">
        <v>327</v>
      </c>
      <c r="C303" s="218" t="s">
        <v>328</v>
      </c>
      <c r="D303" s="218"/>
      <c r="E303" s="218"/>
      <c r="F303" s="218"/>
      <c r="G303" s="219"/>
      <c r="H303" s="231"/>
      <c r="I303" s="218"/>
      <c r="J303" s="218"/>
      <c r="K303" s="218"/>
      <c r="L303" s="259"/>
    </row>
    <row r="304" spans="1:12">
      <c r="A304" s="113"/>
      <c r="B304" s="420" t="s">
        <v>329</v>
      </c>
      <c r="C304" s="218" t="s">
        <v>330</v>
      </c>
      <c r="D304" s="218"/>
      <c r="E304" s="218"/>
      <c r="F304" s="218"/>
      <c r="G304" s="219"/>
      <c r="H304" s="231"/>
      <c r="I304" s="218"/>
      <c r="J304" s="218"/>
      <c r="K304" s="218"/>
      <c r="L304" s="259"/>
    </row>
    <row r="305" spans="1:12">
      <c r="A305" s="113"/>
      <c r="B305" s="420" t="s">
        <v>331</v>
      </c>
      <c r="C305" s="218" t="s">
        <v>332</v>
      </c>
      <c r="D305" s="218"/>
      <c r="E305" s="218"/>
      <c r="F305" s="218"/>
      <c r="G305" s="219"/>
      <c r="H305" s="231"/>
      <c r="I305" s="218"/>
      <c r="J305" s="218"/>
      <c r="K305" s="218"/>
      <c r="L305" s="259"/>
    </row>
    <row r="306" spans="1:12">
      <c r="A306" s="113">
        <v>10</v>
      </c>
      <c r="B306" s="420" t="s">
        <v>323</v>
      </c>
      <c r="C306" s="218" t="s">
        <v>333</v>
      </c>
      <c r="D306" s="218"/>
      <c r="E306" s="218"/>
      <c r="F306" s="218"/>
      <c r="G306" s="219"/>
      <c r="H306" s="480" t="s">
        <v>319</v>
      </c>
      <c r="I306" s="235"/>
      <c r="J306" s="236"/>
      <c r="K306" s="480" t="s">
        <v>320</v>
      </c>
      <c r="L306" s="261"/>
    </row>
    <row r="307" spans="1:12">
      <c r="A307" s="113"/>
      <c r="B307" s="420" t="s">
        <v>325</v>
      </c>
      <c r="C307" s="218" t="s">
        <v>334</v>
      </c>
      <c r="D307" s="218"/>
      <c r="E307" s="218"/>
      <c r="F307" s="218"/>
      <c r="G307" s="219"/>
      <c r="H307" s="231"/>
      <c r="I307" s="218"/>
      <c r="J307" s="218"/>
      <c r="K307" s="218"/>
      <c r="L307" s="259"/>
    </row>
    <row r="308" spans="1:12">
      <c r="A308" s="113"/>
      <c r="B308" s="420" t="s">
        <v>327</v>
      </c>
      <c r="C308" s="218" t="s">
        <v>335</v>
      </c>
      <c r="D308" s="218"/>
      <c r="E308" s="218"/>
      <c r="F308" s="218"/>
      <c r="G308" s="219"/>
      <c r="H308" s="231"/>
      <c r="I308" s="218"/>
      <c r="J308" s="218"/>
      <c r="K308" s="218"/>
      <c r="L308" s="259"/>
    </row>
    <row r="309" spans="1:12">
      <c r="A309" s="113"/>
      <c r="B309" s="420" t="s">
        <v>329</v>
      </c>
      <c r="C309" s="218" t="s">
        <v>336</v>
      </c>
      <c r="D309" s="218"/>
      <c r="E309" s="218"/>
      <c r="F309" s="218"/>
      <c r="G309" s="219"/>
      <c r="H309" s="231"/>
      <c r="I309" s="218"/>
      <c r="J309" s="218"/>
      <c r="K309" s="218"/>
      <c r="L309" s="259"/>
    </row>
    <row r="310" spans="1:12">
      <c r="A310" s="40"/>
      <c r="B310" s="205"/>
      <c r="C310" s="238"/>
      <c r="D310" s="238"/>
      <c r="E310" s="238" t="s">
        <v>337</v>
      </c>
      <c r="F310" s="238"/>
      <c r="G310" s="238"/>
      <c r="H310" s="238"/>
      <c r="I310" s="238"/>
      <c r="J310" s="238"/>
      <c r="K310" s="238"/>
      <c r="L310" s="262"/>
    </row>
    <row r="311" spans="1:12">
      <c r="A311" s="40">
        <v>11</v>
      </c>
      <c r="B311" s="420" t="s">
        <v>323</v>
      </c>
      <c r="C311" s="218" t="s">
        <v>338</v>
      </c>
      <c r="D311" s="218"/>
      <c r="E311" s="218"/>
      <c r="F311" s="218"/>
      <c r="G311" s="219"/>
      <c r="H311" s="231"/>
      <c r="I311" s="218"/>
      <c r="J311" s="218"/>
      <c r="K311" s="218"/>
      <c r="L311" s="259"/>
    </row>
    <row r="312" spans="1:12">
      <c r="A312" s="40"/>
      <c r="B312" s="420" t="s">
        <v>325</v>
      </c>
      <c r="C312" s="218" t="s">
        <v>339</v>
      </c>
      <c r="D312" s="218"/>
      <c r="E312" s="218"/>
      <c r="F312" s="218"/>
      <c r="G312" s="219"/>
      <c r="H312" s="231"/>
      <c r="I312" s="218"/>
      <c r="J312" s="218"/>
      <c r="K312" s="218"/>
      <c r="L312" s="259"/>
    </row>
    <row r="313" spans="1:12">
      <c r="A313" s="40"/>
      <c r="B313" s="420" t="s">
        <v>340</v>
      </c>
      <c r="C313" s="218" t="s">
        <v>341</v>
      </c>
      <c r="D313" s="218"/>
      <c r="E313" s="218"/>
      <c r="F313" s="218"/>
      <c r="G313" s="219"/>
      <c r="H313" s="231"/>
      <c r="I313" s="218"/>
      <c r="J313" s="218"/>
      <c r="K313" s="218"/>
      <c r="L313" s="259"/>
    </row>
    <row r="314" spans="1:12">
      <c r="A314" s="40"/>
      <c r="B314" s="193"/>
      <c r="C314" s="412"/>
      <c r="D314" s="412"/>
      <c r="E314" s="412"/>
      <c r="F314" s="239" t="s">
        <v>342</v>
      </c>
      <c r="G314" s="412"/>
      <c r="H314" s="411"/>
      <c r="I314" s="411"/>
      <c r="J314" s="411"/>
      <c r="K314" s="411"/>
      <c r="L314" s="195"/>
    </row>
    <row r="315" spans="1:12">
      <c r="A315" s="40"/>
      <c r="B315" s="251" t="s">
        <v>343</v>
      </c>
      <c r="C315" s="250" t="s">
        <v>344</v>
      </c>
      <c r="D315" s="412"/>
      <c r="E315" s="412"/>
      <c r="F315" s="412"/>
      <c r="G315" s="412"/>
      <c r="H315" s="411"/>
      <c r="I315" s="411"/>
      <c r="J315" s="410"/>
      <c r="K315" s="411"/>
      <c r="L315" s="195"/>
    </row>
    <row r="316" spans="1:12">
      <c r="A316" s="40"/>
      <c r="B316" s="251" t="s">
        <v>345</v>
      </c>
      <c r="C316" s="249" t="s">
        <v>346</v>
      </c>
      <c r="D316" s="411"/>
      <c r="E316" s="410"/>
      <c r="F316" s="27"/>
      <c r="G316" s="870"/>
      <c r="H316" s="870"/>
      <c r="I316" s="421"/>
      <c r="J316" s="194"/>
      <c r="K316" s="870"/>
      <c r="L316" s="871"/>
    </row>
    <row r="317" spans="1:12">
      <c r="A317" s="40"/>
      <c r="B317" s="252" t="s">
        <v>347</v>
      </c>
      <c r="C317" s="872" t="s">
        <v>348</v>
      </c>
      <c r="D317" s="872"/>
      <c r="E317" s="872"/>
      <c r="F317" s="872"/>
      <c r="G317" s="872"/>
      <c r="H317" s="872"/>
      <c r="I317" s="872"/>
      <c r="J317" s="872"/>
      <c r="K317" s="872"/>
      <c r="L317" s="873"/>
    </row>
    <row r="318" spans="1:12">
      <c r="A318" s="40"/>
      <c r="B318" s="251" t="s">
        <v>349</v>
      </c>
      <c r="C318" s="250" t="s">
        <v>350</v>
      </c>
      <c r="D318" s="242"/>
      <c r="E318" s="242"/>
      <c r="F318" s="242"/>
      <c r="G318" s="242"/>
      <c r="H318" s="242"/>
      <c r="I318" s="242"/>
      <c r="J318" s="242"/>
      <c r="K318" s="242"/>
      <c r="L318" s="263"/>
    </row>
    <row r="319" spans="1:12">
      <c r="A319" s="40"/>
      <c r="B319" s="193"/>
      <c r="C319" s="192" t="s">
        <v>351</v>
      </c>
      <c r="D319" s="303" t="e">
        <f>'0422Master'!#REF!</f>
        <v>#REF!</v>
      </c>
      <c r="E319" s="185"/>
      <c r="F319" s="185"/>
      <c r="G319" s="185"/>
      <c r="H319" s="27"/>
      <c r="I319" s="27"/>
      <c r="J319" s="27"/>
      <c r="K319" s="27"/>
      <c r="L319" s="41"/>
    </row>
    <row r="320" spans="1:12">
      <c r="A320" s="40"/>
      <c r="B320" s="27"/>
      <c r="C320" s="192" t="s">
        <v>352</v>
      </c>
      <c r="D320" s="27" t="s">
        <v>273</v>
      </c>
      <c r="E320" s="27"/>
      <c r="F320" s="27"/>
      <c r="G320" s="27"/>
      <c r="H320" s="27"/>
      <c r="I320" s="27"/>
      <c r="J320" s="27" t="s">
        <v>353</v>
      </c>
      <c r="K320" s="27"/>
      <c r="L320" s="41"/>
    </row>
    <row r="321" spans="1:12" ht="16.5" customHeight="1">
      <c r="A321" s="40"/>
      <c r="B321" s="27"/>
      <c r="C321" s="27"/>
      <c r="D321" s="27"/>
      <c r="E321" s="27"/>
      <c r="F321" s="27"/>
      <c r="G321" s="27"/>
      <c r="H321" s="27"/>
      <c r="I321" s="27"/>
      <c r="J321" s="27"/>
      <c r="K321" s="27"/>
      <c r="L321" s="41"/>
    </row>
    <row r="322" spans="1:12" ht="21.75" customHeight="1">
      <c r="A322" s="40"/>
      <c r="B322" s="27"/>
      <c r="C322" s="27"/>
      <c r="D322" s="27"/>
      <c r="E322" s="27"/>
      <c r="F322" s="240" t="s">
        <v>354</v>
      </c>
      <c r="G322" s="27"/>
      <c r="H322" s="27"/>
      <c r="I322" s="27"/>
      <c r="J322" s="27"/>
      <c r="K322" s="27"/>
      <c r="L322" s="41"/>
    </row>
    <row r="323" spans="1:12" ht="27.95" customHeight="1">
      <c r="A323" s="40" t="s">
        <v>355</v>
      </c>
      <c r="B323" s="27" t="s">
        <v>356</v>
      </c>
      <c r="C323" s="27"/>
      <c r="D323" s="27"/>
      <c r="E323" s="243" t="e">
        <f>'0422Master'!#REF!</f>
        <v>#REF!</v>
      </c>
      <c r="F323" s="27"/>
      <c r="G323" s="27"/>
      <c r="H323" s="874" t="s">
        <v>357</v>
      </c>
      <c r="I323" s="874"/>
      <c r="J323" s="244" t="e">
        <f>'0422Master'!#REF!</f>
        <v>#REF!</v>
      </c>
      <c r="K323" s="27" t="s">
        <v>358</v>
      </c>
      <c r="L323" s="41"/>
    </row>
    <row r="324" spans="1:12" ht="25.5" customHeight="1">
      <c r="A324" s="40"/>
      <c r="B324" s="875" t="e">
        <f>'0422Master'!#REF!</f>
        <v>#REF!</v>
      </c>
      <c r="C324" s="876"/>
      <c r="D324" s="241"/>
      <c r="E324" s="241"/>
      <c r="F324" s="241"/>
      <c r="G324" s="241"/>
      <c r="H324" s="241"/>
      <c r="I324" s="241"/>
      <c r="J324" s="241"/>
      <c r="K324" s="241"/>
      <c r="L324" s="264"/>
    </row>
    <row r="325" spans="1:12" ht="24.75" customHeight="1">
      <c r="A325" s="40" t="s">
        <v>359</v>
      </c>
      <c r="B325" s="241" t="s">
        <v>360</v>
      </c>
      <c r="C325" s="241"/>
      <c r="D325" s="241"/>
      <c r="E325" s="241"/>
      <c r="F325" s="241"/>
      <c r="G325" s="241"/>
      <c r="H325" s="241"/>
      <c r="I325" s="241"/>
      <c r="J325" s="241"/>
      <c r="K325" s="241"/>
      <c r="L325" s="264"/>
    </row>
    <row r="326" spans="1:12" ht="27.95" customHeight="1">
      <c r="A326" s="40"/>
      <c r="B326" s="241" t="s">
        <v>361</v>
      </c>
      <c r="C326" s="241"/>
      <c r="D326" s="241"/>
      <c r="E326" s="241"/>
      <c r="F326" s="241"/>
      <c r="G326" s="241"/>
      <c r="H326" s="241"/>
      <c r="I326" s="241"/>
      <c r="J326" s="241"/>
      <c r="K326" s="241"/>
      <c r="L326" s="264"/>
    </row>
    <row r="327" spans="1:12" ht="27.95" customHeight="1">
      <c r="A327" s="260"/>
      <c r="B327" s="27" t="s">
        <v>362</v>
      </c>
      <c r="C327" s="27"/>
      <c r="D327" s="27"/>
      <c r="E327" s="27"/>
      <c r="F327" s="27"/>
      <c r="G327" s="27"/>
      <c r="H327" s="27"/>
      <c r="I327" s="27"/>
      <c r="J327" s="27"/>
      <c r="K327" s="27"/>
      <c r="L327" s="41"/>
    </row>
    <row r="328" spans="1:12" ht="27.95" customHeight="1">
      <c r="A328" s="40"/>
      <c r="B328" s="185" t="s">
        <v>363</v>
      </c>
      <c r="C328" s="27"/>
      <c r="D328" s="27"/>
      <c r="E328" s="27"/>
      <c r="F328" s="190"/>
      <c r="G328" s="27"/>
      <c r="H328" s="27"/>
      <c r="I328" s="27"/>
      <c r="J328" s="27"/>
      <c r="K328" s="27"/>
      <c r="L328" s="41"/>
    </row>
    <row r="329" spans="1:12" ht="27.95" customHeight="1">
      <c r="A329" s="40"/>
      <c r="B329" s="185" t="s">
        <v>364</v>
      </c>
      <c r="C329" s="27"/>
      <c r="D329" s="27"/>
      <c r="E329" s="27"/>
      <c r="F329" s="27"/>
      <c r="G329" s="27"/>
      <c r="H329" s="27"/>
      <c r="I329" s="27"/>
      <c r="J329" s="27"/>
      <c r="K329" s="27"/>
      <c r="L329" s="41"/>
    </row>
    <row r="330" spans="1:12" ht="27.95" customHeight="1">
      <c r="A330" s="40"/>
      <c r="B330" s="27" t="s">
        <v>365</v>
      </c>
      <c r="C330" s="27"/>
      <c r="D330" s="27"/>
      <c r="E330" s="27"/>
      <c r="F330" s="27"/>
      <c r="G330" s="27"/>
      <c r="H330" s="27"/>
      <c r="I330" s="27"/>
      <c r="J330" s="27"/>
      <c r="K330" s="27"/>
      <c r="L330" s="41"/>
    </row>
    <row r="331" spans="1:12" ht="27.95" customHeight="1">
      <c r="A331" s="40"/>
      <c r="B331" s="27" t="s">
        <v>366</v>
      </c>
      <c r="C331" s="27"/>
      <c r="D331" s="27"/>
      <c r="E331" s="27"/>
      <c r="F331" s="27"/>
      <c r="G331" s="27"/>
      <c r="H331" s="27"/>
      <c r="I331" s="27"/>
      <c r="J331" s="27"/>
      <c r="K331" s="27"/>
      <c r="L331" s="41"/>
    </row>
    <row r="332" spans="1:12" ht="27.95" customHeight="1">
      <c r="A332" s="40" t="s">
        <v>327</v>
      </c>
      <c r="B332" s="27" t="s">
        <v>367</v>
      </c>
      <c r="C332" s="27"/>
      <c r="D332" s="27"/>
      <c r="E332" s="27"/>
      <c r="F332" s="27"/>
      <c r="G332" s="27"/>
      <c r="H332" s="27"/>
      <c r="I332" s="27"/>
      <c r="J332" s="27"/>
      <c r="K332" s="27"/>
      <c r="L332" s="41"/>
    </row>
    <row r="333" spans="1:12" ht="27.95" customHeight="1">
      <c r="A333" s="40"/>
      <c r="B333" s="253" t="s">
        <v>368</v>
      </c>
      <c r="C333" s="27"/>
      <c r="D333" s="27"/>
      <c r="E333" s="27"/>
      <c r="F333" s="27"/>
      <c r="G333" s="27"/>
      <c r="H333" s="27"/>
      <c r="I333" s="27"/>
      <c r="J333" s="27"/>
      <c r="K333" s="27"/>
      <c r="L333" s="41"/>
    </row>
    <row r="334" spans="1:12" ht="27.95" customHeight="1">
      <c r="A334" s="40"/>
      <c r="B334" s="27" t="s">
        <v>362</v>
      </c>
      <c r="C334" s="27"/>
      <c r="D334" s="27"/>
      <c r="E334" s="27"/>
      <c r="F334" s="27"/>
      <c r="G334" s="27"/>
      <c r="H334" s="27"/>
      <c r="I334" s="27"/>
      <c r="J334" s="27"/>
      <c r="K334" s="27"/>
      <c r="L334" s="41"/>
    </row>
    <row r="335" spans="1:12" ht="27.95" customHeight="1">
      <c r="A335" s="40"/>
      <c r="B335" s="27" t="s">
        <v>369</v>
      </c>
      <c r="C335" s="27"/>
      <c r="D335" s="27"/>
      <c r="E335" s="27"/>
      <c r="F335" s="192"/>
      <c r="G335" s="192"/>
      <c r="H335" s="192"/>
      <c r="I335" s="192"/>
      <c r="J335" s="192"/>
      <c r="K335" s="192"/>
      <c r="L335" s="41"/>
    </row>
    <row r="336" spans="1:12" ht="27.95" customHeight="1">
      <c r="A336" s="40"/>
      <c r="B336" s="27" t="s">
        <v>370</v>
      </c>
      <c r="C336" s="27"/>
      <c r="D336" s="27"/>
      <c r="E336" s="27"/>
      <c r="F336" s="27"/>
      <c r="G336" s="27"/>
      <c r="H336" s="27"/>
      <c r="I336" s="27"/>
      <c r="J336" s="27"/>
      <c r="K336" s="27"/>
      <c r="L336" s="41"/>
    </row>
    <row r="337" spans="1:12" ht="27.95" customHeight="1">
      <c r="A337" s="40"/>
      <c r="B337" s="877" t="s">
        <v>371</v>
      </c>
      <c r="C337" s="877"/>
      <c r="D337" s="877"/>
      <c r="E337" s="877"/>
      <c r="F337" s="877"/>
      <c r="G337" s="877"/>
      <c r="H337" s="877"/>
      <c r="I337" s="877"/>
      <c r="J337" s="877"/>
      <c r="K337" s="877"/>
      <c r="L337" s="878"/>
    </row>
    <row r="338" spans="1:12" ht="27.95" customHeight="1">
      <c r="A338" s="40"/>
      <c r="B338" s="255" t="s">
        <v>274</v>
      </c>
      <c r="C338" s="301" t="e">
        <f>'0422Master'!#REF!</f>
        <v>#REF!</v>
      </c>
      <c r="D338" s="223"/>
      <c r="E338" s="223"/>
      <c r="F338" s="223"/>
      <c r="G338" s="223"/>
      <c r="H338" s="223"/>
      <c r="I338" s="255" t="s">
        <v>372</v>
      </c>
      <c r="J338" s="223"/>
      <c r="K338" s="223"/>
      <c r="L338" s="254"/>
    </row>
    <row r="339" spans="1:12" ht="16.5" thickBot="1">
      <c r="A339" s="54"/>
      <c r="B339" s="745"/>
      <c r="C339" s="745"/>
      <c r="D339" s="745"/>
      <c r="E339" s="745"/>
      <c r="F339" s="745"/>
      <c r="G339" s="745"/>
      <c r="H339" s="745"/>
      <c r="I339" s="745"/>
      <c r="J339" s="745"/>
      <c r="K339" s="745"/>
      <c r="L339" s="746"/>
    </row>
    <row r="340" spans="1:12">
      <c r="A340" s="96"/>
      <c r="B340" s="97"/>
      <c r="C340" s="97"/>
      <c r="D340" s="97"/>
      <c r="E340" s="97"/>
      <c r="F340" s="97"/>
      <c r="G340" s="97"/>
      <c r="H340" s="97"/>
      <c r="I340" s="106" t="s">
        <v>298</v>
      </c>
      <c r="J340" s="97"/>
      <c r="K340" s="97"/>
      <c r="L340" s="98"/>
    </row>
    <row r="341" spans="1:12">
      <c r="A341" s="40"/>
      <c r="B341" s="879" t="s">
        <v>299</v>
      </c>
      <c r="C341" s="879"/>
      <c r="D341" s="879"/>
      <c r="E341" s="879"/>
      <c r="F341" s="879"/>
      <c r="G341" s="879"/>
      <c r="H341" s="879"/>
      <c r="I341" s="879"/>
      <c r="J341" s="879"/>
      <c r="K341" s="879"/>
      <c r="L341" s="880"/>
    </row>
    <row r="342" spans="1:12" ht="23.25">
      <c r="A342" s="40"/>
      <c r="B342" s="223"/>
      <c r="C342" s="223"/>
      <c r="D342" s="232" t="s">
        <v>300</v>
      </c>
      <c r="E342" s="223"/>
      <c r="F342" s="223"/>
      <c r="G342" s="223"/>
      <c r="H342" s="223"/>
      <c r="I342" s="226" t="s">
        <v>301</v>
      </c>
      <c r="J342" s="227"/>
      <c r="K342" s="302">
        <f>'0422Master'!A16</f>
        <v>0</v>
      </c>
      <c r="L342" s="257"/>
    </row>
    <row r="343" spans="1:12" ht="15.75">
      <c r="A343" s="40"/>
      <c r="B343" s="224"/>
      <c r="C343" s="224" t="s">
        <v>302</v>
      </c>
      <c r="D343" s="27"/>
      <c r="E343" s="224"/>
      <c r="F343" s="224"/>
      <c r="G343" s="224"/>
      <c r="H343" s="224"/>
      <c r="I343" s="225" t="s">
        <v>303</v>
      </c>
      <c r="J343" s="245" t="str">
        <f>'0422Master'!F5</f>
        <v>Burgeon IT Services Pvt.Ltd.</v>
      </c>
      <c r="K343" s="228"/>
      <c r="L343" s="258"/>
    </row>
    <row r="344" spans="1:12">
      <c r="A344" s="40"/>
      <c r="B344" s="233"/>
      <c r="C344" s="199" t="s">
        <v>304</v>
      </c>
      <c r="D344" s="27"/>
      <c r="E344" s="233"/>
      <c r="F344" s="233"/>
      <c r="G344" s="27"/>
      <c r="H344" s="200"/>
      <c r="I344" s="248" t="str">
        <f>'0422Master'!F6</f>
        <v>Siri Mansion LIGB 436 Dr.A S Rao Nagar,Hyderabad</v>
      </c>
      <c r="J344" s="246"/>
      <c r="K344" s="247"/>
      <c r="L344" s="211"/>
    </row>
    <row r="345" spans="1:12">
      <c r="A345" s="40"/>
      <c r="B345" s="27"/>
      <c r="C345" s="27"/>
      <c r="D345" s="27"/>
      <c r="E345" s="27"/>
      <c r="F345" s="27"/>
      <c r="G345" s="27"/>
      <c r="H345" s="27"/>
      <c r="I345" s="27"/>
      <c r="J345" s="27"/>
      <c r="K345" s="27"/>
      <c r="L345" s="41"/>
    </row>
    <row r="346" spans="1:12" ht="20.25" customHeight="1">
      <c r="A346" s="40">
        <v>1</v>
      </c>
      <c r="B346" s="229" t="s">
        <v>305</v>
      </c>
      <c r="C346" s="206"/>
      <c r="D346" s="206"/>
      <c r="E346" s="206"/>
      <c r="F346" s="206"/>
      <c r="G346" s="80"/>
      <c r="H346" s="838">
        <f>'0422Master'!B16</f>
        <v>0</v>
      </c>
      <c r="I346" s="857"/>
      <c r="J346" s="857"/>
      <c r="K346" s="857"/>
      <c r="L346" s="858"/>
    </row>
    <row r="347" spans="1:12" ht="11.25" customHeight="1">
      <c r="A347" s="40">
        <v>2</v>
      </c>
      <c r="B347" s="881" t="s">
        <v>306</v>
      </c>
      <c r="C347" s="882"/>
      <c r="D347" s="882"/>
      <c r="E347" s="882"/>
      <c r="F347" s="230" t="s">
        <v>307</v>
      </c>
      <c r="G347" s="212"/>
      <c r="H347" s="883">
        <f>'0422Master'!E16</f>
        <v>0</v>
      </c>
      <c r="I347" s="884"/>
      <c r="J347" s="884"/>
      <c r="K347" s="884"/>
      <c r="L347" s="885"/>
    </row>
    <row r="348" spans="1:12" ht="11.25" customHeight="1">
      <c r="A348" s="40"/>
      <c r="B348" s="213" t="s">
        <v>309</v>
      </c>
      <c r="C348" s="214"/>
      <c r="D348" s="214"/>
      <c r="E348" s="214"/>
      <c r="F348" s="214" t="s">
        <v>308</v>
      </c>
      <c r="G348" s="215"/>
      <c r="H348" s="886"/>
      <c r="I348" s="887"/>
      <c r="J348" s="887"/>
      <c r="K348" s="887"/>
      <c r="L348" s="888"/>
    </row>
    <row r="349" spans="1:12">
      <c r="A349" s="40">
        <v>3</v>
      </c>
      <c r="B349" s="231" t="s">
        <v>310</v>
      </c>
      <c r="C349" s="218"/>
      <c r="D349" s="218"/>
      <c r="E349" s="218"/>
      <c r="F349" s="218"/>
      <c r="G349" s="219"/>
      <c r="H349" s="861">
        <f>'0422Master'!C59</f>
        <v>0</v>
      </c>
      <c r="I349" s="862"/>
      <c r="J349" s="862"/>
      <c r="K349" s="862"/>
      <c r="L349" s="863"/>
    </row>
    <row r="350" spans="1:12">
      <c r="A350" s="260">
        <v>4</v>
      </c>
      <c r="B350" s="205" t="s">
        <v>311</v>
      </c>
      <c r="C350" s="79"/>
      <c r="D350" s="79"/>
      <c r="E350" s="79"/>
      <c r="F350" s="79"/>
      <c r="G350" s="80"/>
      <c r="H350" s="835">
        <f>'0422Master'!D59</f>
        <v>0</v>
      </c>
      <c r="I350" s="849"/>
      <c r="J350" s="849"/>
      <c r="K350" s="849"/>
      <c r="L350" s="843"/>
    </row>
    <row r="351" spans="1:12">
      <c r="A351" s="260">
        <v>5</v>
      </c>
      <c r="B351" s="864" t="s">
        <v>312</v>
      </c>
      <c r="C351" s="865"/>
      <c r="D351" s="865"/>
      <c r="E351" s="865"/>
      <c r="F351" s="865"/>
      <c r="G351" s="80"/>
      <c r="H351" s="856" t="s">
        <v>374</v>
      </c>
      <c r="I351" s="857"/>
      <c r="J351" s="857"/>
      <c r="K351" s="857"/>
      <c r="L351" s="858"/>
    </row>
    <row r="352" spans="1:12">
      <c r="A352" s="260">
        <v>6</v>
      </c>
      <c r="B352" s="420" t="s">
        <v>314</v>
      </c>
      <c r="C352" s="218" t="s">
        <v>315</v>
      </c>
      <c r="D352" s="218"/>
      <c r="E352" s="218"/>
      <c r="F352" s="218"/>
      <c r="G352" s="219"/>
      <c r="H352" s="231"/>
      <c r="I352" s="218"/>
      <c r="J352" s="218"/>
      <c r="K352" s="218"/>
      <c r="L352" s="259"/>
    </row>
    <row r="353" spans="1:12">
      <c r="A353" s="40"/>
      <c r="B353" s="420" t="s">
        <v>316</v>
      </c>
      <c r="C353" s="218" t="s">
        <v>317</v>
      </c>
      <c r="D353" s="218"/>
      <c r="E353" s="218"/>
      <c r="F353" s="218"/>
      <c r="G353" s="219"/>
      <c r="H353" s="231"/>
      <c r="I353" s="422"/>
      <c r="J353" s="422"/>
      <c r="K353" s="218"/>
      <c r="L353" s="259"/>
    </row>
    <row r="354" spans="1:12">
      <c r="A354" s="260">
        <v>7</v>
      </c>
      <c r="B354" s="861" t="s">
        <v>318</v>
      </c>
      <c r="C354" s="862"/>
      <c r="D354" s="862"/>
      <c r="E354" s="862"/>
      <c r="F354" s="862"/>
      <c r="G354" s="869"/>
      <c r="H354" s="480" t="s">
        <v>319</v>
      </c>
      <c r="I354" s="235"/>
      <c r="J354" s="236"/>
      <c r="K354" s="480" t="s">
        <v>320</v>
      </c>
      <c r="L354" s="261"/>
    </row>
    <row r="355" spans="1:12">
      <c r="A355" s="260">
        <v>8</v>
      </c>
      <c r="B355" s="861" t="s">
        <v>321</v>
      </c>
      <c r="C355" s="862"/>
      <c r="D355" s="862"/>
      <c r="E355" s="862"/>
      <c r="F355" s="862"/>
      <c r="G355" s="869"/>
      <c r="H355" s="480" t="s">
        <v>319</v>
      </c>
      <c r="I355" s="235"/>
      <c r="J355" s="236"/>
      <c r="K355" s="480" t="s">
        <v>320</v>
      </c>
      <c r="L355" s="261"/>
    </row>
    <row r="356" spans="1:12">
      <c r="A356" s="40"/>
      <c r="B356" s="205"/>
      <c r="C356" s="238"/>
      <c r="D356" s="238"/>
      <c r="E356" s="238"/>
      <c r="F356" s="238" t="s">
        <v>322</v>
      </c>
      <c r="G356" s="238"/>
      <c r="H356" s="238"/>
      <c r="I356" s="238"/>
      <c r="J356" s="238"/>
      <c r="K356" s="238"/>
      <c r="L356" s="262"/>
    </row>
    <row r="357" spans="1:12">
      <c r="A357" s="260">
        <v>9</v>
      </c>
      <c r="B357" s="420" t="s">
        <v>323</v>
      </c>
      <c r="C357" s="218" t="s">
        <v>324</v>
      </c>
      <c r="D357" s="218"/>
      <c r="E357" s="218"/>
      <c r="F357" s="218"/>
      <c r="G357" s="219"/>
      <c r="H357" s="231"/>
      <c r="I357" s="218"/>
      <c r="J357" s="218"/>
      <c r="K357" s="218"/>
      <c r="L357" s="259"/>
    </row>
    <row r="358" spans="1:12">
      <c r="A358" s="113"/>
      <c r="B358" s="420" t="s">
        <v>325</v>
      </c>
      <c r="C358" s="218" t="s">
        <v>326</v>
      </c>
      <c r="D358" s="218"/>
      <c r="E358" s="218"/>
      <c r="F358" s="218"/>
      <c r="G358" s="219"/>
      <c r="H358" s="231"/>
      <c r="I358" s="218"/>
      <c r="J358" s="218"/>
      <c r="K358" s="218"/>
      <c r="L358" s="259"/>
    </row>
    <row r="359" spans="1:12">
      <c r="A359" s="113"/>
      <c r="B359" s="420" t="s">
        <v>327</v>
      </c>
      <c r="C359" s="218" t="s">
        <v>328</v>
      </c>
      <c r="D359" s="218"/>
      <c r="E359" s="218"/>
      <c r="F359" s="218"/>
      <c r="G359" s="219"/>
      <c r="H359" s="231"/>
      <c r="I359" s="218"/>
      <c r="J359" s="218"/>
      <c r="K359" s="218"/>
      <c r="L359" s="259"/>
    </row>
    <row r="360" spans="1:12">
      <c r="A360" s="113"/>
      <c r="B360" s="420" t="s">
        <v>329</v>
      </c>
      <c r="C360" s="218" t="s">
        <v>330</v>
      </c>
      <c r="D360" s="218"/>
      <c r="E360" s="218"/>
      <c r="F360" s="218"/>
      <c r="G360" s="219"/>
      <c r="H360" s="231"/>
      <c r="I360" s="218"/>
      <c r="J360" s="218"/>
      <c r="K360" s="218"/>
      <c r="L360" s="259"/>
    </row>
    <row r="361" spans="1:12">
      <c r="A361" s="113"/>
      <c r="B361" s="420" t="s">
        <v>331</v>
      </c>
      <c r="C361" s="218" t="s">
        <v>332</v>
      </c>
      <c r="D361" s="218"/>
      <c r="E361" s="218"/>
      <c r="F361" s="218"/>
      <c r="G361" s="219"/>
      <c r="H361" s="231"/>
      <c r="I361" s="218"/>
      <c r="J361" s="218"/>
      <c r="K361" s="218"/>
      <c r="L361" s="259"/>
    </row>
    <row r="362" spans="1:12">
      <c r="A362" s="113">
        <v>10</v>
      </c>
      <c r="B362" s="420" t="s">
        <v>323</v>
      </c>
      <c r="C362" s="218" t="s">
        <v>333</v>
      </c>
      <c r="D362" s="218"/>
      <c r="E362" s="218"/>
      <c r="F362" s="218"/>
      <c r="G362" s="219"/>
      <c r="H362" s="480" t="s">
        <v>319</v>
      </c>
      <c r="I362" s="235"/>
      <c r="J362" s="236"/>
      <c r="K362" s="480" t="s">
        <v>320</v>
      </c>
      <c r="L362" s="261"/>
    </row>
    <row r="363" spans="1:12">
      <c r="A363" s="113"/>
      <c r="B363" s="420" t="s">
        <v>325</v>
      </c>
      <c r="C363" s="218" t="s">
        <v>334</v>
      </c>
      <c r="D363" s="218"/>
      <c r="E363" s="218"/>
      <c r="F363" s="218"/>
      <c r="G363" s="219"/>
      <c r="H363" s="231"/>
      <c r="I363" s="218"/>
      <c r="J363" s="218"/>
      <c r="K363" s="218"/>
      <c r="L363" s="259"/>
    </row>
    <row r="364" spans="1:12">
      <c r="A364" s="113"/>
      <c r="B364" s="420" t="s">
        <v>327</v>
      </c>
      <c r="C364" s="218" t="s">
        <v>335</v>
      </c>
      <c r="D364" s="218"/>
      <c r="E364" s="218"/>
      <c r="F364" s="218"/>
      <c r="G364" s="219"/>
      <c r="H364" s="231"/>
      <c r="I364" s="218"/>
      <c r="J364" s="218"/>
      <c r="K364" s="218"/>
      <c r="L364" s="259"/>
    </row>
    <row r="365" spans="1:12">
      <c r="A365" s="113"/>
      <c r="B365" s="420" t="s">
        <v>329</v>
      </c>
      <c r="C365" s="218" t="s">
        <v>336</v>
      </c>
      <c r="D365" s="218"/>
      <c r="E365" s="218"/>
      <c r="F365" s="218"/>
      <c r="G365" s="219"/>
      <c r="H365" s="231"/>
      <c r="I365" s="218"/>
      <c r="J365" s="218"/>
      <c r="K365" s="218"/>
      <c r="L365" s="259"/>
    </row>
    <row r="366" spans="1:12">
      <c r="A366" s="40"/>
      <c r="B366" s="205"/>
      <c r="C366" s="238"/>
      <c r="D366" s="238"/>
      <c r="E366" s="238" t="s">
        <v>337</v>
      </c>
      <c r="F366" s="238"/>
      <c r="G366" s="238"/>
      <c r="H366" s="238"/>
      <c r="I366" s="238"/>
      <c r="J366" s="238"/>
      <c r="K366" s="238"/>
      <c r="L366" s="262"/>
    </row>
    <row r="367" spans="1:12">
      <c r="A367" s="40">
        <v>11</v>
      </c>
      <c r="B367" s="420" t="s">
        <v>323</v>
      </c>
      <c r="C367" s="218" t="s">
        <v>338</v>
      </c>
      <c r="D367" s="218"/>
      <c r="E367" s="218"/>
      <c r="F367" s="218"/>
      <c r="G367" s="219"/>
      <c r="H367" s="231"/>
      <c r="I367" s="218"/>
      <c r="J367" s="218"/>
      <c r="K367" s="218"/>
      <c r="L367" s="259"/>
    </row>
    <row r="368" spans="1:12">
      <c r="A368" s="40"/>
      <c r="B368" s="420" t="s">
        <v>325</v>
      </c>
      <c r="C368" s="218" t="s">
        <v>339</v>
      </c>
      <c r="D368" s="218"/>
      <c r="E368" s="218"/>
      <c r="F368" s="218"/>
      <c r="G368" s="219"/>
      <c r="H368" s="231"/>
      <c r="I368" s="218"/>
      <c r="J368" s="218"/>
      <c r="K368" s="218"/>
      <c r="L368" s="259"/>
    </row>
    <row r="369" spans="1:12">
      <c r="A369" s="40"/>
      <c r="B369" s="420" t="s">
        <v>340</v>
      </c>
      <c r="C369" s="218" t="s">
        <v>341</v>
      </c>
      <c r="D369" s="218"/>
      <c r="E369" s="218"/>
      <c r="F369" s="218"/>
      <c r="G369" s="219"/>
      <c r="H369" s="231"/>
      <c r="I369" s="218"/>
      <c r="J369" s="218"/>
      <c r="K369" s="218"/>
      <c r="L369" s="259"/>
    </row>
    <row r="370" spans="1:12">
      <c r="A370" s="40"/>
      <c r="B370" s="193"/>
      <c r="C370" s="412"/>
      <c r="D370" s="412"/>
      <c r="E370" s="412"/>
      <c r="F370" s="239" t="s">
        <v>342</v>
      </c>
      <c r="G370" s="412"/>
      <c r="H370" s="411"/>
      <c r="I370" s="411"/>
      <c r="J370" s="411"/>
      <c r="K370" s="411"/>
      <c r="L370" s="195"/>
    </row>
    <row r="371" spans="1:12">
      <c r="A371" s="40"/>
      <c r="B371" s="251" t="s">
        <v>343</v>
      </c>
      <c r="C371" s="250" t="s">
        <v>344</v>
      </c>
      <c r="D371" s="412"/>
      <c r="E371" s="412"/>
      <c r="F371" s="412"/>
      <c r="G371" s="412"/>
      <c r="H371" s="411"/>
      <c r="I371" s="411"/>
      <c r="J371" s="410"/>
      <c r="K371" s="411"/>
      <c r="L371" s="195"/>
    </row>
    <row r="372" spans="1:12">
      <c r="A372" s="40"/>
      <c r="B372" s="251" t="s">
        <v>345</v>
      </c>
      <c r="C372" s="249" t="s">
        <v>346</v>
      </c>
      <c r="D372" s="411"/>
      <c r="E372" s="410"/>
      <c r="F372" s="27"/>
      <c r="G372" s="870"/>
      <c r="H372" s="870"/>
      <c r="I372" s="421"/>
      <c r="J372" s="194"/>
      <c r="K372" s="870"/>
      <c r="L372" s="871"/>
    </row>
    <row r="373" spans="1:12">
      <c r="A373" s="40"/>
      <c r="B373" s="252" t="s">
        <v>347</v>
      </c>
      <c r="C373" s="872" t="s">
        <v>348</v>
      </c>
      <c r="D373" s="872"/>
      <c r="E373" s="872"/>
      <c r="F373" s="872"/>
      <c r="G373" s="872"/>
      <c r="H373" s="872"/>
      <c r="I373" s="872"/>
      <c r="J373" s="872"/>
      <c r="K373" s="872"/>
      <c r="L373" s="873"/>
    </row>
    <row r="374" spans="1:12" ht="27.95" customHeight="1">
      <c r="A374" s="40"/>
      <c r="B374" s="251" t="s">
        <v>349</v>
      </c>
      <c r="C374" s="250" t="s">
        <v>350</v>
      </c>
      <c r="D374" s="242"/>
      <c r="E374" s="242"/>
      <c r="F374" s="242"/>
      <c r="G374" s="242"/>
      <c r="H374" s="242"/>
      <c r="I374" s="242"/>
      <c r="J374" s="242"/>
      <c r="K374" s="242"/>
      <c r="L374" s="263"/>
    </row>
    <row r="375" spans="1:12" ht="27.95" customHeight="1">
      <c r="A375" s="40"/>
      <c r="B375" s="193"/>
      <c r="C375" s="192" t="s">
        <v>351</v>
      </c>
      <c r="D375" s="303">
        <f>'0422Master'!N16</f>
        <v>0</v>
      </c>
      <c r="E375" s="185"/>
      <c r="F375" s="185"/>
      <c r="G375" s="185"/>
      <c r="H375" s="27"/>
      <c r="I375" s="27"/>
      <c r="J375" s="27"/>
      <c r="K375" s="27"/>
      <c r="L375" s="41"/>
    </row>
    <row r="376" spans="1:12" ht="27.95" customHeight="1">
      <c r="A376" s="40"/>
      <c r="B376" s="27"/>
      <c r="C376" s="192" t="s">
        <v>352</v>
      </c>
      <c r="D376" s="27" t="s">
        <v>273</v>
      </c>
      <c r="E376" s="27"/>
      <c r="F376" s="27"/>
      <c r="G376" s="27"/>
      <c r="H376" s="27"/>
      <c r="I376" s="27"/>
      <c r="J376" s="27" t="s">
        <v>353</v>
      </c>
      <c r="K376" s="27"/>
      <c r="L376" s="41"/>
    </row>
    <row r="377" spans="1:12" ht="27.95" customHeight="1">
      <c r="A377" s="40"/>
      <c r="B377" s="27"/>
      <c r="C377" s="27"/>
      <c r="D377" s="27"/>
      <c r="E377" s="27"/>
      <c r="F377" s="240" t="s">
        <v>354</v>
      </c>
      <c r="G377" s="27"/>
      <c r="H377" s="27"/>
      <c r="I377" s="27"/>
      <c r="J377" s="27"/>
      <c r="K377" s="27"/>
      <c r="L377" s="41"/>
    </row>
    <row r="378" spans="1:12" ht="27.95" customHeight="1">
      <c r="A378" s="40" t="s">
        <v>355</v>
      </c>
      <c r="B378" s="27" t="s">
        <v>356</v>
      </c>
      <c r="C378" s="27"/>
      <c r="D378" s="27"/>
      <c r="E378" s="243">
        <f>'0422Master'!B16</f>
        <v>0</v>
      </c>
      <c r="F378" s="27"/>
      <c r="G378" s="27"/>
      <c r="H378" s="874" t="s">
        <v>357</v>
      </c>
      <c r="I378" s="874"/>
      <c r="J378" s="244">
        <f>'0422Master'!N16</f>
        <v>0</v>
      </c>
      <c r="K378" s="27" t="s">
        <v>358</v>
      </c>
      <c r="L378" s="41"/>
    </row>
    <row r="379" spans="1:12" ht="27.95" customHeight="1">
      <c r="A379" s="40"/>
      <c r="B379" s="875">
        <f>'0422Master'!S16</f>
        <v>0</v>
      </c>
      <c r="C379" s="876"/>
      <c r="D379" s="241"/>
      <c r="E379" s="241"/>
      <c r="F379" s="241"/>
      <c r="G379" s="241"/>
      <c r="H379" s="241"/>
      <c r="I379" s="241"/>
      <c r="J379" s="241"/>
      <c r="K379" s="241"/>
      <c r="L379" s="264"/>
    </row>
    <row r="380" spans="1:12" ht="27.95" customHeight="1">
      <c r="A380" s="40" t="s">
        <v>359</v>
      </c>
      <c r="B380" s="241" t="s">
        <v>360</v>
      </c>
      <c r="C380" s="241"/>
      <c r="D380" s="241"/>
      <c r="E380" s="241"/>
      <c r="F380" s="241"/>
      <c r="G380" s="241"/>
      <c r="H380" s="241"/>
      <c r="I380" s="241"/>
      <c r="J380" s="241"/>
      <c r="K380" s="241"/>
      <c r="L380" s="264"/>
    </row>
    <row r="381" spans="1:12" ht="27.95" customHeight="1">
      <c r="A381" s="40"/>
      <c r="B381" s="241" t="s">
        <v>361</v>
      </c>
      <c r="C381" s="241"/>
      <c r="D381" s="241"/>
      <c r="E381" s="241"/>
      <c r="F381" s="241"/>
      <c r="G381" s="241"/>
      <c r="H381" s="241"/>
      <c r="I381" s="241"/>
      <c r="J381" s="241"/>
      <c r="K381" s="241"/>
      <c r="L381" s="264"/>
    </row>
    <row r="382" spans="1:12" ht="27.95" customHeight="1">
      <c r="A382" s="260"/>
      <c r="B382" s="27" t="s">
        <v>362</v>
      </c>
      <c r="C382" s="27"/>
      <c r="D382" s="27"/>
      <c r="E382" s="27"/>
      <c r="F382" s="27"/>
      <c r="G382" s="27"/>
      <c r="H382" s="27"/>
      <c r="I382" s="27"/>
      <c r="J382" s="27"/>
      <c r="K382" s="27"/>
      <c r="L382" s="41"/>
    </row>
    <row r="383" spans="1:12" ht="27.95" customHeight="1">
      <c r="A383" s="40"/>
      <c r="B383" s="185" t="s">
        <v>363</v>
      </c>
      <c r="C383" s="27"/>
      <c r="D383" s="27"/>
      <c r="E383" s="27"/>
      <c r="F383" s="190"/>
      <c r="G383" s="27"/>
      <c r="H383" s="27"/>
      <c r="I383" s="27"/>
      <c r="J383" s="27"/>
      <c r="K383" s="27"/>
      <c r="L383" s="41"/>
    </row>
    <row r="384" spans="1:12" ht="27.95" customHeight="1">
      <c r="A384" s="40"/>
      <c r="B384" s="185" t="s">
        <v>364</v>
      </c>
      <c r="C384" s="27"/>
      <c r="D384" s="27"/>
      <c r="E384" s="27"/>
      <c r="F384" s="27"/>
      <c r="G384" s="27"/>
      <c r="H384" s="27"/>
      <c r="I384" s="27"/>
      <c r="J384" s="27"/>
      <c r="K384" s="27"/>
      <c r="L384" s="41"/>
    </row>
    <row r="385" spans="1:12" ht="27.95" customHeight="1">
      <c r="A385" s="40"/>
      <c r="B385" s="27" t="s">
        <v>365</v>
      </c>
      <c r="C385" s="27"/>
      <c r="D385" s="27"/>
      <c r="E385" s="27"/>
      <c r="F385" s="27"/>
      <c r="G385" s="27"/>
      <c r="H385" s="27"/>
      <c r="I385" s="27"/>
      <c r="J385" s="27"/>
      <c r="K385" s="27"/>
      <c r="L385" s="41"/>
    </row>
    <row r="386" spans="1:12" ht="27.95" customHeight="1">
      <c r="A386" s="40"/>
      <c r="B386" s="27" t="s">
        <v>366</v>
      </c>
      <c r="C386" s="27"/>
      <c r="D386" s="27"/>
      <c r="E386" s="27"/>
      <c r="F386" s="27"/>
      <c r="G386" s="27"/>
      <c r="H386" s="27"/>
      <c r="I386" s="27"/>
      <c r="J386" s="27"/>
      <c r="K386" s="27"/>
      <c r="L386" s="41"/>
    </row>
    <row r="387" spans="1:12" ht="27.95" customHeight="1">
      <c r="A387" s="40" t="s">
        <v>327</v>
      </c>
      <c r="B387" s="27" t="s">
        <v>367</v>
      </c>
      <c r="C387" s="27"/>
      <c r="D387" s="27"/>
      <c r="E387" s="27"/>
      <c r="F387" s="27"/>
      <c r="G387" s="27"/>
      <c r="H387" s="27"/>
      <c r="I387" s="27"/>
      <c r="J387" s="27"/>
      <c r="K387" s="27"/>
      <c r="L387" s="41"/>
    </row>
    <row r="388" spans="1:12" ht="27.95" customHeight="1">
      <c r="A388" s="40"/>
      <c r="B388" s="253" t="s">
        <v>368</v>
      </c>
      <c r="C388" s="27"/>
      <c r="D388" s="27"/>
      <c r="E388" s="27"/>
      <c r="F388" s="27"/>
      <c r="G388" s="27"/>
      <c r="H388" s="27"/>
      <c r="I388" s="27"/>
      <c r="J388" s="27"/>
      <c r="K388" s="27"/>
      <c r="L388" s="41"/>
    </row>
    <row r="389" spans="1:12" ht="27.95" customHeight="1">
      <c r="A389" s="40"/>
      <c r="B389" s="27" t="s">
        <v>362</v>
      </c>
      <c r="C389" s="27"/>
      <c r="D389" s="27"/>
      <c r="E389" s="27"/>
      <c r="F389" s="27"/>
      <c r="G389" s="27"/>
      <c r="H389" s="27"/>
      <c r="I389" s="27"/>
      <c r="J389" s="27"/>
      <c r="K389" s="27"/>
      <c r="L389" s="41"/>
    </row>
    <row r="390" spans="1:12" ht="27.95" customHeight="1">
      <c r="A390" s="40"/>
      <c r="B390" s="27" t="s">
        <v>369</v>
      </c>
      <c r="C390" s="27"/>
      <c r="D390" s="27"/>
      <c r="E390" s="27"/>
      <c r="F390" s="192"/>
      <c r="G390" s="192"/>
      <c r="H390" s="192"/>
      <c r="I390" s="192"/>
      <c r="J390" s="192"/>
      <c r="K390" s="192"/>
      <c r="L390" s="41"/>
    </row>
    <row r="391" spans="1:12">
      <c r="A391" s="40"/>
      <c r="B391" s="27" t="s">
        <v>370</v>
      </c>
      <c r="C391" s="27"/>
      <c r="D391" s="27"/>
      <c r="E391" s="27"/>
      <c r="F391" s="27"/>
      <c r="G391" s="27"/>
      <c r="H391" s="27"/>
      <c r="I391" s="27"/>
      <c r="J391" s="27"/>
      <c r="K391" s="27"/>
      <c r="L391" s="41"/>
    </row>
    <row r="392" spans="1:12">
      <c r="A392" s="40"/>
      <c r="B392" s="877" t="s">
        <v>371</v>
      </c>
      <c r="C392" s="877"/>
      <c r="D392" s="877"/>
      <c r="E392" s="877"/>
      <c r="F392" s="877"/>
      <c r="G392" s="877"/>
      <c r="H392" s="877"/>
      <c r="I392" s="877"/>
      <c r="J392" s="877"/>
      <c r="K392" s="877"/>
      <c r="L392" s="878"/>
    </row>
    <row r="393" spans="1:12" ht="23.25">
      <c r="A393" s="40"/>
      <c r="B393" s="255" t="s">
        <v>274</v>
      </c>
      <c r="C393" s="301">
        <f>'0422Master'!N16</f>
        <v>0</v>
      </c>
      <c r="D393" s="223"/>
      <c r="E393" s="223"/>
      <c r="F393" s="223"/>
      <c r="G393" s="223"/>
      <c r="H393" s="223"/>
      <c r="I393" s="255" t="s">
        <v>372</v>
      </c>
      <c r="J393" s="223"/>
      <c r="K393" s="223"/>
      <c r="L393" s="254"/>
    </row>
    <row r="394" spans="1:12" ht="16.5" thickBot="1">
      <c r="A394" s="54"/>
      <c r="B394" s="745"/>
      <c r="C394" s="745"/>
      <c r="D394" s="745"/>
      <c r="E394" s="745"/>
      <c r="F394" s="745"/>
      <c r="G394" s="745"/>
      <c r="H394" s="745"/>
      <c r="I394" s="745"/>
      <c r="J394" s="745"/>
      <c r="K394" s="745"/>
      <c r="L394" s="746"/>
    </row>
    <row r="395" spans="1:12" ht="24" thickBot="1">
      <c r="A395" s="27"/>
      <c r="B395" s="738"/>
      <c r="C395" s="738"/>
      <c r="D395" s="738"/>
      <c r="E395" s="738"/>
      <c r="F395" s="738"/>
      <c r="G395" s="738"/>
      <c r="H395" s="738"/>
      <c r="I395" s="738"/>
      <c r="J395" s="738"/>
      <c r="K395" s="738"/>
      <c r="L395" s="738"/>
    </row>
    <row r="396" spans="1:12">
      <c r="A396" s="96"/>
      <c r="B396" s="97"/>
      <c r="C396" s="97"/>
      <c r="D396" s="97"/>
      <c r="E396" s="97"/>
      <c r="F396" s="97"/>
      <c r="G396" s="97"/>
      <c r="H396" s="97"/>
      <c r="I396" s="106" t="s">
        <v>298</v>
      </c>
      <c r="J396" s="97"/>
      <c r="K396" s="97"/>
      <c r="L396" s="98"/>
    </row>
    <row r="397" spans="1:12" ht="15" customHeight="1">
      <c r="A397" s="40"/>
      <c r="B397" s="879" t="s">
        <v>299</v>
      </c>
      <c r="C397" s="879"/>
      <c r="D397" s="879"/>
      <c r="E397" s="879"/>
      <c r="F397" s="879"/>
      <c r="G397" s="879"/>
      <c r="H397" s="879"/>
      <c r="I397" s="879"/>
      <c r="J397" s="879"/>
      <c r="K397" s="879"/>
      <c r="L397" s="880"/>
    </row>
    <row r="398" spans="1:12" ht="23.25">
      <c r="A398" s="40"/>
      <c r="B398" s="223"/>
      <c r="C398" s="223"/>
      <c r="D398" s="232" t="s">
        <v>300</v>
      </c>
      <c r="E398" s="223"/>
      <c r="F398" s="223"/>
      <c r="G398" s="223"/>
      <c r="H398" s="223"/>
      <c r="I398" s="226" t="s">
        <v>301</v>
      </c>
      <c r="J398" s="227"/>
      <c r="K398" s="302" t="e">
        <f>'0422Master'!#REF!</f>
        <v>#REF!</v>
      </c>
      <c r="L398" s="257"/>
    </row>
    <row r="399" spans="1:12" ht="15.75">
      <c r="A399" s="40"/>
      <c r="B399" s="224"/>
      <c r="C399" s="224" t="s">
        <v>302</v>
      </c>
      <c r="D399" s="27"/>
      <c r="E399" s="224"/>
      <c r="F399" s="224"/>
      <c r="G399" s="224"/>
      <c r="H399" s="224"/>
      <c r="I399" s="225" t="s">
        <v>303</v>
      </c>
      <c r="J399" s="245" t="str">
        <f>'0422Master'!F5</f>
        <v>Burgeon IT Services Pvt.Ltd.</v>
      </c>
      <c r="K399" s="228"/>
      <c r="L399" s="258"/>
    </row>
    <row r="400" spans="1:12">
      <c r="A400" s="40"/>
      <c r="B400" s="233"/>
      <c r="C400" s="199" t="s">
        <v>304</v>
      </c>
      <c r="D400" s="27"/>
      <c r="E400" s="233"/>
      <c r="F400" s="233"/>
      <c r="G400" s="27"/>
      <c r="H400" s="200"/>
      <c r="I400" s="248" t="str">
        <f>'0422Master'!F6</f>
        <v>Siri Mansion LIGB 436 Dr.A S Rao Nagar,Hyderabad</v>
      </c>
      <c r="J400" s="246"/>
      <c r="K400" s="247"/>
      <c r="L400" s="211"/>
    </row>
    <row r="401" spans="1:12">
      <c r="A401" s="40"/>
      <c r="B401" s="27"/>
      <c r="C401" s="27"/>
      <c r="D401" s="27"/>
      <c r="E401" s="27"/>
      <c r="F401" s="27"/>
      <c r="G401" s="27"/>
      <c r="H401" s="27"/>
      <c r="I401" s="27"/>
      <c r="J401" s="27"/>
      <c r="K401" s="27"/>
      <c r="L401" s="41"/>
    </row>
    <row r="402" spans="1:12">
      <c r="A402" s="40">
        <v>1</v>
      </c>
      <c r="B402" s="229" t="s">
        <v>305</v>
      </c>
      <c r="C402" s="206"/>
      <c r="D402" s="206"/>
      <c r="E402" s="206"/>
      <c r="F402" s="206"/>
      <c r="G402" s="80"/>
      <c r="H402" s="838" t="e">
        <f>'0422Master'!#REF!</f>
        <v>#REF!</v>
      </c>
      <c r="I402" s="857"/>
      <c r="J402" s="857"/>
      <c r="K402" s="857"/>
      <c r="L402" s="858"/>
    </row>
    <row r="403" spans="1:12">
      <c r="A403" s="40">
        <v>2</v>
      </c>
      <c r="B403" s="881" t="s">
        <v>306</v>
      </c>
      <c r="C403" s="882"/>
      <c r="D403" s="882"/>
      <c r="E403" s="882"/>
      <c r="F403" s="230" t="s">
        <v>307</v>
      </c>
      <c r="G403" s="212"/>
      <c r="H403" s="883" t="e">
        <f>'0422Master'!#REF!</f>
        <v>#REF!</v>
      </c>
      <c r="I403" s="884"/>
      <c r="J403" s="884"/>
      <c r="K403" s="884"/>
      <c r="L403" s="885"/>
    </row>
    <row r="404" spans="1:12">
      <c r="A404" s="40"/>
      <c r="B404" s="213" t="s">
        <v>309</v>
      </c>
      <c r="C404" s="214"/>
      <c r="D404" s="214"/>
      <c r="E404" s="214"/>
      <c r="F404" s="214" t="s">
        <v>308</v>
      </c>
      <c r="G404" s="215"/>
      <c r="H404" s="886"/>
      <c r="I404" s="887"/>
      <c r="J404" s="887"/>
      <c r="K404" s="887"/>
      <c r="L404" s="888"/>
    </row>
    <row r="405" spans="1:12">
      <c r="A405" s="40">
        <v>3</v>
      </c>
      <c r="B405" s="231" t="s">
        <v>310</v>
      </c>
      <c r="C405" s="218"/>
      <c r="D405" s="218"/>
      <c r="E405" s="218"/>
      <c r="F405" s="218"/>
      <c r="G405" s="219"/>
      <c r="H405" s="861" t="e">
        <f>'0422Master'!#REF!</f>
        <v>#REF!</v>
      </c>
      <c r="I405" s="862"/>
      <c r="J405" s="862"/>
      <c r="K405" s="862"/>
      <c r="L405" s="863"/>
    </row>
    <row r="406" spans="1:12">
      <c r="A406" s="260">
        <v>4</v>
      </c>
      <c r="B406" s="205" t="s">
        <v>311</v>
      </c>
      <c r="C406" s="79"/>
      <c r="D406" s="79"/>
      <c r="E406" s="79"/>
      <c r="F406" s="79"/>
      <c r="G406" s="80"/>
      <c r="H406" s="835" t="e">
        <f>'0422Master'!#REF!</f>
        <v>#REF!</v>
      </c>
      <c r="I406" s="849"/>
      <c r="J406" s="849"/>
      <c r="K406" s="849"/>
      <c r="L406" s="843"/>
    </row>
    <row r="407" spans="1:12">
      <c r="A407" s="260">
        <v>5</v>
      </c>
      <c r="B407" s="864" t="s">
        <v>312</v>
      </c>
      <c r="C407" s="865"/>
      <c r="D407" s="865"/>
      <c r="E407" s="865"/>
      <c r="F407" s="865"/>
      <c r="G407" s="80"/>
      <c r="H407" s="856" t="s">
        <v>374</v>
      </c>
      <c r="I407" s="857"/>
      <c r="J407" s="857"/>
      <c r="K407" s="857"/>
      <c r="L407" s="858"/>
    </row>
    <row r="408" spans="1:12">
      <c r="A408" s="260">
        <v>6</v>
      </c>
      <c r="B408" s="420" t="s">
        <v>314</v>
      </c>
      <c r="C408" s="218" t="s">
        <v>315</v>
      </c>
      <c r="D408" s="218"/>
      <c r="E408" s="218"/>
      <c r="F408" s="218"/>
      <c r="G408" s="219"/>
      <c r="H408" s="231"/>
      <c r="I408" s="218"/>
      <c r="J408" s="218"/>
      <c r="K408" s="218"/>
      <c r="L408" s="259"/>
    </row>
    <row r="409" spans="1:12">
      <c r="A409" s="40"/>
      <c r="B409" s="420" t="s">
        <v>316</v>
      </c>
      <c r="C409" s="218" t="s">
        <v>317</v>
      </c>
      <c r="D409" s="218"/>
      <c r="E409" s="218"/>
      <c r="F409" s="218"/>
      <c r="G409" s="219"/>
      <c r="H409" s="231"/>
      <c r="I409" s="422"/>
      <c r="J409" s="422"/>
      <c r="K409" s="218"/>
      <c r="L409" s="259"/>
    </row>
    <row r="410" spans="1:12">
      <c r="A410" s="260">
        <v>7</v>
      </c>
      <c r="B410" s="861" t="s">
        <v>318</v>
      </c>
      <c r="C410" s="862"/>
      <c r="D410" s="862"/>
      <c r="E410" s="862"/>
      <c r="F410" s="862"/>
      <c r="G410" s="869"/>
      <c r="H410" s="480" t="s">
        <v>319</v>
      </c>
      <c r="I410" s="235"/>
      <c r="J410" s="236"/>
      <c r="K410" s="480" t="s">
        <v>320</v>
      </c>
      <c r="L410" s="261"/>
    </row>
    <row r="411" spans="1:12">
      <c r="A411" s="260">
        <v>8</v>
      </c>
      <c r="B411" s="861" t="s">
        <v>321</v>
      </c>
      <c r="C411" s="862"/>
      <c r="D411" s="862"/>
      <c r="E411" s="862"/>
      <c r="F411" s="862"/>
      <c r="G411" s="869"/>
      <c r="H411" s="480" t="s">
        <v>319</v>
      </c>
      <c r="I411" s="235"/>
      <c r="J411" s="236"/>
      <c r="K411" s="480" t="s">
        <v>320</v>
      </c>
      <c r="L411" s="261"/>
    </row>
    <row r="412" spans="1:12" ht="27.95" customHeight="1">
      <c r="A412" s="40"/>
      <c r="B412" s="205"/>
      <c r="C412" s="238"/>
      <c r="D412" s="238"/>
      <c r="E412" s="238"/>
      <c r="F412" s="238" t="s">
        <v>322</v>
      </c>
      <c r="G412" s="238"/>
      <c r="H412" s="238"/>
      <c r="I412" s="238"/>
      <c r="J412" s="238"/>
      <c r="K412" s="238"/>
      <c r="L412" s="262"/>
    </row>
    <row r="413" spans="1:12" ht="27.95" customHeight="1">
      <c r="A413" s="260">
        <v>9</v>
      </c>
      <c r="B413" s="420" t="s">
        <v>323</v>
      </c>
      <c r="C413" s="218" t="s">
        <v>324</v>
      </c>
      <c r="D413" s="218"/>
      <c r="E413" s="218"/>
      <c r="F413" s="218"/>
      <c r="G413" s="219"/>
      <c r="H413" s="231"/>
      <c r="I413" s="218"/>
      <c r="J413" s="218"/>
      <c r="K413" s="218"/>
      <c r="L413" s="259"/>
    </row>
    <row r="414" spans="1:12" ht="27.95" customHeight="1">
      <c r="A414" s="113"/>
      <c r="B414" s="420" t="s">
        <v>325</v>
      </c>
      <c r="C414" s="218" t="s">
        <v>326</v>
      </c>
      <c r="D414" s="218"/>
      <c r="E414" s="218"/>
      <c r="F414" s="218"/>
      <c r="G414" s="219"/>
      <c r="H414" s="231"/>
      <c r="I414" s="218"/>
      <c r="J414" s="218"/>
      <c r="K414" s="218"/>
      <c r="L414" s="259"/>
    </row>
    <row r="415" spans="1:12" ht="27.95" customHeight="1">
      <c r="A415" s="113"/>
      <c r="B415" s="420" t="s">
        <v>327</v>
      </c>
      <c r="C415" s="218" t="s">
        <v>328</v>
      </c>
      <c r="D415" s="218"/>
      <c r="E415" s="218"/>
      <c r="F415" s="218"/>
      <c r="G415" s="219"/>
      <c r="H415" s="231"/>
      <c r="I415" s="218"/>
      <c r="J415" s="218"/>
      <c r="K415" s="218"/>
      <c r="L415" s="259"/>
    </row>
    <row r="416" spans="1:12" ht="27.95" customHeight="1">
      <c r="A416" s="113"/>
      <c r="B416" s="420" t="s">
        <v>329</v>
      </c>
      <c r="C416" s="218" t="s">
        <v>330</v>
      </c>
      <c r="D416" s="218"/>
      <c r="E416" s="218"/>
      <c r="F416" s="218"/>
      <c r="G416" s="219"/>
      <c r="H416" s="231"/>
      <c r="I416" s="218"/>
      <c r="J416" s="218"/>
      <c r="K416" s="218"/>
      <c r="L416" s="259"/>
    </row>
    <row r="417" spans="1:12" ht="27.95" customHeight="1">
      <c r="A417" s="113"/>
      <c r="B417" s="420" t="s">
        <v>331</v>
      </c>
      <c r="C417" s="218" t="s">
        <v>332</v>
      </c>
      <c r="D417" s="218"/>
      <c r="E417" s="218"/>
      <c r="F417" s="218"/>
      <c r="G417" s="219"/>
      <c r="H417" s="231"/>
      <c r="I417" s="218"/>
      <c r="J417" s="218"/>
      <c r="K417" s="218"/>
      <c r="L417" s="259"/>
    </row>
    <row r="418" spans="1:12" ht="27.95" customHeight="1">
      <c r="A418" s="113">
        <v>10</v>
      </c>
      <c r="B418" s="420" t="s">
        <v>323</v>
      </c>
      <c r="C418" s="218" t="s">
        <v>333</v>
      </c>
      <c r="D418" s="218"/>
      <c r="E418" s="218"/>
      <c r="F418" s="218"/>
      <c r="G418" s="219"/>
      <c r="H418" s="480" t="s">
        <v>319</v>
      </c>
      <c r="I418" s="235"/>
      <c r="J418" s="236"/>
      <c r="K418" s="480" t="s">
        <v>320</v>
      </c>
      <c r="L418" s="261"/>
    </row>
    <row r="419" spans="1:12" ht="27.95" customHeight="1">
      <c r="A419" s="113"/>
      <c r="B419" s="420" t="s">
        <v>325</v>
      </c>
      <c r="C419" s="218" t="s">
        <v>334</v>
      </c>
      <c r="D419" s="218"/>
      <c r="E419" s="218"/>
      <c r="F419" s="218"/>
      <c r="G419" s="219"/>
      <c r="H419" s="231"/>
      <c r="I419" s="218"/>
      <c r="J419" s="218"/>
      <c r="K419" s="218"/>
      <c r="L419" s="259"/>
    </row>
    <row r="420" spans="1:12" ht="27.95" customHeight="1">
      <c r="A420" s="113"/>
      <c r="B420" s="420" t="s">
        <v>327</v>
      </c>
      <c r="C420" s="218" t="s">
        <v>335</v>
      </c>
      <c r="D420" s="218"/>
      <c r="E420" s="218"/>
      <c r="F420" s="218"/>
      <c r="G420" s="219"/>
      <c r="H420" s="231"/>
      <c r="I420" s="218"/>
      <c r="J420" s="218"/>
      <c r="K420" s="218"/>
      <c r="L420" s="259"/>
    </row>
    <row r="421" spans="1:12" ht="27.95" customHeight="1">
      <c r="A421" s="113"/>
      <c r="B421" s="420" t="s">
        <v>329</v>
      </c>
      <c r="C421" s="218" t="s">
        <v>336</v>
      </c>
      <c r="D421" s="218"/>
      <c r="E421" s="218"/>
      <c r="F421" s="218"/>
      <c r="G421" s="219"/>
      <c r="H421" s="231"/>
      <c r="I421" s="218"/>
      <c r="J421" s="218"/>
      <c r="K421" s="218"/>
      <c r="L421" s="259"/>
    </row>
    <row r="422" spans="1:12" ht="27.95" customHeight="1">
      <c r="A422" s="40"/>
      <c r="B422" s="205"/>
      <c r="C422" s="238"/>
      <c r="D422" s="238"/>
      <c r="E422" s="238" t="s">
        <v>337</v>
      </c>
      <c r="F422" s="238"/>
      <c r="G422" s="238"/>
      <c r="H422" s="238"/>
      <c r="I422" s="238"/>
      <c r="J422" s="238"/>
      <c r="K422" s="238"/>
      <c r="L422" s="262"/>
    </row>
    <row r="423" spans="1:12" ht="27.95" customHeight="1">
      <c r="A423" s="40">
        <v>11</v>
      </c>
      <c r="B423" s="420" t="s">
        <v>323</v>
      </c>
      <c r="C423" s="218" t="s">
        <v>338</v>
      </c>
      <c r="D423" s="218"/>
      <c r="E423" s="218"/>
      <c r="F423" s="218"/>
      <c r="G423" s="219"/>
      <c r="H423" s="231"/>
      <c r="I423" s="218"/>
      <c r="J423" s="218"/>
      <c r="K423" s="218"/>
      <c r="L423" s="259"/>
    </row>
    <row r="424" spans="1:12" ht="27.95" customHeight="1">
      <c r="A424" s="40"/>
      <c r="B424" s="420" t="s">
        <v>325</v>
      </c>
      <c r="C424" s="218" t="s">
        <v>339</v>
      </c>
      <c r="D424" s="218"/>
      <c r="E424" s="218"/>
      <c r="F424" s="218"/>
      <c r="G424" s="219"/>
      <c r="H424" s="231"/>
      <c r="I424" s="218"/>
      <c r="J424" s="218"/>
      <c r="K424" s="218"/>
      <c r="L424" s="259"/>
    </row>
    <row r="425" spans="1:12" ht="27.95" customHeight="1">
      <c r="A425" s="40"/>
      <c r="B425" s="420" t="s">
        <v>340</v>
      </c>
      <c r="C425" s="218" t="s">
        <v>341</v>
      </c>
      <c r="D425" s="218"/>
      <c r="E425" s="218"/>
      <c r="F425" s="218"/>
      <c r="G425" s="219"/>
      <c r="H425" s="231"/>
      <c r="I425" s="218"/>
      <c r="J425" s="218"/>
      <c r="K425" s="218"/>
      <c r="L425" s="259"/>
    </row>
    <row r="426" spans="1:12" ht="27.95" customHeight="1">
      <c r="A426" s="40"/>
      <c r="B426" s="193"/>
      <c r="C426" s="412"/>
      <c r="D426" s="412"/>
      <c r="E426" s="412"/>
      <c r="F426" s="239" t="s">
        <v>342</v>
      </c>
      <c r="G426" s="412"/>
      <c r="H426" s="411"/>
      <c r="I426" s="411"/>
      <c r="J426" s="411"/>
      <c r="K426" s="411"/>
      <c r="L426" s="195"/>
    </row>
    <row r="427" spans="1:12" ht="27.95" customHeight="1">
      <c r="A427" s="40"/>
      <c r="B427" s="251" t="s">
        <v>343</v>
      </c>
      <c r="C427" s="250" t="s">
        <v>344</v>
      </c>
      <c r="D427" s="412"/>
      <c r="E427" s="412"/>
      <c r="F427" s="412"/>
      <c r="G427" s="412"/>
      <c r="H427" s="411"/>
      <c r="I427" s="411"/>
      <c r="J427" s="410"/>
      <c r="K427" s="411"/>
      <c r="L427" s="195"/>
    </row>
    <row r="428" spans="1:12" ht="27.95" customHeight="1">
      <c r="A428" s="40"/>
      <c r="B428" s="251" t="s">
        <v>345</v>
      </c>
      <c r="C428" s="249" t="s">
        <v>346</v>
      </c>
      <c r="D428" s="411"/>
      <c r="E428" s="410"/>
      <c r="F428" s="27"/>
      <c r="G428" s="870"/>
      <c r="H428" s="870"/>
      <c r="I428" s="421"/>
      <c r="J428" s="194"/>
      <c r="K428" s="870"/>
      <c r="L428" s="871"/>
    </row>
    <row r="429" spans="1:12" ht="27.95" customHeight="1">
      <c r="A429" s="40"/>
      <c r="B429" s="252" t="s">
        <v>347</v>
      </c>
      <c r="C429" s="872" t="s">
        <v>348</v>
      </c>
      <c r="D429" s="872"/>
      <c r="E429" s="872"/>
      <c r="F429" s="872"/>
      <c r="G429" s="872"/>
      <c r="H429" s="872"/>
      <c r="I429" s="872"/>
      <c r="J429" s="872"/>
      <c r="K429" s="872"/>
      <c r="L429" s="873"/>
    </row>
    <row r="430" spans="1:12">
      <c r="A430" s="40"/>
      <c r="B430" s="251" t="s">
        <v>349</v>
      </c>
      <c r="C430" s="250" t="s">
        <v>350</v>
      </c>
      <c r="D430" s="242"/>
      <c r="E430" s="242"/>
      <c r="F430" s="242"/>
      <c r="G430" s="242"/>
      <c r="H430" s="242"/>
      <c r="I430" s="242"/>
      <c r="J430" s="242"/>
      <c r="K430" s="242"/>
      <c r="L430" s="263"/>
    </row>
    <row r="431" spans="1:12">
      <c r="A431" s="40"/>
      <c r="B431" s="193"/>
      <c r="C431" s="192" t="s">
        <v>351</v>
      </c>
      <c r="D431" s="303" t="e">
        <f>'0422Master'!#REF!</f>
        <v>#REF!</v>
      </c>
      <c r="E431" s="185"/>
      <c r="F431" s="185"/>
      <c r="G431" s="185"/>
      <c r="H431" s="27"/>
      <c r="I431" s="27"/>
      <c r="J431" s="27"/>
      <c r="K431" s="27"/>
      <c r="L431" s="41"/>
    </row>
    <row r="432" spans="1:12">
      <c r="A432" s="40"/>
      <c r="B432" s="27"/>
      <c r="C432" s="192" t="s">
        <v>352</v>
      </c>
      <c r="D432" s="27" t="s">
        <v>273</v>
      </c>
      <c r="E432" s="27"/>
      <c r="F432" s="27"/>
      <c r="G432" s="27"/>
      <c r="H432" s="27"/>
      <c r="I432" s="27"/>
      <c r="J432" s="27" t="s">
        <v>353</v>
      </c>
      <c r="K432" s="27"/>
      <c r="L432" s="41"/>
    </row>
    <row r="433" spans="1:12">
      <c r="A433" s="40"/>
      <c r="B433" s="27"/>
      <c r="C433" s="27"/>
      <c r="D433" s="27"/>
      <c r="E433" s="27"/>
      <c r="F433" s="240" t="s">
        <v>354</v>
      </c>
      <c r="G433" s="27"/>
      <c r="H433" s="27"/>
      <c r="I433" s="27"/>
      <c r="J433" s="27"/>
      <c r="K433" s="27"/>
      <c r="L433" s="41"/>
    </row>
    <row r="434" spans="1:12">
      <c r="A434" s="40" t="s">
        <v>355</v>
      </c>
      <c r="B434" s="27" t="s">
        <v>356</v>
      </c>
      <c r="C434" s="27"/>
      <c r="D434" s="27"/>
      <c r="E434" s="243" t="e">
        <f>'0422Master'!#REF!</f>
        <v>#REF!</v>
      </c>
      <c r="F434" s="27"/>
      <c r="G434" s="27"/>
      <c r="H434" s="874" t="s">
        <v>357</v>
      </c>
      <c r="I434" s="874"/>
      <c r="J434" s="244" t="e">
        <f>'0422Master'!#REF!</f>
        <v>#REF!</v>
      </c>
      <c r="K434" s="27" t="s">
        <v>358</v>
      </c>
      <c r="L434" s="41"/>
    </row>
    <row r="435" spans="1:12">
      <c r="A435" s="40"/>
      <c r="B435" s="875" t="e">
        <f>'0422Master'!#REF!</f>
        <v>#REF!</v>
      </c>
      <c r="C435" s="876"/>
      <c r="D435" s="241"/>
      <c r="E435" s="241"/>
      <c r="F435" s="241"/>
      <c r="G435" s="241"/>
      <c r="H435" s="241"/>
      <c r="I435" s="241"/>
      <c r="J435" s="241"/>
      <c r="K435" s="241"/>
      <c r="L435" s="264"/>
    </row>
    <row r="436" spans="1:12" ht="15" customHeight="1">
      <c r="A436" s="40" t="s">
        <v>359</v>
      </c>
      <c r="B436" s="241" t="s">
        <v>360</v>
      </c>
      <c r="C436" s="241"/>
      <c r="D436" s="241"/>
      <c r="E436" s="241"/>
      <c r="F436" s="241"/>
      <c r="G436" s="241"/>
      <c r="H436" s="241"/>
      <c r="I436" s="241"/>
      <c r="J436" s="241"/>
      <c r="K436" s="241"/>
      <c r="L436" s="264"/>
    </row>
    <row r="437" spans="1:12">
      <c r="A437" s="40"/>
      <c r="B437" s="241" t="s">
        <v>361</v>
      </c>
      <c r="C437" s="241"/>
      <c r="D437" s="241"/>
      <c r="E437" s="241"/>
      <c r="F437" s="241"/>
      <c r="G437" s="241"/>
      <c r="H437" s="241"/>
      <c r="I437" s="241"/>
      <c r="J437" s="241"/>
      <c r="K437" s="241"/>
      <c r="L437" s="264"/>
    </row>
    <row r="438" spans="1:12">
      <c r="A438" s="260"/>
      <c r="B438" s="27" t="s">
        <v>362</v>
      </c>
      <c r="C438" s="27"/>
      <c r="D438" s="27"/>
      <c r="E438" s="27"/>
      <c r="F438" s="27"/>
      <c r="G438" s="27"/>
      <c r="H438" s="27"/>
      <c r="I438" s="27"/>
      <c r="J438" s="27"/>
      <c r="K438" s="27"/>
      <c r="L438" s="41"/>
    </row>
    <row r="439" spans="1:12" ht="18.75">
      <c r="A439" s="40"/>
      <c r="B439" s="185" t="s">
        <v>363</v>
      </c>
      <c r="C439" s="27"/>
      <c r="D439" s="27"/>
      <c r="E439" s="27"/>
      <c r="F439" s="190"/>
      <c r="G439" s="27"/>
      <c r="H439" s="27"/>
      <c r="I439" s="27"/>
      <c r="J439" s="27"/>
      <c r="K439" s="27"/>
      <c r="L439" s="41"/>
    </row>
    <row r="440" spans="1:12">
      <c r="A440" s="40"/>
      <c r="B440" s="185" t="s">
        <v>364</v>
      </c>
      <c r="C440" s="27"/>
      <c r="D440" s="27"/>
      <c r="E440" s="27"/>
      <c r="F440" s="27"/>
      <c r="G440" s="27"/>
      <c r="H440" s="27"/>
      <c r="I440" s="27"/>
      <c r="J440" s="27"/>
      <c r="K440" s="27"/>
      <c r="L440" s="41"/>
    </row>
    <row r="441" spans="1:12">
      <c r="A441" s="40"/>
      <c r="B441" s="27" t="s">
        <v>365</v>
      </c>
      <c r="C441" s="27"/>
      <c r="D441" s="27"/>
      <c r="E441" s="27"/>
      <c r="F441" s="27"/>
      <c r="G441" s="27"/>
      <c r="H441" s="27"/>
      <c r="I441" s="27"/>
      <c r="J441" s="27"/>
      <c r="K441" s="27"/>
      <c r="L441" s="41"/>
    </row>
    <row r="442" spans="1:12">
      <c r="A442" s="40"/>
      <c r="B442" s="27" t="s">
        <v>366</v>
      </c>
      <c r="C442" s="27"/>
      <c r="D442" s="27"/>
      <c r="E442" s="27"/>
      <c r="F442" s="27"/>
      <c r="G442" s="27"/>
      <c r="H442" s="27"/>
      <c r="I442" s="27"/>
      <c r="J442" s="27"/>
      <c r="K442" s="27"/>
      <c r="L442" s="41"/>
    </row>
    <row r="443" spans="1:12">
      <c r="A443" s="40" t="s">
        <v>327</v>
      </c>
      <c r="B443" s="27" t="s">
        <v>367</v>
      </c>
      <c r="C443" s="27"/>
      <c r="D443" s="27"/>
      <c r="E443" s="27"/>
      <c r="F443" s="27"/>
      <c r="G443" s="27"/>
      <c r="H443" s="27"/>
      <c r="I443" s="27"/>
      <c r="J443" s="27"/>
      <c r="K443" s="27"/>
      <c r="L443" s="41"/>
    </row>
    <row r="444" spans="1:12">
      <c r="A444" s="40"/>
      <c r="B444" s="253" t="s">
        <v>368</v>
      </c>
      <c r="C444" s="27"/>
      <c r="D444" s="27"/>
      <c r="E444" s="27"/>
      <c r="F444" s="27"/>
      <c r="G444" s="27"/>
      <c r="H444" s="27"/>
      <c r="I444" s="27"/>
      <c r="J444" s="27"/>
      <c r="K444" s="27"/>
      <c r="L444" s="41"/>
    </row>
    <row r="445" spans="1:12">
      <c r="A445" s="40"/>
      <c r="B445" s="27" t="s">
        <v>362</v>
      </c>
      <c r="C445" s="27"/>
      <c r="D445" s="27"/>
      <c r="E445" s="27"/>
      <c r="F445" s="27"/>
      <c r="G445" s="27"/>
      <c r="H445" s="27"/>
      <c r="I445" s="27"/>
      <c r="J445" s="27"/>
      <c r="K445" s="27"/>
      <c r="L445" s="41"/>
    </row>
    <row r="446" spans="1:12">
      <c r="A446" s="40"/>
      <c r="B446" s="27" t="s">
        <v>369</v>
      </c>
      <c r="C446" s="27"/>
      <c r="D446" s="27"/>
      <c r="E446" s="27"/>
      <c r="F446" s="192"/>
      <c r="G446" s="192"/>
      <c r="H446" s="192"/>
      <c r="I446" s="192"/>
      <c r="J446" s="192"/>
      <c r="K446" s="192"/>
      <c r="L446" s="41"/>
    </row>
    <row r="447" spans="1:12">
      <c r="A447" s="40"/>
      <c r="B447" s="27" t="s">
        <v>370</v>
      </c>
      <c r="C447" s="27"/>
      <c r="D447" s="27"/>
      <c r="E447" s="27"/>
      <c r="F447" s="27"/>
      <c r="G447" s="27"/>
      <c r="H447" s="27"/>
      <c r="I447" s="27"/>
      <c r="J447" s="27"/>
      <c r="K447" s="27"/>
      <c r="L447" s="41"/>
    </row>
    <row r="448" spans="1:12">
      <c r="A448" s="40"/>
      <c r="B448" s="877" t="s">
        <v>371</v>
      </c>
      <c r="C448" s="877"/>
      <c r="D448" s="877"/>
      <c r="E448" s="877"/>
      <c r="F448" s="877"/>
      <c r="G448" s="877"/>
      <c r="H448" s="877"/>
      <c r="I448" s="877"/>
      <c r="J448" s="877"/>
      <c r="K448" s="877"/>
      <c r="L448" s="878"/>
    </row>
    <row r="449" spans="1:12" ht="23.25">
      <c r="A449" s="40"/>
      <c r="B449" s="255" t="s">
        <v>274</v>
      </c>
      <c r="C449" s="301" t="e">
        <f>'0422Master'!#REF!</f>
        <v>#REF!</v>
      </c>
      <c r="D449" s="223"/>
      <c r="E449" s="223"/>
      <c r="F449" s="223"/>
      <c r="G449" s="223"/>
      <c r="H449" s="223"/>
      <c r="I449" s="255" t="s">
        <v>372</v>
      </c>
      <c r="J449" s="223"/>
      <c r="K449" s="223"/>
      <c r="L449" s="254"/>
    </row>
    <row r="450" spans="1:12" ht="16.5" thickBot="1">
      <c r="A450" s="54"/>
      <c r="B450" s="745"/>
      <c r="C450" s="745"/>
      <c r="D450" s="745"/>
      <c r="E450" s="745"/>
      <c r="F450" s="745"/>
      <c r="G450" s="745"/>
      <c r="H450" s="745"/>
      <c r="I450" s="745"/>
      <c r="J450" s="745"/>
      <c r="K450" s="745"/>
      <c r="L450" s="746"/>
    </row>
    <row r="451" spans="1:12" ht="21.75" customHeight="1">
      <c r="A451" s="96"/>
      <c r="B451" s="97"/>
      <c r="C451" s="97"/>
      <c r="D451" s="97"/>
      <c r="E451" s="97"/>
      <c r="F451" s="97"/>
      <c r="G451" s="97"/>
      <c r="H451" s="97"/>
      <c r="I451" s="106" t="s">
        <v>298</v>
      </c>
      <c r="J451" s="97"/>
      <c r="K451" s="97"/>
      <c r="L451" s="98"/>
    </row>
    <row r="452" spans="1:12" ht="12" customHeight="1">
      <c r="A452" s="40"/>
      <c r="B452" s="879" t="s">
        <v>299</v>
      </c>
      <c r="C452" s="879"/>
      <c r="D452" s="879"/>
      <c r="E452" s="879"/>
      <c r="F452" s="879"/>
      <c r="G452" s="879"/>
      <c r="H452" s="879"/>
      <c r="I452" s="879"/>
      <c r="J452" s="879"/>
      <c r="K452" s="879"/>
      <c r="L452" s="880"/>
    </row>
    <row r="453" spans="1:12" ht="27.95" customHeight="1">
      <c r="A453" s="40"/>
      <c r="B453" s="223"/>
      <c r="C453" s="223"/>
      <c r="D453" s="232" t="s">
        <v>300</v>
      </c>
      <c r="E453" s="223"/>
      <c r="F453" s="223"/>
      <c r="G453" s="223"/>
      <c r="H453" s="223"/>
      <c r="I453" s="226" t="s">
        <v>301</v>
      </c>
      <c r="J453" s="227"/>
      <c r="K453" s="302" t="e">
        <f>'0422Master'!#REF!</f>
        <v>#REF!</v>
      </c>
      <c r="L453" s="257"/>
    </row>
    <row r="454" spans="1:12" ht="27.95" customHeight="1">
      <c r="A454" s="40"/>
      <c r="B454" s="224"/>
      <c r="C454" s="224" t="s">
        <v>302</v>
      </c>
      <c r="D454" s="27"/>
      <c r="E454" s="224"/>
      <c r="F454" s="224"/>
      <c r="G454" s="224"/>
      <c r="H454" s="224"/>
      <c r="I454" s="225" t="s">
        <v>303</v>
      </c>
      <c r="J454" s="245" t="str">
        <f>'0422Master'!F5</f>
        <v>Burgeon IT Services Pvt.Ltd.</v>
      </c>
      <c r="K454" s="228"/>
      <c r="L454" s="258"/>
    </row>
    <row r="455" spans="1:12" ht="24" customHeight="1">
      <c r="A455" s="40"/>
      <c r="B455" s="233"/>
      <c r="C455" s="199" t="s">
        <v>304</v>
      </c>
      <c r="D455" s="27"/>
      <c r="E455" s="233"/>
      <c r="F455" s="233"/>
      <c r="G455" s="27"/>
      <c r="H455" s="200"/>
      <c r="I455" s="248" t="str">
        <f>'0422Master'!F6</f>
        <v>Siri Mansion LIGB 436 Dr.A S Rao Nagar,Hyderabad</v>
      </c>
      <c r="J455" s="246"/>
      <c r="K455" s="247"/>
      <c r="L455" s="211"/>
    </row>
    <row r="456" spans="1:12" ht="27.95" customHeight="1">
      <c r="A456" s="40">
        <v>1</v>
      </c>
      <c r="B456" s="229" t="s">
        <v>305</v>
      </c>
      <c r="C456" s="206"/>
      <c r="D456" s="206"/>
      <c r="E456" s="206"/>
      <c r="F456" s="206"/>
      <c r="G456" s="80"/>
      <c r="H456" s="838" t="e">
        <f>'0422Master'!#REF!</f>
        <v>#REF!</v>
      </c>
      <c r="I456" s="857"/>
      <c r="J456" s="857"/>
      <c r="K456" s="857"/>
      <c r="L456" s="858"/>
    </row>
    <row r="457" spans="1:12" ht="21" customHeight="1">
      <c r="A457" s="40">
        <v>2</v>
      </c>
      <c r="B457" s="881" t="s">
        <v>306</v>
      </c>
      <c r="C457" s="882"/>
      <c r="D457" s="882"/>
      <c r="E457" s="882"/>
      <c r="F457" s="230" t="s">
        <v>307</v>
      </c>
      <c r="G457" s="212"/>
      <c r="H457" s="883" t="e">
        <f>'0422Master'!#REF!</f>
        <v>#REF!</v>
      </c>
      <c r="I457" s="884"/>
      <c r="J457" s="884"/>
      <c r="K457" s="884"/>
      <c r="L457" s="885"/>
    </row>
    <row r="458" spans="1:12" ht="12" customHeight="1">
      <c r="A458" s="40"/>
      <c r="B458" s="213" t="s">
        <v>309</v>
      </c>
      <c r="C458" s="214"/>
      <c r="D458" s="214"/>
      <c r="E458" s="214"/>
      <c r="F458" s="214" t="s">
        <v>308</v>
      </c>
      <c r="G458" s="215"/>
      <c r="H458" s="886"/>
      <c r="I458" s="887"/>
      <c r="J458" s="887"/>
      <c r="K458" s="887"/>
      <c r="L458" s="888"/>
    </row>
    <row r="459" spans="1:12" ht="27.95" customHeight="1">
      <c r="A459" s="40">
        <v>3</v>
      </c>
      <c r="B459" s="231" t="s">
        <v>310</v>
      </c>
      <c r="C459" s="218"/>
      <c r="D459" s="218"/>
      <c r="E459" s="218"/>
      <c r="F459" s="218"/>
      <c r="G459" s="219"/>
      <c r="H459" s="861" t="e">
        <f>'0422Master'!#REF!</f>
        <v>#REF!</v>
      </c>
      <c r="I459" s="862"/>
      <c r="J459" s="862"/>
      <c r="K459" s="862"/>
      <c r="L459" s="863"/>
    </row>
    <row r="460" spans="1:12" ht="23.25" customHeight="1">
      <c r="A460" s="260">
        <v>4</v>
      </c>
      <c r="B460" s="205" t="s">
        <v>311</v>
      </c>
      <c r="C460" s="79"/>
      <c r="D460" s="79"/>
      <c r="E460" s="79"/>
      <c r="F460" s="79"/>
      <c r="G460" s="80"/>
      <c r="H460" s="835" t="e">
        <f>'0422Master'!#REF!</f>
        <v>#REF!</v>
      </c>
      <c r="I460" s="849"/>
      <c r="J460" s="849"/>
      <c r="K460" s="849"/>
      <c r="L460" s="843"/>
    </row>
    <row r="461" spans="1:12" ht="27.95" customHeight="1">
      <c r="A461" s="260">
        <v>5</v>
      </c>
      <c r="B461" s="864" t="s">
        <v>312</v>
      </c>
      <c r="C461" s="865"/>
      <c r="D461" s="865"/>
      <c r="E461" s="865"/>
      <c r="F461" s="865"/>
      <c r="G461" s="80"/>
      <c r="H461" s="856" t="s">
        <v>374</v>
      </c>
      <c r="I461" s="857"/>
      <c r="J461" s="857"/>
      <c r="K461" s="857"/>
      <c r="L461" s="858"/>
    </row>
    <row r="462" spans="1:12" ht="27.95" customHeight="1">
      <c r="A462" s="260">
        <v>6</v>
      </c>
      <c r="B462" s="420" t="s">
        <v>314</v>
      </c>
      <c r="C462" s="218" t="s">
        <v>315</v>
      </c>
      <c r="D462" s="218"/>
      <c r="E462" s="218"/>
      <c r="F462" s="218"/>
      <c r="G462" s="219"/>
      <c r="H462" s="231"/>
      <c r="I462" s="218"/>
      <c r="J462" s="218"/>
      <c r="K462" s="218"/>
      <c r="L462" s="259"/>
    </row>
    <row r="463" spans="1:12" ht="27.95" customHeight="1">
      <c r="A463" s="40"/>
      <c r="B463" s="420" t="s">
        <v>316</v>
      </c>
      <c r="C463" s="218" t="s">
        <v>317</v>
      </c>
      <c r="D463" s="218"/>
      <c r="E463" s="218"/>
      <c r="F463" s="218"/>
      <c r="G463" s="219"/>
      <c r="H463" s="231"/>
      <c r="I463" s="422"/>
      <c r="J463" s="422"/>
      <c r="K463" s="218"/>
      <c r="L463" s="259"/>
    </row>
    <row r="464" spans="1:12" ht="27.95" customHeight="1">
      <c r="A464" s="260">
        <v>7</v>
      </c>
      <c r="B464" s="861" t="s">
        <v>318</v>
      </c>
      <c r="C464" s="862"/>
      <c r="D464" s="862"/>
      <c r="E464" s="862"/>
      <c r="F464" s="862"/>
      <c r="G464" s="869"/>
      <c r="H464" s="480" t="s">
        <v>319</v>
      </c>
      <c r="I464" s="235"/>
      <c r="J464" s="236"/>
      <c r="K464" s="480" t="s">
        <v>320</v>
      </c>
      <c r="L464" s="261"/>
    </row>
    <row r="465" spans="1:12" ht="27.95" customHeight="1">
      <c r="A465" s="260">
        <v>8</v>
      </c>
      <c r="B465" s="861" t="s">
        <v>321</v>
      </c>
      <c r="C465" s="862"/>
      <c r="D465" s="862"/>
      <c r="E465" s="862"/>
      <c r="F465" s="862"/>
      <c r="G465" s="869"/>
      <c r="H465" s="480" t="s">
        <v>319</v>
      </c>
      <c r="I465" s="235"/>
      <c r="J465" s="236"/>
      <c r="K465" s="480" t="s">
        <v>320</v>
      </c>
      <c r="L465" s="261"/>
    </row>
    <row r="466" spans="1:12" ht="27.95" customHeight="1">
      <c r="A466" s="40"/>
      <c r="B466" s="205"/>
      <c r="C466" s="238"/>
      <c r="D466" s="238"/>
      <c r="E466" s="238"/>
      <c r="F466" s="238" t="s">
        <v>322</v>
      </c>
      <c r="G466" s="238"/>
      <c r="H466" s="238"/>
      <c r="I466" s="238"/>
      <c r="J466" s="238"/>
      <c r="K466" s="238"/>
      <c r="L466" s="262"/>
    </row>
    <row r="467" spans="1:12" ht="27.95" customHeight="1">
      <c r="A467" s="260">
        <v>9</v>
      </c>
      <c r="B467" s="420" t="s">
        <v>323</v>
      </c>
      <c r="C467" s="218" t="s">
        <v>324</v>
      </c>
      <c r="D467" s="218"/>
      <c r="E467" s="218"/>
      <c r="F467" s="218"/>
      <c r="G467" s="219"/>
      <c r="H467" s="231"/>
      <c r="I467" s="218"/>
      <c r="J467" s="218"/>
      <c r="K467" s="218"/>
      <c r="L467" s="259"/>
    </row>
    <row r="468" spans="1:12">
      <c r="A468" s="113"/>
      <c r="B468" s="420" t="s">
        <v>325</v>
      </c>
      <c r="C468" s="218" t="s">
        <v>326</v>
      </c>
      <c r="D468" s="218"/>
      <c r="E468" s="218"/>
      <c r="F468" s="218"/>
      <c r="G468" s="219"/>
      <c r="H468" s="231"/>
      <c r="I468" s="218"/>
      <c r="J468" s="218"/>
      <c r="K468" s="218"/>
      <c r="L468" s="259"/>
    </row>
    <row r="469" spans="1:12">
      <c r="A469" s="113"/>
      <c r="B469" s="420" t="s">
        <v>327</v>
      </c>
      <c r="C469" s="218" t="s">
        <v>328</v>
      </c>
      <c r="D469" s="218"/>
      <c r="E469" s="218"/>
      <c r="F469" s="218"/>
      <c r="G469" s="219"/>
      <c r="H469" s="231"/>
      <c r="I469" s="218"/>
      <c r="J469" s="218"/>
      <c r="K469" s="218"/>
      <c r="L469" s="259"/>
    </row>
    <row r="470" spans="1:12">
      <c r="A470" s="113"/>
      <c r="B470" s="420" t="s">
        <v>329</v>
      </c>
      <c r="C470" s="218" t="s">
        <v>330</v>
      </c>
      <c r="D470" s="218"/>
      <c r="E470" s="218"/>
      <c r="F470" s="218"/>
      <c r="G470" s="219"/>
      <c r="H470" s="231"/>
      <c r="I470" s="218"/>
      <c r="J470" s="218"/>
      <c r="K470" s="218"/>
      <c r="L470" s="259"/>
    </row>
    <row r="471" spans="1:12">
      <c r="A471" s="113"/>
      <c r="B471" s="420" t="s">
        <v>331</v>
      </c>
      <c r="C471" s="218" t="s">
        <v>332</v>
      </c>
      <c r="D471" s="218"/>
      <c r="E471" s="218"/>
      <c r="F471" s="218"/>
      <c r="G471" s="219"/>
      <c r="H471" s="231"/>
      <c r="I471" s="218"/>
      <c r="J471" s="218"/>
      <c r="K471" s="218"/>
      <c r="L471" s="259"/>
    </row>
    <row r="472" spans="1:12">
      <c r="A472" s="113">
        <v>10</v>
      </c>
      <c r="B472" s="420" t="s">
        <v>323</v>
      </c>
      <c r="C472" s="218" t="s">
        <v>333</v>
      </c>
      <c r="D472" s="218"/>
      <c r="E472" s="218"/>
      <c r="F472" s="218"/>
      <c r="G472" s="219"/>
      <c r="H472" s="480" t="s">
        <v>319</v>
      </c>
      <c r="I472" s="235"/>
      <c r="J472" s="236"/>
      <c r="K472" s="480" t="s">
        <v>320</v>
      </c>
      <c r="L472" s="261"/>
    </row>
    <row r="473" spans="1:12" ht="15" customHeight="1">
      <c r="A473" s="113"/>
      <c r="B473" s="420" t="s">
        <v>325</v>
      </c>
      <c r="C473" s="218" t="s">
        <v>334</v>
      </c>
      <c r="D473" s="218"/>
      <c r="E473" s="218"/>
      <c r="F473" s="218"/>
      <c r="G473" s="219"/>
      <c r="H473" s="231"/>
      <c r="I473" s="218"/>
      <c r="J473" s="218"/>
      <c r="K473" s="218"/>
      <c r="L473" s="259"/>
    </row>
    <row r="474" spans="1:12">
      <c r="A474" s="113"/>
      <c r="B474" s="420" t="s">
        <v>327</v>
      </c>
      <c r="C474" s="218" t="s">
        <v>335</v>
      </c>
      <c r="D474" s="218"/>
      <c r="E474" s="218"/>
      <c r="F474" s="218"/>
      <c r="G474" s="219"/>
      <c r="H474" s="231"/>
      <c r="I474" s="218"/>
      <c r="J474" s="218"/>
      <c r="K474" s="218"/>
      <c r="L474" s="259"/>
    </row>
    <row r="475" spans="1:12">
      <c r="A475" s="113"/>
      <c r="B475" s="420" t="s">
        <v>329</v>
      </c>
      <c r="C475" s="218" t="s">
        <v>336</v>
      </c>
      <c r="D475" s="218"/>
      <c r="E475" s="218"/>
      <c r="F475" s="218"/>
      <c r="G475" s="219"/>
      <c r="H475" s="231"/>
      <c r="I475" s="218"/>
      <c r="J475" s="218"/>
      <c r="K475" s="218"/>
      <c r="L475" s="259"/>
    </row>
    <row r="476" spans="1:12">
      <c r="A476" s="40"/>
      <c r="B476" s="205"/>
      <c r="C476" s="238"/>
      <c r="D476" s="238"/>
      <c r="E476" s="238" t="s">
        <v>337</v>
      </c>
      <c r="F476" s="238"/>
      <c r="G476" s="238"/>
      <c r="H476" s="238"/>
      <c r="I476" s="238"/>
      <c r="J476" s="238"/>
      <c r="K476" s="238"/>
      <c r="L476" s="262"/>
    </row>
    <row r="477" spans="1:12">
      <c r="A477" s="40">
        <v>11</v>
      </c>
      <c r="B477" s="420" t="s">
        <v>323</v>
      </c>
      <c r="C477" s="218" t="s">
        <v>338</v>
      </c>
      <c r="D477" s="218"/>
      <c r="E477" s="218"/>
      <c r="F477" s="218"/>
      <c r="G477" s="219"/>
      <c r="H477" s="231"/>
      <c r="I477" s="218"/>
      <c r="J477" s="218"/>
      <c r="K477" s="218"/>
      <c r="L477" s="259"/>
    </row>
    <row r="478" spans="1:12">
      <c r="A478" s="40"/>
      <c r="B478" s="420" t="s">
        <v>325</v>
      </c>
      <c r="C478" s="218" t="s">
        <v>339</v>
      </c>
      <c r="D478" s="218"/>
      <c r="E478" s="218"/>
      <c r="F478" s="218"/>
      <c r="G478" s="219"/>
      <c r="H478" s="231"/>
      <c r="I478" s="218"/>
      <c r="J478" s="218"/>
      <c r="K478" s="218"/>
      <c r="L478" s="259"/>
    </row>
    <row r="479" spans="1:12">
      <c r="A479" s="40"/>
      <c r="B479" s="420" t="s">
        <v>340</v>
      </c>
      <c r="C479" s="218" t="s">
        <v>341</v>
      </c>
      <c r="D479" s="218"/>
      <c r="E479" s="218"/>
      <c r="F479" s="218"/>
      <c r="G479" s="219"/>
      <c r="H479" s="231"/>
      <c r="I479" s="218"/>
      <c r="J479" s="218"/>
      <c r="K479" s="218"/>
      <c r="L479" s="259"/>
    </row>
    <row r="480" spans="1:12">
      <c r="A480" s="40"/>
      <c r="B480" s="193"/>
      <c r="C480" s="412"/>
      <c r="D480" s="412"/>
      <c r="E480" s="412"/>
      <c r="F480" s="239" t="s">
        <v>342</v>
      </c>
      <c r="G480" s="412"/>
      <c r="H480" s="411"/>
      <c r="I480" s="411"/>
      <c r="J480" s="411"/>
      <c r="K480" s="411"/>
      <c r="L480" s="195"/>
    </row>
    <row r="481" spans="1:12">
      <c r="A481" s="40"/>
      <c r="B481" s="251" t="s">
        <v>343</v>
      </c>
      <c r="C481" s="250" t="s">
        <v>344</v>
      </c>
      <c r="D481" s="412"/>
      <c r="E481" s="412"/>
      <c r="F481" s="412"/>
      <c r="G481" s="412"/>
      <c r="H481" s="411"/>
      <c r="I481" s="411"/>
      <c r="J481" s="410"/>
      <c r="K481" s="411"/>
      <c r="L481" s="195"/>
    </row>
    <row r="482" spans="1:12">
      <c r="A482" s="40"/>
      <c r="B482" s="251" t="s">
        <v>345</v>
      </c>
      <c r="C482" s="249" t="s">
        <v>346</v>
      </c>
      <c r="D482" s="411"/>
      <c r="E482" s="410"/>
      <c r="F482" s="27"/>
      <c r="G482" s="870"/>
      <c r="H482" s="870"/>
      <c r="I482" s="421"/>
      <c r="J482" s="194"/>
      <c r="K482" s="870"/>
      <c r="L482" s="871"/>
    </row>
    <row r="483" spans="1:12">
      <c r="A483" s="40"/>
      <c r="B483" s="252" t="s">
        <v>347</v>
      </c>
      <c r="C483" s="872" t="s">
        <v>348</v>
      </c>
      <c r="D483" s="872"/>
      <c r="E483" s="872"/>
      <c r="F483" s="872"/>
      <c r="G483" s="872"/>
      <c r="H483" s="872"/>
      <c r="I483" s="872"/>
      <c r="J483" s="872"/>
      <c r="K483" s="872"/>
      <c r="L483" s="873"/>
    </row>
    <row r="484" spans="1:12">
      <c r="A484" s="40"/>
      <c r="B484" s="251" t="s">
        <v>349</v>
      </c>
      <c r="C484" s="250" t="s">
        <v>350</v>
      </c>
      <c r="D484" s="242"/>
      <c r="E484" s="242"/>
      <c r="F484" s="242"/>
      <c r="G484" s="242"/>
      <c r="H484" s="242"/>
      <c r="I484" s="242"/>
      <c r="J484" s="242"/>
      <c r="K484" s="242"/>
      <c r="L484" s="263"/>
    </row>
    <row r="485" spans="1:12">
      <c r="A485" s="40"/>
      <c r="B485" s="193"/>
      <c r="C485" s="192" t="s">
        <v>351</v>
      </c>
      <c r="D485" s="303" t="e">
        <f>'0422Master'!#REF!</f>
        <v>#REF!</v>
      </c>
      <c r="E485" s="185"/>
      <c r="F485" s="185"/>
      <c r="G485" s="185"/>
      <c r="H485" s="27"/>
      <c r="I485" s="27"/>
      <c r="J485" s="27"/>
      <c r="K485" s="27"/>
      <c r="L485" s="41"/>
    </row>
    <row r="486" spans="1:12">
      <c r="A486" s="40"/>
      <c r="B486" s="27"/>
      <c r="C486" s="192" t="s">
        <v>352</v>
      </c>
      <c r="D486" s="27" t="s">
        <v>273</v>
      </c>
      <c r="E486" s="27"/>
      <c r="F486" s="27"/>
      <c r="G486" s="27"/>
      <c r="H486" s="27"/>
      <c r="I486" s="27"/>
      <c r="J486" s="27" t="s">
        <v>353</v>
      </c>
      <c r="K486" s="27"/>
      <c r="L486" s="41"/>
    </row>
    <row r="487" spans="1:12">
      <c r="A487" s="40"/>
      <c r="B487" s="27"/>
      <c r="C487" s="27"/>
      <c r="D487" s="27"/>
      <c r="E487" s="27"/>
      <c r="F487" s="240" t="s">
        <v>354</v>
      </c>
      <c r="G487" s="27"/>
      <c r="H487" s="27"/>
      <c r="I487" s="27"/>
      <c r="J487" s="27"/>
      <c r="K487" s="27"/>
      <c r="L487" s="41"/>
    </row>
    <row r="488" spans="1:12" ht="27.95" customHeight="1">
      <c r="A488" s="40" t="s">
        <v>355</v>
      </c>
      <c r="B488" s="27" t="s">
        <v>356</v>
      </c>
      <c r="C488" s="27"/>
      <c r="D488" s="27"/>
      <c r="E488" s="243" t="e">
        <f>'0422Master'!#REF!</f>
        <v>#REF!</v>
      </c>
      <c r="F488" s="27"/>
      <c r="G488" s="27"/>
      <c r="H488" s="874" t="s">
        <v>357</v>
      </c>
      <c r="I488" s="874"/>
      <c r="J488" s="244" t="e">
        <f>'0422Master'!#REF!</f>
        <v>#REF!</v>
      </c>
      <c r="K488" s="27" t="s">
        <v>358</v>
      </c>
      <c r="L488" s="41"/>
    </row>
    <row r="489" spans="1:12" ht="15.75" customHeight="1">
      <c r="A489" s="40"/>
      <c r="B489" s="875" t="e">
        <f>'0422Master'!#REF!</f>
        <v>#REF!</v>
      </c>
      <c r="C489" s="876"/>
      <c r="D489" s="241"/>
      <c r="E489" s="241"/>
      <c r="F489" s="241"/>
      <c r="G489" s="241"/>
      <c r="H489" s="241"/>
      <c r="I489" s="241"/>
      <c r="J489" s="241"/>
      <c r="K489" s="241"/>
      <c r="L489" s="264"/>
    </row>
    <row r="490" spans="1:12" ht="22.5" customHeight="1">
      <c r="A490" s="40" t="s">
        <v>359</v>
      </c>
      <c r="B490" s="241" t="s">
        <v>360</v>
      </c>
      <c r="C490" s="241"/>
      <c r="D490" s="241"/>
      <c r="E490" s="241"/>
      <c r="F490" s="241"/>
      <c r="G490" s="241"/>
      <c r="H490" s="241"/>
      <c r="I490" s="241"/>
      <c r="J490" s="241"/>
      <c r="K490" s="241"/>
      <c r="L490" s="264"/>
    </row>
    <row r="491" spans="1:12" ht="19.5" customHeight="1">
      <c r="A491" s="40"/>
      <c r="B491" s="241" t="s">
        <v>361</v>
      </c>
      <c r="C491" s="241"/>
      <c r="D491" s="241"/>
      <c r="E491" s="241"/>
      <c r="F491" s="241"/>
      <c r="G491" s="241"/>
      <c r="H491" s="241"/>
      <c r="I491" s="241"/>
      <c r="J491" s="241"/>
      <c r="K491" s="241"/>
      <c r="L491" s="264"/>
    </row>
    <row r="492" spans="1:12" ht="22.5" customHeight="1">
      <c r="A492" s="260"/>
      <c r="B492" s="27" t="s">
        <v>362</v>
      </c>
      <c r="C492" s="27"/>
      <c r="D492" s="27"/>
      <c r="E492" s="27"/>
      <c r="F492" s="27"/>
      <c r="G492" s="27"/>
      <c r="H492" s="27"/>
      <c r="I492" s="27"/>
      <c r="J492" s="27"/>
      <c r="K492" s="27"/>
      <c r="L492" s="41"/>
    </row>
    <row r="493" spans="1:12" ht="18" customHeight="1">
      <c r="A493" s="40"/>
      <c r="B493" s="185" t="s">
        <v>363</v>
      </c>
      <c r="C493" s="27"/>
      <c r="D493" s="27"/>
      <c r="E493" s="27"/>
      <c r="F493" s="190"/>
      <c r="G493" s="27"/>
      <c r="H493" s="27"/>
      <c r="I493" s="27"/>
      <c r="J493" s="27"/>
      <c r="K493" s="27"/>
      <c r="L493" s="41"/>
    </row>
    <row r="494" spans="1:12" ht="16.5" customHeight="1">
      <c r="A494" s="40"/>
      <c r="B494" s="185" t="s">
        <v>364</v>
      </c>
      <c r="C494" s="27"/>
      <c r="D494" s="27"/>
      <c r="E494" s="27"/>
      <c r="F494" s="27"/>
      <c r="G494" s="27"/>
      <c r="H494" s="27"/>
      <c r="I494" s="27"/>
      <c r="J494" s="27"/>
      <c r="K494" s="27"/>
      <c r="L494" s="41"/>
    </row>
    <row r="495" spans="1:12" ht="22.5" customHeight="1">
      <c r="A495" s="40"/>
      <c r="B495" s="27" t="s">
        <v>365</v>
      </c>
      <c r="C495" s="27"/>
      <c r="D495" s="27"/>
      <c r="E495" s="27"/>
      <c r="F495" s="27"/>
      <c r="G495" s="27"/>
      <c r="H495" s="27"/>
      <c r="I495" s="27"/>
      <c r="J495" s="27"/>
      <c r="K495" s="27"/>
      <c r="L495" s="41"/>
    </row>
    <row r="496" spans="1:12" ht="19.5" customHeight="1">
      <c r="A496" s="40"/>
      <c r="B496" s="27" t="s">
        <v>366</v>
      </c>
      <c r="C496" s="27"/>
      <c r="D496" s="27"/>
      <c r="E496" s="27"/>
      <c r="F496" s="27"/>
      <c r="G496" s="27"/>
      <c r="H496" s="27"/>
      <c r="I496" s="27"/>
      <c r="J496" s="27"/>
      <c r="K496" s="27"/>
      <c r="L496" s="41"/>
    </row>
    <row r="497" spans="1:12" ht="20.25" customHeight="1">
      <c r="A497" s="40" t="s">
        <v>327</v>
      </c>
      <c r="B497" s="27" t="s">
        <v>367</v>
      </c>
      <c r="C497" s="27"/>
      <c r="D497" s="27"/>
      <c r="E497" s="27"/>
      <c r="F497" s="27"/>
      <c r="G497" s="27"/>
      <c r="H497" s="27"/>
      <c r="I497" s="27"/>
      <c r="J497" s="27"/>
      <c r="K497" s="27"/>
      <c r="L497" s="41"/>
    </row>
    <row r="498" spans="1:12" ht="20.25" customHeight="1">
      <c r="A498" s="40"/>
      <c r="B498" s="253" t="s">
        <v>368</v>
      </c>
      <c r="C498" s="27"/>
      <c r="D498" s="27"/>
      <c r="E498" s="27"/>
      <c r="F498" s="27"/>
      <c r="G498" s="27"/>
      <c r="H498" s="27"/>
      <c r="I498" s="27"/>
      <c r="J498" s="27"/>
      <c r="K498" s="27"/>
      <c r="L498" s="41"/>
    </row>
    <row r="499" spans="1:12" ht="20.25" customHeight="1">
      <c r="A499" s="40"/>
      <c r="B499" s="27" t="s">
        <v>362</v>
      </c>
      <c r="C499" s="27"/>
      <c r="D499" s="27"/>
      <c r="E499" s="27"/>
      <c r="F499" s="27"/>
      <c r="G499" s="27"/>
      <c r="H499" s="27"/>
      <c r="I499" s="27"/>
      <c r="J499" s="27"/>
      <c r="K499" s="27"/>
      <c r="L499" s="41"/>
    </row>
    <row r="500" spans="1:12" ht="20.25" customHeight="1">
      <c r="A500" s="40"/>
      <c r="B500" s="27" t="s">
        <v>369</v>
      </c>
      <c r="C500" s="27"/>
      <c r="D500" s="27"/>
      <c r="E500" s="27"/>
      <c r="F500" s="192"/>
      <c r="G500" s="192"/>
      <c r="H500" s="192"/>
      <c r="I500" s="192"/>
      <c r="J500" s="192"/>
      <c r="K500" s="192"/>
      <c r="L500" s="41"/>
    </row>
    <row r="501" spans="1:12" ht="20.25" customHeight="1">
      <c r="A501" s="40"/>
      <c r="B501" s="27" t="s">
        <v>370</v>
      </c>
      <c r="C501" s="27"/>
      <c r="D501" s="27"/>
      <c r="E501" s="27"/>
      <c r="F501" s="27"/>
      <c r="G501" s="27"/>
      <c r="H501" s="27"/>
      <c r="I501" s="27"/>
      <c r="J501" s="27"/>
      <c r="K501" s="27"/>
      <c r="L501" s="41"/>
    </row>
    <row r="502" spans="1:12" ht="21" customHeight="1">
      <c r="A502" s="40"/>
      <c r="B502" s="877" t="s">
        <v>371</v>
      </c>
      <c r="C502" s="877"/>
      <c r="D502" s="877"/>
      <c r="E502" s="877"/>
      <c r="F502" s="877"/>
      <c r="G502" s="877"/>
      <c r="H502" s="877"/>
      <c r="I502" s="877"/>
      <c r="J502" s="877"/>
      <c r="K502" s="877"/>
      <c r="L502" s="878"/>
    </row>
    <row r="503" spans="1:12" ht="27.95" customHeight="1">
      <c r="A503" s="40"/>
      <c r="B503" s="255" t="s">
        <v>274</v>
      </c>
      <c r="C503" s="301" t="e">
        <f>'0422Master'!#REF!</f>
        <v>#REF!</v>
      </c>
      <c r="D503" s="223"/>
      <c r="E503" s="223"/>
      <c r="F503" s="223"/>
      <c r="G503" s="223"/>
      <c r="H503" s="223"/>
      <c r="I503" s="255" t="s">
        <v>372</v>
      </c>
      <c r="J503" s="223"/>
      <c r="K503" s="223"/>
      <c r="L503" s="254"/>
    </row>
    <row r="504" spans="1:12" ht="27.95" customHeight="1" thickBot="1">
      <c r="A504" s="54"/>
      <c r="B504" s="745"/>
      <c r="C504" s="745"/>
      <c r="D504" s="745"/>
      <c r="E504" s="745"/>
      <c r="F504" s="745"/>
      <c r="G504" s="745"/>
      <c r="H504" s="745"/>
      <c r="I504" s="745"/>
      <c r="J504" s="745"/>
      <c r="K504" s="745"/>
      <c r="L504" s="746"/>
    </row>
    <row r="505" spans="1:12" ht="27.95" customHeight="1">
      <c r="A505" s="96"/>
      <c r="B505" s="97"/>
      <c r="C505" s="97"/>
      <c r="D505" s="97"/>
      <c r="E505" s="97"/>
      <c r="F505" s="97"/>
      <c r="G505" s="97"/>
      <c r="H505" s="97"/>
      <c r="I505" s="106" t="s">
        <v>298</v>
      </c>
      <c r="J505" s="97"/>
      <c r="K505" s="97"/>
      <c r="L505" s="98"/>
    </row>
    <row r="506" spans="1:12">
      <c r="A506" s="40"/>
      <c r="B506" s="879" t="s">
        <v>299</v>
      </c>
      <c r="C506" s="879"/>
      <c r="D506" s="879"/>
      <c r="E506" s="879"/>
      <c r="F506" s="879"/>
      <c r="G506" s="879"/>
      <c r="H506" s="879"/>
      <c r="I506" s="879"/>
      <c r="J506" s="879"/>
      <c r="K506" s="879"/>
      <c r="L506" s="880"/>
    </row>
    <row r="507" spans="1:12" ht="23.25">
      <c r="A507" s="40"/>
      <c r="B507" s="223"/>
      <c r="C507" s="223"/>
      <c r="D507" s="232" t="s">
        <v>300</v>
      </c>
      <c r="E507" s="223"/>
      <c r="F507" s="223"/>
      <c r="G507" s="223"/>
      <c r="H507" s="223"/>
      <c r="I507" s="226" t="s">
        <v>301</v>
      </c>
      <c r="J507" s="227"/>
      <c r="K507" s="227"/>
      <c r="L507" s="257"/>
    </row>
    <row r="508" spans="1:12" ht="15.75">
      <c r="A508" s="40"/>
      <c r="B508" s="224"/>
      <c r="C508" s="224" t="s">
        <v>302</v>
      </c>
      <c r="D508" s="27"/>
      <c r="E508" s="224"/>
      <c r="F508" s="224"/>
      <c r="G508" s="224"/>
      <c r="H508" s="224"/>
      <c r="I508" s="225" t="s">
        <v>303</v>
      </c>
      <c r="J508" s="245">
        <f>'0422Master'!F492</f>
        <v>0</v>
      </c>
      <c r="K508" s="228"/>
      <c r="L508" s="258"/>
    </row>
    <row r="509" spans="1:12">
      <c r="A509" s="40"/>
      <c r="B509" s="233"/>
      <c r="C509" s="199" t="s">
        <v>304</v>
      </c>
      <c r="D509" s="27"/>
      <c r="E509" s="233"/>
      <c r="F509" s="233"/>
      <c r="G509" s="27"/>
      <c r="H509" s="200"/>
      <c r="I509" s="248">
        <f>'0422Master'!F493</f>
        <v>0</v>
      </c>
      <c r="J509" s="246"/>
      <c r="K509" s="247"/>
      <c r="L509" s="211"/>
    </row>
    <row r="510" spans="1:12">
      <c r="A510" s="40">
        <v>1</v>
      </c>
      <c r="B510" s="229" t="s">
        <v>305</v>
      </c>
      <c r="C510" s="206"/>
      <c r="D510" s="206"/>
      <c r="E510" s="206"/>
      <c r="F510" s="206"/>
      <c r="G510" s="80"/>
      <c r="H510" s="856"/>
      <c r="I510" s="857"/>
      <c r="J510" s="857"/>
      <c r="K510" s="857"/>
      <c r="L510" s="858"/>
    </row>
    <row r="511" spans="1:12" ht="15" customHeight="1">
      <c r="A511" s="40">
        <v>2</v>
      </c>
      <c r="B511" s="881" t="s">
        <v>306</v>
      </c>
      <c r="C511" s="882"/>
      <c r="D511" s="882"/>
      <c r="E511" s="882"/>
      <c r="F511" s="230" t="s">
        <v>307</v>
      </c>
      <c r="G511" s="212"/>
      <c r="H511" s="883"/>
      <c r="I511" s="884"/>
      <c r="J511" s="884"/>
      <c r="K511" s="884"/>
      <c r="L511" s="885"/>
    </row>
    <row r="512" spans="1:12">
      <c r="A512" s="40"/>
      <c r="B512" s="213" t="s">
        <v>309</v>
      </c>
      <c r="C512" s="214"/>
      <c r="D512" s="214"/>
      <c r="E512" s="214"/>
      <c r="F512" s="214" t="s">
        <v>308</v>
      </c>
      <c r="G512" s="215"/>
      <c r="H512" s="886"/>
      <c r="I512" s="887"/>
      <c r="J512" s="887"/>
      <c r="K512" s="887"/>
      <c r="L512" s="888"/>
    </row>
    <row r="513" spans="1:12">
      <c r="A513" s="40">
        <v>3</v>
      </c>
      <c r="B513" s="231" t="s">
        <v>310</v>
      </c>
      <c r="C513" s="218"/>
      <c r="D513" s="218"/>
      <c r="E513" s="218"/>
      <c r="F513" s="218"/>
      <c r="G513" s="219"/>
      <c r="H513" s="861">
        <f>'0422Master'!C223</f>
        <v>0</v>
      </c>
      <c r="I513" s="862"/>
      <c r="J513" s="862"/>
      <c r="K513" s="862"/>
      <c r="L513" s="863"/>
    </row>
    <row r="514" spans="1:12">
      <c r="A514" s="260">
        <v>4</v>
      </c>
      <c r="B514" s="205" t="s">
        <v>311</v>
      </c>
      <c r="C514" s="79"/>
      <c r="D514" s="79"/>
      <c r="E514" s="79"/>
      <c r="F514" s="79"/>
      <c r="G514" s="80"/>
      <c r="H514" s="835">
        <f>'0422Master'!D223</f>
        <v>0</v>
      </c>
      <c r="I514" s="849"/>
      <c r="J514" s="849"/>
      <c r="K514" s="849"/>
      <c r="L514" s="843"/>
    </row>
    <row r="515" spans="1:12">
      <c r="A515" s="260">
        <v>5</v>
      </c>
      <c r="B515" s="864" t="s">
        <v>312</v>
      </c>
      <c r="C515" s="865"/>
      <c r="D515" s="865"/>
      <c r="E515" s="865"/>
      <c r="F515" s="865"/>
      <c r="G515" s="80"/>
      <c r="H515" s="856" t="s">
        <v>374</v>
      </c>
      <c r="I515" s="857"/>
      <c r="J515" s="857"/>
      <c r="K515" s="857"/>
      <c r="L515" s="858"/>
    </row>
    <row r="516" spans="1:12">
      <c r="A516" s="260">
        <v>6</v>
      </c>
      <c r="B516" s="420" t="s">
        <v>314</v>
      </c>
      <c r="C516" s="218" t="s">
        <v>315</v>
      </c>
      <c r="D516" s="218"/>
      <c r="E516" s="218"/>
      <c r="F516" s="218"/>
      <c r="G516" s="219"/>
      <c r="H516" s="231"/>
      <c r="I516" s="218"/>
      <c r="J516" s="218"/>
      <c r="K516" s="218"/>
      <c r="L516" s="259"/>
    </row>
    <row r="517" spans="1:12">
      <c r="A517" s="40"/>
      <c r="B517" s="420" t="s">
        <v>316</v>
      </c>
      <c r="C517" s="218" t="s">
        <v>317</v>
      </c>
      <c r="D517" s="218"/>
      <c r="E517" s="218"/>
      <c r="F517" s="218"/>
      <c r="G517" s="219"/>
      <c r="H517" s="231"/>
      <c r="I517" s="422"/>
      <c r="J517" s="422"/>
      <c r="K517" s="218"/>
      <c r="L517" s="259"/>
    </row>
    <row r="518" spans="1:12">
      <c r="A518" s="260">
        <v>7</v>
      </c>
      <c r="B518" s="861" t="s">
        <v>318</v>
      </c>
      <c r="C518" s="862"/>
      <c r="D518" s="862"/>
      <c r="E518" s="862"/>
      <c r="F518" s="862"/>
      <c r="G518" s="869"/>
      <c r="H518" s="480" t="s">
        <v>319</v>
      </c>
      <c r="I518" s="235"/>
      <c r="J518" s="236"/>
      <c r="K518" s="480" t="s">
        <v>320</v>
      </c>
      <c r="L518" s="261"/>
    </row>
    <row r="519" spans="1:12">
      <c r="A519" s="260">
        <v>8</v>
      </c>
      <c r="B519" s="861" t="s">
        <v>321</v>
      </c>
      <c r="C519" s="862"/>
      <c r="D519" s="862"/>
      <c r="E519" s="862"/>
      <c r="F519" s="862"/>
      <c r="G519" s="869"/>
      <c r="H519" s="480" t="s">
        <v>319</v>
      </c>
      <c r="I519" s="235"/>
      <c r="J519" s="236"/>
      <c r="K519" s="480" t="s">
        <v>320</v>
      </c>
      <c r="L519" s="261"/>
    </row>
    <row r="520" spans="1:12">
      <c r="A520" s="40"/>
      <c r="B520" s="205"/>
      <c r="C520" s="238"/>
      <c r="D520" s="238"/>
      <c r="E520" s="238"/>
      <c r="F520" s="238" t="s">
        <v>322</v>
      </c>
      <c r="G520" s="238"/>
      <c r="H520" s="238"/>
      <c r="I520" s="238"/>
      <c r="J520" s="238"/>
      <c r="K520" s="238"/>
      <c r="L520" s="262"/>
    </row>
    <row r="521" spans="1:12">
      <c r="A521" s="260">
        <v>9</v>
      </c>
      <c r="B521" s="420" t="s">
        <v>323</v>
      </c>
      <c r="C521" s="218" t="s">
        <v>324</v>
      </c>
      <c r="D521" s="218"/>
      <c r="E521" s="218"/>
      <c r="F521" s="218"/>
      <c r="G521" s="219"/>
      <c r="H521" s="231"/>
      <c r="I521" s="218"/>
      <c r="J521" s="218"/>
      <c r="K521" s="218"/>
      <c r="L521" s="259"/>
    </row>
    <row r="522" spans="1:12">
      <c r="A522" s="113"/>
      <c r="B522" s="420" t="s">
        <v>325</v>
      </c>
      <c r="C522" s="218" t="s">
        <v>326</v>
      </c>
      <c r="D522" s="218"/>
      <c r="E522" s="218"/>
      <c r="F522" s="218"/>
      <c r="G522" s="219"/>
      <c r="H522" s="231"/>
      <c r="I522" s="218"/>
      <c r="J522" s="218"/>
      <c r="K522" s="218"/>
      <c r="L522" s="259"/>
    </row>
    <row r="523" spans="1:12">
      <c r="A523" s="113"/>
      <c r="B523" s="420" t="s">
        <v>327</v>
      </c>
      <c r="C523" s="218" t="s">
        <v>328</v>
      </c>
      <c r="D523" s="218"/>
      <c r="E523" s="218"/>
      <c r="F523" s="218"/>
      <c r="G523" s="219"/>
      <c r="H523" s="231"/>
      <c r="I523" s="218"/>
      <c r="J523" s="218"/>
      <c r="K523" s="218"/>
      <c r="L523" s="259"/>
    </row>
    <row r="524" spans="1:12">
      <c r="A524" s="113"/>
      <c r="B524" s="420" t="s">
        <v>329</v>
      </c>
      <c r="C524" s="218" t="s">
        <v>330</v>
      </c>
      <c r="D524" s="218"/>
      <c r="E524" s="218"/>
      <c r="F524" s="218"/>
      <c r="G524" s="219"/>
      <c r="H524" s="231"/>
      <c r="I524" s="218"/>
      <c r="J524" s="218"/>
      <c r="K524" s="218"/>
      <c r="L524" s="259"/>
    </row>
    <row r="525" spans="1:12">
      <c r="A525" s="113"/>
      <c r="B525" s="420" t="s">
        <v>331</v>
      </c>
      <c r="C525" s="218" t="s">
        <v>332</v>
      </c>
      <c r="D525" s="218"/>
      <c r="E525" s="218"/>
      <c r="F525" s="218"/>
      <c r="G525" s="219"/>
      <c r="H525" s="231"/>
      <c r="I525" s="218"/>
      <c r="J525" s="218"/>
      <c r="K525" s="218"/>
      <c r="L525" s="259"/>
    </row>
    <row r="526" spans="1:12" ht="27.95" customHeight="1">
      <c r="A526" s="113">
        <v>10</v>
      </c>
      <c r="B526" s="420" t="s">
        <v>323</v>
      </c>
      <c r="C526" s="218" t="s">
        <v>333</v>
      </c>
      <c r="D526" s="218"/>
      <c r="E526" s="218"/>
      <c r="F526" s="218"/>
      <c r="G526" s="219"/>
      <c r="H526" s="480" t="s">
        <v>319</v>
      </c>
      <c r="I526" s="235"/>
      <c r="J526" s="236"/>
      <c r="K526" s="480" t="s">
        <v>320</v>
      </c>
      <c r="L526" s="261"/>
    </row>
    <row r="527" spans="1:12" ht="27.95" customHeight="1">
      <c r="A527" s="113"/>
      <c r="B527" s="420" t="s">
        <v>325</v>
      </c>
      <c r="C527" s="218" t="s">
        <v>334</v>
      </c>
      <c r="D527" s="218"/>
      <c r="E527" s="218"/>
      <c r="F527" s="218"/>
      <c r="G527" s="219"/>
      <c r="H527" s="231"/>
      <c r="I527" s="218"/>
      <c r="J527" s="218"/>
      <c r="K527" s="218"/>
      <c r="L527" s="259"/>
    </row>
    <row r="528" spans="1:12" ht="27.95" customHeight="1">
      <c r="A528" s="113"/>
      <c r="B528" s="420" t="s">
        <v>327</v>
      </c>
      <c r="C528" s="218" t="s">
        <v>335</v>
      </c>
      <c r="D528" s="218"/>
      <c r="E528" s="218"/>
      <c r="F528" s="218"/>
      <c r="G528" s="219"/>
      <c r="H528" s="231"/>
      <c r="I528" s="218"/>
      <c r="J528" s="218"/>
      <c r="K528" s="218"/>
      <c r="L528" s="259"/>
    </row>
    <row r="529" spans="1:12" ht="27.95" customHeight="1">
      <c r="A529" s="113"/>
      <c r="B529" s="420" t="s">
        <v>329</v>
      </c>
      <c r="C529" s="218" t="s">
        <v>336</v>
      </c>
      <c r="D529" s="218"/>
      <c r="E529" s="218"/>
      <c r="F529" s="218"/>
      <c r="G529" s="219"/>
      <c r="H529" s="231"/>
      <c r="I529" s="218"/>
      <c r="J529" s="218"/>
      <c r="K529" s="218"/>
      <c r="L529" s="259"/>
    </row>
    <row r="530" spans="1:12" ht="27.95" customHeight="1">
      <c r="A530" s="40"/>
      <c r="B530" s="205"/>
      <c r="C530" s="238"/>
      <c r="D530" s="238"/>
      <c r="E530" s="238" t="s">
        <v>337</v>
      </c>
      <c r="F530" s="238"/>
      <c r="G530" s="238"/>
      <c r="H530" s="238"/>
      <c r="I530" s="238"/>
      <c r="J530" s="238"/>
      <c r="K530" s="238"/>
      <c r="L530" s="262"/>
    </row>
    <row r="531" spans="1:12" ht="27.95" customHeight="1">
      <c r="A531" s="40">
        <v>11</v>
      </c>
      <c r="B531" s="420" t="s">
        <v>323</v>
      </c>
      <c r="C531" s="218" t="s">
        <v>338</v>
      </c>
      <c r="D531" s="218"/>
      <c r="E531" s="218"/>
      <c r="F531" s="218"/>
      <c r="G531" s="219"/>
      <c r="H531" s="231"/>
      <c r="I531" s="218"/>
      <c r="J531" s="218"/>
      <c r="K531" s="218"/>
      <c r="L531" s="259"/>
    </row>
    <row r="532" spans="1:12" ht="27.95" customHeight="1">
      <c r="A532" s="40"/>
      <c r="B532" s="420" t="s">
        <v>325</v>
      </c>
      <c r="C532" s="218" t="s">
        <v>339</v>
      </c>
      <c r="D532" s="218"/>
      <c r="E532" s="218"/>
      <c r="F532" s="218"/>
      <c r="G532" s="219"/>
      <c r="H532" s="231"/>
      <c r="I532" s="218"/>
      <c r="J532" s="218"/>
      <c r="K532" s="218"/>
      <c r="L532" s="259"/>
    </row>
    <row r="533" spans="1:12" ht="27.95" customHeight="1">
      <c r="A533" s="40"/>
      <c r="B533" s="420" t="s">
        <v>340</v>
      </c>
      <c r="C533" s="218" t="s">
        <v>341</v>
      </c>
      <c r="D533" s="218"/>
      <c r="E533" s="218"/>
      <c r="F533" s="218"/>
      <c r="G533" s="219"/>
      <c r="H533" s="231"/>
      <c r="I533" s="218"/>
      <c r="J533" s="218"/>
      <c r="K533" s="218"/>
      <c r="L533" s="259"/>
    </row>
    <row r="534" spans="1:12" ht="27.95" customHeight="1">
      <c r="A534" s="40"/>
      <c r="B534" s="193"/>
      <c r="C534" s="412"/>
      <c r="D534" s="412"/>
      <c r="E534" s="412"/>
      <c r="F534" s="239" t="s">
        <v>342</v>
      </c>
      <c r="G534" s="412"/>
      <c r="H534" s="411"/>
      <c r="I534" s="411"/>
      <c r="J534" s="411"/>
      <c r="K534" s="411"/>
      <c r="L534" s="195"/>
    </row>
    <row r="535" spans="1:12" ht="27.95" customHeight="1">
      <c r="A535" s="40"/>
      <c r="B535" s="251" t="s">
        <v>343</v>
      </c>
      <c r="C535" s="250" t="s">
        <v>344</v>
      </c>
      <c r="D535" s="412"/>
      <c r="E535" s="412"/>
      <c r="F535" s="412"/>
      <c r="G535" s="412"/>
      <c r="H535" s="411"/>
      <c r="I535" s="411"/>
      <c r="J535" s="410"/>
      <c r="K535" s="411"/>
      <c r="L535" s="195"/>
    </row>
    <row r="536" spans="1:12" ht="27.95" customHeight="1">
      <c r="A536" s="40"/>
      <c r="B536" s="251" t="s">
        <v>345</v>
      </c>
      <c r="C536" s="249" t="s">
        <v>346</v>
      </c>
      <c r="D536" s="411"/>
      <c r="E536" s="410"/>
      <c r="F536" s="27"/>
      <c r="G536" s="870"/>
      <c r="H536" s="870"/>
      <c r="I536" s="421"/>
      <c r="J536" s="194"/>
      <c r="K536" s="870"/>
      <c r="L536" s="871"/>
    </row>
    <row r="537" spans="1:12" ht="27.95" customHeight="1">
      <c r="A537" s="40"/>
      <c r="B537" s="252" t="s">
        <v>347</v>
      </c>
      <c r="C537" s="872" t="s">
        <v>348</v>
      </c>
      <c r="D537" s="872"/>
      <c r="E537" s="872"/>
      <c r="F537" s="872"/>
      <c r="G537" s="872"/>
      <c r="H537" s="872"/>
      <c r="I537" s="872"/>
      <c r="J537" s="872"/>
      <c r="K537" s="872"/>
      <c r="L537" s="873"/>
    </row>
    <row r="538" spans="1:12" ht="27.95" customHeight="1">
      <c r="A538" s="40"/>
      <c r="B538" s="251" t="s">
        <v>349</v>
      </c>
      <c r="C538" s="250" t="s">
        <v>350</v>
      </c>
      <c r="D538" s="242"/>
      <c r="E538" s="242"/>
      <c r="F538" s="242"/>
      <c r="G538" s="242"/>
      <c r="H538" s="242"/>
      <c r="I538" s="242"/>
      <c r="J538" s="242"/>
      <c r="K538" s="242"/>
      <c r="L538" s="263"/>
    </row>
    <row r="539" spans="1:12" ht="27.95" customHeight="1">
      <c r="A539" s="40"/>
      <c r="B539" s="193"/>
      <c r="C539" s="192" t="s">
        <v>351</v>
      </c>
      <c r="D539" s="185"/>
      <c r="E539" s="185"/>
      <c r="F539" s="185"/>
      <c r="G539" s="185"/>
      <c r="H539" s="27"/>
      <c r="I539" s="27"/>
      <c r="J539" s="27"/>
      <c r="K539" s="27"/>
      <c r="L539" s="41"/>
    </row>
    <row r="540" spans="1:12" ht="27.95" customHeight="1">
      <c r="A540" s="40"/>
      <c r="B540" s="27"/>
      <c r="C540" s="192" t="s">
        <v>352</v>
      </c>
      <c r="D540" s="27"/>
      <c r="E540" s="27"/>
      <c r="F540" s="27"/>
      <c r="G540" s="27"/>
      <c r="H540" s="27"/>
      <c r="I540" s="27"/>
      <c r="J540" s="27" t="s">
        <v>353</v>
      </c>
      <c r="K540" s="27"/>
      <c r="L540" s="41"/>
    </row>
    <row r="541" spans="1:12" ht="27.95" customHeight="1">
      <c r="A541" s="40"/>
      <c r="B541" s="27"/>
      <c r="C541" s="27"/>
      <c r="D541" s="27"/>
      <c r="E541" s="27"/>
      <c r="F541" s="240" t="s">
        <v>354</v>
      </c>
      <c r="G541" s="27"/>
      <c r="H541" s="27"/>
      <c r="I541" s="27"/>
      <c r="J541" s="27"/>
      <c r="K541" s="27"/>
      <c r="L541" s="41"/>
    </row>
    <row r="542" spans="1:12" ht="27.95" customHeight="1">
      <c r="A542" s="40" t="s">
        <v>355</v>
      </c>
      <c r="B542" s="27" t="s">
        <v>356</v>
      </c>
      <c r="C542" s="27"/>
      <c r="D542" s="27"/>
      <c r="E542" s="243">
        <f>'0422Master'!B502</f>
        <v>0</v>
      </c>
      <c r="F542" s="27"/>
      <c r="G542" s="27"/>
      <c r="H542" s="874" t="s">
        <v>357</v>
      </c>
      <c r="I542" s="874"/>
      <c r="J542" s="244">
        <f>'0422Master'!N502</f>
        <v>0</v>
      </c>
      <c r="K542" s="27" t="s">
        <v>358</v>
      </c>
      <c r="L542" s="41"/>
    </row>
    <row r="543" spans="1:12" ht="27.95" customHeight="1">
      <c r="A543" s="40"/>
      <c r="B543" s="875">
        <f>'0422Master'!S502</f>
        <v>0</v>
      </c>
      <c r="C543" s="876"/>
      <c r="D543" s="241"/>
      <c r="E543" s="241"/>
      <c r="F543" s="241"/>
      <c r="G543" s="241"/>
      <c r="H543" s="241"/>
      <c r="I543" s="241"/>
      <c r="J543" s="241"/>
      <c r="K543" s="241"/>
      <c r="L543" s="264"/>
    </row>
    <row r="544" spans="1:12">
      <c r="A544" s="40" t="s">
        <v>359</v>
      </c>
      <c r="B544" s="241" t="s">
        <v>360</v>
      </c>
      <c r="C544" s="241"/>
      <c r="D544" s="241"/>
      <c r="E544" s="241"/>
      <c r="F544" s="241"/>
      <c r="G544" s="241"/>
      <c r="H544" s="241"/>
      <c r="I544" s="241"/>
      <c r="J544" s="241"/>
      <c r="K544" s="241"/>
      <c r="L544" s="264"/>
    </row>
    <row r="545" spans="1:12">
      <c r="A545" s="40"/>
      <c r="B545" s="241" t="s">
        <v>361</v>
      </c>
      <c r="C545" s="241"/>
      <c r="D545" s="241"/>
      <c r="E545" s="241"/>
      <c r="F545" s="241"/>
      <c r="G545" s="241"/>
      <c r="H545" s="241"/>
      <c r="I545" s="241"/>
      <c r="J545" s="241"/>
      <c r="K545" s="241"/>
      <c r="L545" s="264"/>
    </row>
    <row r="546" spans="1:12">
      <c r="A546" s="260"/>
      <c r="B546" s="27" t="s">
        <v>362</v>
      </c>
      <c r="C546" s="27"/>
      <c r="D546" s="27"/>
      <c r="E546" s="27"/>
      <c r="F546" s="27"/>
      <c r="G546" s="27"/>
      <c r="H546" s="27"/>
      <c r="I546" s="27"/>
      <c r="J546" s="27"/>
      <c r="K546" s="27"/>
      <c r="L546" s="41"/>
    </row>
    <row r="547" spans="1:12" ht="18.75">
      <c r="A547" s="40"/>
      <c r="B547" s="185" t="s">
        <v>363</v>
      </c>
      <c r="C547" s="27"/>
      <c r="D547" s="27"/>
      <c r="E547" s="27"/>
      <c r="F547" s="190"/>
      <c r="G547" s="27"/>
      <c r="H547" s="27"/>
      <c r="I547" s="27"/>
      <c r="J547" s="27"/>
      <c r="K547" s="27"/>
      <c r="L547" s="41"/>
    </row>
    <row r="548" spans="1:12">
      <c r="A548" s="40"/>
      <c r="B548" s="185" t="s">
        <v>364</v>
      </c>
      <c r="C548" s="27"/>
      <c r="D548" s="27"/>
      <c r="E548" s="27"/>
      <c r="F548" s="27"/>
      <c r="G548" s="27"/>
      <c r="H548" s="27"/>
      <c r="I548" s="27"/>
      <c r="J548" s="27"/>
      <c r="K548" s="27"/>
      <c r="L548" s="41"/>
    </row>
    <row r="549" spans="1:12" ht="15" customHeight="1">
      <c r="A549" s="40"/>
      <c r="B549" s="27" t="s">
        <v>365</v>
      </c>
      <c r="C549" s="27"/>
      <c r="D549" s="27"/>
      <c r="E549" s="27"/>
      <c r="F549" s="27"/>
      <c r="G549" s="27"/>
      <c r="H549" s="27"/>
      <c r="I549" s="27"/>
      <c r="J549" s="27"/>
      <c r="K549" s="27"/>
      <c r="L549" s="41"/>
    </row>
    <row r="550" spans="1:12">
      <c r="A550" s="40"/>
      <c r="B550" s="27" t="s">
        <v>366</v>
      </c>
      <c r="C550" s="27"/>
      <c r="D550" s="27"/>
      <c r="E550" s="27"/>
      <c r="F550" s="27"/>
      <c r="G550" s="27"/>
      <c r="H550" s="27"/>
      <c r="I550" s="27"/>
      <c r="J550" s="27"/>
      <c r="K550" s="27"/>
      <c r="L550" s="41"/>
    </row>
    <row r="551" spans="1:12">
      <c r="A551" s="40" t="s">
        <v>327</v>
      </c>
      <c r="B551" s="27" t="s">
        <v>367</v>
      </c>
      <c r="C551" s="27"/>
      <c r="D551" s="27"/>
      <c r="E551" s="27"/>
      <c r="F551" s="27"/>
      <c r="G551" s="27"/>
      <c r="H551" s="27"/>
      <c r="I551" s="27"/>
      <c r="J551" s="27"/>
      <c r="K551" s="27"/>
      <c r="L551" s="41"/>
    </row>
    <row r="552" spans="1:12">
      <c r="A552" s="40"/>
      <c r="B552" s="253" t="s">
        <v>368</v>
      </c>
      <c r="C552" s="27"/>
      <c r="D552" s="27"/>
      <c r="E552" s="27"/>
      <c r="F552" s="27"/>
      <c r="G552" s="27"/>
      <c r="H552" s="27"/>
      <c r="I552" s="27"/>
      <c r="J552" s="27"/>
      <c r="K552" s="27"/>
      <c r="L552" s="41"/>
    </row>
    <row r="553" spans="1:12">
      <c r="A553" s="40"/>
      <c r="B553" s="27" t="s">
        <v>362</v>
      </c>
      <c r="C553" s="27"/>
      <c r="D553" s="27"/>
      <c r="E553" s="27"/>
      <c r="F553" s="27"/>
      <c r="G553" s="27"/>
      <c r="H553" s="27"/>
      <c r="I553" s="27"/>
      <c r="J553" s="27"/>
      <c r="K553" s="27"/>
      <c r="L553" s="41"/>
    </row>
    <row r="554" spans="1:12">
      <c r="A554" s="40"/>
      <c r="B554" s="27" t="s">
        <v>369</v>
      </c>
      <c r="C554" s="27"/>
      <c r="D554" s="27"/>
      <c r="E554" s="27"/>
      <c r="F554" s="192"/>
      <c r="G554" s="192"/>
      <c r="H554" s="192"/>
      <c r="I554" s="192"/>
      <c r="J554" s="192"/>
      <c r="K554" s="192"/>
      <c r="L554" s="41"/>
    </row>
    <row r="555" spans="1:12">
      <c r="A555" s="40"/>
      <c r="B555" s="27" t="s">
        <v>370</v>
      </c>
      <c r="C555" s="27"/>
      <c r="D555" s="27"/>
      <c r="E555" s="27"/>
      <c r="F555" s="27"/>
      <c r="G555" s="27"/>
      <c r="H555" s="27"/>
      <c r="I555" s="27"/>
      <c r="J555" s="27"/>
      <c r="K555" s="27"/>
      <c r="L555" s="41"/>
    </row>
    <row r="556" spans="1:12">
      <c r="A556" s="40"/>
      <c r="B556" s="877" t="s">
        <v>371</v>
      </c>
      <c r="C556" s="877"/>
      <c r="D556" s="877"/>
      <c r="E556" s="877"/>
      <c r="F556" s="877"/>
      <c r="G556" s="877"/>
      <c r="H556" s="877"/>
      <c r="I556" s="877"/>
      <c r="J556" s="877"/>
      <c r="K556" s="877"/>
      <c r="L556" s="878"/>
    </row>
    <row r="557" spans="1:12" ht="23.25">
      <c r="A557" s="40"/>
      <c r="B557" s="255" t="s">
        <v>274</v>
      </c>
      <c r="C557" s="223"/>
      <c r="D557" s="223"/>
      <c r="E557" s="223"/>
      <c r="F557" s="223"/>
      <c r="G557" s="223"/>
      <c r="H557" s="223"/>
      <c r="I557" s="255" t="s">
        <v>372</v>
      </c>
      <c r="J557" s="223"/>
      <c r="K557" s="223"/>
      <c r="L557" s="254"/>
    </row>
    <row r="558" spans="1:12" ht="16.5" thickBot="1">
      <c r="A558" s="54"/>
      <c r="B558" s="745"/>
      <c r="C558" s="745"/>
      <c r="D558" s="745"/>
      <c r="E558" s="745"/>
      <c r="F558" s="745"/>
      <c r="G558" s="745"/>
      <c r="H558" s="745"/>
      <c r="I558" s="745"/>
      <c r="J558" s="745"/>
      <c r="K558" s="745"/>
      <c r="L558" s="746"/>
    </row>
    <row r="559" spans="1:12">
      <c r="A559" s="96"/>
      <c r="B559" s="97"/>
      <c r="C559" s="97"/>
      <c r="D559" s="97"/>
      <c r="E559" s="97"/>
      <c r="F559" s="97"/>
      <c r="G559" s="97"/>
      <c r="H559" s="97"/>
      <c r="I559" s="106" t="s">
        <v>298</v>
      </c>
      <c r="J559" s="97"/>
      <c r="K559" s="97"/>
      <c r="L559" s="98"/>
    </row>
    <row r="560" spans="1:12">
      <c r="A560" s="40"/>
      <c r="B560" s="879" t="s">
        <v>299</v>
      </c>
      <c r="C560" s="879"/>
      <c r="D560" s="879"/>
      <c r="E560" s="879"/>
      <c r="F560" s="879"/>
      <c r="G560" s="879"/>
      <c r="H560" s="879"/>
      <c r="I560" s="879"/>
      <c r="J560" s="879"/>
      <c r="K560" s="879"/>
      <c r="L560" s="880"/>
    </row>
    <row r="561" spans="1:12" ht="23.25">
      <c r="A561" s="40"/>
      <c r="B561" s="223"/>
      <c r="C561" s="223"/>
      <c r="D561" s="232" t="s">
        <v>300</v>
      </c>
      <c r="E561" s="223"/>
      <c r="F561" s="223"/>
      <c r="G561" s="223"/>
      <c r="H561" s="223"/>
      <c r="I561" s="226" t="s">
        <v>301</v>
      </c>
      <c r="J561" s="227"/>
      <c r="K561" s="227"/>
      <c r="L561" s="257"/>
    </row>
    <row r="562" spans="1:12" ht="15.75">
      <c r="A562" s="40"/>
      <c r="B562" s="224"/>
      <c r="C562" s="224" t="s">
        <v>302</v>
      </c>
      <c r="D562" s="27"/>
      <c r="E562" s="224"/>
      <c r="F562" s="224"/>
      <c r="G562" s="224"/>
      <c r="H562" s="224"/>
      <c r="I562" s="225" t="s">
        <v>303</v>
      </c>
      <c r="J562" s="245">
        <f>'0422Master'!F546</f>
        <v>0</v>
      </c>
      <c r="K562" s="228"/>
      <c r="L562" s="258"/>
    </row>
    <row r="563" spans="1:12">
      <c r="A563" s="40"/>
      <c r="B563" s="233"/>
      <c r="C563" s="199" t="s">
        <v>304</v>
      </c>
      <c r="D563" s="27"/>
      <c r="E563" s="233"/>
      <c r="F563" s="233"/>
      <c r="G563" s="27"/>
      <c r="H563" s="200"/>
      <c r="I563" s="248">
        <f>'0422Master'!F547</f>
        <v>0</v>
      </c>
      <c r="J563" s="246"/>
      <c r="K563" s="247"/>
      <c r="L563" s="211"/>
    </row>
    <row r="564" spans="1:12" ht="23.25" customHeight="1">
      <c r="A564" s="40">
        <v>1</v>
      </c>
      <c r="B564" s="229" t="s">
        <v>305</v>
      </c>
      <c r="C564" s="206"/>
      <c r="D564" s="206"/>
      <c r="E564" s="206"/>
      <c r="F564" s="206"/>
      <c r="G564" s="80"/>
      <c r="H564" s="856"/>
      <c r="I564" s="857"/>
      <c r="J564" s="857"/>
      <c r="K564" s="857"/>
      <c r="L564" s="858"/>
    </row>
    <row r="565" spans="1:12" ht="22.5" customHeight="1">
      <c r="A565" s="40">
        <v>2</v>
      </c>
      <c r="B565" s="881" t="s">
        <v>306</v>
      </c>
      <c r="C565" s="882"/>
      <c r="D565" s="882"/>
      <c r="E565" s="882"/>
      <c r="F565" s="230" t="s">
        <v>307</v>
      </c>
      <c r="G565" s="212"/>
      <c r="H565" s="883"/>
      <c r="I565" s="884"/>
      <c r="J565" s="884"/>
      <c r="K565" s="884"/>
      <c r="L565" s="885"/>
    </row>
    <row r="566" spans="1:12" ht="10.5" customHeight="1">
      <c r="A566" s="40"/>
      <c r="B566" s="213" t="s">
        <v>309</v>
      </c>
      <c r="C566" s="214"/>
      <c r="D566" s="214"/>
      <c r="E566" s="214"/>
      <c r="F566" s="214" t="s">
        <v>308</v>
      </c>
      <c r="G566" s="215"/>
      <c r="H566" s="886"/>
      <c r="I566" s="887"/>
      <c r="J566" s="887"/>
      <c r="K566" s="887"/>
      <c r="L566" s="888"/>
    </row>
    <row r="567" spans="1:12" ht="24" customHeight="1">
      <c r="A567" s="40">
        <v>3</v>
      </c>
      <c r="B567" s="231" t="s">
        <v>310</v>
      </c>
      <c r="C567" s="218"/>
      <c r="D567" s="218"/>
      <c r="E567" s="218"/>
      <c r="F567" s="218"/>
      <c r="G567" s="219"/>
      <c r="H567" s="231"/>
      <c r="I567" s="218"/>
      <c r="J567" s="218"/>
      <c r="K567" s="218"/>
      <c r="L567" s="259"/>
    </row>
    <row r="568" spans="1:12" ht="27.95" customHeight="1">
      <c r="A568" s="260">
        <v>4</v>
      </c>
      <c r="B568" s="205" t="s">
        <v>311</v>
      </c>
      <c r="C568" s="79"/>
      <c r="D568" s="79"/>
      <c r="E568" s="79"/>
      <c r="F568" s="79"/>
      <c r="G568" s="80"/>
      <c r="H568" s="205"/>
      <c r="I568" s="79"/>
      <c r="J568" s="79"/>
      <c r="K568" s="79"/>
      <c r="L568" s="211"/>
    </row>
    <row r="569" spans="1:12" ht="27.95" customHeight="1">
      <c r="A569" s="260">
        <v>5</v>
      </c>
      <c r="B569" s="864" t="s">
        <v>312</v>
      </c>
      <c r="C569" s="865"/>
      <c r="D569" s="865"/>
      <c r="E569" s="865"/>
      <c r="F569" s="865"/>
      <c r="G569" s="80"/>
      <c r="H569" s="866"/>
      <c r="I569" s="867"/>
      <c r="J569" s="867"/>
      <c r="K569" s="867"/>
      <c r="L569" s="868"/>
    </row>
    <row r="570" spans="1:12" ht="27.95" customHeight="1">
      <c r="A570" s="260">
        <v>6</v>
      </c>
      <c r="B570" s="420" t="s">
        <v>314</v>
      </c>
      <c r="C570" s="218" t="s">
        <v>315</v>
      </c>
      <c r="D570" s="218"/>
      <c r="E570" s="218"/>
      <c r="F570" s="218"/>
      <c r="G570" s="219"/>
      <c r="H570" s="231"/>
      <c r="I570" s="218"/>
      <c r="J570" s="218"/>
      <c r="K570" s="218"/>
      <c r="L570" s="259"/>
    </row>
    <row r="571" spans="1:12" ht="27.95" customHeight="1">
      <c r="A571" s="40"/>
      <c r="B571" s="420" t="s">
        <v>316</v>
      </c>
      <c r="C571" s="218" t="s">
        <v>317</v>
      </c>
      <c r="D571" s="218"/>
      <c r="E571" s="218"/>
      <c r="F571" s="218"/>
      <c r="G571" s="219"/>
      <c r="H571" s="231"/>
      <c r="I571" s="422"/>
      <c r="J571" s="422"/>
      <c r="K571" s="218"/>
      <c r="L571" s="259"/>
    </row>
    <row r="572" spans="1:12" ht="27.95" customHeight="1">
      <c r="A572" s="260">
        <v>7</v>
      </c>
      <c r="B572" s="861" t="s">
        <v>318</v>
      </c>
      <c r="C572" s="862"/>
      <c r="D572" s="862"/>
      <c r="E572" s="862"/>
      <c r="F572" s="862"/>
      <c r="G572" s="869"/>
      <c r="H572" s="480" t="s">
        <v>319</v>
      </c>
      <c r="I572" s="235"/>
      <c r="J572" s="236"/>
      <c r="K572" s="480" t="s">
        <v>320</v>
      </c>
      <c r="L572" s="261"/>
    </row>
    <row r="573" spans="1:12" ht="27.95" customHeight="1">
      <c r="A573" s="260">
        <v>8</v>
      </c>
      <c r="B573" s="861" t="s">
        <v>321</v>
      </c>
      <c r="C573" s="862"/>
      <c r="D573" s="862"/>
      <c r="E573" s="862"/>
      <c r="F573" s="862"/>
      <c r="G573" s="869"/>
      <c r="H573" s="480" t="s">
        <v>319</v>
      </c>
      <c r="I573" s="235"/>
      <c r="J573" s="236"/>
      <c r="K573" s="480" t="s">
        <v>320</v>
      </c>
      <c r="L573" s="261"/>
    </row>
    <row r="574" spans="1:12" ht="27.95" customHeight="1">
      <c r="A574" s="40"/>
      <c r="B574" s="205"/>
      <c r="C574" s="238"/>
      <c r="D574" s="238"/>
      <c r="E574" s="238"/>
      <c r="F574" s="238" t="s">
        <v>322</v>
      </c>
      <c r="G574" s="238"/>
      <c r="H574" s="238"/>
      <c r="I574" s="238"/>
      <c r="J574" s="238"/>
      <c r="K574" s="238"/>
      <c r="L574" s="262"/>
    </row>
    <row r="575" spans="1:12" ht="27.95" customHeight="1">
      <c r="A575" s="260">
        <v>9</v>
      </c>
      <c r="B575" s="420" t="s">
        <v>323</v>
      </c>
      <c r="C575" s="218" t="s">
        <v>324</v>
      </c>
      <c r="D575" s="218"/>
      <c r="E575" s="218"/>
      <c r="F575" s="218"/>
      <c r="G575" s="219"/>
      <c r="H575" s="231"/>
      <c r="I575" s="218"/>
      <c r="J575" s="218"/>
      <c r="K575" s="218"/>
      <c r="L575" s="259"/>
    </row>
    <row r="576" spans="1:12" ht="24" customHeight="1">
      <c r="A576" s="113"/>
      <c r="B576" s="420" t="s">
        <v>325</v>
      </c>
      <c r="C576" s="218" t="s">
        <v>326</v>
      </c>
      <c r="D576" s="218"/>
      <c r="E576" s="218"/>
      <c r="F576" s="218"/>
      <c r="G576" s="219"/>
      <c r="H576" s="231"/>
      <c r="I576" s="218"/>
      <c r="J576" s="218"/>
      <c r="K576" s="218"/>
      <c r="L576" s="259"/>
    </row>
    <row r="577" spans="1:12" ht="24" customHeight="1">
      <c r="A577" s="113"/>
      <c r="B577" s="420" t="s">
        <v>327</v>
      </c>
      <c r="C577" s="218" t="s">
        <v>328</v>
      </c>
      <c r="D577" s="218"/>
      <c r="E577" s="218"/>
      <c r="F577" s="218"/>
      <c r="G577" s="219"/>
      <c r="H577" s="231"/>
      <c r="I577" s="218"/>
      <c r="J577" s="218"/>
      <c r="K577" s="218"/>
      <c r="L577" s="259"/>
    </row>
    <row r="578" spans="1:12" ht="22.5" customHeight="1">
      <c r="A578" s="113"/>
      <c r="B578" s="420" t="s">
        <v>329</v>
      </c>
      <c r="C578" s="218" t="s">
        <v>330</v>
      </c>
      <c r="D578" s="218"/>
      <c r="E578" s="218"/>
      <c r="F578" s="218"/>
      <c r="G578" s="219"/>
      <c r="H578" s="231"/>
      <c r="I578" s="218"/>
      <c r="J578" s="218"/>
      <c r="K578" s="218"/>
      <c r="L578" s="259"/>
    </row>
    <row r="579" spans="1:12" ht="27.95" customHeight="1">
      <c r="A579" s="113"/>
      <c r="B579" s="420" t="s">
        <v>331</v>
      </c>
      <c r="C579" s="218" t="s">
        <v>332</v>
      </c>
      <c r="D579" s="218"/>
      <c r="E579" s="218"/>
      <c r="F579" s="218"/>
      <c r="G579" s="219"/>
      <c r="H579" s="231"/>
      <c r="I579" s="218"/>
      <c r="J579" s="218"/>
      <c r="K579" s="218"/>
      <c r="L579" s="259"/>
    </row>
    <row r="580" spans="1:12" ht="27.95" customHeight="1">
      <c r="A580" s="113">
        <v>10</v>
      </c>
      <c r="B580" s="420" t="s">
        <v>323</v>
      </c>
      <c r="C580" s="218" t="s">
        <v>333</v>
      </c>
      <c r="D580" s="218"/>
      <c r="E580" s="218"/>
      <c r="F580" s="218"/>
      <c r="G580" s="219"/>
      <c r="H580" s="480" t="s">
        <v>319</v>
      </c>
      <c r="I580" s="235"/>
      <c r="J580" s="236"/>
      <c r="K580" s="480" t="s">
        <v>320</v>
      </c>
      <c r="L580" s="261"/>
    </row>
    <row r="581" spans="1:12" ht="27.95" customHeight="1">
      <c r="A581" s="113"/>
      <c r="B581" s="420" t="s">
        <v>325</v>
      </c>
      <c r="C581" s="218" t="s">
        <v>334</v>
      </c>
      <c r="D581" s="218"/>
      <c r="E581" s="218"/>
      <c r="F581" s="218"/>
      <c r="G581" s="219"/>
      <c r="H581" s="231"/>
      <c r="I581" s="218"/>
      <c r="J581" s="218"/>
      <c r="K581" s="218"/>
      <c r="L581" s="259"/>
    </row>
    <row r="582" spans="1:12">
      <c r="A582" s="113"/>
      <c r="B582" s="420" t="s">
        <v>327</v>
      </c>
      <c r="C582" s="218" t="s">
        <v>335</v>
      </c>
      <c r="D582" s="218"/>
      <c r="E582" s="218"/>
      <c r="F582" s="218"/>
      <c r="G582" s="219"/>
      <c r="H582" s="231"/>
      <c r="I582" s="218"/>
      <c r="J582" s="218"/>
      <c r="K582" s="218"/>
      <c r="L582" s="259"/>
    </row>
    <row r="583" spans="1:12">
      <c r="A583" s="113"/>
      <c r="B583" s="420" t="s">
        <v>329</v>
      </c>
      <c r="C583" s="218" t="s">
        <v>336</v>
      </c>
      <c r="D583" s="218"/>
      <c r="E583" s="218"/>
      <c r="F583" s="218"/>
      <c r="G583" s="219"/>
      <c r="H583" s="231"/>
      <c r="I583" s="218"/>
      <c r="J583" s="218"/>
      <c r="K583" s="218"/>
      <c r="L583" s="259"/>
    </row>
    <row r="584" spans="1:12">
      <c r="A584" s="40"/>
      <c r="B584" s="205"/>
      <c r="C584" s="238"/>
      <c r="D584" s="238"/>
      <c r="E584" s="238" t="s">
        <v>337</v>
      </c>
      <c r="F584" s="238"/>
      <c r="G584" s="238"/>
      <c r="H584" s="238"/>
      <c r="I584" s="238"/>
      <c r="J584" s="238"/>
      <c r="K584" s="238"/>
      <c r="L584" s="262"/>
    </row>
    <row r="585" spans="1:12">
      <c r="A585" s="40">
        <v>11</v>
      </c>
      <c r="B585" s="420" t="s">
        <v>323</v>
      </c>
      <c r="C585" s="218" t="s">
        <v>338</v>
      </c>
      <c r="D585" s="218"/>
      <c r="E585" s="218"/>
      <c r="F585" s="218"/>
      <c r="G585" s="219"/>
      <c r="H585" s="231"/>
      <c r="I585" s="218"/>
      <c r="J585" s="218"/>
      <c r="K585" s="218"/>
      <c r="L585" s="259"/>
    </row>
    <row r="586" spans="1:12">
      <c r="A586" s="40"/>
      <c r="B586" s="420" t="s">
        <v>325</v>
      </c>
      <c r="C586" s="218" t="s">
        <v>339</v>
      </c>
      <c r="D586" s="218"/>
      <c r="E586" s="218"/>
      <c r="F586" s="218"/>
      <c r="G586" s="219"/>
      <c r="H586" s="231"/>
      <c r="I586" s="218"/>
      <c r="J586" s="218"/>
      <c r="K586" s="218"/>
      <c r="L586" s="259"/>
    </row>
    <row r="587" spans="1:12">
      <c r="A587" s="40"/>
      <c r="B587" s="420" t="s">
        <v>340</v>
      </c>
      <c r="C587" s="218" t="s">
        <v>341</v>
      </c>
      <c r="D587" s="218"/>
      <c r="E587" s="218"/>
      <c r="F587" s="218"/>
      <c r="G587" s="219"/>
      <c r="H587" s="231"/>
      <c r="I587" s="218"/>
      <c r="J587" s="218"/>
      <c r="K587" s="218"/>
      <c r="L587" s="259"/>
    </row>
    <row r="588" spans="1:12" ht="15" customHeight="1">
      <c r="A588" s="40"/>
      <c r="B588" s="193"/>
      <c r="C588" s="412"/>
      <c r="D588" s="412"/>
      <c r="E588" s="412"/>
      <c r="F588" s="239" t="s">
        <v>342</v>
      </c>
      <c r="G588" s="412"/>
      <c r="H588" s="411"/>
      <c r="I588" s="411"/>
      <c r="J588" s="411"/>
      <c r="K588" s="411"/>
      <c r="L588" s="195"/>
    </row>
    <row r="589" spans="1:12">
      <c r="A589" s="40"/>
      <c r="B589" s="251" t="s">
        <v>343</v>
      </c>
      <c r="C589" s="250" t="s">
        <v>344</v>
      </c>
      <c r="D589" s="412"/>
      <c r="E589" s="412"/>
      <c r="F589" s="412"/>
      <c r="G589" s="412"/>
      <c r="H589" s="411"/>
      <c r="I589" s="411"/>
      <c r="J589" s="410"/>
      <c r="K589" s="411"/>
      <c r="L589" s="195"/>
    </row>
    <row r="590" spans="1:12">
      <c r="A590" s="40"/>
      <c r="B590" s="251" t="s">
        <v>345</v>
      </c>
      <c r="C590" s="249" t="s">
        <v>346</v>
      </c>
      <c r="D590" s="411"/>
      <c r="E590" s="410"/>
      <c r="F590" s="27"/>
      <c r="G590" s="870"/>
      <c r="H590" s="870"/>
      <c r="I590" s="421"/>
      <c r="J590" s="194"/>
      <c r="K590" s="870"/>
      <c r="L590" s="871"/>
    </row>
    <row r="591" spans="1:12">
      <c r="A591" s="40"/>
      <c r="B591" s="252" t="s">
        <v>347</v>
      </c>
      <c r="C591" s="872" t="s">
        <v>348</v>
      </c>
      <c r="D591" s="872"/>
      <c r="E591" s="872"/>
      <c r="F591" s="872"/>
      <c r="G591" s="872"/>
      <c r="H591" s="872"/>
      <c r="I591" s="872"/>
      <c r="J591" s="872"/>
      <c r="K591" s="872"/>
      <c r="L591" s="873"/>
    </row>
    <row r="592" spans="1:12">
      <c r="A592" s="40"/>
      <c r="B592" s="251" t="s">
        <v>349</v>
      </c>
      <c r="C592" s="250" t="s">
        <v>350</v>
      </c>
      <c r="D592" s="242"/>
      <c r="E592" s="242"/>
      <c r="F592" s="242"/>
      <c r="G592" s="242"/>
      <c r="H592" s="242"/>
      <c r="I592" s="242"/>
      <c r="J592" s="242"/>
      <c r="K592" s="242"/>
      <c r="L592" s="263"/>
    </row>
    <row r="593" spans="1:12">
      <c r="A593" s="40"/>
      <c r="B593" s="193"/>
      <c r="C593" s="192" t="s">
        <v>351</v>
      </c>
      <c r="D593" s="185"/>
      <c r="E593" s="185"/>
      <c r="F593" s="185"/>
      <c r="G593" s="185"/>
      <c r="H593" s="27"/>
      <c r="I593" s="27"/>
      <c r="J593" s="27"/>
      <c r="K593" s="27"/>
      <c r="L593" s="41"/>
    </row>
    <row r="594" spans="1:12">
      <c r="A594" s="40"/>
      <c r="B594" s="27"/>
      <c r="C594" s="192" t="s">
        <v>352</v>
      </c>
      <c r="D594" s="27"/>
      <c r="E594" s="27"/>
      <c r="F594" s="27"/>
      <c r="G594" s="27"/>
      <c r="H594" s="27"/>
      <c r="I594" s="27"/>
      <c r="J594" s="27" t="s">
        <v>353</v>
      </c>
      <c r="K594" s="27"/>
      <c r="L594" s="41"/>
    </row>
    <row r="595" spans="1:12">
      <c r="A595" s="40"/>
      <c r="B595" s="27"/>
      <c r="C595" s="27"/>
      <c r="D595" s="27"/>
      <c r="E595" s="27"/>
      <c r="F595" s="240" t="s">
        <v>354</v>
      </c>
      <c r="G595" s="27"/>
      <c r="H595" s="27"/>
      <c r="I595" s="27"/>
      <c r="J595" s="27"/>
      <c r="K595" s="27"/>
      <c r="L595" s="41"/>
    </row>
    <row r="596" spans="1:12">
      <c r="A596" s="40" t="s">
        <v>355</v>
      </c>
      <c r="B596" s="27" t="s">
        <v>356</v>
      </c>
      <c r="C596" s="27"/>
      <c r="D596" s="27"/>
      <c r="E596" s="243">
        <f>'0422Master'!B556</f>
        <v>0</v>
      </c>
      <c r="F596" s="27"/>
      <c r="G596" s="27"/>
      <c r="H596" s="874" t="s">
        <v>357</v>
      </c>
      <c r="I596" s="874"/>
      <c r="J596" s="244">
        <f>'0422Master'!N556</f>
        <v>0</v>
      </c>
      <c r="K596" s="27" t="s">
        <v>358</v>
      </c>
      <c r="L596" s="41"/>
    </row>
    <row r="597" spans="1:12">
      <c r="A597" s="40"/>
      <c r="B597" s="875">
        <f>'0422Master'!S556</f>
        <v>0</v>
      </c>
      <c r="C597" s="876"/>
      <c r="D597" s="241"/>
      <c r="E597" s="241"/>
      <c r="F597" s="241"/>
      <c r="G597" s="241"/>
      <c r="H597" s="241"/>
      <c r="I597" s="241"/>
      <c r="J597" s="241"/>
      <c r="K597" s="241"/>
      <c r="L597" s="264"/>
    </row>
    <row r="598" spans="1:12">
      <c r="A598" s="40" t="s">
        <v>359</v>
      </c>
      <c r="B598" s="241" t="s">
        <v>360</v>
      </c>
      <c r="C598" s="241"/>
      <c r="D598" s="241"/>
      <c r="E598" s="241"/>
      <c r="F598" s="241"/>
      <c r="G598" s="241"/>
      <c r="H598" s="241"/>
      <c r="I598" s="241"/>
      <c r="J598" s="241"/>
      <c r="K598" s="241"/>
      <c r="L598" s="264"/>
    </row>
    <row r="599" spans="1:12">
      <c r="A599" s="40"/>
      <c r="B599" s="241" t="s">
        <v>361</v>
      </c>
      <c r="C599" s="241"/>
      <c r="D599" s="241"/>
      <c r="E599" s="241"/>
      <c r="F599" s="241"/>
      <c r="G599" s="241"/>
      <c r="H599" s="241"/>
      <c r="I599" s="241"/>
      <c r="J599" s="241"/>
      <c r="K599" s="241"/>
      <c r="L599" s="264"/>
    </row>
    <row r="600" spans="1:12">
      <c r="A600" s="260"/>
      <c r="B600" s="27" t="s">
        <v>362</v>
      </c>
      <c r="C600" s="27"/>
      <c r="D600" s="27"/>
      <c r="E600" s="27"/>
      <c r="F600" s="27"/>
      <c r="G600" s="27"/>
      <c r="H600" s="27"/>
      <c r="I600" s="27"/>
      <c r="J600" s="27"/>
      <c r="K600" s="27"/>
      <c r="L600" s="41"/>
    </row>
    <row r="601" spans="1:12" ht="18.75">
      <c r="A601" s="40"/>
      <c r="B601" s="185" t="s">
        <v>363</v>
      </c>
      <c r="C601" s="27"/>
      <c r="D601" s="27"/>
      <c r="E601" s="27"/>
      <c r="F601" s="190"/>
      <c r="G601" s="27"/>
      <c r="H601" s="27"/>
      <c r="I601" s="27"/>
      <c r="J601" s="27"/>
      <c r="K601" s="27"/>
      <c r="L601" s="41"/>
    </row>
    <row r="602" spans="1:12">
      <c r="A602" s="40"/>
      <c r="B602" s="185" t="s">
        <v>364</v>
      </c>
      <c r="C602" s="27"/>
      <c r="D602" s="27"/>
      <c r="E602" s="27"/>
      <c r="F602" s="27"/>
      <c r="G602" s="27"/>
      <c r="H602" s="27"/>
      <c r="I602" s="27"/>
      <c r="J602" s="27"/>
      <c r="K602" s="27"/>
      <c r="L602" s="41"/>
    </row>
    <row r="603" spans="1:12" ht="21.75" customHeight="1">
      <c r="A603" s="40"/>
      <c r="B603" s="27" t="s">
        <v>365</v>
      </c>
      <c r="C603" s="27"/>
      <c r="D603" s="27"/>
      <c r="E603" s="27"/>
      <c r="F603" s="27"/>
      <c r="G603" s="27"/>
      <c r="H603" s="27"/>
      <c r="I603" s="27"/>
      <c r="J603" s="27"/>
      <c r="K603" s="27"/>
      <c r="L603" s="41"/>
    </row>
    <row r="604" spans="1:12" ht="18" customHeight="1">
      <c r="A604" s="40"/>
      <c r="B604" s="27" t="s">
        <v>366</v>
      </c>
      <c r="C604" s="27"/>
      <c r="D604" s="27"/>
      <c r="E604" s="27"/>
      <c r="F604" s="27"/>
      <c r="G604" s="27"/>
      <c r="H604" s="27"/>
      <c r="I604" s="27"/>
      <c r="J604" s="27"/>
      <c r="K604" s="27"/>
      <c r="L604" s="41"/>
    </row>
    <row r="605" spans="1:12" ht="17.25" customHeight="1">
      <c r="A605" s="40" t="s">
        <v>327</v>
      </c>
      <c r="B605" s="27" t="s">
        <v>367</v>
      </c>
      <c r="C605" s="27"/>
      <c r="D605" s="27"/>
      <c r="E605" s="27"/>
      <c r="F605" s="27"/>
      <c r="G605" s="27"/>
      <c r="H605" s="27"/>
      <c r="I605" s="27"/>
      <c r="J605" s="27"/>
      <c r="K605" s="27"/>
      <c r="L605" s="41"/>
    </row>
    <row r="606" spans="1:12" ht="19.5" customHeight="1">
      <c r="A606" s="40"/>
      <c r="B606" s="253" t="s">
        <v>368</v>
      </c>
      <c r="C606" s="27"/>
      <c r="D606" s="27"/>
      <c r="E606" s="27"/>
      <c r="F606" s="27"/>
      <c r="G606" s="27"/>
      <c r="H606" s="27"/>
      <c r="I606" s="27"/>
      <c r="J606" s="27"/>
      <c r="K606" s="27"/>
      <c r="L606" s="41"/>
    </row>
    <row r="607" spans="1:12" ht="18.75" customHeight="1">
      <c r="A607" s="40"/>
      <c r="B607" s="27" t="s">
        <v>362</v>
      </c>
      <c r="C607" s="27"/>
      <c r="D607" s="27"/>
      <c r="E607" s="27"/>
      <c r="F607" s="27"/>
      <c r="G607" s="27"/>
      <c r="H607" s="27"/>
      <c r="I607" s="27"/>
      <c r="J607" s="27"/>
      <c r="K607" s="27"/>
      <c r="L607" s="41"/>
    </row>
    <row r="608" spans="1:12" ht="15" customHeight="1">
      <c r="A608" s="40"/>
      <c r="B608" s="27" t="s">
        <v>369</v>
      </c>
      <c r="C608" s="27"/>
      <c r="D608" s="27"/>
      <c r="E608" s="27"/>
      <c r="F608" s="192"/>
      <c r="G608" s="192"/>
      <c r="H608" s="192"/>
      <c r="I608" s="192"/>
      <c r="J608" s="192"/>
      <c r="K608" s="192"/>
      <c r="L608" s="41"/>
    </row>
    <row r="609" spans="1:12" ht="20.25" customHeight="1">
      <c r="A609" s="40"/>
      <c r="B609" s="27" t="s">
        <v>370</v>
      </c>
      <c r="C609" s="27"/>
      <c r="D609" s="27"/>
      <c r="E609" s="27"/>
      <c r="F609" s="27"/>
      <c r="G609" s="27"/>
      <c r="H609" s="27"/>
      <c r="I609" s="27"/>
      <c r="J609" s="27"/>
      <c r="K609" s="27"/>
      <c r="L609" s="41"/>
    </row>
    <row r="610" spans="1:12" ht="21" customHeight="1">
      <c r="A610" s="40"/>
      <c r="B610" s="877" t="s">
        <v>371</v>
      </c>
      <c r="C610" s="877"/>
      <c r="D610" s="877"/>
      <c r="E610" s="877"/>
      <c r="F610" s="877"/>
      <c r="G610" s="877"/>
      <c r="H610" s="877"/>
      <c r="I610" s="877"/>
      <c r="J610" s="877"/>
      <c r="K610" s="877"/>
      <c r="L610" s="878"/>
    </row>
    <row r="611" spans="1:12" ht="27.95" customHeight="1">
      <c r="A611" s="40"/>
      <c r="B611" s="255" t="s">
        <v>274</v>
      </c>
      <c r="C611" s="223"/>
      <c r="D611" s="223"/>
      <c r="E611" s="223"/>
      <c r="F611" s="223"/>
      <c r="G611" s="223"/>
      <c r="H611" s="223"/>
      <c r="I611" s="255" t="s">
        <v>372</v>
      </c>
      <c r="J611" s="223"/>
      <c r="K611" s="223"/>
      <c r="L611" s="254"/>
    </row>
    <row r="612" spans="1:12" ht="27.95" customHeight="1" thickBot="1">
      <c r="A612" s="54"/>
      <c r="B612" s="745"/>
      <c r="C612" s="745"/>
      <c r="D612" s="745"/>
      <c r="E612" s="745"/>
      <c r="F612" s="745"/>
      <c r="G612" s="745"/>
      <c r="H612" s="745"/>
      <c r="I612" s="745"/>
      <c r="J612" s="745"/>
      <c r="K612" s="745"/>
      <c r="L612" s="746"/>
    </row>
    <row r="613" spans="1:12" ht="27.95" customHeight="1">
      <c r="A613" s="27"/>
      <c r="B613" s="193"/>
      <c r="C613" s="412"/>
      <c r="D613" s="412"/>
      <c r="E613" s="412"/>
      <c r="F613" s="412"/>
      <c r="G613" s="412"/>
      <c r="H613" s="411"/>
      <c r="I613" s="411"/>
      <c r="J613" s="411"/>
      <c r="K613" s="411"/>
      <c r="L613" s="411"/>
    </row>
    <row r="614" spans="1:12" ht="27.95" customHeight="1">
      <c r="A614" s="27"/>
      <c r="B614" s="193"/>
      <c r="C614" s="412"/>
      <c r="D614" s="412"/>
      <c r="E614" s="412"/>
      <c r="F614" s="412"/>
      <c r="G614" s="412"/>
      <c r="H614" s="411"/>
      <c r="I614" s="411"/>
      <c r="J614" s="410"/>
      <c r="K614" s="411"/>
      <c r="L614" s="411"/>
    </row>
    <row r="615" spans="1:12" ht="27.95" customHeight="1">
      <c r="A615" s="27"/>
      <c r="B615" s="193"/>
      <c r="C615" s="412"/>
      <c r="D615" s="412"/>
      <c r="E615" s="412"/>
      <c r="F615" s="412"/>
      <c r="G615" s="412"/>
      <c r="H615" s="411"/>
      <c r="I615" s="411"/>
      <c r="J615" s="411"/>
      <c r="K615" s="411"/>
      <c r="L615" s="411"/>
    </row>
    <row r="616" spans="1:12" ht="27.95" customHeight="1">
      <c r="A616" s="27"/>
      <c r="B616" s="193"/>
      <c r="C616" s="412"/>
      <c r="D616" s="412"/>
      <c r="E616" s="412"/>
      <c r="F616" s="412"/>
      <c r="G616" s="412"/>
      <c r="H616" s="411"/>
      <c r="I616" s="411"/>
      <c r="J616" s="410"/>
      <c r="K616" s="411"/>
      <c r="L616" s="411"/>
    </row>
    <row r="617" spans="1:12" ht="27.95" customHeight="1">
      <c r="A617" s="27"/>
      <c r="B617" s="193"/>
      <c r="C617" s="412"/>
      <c r="D617" s="411"/>
      <c r="E617" s="410"/>
      <c r="F617" s="411"/>
      <c r="G617" s="410"/>
      <c r="H617" s="411"/>
      <c r="I617" s="410"/>
      <c r="J617" s="411"/>
      <c r="K617" s="410"/>
      <c r="L617" s="410"/>
    </row>
    <row r="618" spans="1:12" ht="27.95" customHeight="1">
      <c r="A618" s="27"/>
      <c r="B618" s="193"/>
      <c r="C618" s="412"/>
      <c r="D618" s="412"/>
      <c r="E618" s="412"/>
      <c r="F618" s="412"/>
      <c r="G618" s="412"/>
      <c r="H618" s="411"/>
      <c r="I618" s="411"/>
      <c r="J618" s="267"/>
      <c r="K618" s="411"/>
      <c r="L618" s="411"/>
    </row>
    <row r="619" spans="1:12" ht="27.95" customHeight="1">
      <c r="A619" s="27"/>
      <c r="B619" s="193"/>
      <c r="C619" s="185"/>
      <c r="D619" s="185"/>
      <c r="E619" s="185"/>
      <c r="F619" s="185"/>
      <c r="G619" s="185"/>
      <c r="H619" s="27"/>
      <c r="I619" s="27"/>
      <c r="J619" s="27"/>
      <c r="K619" s="27"/>
      <c r="L619" s="27"/>
    </row>
    <row r="620" spans="1:12" ht="27.95" customHeight="1">
      <c r="A620" s="27"/>
      <c r="B620" s="193"/>
      <c r="C620" s="185"/>
      <c r="D620" s="185"/>
      <c r="E620" s="185"/>
      <c r="F620" s="185"/>
      <c r="G620" s="185"/>
      <c r="H620" s="27"/>
      <c r="I620" s="27"/>
      <c r="J620" s="27"/>
      <c r="K620" s="27"/>
      <c r="L620" s="27"/>
    </row>
    <row r="621" spans="1:12">
      <c r="A621" s="27"/>
      <c r="B621" s="27"/>
      <c r="C621" s="27"/>
      <c r="D621" s="27"/>
      <c r="E621" s="27"/>
      <c r="F621" s="27"/>
      <c r="G621" s="27"/>
      <c r="H621" s="27"/>
      <c r="I621" s="27"/>
      <c r="J621" s="27"/>
      <c r="K621" s="27"/>
      <c r="L621" s="27"/>
    </row>
    <row r="622" spans="1:12">
      <c r="A622" s="27"/>
      <c r="B622" s="27"/>
      <c r="C622" s="27"/>
      <c r="D622" s="27"/>
      <c r="E622" s="27"/>
      <c r="F622" s="27"/>
      <c r="G622" s="27"/>
      <c r="H622" s="27"/>
      <c r="I622" s="27"/>
      <c r="J622" s="27"/>
      <c r="K622" s="27"/>
      <c r="L622" s="27"/>
    </row>
    <row r="623" spans="1:12" ht="32.25">
      <c r="A623" s="27"/>
      <c r="B623" s="848"/>
      <c r="C623" s="767"/>
      <c r="D623" s="767"/>
      <c r="E623" s="767"/>
      <c r="F623" s="767"/>
      <c r="G623" s="767"/>
      <c r="H623" s="767"/>
      <c r="I623" s="767"/>
      <c r="J623" s="767"/>
      <c r="K623" s="767"/>
      <c r="L623" s="767"/>
    </row>
    <row r="624" spans="1:12" ht="23.25">
      <c r="A624" s="27"/>
      <c r="B624" s="738"/>
      <c r="C624" s="738"/>
      <c r="D624" s="738"/>
      <c r="E624" s="738"/>
      <c r="F624" s="738"/>
      <c r="G624" s="738"/>
      <c r="H624" s="738"/>
      <c r="I624" s="738"/>
      <c r="J624" s="738"/>
      <c r="K624" s="738"/>
      <c r="L624" s="738"/>
    </row>
    <row r="625" spans="1:12" ht="15.75">
      <c r="A625" s="27"/>
      <c r="B625" s="846"/>
      <c r="C625" s="846"/>
      <c r="D625" s="846"/>
      <c r="E625" s="846"/>
      <c r="F625" s="846"/>
      <c r="G625" s="846"/>
      <c r="H625" s="846"/>
      <c r="I625" s="846"/>
      <c r="J625" s="846"/>
      <c r="K625" s="846"/>
      <c r="L625" s="846"/>
    </row>
    <row r="626" spans="1:12" ht="15" customHeight="1">
      <c r="A626" s="27"/>
      <c r="B626" s="747"/>
      <c r="C626" s="747"/>
      <c r="D626" s="747"/>
      <c r="E626" s="747"/>
      <c r="F626" s="747"/>
      <c r="G626" s="27"/>
      <c r="H626" s="748"/>
      <c r="I626" s="748"/>
      <c r="J626" s="748"/>
      <c r="K626" s="748"/>
      <c r="L626" s="748"/>
    </row>
    <row r="627" spans="1:12">
      <c r="A627" s="27"/>
      <c r="B627" s="747"/>
      <c r="C627" s="747"/>
      <c r="D627" s="747"/>
      <c r="E627" s="747"/>
      <c r="F627" s="747"/>
      <c r="G627" s="27"/>
      <c r="H627" s="748"/>
      <c r="I627" s="748"/>
      <c r="J627" s="748"/>
      <c r="K627" s="748"/>
      <c r="L627" s="748"/>
    </row>
    <row r="628" spans="1:12">
      <c r="A628" s="27"/>
      <c r="B628" s="27"/>
      <c r="C628" s="27"/>
      <c r="D628" s="27"/>
      <c r="E628" s="27"/>
      <c r="F628" s="27"/>
      <c r="G628" s="27"/>
      <c r="H628" s="27"/>
      <c r="I628" s="27"/>
      <c r="J628" s="27"/>
      <c r="K628" s="27"/>
      <c r="L628" s="27"/>
    </row>
    <row r="629" spans="1:12">
      <c r="A629" s="27"/>
      <c r="B629" s="108"/>
      <c r="C629" s="100"/>
      <c r="D629" s="100"/>
      <c r="E629" s="100"/>
      <c r="F629" s="100"/>
      <c r="G629" s="27"/>
      <c r="H629" s="108"/>
      <c r="I629" s="100"/>
      <c r="J629" s="100"/>
      <c r="K629" s="100"/>
      <c r="L629" s="100"/>
    </row>
    <row r="630" spans="1:12">
      <c r="A630" s="27"/>
      <c r="B630" s="27"/>
      <c r="C630" s="100"/>
      <c r="D630" s="100"/>
      <c r="E630" s="100"/>
      <c r="F630" s="100"/>
      <c r="G630" s="27"/>
      <c r="H630" s="27"/>
      <c r="I630" s="100"/>
      <c r="J630" s="100"/>
      <c r="K630" s="100"/>
      <c r="L630" s="100"/>
    </row>
    <row r="631" spans="1:12">
      <c r="A631" s="27"/>
      <c r="B631" s="108"/>
      <c r="C631" s="100"/>
      <c r="D631" s="100"/>
      <c r="E631" s="100"/>
      <c r="F631" s="100"/>
      <c r="G631" s="27"/>
      <c r="H631" s="108"/>
      <c r="I631" s="100"/>
      <c r="J631" s="100"/>
      <c r="K631" s="100"/>
      <c r="L631" s="100"/>
    </row>
    <row r="632" spans="1:12">
      <c r="A632" s="27"/>
      <c r="B632" s="100"/>
      <c r="C632" s="100"/>
      <c r="D632" s="100"/>
      <c r="E632" s="100"/>
      <c r="F632" s="100"/>
      <c r="G632" s="27"/>
      <c r="H632" s="100"/>
      <c r="I632" s="100"/>
      <c r="J632" s="100"/>
      <c r="K632" s="100"/>
      <c r="L632" s="100"/>
    </row>
    <row r="633" spans="1:12">
      <c r="A633" s="27"/>
      <c r="B633" s="27"/>
      <c r="C633" s="27"/>
      <c r="D633" s="27"/>
      <c r="E633" s="27"/>
      <c r="F633" s="27"/>
      <c r="G633" s="27"/>
      <c r="H633" s="27"/>
      <c r="I633" s="27"/>
      <c r="J633" s="27"/>
      <c r="K633" s="27"/>
      <c r="L633" s="27"/>
    </row>
    <row r="634" spans="1:12">
      <c r="A634" s="27"/>
      <c r="B634" s="664"/>
      <c r="C634" s="664"/>
      <c r="D634" s="664"/>
      <c r="E634" s="664"/>
      <c r="F634" s="664"/>
      <c r="G634" s="27"/>
      <c r="H634" s="664"/>
      <c r="I634" s="664"/>
      <c r="J634" s="664"/>
      <c r="K634" s="664"/>
      <c r="L634" s="664"/>
    </row>
    <row r="635" spans="1:12">
      <c r="A635" s="27"/>
      <c r="B635" s="27"/>
      <c r="C635" s="27"/>
      <c r="D635" s="27"/>
      <c r="E635" s="27"/>
      <c r="F635" s="27"/>
      <c r="G635" s="27"/>
      <c r="H635" s="27"/>
      <c r="I635" s="27"/>
      <c r="J635" s="27"/>
      <c r="K635" s="27"/>
      <c r="L635" s="27"/>
    </row>
    <row r="636" spans="1:12">
      <c r="A636" s="27"/>
      <c r="B636" s="27"/>
      <c r="C636" s="27"/>
      <c r="D636" s="27"/>
      <c r="E636" s="27"/>
      <c r="F636" s="27"/>
      <c r="G636" s="27"/>
      <c r="H636" s="185"/>
      <c r="I636" s="185"/>
      <c r="J636" s="185"/>
      <c r="K636" s="185"/>
      <c r="L636" s="185"/>
    </row>
    <row r="637" spans="1:12">
      <c r="A637" s="27"/>
      <c r="B637" s="100"/>
      <c r="C637" s="100"/>
      <c r="D637" s="100"/>
      <c r="E637" s="100"/>
      <c r="F637" s="100"/>
      <c r="G637" s="27"/>
      <c r="H637" s="108"/>
      <c r="I637" s="108"/>
      <c r="J637" s="108"/>
      <c r="K637" s="108"/>
      <c r="L637" s="108"/>
    </row>
    <row r="638" spans="1:12">
      <c r="A638" s="27"/>
      <c r="B638" s="108"/>
      <c r="C638" s="100"/>
      <c r="D638" s="100"/>
      <c r="E638" s="100"/>
      <c r="F638" s="100"/>
      <c r="G638" s="27"/>
      <c r="H638" s="108"/>
      <c r="I638" s="108"/>
      <c r="J638" s="108"/>
      <c r="K638" s="108"/>
      <c r="L638" s="108"/>
    </row>
    <row r="639" spans="1:12">
      <c r="A639" s="27"/>
      <c r="B639" s="100"/>
      <c r="C639" s="100"/>
      <c r="D639" s="100"/>
      <c r="E639" s="100"/>
      <c r="F639" s="100"/>
      <c r="G639" s="27"/>
      <c r="H639" s="108"/>
      <c r="I639" s="108"/>
      <c r="J639" s="108"/>
      <c r="K639" s="108"/>
      <c r="L639" s="108"/>
    </row>
    <row r="640" spans="1:12">
      <c r="A640" s="27"/>
      <c r="B640" s="100"/>
      <c r="C640" s="100"/>
      <c r="D640" s="100"/>
      <c r="E640" s="100"/>
      <c r="F640" s="100"/>
      <c r="G640" s="27"/>
      <c r="H640" s="108"/>
      <c r="I640" s="108"/>
      <c r="J640" s="108"/>
      <c r="K640" s="108"/>
      <c r="L640" s="108"/>
    </row>
    <row r="641" spans="1:12" ht="27.95" customHeight="1">
      <c r="A641" s="265"/>
      <c r="B641" s="844"/>
      <c r="C641" s="844"/>
      <c r="D641" s="844"/>
      <c r="E641" s="844"/>
      <c r="F641" s="844"/>
      <c r="G641" s="844"/>
      <c r="H641" s="841"/>
      <c r="I641" s="842"/>
      <c r="J641" s="842"/>
      <c r="K641" s="842"/>
      <c r="L641" s="842"/>
    </row>
    <row r="642" spans="1:12" ht="27.95" customHeight="1">
      <c r="A642" s="265"/>
      <c r="B642" s="748"/>
      <c r="C642" s="748"/>
      <c r="D642" s="748"/>
      <c r="E642" s="748"/>
      <c r="F642" s="748"/>
      <c r="G642" s="748"/>
      <c r="H642" s="841"/>
      <c r="I642" s="842"/>
      <c r="J642" s="842"/>
      <c r="K642" s="842"/>
      <c r="L642" s="842"/>
    </row>
    <row r="643" spans="1:12" ht="27.95" customHeight="1">
      <c r="A643" s="265"/>
      <c r="B643" s="844"/>
      <c r="C643" s="844"/>
      <c r="D643" s="844"/>
      <c r="E643" s="844"/>
      <c r="F643" s="844"/>
      <c r="G643" s="844"/>
      <c r="H643" s="841"/>
      <c r="I643" s="842"/>
      <c r="J643" s="842"/>
      <c r="K643" s="842"/>
      <c r="L643" s="842"/>
    </row>
    <row r="644" spans="1:12" ht="27.95" customHeight="1">
      <c r="A644" s="265"/>
      <c r="B644" s="844"/>
      <c r="C644" s="844"/>
      <c r="D644" s="844"/>
      <c r="E644" s="844"/>
      <c r="F644" s="844"/>
      <c r="G644" s="844"/>
      <c r="H644" s="845"/>
      <c r="I644" s="842"/>
      <c r="J644" s="842"/>
      <c r="K644" s="842"/>
      <c r="L644" s="842"/>
    </row>
    <row r="645" spans="1:12" ht="27.95" customHeight="1">
      <c r="A645" s="265"/>
      <c r="B645" s="193"/>
      <c r="C645" s="412"/>
      <c r="D645" s="412"/>
      <c r="E645" s="412"/>
      <c r="F645" s="412"/>
      <c r="G645" s="412"/>
      <c r="H645" s="411"/>
      <c r="I645" s="265"/>
      <c r="J645" s="266"/>
      <c r="K645" s="411"/>
      <c r="L645" s="411"/>
    </row>
    <row r="646" spans="1:12" ht="27.95" customHeight="1">
      <c r="A646" s="265"/>
      <c r="B646" s="193"/>
      <c r="C646" s="412"/>
      <c r="D646" s="412"/>
      <c r="E646" s="412"/>
      <c r="F646" s="412"/>
      <c r="G646" s="412"/>
      <c r="H646" s="411"/>
      <c r="I646" s="411"/>
      <c r="J646" s="266"/>
      <c r="K646" s="411"/>
      <c r="L646" s="411"/>
    </row>
    <row r="647" spans="1:12" ht="27.95" customHeight="1">
      <c r="A647" s="265"/>
      <c r="B647" s="748"/>
      <c r="C647" s="748"/>
      <c r="D647" s="748"/>
      <c r="E647" s="748"/>
      <c r="F647" s="748"/>
      <c r="G647" s="748"/>
      <c r="H647" s="841"/>
      <c r="I647" s="842"/>
      <c r="J647" s="842"/>
      <c r="K647" s="842"/>
      <c r="L647" s="842"/>
    </row>
    <row r="648" spans="1:12" ht="27.95" customHeight="1">
      <c r="A648" s="265"/>
      <c r="B648" s="844"/>
      <c r="C648" s="844"/>
      <c r="D648" s="844"/>
      <c r="E648" s="844"/>
      <c r="F648" s="844"/>
      <c r="G648" s="844"/>
      <c r="H648" s="847"/>
      <c r="I648" s="842"/>
      <c r="J648" s="842"/>
      <c r="K648" s="842"/>
      <c r="L648" s="842"/>
    </row>
    <row r="649" spans="1:12" ht="27.95" customHeight="1">
      <c r="A649" s="27"/>
      <c r="B649" s="844"/>
      <c r="C649" s="844"/>
      <c r="D649" s="844"/>
      <c r="E649" s="844"/>
      <c r="F649" s="844"/>
      <c r="G649" s="844"/>
      <c r="H649" s="842"/>
      <c r="I649" s="842"/>
      <c r="J649" s="842"/>
      <c r="K649" s="842"/>
      <c r="L649" s="842"/>
    </row>
    <row r="650" spans="1:12" ht="27.95" customHeight="1">
      <c r="A650" s="27"/>
      <c r="B650" s="193"/>
      <c r="C650" s="412"/>
      <c r="D650" s="412"/>
      <c r="E650" s="412"/>
      <c r="F650" s="412"/>
      <c r="G650" s="412"/>
      <c r="H650" s="411"/>
      <c r="I650" s="411"/>
      <c r="J650" s="411"/>
      <c r="K650" s="411"/>
      <c r="L650" s="411"/>
    </row>
    <row r="651" spans="1:12" ht="27.95" customHeight="1">
      <c r="A651" s="27"/>
      <c r="B651" s="193"/>
      <c r="C651" s="412"/>
      <c r="D651" s="412"/>
      <c r="E651" s="412"/>
      <c r="F651" s="412"/>
      <c r="G651" s="412"/>
      <c r="H651" s="411"/>
      <c r="I651" s="411"/>
      <c r="J651" s="411"/>
      <c r="K651" s="411"/>
      <c r="L651" s="411"/>
    </row>
    <row r="652" spans="1:12" ht="27.95" customHeight="1">
      <c r="A652" s="27"/>
      <c r="B652" s="193"/>
      <c r="C652" s="412"/>
      <c r="D652" s="412"/>
      <c r="E652" s="412"/>
      <c r="F652" s="412"/>
      <c r="G652" s="412"/>
      <c r="H652" s="411"/>
      <c r="I652" s="411"/>
      <c r="J652" s="410"/>
      <c r="K652" s="411"/>
      <c r="L652" s="411"/>
    </row>
    <row r="653" spans="1:12" ht="27.95" customHeight="1">
      <c r="A653" s="27"/>
      <c r="B653" s="193"/>
      <c r="C653" s="412"/>
      <c r="D653" s="412"/>
      <c r="E653" s="412"/>
      <c r="F653" s="412"/>
      <c r="G653" s="412"/>
      <c r="H653" s="411"/>
      <c r="I653" s="411"/>
      <c r="J653" s="411"/>
      <c r="K653" s="411"/>
      <c r="L653" s="411"/>
    </row>
    <row r="654" spans="1:12" ht="27.95" customHeight="1">
      <c r="A654" s="27"/>
      <c r="B654" s="193"/>
      <c r="C654" s="412"/>
      <c r="D654" s="412"/>
      <c r="E654" s="412"/>
      <c r="F654" s="412"/>
      <c r="G654" s="412"/>
      <c r="H654" s="411"/>
      <c r="I654" s="411"/>
      <c r="J654" s="410"/>
      <c r="K654" s="411"/>
      <c r="L654" s="411"/>
    </row>
    <row r="655" spans="1:12" ht="27.95" customHeight="1">
      <c r="A655" s="27"/>
      <c r="B655" s="193"/>
      <c r="C655" s="412"/>
      <c r="D655" s="411"/>
      <c r="E655" s="410"/>
      <c r="F655" s="411"/>
      <c r="G655" s="410"/>
      <c r="H655" s="411"/>
      <c r="I655" s="410"/>
      <c r="J655" s="411"/>
      <c r="K655" s="410"/>
      <c r="L655" s="410"/>
    </row>
    <row r="656" spans="1:12" ht="27.95" customHeight="1">
      <c r="A656" s="27"/>
      <c r="B656" s="193"/>
      <c r="C656" s="412"/>
      <c r="D656" s="412"/>
      <c r="E656" s="412"/>
      <c r="F656" s="412"/>
      <c r="G656" s="412"/>
      <c r="H656" s="411"/>
      <c r="I656" s="411"/>
      <c r="J656" s="267"/>
      <c r="K656" s="411"/>
      <c r="L656" s="411"/>
    </row>
    <row r="657" spans="1:12" ht="27.95" customHeight="1">
      <c r="A657" s="27"/>
      <c r="B657" s="193"/>
      <c r="C657" s="185"/>
      <c r="D657" s="185"/>
      <c r="E657" s="185"/>
      <c r="F657" s="185"/>
      <c r="G657" s="185"/>
      <c r="H657" s="27"/>
      <c r="I657" s="27"/>
      <c r="J657" s="27"/>
      <c r="K657" s="27"/>
      <c r="L657" s="27"/>
    </row>
    <row r="658" spans="1:12" ht="27.95" customHeight="1">
      <c r="A658" s="27"/>
      <c r="B658" s="193"/>
      <c r="C658" s="185"/>
      <c r="D658" s="185"/>
      <c r="E658" s="185"/>
      <c r="F658" s="185"/>
      <c r="G658" s="185"/>
      <c r="H658" s="27"/>
      <c r="I658" s="27"/>
      <c r="J658" s="27"/>
      <c r="K658" s="27"/>
      <c r="L658" s="27"/>
    </row>
    <row r="659" spans="1:12">
      <c r="A659" s="27"/>
      <c r="B659" s="27"/>
      <c r="C659" s="27"/>
      <c r="D659" s="27"/>
      <c r="E659" s="27"/>
      <c r="F659" s="27"/>
      <c r="G659" s="27"/>
      <c r="H659" s="27"/>
      <c r="I659" s="27"/>
      <c r="J659" s="27"/>
      <c r="K659" s="27"/>
      <c r="L659" s="27"/>
    </row>
    <row r="660" spans="1:12">
      <c r="A660" s="27"/>
      <c r="B660" s="27"/>
      <c r="C660" s="27"/>
      <c r="D660" s="27"/>
      <c r="E660" s="27"/>
      <c r="F660" s="27"/>
      <c r="G660" s="27"/>
      <c r="H660" s="27"/>
      <c r="I660" s="27"/>
      <c r="J660" s="27"/>
      <c r="K660" s="27"/>
      <c r="L660" s="27"/>
    </row>
    <row r="661" spans="1:12">
      <c r="A661" s="27"/>
      <c r="B661" s="27"/>
      <c r="C661" s="27"/>
      <c r="D661" s="27"/>
      <c r="E661" s="27"/>
      <c r="F661" s="27"/>
      <c r="G661" s="27"/>
      <c r="H661" s="27"/>
      <c r="I661" s="27"/>
      <c r="J661" s="27"/>
      <c r="K661" s="27"/>
      <c r="L661" s="27"/>
    </row>
    <row r="662" spans="1:12" ht="32.25">
      <c r="A662" s="27"/>
      <c r="B662" s="848"/>
      <c r="C662" s="767"/>
      <c r="D662" s="767"/>
      <c r="E662" s="767"/>
      <c r="F662" s="767"/>
      <c r="G662" s="767"/>
      <c r="H662" s="767"/>
      <c r="I662" s="767"/>
      <c r="J662" s="767"/>
      <c r="K662" s="767"/>
      <c r="L662" s="767"/>
    </row>
    <row r="663" spans="1:12" ht="23.25">
      <c r="A663" s="27"/>
      <c r="B663" s="738"/>
      <c r="C663" s="738"/>
      <c r="D663" s="738"/>
      <c r="E663" s="738"/>
      <c r="F663" s="738"/>
      <c r="G663" s="738"/>
      <c r="H663" s="738"/>
      <c r="I663" s="738"/>
      <c r="J663" s="738"/>
      <c r="K663" s="738"/>
      <c r="L663" s="738"/>
    </row>
    <row r="664" spans="1:12" ht="15.75">
      <c r="A664" s="27"/>
      <c r="B664" s="846"/>
      <c r="C664" s="846"/>
      <c r="D664" s="846"/>
      <c r="E664" s="846"/>
      <c r="F664" s="846"/>
      <c r="G664" s="846"/>
      <c r="H664" s="846"/>
      <c r="I664" s="846"/>
      <c r="J664" s="846"/>
      <c r="K664" s="846"/>
      <c r="L664" s="846"/>
    </row>
    <row r="665" spans="1:12" ht="15" customHeight="1">
      <c r="A665" s="27"/>
      <c r="B665" s="747"/>
      <c r="C665" s="747"/>
      <c r="D665" s="747"/>
      <c r="E665" s="747"/>
      <c r="F665" s="747"/>
      <c r="G665" s="27"/>
      <c r="H665" s="748"/>
      <c r="I665" s="748"/>
      <c r="J665" s="748"/>
      <c r="K665" s="748"/>
      <c r="L665" s="748"/>
    </row>
    <row r="666" spans="1:12">
      <c r="A666" s="27"/>
      <c r="B666" s="747"/>
      <c r="C666" s="747"/>
      <c r="D666" s="747"/>
      <c r="E666" s="747"/>
      <c r="F666" s="747"/>
      <c r="G666" s="27"/>
      <c r="H666" s="748"/>
      <c r="I666" s="748"/>
      <c r="J666" s="748"/>
      <c r="K666" s="748"/>
      <c r="L666" s="748"/>
    </row>
    <row r="667" spans="1:12">
      <c r="A667" s="27"/>
      <c r="B667" s="27"/>
      <c r="C667" s="27"/>
      <c r="D667" s="27"/>
      <c r="E667" s="27"/>
      <c r="F667" s="27"/>
      <c r="G667" s="27"/>
      <c r="H667" s="27"/>
      <c r="I667" s="27"/>
      <c r="J667" s="27"/>
      <c r="K667" s="27"/>
      <c r="L667" s="27"/>
    </row>
    <row r="668" spans="1:12">
      <c r="A668" s="27"/>
      <c r="B668" s="108"/>
      <c r="C668" s="100"/>
      <c r="D668" s="100"/>
      <c r="E668" s="100"/>
      <c r="F668" s="100"/>
      <c r="G668" s="27"/>
      <c r="H668" s="108"/>
      <c r="I668" s="100"/>
      <c r="J668" s="100"/>
      <c r="K668" s="100"/>
      <c r="L668" s="100"/>
    </row>
    <row r="669" spans="1:12">
      <c r="A669" s="27"/>
      <c r="B669" s="27"/>
      <c r="C669" s="100"/>
      <c r="D669" s="100"/>
      <c r="E669" s="100"/>
      <c r="F669" s="100"/>
      <c r="G669" s="27"/>
      <c r="H669" s="27"/>
      <c r="I669" s="100"/>
      <c r="J669" s="100"/>
      <c r="K669" s="100"/>
      <c r="L669" s="100"/>
    </row>
    <row r="670" spans="1:12">
      <c r="A670" s="27"/>
      <c r="B670" s="108"/>
      <c r="C670" s="100"/>
      <c r="D670" s="100"/>
      <c r="E670" s="100"/>
      <c r="F670" s="100"/>
      <c r="G670" s="27"/>
      <c r="H670" s="108"/>
      <c r="I670" s="100"/>
      <c r="J670" s="100"/>
      <c r="K670" s="100"/>
      <c r="L670" s="100"/>
    </row>
    <row r="671" spans="1:12">
      <c r="A671" s="27"/>
      <c r="B671" s="100"/>
      <c r="C671" s="100"/>
      <c r="D671" s="100"/>
      <c r="E671" s="100"/>
      <c r="F671" s="100"/>
      <c r="G671" s="27"/>
      <c r="H671" s="100"/>
      <c r="I671" s="100"/>
      <c r="J671" s="100"/>
      <c r="K671" s="100"/>
      <c r="L671" s="100"/>
    </row>
    <row r="672" spans="1:12">
      <c r="A672" s="27"/>
      <c r="B672" s="27"/>
      <c r="C672" s="27"/>
      <c r="D672" s="27"/>
      <c r="E672" s="27"/>
      <c r="F672" s="27"/>
      <c r="G672" s="27"/>
      <c r="H672" s="27"/>
      <c r="I672" s="27"/>
      <c r="J672" s="27"/>
      <c r="K672" s="27"/>
      <c r="L672" s="27"/>
    </row>
    <row r="673" spans="1:12">
      <c r="A673" s="27"/>
      <c r="B673" s="664"/>
      <c r="C673" s="664"/>
      <c r="D673" s="664"/>
      <c r="E673" s="664"/>
      <c r="F673" s="664"/>
      <c r="G673" s="27"/>
      <c r="H673" s="664"/>
      <c r="I673" s="664"/>
      <c r="J673" s="664"/>
      <c r="K673" s="664"/>
      <c r="L673" s="664"/>
    </row>
    <row r="674" spans="1:12">
      <c r="A674" s="27"/>
      <c r="B674" s="27"/>
      <c r="C674" s="27"/>
      <c r="D674" s="27"/>
      <c r="E674" s="27"/>
      <c r="F674" s="27"/>
      <c r="G674" s="27"/>
      <c r="H674" s="27"/>
      <c r="I674" s="27"/>
      <c r="J674" s="27"/>
      <c r="K674" s="27"/>
      <c r="L674" s="27"/>
    </row>
    <row r="675" spans="1:12">
      <c r="A675" s="27"/>
      <c r="B675" s="27"/>
      <c r="C675" s="27"/>
      <c r="D675" s="27"/>
      <c r="E675" s="27"/>
      <c r="F675" s="27"/>
      <c r="G675" s="27"/>
      <c r="H675" s="185"/>
      <c r="I675" s="185"/>
      <c r="J675" s="185"/>
      <c r="K675" s="185"/>
      <c r="L675" s="185"/>
    </row>
    <row r="676" spans="1:12">
      <c r="A676" s="27"/>
      <c r="B676" s="100"/>
      <c r="C676" s="100"/>
      <c r="D676" s="100"/>
      <c r="E676" s="100"/>
      <c r="F676" s="100"/>
      <c r="G676" s="27"/>
      <c r="H676" s="108"/>
      <c r="I676" s="108"/>
      <c r="J676" s="108"/>
      <c r="K676" s="108"/>
      <c r="L676" s="108"/>
    </row>
    <row r="677" spans="1:12">
      <c r="A677" s="27"/>
      <c r="B677" s="108"/>
      <c r="C677" s="100"/>
      <c r="D677" s="100"/>
      <c r="E677" s="100"/>
      <c r="F677" s="100"/>
      <c r="G677" s="27"/>
      <c r="H677" s="108"/>
      <c r="I677" s="108"/>
      <c r="J677" s="108"/>
      <c r="K677" s="108"/>
      <c r="L677" s="108"/>
    </row>
    <row r="678" spans="1:12">
      <c r="A678" s="27"/>
      <c r="B678" s="100"/>
      <c r="C678" s="100"/>
      <c r="D678" s="100"/>
      <c r="E678" s="100"/>
      <c r="F678" s="100"/>
      <c r="G678" s="27"/>
      <c r="H678" s="108"/>
      <c r="I678" s="108"/>
      <c r="J678" s="108"/>
      <c r="K678" s="108"/>
      <c r="L678" s="108"/>
    </row>
    <row r="679" spans="1:12">
      <c r="A679" s="27"/>
      <c r="B679" s="100"/>
      <c r="C679" s="100"/>
      <c r="D679" s="100"/>
      <c r="E679" s="100"/>
      <c r="F679" s="100"/>
      <c r="G679" s="27"/>
      <c r="H679" s="108"/>
      <c r="I679" s="108"/>
      <c r="J679" s="108"/>
      <c r="K679" s="108"/>
      <c r="L679" s="108"/>
    </row>
    <row r="680" spans="1:12" ht="27.95" customHeight="1">
      <c r="A680" s="265"/>
      <c r="B680" s="844"/>
      <c r="C680" s="844"/>
      <c r="D680" s="844"/>
      <c r="E680" s="844"/>
      <c r="F680" s="844"/>
      <c r="G680" s="844"/>
      <c r="H680" s="841"/>
      <c r="I680" s="842"/>
      <c r="J680" s="842"/>
      <c r="K680" s="842"/>
      <c r="L680" s="842"/>
    </row>
    <row r="681" spans="1:12" ht="27.95" customHeight="1">
      <c r="A681" s="265"/>
      <c r="B681" s="748"/>
      <c r="C681" s="748"/>
      <c r="D681" s="748"/>
      <c r="E681" s="748"/>
      <c r="F681" s="748"/>
      <c r="G681" s="748"/>
      <c r="H681" s="841"/>
      <c r="I681" s="842"/>
      <c r="J681" s="842"/>
      <c r="K681" s="842"/>
      <c r="L681" s="842"/>
    </row>
    <row r="682" spans="1:12" ht="27.95" customHeight="1">
      <c r="A682" s="265"/>
      <c r="B682" s="844"/>
      <c r="C682" s="844"/>
      <c r="D682" s="844"/>
      <c r="E682" s="844"/>
      <c r="F682" s="844"/>
      <c r="G682" s="844"/>
      <c r="H682" s="841"/>
      <c r="I682" s="842"/>
      <c r="J682" s="842"/>
      <c r="K682" s="842"/>
      <c r="L682" s="842"/>
    </row>
    <row r="683" spans="1:12" ht="27.95" customHeight="1">
      <c r="A683" s="265"/>
      <c r="B683" s="844"/>
      <c r="C683" s="844"/>
      <c r="D683" s="844"/>
      <c r="E683" s="844"/>
      <c r="F683" s="844"/>
      <c r="G683" s="844"/>
      <c r="H683" s="845"/>
      <c r="I683" s="842"/>
      <c r="J683" s="842"/>
      <c r="K683" s="842"/>
      <c r="L683" s="842"/>
    </row>
    <row r="684" spans="1:12" ht="27.95" customHeight="1">
      <c r="A684" s="265"/>
      <c r="B684" s="193"/>
      <c r="C684" s="412"/>
      <c r="D684" s="412"/>
      <c r="E684" s="412"/>
      <c r="F684" s="412"/>
      <c r="G684" s="412"/>
      <c r="H684" s="411"/>
      <c r="I684" s="265"/>
      <c r="J684" s="266"/>
      <c r="K684" s="411"/>
      <c r="L684" s="411"/>
    </row>
    <row r="685" spans="1:12" ht="27.95" customHeight="1">
      <c r="A685" s="265"/>
      <c r="B685" s="193"/>
      <c r="C685" s="412"/>
      <c r="D685" s="412"/>
      <c r="E685" s="412"/>
      <c r="F685" s="412"/>
      <c r="G685" s="412"/>
      <c r="H685" s="411"/>
      <c r="I685" s="411"/>
      <c r="J685" s="266"/>
      <c r="K685" s="411"/>
      <c r="L685" s="411"/>
    </row>
    <row r="686" spans="1:12" ht="27.95" customHeight="1">
      <c r="A686" s="265"/>
      <c r="B686" s="748"/>
      <c r="C686" s="748"/>
      <c r="D686" s="748"/>
      <c r="E686" s="748"/>
      <c r="F686" s="748"/>
      <c r="G686" s="748"/>
      <c r="H686" s="841"/>
      <c r="I686" s="842"/>
      <c r="J686" s="842"/>
      <c r="K686" s="842"/>
      <c r="L686" s="842"/>
    </row>
    <row r="687" spans="1:12" ht="27.95" customHeight="1">
      <c r="A687" s="265"/>
      <c r="B687" s="844"/>
      <c r="C687" s="844"/>
      <c r="D687" s="844"/>
      <c r="E687" s="844"/>
      <c r="F687" s="844"/>
      <c r="G687" s="844"/>
      <c r="H687" s="847"/>
      <c r="I687" s="842"/>
      <c r="J687" s="842"/>
      <c r="K687" s="842"/>
      <c r="L687" s="842"/>
    </row>
    <row r="688" spans="1:12" ht="27.95" customHeight="1">
      <c r="A688" s="27"/>
      <c r="B688" s="844"/>
      <c r="C688" s="844"/>
      <c r="D688" s="844"/>
      <c r="E688" s="844"/>
      <c r="F688" s="844"/>
      <c r="G688" s="844"/>
      <c r="H688" s="842"/>
      <c r="I688" s="842"/>
      <c r="J688" s="842"/>
      <c r="K688" s="842"/>
      <c r="L688" s="842"/>
    </row>
    <row r="689" spans="1:12" ht="27.95" customHeight="1">
      <c r="A689" s="27"/>
      <c r="B689" s="193"/>
      <c r="C689" s="412"/>
      <c r="D689" s="412"/>
      <c r="E689" s="412"/>
      <c r="F689" s="412"/>
      <c r="G689" s="412"/>
      <c r="H689" s="411"/>
      <c r="I689" s="411"/>
      <c r="J689" s="411"/>
      <c r="K689" s="411"/>
      <c r="L689" s="411"/>
    </row>
    <row r="690" spans="1:12" ht="27.95" customHeight="1">
      <c r="A690" s="27"/>
      <c r="B690" s="193"/>
      <c r="C690" s="412"/>
      <c r="D690" s="412"/>
      <c r="E690" s="412"/>
      <c r="F690" s="412"/>
      <c r="G690" s="412"/>
      <c r="H690" s="411"/>
      <c r="I690" s="411"/>
      <c r="J690" s="411"/>
      <c r="K690" s="411"/>
      <c r="L690" s="411"/>
    </row>
    <row r="691" spans="1:12" ht="27.95" customHeight="1">
      <c r="A691" s="27"/>
      <c r="B691" s="193"/>
      <c r="C691" s="412"/>
      <c r="D691" s="412"/>
      <c r="E691" s="412"/>
      <c r="F691" s="412"/>
      <c r="G691" s="412"/>
      <c r="H691" s="411"/>
      <c r="I691" s="411"/>
      <c r="J691" s="410"/>
      <c r="K691" s="411"/>
      <c r="L691" s="411"/>
    </row>
    <row r="692" spans="1:12" ht="27.95" customHeight="1">
      <c r="A692" s="27"/>
      <c r="B692" s="193"/>
      <c r="C692" s="412"/>
      <c r="D692" s="412"/>
      <c r="E692" s="412"/>
      <c r="F692" s="412"/>
      <c r="G692" s="412"/>
      <c r="H692" s="411"/>
      <c r="I692" s="411"/>
      <c r="J692" s="411"/>
      <c r="K692" s="411"/>
      <c r="L692" s="411"/>
    </row>
    <row r="693" spans="1:12" ht="27.95" customHeight="1">
      <c r="A693" s="27"/>
      <c r="B693" s="193"/>
      <c r="C693" s="412"/>
      <c r="D693" s="412"/>
      <c r="E693" s="412"/>
      <c r="F693" s="412"/>
      <c r="G693" s="412"/>
      <c r="H693" s="411"/>
      <c r="I693" s="411"/>
      <c r="J693" s="410"/>
      <c r="K693" s="411"/>
      <c r="L693" s="411"/>
    </row>
    <row r="694" spans="1:12" ht="27.95" customHeight="1">
      <c r="A694" s="27"/>
      <c r="B694" s="193"/>
      <c r="C694" s="412"/>
      <c r="D694" s="411"/>
      <c r="E694" s="410"/>
      <c r="F694" s="411"/>
      <c r="G694" s="410"/>
      <c r="H694" s="411"/>
      <c r="I694" s="410"/>
      <c r="J694" s="411"/>
      <c r="K694" s="410"/>
      <c r="L694" s="410"/>
    </row>
    <row r="695" spans="1:12" ht="27.95" customHeight="1">
      <c r="A695" s="27"/>
      <c r="B695" s="193"/>
      <c r="C695" s="412"/>
      <c r="D695" s="412"/>
      <c r="E695" s="412"/>
      <c r="F695" s="412"/>
      <c r="G695" s="412"/>
      <c r="H695" s="411"/>
      <c r="I695" s="411"/>
      <c r="J695" s="267"/>
      <c r="K695" s="411"/>
      <c r="L695" s="411"/>
    </row>
    <row r="696" spans="1:12" ht="27.95" customHeight="1">
      <c r="A696" s="27"/>
      <c r="B696" s="193"/>
      <c r="C696" s="185"/>
      <c r="D696" s="185"/>
      <c r="E696" s="185"/>
      <c r="F696" s="185"/>
      <c r="G696" s="185"/>
      <c r="H696" s="27"/>
      <c r="I696" s="27"/>
      <c r="J696" s="27"/>
      <c r="K696" s="27"/>
      <c r="L696" s="27"/>
    </row>
    <row r="697" spans="1:12" ht="27.95" customHeight="1">
      <c r="A697" s="27"/>
      <c r="B697" s="193"/>
      <c r="C697" s="185"/>
      <c r="D697" s="185"/>
      <c r="E697" s="185"/>
      <c r="F697" s="185"/>
      <c r="G697" s="185"/>
      <c r="H697" s="27"/>
      <c r="I697" s="27"/>
      <c r="J697" s="27"/>
      <c r="K697" s="27"/>
      <c r="L697" s="27"/>
    </row>
    <row r="698" spans="1:12">
      <c r="A698" s="27"/>
      <c r="B698" s="27"/>
      <c r="C698" s="27"/>
      <c r="D698" s="27"/>
      <c r="E698" s="27"/>
      <c r="F698" s="27"/>
      <c r="G698" s="27"/>
      <c r="H698" s="27"/>
      <c r="I698" s="27"/>
      <c r="J698" s="27"/>
      <c r="K698" s="27"/>
      <c r="L698" s="27"/>
    </row>
    <row r="699" spans="1:12">
      <c r="A699" s="27"/>
      <c r="B699" s="27"/>
      <c r="C699" s="27"/>
      <c r="D699" s="27"/>
      <c r="E699" s="27"/>
      <c r="F699" s="27"/>
      <c r="G699" s="27"/>
      <c r="H699" s="27"/>
      <c r="I699" s="27"/>
      <c r="J699" s="27"/>
      <c r="K699" s="27"/>
      <c r="L699" s="27"/>
    </row>
    <row r="700" spans="1:12">
      <c r="A700" s="27"/>
      <c r="B700" s="27"/>
      <c r="C700" s="27"/>
      <c r="D700" s="27"/>
      <c r="E700" s="27"/>
      <c r="F700" s="27"/>
      <c r="G700" s="27"/>
      <c r="H700" s="27"/>
      <c r="I700" s="27"/>
      <c r="J700" s="27"/>
      <c r="K700" s="27"/>
      <c r="L700" s="27"/>
    </row>
    <row r="701" spans="1:12" ht="32.25">
      <c r="A701" s="27"/>
      <c r="B701" s="848"/>
      <c r="C701" s="767"/>
      <c r="D701" s="767"/>
      <c r="E701" s="767"/>
      <c r="F701" s="767"/>
      <c r="G701" s="767"/>
      <c r="H701" s="767"/>
      <c r="I701" s="767"/>
      <c r="J701" s="767"/>
      <c r="K701" s="767"/>
      <c r="L701" s="767"/>
    </row>
    <row r="702" spans="1:12" ht="23.25">
      <c r="A702" s="27"/>
      <c r="B702" s="738"/>
      <c r="C702" s="738"/>
      <c r="D702" s="738"/>
      <c r="E702" s="738"/>
      <c r="F702" s="738"/>
      <c r="G702" s="738"/>
      <c r="H702" s="738"/>
      <c r="I702" s="738"/>
      <c r="J702" s="738"/>
      <c r="K702" s="738"/>
      <c r="L702" s="738"/>
    </row>
    <row r="703" spans="1:12" ht="15.75">
      <c r="A703" s="27"/>
      <c r="B703" s="846"/>
      <c r="C703" s="846"/>
      <c r="D703" s="846"/>
      <c r="E703" s="846"/>
      <c r="F703" s="846"/>
      <c r="G703" s="846"/>
      <c r="H703" s="846"/>
      <c r="I703" s="846"/>
      <c r="J703" s="846"/>
      <c r="K703" s="846"/>
      <c r="L703" s="846"/>
    </row>
    <row r="704" spans="1:12" ht="15" customHeight="1">
      <c r="A704" s="27"/>
      <c r="B704" s="747"/>
      <c r="C704" s="747"/>
      <c r="D704" s="747"/>
      <c r="E704" s="747"/>
      <c r="F704" s="747"/>
      <c r="G704" s="27"/>
      <c r="H704" s="748"/>
      <c r="I704" s="748"/>
      <c r="J704" s="748"/>
      <c r="K704" s="748"/>
      <c r="L704" s="748"/>
    </row>
    <row r="705" spans="1:12">
      <c r="A705" s="27"/>
      <c r="B705" s="747"/>
      <c r="C705" s="747"/>
      <c r="D705" s="747"/>
      <c r="E705" s="747"/>
      <c r="F705" s="747"/>
      <c r="G705" s="27"/>
      <c r="H705" s="748"/>
      <c r="I705" s="748"/>
      <c r="J705" s="748"/>
      <c r="K705" s="748"/>
      <c r="L705" s="748"/>
    </row>
    <row r="706" spans="1:12">
      <c r="A706" s="27"/>
      <c r="B706" s="27"/>
      <c r="C706" s="27"/>
      <c r="D706" s="27"/>
      <c r="E706" s="27"/>
      <c r="F706" s="27"/>
      <c r="G706" s="27"/>
      <c r="H706" s="27"/>
      <c r="I706" s="27"/>
      <c r="J706" s="27"/>
      <c r="K706" s="27"/>
      <c r="L706" s="27"/>
    </row>
    <row r="707" spans="1:12">
      <c r="A707" s="27"/>
      <c r="B707" s="108"/>
      <c r="C707" s="100"/>
      <c r="D707" s="100"/>
      <c r="E707" s="100"/>
      <c r="F707" s="100"/>
      <c r="G707" s="27"/>
      <c r="H707" s="108"/>
      <c r="I707" s="100"/>
      <c r="J707" s="100"/>
      <c r="K707" s="100"/>
      <c r="L707" s="100"/>
    </row>
    <row r="708" spans="1:12">
      <c r="A708" s="27"/>
      <c r="B708" s="27"/>
      <c r="C708" s="100"/>
      <c r="D708" s="100"/>
      <c r="E708" s="100"/>
      <c r="F708" s="100"/>
      <c r="G708" s="27"/>
      <c r="H708" s="27"/>
      <c r="I708" s="100"/>
      <c r="J708" s="100"/>
      <c r="K708" s="100"/>
      <c r="L708" s="100"/>
    </row>
    <row r="709" spans="1:12">
      <c r="A709" s="27"/>
      <c r="B709" s="108"/>
      <c r="C709" s="100"/>
      <c r="D709" s="100"/>
      <c r="E709" s="100"/>
      <c r="F709" s="100"/>
      <c r="G709" s="27"/>
      <c r="H709" s="108"/>
      <c r="I709" s="100"/>
      <c r="J709" s="100"/>
      <c r="K709" s="100"/>
      <c r="L709" s="100"/>
    </row>
    <row r="710" spans="1:12">
      <c r="A710" s="27"/>
      <c r="B710" s="100"/>
      <c r="C710" s="100"/>
      <c r="D710" s="100"/>
      <c r="E710" s="100"/>
      <c r="F710" s="100"/>
      <c r="G710" s="27"/>
      <c r="H710" s="100"/>
      <c r="I710" s="100"/>
      <c r="J710" s="100"/>
      <c r="K710" s="100"/>
      <c r="L710" s="100"/>
    </row>
    <row r="711" spans="1:12">
      <c r="A711" s="27"/>
      <c r="B711" s="27"/>
      <c r="C711" s="27"/>
      <c r="D711" s="27"/>
      <c r="E711" s="27"/>
      <c r="F711" s="27"/>
      <c r="G711" s="27"/>
      <c r="H711" s="27"/>
      <c r="I711" s="27"/>
      <c r="J711" s="27"/>
      <c r="K711" s="27"/>
      <c r="L711" s="27"/>
    </row>
    <row r="712" spans="1:12">
      <c r="A712" s="27"/>
      <c r="B712" s="664"/>
      <c r="C712" s="664"/>
      <c r="D712" s="664"/>
      <c r="E712" s="664"/>
      <c r="F712" s="664"/>
      <c r="G712" s="27"/>
      <c r="H712" s="664"/>
      <c r="I712" s="664"/>
      <c r="J712" s="664"/>
      <c r="K712" s="664"/>
      <c r="L712" s="664"/>
    </row>
    <row r="713" spans="1:12">
      <c r="A713" s="27"/>
      <c r="B713" s="27"/>
      <c r="C713" s="27"/>
      <c r="D713" s="27"/>
      <c r="E713" s="27"/>
      <c r="F713" s="27"/>
      <c r="G713" s="27"/>
      <c r="H713" s="27"/>
      <c r="I713" s="27"/>
      <c r="J713" s="27"/>
      <c r="K713" s="27"/>
      <c r="L713" s="27"/>
    </row>
    <row r="714" spans="1:12">
      <c r="A714" s="27"/>
      <c r="B714" s="27"/>
      <c r="C714" s="27"/>
      <c r="D714" s="27"/>
      <c r="E714" s="27"/>
      <c r="F714" s="27"/>
      <c r="G714" s="27"/>
      <c r="H714" s="185"/>
      <c r="I714" s="185"/>
      <c r="J714" s="185"/>
      <c r="K714" s="185"/>
      <c r="L714" s="185"/>
    </row>
    <row r="715" spans="1:12">
      <c r="A715" s="27"/>
      <c r="B715" s="100"/>
      <c r="C715" s="100"/>
      <c r="D715" s="100"/>
      <c r="E715" s="100"/>
      <c r="F715" s="100"/>
      <c r="G715" s="27"/>
      <c r="H715" s="108"/>
      <c r="I715" s="108"/>
      <c r="J715" s="108"/>
      <c r="K715" s="108"/>
      <c r="L715" s="108"/>
    </row>
    <row r="716" spans="1:12">
      <c r="A716" s="27"/>
      <c r="B716" s="108"/>
      <c r="C716" s="100"/>
      <c r="D716" s="100"/>
      <c r="E716" s="100"/>
      <c r="F716" s="100"/>
      <c r="G716" s="27"/>
      <c r="H716" s="108"/>
      <c r="I716" s="108"/>
      <c r="J716" s="108"/>
      <c r="K716" s="108"/>
      <c r="L716" s="108"/>
    </row>
    <row r="717" spans="1:12">
      <c r="A717" s="27"/>
      <c r="B717" s="100"/>
      <c r="C717" s="100"/>
      <c r="D717" s="100"/>
      <c r="E717" s="100"/>
      <c r="F717" s="100"/>
      <c r="G717" s="27"/>
      <c r="H717" s="108"/>
      <c r="I717" s="108"/>
      <c r="J717" s="108"/>
      <c r="K717" s="108"/>
      <c r="L717" s="108"/>
    </row>
    <row r="718" spans="1:12">
      <c r="A718" s="27"/>
      <c r="B718" s="100"/>
      <c r="C718" s="100"/>
      <c r="D718" s="100"/>
      <c r="E718" s="100"/>
      <c r="F718" s="100"/>
      <c r="G718" s="27"/>
      <c r="H718" s="108"/>
      <c r="I718" s="108"/>
      <c r="J718" s="108"/>
      <c r="K718" s="108"/>
      <c r="L718" s="108"/>
    </row>
    <row r="719" spans="1:12" ht="27.95" customHeight="1">
      <c r="A719" s="265"/>
      <c r="B719" s="844"/>
      <c r="C719" s="844"/>
      <c r="D719" s="844"/>
      <c r="E719" s="844"/>
      <c r="F719" s="844"/>
      <c r="G719" s="844"/>
      <c r="H719" s="841"/>
      <c r="I719" s="842"/>
      <c r="J719" s="842"/>
      <c r="K719" s="842"/>
      <c r="L719" s="842"/>
    </row>
    <row r="720" spans="1:12" ht="27.95" customHeight="1">
      <c r="A720" s="265"/>
      <c r="B720" s="748"/>
      <c r="C720" s="748"/>
      <c r="D720" s="748"/>
      <c r="E720" s="748"/>
      <c r="F720" s="748"/>
      <c r="G720" s="748"/>
      <c r="H720" s="841"/>
      <c r="I720" s="842"/>
      <c r="J720" s="842"/>
      <c r="K720" s="842"/>
      <c r="L720" s="842"/>
    </row>
    <row r="721" spans="1:12" ht="27.95" customHeight="1">
      <c r="A721" s="265"/>
      <c r="B721" s="844"/>
      <c r="C721" s="844"/>
      <c r="D721" s="844"/>
      <c r="E721" s="844"/>
      <c r="F721" s="844"/>
      <c r="G721" s="844"/>
      <c r="H721" s="841"/>
      <c r="I721" s="842"/>
      <c r="J721" s="842"/>
      <c r="K721" s="842"/>
      <c r="L721" s="842"/>
    </row>
    <row r="722" spans="1:12" ht="27.95" customHeight="1">
      <c r="A722" s="265"/>
      <c r="B722" s="844"/>
      <c r="C722" s="844"/>
      <c r="D722" s="844"/>
      <c r="E722" s="844"/>
      <c r="F722" s="844"/>
      <c r="G722" s="844"/>
      <c r="H722" s="845"/>
      <c r="I722" s="842"/>
      <c r="J722" s="842"/>
      <c r="K722" s="842"/>
      <c r="L722" s="842"/>
    </row>
    <row r="723" spans="1:12" ht="27.95" customHeight="1">
      <c r="A723" s="265"/>
      <c r="B723" s="193"/>
      <c r="C723" s="412"/>
      <c r="D723" s="412"/>
      <c r="E723" s="412"/>
      <c r="F723" s="412"/>
      <c r="G723" s="412"/>
      <c r="H723" s="411"/>
      <c r="I723" s="265"/>
      <c r="J723" s="266"/>
      <c r="K723" s="411"/>
      <c r="L723" s="411"/>
    </row>
    <row r="724" spans="1:12" ht="27.95" customHeight="1">
      <c r="A724" s="265"/>
      <c r="B724" s="193"/>
      <c r="C724" s="412"/>
      <c r="D724" s="412"/>
      <c r="E724" s="412"/>
      <c r="F724" s="412"/>
      <c r="G724" s="412"/>
      <c r="H724" s="411"/>
      <c r="I724" s="411"/>
      <c r="J724" s="266"/>
      <c r="K724" s="411"/>
      <c r="L724" s="411"/>
    </row>
    <row r="725" spans="1:12" ht="27.95" customHeight="1">
      <c r="A725" s="265"/>
      <c r="B725" s="748"/>
      <c r="C725" s="748"/>
      <c r="D725" s="748"/>
      <c r="E725" s="748"/>
      <c r="F725" s="748"/>
      <c r="G725" s="748"/>
      <c r="H725" s="841"/>
      <c r="I725" s="842"/>
      <c r="J725" s="842"/>
      <c r="K725" s="842"/>
      <c r="L725" s="842"/>
    </row>
    <row r="726" spans="1:12" ht="27.95" customHeight="1">
      <c r="A726" s="265"/>
      <c r="B726" s="844"/>
      <c r="C726" s="844"/>
      <c r="D726" s="844"/>
      <c r="E726" s="844"/>
      <c r="F726" s="844"/>
      <c r="G726" s="844"/>
      <c r="H726" s="847"/>
      <c r="I726" s="842"/>
      <c r="J726" s="842"/>
      <c r="K726" s="842"/>
      <c r="L726" s="842"/>
    </row>
    <row r="727" spans="1:12" ht="27.95" customHeight="1">
      <c r="A727" s="27"/>
      <c r="B727" s="844"/>
      <c r="C727" s="844"/>
      <c r="D727" s="844"/>
      <c r="E727" s="844"/>
      <c r="F727" s="844"/>
      <c r="G727" s="844"/>
      <c r="H727" s="842"/>
      <c r="I727" s="842"/>
      <c r="J727" s="842"/>
      <c r="K727" s="842"/>
      <c r="L727" s="842"/>
    </row>
    <row r="728" spans="1:12" ht="27.95" customHeight="1">
      <c r="A728" s="27"/>
      <c r="B728" s="193"/>
      <c r="C728" s="412"/>
      <c r="D728" s="412"/>
      <c r="E728" s="412"/>
      <c r="F728" s="412"/>
      <c r="G728" s="412"/>
      <c r="H728" s="411"/>
      <c r="I728" s="411"/>
      <c r="J728" s="411"/>
      <c r="K728" s="411"/>
      <c r="L728" s="411"/>
    </row>
    <row r="729" spans="1:12" ht="27.95" customHeight="1">
      <c r="A729" s="27"/>
      <c r="B729" s="193"/>
      <c r="C729" s="412"/>
      <c r="D729" s="412"/>
      <c r="E729" s="412"/>
      <c r="F729" s="412"/>
      <c r="G729" s="412"/>
      <c r="H729" s="411"/>
      <c r="I729" s="411"/>
      <c r="J729" s="411"/>
      <c r="K729" s="411"/>
      <c r="L729" s="411"/>
    </row>
    <row r="730" spans="1:12" ht="27.95" customHeight="1">
      <c r="A730" s="27"/>
      <c r="B730" s="193"/>
      <c r="C730" s="412"/>
      <c r="D730" s="412"/>
      <c r="E730" s="412"/>
      <c r="F730" s="412"/>
      <c r="G730" s="412"/>
      <c r="H730" s="411"/>
      <c r="I730" s="411"/>
      <c r="J730" s="410"/>
      <c r="K730" s="411"/>
      <c r="L730" s="411"/>
    </row>
    <row r="731" spans="1:12" ht="27.95" customHeight="1">
      <c r="A731" s="27"/>
      <c r="B731" s="193"/>
      <c r="C731" s="412"/>
      <c r="D731" s="412"/>
      <c r="E731" s="412"/>
      <c r="F731" s="412"/>
      <c r="G731" s="412"/>
      <c r="H731" s="411"/>
      <c r="I731" s="411"/>
      <c r="J731" s="411"/>
      <c r="K731" s="411"/>
      <c r="L731" s="411"/>
    </row>
    <row r="732" spans="1:12" ht="27.95" customHeight="1">
      <c r="A732" s="27"/>
      <c r="B732" s="193"/>
      <c r="C732" s="412"/>
      <c r="D732" s="412"/>
      <c r="E732" s="412"/>
      <c r="F732" s="412"/>
      <c r="G732" s="412"/>
      <c r="H732" s="411"/>
      <c r="I732" s="411"/>
      <c r="J732" s="410"/>
      <c r="K732" s="411"/>
      <c r="L732" s="411"/>
    </row>
    <row r="733" spans="1:12" ht="27.95" customHeight="1">
      <c r="A733" s="27"/>
      <c r="B733" s="193"/>
      <c r="C733" s="412"/>
      <c r="D733" s="411"/>
      <c r="E733" s="410"/>
      <c r="F733" s="411"/>
      <c r="G733" s="410"/>
      <c r="H733" s="411"/>
      <c r="I733" s="410"/>
      <c r="J733" s="411"/>
      <c r="K733" s="410"/>
      <c r="L733" s="410"/>
    </row>
    <row r="734" spans="1:12" ht="27.95" customHeight="1">
      <c r="A734" s="27"/>
      <c r="B734" s="193"/>
      <c r="C734" s="412"/>
      <c r="D734" s="412"/>
      <c r="E734" s="412"/>
      <c r="F734" s="412"/>
      <c r="G734" s="412"/>
      <c r="H734" s="411"/>
      <c r="I734" s="411"/>
      <c r="J734" s="267"/>
      <c r="K734" s="411"/>
      <c r="L734" s="411"/>
    </row>
    <row r="735" spans="1:12" ht="27.95" customHeight="1">
      <c r="A735" s="27"/>
      <c r="B735" s="193"/>
      <c r="C735" s="185"/>
      <c r="D735" s="185"/>
      <c r="E735" s="185"/>
      <c r="F735" s="185"/>
      <c r="G735" s="185"/>
      <c r="H735" s="27"/>
      <c r="I735" s="27"/>
      <c r="J735" s="27"/>
      <c r="K735" s="27"/>
      <c r="L735" s="27"/>
    </row>
    <row r="736" spans="1:12" ht="27.95" customHeight="1">
      <c r="A736" s="27"/>
      <c r="B736" s="193"/>
      <c r="C736" s="185"/>
      <c r="D736" s="185"/>
      <c r="E736" s="185"/>
      <c r="F736" s="185"/>
      <c r="G736" s="185"/>
      <c r="H736" s="27"/>
      <c r="I736" s="27"/>
      <c r="J736" s="27"/>
      <c r="K736" s="27"/>
      <c r="L736" s="27"/>
    </row>
    <row r="737" spans="1:12">
      <c r="A737" s="27"/>
      <c r="B737" s="27"/>
      <c r="C737" s="27"/>
      <c r="D737" s="27"/>
      <c r="E737" s="27"/>
      <c r="F737" s="27"/>
      <c r="G737" s="27"/>
      <c r="H737" s="27"/>
      <c r="I737" s="27"/>
      <c r="J737" s="27"/>
      <c r="K737" s="27"/>
      <c r="L737" s="27"/>
    </row>
    <row r="738" spans="1:12">
      <c r="A738" s="27"/>
      <c r="B738" s="27"/>
      <c r="C738" s="27"/>
      <c r="D738" s="27"/>
      <c r="E738" s="27"/>
      <c r="F738" s="27"/>
      <c r="G738" s="27"/>
      <c r="H738" s="27"/>
      <c r="I738" s="27"/>
      <c r="J738" s="27"/>
      <c r="K738" s="27"/>
      <c r="L738" s="27"/>
    </row>
    <row r="739" spans="1:12">
      <c r="A739" s="27"/>
      <c r="B739" s="27"/>
      <c r="C739" s="27"/>
      <c r="D739" s="27"/>
      <c r="E739" s="27"/>
      <c r="F739" s="27"/>
      <c r="G739" s="27"/>
      <c r="H739" s="27"/>
      <c r="I739" s="27"/>
      <c r="J739" s="27"/>
      <c r="K739" s="27"/>
      <c r="L739" s="27"/>
    </row>
    <row r="740" spans="1:12" ht="32.25">
      <c r="A740" s="27"/>
      <c r="B740" s="848"/>
      <c r="C740" s="767"/>
      <c r="D740" s="767"/>
      <c r="E740" s="767"/>
      <c r="F740" s="767"/>
      <c r="G740" s="767"/>
      <c r="H740" s="767"/>
      <c r="I740" s="767"/>
      <c r="J740" s="767"/>
      <c r="K740" s="767"/>
      <c r="L740" s="767"/>
    </row>
    <row r="741" spans="1:12" ht="23.25">
      <c r="A741" s="27"/>
      <c r="B741" s="738"/>
      <c r="C741" s="738"/>
      <c r="D741" s="738"/>
      <c r="E741" s="738"/>
      <c r="F741" s="738"/>
      <c r="G741" s="738"/>
      <c r="H741" s="738"/>
      <c r="I741" s="738"/>
      <c r="J741" s="738"/>
      <c r="K741" s="738"/>
      <c r="L741" s="738"/>
    </row>
    <row r="742" spans="1:12" ht="15.75">
      <c r="A742" s="27"/>
      <c r="B742" s="846"/>
      <c r="C742" s="846"/>
      <c r="D742" s="846"/>
      <c r="E742" s="846"/>
      <c r="F742" s="846"/>
      <c r="G742" s="846"/>
      <c r="H742" s="846"/>
      <c r="I742" s="846"/>
      <c r="J742" s="846"/>
      <c r="K742" s="846"/>
      <c r="L742" s="846"/>
    </row>
    <row r="743" spans="1:12" ht="15" customHeight="1">
      <c r="A743" s="27"/>
      <c r="B743" s="747"/>
      <c r="C743" s="747"/>
      <c r="D743" s="747"/>
      <c r="E743" s="747"/>
      <c r="F743" s="747"/>
      <c r="G743" s="27"/>
      <c r="H743" s="748"/>
      <c r="I743" s="748"/>
      <c r="J743" s="748"/>
      <c r="K743" s="748"/>
      <c r="L743" s="748"/>
    </row>
    <row r="744" spans="1:12">
      <c r="A744" s="27"/>
      <c r="B744" s="747"/>
      <c r="C744" s="747"/>
      <c r="D744" s="747"/>
      <c r="E744" s="747"/>
      <c r="F744" s="747"/>
      <c r="G744" s="27"/>
      <c r="H744" s="748"/>
      <c r="I744" s="748"/>
      <c r="J744" s="748"/>
      <c r="K744" s="748"/>
      <c r="L744" s="748"/>
    </row>
    <row r="745" spans="1:12">
      <c r="A745" s="27"/>
      <c r="B745" s="27"/>
      <c r="C745" s="27"/>
      <c r="D745" s="27"/>
      <c r="E745" s="27"/>
      <c r="F745" s="27"/>
      <c r="G745" s="27"/>
      <c r="H745" s="27"/>
      <c r="I745" s="27"/>
      <c r="J745" s="27"/>
      <c r="K745" s="27"/>
      <c r="L745" s="27"/>
    </row>
    <row r="746" spans="1:12">
      <c r="A746" s="27"/>
      <c r="B746" s="108"/>
      <c r="C746" s="100"/>
      <c r="D746" s="100"/>
      <c r="E746" s="100"/>
      <c r="F746" s="100"/>
      <c r="G746" s="27"/>
      <c r="H746" s="108"/>
      <c r="I746" s="100"/>
      <c r="J746" s="100"/>
      <c r="K746" s="100"/>
      <c r="L746" s="100"/>
    </row>
    <row r="747" spans="1:12">
      <c r="A747" s="27"/>
      <c r="B747" s="27"/>
      <c r="C747" s="100"/>
      <c r="D747" s="100"/>
      <c r="E747" s="100"/>
      <c r="F747" s="100"/>
      <c r="G747" s="27"/>
      <c r="H747" s="27"/>
      <c r="I747" s="100"/>
      <c r="J747" s="100"/>
      <c r="K747" s="100"/>
      <c r="L747" s="100"/>
    </row>
    <row r="748" spans="1:12">
      <c r="A748" s="27"/>
      <c r="B748" s="108"/>
      <c r="C748" s="100"/>
      <c r="D748" s="100"/>
      <c r="E748" s="100"/>
      <c r="F748" s="100"/>
      <c r="G748" s="27"/>
      <c r="H748" s="108"/>
      <c r="I748" s="100"/>
      <c r="J748" s="100"/>
      <c r="K748" s="100"/>
      <c r="L748" s="100"/>
    </row>
    <row r="749" spans="1:12" ht="15" customHeight="1">
      <c r="A749" s="27"/>
      <c r="B749" s="100"/>
      <c r="C749" s="100"/>
      <c r="D749" s="100"/>
      <c r="E749" s="100"/>
      <c r="F749" s="100"/>
      <c r="G749" s="27"/>
      <c r="H749" s="100"/>
      <c r="I749" s="100"/>
      <c r="J749" s="100"/>
      <c r="K749" s="100"/>
      <c r="L749" s="100"/>
    </row>
    <row r="750" spans="1:12">
      <c r="A750" s="27"/>
      <c r="B750" s="27"/>
      <c r="C750" s="27"/>
      <c r="D750" s="27"/>
      <c r="E750" s="27"/>
      <c r="F750" s="27"/>
      <c r="G750" s="27"/>
      <c r="H750" s="27"/>
      <c r="I750" s="27"/>
      <c r="J750" s="27"/>
      <c r="K750" s="27"/>
      <c r="L750" s="27"/>
    </row>
    <row r="751" spans="1:12">
      <c r="A751" s="27"/>
      <c r="B751" s="664"/>
      <c r="C751" s="664"/>
      <c r="D751" s="664"/>
      <c r="E751" s="664"/>
      <c r="F751" s="664"/>
      <c r="G751" s="27"/>
      <c r="H751" s="664"/>
      <c r="I751" s="664"/>
      <c r="J751" s="664"/>
      <c r="K751" s="664"/>
      <c r="L751" s="664"/>
    </row>
    <row r="752" spans="1:12">
      <c r="A752" s="27"/>
      <c r="B752" s="27"/>
      <c r="C752" s="27"/>
      <c r="D752" s="27"/>
      <c r="E752" s="27"/>
      <c r="F752" s="27"/>
      <c r="G752" s="27"/>
      <c r="H752" s="27"/>
      <c r="I752" s="27"/>
      <c r="J752" s="27"/>
      <c r="K752" s="27"/>
      <c r="L752" s="27"/>
    </row>
    <row r="753" spans="1:12">
      <c r="A753" s="27"/>
      <c r="B753" s="27"/>
      <c r="C753" s="27"/>
      <c r="D753" s="27"/>
      <c r="E753" s="27"/>
      <c r="F753" s="27"/>
      <c r="G753" s="27"/>
      <c r="H753" s="185"/>
      <c r="I753" s="185"/>
      <c r="J753" s="185"/>
      <c r="K753" s="185"/>
      <c r="L753" s="185"/>
    </row>
    <row r="754" spans="1:12">
      <c r="A754" s="27"/>
      <c r="B754" s="100"/>
      <c r="C754" s="100"/>
      <c r="D754" s="100"/>
      <c r="E754" s="100"/>
      <c r="F754" s="100"/>
      <c r="G754" s="27"/>
      <c r="H754" s="108"/>
      <c r="I754" s="108"/>
      <c r="J754" s="108"/>
      <c r="K754" s="108"/>
      <c r="L754" s="108"/>
    </row>
    <row r="755" spans="1:12">
      <c r="A755" s="27"/>
      <c r="B755" s="108"/>
      <c r="C755" s="100"/>
      <c r="D755" s="100"/>
      <c r="E755" s="100"/>
      <c r="F755" s="100"/>
      <c r="G755" s="27"/>
      <c r="H755" s="108"/>
      <c r="I755" s="108"/>
      <c r="J755" s="108"/>
      <c r="K755" s="108"/>
      <c r="L755" s="108"/>
    </row>
    <row r="756" spans="1:12">
      <c r="A756" s="27"/>
      <c r="B756" s="100"/>
      <c r="C756" s="100"/>
      <c r="D756" s="100"/>
      <c r="E756" s="100"/>
      <c r="F756" s="100"/>
      <c r="G756" s="27"/>
      <c r="H756" s="108"/>
      <c r="I756" s="108"/>
      <c r="J756" s="108"/>
      <c r="K756" s="108"/>
      <c r="L756" s="108"/>
    </row>
    <row r="757" spans="1:12">
      <c r="A757" s="27"/>
      <c r="B757" s="100"/>
      <c r="C757" s="100"/>
      <c r="D757" s="100"/>
      <c r="E757" s="100"/>
      <c r="F757" s="100"/>
      <c r="G757" s="27"/>
      <c r="H757" s="108"/>
      <c r="I757" s="108"/>
      <c r="J757" s="108"/>
      <c r="K757" s="108"/>
      <c r="L757" s="108"/>
    </row>
    <row r="758" spans="1:12" ht="27.95" customHeight="1">
      <c r="A758" s="265"/>
      <c r="B758" s="844"/>
      <c r="C758" s="844"/>
      <c r="D758" s="844"/>
      <c r="E758" s="844"/>
      <c r="F758" s="844"/>
      <c r="G758" s="844"/>
      <c r="H758" s="841"/>
      <c r="I758" s="842"/>
      <c r="J758" s="842"/>
      <c r="K758" s="842"/>
      <c r="L758" s="842"/>
    </row>
    <row r="759" spans="1:12" ht="27.95" customHeight="1">
      <c r="A759" s="265"/>
      <c r="B759" s="748"/>
      <c r="C759" s="748"/>
      <c r="D759" s="748"/>
      <c r="E759" s="748"/>
      <c r="F759" s="748"/>
      <c r="G759" s="748"/>
      <c r="H759" s="841"/>
      <c r="I759" s="842"/>
      <c r="J759" s="842"/>
      <c r="K759" s="842"/>
      <c r="L759" s="842"/>
    </row>
    <row r="760" spans="1:12" ht="27.95" customHeight="1">
      <c r="A760" s="265"/>
      <c r="B760" s="844"/>
      <c r="C760" s="844"/>
      <c r="D760" s="844"/>
      <c r="E760" s="844"/>
      <c r="F760" s="844"/>
      <c r="G760" s="844"/>
      <c r="H760" s="841"/>
      <c r="I760" s="842"/>
      <c r="J760" s="842"/>
      <c r="K760" s="842"/>
      <c r="L760" s="842"/>
    </row>
    <row r="761" spans="1:12" ht="27.95" customHeight="1">
      <c r="A761" s="265"/>
      <c r="B761" s="844"/>
      <c r="C761" s="844"/>
      <c r="D761" s="844"/>
      <c r="E761" s="844"/>
      <c r="F761" s="844"/>
      <c r="G761" s="844"/>
      <c r="H761" s="845"/>
      <c r="I761" s="842"/>
      <c r="J761" s="842"/>
      <c r="K761" s="842"/>
      <c r="L761" s="842"/>
    </row>
    <row r="762" spans="1:12" ht="27.95" customHeight="1">
      <c r="A762" s="265"/>
      <c r="B762" s="193"/>
      <c r="C762" s="412"/>
      <c r="D762" s="412"/>
      <c r="E762" s="412"/>
      <c r="F762" s="412"/>
      <c r="G762" s="412"/>
      <c r="H762" s="411"/>
      <c r="I762" s="265"/>
      <c r="J762" s="266"/>
      <c r="K762" s="411"/>
      <c r="L762" s="411"/>
    </row>
    <row r="763" spans="1:12" ht="27.95" customHeight="1">
      <c r="A763" s="265"/>
      <c r="B763" s="193"/>
      <c r="C763" s="412"/>
      <c r="D763" s="412"/>
      <c r="E763" s="412"/>
      <c r="F763" s="412"/>
      <c r="G763" s="412"/>
      <c r="H763" s="411"/>
      <c r="I763" s="411"/>
      <c r="J763" s="266"/>
      <c r="K763" s="411"/>
      <c r="L763" s="411"/>
    </row>
    <row r="764" spans="1:12" ht="27.95" customHeight="1">
      <c r="A764" s="265"/>
      <c r="B764" s="748"/>
      <c r="C764" s="748"/>
      <c r="D764" s="748"/>
      <c r="E764" s="748"/>
      <c r="F764" s="748"/>
      <c r="G764" s="748"/>
      <c r="H764" s="841"/>
      <c r="I764" s="842"/>
      <c r="J764" s="842"/>
      <c r="K764" s="842"/>
      <c r="L764" s="842"/>
    </row>
    <row r="765" spans="1:12" ht="27.95" customHeight="1">
      <c r="A765" s="265"/>
      <c r="B765" s="844"/>
      <c r="C765" s="844"/>
      <c r="D765" s="844"/>
      <c r="E765" s="844"/>
      <c r="F765" s="844"/>
      <c r="G765" s="844"/>
      <c r="H765" s="847"/>
      <c r="I765" s="842"/>
      <c r="J765" s="842"/>
      <c r="K765" s="842"/>
      <c r="L765" s="842"/>
    </row>
    <row r="766" spans="1:12" ht="27.95" customHeight="1">
      <c r="A766" s="27"/>
      <c r="B766" s="844"/>
      <c r="C766" s="844"/>
      <c r="D766" s="844"/>
      <c r="E766" s="844"/>
      <c r="F766" s="844"/>
      <c r="G766" s="844"/>
      <c r="H766" s="842"/>
      <c r="I766" s="842"/>
      <c r="J766" s="842"/>
      <c r="K766" s="842"/>
      <c r="L766" s="842"/>
    </row>
    <row r="767" spans="1:12" ht="27.95" customHeight="1">
      <c r="A767" s="27"/>
      <c r="B767" s="193"/>
      <c r="C767" s="412"/>
      <c r="D767" s="412"/>
      <c r="E767" s="412"/>
      <c r="F767" s="412"/>
      <c r="G767" s="412"/>
      <c r="H767" s="411"/>
      <c r="I767" s="411"/>
      <c r="J767" s="411"/>
      <c r="K767" s="411"/>
      <c r="L767" s="411"/>
    </row>
    <row r="768" spans="1:12" ht="27.95" customHeight="1">
      <c r="A768" s="27"/>
      <c r="B768" s="193"/>
      <c r="C768" s="412"/>
      <c r="D768" s="412"/>
      <c r="E768" s="412"/>
      <c r="F768" s="412"/>
      <c r="G768" s="412"/>
      <c r="H768" s="411"/>
      <c r="I768" s="411"/>
      <c r="J768" s="411"/>
      <c r="K768" s="411"/>
      <c r="L768" s="411"/>
    </row>
    <row r="769" spans="1:12" ht="27.95" customHeight="1">
      <c r="A769" s="27"/>
      <c r="B769" s="193"/>
      <c r="C769" s="412"/>
      <c r="D769" s="412"/>
      <c r="E769" s="412"/>
      <c r="F769" s="412"/>
      <c r="G769" s="412"/>
      <c r="H769" s="411"/>
      <c r="I769" s="411"/>
      <c r="J769" s="410"/>
      <c r="K769" s="411"/>
      <c r="L769" s="411"/>
    </row>
    <row r="770" spans="1:12" ht="27.95" customHeight="1">
      <c r="A770" s="27"/>
      <c r="B770" s="193"/>
      <c r="C770" s="412"/>
      <c r="D770" s="412"/>
      <c r="E770" s="412"/>
      <c r="F770" s="412"/>
      <c r="G770" s="412"/>
      <c r="H770" s="411"/>
      <c r="I770" s="411"/>
      <c r="J770" s="411"/>
      <c r="K770" s="411"/>
      <c r="L770" s="411"/>
    </row>
    <row r="771" spans="1:12" ht="27.95" customHeight="1">
      <c r="A771" s="27"/>
      <c r="B771" s="193"/>
      <c r="C771" s="412"/>
      <c r="D771" s="412"/>
      <c r="E771" s="412"/>
      <c r="F771" s="412"/>
      <c r="G771" s="412"/>
      <c r="H771" s="411"/>
      <c r="I771" s="411"/>
      <c r="J771" s="410"/>
      <c r="K771" s="411"/>
      <c r="L771" s="411"/>
    </row>
    <row r="772" spans="1:12" ht="27.95" customHeight="1">
      <c r="A772" s="27"/>
      <c r="B772" s="193"/>
      <c r="C772" s="412"/>
      <c r="D772" s="411"/>
      <c r="E772" s="410"/>
      <c r="F772" s="411"/>
      <c r="G772" s="410"/>
      <c r="H772" s="411"/>
      <c r="I772" s="410"/>
      <c r="J772" s="411"/>
      <c r="K772" s="410"/>
      <c r="L772" s="410"/>
    </row>
    <row r="773" spans="1:12" ht="27.95" customHeight="1">
      <c r="A773" s="27"/>
      <c r="B773" s="193"/>
      <c r="C773" s="412"/>
      <c r="D773" s="412"/>
      <c r="E773" s="412"/>
      <c r="F773" s="412"/>
      <c r="G773" s="412"/>
      <c r="H773" s="411"/>
      <c r="I773" s="411"/>
      <c r="J773" s="267"/>
      <c r="K773" s="411"/>
      <c r="L773" s="411"/>
    </row>
    <row r="774" spans="1:12" ht="27.95" customHeight="1">
      <c r="A774" s="27"/>
      <c r="B774" s="193"/>
      <c r="C774" s="185"/>
      <c r="D774" s="185"/>
      <c r="E774" s="185"/>
      <c r="F774" s="185"/>
      <c r="G774" s="185"/>
      <c r="H774" s="27"/>
      <c r="I774" s="27"/>
      <c r="J774" s="27"/>
      <c r="K774" s="27"/>
      <c r="L774" s="27"/>
    </row>
    <row r="775" spans="1:12" ht="27.95" customHeight="1">
      <c r="A775" s="27"/>
      <c r="B775" s="193"/>
      <c r="C775" s="185"/>
      <c r="D775" s="185"/>
      <c r="E775" s="185"/>
      <c r="F775" s="185"/>
      <c r="G775" s="185"/>
      <c r="H775" s="27"/>
      <c r="I775" s="27"/>
      <c r="J775" s="27"/>
      <c r="K775" s="27"/>
      <c r="L775" s="27"/>
    </row>
    <row r="776" spans="1:12">
      <c r="A776" s="27"/>
      <c r="B776" s="27"/>
      <c r="C776" s="27"/>
      <c r="D776" s="27"/>
      <c r="E776" s="27"/>
      <c r="F776" s="27"/>
      <c r="G776" s="27"/>
      <c r="H776" s="27"/>
      <c r="I776" s="27"/>
      <c r="J776" s="27"/>
      <c r="K776" s="27"/>
      <c r="L776" s="27"/>
    </row>
    <row r="777" spans="1:12">
      <c r="A777" s="27"/>
      <c r="B777" s="27"/>
      <c r="C777" s="27"/>
      <c r="D777" s="27"/>
      <c r="E777" s="27"/>
      <c r="F777" s="27"/>
      <c r="G777" s="27"/>
      <c r="H777" s="27"/>
      <c r="I777" s="27"/>
      <c r="J777" s="27"/>
      <c r="K777" s="27"/>
      <c r="L777" s="27"/>
    </row>
    <row r="778" spans="1:12">
      <c r="A778" s="27"/>
      <c r="B778" s="27"/>
      <c r="C778" s="27"/>
      <c r="D778" s="27"/>
      <c r="E778" s="27"/>
      <c r="F778" s="27"/>
      <c r="G778" s="27"/>
      <c r="H778" s="27"/>
      <c r="I778" s="27"/>
      <c r="J778" s="27"/>
      <c r="K778" s="27"/>
      <c r="L778" s="27"/>
    </row>
    <row r="779" spans="1:12">
      <c r="A779" s="27"/>
      <c r="B779" s="27"/>
      <c r="C779" s="27"/>
      <c r="D779" s="27"/>
      <c r="E779" s="27"/>
      <c r="F779" s="27"/>
      <c r="G779" s="27"/>
      <c r="H779" s="27"/>
      <c r="I779" s="27"/>
      <c r="J779" s="27"/>
      <c r="K779" s="27"/>
      <c r="L779" s="27"/>
    </row>
    <row r="780" spans="1:12">
      <c r="A780" s="27"/>
      <c r="B780" s="27"/>
      <c r="C780" s="27"/>
      <c r="D780" s="27"/>
      <c r="E780" s="27"/>
      <c r="F780" s="27"/>
      <c r="G780" s="27"/>
      <c r="H780" s="27"/>
      <c r="I780" s="27"/>
      <c r="J780" s="27"/>
      <c r="K780" s="27"/>
      <c r="L780" s="27"/>
    </row>
    <row r="781" spans="1:12">
      <c r="A781" s="27"/>
      <c r="B781" s="27"/>
      <c r="C781" s="27"/>
      <c r="D781" s="27"/>
      <c r="E781" s="27"/>
      <c r="F781" s="27"/>
      <c r="G781" s="27"/>
      <c r="H781" s="27"/>
      <c r="I781" s="27"/>
      <c r="J781" s="27"/>
      <c r="K781" s="27"/>
      <c r="L781" s="27"/>
    </row>
    <row r="782" spans="1:12">
      <c r="A782" s="27"/>
      <c r="B782" s="27"/>
      <c r="C782" s="27"/>
      <c r="D782" s="27"/>
      <c r="E782" s="27"/>
      <c r="F782" s="27"/>
      <c r="G782" s="27"/>
      <c r="H782" s="27"/>
      <c r="I782" s="27"/>
      <c r="J782" s="27"/>
      <c r="K782" s="27"/>
      <c r="L782" s="27"/>
    </row>
    <row r="783" spans="1:12">
      <c r="A783" s="27"/>
      <c r="B783" s="27"/>
      <c r="C783" s="27"/>
      <c r="D783" s="27"/>
      <c r="E783" s="27"/>
      <c r="F783" s="27"/>
      <c r="G783" s="27"/>
      <c r="H783" s="27"/>
      <c r="I783" s="27"/>
      <c r="J783" s="27"/>
      <c r="K783" s="27"/>
      <c r="L783" s="27"/>
    </row>
    <row r="784" spans="1:12">
      <c r="A784" s="27"/>
      <c r="B784" s="27"/>
      <c r="C784" s="27"/>
      <c r="D784" s="27"/>
      <c r="E784" s="27"/>
      <c r="F784" s="27"/>
      <c r="G784" s="27"/>
      <c r="H784" s="27"/>
      <c r="I784" s="27"/>
      <c r="J784" s="27"/>
      <c r="K784" s="27"/>
      <c r="L784" s="27"/>
    </row>
    <row r="785" spans="1:12">
      <c r="A785" s="27"/>
      <c r="B785" s="27"/>
      <c r="C785" s="27"/>
      <c r="D785" s="27"/>
      <c r="E785" s="27"/>
      <c r="F785" s="27"/>
      <c r="G785" s="27"/>
      <c r="H785" s="27"/>
      <c r="I785" s="27"/>
      <c r="J785" s="27"/>
      <c r="K785" s="27"/>
      <c r="L785" s="27"/>
    </row>
    <row r="786" spans="1:12">
      <c r="A786" s="27"/>
      <c r="B786" s="27"/>
      <c r="C786" s="27"/>
      <c r="D786" s="27"/>
      <c r="E786" s="27"/>
      <c r="F786" s="27"/>
      <c r="G786" s="27"/>
      <c r="H786" s="27"/>
      <c r="I786" s="27"/>
      <c r="J786" s="27"/>
      <c r="K786" s="27"/>
      <c r="L786" s="27"/>
    </row>
    <row r="787" spans="1:12">
      <c r="A787" s="27"/>
      <c r="B787" s="27"/>
      <c r="C787" s="27"/>
      <c r="D787" s="27"/>
      <c r="E787" s="27"/>
      <c r="F787" s="27"/>
      <c r="G787" s="27"/>
      <c r="H787" s="27"/>
      <c r="I787" s="27"/>
      <c r="J787" s="27"/>
      <c r="K787" s="27"/>
      <c r="L787" s="27"/>
    </row>
    <row r="788" spans="1:12">
      <c r="A788" s="27"/>
      <c r="B788" s="27"/>
      <c r="C788" s="27"/>
      <c r="D788" s="27"/>
      <c r="E788" s="27"/>
      <c r="F788" s="27"/>
      <c r="G788" s="27"/>
      <c r="H788" s="27"/>
      <c r="I788" s="27"/>
      <c r="J788" s="27"/>
      <c r="K788" s="27"/>
      <c r="L788" s="27"/>
    </row>
    <row r="789" spans="1:12">
      <c r="A789" s="27"/>
      <c r="B789" s="27"/>
      <c r="C789" s="27"/>
      <c r="D789" s="27"/>
      <c r="E789" s="27"/>
      <c r="F789" s="27"/>
      <c r="G789" s="27"/>
      <c r="H789" s="27"/>
      <c r="I789" s="27"/>
      <c r="J789" s="27"/>
      <c r="K789" s="27"/>
      <c r="L789" s="27"/>
    </row>
    <row r="790" spans="1:12">
      <c r="A790" s="27"/>
      <c r="B790" s="27"/>
      <c r="C790" s="27"/>
      <c r="D790" s="27"/>
      <c r="E790" s="27"/>
      <c r="F790" s="27"/>
      <c r="G790" s="27"/>
      <c r="H790" s="27"/>
      <c r="I790" s="27"/>
      <c r="J790" s="27"/>
      <c r="K790" s="27"/>
      <c r="L790" s="27"/>
    </row>
    <row r="791" spans="1:12">
      <c r="A791" s="27"/>
      <c r="B791" s="27"/>
      <c r="C791" s="27"/>
      <c r="D791" s="27"/>
      <c r="E791" s="27"/>
      <c r="F791" s="27"/>
      <c r="G791" s="27"/>
      <c r="H791" s="27"/>
      <c r="I791" s="27"/>
      <c r="J791" s="27"/>
      <c r="K791" s="27"/>
      <c r="L791" s="27"/>
    </row>
    <row r="792" spans="1:12">
      <c r="A792" s="27"/>
      <c r="B792" s="27"/>
      <c r="C792" s="27"/>
      <c r="D792" s="27"/>
      <c r="E792" s="27"/>
      <c r="F792" s="27"/>
      <c r="G792" s="27"/>
      <c r="H792" s="27"/>
      <c r="I792" s="27"/>
      <c r="J792" s="27"/>
      <c r="K792" s="27"/>
      <c r="L792" s="27"/>
    </row>
    <row r="793" spans="1:12">
      <c r="A793" s="27"/>
      <c r="B793" s="27"/>
      <c r="C793" s="27"/>
      <c r="D793" s="27"/>
      <c r="E793" s="27"/>
      <c r="F793" s="27"/>
      <c r="G793" s="27"/>
      <c r="H793" s="27"/>
      <c r="I793" s="27"/>
      <c r="J793" s="27"/>
      <c r="K793" s="27"/>
      <c r="L793" s="27"/>
    </row>
    <row r="794" spans="1:12">
      <c r="A794" s="27"/>
      <c r="B794" s="27"/>
      <c r="C794" s="27"/>
      <c r="D794" s="27"/>
      <c r="E794" s="27"/>
      <c r="F794" s="27"/>
      <c r="G794" s="27"/>
      <c r="H794" s="27"/>
      <c r="I794" s="27"/>
      <c r="J794" s="27"/>
      <c r="K794" s="27"/>
      <c r="L794" s="27"/>
    </row>
    <row r="795" spans="1:12">
      <c r="A795" s="27"/>
      <c r="B795" s="27"/>
      <c r="C795" s="27"/>
      <c r="D795" s="27"/>
      <c r="E795" s="27"/>
      <c r="F795" s="27"/>
      <c r="G795" s="27"/>
      <c r="H795" s="27"/>
      <c r="I795" s="27"/>
      <c r="J795" s="27"/>
      <c r="K795" s="27"/>
      <c r="L795" s="27"/>
    </row>
    <row r="796" spans="1:12">
      <c r="A796" s="27"/>
      <c r="B796" s="27"/>
      <c r="C796" s="27"/>
      <c r="D796" s="27"/>
      <c r="E796" s="27"/>
      <c r="F796" s="27"/>
      <c r="G796" s="27"/>
      <c r="H796" s="27"/>
      <c r="I796" s="27"/>
      <c r="J796" s="27"/>
      <c r="K796" s="27"/>
      <c r="L796" s="27"/>
    </row>
    <row r="797" spans="1:12">
      <c r="A797" s="27"/>
      <c r="B797" s="27"/>
      <c r="C797" s="27"/>
      <c r="D797" s="27"/>
      <c r="E797" s="27"/>
      <c r="F797" s="27"/>
      <c r="G797" s="27"/>
      <c r="H797" s="27"/>
      <c r="I797" s="27"/>
      <c r="J797" s="27"/>
      <c r="K797" s="27"/>
      <c r="L797" s="27"/>
    </row>
    <row r="798" spans="1:12">
      <c r="A798" s="27"/>
      <c r="B798" s="27"/>
      <c r="C798" s="27"/>
      <c r="D798" s="27"/>
      <c r="E798" s="27"/>
      <c r="F798" s="27"/>
      <c r="G798" s="27"/>
      <c r="H798" s="27"/>
      <c r="I798" s="27"/>
      <c r="J798" s="27"/>
      <c r="K798" s="27"/>
      <c r="L798" s="27"/>
    </row>
    <row r="799" spans="1:12">
      <c r="A799" s="27"/>
      <c r="B799" s="27"/>
      <c r="C799" s="27"/>
      <c r="D799" s="27"/>
      <c r="E799" s="27"/>
      <c r="F799" s="27"/>
      <c r="G799" s="27"/>
      <c r="H799" s="27"/>
      <c r="I799" s="27"/>
      <c r="J799" s="27"/>
      <c r="K799" s="27"/>
      <c r="L799" s="27"/>
    </row>
    <row r="800" spans="1:12">
      <c r="A800" s="27"/>
      <c r="B800" s="27"/>
      <c r="C800" s="27"/>
      <c r="D800" s="27"/>
      <c r="E800" s="27"/>
      <c r="F800" s="27"/>
      <c r="G800" s="27"/>
      <c r="H800" s="27"/>
      <c r="I800" s="27"/>
      <c r="J800" s="27"/>
      <c r="K800" s="27"/>
      <c r="L800" s="27"/>
    </row>
    <row r="801" spans="1:12">
      <c r="A801" s="27"/>
      <c r="B801" s="27"/>
      <c r="C801" s="27"/>
      <c r="D801" s="27"/>
      <c r="E801" s="27"/>
      <c r="F801" s="27"/>
      <c r="G801" s="27"/>
      <c r="H801" s="27"/>
      <c r="I801" s="27"/>
      <c r="J801" s="27"/>
      <c r="K801" s="27"/>
      <c r="L801" s="27"/>
    </row>
    <row r="802" spans="1:12">
      <c r="A802" s="27"/>
      <c r="B802" s="27"/>
      <c r="C802" s="27"/>
      <c r="D802" s="27"/>
      <c r="E802" s="27"/>
      <c r="F802" s="27"/>
      <c r="G802" s="27"/>
      <c r="H802" s="27"/>
      <c r="I802" s="27"/>
      <c r="J802" s="27"/>
      <c r="K802" s="27"/>
      <c r="L802" s="27"/>
    </row>
    <row r="803" spans="1:12">
      <c r="A803" s="27"/>
      <c r="B803" s="27"/>
      <c r="C803" s="27"/>
      <c r="D803" s="27"/>
      <c r="E803" s="27"/>
      <c r="F803" s="27"/>
      <c r="G803" s="27"/>
      <c r="H803" s="27"/>
      <c r="I803" s="27"/>
      <c r="J803" s="27"/>
      <c r="K803" s="27"/>
      <c r="L803" s="27"/>
    </row>
    <row r="804" spans="1:12">
      <c r="A804" s="27"/>
      <c r="B804" s="27"/>
      <c r="C804" s="27"/>
      <c r="D804" s="27"/>
      <c r="E804" s="27"/>
      <c r="F804" s="27"/>
      <c r="G804" s="27"/>
      <c r="H804" s="27"/>
      <c r="I804" s="27"/>
      <c r="J804" s="27"/>
      <c r="K804" s="27"/>
      <c r="L804" s="27"/>
    </row>
    <row r="805" spans="1:12">
      <c r="A805" s="27"/>
      <c r="B805" s="27"/>
      <c r="C805" s="27"/>
      <c r="D805" s="27"/>
      <c r="E805" s="27"/>
      <c r="F805" s="27"/>
      <c r="G805" s="27"/>
      <c r="H805" s="27"/>
      <c r="I805" s="27"/>
      <c r="J805" s="27"/>
      <c r="K805" s="27"/>
      <c r="L805" s="27"/>
    </row>
    <row r="806" spans="1:12">
      <c r="A806" s="27"/>
      <c r="B806" s="27"/>
      <c r="C806" s="27"/>
      <c r="D806" s="27"/>
      <c r="E806" s="27"/>
      <c r="F806" s="27"/>
      <c r="G806" s="27"/>
      <c r="H806" s="27"/>
      <c r="I806" s="27"/>
      <c r="J806" s="27"/>
      <c r="K806" s="27"/>
      <c r="L806" s="27"/>
    </row>
    <row r="807" spans="1:12">
      <c r="A807" s="27"/>
      <c r="B807" s="27"/>
      <c r="C807" s="27"/>
      <c r="D807" s="27"/>
      <c r="E807" s="27"/>
      <c r="F807" s="27"/>
      <c r="G807" s="27"/>
      <c r="H807" s="27"/>
      <c r="I807" s="27"/>
      <c r="J807" s="27"/>
      <c r="K807" s="27"/>
      <c r="L807" s="27"/>
    </row>
  </sheetData>
  <mergeCells count="274">
    <mergeCell ref="H237:L237"/>
    <mergeCell ref="H238:L238"/>
    <mergeCell ref="H293:L293"/>
    <mergeCell ref="H294:L294"/>
    <mergeCell ref="H349:L349"/>
    <mergeCell ref="H350:L350"/>
    <mergeCell ref="H405:L405"/>
    <mergeCell ref="H406:L406"/>
    <mergeCell ref="H459:L459"/>
    <mergeCell ref="B395:L395"/>
    <mergeCell ref="B407:F407"/>
    <mergeCell ref="H407:L407"/>
    <mergeCell ref="B410:G410"/>
    <mergeCell ref="B411:G411"/>
    <mergeCell ref="G428:H428"/>
    <mergeCell ref="K428:L428"/>
    <mergeCell ref="C429:L429"/>
    <mergeCell ref="H434:I434"/>
    <mergeCell ref="B341:L341"/>
    <mergeCell ref="H346:L346"/>
    <mergeCell ref="B347:E347"/>
    <mergeCell ref="H347:L348"/>
    <mergeCell ref="B351:F351"/>
    <mergeCell ref="H351:L351"/>
    <mergeCell ref="B765:G765"/>
    <mergeCell ref="H765:L765"/>
    <mergeCell ref="B766:G766"/>
    <mergeCell ref="H766:L766"/>
    <mergeCell ref="B760:G760"/>
    <mergeCell ref="H760:L760"/>
    <mergeCell ref="B761:G761"/>
    <mergeCell ref="H761:L761"/>
    <mergeCell ref="B764:G764"/>
    <mergeCell ref="H764:L764"/>
    <mergeCell ref="B751:F751"/>
    <mergeCell ref="H751:L751"/>
    <mergeCell ref="B758:G758"/>
    <mergeCell ref="H758:L758"/>
    <mergeCell ref="B759:G759"/>
    <mergeCell ref="H759:L759"/>
    <mergeCell ref="B727:G727"/>
    <mergeCell ref="H727:L727"/>
    <mergeCell ref="B740:L740"/>
    <mergeCell ref="B741:L741"/>
    <mergeCell ref="B742:L742"/>
    <mergeCell ref="B743:F744"/>
    <mergeCell ref="H743:L744"/>
    <mergeCell ref="B722:G722"/>
    <mergeCell ref="H722:L722"/>
    <mergeCell ref="B725:G725"/>
    <mergeCell ref="H725:L725"/>
    <mergeCell ref="B726:G726"/>
    <mergeCell ref="H726:L726"/>
    <mergeCell ref="B719:G719"/>
    <mergeCell ref="H719:L719"/>
    <mergeCell ref="B720:G720"/>
    <mergeCell ref="H720:L720"/>
    <mergeCell ref="B721:G721"/>
    <mergeCell ref="H721:L721"/>
    <mergeCell ref="B701:L701"/>
    <mergeCell ref="B702:L702"/>
    <mergeCell ref="B703:L703"/>
    <mergeCell ref="B704:F705"/>
    <mergeCell ref="H704:L705"/>
    <mergeCell ref="B712:F712"/>
    <mergeCell ref="H712:L712"/>
    <mergeCell ref="B686:G686"/>
    <mergeCell ref="H686:L686"/>
    <mergeCell ref="B687:G687"/>
    <mergeCell ref="H687:L687"/>
    <mergeCell ref="B688:G688"/>
    <mergeCell ref="H688:L688"/>
    <mergeCell ref="B681:G681"/>
    <mergeCell ref="H681:L681"/>
    <mergeCell ref="B682:G682"/>
    <mergeCell ref="H682:L682"/>
    <mergeCell ref="B683:G683"/>
    <mergeCell ref="H683:L683"/>
    <mergeCell ref="B664:L664"/>
    <mergeCell ref="B665:F666"/>
    <mergeCell ref="H665:L666"/>
    <mergeCell ref="B673:F673"/>
    <mergeCell ref="H673:L673"/>
    <mergeCell ref="B680:G680"/>
    <mergeCell ref="H680:L680"/>
    <mergeCell ref="B612:L612"/>
    <mergeCell ref="B648:G648"/>
    <mergeCell ref="H648:L648"/>
    <mergeCell ref="B649:G649"/>
    <mergeCell ref="H649:L649"/>
    <mergeCell ref="B662:L662"/>
    <mergeCell ref="B663:L663"/>
    <mergeCell ref="B643:G643"/>
    <mergeCell ref="H643:L643"/>
    <mergeCell ref="B644:G644"/>
    <mergeCell ref="H644:L644"/>
    <mergeCell ref="B647:G647"/>
    <mergeCell ref="H647:L647"/>
    <mergeCell ref="B634:F634"/>
    <mergeCell ref="H634:L634"/>
    <mergeCell ref="B641:G641"/>
    <mergeCell ref="H641:L641"/>
    <mergeCell ref="B642:G642"/>
    <mergeCell ref="H642:L642"/>
    <mergeCell ref="B623:L623"/>
    <mergeCell ref="B624:L624"/>
    <mergeCell ref="B625:L625"/>
    <mergeCell ref="B626:F627"/>
    <mergeCell ref="H626:L627"/>
    <mergeCell ref="B464:G464"/>
    <mergeCell ref="B465:G465"/>
    <mergeCell ref="H511:L512"/>
    <mergeCell ref="H510:L510"/>
    <mergeCell ref="B511:E511"/>
    <mergeCell ref="B515:F515"/>
    <mergeCell ref="H515:L515"/>
    <mergeCell ref="B518:G518"/>
    <mergeCell ref="B519:G519"/>
    <mergeCell ref="H513:L513"/>
    <mergeCell ref="H514:L514"/>
    <mergeCell ref="B435:C435"/>
    <mergeCell ref="B448:L448"/>
    <mergeCell ref="B450:L450"/>
    <mergeCell ref="B452:L452"/>
    <mergeCell ref="H456:L456"/>
    <mergeCell ref="B457:E457"/>
    <mergeCell ref="H457:L458"/>
    <mergeCell ref="B461:F461"/>
    <mergeCell ref="H461:L461"/>
    <mergeCell ref="H460:L460"/>
    <mergeCell ref="B354:G354"/>
    <mergeCell ref="B355:G355"/>
    <mergeCell ref="B394:L394"/>
    <mergeCell ref="B298:G298"/>
    <mergeCell ref="B299:G299"/>
    <mergeCell ref="G316:H316"/>
    <mergeCell ref="K316:L316"/>
    <mergeCell ref="C317:L317"/>
    <mergeCell ref="H323:I323"/>
    <mergeCell ref="B324:C324"/>
    <mergeCell ref="B337:L337"/>
    <mergeCell ref="B339:L339"/>
    <mergeCell ref="B169:L169"/>
    <mergeCell ref="B171:L171"/>
    <mergeCell ref="B173:L173"/>
    <mergeCell ref="H178:L178"/>
    <mergeCell ref="B179:E179"/>
    <mergeCell ref="H179:L180"/>
    <mergeCell ref="B183:F183"/>
    <mergeCell ref="H183:L183"/>
    <mergeCell ref="B186:G186"/>
    <mergeCell ref="B99:C99"/>
    <mergeCell ref="B115:G115"/>
    <mergeCell ref="H115:L115"/>
    <mergeCell ref="B112:L112"/>
    <mergeCell ref="B114:L114"/>
    <mergeCell ref="B117:L117"/>
    <mergeCell ref="H122:L122"/>
    <mergeCell ref="B123:E123"/>
    <mergeCell ref="H123:L124"/>
    <mergeCell ref="H58:L58"/>
    <mergeCell ref="B13:F13"/>
    <mergeCell ref="H13:L13"/>
    <mergeCell ref="B55:L55"/>
    <mergeCell ref="B57:L57"/>
    <mergeCell ref="B42:C42"/>
    <mergeCell ref="H65:L65"/>
    <mergeCell ref="C92:L92"/>
    <mergeCell ref="H98:I98"/>
    <mergeCell ref="B2:L2"/>
    <mergeCell ref="B60:L60"/>
    <mergeCell ref="B66:E66"/>
    <mergeCell ref="H66:L67"/>
    <mergeCell ref="B70:F70"/>
    <mergeCell ref="H70:L70"/>
    <mergeCell ref="B73:G73"/>
    <mergeCell ref="B74:G74"/>
    <mergeCell ref="G91:H91"/>
    <mergeCell ref="K91:L91"/>
    <mergeCell ref="H11:L11"/>
    <mergeCell ref="H12:L12"/>
    <mergeCell ref="H69:L69"/>
    <mergeCell ref="H68:L68"/>
    <mergeCell ref="H8:L8"/>
    <mergeCell ref="H9:L10"/>
    <mergeCell ref="B9:E9"/>
    <mergeCell ref="B16:G16"/>
    <mergeCell ref="B17:G17"/>
    <mergeCell ref="C35:L35"/>
    <mergeCell ref="H41:I41"/>
    <mergeCell ref="G34:H34"/>
    <mergeCell ref="K34:L34"/>
    <mergeCell ref="B58:G58"/>
    <mergeCell ref="B127:F127"/>
    <mergeCell ref="H127:L127"/>
    <mergeCell ref="B130:G130"/>
    <mergeCell ref="B131:G131"/>
    <mergeCell ref="G148:H148"/>
    <mergeCell ref="K148:L148"/>
    <mergeCell ref="C149:L149"/>
    <mergeCell ref="H155:I155"/>
    <mergeCell ref="B156:C156"/>
    <mergeCell ref="B291:E291"/>
    <mergeCell ref="H291:L292"/>
    <mergeCell ref="B295:F295"/>
    <mergeCell ref="H295:L295"/>
    <mergeCell ref="B187:G187"/>
    <mergeCell ref="G204:H204"/>
    <mergeCell ref="K204:L204"/>
    <mergeCell ref="C205:L205"/>
    <mergeCell ref="H211:I211"/>
    <mergeCell ref="B212:C212"/>
    <mergeCell ref="B225:L225"/>
    <mergeCell ref="B227:L227"/>
    <mergeCell ref="B229:L229"/>
    <mergeCell ref="H234:L234"/>
    <mergeCell ref="B235:E235"/>
    <mergeCell ref="H235:L236"/>
    <mergeCell ref="B239:F239"/>
    <mergeCell ref="H239:L239"/>
    <mergeCell ref="B242:G242"/>
    <mergeCell ref="B243:G243"/>
    <mergeCell ref="G260:H260"/>
    <mergeCell ref="K260:L260"/>
    <mergeCell ref="C261:L261"/>
    <mergeCell ref="H267:I267"/>
    <mergeCell ref="C591:L591"/>
    <mergeCell ref="H596:I596"/>
    <mergeCell ref="B597:C597"/>
    <mergeCell ref="B610:L610"/>
    <mergeCell ref="G482:H482"/>
    <mergeCell ref="K482:L482"/>
    <mergeCell ref="C483:L483"/>
    <mergeCell ref="H488:I488"/>
    <mergeCell ref="B489:C489"/>
    <mergeCell ref="B502:L502"/>
    <mergeCell ref="B504:L504"/>
    <mergeCell ref="B506:L506"/>
    <mergeCell ref="G536:H536"/>
    <mergeCell ref="K536:L536"/>
    <mergeCell ref="C537:L537"/>
    <mergeCell ref="H542:I542"/>
    <mergeCell ref="B543:C543"/>
    <mergeCell ref="H564:L564"/>
    <mergeCell ref="B556:L556"/>
    <mergeCell ref="B558:L558"/>
    <mergeCell ref="B560:L560"/>
    <mergeCell ref="B565:E565"/>
    <mergeCell ref="H565:L566"/>
    <mergeCell ref="B572:G572"/>
    <mergeCell ref="H125:L125"/>
    <mergeCell ref="H126:L126"/>
    <mergeCell ref="H181:L181"/>
    <mergeCell ref="H182:L182"/>
    <mergeCell ref="B569:F569"/>
    <mergeCell ref="H569:L569"/>
    <mergeCell ref="B573:G573"/>
    <mergeCell ref="G590:H590"/>
    <mergeCell ref="K590:L590"/>
    <mergeCell ref="G372:H372"/>
    <mergeCell ref="K372:L372"/>
    <mergeCell ref="C373:L373"/>
    <mergeCell ref="H378:I378"/>
    <mergeCell ref="B379:C379"/>
    <mergeCell ref="B392:L392"/>
    <mergeCell ref="B397:L397"/>
    <mergeCell ref="H402:L402"/>
    <mergeCell ref="B403:E403"/>
    <mergeCell ref="H403:L404"/>
    <mergeCell ref="B268:C268"/>
    <mergeCell ref="B281:L281"/>
    <mergeCell ref="B283:L283"/>
    <mergeCell ref="B285:L285"/>
    <mergeCell ref="H290:L290"/>
  </mergeCells>
  <pageMargins left="0.70866141732283472" right="0.70866141732283472" top="0.74803149606299213" bottom="0.74803149606299213" header="0.31496062992125984" footer="0.31496062992125984"/>
  <pageSetup scale="65" orientation="portrait" horizontalDpi="300" verticalDpi="30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744"/>
  <sheetViews>
    <sheetView workbookViewId="0">
      <selection activeCell="D25" sqref="D24:D25"/>
    </sheetView>
  </sheetViews>
  <sheetFormatPr defaultRowHeight="15"/>
  <cols>
    <col min="1" max="1" width="20.140625" customWidth="1"/>
    <col min="2" max="2" width="30.42578125" customWidth="1"/>
    <col min="3" max="3" width="19.7109375" customWidth="1"/>
    <col min="4" max="4" width="63.28515625" customWidth="1"/>
  </cols>
  <sheetData>
    <row r="1" spans="1:4" ht="20.25">
      <c r="A1" s="912" t="s">
        <v>375</v>
      </c>
      <c r="B1" s="913"/>
      <c r="C1" s="913"/>
      <c r="D1" s="914"/>
    </row>
    <row r="2" spans="1:4">
      <c r="A2" s="915" t="s">
        <v>376</v>
      </c>
      <c r="B2" s="916"/>
      <c r="C2" s="916"/>
      <c r="D2" s="917"/>
    </row>
    <row r="3" spans="1:4" ht="18">
      <c r="A3" s="918" t="s">
        <v>377</v>
      </c>
      <c r="B3" s="919"/>
      <c r="C3" s="919"/>
      <c r="D3" s="920"/>
    </row>
    <row r="4" spans="1:4">
      <c r="A4" s="40" t="s">
        <v>83</v>
      </c>
      <c r="B4" s="27"/>
      <c r="C4" s="27"/>
      <c r="D4" s="41"/>
    </row>
    <row r="5" spans="1:4" ht="18">
      <c r="A5" s="284" t="str">
        <f>'0422Master'!F5</f>
        <v>Burgeon IT Services Pvt.Ltd.</v>
      </c>
      <c r="B5" s="268"/>
      <c r="C5" s="27"/>
      <c r="D5" s="41"/>
    </row>
    <row r="6" spans="1:4" ht="18">
      <c r="A6" s="284" t="str">
        <f>'0422Master'!F6</f>
        <v>Siri Mansion LIGB 436 Dr.A S Rao Nagar,Hyderabad</v>
      </c>
      <c r="B6" s="268"/>
      <c r="C6" s="27"/>
      <c r="D6" s="41"/>
    </row>
    <row r="7" spans="1:4" ht="18">
      <c r="A7" s="271"/>
      <c r="B7" s="272"/>
      <c r="C7" s="27"/>
      <c r="D7" s="41"/>
    </row>
    <row r="8" spans="1:4" ht="15.75">
      <c r="A8" s="270" t="s">
        <v>378</v>
      </c>
      <c r="B8" s="285"/>
      <c r="C8" s="286" t="e">
        <f>'0422Master'!#REF!</f>
        <v>#REF!</v>
      </c>
      <c r="D8" s="109"/>
    </row>
    <row r="9" spans="1:4">
      <c r="A9" s="909" t="s">
        <v>379</v>
      </c>
      <c r="B9" s="910"/>
      <c r="C9" s="910"/>
      <c r="D9" s="911"/>
    </row>
    <row r="10" spans="1:4">
      <c r="A10" s="40"/>
      <c r="B10" s="27"/>
      <c r="C10" s="27"/>
      <c r="D10" s="41"/>
    </row>
    <row r="11" spans="1:4">
      <c r="A11" s="909" t="s">
        <v>380</v>
      </c>
      <c r="B11" s="910"/>
      <c r="C11" s="910"/>
      <c r="D11" s="911"/>
    </row>
    <row r="12" spans="1:4">
      <c r="A12" s="273"/>
      <c r="B12" s="274"/>
      <c r="C12" s="274"/>
      <c r="D12" s="275"/>
    </row>
    <row r="13" spans="1:4">
      <c r="A13" s="902" t="s">
        <v>381</v>
      </c>
      <c r="B13" s="903"/>
      <c r="C13" s="903"/>
      <c r="D13" s="904"/>
    </row>
    <row r="14" spans="1:4">
      <c r="A14" s="40"/>
      <c r="B14" s="27"/>
      <c r="C14" s="27"/>
      <c r="D14" s="41"/>
    </row>
    <row r="15" spans="1:4">
      <c r="A15" s="902" t="s">
        <v>382</v>
      </c>
      <c r="B15" s="903"/>
      <c r="C15" s="903"/>
      <c r="D15" s="904"/>
    </row>
    <row r="16" spans="1:4">
      <c r="A16" s="902" t="s">
        <v>383</v>
      </c>
      <c r="B16" s="903"/>
      <c r="C16" s="903"/>
      <c r="D16" s="904"/>
    </row>
    <row r="17" spans="1:4">
      <c r="A17" s="269"/>
      <c r="B17" s="276"/>
      <c r="C17" s="276"/>
      <c r="D17" s="277"/>
    </row>
    <row r="18" spans="1:4">
      <c r="A18" s="909" t="s">
        <v>384</v>
      </c>
      <c r="B18" s="910"/>
      <c r="C18" s="910"/>
      <c r="D18" s="911"/>
    </row>
    <row r="19" spans="1:4">
      <c r="A19" s="269"/>
      <c r="B19" s="276"/>
      <c r="C19" s="276"/>
      <c r="D19" s="277"/>
    </row>
    <row r="20" spans="1:4">
      <c r="A20" s="902" t="s">
        <v>385</v>
      </c>
      <c r="B20" s="903"/>
      <c r="C20" s="903"/>
      <c r="D20" s="904"/>
    </row>
    <row r="21" spans="1:4">
      <c r="A21" s="40"/>
      <c r="B21" s="27"/>
      <c r="C21" s="27"/>
      <c r="D21" s="41"/>
    </row>
    <row r="22" spans="1:4">
      <c r="A22" s="899" t="s">
        <v>386</v>
      </c>
      <c r="B22" s="900"/>
      <c r="C22" s="900"/>
      <c r="D22" s="901"/>
    </row>
    <row r="23" spans="1:4" ht="42.75">
      <c r="A23" s="278" t="s">
        <v>387</v>
      </c>
      <c r="B23" s="481" t="s">
        <v>388</v>
      </c>
      <c r="C23" s="481" t="s">
        <v>389</v>
      </c>
      <c r="D23" s="279" t="s">
        <v>390</v>
      </c>
    </row>
    <row r="24" spans="1:4">
      <c r="A24" s="280">
        <v>1</v>
      </c>
      <c r="B24" s="339">
        <v>2</v>
      </c>
      <c r="C24" s="339">
        <v>3</v>
      </c>
      <c r="D24" s="423">
        <v>4</v>
      </c>
    </row>
    <row r="25" spans="1:4">
      <c r="A25" s="40" t="e">
        <f>'0422Master'!#REF!</f>
        <v>#REF!</v>
      </c>
      <c r="B25" s="308" t="s">
        <v>262</v>
      </c>
      <c r="C25" s="308" t="s">
        <v>391</v>
      </c>
      <c r="D25" s="305">
        <v>1</v>
      </c>
    </row>
    <row r="26" spans="1:4">
      <c r="A26" s="290"/>
      <c r="B26" s="308"/>
      <c r="C26" s="308"/>
      <c r="D26" s="281"/>
    </row>
    <row r="27" spans="1:4">
      <c r="A27" s="287"/>
      <c r="B27" s="308"/>
      <c r="C27" s="308"/>
      <c r="D27" s="281"/>
    </row>
    <row r="28" spans="1:4">
      <c r="A28" s="40"/>
      <c r="B28" s="27"/>
      <c r="C28" s="27"/>
      <c r="D28" s="41"/>
    </row>
    <row r="29" spans="1:4">
      <c r="A29" s="899" t="s">
        <v>392</v>
      </c>
      <c r="B29" s="900"/>
      <c r="C29" s="900"/>
      <c r="D29" s="901"/>
    </row>
    <row r="30" spans="1:4">
      <c r="A30" s="394"/>
      <c r="B30" s="395"/>
      <c r="C30" s="395"/>
      <c r="D30" s="396"/>
    </row>
    <row r="31" spans="1:4">
      <c r="A31" s="905" t="s">
        <v>393</v>
      </c>
      <c r="B31" s="906"/>
      <c r="C31" s="921" t="e">
        <f>'0422Master'!#REF!</f>
        <v>#REF!</v>
      </c>
      <c r="D31" s="908"/>
    </row>
    <row r="32" spans="1:4">
      <c r="A32" s="905" t="s">
        <v>394</v>
      </c>
      <c r="B32" s="906"/>
      <c r="C32" s="907" t="e">
        <f>'0422Master'!#REF!</f>
        <v>#REF!</v>
      </c>
      <c r="D32" s="908"/>
    </row>
    <row r="33" spans="1:4">
      <c r="A33" s="905" t="s">
        <v>395</v>
      </c>
      <c r="B33" s="906"/>
      <c r="C33" s="907" t="s">
        <v>396</v>
      </c>
      <c r="D33" s="908"/>
    </row>
    <row r="34" spans="1:4">
      <c r="A34" s="905" t="s">
        <v>397</v>
      </c>
      <c r="B34" s="906"/>
      <c r="C34" s="907" t="s">
        <v>374</v>
      </c>
      <c r="D34" s="908"/>
    </row>
    <row r="35" spans="1:4">
      <c r="A35" s="905" t="s">
        <v>398</v>
      </c>
      <c r="B35" s="906"/>
      <c r="C35" s="921" t="e">
        <f>'0422Master'!#REF!</f>
        <v>#REF!</v>
      </c>
      <c r="D35" s="908"/>
    </row>
    <row r="36" spans="1:4">
      <c r="A36" s="905" t="s">
        <v>399</v>
      </c>
      <c r="B36" s="906"/>
      <c r="C36" s="921" t="e">
        <f>'0422Master'!#REF!</f>
        <v>#REF!</v>
      </c>
      <c r="D36" s="908"/>
    </row>
    <row r="37" spans="1:4">
      <c r="A37" s="905" t="s">
        <v>400</v>
      </c>
      <c r="B37" s="906"/>
      <c r="C37" s="922" t="e">
        <f>'0422Master'!#REF!</f>
        <v>#REF!</v>
      </c>
      <c r="D37" s="908"/>
    </row>
    <row r="38" spans="1:4">
      <c r="A38" s="905" t="s">
        <v>401</v>
      </c>
      <c r="B38" s="906"/>
      <c r="C38" s="907"/>
      <c r="D38" s="908"/>
    </row>
    <row r="39" spans="1:4">
      <c r="A39" s="905"/>
      <c r="B39" s="906"/>
      <c r="C39" s="921" t="e">
        <f>'0422Master'!#REF!</f>
        <v>#REF!</v>
      </c>
      <c r="D39" s="908"/>
    </row>
    <row r="40" spans="1:4">
      <c r="A40" s="905"/>
      <c r="B40" s="906"/>
      <c r="C40" s="921" t="e">
        <f>'0422Master'!#REF!</f>
        <v>#REF!</v>
      </c>
      <c r="D40" s="908"/>
    </row>
    <row r="41" spans="1:4">
      <c r="A41" s="905"/>
      <c r="B41" s="906"/>
      <c r="C41" s="921" t="e">
        <f>'0422Master'!#REF!</f>
        <v>#REF!</v>
      </c>
      <c r="D41" s="908"/>
    </row>
    <row r="42" spans="1:4">
      <c r="A42" s="269" t="s">
        <v>352</v>
      </c>
      <c r="B42" s="276" t="s">
        <v>273</v>
      </c>
      <c r="C42" s="276"/>
      <c r="D42" s="277"/>
    </row>
    <row r="43" spans="1:4">
      <c r="A43" s="269" t="s">
        <v>402</v>
      </c>
      <c r="B43" s="306" t="e">
        <f>'0422Master'!#REF!</f>
        <v>#REF!</v>
      </c>
      <c r="C43" s="282" t="s">
        <v>403</v>
      </c>
      <c r="D43" s="277"/>
    </row>
    <row r="44" spans="1:4">
      <c r="A44" s="269"/>
      <c r="B44" s="276"/>
      <c r="C44" s="276"/>
      <c r="D44" s="277"/>
    </row>
    <row r="45" spans="1:4">
      <c r="A45" s="899" t="s">
        <v>404</v>
      </c>
      <c r="B45" s="900"/>
      <c r="C45" s="900"/>
      <c r="D45" s="901"/>
    </row>
    <row r="46" spans="1:4">
      <c r="A46" s="269" t="s">
        <v>405</v>
      </c>
      <c r="B46" s="276"/>
      <c r="C46" s="276"/>
      <c r="D46" s="277"/>
    </row>
    <row r="47" spans="1:4">
      <c r="A47" s="269"/>
      <c r="B47" s="276"/>
      <c r="C47" s="276"/>
      <c r="D47" s="277"/>
    </row>
    <row r="48" spans="1:4">
      <c r="A48" s="902" t="s">
        <v>406</v>
      </c>
      <c r="B48" s="903"/>
      <c r="C48" s="903" t="s">
        <v>407</v>
      </c>
      <c r="D48" s="904"/>
    </row>
    <row r="49" spans="1:4">
      <c r="A49" s="889">
        <v>1</v>
      </c>
      <c r="B49" s="890"/>
      <c r="C49" s="890">
        <v>1</v>
      </c>
      <c r="D49" s="891"/>
    </row>
    <row r="50" spans="1:4">
      <c r="A50" s="889">
        <v>2</v>
      </c>
      <c r="B50" s="890"/>
      <c r="C50" s="890">
        <v>2</v>
      </c>
      <c r="D50" s="891"/>
    </row>
    <row r="51" spans="1:4">
      <c r="A51" s="427"/>
      <c r="B51" s="27"/>
      <c r="C51" s="892" t="s">
        <v>408</v>
      </c>
      <c r="D51" s="893"/>
    </row>
    <row r="52" spans="1:4">
      <c r="A52" s="894" t="s">
        <v>409</v>
      </c>
      <c r="B52" s="895"/>
      <c r="C52" s="895"/>
      <c r="D52" s="896"/>
    </row>
    <row r="53" spans="1:4">
      <c r="A53" s="424" t="s">
        <v>410</v>
      </c>
      <c r="B53" s="425"/>
      <c r="C53" s="425"/>
      <c r="D53" s="426"/>
    </row>
    <row r="54" spans="1:4">
      <c r="A54" s="424"/>
      <c r="B54" s="425"/>
      <c r="C54" s="425"/>
      <c r="D54" s="426"/>
    </row>
    <row r="55" spans="1:4">
      <c r="A55" s="424"/>
      <c r="B55" s="425"/>
      <c r="C55" s="425" t="s">
        <v>411</v>
      </c>
      <c r="D55" s="426"/>
    </row>
    <row r="56" spans="1:4">
      <c r="A56" s="427"/>
      <c r="B56" s="428"/>
      <c r="C56" s="393" t="s">
        <v>201</v>
      </c>
      <c r="D56" s="429"/>
    </row>
    <row r="57" spans="1:4">
      <c r="A57" s="427"/>
      <c r="B57" s="27"/>
      <c r="C57" s="27" t="s">
        <v>412</v>
      </c>
      <c r="D57" s="283"/>
    </row>
    <row r="58" spans="1:4" ht="25.5" customHeight="1">
      <c r="A58" s="427"/>
      <c r="B58" s="27"/>
      <c r="C58" s="897" t="str">
        <f>'0422Master'!F5</f>
        <v>Burgeon IT Services Pvt.Ltd.</v>
      </c>
      <c r="D58" s="898"/>
    </row>
    <row r="59" spans="1:4">
      <c r="A59" s="269" t="s">
        <v>352</v>
      </c>
      <c r="B59" s="27" t="str">
        <f>B42</f>
        <v>Hyderabad</v>
      </c>
      <c r="C59" s="185" t="str">
        <f>'0422Master'!F6</f>
        <v>Siri Mansion LIGB 436 Dr.A S Rao Nagar,Hyderabad</v>
      </c>
      <c r="D59" s="41"/>
    </row>
    <row r="60" spans="1:4" ht="15.75" thickBot="1">
      <c r="A60" s="269" t="s">
        <v>402</v>
      </c>
      <c r="B60" s="297" t="e">
        <f>B43</f>
        <v>#REF!</v>
      </c>
      <c r="C60" s="185"/>
      <c r="D60" s="41"/>
    </row>
    <row r="61" spans="1:4" ht="15.75" thickBot="1">
      <c r="A61" s="288"/>
      <c r="B61" s="289" t="s">
        <v>413</v>
      </c>
      <c r="C61" s="289"/>
      <c r="D61" s="57"/>
    </row>
    <row r="62" spans="1:4">
      <c r="A62" s="269" t="s">
        <v>414</v>
      </c>
      <c r="B62" s="27"/>
      <c r="C62" s="185"/>
      <c r="D62" s="41"/>
    </row>
    <row r="63" spans="1:4">
      <c r="A63" s="269" t="s">
        <v>402</v>
      </c>
      <c r="B63" s="297" t="e">
        <f>B60</f>
        <v>#REF!</v>
      </c>
      <c r="C63" s="185"/>
      <c r="D63" s="41"/>
    </row>
    <row r="64" spans="1:4" ht="15.75" thickBot="1">
      <c r="A64" s="291" t="s">
        <v>415</v>
      </c>
      <c r="B64" s="52"/>
      <c r="C64" s="52"/>
      <c r="D64" s="53" t="s">
        <v>416</v>
      </c>
    </row>
    <row r="68" spans="1:4" ht="15.75" thickBot="1"/>
    <row r="69" spans="1:4" ht="20.25">
      <c r="A69" s="912" t="s">
        <v>375</v>
      </c>
      <c r="B69" s="913"/>
      <c r="C69" s="913"/>
      <c r="D69" s="914"/>
    </row>
    <row r="70" spans="1:4">
      <c r="A70" s="915" t="s">
        <v>376</v>
      </c>
      <c r="B70" s="916"/>
      <c r="C70" s="916"/>
      <c r="D70" s="917"/>
    </row>
    <row r="71" spans="1:4" ht="18">
      <c r="A71" s="918" t="s">
        <v>377</v>
      </c>
      <c r="B71" s="919"/>
      <c r="C71" s="919"/>
      <c r="D71" s="920"/>
    </row>
    <row r="72" spans="1:4">
      <c r="A72" s="40" t="s">
        <v>83</v>
      </c>
      <c r="B72" s="27"/>
      <c r="C72" s="27"/>
      <c r="D72" s="41"/>
    </row>
    <row r="73" spans="1:4" ht="18">
      <c r="A73" s="284" t="str">
        <f>'0422Master'!F5</f>
        <v>Burgeon IT Services Pvt.Ltd.</v>
      </c>
      <c r="B73" s="268"/>
      <c r="C73" s="27"/>
      <c r="D73" s="41"/>
    </row>
    <row r="74" spans="1:4" ht="18">
      <c r="A74" s="284" t="str">
        <f>'0422Master'!F6</f>
        <v>Siri Mansion LIGB 436 Dr.A S Rao Nagar,Hyderabad</v>
      </c>
      <c r="B74" s="268"/>
      <c r="C74" s="27"/>
      <c r="D74" s="41"/>
    </row>
    <row r="75" spans="1:4" ht="18">
      <c r="A75" s="271"/>
      <c r="B75" s="272"/>
      <c r="C75" s="27"/>
      <c r="D75" s="41"/>
    </row>
    <row r="76" spans="1:4" ht="15.75">
      <c r="A76" s="270" t="s">
        <v>378</v>
      </c>
      <c r="B76" s="285"/>
      <c r="C76" s="286" t="e">
        <f>'0422Master'!#REF!</f>
        <v>#REF!</v>
      </c>
      <c r="D76" s="109"/>
    </row>
    <row r="77" spans="1:4">
      <c r="A77" s="909" t="s">
        <v>379</v>
      </c>
      <c r="B77" s="910"/>
      <c r="C77" s="910"/>
      <c r="D77" s="911"/>
    </row>
    <row r="78" spans="1:4">
      <c r="A78" s="40"/>
      <c r="B78" s="27"/>
      <c r="C78" s="27"/>
      <c r="D78" s="41"/>
    </row>
    <row r="79" spans="1:4">
      <c r="A79" s="909" t="s">
        <v>380</v>
      </c>
      <c r="B79" s="910"/>
      <c r="C79" s="910"/>
      <c r="D79" s="911"/>
    </row>
    <row r="80" spans="1:4">
      <c r="A80" s="273"/>
      <c r="B80" s="274"/>
      <c r="C80" s="274"/>
      <c r="D80" s="275"/>
    </row>
    <row r="81" spans="1:4">
      <c r="A81" s="902" t="s">
        <v>381</v>
      </c>
      <c r="B81" s="903"/>
      <c r="C81" s="903"/>
      <c r="D81" s="904"/>
    </row>
    <row r="82" spans="1:4">
      <c r="A82" s="40"/>
      <c r="B82" s="27"/>
      <c r="C82" s="27"/>
      <c r="D82" s="41"/>
    </row>
    <row r="83" spans="1:4">
      <c r="A83" s="902" t="s">
        <v>382</v>
      </c>
      <c r="B83" s="903"/>
      <c r="C83" s="903"/>
      <c r="D83" s="904"/>
    </row>
    <row r="84" spans="1:4">
      <c r="A84" s="902" t="s">
        <v>383</v>
      </c>
      <c r="B84" s="903"/>
      <c r="C84" s="903"/>
      <c r="D84" s="904"/>
    </row>
    <row r="85" spans="1:4">
      <c r="A85" s="269"/>
      <c r="B85" s="276"/>
      <c r="C85" s="276"/>
      <c r="D85" s="277"/>
    </row>
    <row r="86" spans="1:4">
      <c r="A86" s="909" t="s">
        <v>384</v>
      </c>
      <c r="B86" s="910"/>
      <c r="C86" s="910"/>
      <c r="D86" s="911"/>
    </row>
    <row r="87" spans="1:4">
      <c r="A87" s="269"/>
      <c r="B87" s="276"/>
      <c r="C87" s="276"/>
      <c r="D87" s="277"/>
    </row>
    <row r="88" spans="1:4">
      <c r="A88" s="902" t="s">
        <v>385</v>
      </c>
      <c r="B88" s="903"/>
      <c r="C88" s="903"/>
      <c r="D88" s="904"/>
    </row>
    <row r="89" spans="1:4">
      <c r="A89" s="40"/>
      <c r="B89" s="27"/>
      <c r="C89" s="27"/>
      <c r="D89" s="41"/>
    </row>
    <row r="90" spans="1:4">
      <c r="A90" s="899" t="s">
        <v>386</v>
      </c>
      <c r="B90" s="900"/>
      <c r="C90" s="900"/>
      <c r="D90" s="901"/>
    </row>
    <row r="91" spans="1:4" ht="42.75">
      <c r="A91" s="278" t="s">
        <v>387</v>
      </c>
      <c r="B91" s="481" t="s">
        <v>388</v>
      </c>
      <c r="C91" s="481" t="s">
        <v>389</v>
      </c>
      <c r="D91" s="279" t="s">
        <v>390</v>
      </c>
    </row>
    <row r="92" spans="1:4">
      <c r="A92" s="280">
        <v>1</v>
      </c>
      <c r="B92" s="339">
        <v>2</v>
      </c>
      <c r="C92" s="339">
        <v>3</v>
      </c>
      <c r="D92" s="423">
        <v>4</v>
      </c>
    </row>
    <row r="93" spans="1:4">
      <c r="A93" s="40" t="e">
        <f>'0422Master'!#REF!</f>
        <v>#REF!</v>
      </c>
      <c r="B93" s="308" t="s">
        <v>262</v>
      </c>
      <c r="C93" s="308" t="s">
        <v>391</v>
      </c>
      <c r="D93" s="305">
        <v>1</v>
      </c>
    </row>
    <row r="94" spans="1:4">
      <c r="A94" s="290"/>
      <c r="B94" s="308"/>
      <c r="C94" s="308"/>
      <c r="D94" s="281"/>
    </row>
    <row r="95" spans="1:4">
      <c r="A95" s="287"/>
      <c r="B95" s="308"/>
      <c r="C95" s="308"/>
      <c r="D95" s="281"/>
    </row>
    <row r="96" spans="1:4">
      <c r="A96" s="40"/>
      <c r="B96" s="27"/>
      <c r="C96" s="27"/>
      <c r="D96" s="41"/>
    </row>
    <row r="97" spans="1:4">
      <c r="A97" s="899" t="s">
        <v>392</v>
      </c>
      <c r="B97" s="900"/>
      <c r="C97" s="900"/>
      <c r="D97" s="901"/>
    </row>
    <row r="98" spans="1:4">
      <c r="A98" s="394"/>
      <c r="B98" s="395"/>
      <c r="C98" s="395"/>
      <c r="D98" s="396"/>
    </row>
    <row r="99" spans="1:4">
      <c r="A99" s="905" t="s">
        <v>393</v>
      </c>
      <c r="B99" s="906"/>
      <c r="C99" s="921" t="e">
        <f>'0422Master'!#REF!</f>
        <v>#REF!</v>
      </c>
      <c r="D99" s="908"/>
    </row>
    <row r="100" spans="1:4">
      <c r="A100" s="905" t="s">
        <v>394</v>
      </c>
      <c r="B100" s="906"/>
      <c r="C100" s="907" t="e">
        <f>'0422Master'!#REF!</f>
        <v>#REF!</v>
      </c>
      <c r="D100" s="908"/>
    </row>
    <row r="101" spans="1:4">
      <c r="A101" s="905" t="s">
        <v>395</v>
      </c>
      <c r="B101" s="906"/>
      <c r="C101" s="907" t="s">
        <v>417</v>
      </c>
      <c r="D101" s="908"/>
    </row>
    <row r="102" spans="1:4">
      <c r="A102" s="905" t="s">
        <v>397</v>
      </c>
      <c r="B102" s="906"/>
      <c r="C102" s="907" t="s">
        <v>374</v>
      </c>
      <c r="D102" s="908"/>
    </row>
    <row r="103" spans="1:4">
      <c r="A103" s="905" t="s">
        <v>398</v>
      </c>
      <c r="B103" s="906"/>
      <c r="C103" s="921" t="e">
        <f>'0422Master'!#REF!</f>
        <v>#REF!</v>
      </c>
      <c r="D103" s="908"/>
    </row>
    <row r="104" spans="1:4">
      <c r="A104" s="905" t="s">
        <v>399</v>
      </c>
      <c r="B104" s="906"/>
      <c r="C104" s="921" t="e">
        <f>'0422Master'!#REF!</f>
        <v>#REF!</v>
      </c>
      <c r="D104" s="908"/>
    </row>
    <row r="105" spans="1:4">
      <c r="A105" s="905" t="s">
        <v>400</v>
      </c>
      <c r="B105" s="906"/>
      <c r="C105" s="922" t="e">
        <f>'0422Master'!#REF!</f>
        <v>#REF!</v>
      </c>
      <c r="D105" s="908"/>
    </row>
    <row r="106" spans="1:4">
      <c r="A106" s="905" t="s">
        <v>401</v>
      </c>
      <c r="B106" s="906"/>
      <c r="C106" s="907"/>
      <c r="D106" s="908"/>
    </row>
    <row r="107" spans="1:4">
      <c r="A107" s="905"/>
      <c r="B107" s="906"/>
      <c r="C107" s="921" t="e">
        <f>'0422Master'!#REF!</f>
        <v>#REF!</v>
      </c>
      <c r="D107" s="908"/>
    </row>
    <row r="108" spans="1:4">
      <c r="A108" s="905"/>
      <c r="B108" s="906"/>
      <c r="C108" s="921" t="e">
        <f>'0422Master'!#REF!</f>
        <v>#REF!</v>
      </c>
      <c r="D108" s="908"/>
    </row>
    <row r="109" spans="1:4">
      <c r="A109" s="905"/>
      <c r="B109" s="906"/>
      <c r="C109" s="921" t="e">
        <f>'0422Master'!#REF!</f>
        <v>#REF!</v>
      </c>
      <c r="D109" s="908"/>
    </row>
    <row r="110" spans="1:4">
      <c r="A110" s="269" t="s">
        <v>352</v>
      </c>
      <c r="B110" s="276" t="s">
        <v>273</v>
      </c>
      <c r="C110" s="276"/>
      <c r="D110" s="277"/>
    </row>
    <row r="111" spans="1:4">
      <c r="A111" s="269" t="s">
        <v>402</v>
      </c>
      <c r="B111" s="306" t="e">
        <f>'0422Master'!#REF!</f>
        <v>#REF!</v>
      </c>
      <c r="C111" s="282" t="s">
        <v>403</v>
      </c>
      <c r="D111" s="277"/>
    </row>
    <row r="112" spans="1:4">
      <c r="A112" s="269"/>
      <c r="B112" s="276"/>
      <c r="C112" s="276"/>
      <c r="D112" s="277"/>
    </row>
    <row r="113" spans="1:4">
      <c r="A113" s="899" t="s">
        <v>404</v>
      </c>
      <c r="B113" s="900"/>
      <c r="C113" s="900"/>
      <c r="D113" s="901"/>
    </row>
    <row r="114" spans="1:4">
      <c r="A114" s="269" t="s">
        <v>405</v>
      </c>
      <c r="B114" s="276"/>
      <c r="C114" s="276"/>
      <c r="D114" s="277"/>
    </row>
    <row r="115" spans="1:4">
      <c r="A115" s="269"/>
      <c r="B115" s="276"/>
      <c r="C115" s="276"/>
      <c r="D115" s="277"/>
    </row>
    <row r="116" spans="1:4">
      <c r="A116" s="902" t="s">
        <v>406</v>
      </c>
      <c r="B116" s="903"/>
      <c r="C116" s="903" t="s">
        <v>407</v>
      </c>
      <c r="D116" s="904"/>
    </row>
    <row r="117" spans="1:4">
      <c r="A117" s="889">
        <v>1</v>
      </c>
      <c r="B117" s="890"/>
      <c r="C117" s="890">
        <v>1</v>
      </c>
      <c r="D117" s="891"/>
    </row>
    <row r="118" spans="1:4">
      <c r="A118" s="889">
        <v>2</v>
      </c>
      <c r="B118" s="890"/>
      <c r="C118" s="890">
        <v>2</v>
      </c>
      <c r="D118" s="891"/>
    </row>
    <row r="119" spans="1:4">
      <c r="A119" s="427"/>
      <c r="B119" s="27"/>
      <c r="C119" s="892" t="s">
        <v>408</v>
      </c>
      <c r="D119" s="893"/>
    </row>
    <row r="120" spans="1:4">
      <c r="A120" s="894" t="s">
        <v>409</v>
      </c>
      <c r="B120" s="895"/>
      <c r="C120" s="895"/>
      <c r="D120" s="896"/>
    </row>
    <row r="121" spans="1:4">
      <c r="A121" s="424" t="s">
        <v>410</v>
      </c>
      <c r="B121" s="425"/>
      <c r="C121" s="425"/>
      <c r="D121" s="426"/>
    </row>
    <row r="122" spans="1:4">
      <c r="A122" s="424"/>
      <c r="B122" s="425"/>
      <c r="C122" s="425"/>
      <c r="D122" s="426"/>
    </row>
    <row r="123" spans="1:4">
      <c r="A123" s="424"/>
      <c r="B123" s="425"/>
      <c r="C123" s="425" t="s">
        <v>411</v>
      </c>
      <c r="D123" s="426"/>
    </row>
    <row r="124" spans="1:4">
      <c r="A124" s="427"/>
      <c r="B124" s="428"/>
      <c r="C124" s="393" t="s">
        <v>201</v>
      </c>
      <c r="D124" s="429"/>
    </row>
    <row r="125" spans="1:4">
      <c r="A125" s="427"/>
      <c r="B125" s="27"/>
      <c r="C125" s="27" t="s">
        <v>412</v>
      </c>
      <c r="D125" s="283"/>
    </row>
    <row r="126" spans="1:4">
      <c r="A126" s="427"/>
      <c r="B126" s="27"/>
      <c r="C126" s="897" t="str">
        <f>'0422Master'!F5</f>
        <v>Burgeon IT Services Pvt.Ltd.</v>
      </c>
      <c r="D126" s="898"/>
    </row>
    <row r="127" spans="1:4">
      <c r="A127" s="269" t="s">
        <v>352</v>
      </c>
      <c r="B127" s="27" t="str">
        <f>B110</f>
        <v>Hyderabad</v>
      </c>
      <c r="C127" s="185" t="str">
        <f>'0422Master'!F6</f>
        <v>Siri Mansion LIGB 436 Dr.A S Rao Nagar,Hyderabad</v>
      </c>
      <c r="D127" s="41"/>
    </row>
    <row r="128" spans="1:4" ht="15.75" thickBot="1">
      <c r="A128" s="269" t="s">
        <v>402</v>
      </c>
      <c r="B128" s="297" t="e">
        <f>B111</f>
        <v>#REF!</v>
      </c>
      <c r="C128" s="185"/>
      <c r="D128" s="41"/>
    </row>
    <row r="129" spans="1:4" ht="15.75" thickBot="1">
      <c r="A129" s="288"/>
      <c r="B129" s="289" t="s">
        <v>413</v>
      </c>
      <c r="C129" s="289"/>
      <c r="D129" s="57"/>
    </row>
    <row r="130" spans="1:4">
      <c r="A130" s="269" t="s">
        <v>414</v>
      </c>
      <c r="B130" s="27"/>
      <c r="C130" s="185"/>
      <c r="D130" s="41"/>
    </row>
    <row r="131" spans="1:4">
      <c r="A131" s="269" t="s">
        <v>402</v>
      </c>
      <c r="B131" s="297" t="e">
        <f>B128</f>
        <v>#REF!</v>
      </c>
      <c r="C131" s="185"/>
      <c r="D131" s="41"/>
    </row>
    <row r="132" spans="1:4" ht="15.75" thickBot="1">
      <c r="A132" s="291" t="s">
        <v>415</v>
      </c>
      <c r="B132" s="52"/>
      <c r="C132" s="52"/>
      <c r="D132" s="53" t="s">
        <v>416</v>
      </c>
    </row>
    <row r="136" spans="1:4" ht="15.75" thickBot="1"/>
    <row r="137" spans="1:4" ht="20.25">
      <c r="A137" s="912" t="s">
        <v>375</v>
      </c>
      <c r="B137" s="913"/>
      <c r="C137" s="913"/>
      <c r="D137" s="914"/>
    </row>
    <row r="138" spans="1:4">
      <c r="A138" s="915" t="s">
        <v>376</v>
      </c>
      <c r="B138" s="916"/>
      <c r="C138" s="916"/>
      <c r="D138" s="917"/>
    </row>
    <row r="139" spans="1:4" ht="18">
      <c r="A139" s="918" t="s">
        <v>377</v>
      </c>
      <c r="B139" s="919"/>
      <c r="C139" s="919"/>
      <c r="D139" s="920"/>
    </row>
    <row r="140" spans="1:4">
      <c r="A140" s="40" t="s">
        <v>83</v>
      </c>
      <c r="B140" s="27"/>
      <c r="C140" s="27"/>
      <c r="D140" s="41"/>
    </row>
    <row r="141" spans="1:4" ht="18">
      <c r="A141" s="284" t="str">
        <f>'0422Master'!F5</f>
        <v>Burgeon IT Services Pvt.Ltd.</v>
      </c>
      <c r="B141" s="268"/>
      <c r="C141" s="27"/>
      <c r="D141" s="41"/>
    </row>
    <row r="142" spans="1:4" ht="18">
      <c r="A142" s="284" t="str">
        <f>'0422Master'!F6</f>
        <v>Siri Mansion LIGB 436 Dr.A S Rao Nagar,Hyderabad</v>
      </c>
      <c r="B142" s="268"/>
      <c r="C142" s="27"/>
      <c r="D142" s="41"/>
    </row>
    <row r="143" spans="1:4" ht="18">
      <c r="A143" s="271"/>
      <c r="B143" s="272"/>
      <c r="C143" s="27"/>
      <c r="D143" s="41"/>
    </row>
    <row r="144" spans="1:4" ht="15.75">
      <c r="A144" s="270" t="s">
        <v>378</v>
      </c>
      <c r="B144" s="285"/>
      <c r="C144" s="286" t="str">
        <f>'0422Master'!B14</f>
        <v>KRANTHI KUMAR VEDULLA</v>
      </c>
      <c r="D144" s="109"/>
    </row>
    <row r="145" spans="1:4">
      <c r="A145" s="909" t="s">
        <v>379</v>
      </c>
      <c r="B145" s="910"/>
      <c r="C145" s="910"/>
      <c r="D145" s="911"/>
    </row>
    <row r="146" spans="1:4">
      <c r="A146" s="40"/>
      <c r="B146" s="27"/>
      <c r="C146" s="27"/>
      <c r="D146" s="41"/>
    </row>
    <row r="147" spans="1:4">
      <c r="A147" s="909" t="s">
        <v>380</v>
      </c>
      <c r="B147" s="910"/>
      <c r="C147" s="910"/>
      <c r="D147" s="911"/>
    </row>
    <row r="148" spans="1:4">
      <c r="A148" s="273"/>
      <c r="B148" s="274"/>
      <c r="C148" s="274"/>
      <c r="D148" s="275"/>
    </row>
    <row r="149" spans="1:4">
      <c r="A149" s="902" t="s">
        <v>381</v>
      </c>
      <c r="B149" s="903"/>
      <c r="C149" s="903"/>
      <c r="D149" s="904"/>
    </row>
    <row r="150" spans="1:4">
      <c r="A150" s="40"/>
      <c r="B150" s="27"/>
      <c r="C150" s="27"/>
      <c r="D150" s="41"/>
    </row>
    <row r="151" spans="1:4">
      <c r="A151" s="902" t="s">
        <v>382</v>
      </c>
      <c r="B151" s="903"/>
      <c r="C151" s="903"/>
      <c r="D151" s="904"/>
    </row>
    <row r="152" spans="1:4">
      <c r="A152" s="902" t="s">
        <v>383</v>
      </c>
      <c r="B152" s="903"/>
      <c r="C152" s="903"/>
      <c r="D152" s="904"/>
    </row>
    <row r="153" spans="1:4">
      <c r="A153" s="269"/>
      <c r="B153" s="276"/>
      <c r="C153" s="276"/>
      <c r="D153" s="277"/>
    </row>
    <row r="154" spans="1:4">
      <c r="A154" s="909" t="s">
        <v>384</v>
      </c>
      <c r="B154" s="910"/>
      <c r="C154" s="910"/>
      <c r="D154" s="911"/>
    </row>
    <row r="155" spans="1:4">
      <c r="A155" s="269"/>
      <c r="B155" s="276"/>
      <c r="C155" s="276"/>
      <c r="D155" s="277"/>
    </row>
    <row r="156" spans="1:4">
      <c r="A156" s="902" t="s">
        <v>385</v>
      </c>
      <c r="B156" s="903"/>
      <c r="C156" s="903"/>
      <c r="D156" s="904"/>
    </row>
    <row r="157" spans="1:4">
      <c r="A157" s="40"/>
      <c r="B157" s="27"/>
      <c r="C157" s="27"/>
      <c r="D157" s="41"/>
    </row>
    <row r="158" spans="1:4">
      <c r="A158" s="899" t="s">
        <v>386</v>
      </c>
      <c r="B158" s="900"/>
      <c r="C158" s="900"/>
      <c r="D158" s="901"/>
    </row>
    <row r="159" spans="1:4" ht="42.75">
      <c r="A159" s="278" t="s">
        <v>387</v>
      </c>
      <c r="B159" s="481" t="s">
        <v>388</v>
      </c>
      <c r="C159" s="481" t="s">
        <v>389</v>
      </c>
      <c r="D159" s="279" t="s">
        <v>390</v>
      </c>
    </row>
    <row r="160" spans="1:4">
      <c r="A160" s="280">
        <v>1</v>
      </c>
      <c r="B160" s="339">
        <v>2</v>
      </c>
      <c r="C160" s="339">
        <v>3</v>
      </c>
      <c r="D160" s="423">
        <v>4</v>
      </c>
    </row>
    <row r="161" spans="1:4">
      <c r="A161" s="307" t="str">
        <f>'0422Master'!E14</f>
        <v>Kamini Venkatarami Reddy</v>
      </c>
      <c r="B161" s="308" t="s">
        <v>262</v>
      </c>
      <c r="C161" s="308" t="s">
        <v>391</v>
      </c>
      <c r="D161" s="305">
        <v>1</v>
      </c>
    </row>
    <row r="162" spans="1:4">
      <c r="A162" s="290"/>
      <c r="B162" s="308"/>
      <c r="C162" s="308"/>
      <c r="D162" s="281"/>
    </row>
    <row r="163" spans="1:4">
      <c r="A163" s="287"/>
      <c r="B163" s="308"/>
      <c r="C163" s="308"/>
      <c r="D163" s="281"/>
    </row>
    <row r="164" spans="1:4">
      <c r="A164" s="40"/>
      <c r="B164" s="27"/>
      <c r="C164" s="27"/>
      <c r="D164" s="41"/>
    </row>
    <row r="165" spans="1:4">
      <c r="A165" s="899" t="s">
        <v>392</v>
      </c>
      <c r="B165" s="900"/>
      <c r="C165" s="900"/>
      <c r="D165" s="901"/>
    </row>
    <row r="166" spans="1:4">
      <c r="A166" s="394"/>
      <c r="B166" s="395"/>
      <c r="C166" s="395"/>
      <c r="D166" s="396"/>
    </row>
    <row r="167" spans="1:4">
      <c r="A167" s="905" t="s">
        <v>393</v>
      </c>
      <c r="B167" s="906"/>
      <c r="C167" s="921" t="str">
        <f>'0422Master'!B14</f>
        <v>KRANTHI KUMAR VEDULLA</v>
      </c>
      <c r="D167" s="908"/>
    </row>
    <row r="168" spans="1:4">
      <c r="A168" s="905" t="s">
        <v>394</v>
      </c>
      <c r="B168" s="906"/>
      <c r="C168" s="907" t="str">
        <f>'0422Master'!D14</f>
        <v>Male</v>
      </c>
      <c r="D168" s="908"/>
    </row>
    <row r="169" spans="1:4">
      <c r="A169" s="905" t="s">
        <v>395</v>
      </c>
      <c r="B169" s="906"/>
      <c r="C169" s="907" t="s">
        <v>396</v>
      </c>
      <c r="D169" s="908"/>
    </row>
    <row r="170" spans="1:4">
      <c r="A170" s="905" t="s">
        <v>397</v>
      </c>
      <c r="B170" s="906"/>
      <c r="C170" s="907" t="s">
        <v>374</v>
      </c>
      <c r="D170" s="908"/>
    </row>
    <row r="171" spans="1:4">
      <c r="A171" s="905" t="s">
        <v>398</v>
      </c>
      <c r="B171" s="906"/>
      <c r="C171" s="921" t="str">
        <f>'0422Master'!F14</f>
        <v>Senior Network Engineer</v>
      </c>
      <c r="D171" s="908"/>
    </row>
    <row r="172" spans="1:4">
      <c r="A172" s="905" t="s">
        <v>399</v>
      </c>
      <c r="B172" s="906"/>
      <c r="C172" s="921">
        <f>'0422Master'!A14</f>
        <v>1</v>
      </c>
      <c r="D172" s="908"/>
    </row>
    <row r="173" spans="1:4">
      <c r="A173" s="905" t="s">
        <v>400</v>
      </c>
      <c r="B173" s="906"/>
      <c r="C173" s="922">
        <f>'0422Master'!N14</f>
        <v>44181</v>
      </c>
      <c r="D173" s="908"/>
    </row>
    <row r="174" spans="1:4">
      <c r="A174" s="905" t="s">
        <v>401</v>
      </c>
      <c r="B174" s="906"/>
      <c r="C174" s="907"/>
      <c r="D174" s="908"/>
    </row>
    <row r="175" spans="1:4">
      <c r="A175" s="905"/>
      <c r="B175" s="906"/>
      <c r="C175" s="921" t="str">
        <f>'0422Master'!G14</f>
        <v>1/93 , Sanagala Guduru, Putluru (M), Anantapur (D), Andhra pradesh, 515411</v>
      </c>
      <c r="D175" s="908"/>
    </row>
    <row r="176" spans="1:4">
      <c r="A176" s="905"/>
      <c r="B176" s="906"/>
      <c r="C176" s="921">
        <f>'0422Master'!H14</f>
        <v>0</v>
      </c>
      <c r="D176" s="908"/>
    </row>
    <row r="177" spans="1:4">
      <c r="A177" s="905"/>
      <c r="B177" s="906"/>
      <c r="C177" s="921">
        <f>'0422Master'!I14</f>
        <v>0</v>
      </c>
      <c r="D177" s="908"/>
    </row>
    <row r="178" spans="1:4">
      <c r="A178" s="269" t="s">
        <v>352</v>
      </c>
      <c r="B178" s="276" t="s">
        <v>273</v>
      </c>
      <c r="C178" s="276"/>
      <c r="D178" s="277"/>
    </row>
    <row r="179" spans="1:4">
      <c r="A179" s="269" t="s">
        <v>402</v>
      </c>
      <c r="B179" s="306">
        <f>'0422Master'!N14</f>
        <v>44181</v>
      </c>
      <c r="C179" s="282" t="s">
        <v>403</v>
      </c>
      <c r="D179" s="277"/>
    </row>
    <row r="180" spans="1:4">
      <c r="A180" s="269"/>
      <c r="B180" s="276"/>
      <c r="C180" s="276"/>
      <c r="D180" s="277"/>
    </row>
    <row r="181" spans="1:4">
      <c r="A181" s="899" t="s">
        <v>404</v>
      </c>
      <c r="B181" s="900"/>
      <c r="C181" s="900"/>
      <c r="D181" s="901"/>
    </row>
    <row r="182" spans="1:4">
      <c r="A182" s="269" t="s">
        <v>405</v>
      </c>
      <c r="B182" s="276"/>
      <c r="C182" s="276"/>
      <c r="D182" s="277"/>
    </row>
    <row r="183" spans="1:4">
      <c r="A183" s="269"/>
      <c r="B183" s="276"/>
      <c r="C183" s="276"/>
      <c r="D183" s="277"/>
    </row>
    <row r="184" spans="1:4">
      <c r="A184" s="902" t="s">
        <v>406</v>
      </c>
      <c r="B184" s="903"/>
      <c r="C184" s="903" t="s">
        <v>407</v>
      </c>
      <c r="D184" s="904"/>
    </row>
    <row r="185" spans="1:4">
      <c r="A185" s="889">
        <v>1</v>
      </c>
      <c r="B185" s="890"/>
      <c r="C185" s="890">
        <v>1</v>
      </c>
      <c r="D185" s="891"/>
    </row>
    <row r="186" spans="1:4">
      <c r="A186" s="889">
        <v>2</v>
      </c>
      <c r="B186" s="890"/>
      <c r="C186" s="890">
        <v>2</v>
      </c>
      <c r="D186" s="891"/>
    </row>
    <row r="187" spans="1:4">
      <c r="A187" s="427"/>
      <c r="B187" s="27"/>
      <c r="C187" s="892" t="s">
        <v>408</v>
      </c>
      <c r="D187" s="893"/>
    </row>
    <row r="188" spans="1:4">
      <c r="A188" s="894" t="s">
        <v>409</v>
      </c>
      <c r="B188" s="895"/>
      <c r="C188" s="895"/>
      <c r="D188" s="896"/>
    </row>
    <row r="189" spans="1:4">
      <c r="A189" s="424" t="s">
        <v>410</v>
      </c>
      <c r="B189" s="425"/>
      <c r="C189" s="425"/>
      <c r="D189" s="426"/>
    </row>
    <row r="190" spans="1:4">
      <c r="A190" s="424"/>
      <c r="B190" s="425"/>
      <c r="C190" s="425"/>
      <c r="D190" s="426"/>
    </row>
    <row r="191" spans="1:4">
      <c r="A191" s="424"/>
      <c r="B191" s="425"/>
      <c r="C191" s="425" t="s">
        <v>411</v>
      </c>
      <c r="D191" s="426"/>
    </row>
    <row r="192" spans="1:4">
      <c r="A192" s="427"/>
      <c r="B192" s="428"/>
      <c r="C192" s="393" t="s">
        <v>201</v>
      </c>
      <c r="D192" s="429"/>
    </row>
    <row r="193" spans="1:4">
      <c r="A193" s="427"/>
      <c r="B193" s="27"/>
      <c r="C193" s="27" t="s">
        <v>412</v>
      </c>
      <c r="D193" s="283"/>
    </row>
    <row r="194" spans="1:4">
      <c r="A194" s="427"/>
      <c r="B194" s="27"/>
      <c r="C194" s="897" t="str">
        <f>'0422Master'!F5</f>
        <v>Burgeon IT Services Pvt.Ltd.</v>
      </c>
      <c r="D194" s="898"/>
    </row>
    <row r="195" spans="1:4">
      <c r="A195" s="269" t="s">
        <v>352</v>
      </c>
      <c r="B195" s="27" t="str">
        <f>B178</f>
        <v>Hyderabad</v>
      </c>
      <c r="C195" s="185" t="str">
        <f>'0422Master'!F6</f>
        <v>Siri Mansion LIGB 436 Dr.A S Rao Nagar,Hyderabad</v>
      </c>
      <c r="D195" s="41"/>
    </row>
    <row r="196" spans="1:4" ht="15.75" thickBot="1">
      <c r="A196" s="269" t="s">
        <v>402</v>
      </c>
      <c r="B196" s="297">
        <f>B179</f>
        <v>44181</v>
      </c>
      <c r="C196" s="185"/>
      <c r="D196" s="41"/>
    </row>
    <row r="197" spans="1:4" ht="15.75" thickBot="1">
      <c r="A197" s="288"/>
      <c r="B197" s="289" t="s">
        <v>413</v>
      </c>
      <c r="C197" s="289"/>
      <c r="D197" s="57"/>
    </row>
    <row r="198" spans="1:4">
      <c r="A198" s="269" t="s">
        <v>414</v>
      </c>
      <c r="B198" s="27"/>
      <c r="C198" s="185"/>
      <c r="D198" s="41"/>
    </row>
    <row r="199" spans="1:4">
      <c r="A199" s="269" t="s">
        <v>402</v>
      </c>
      <c r="B199" s="297">
        <f>B196</f>
        <v>44181</v>
      </c>
      <c r="C199" s="185"/>
      <c r="D199" s="41"/>
    </row>
    <row r="200" spans="1:4" ht="15.75" thickBot="1">
      <c r="A200" s="291" t="s">
        <v>415</v>
      </c>
      <c r="B200" s="52"/>
      <c r="C200" s="52"/>
      <c r="D200" s="53" t="s">
        <v>416</v>
      </c>
    </row>
    <row r="204" spans="1:4" ht="15.75" thickBot="1"/>
    <row r="205" spans="1:4" ht="20.25">
      <c r="A205" s="912" t="s">
        <v>375</v>
      </c>
      <c r="B205" s="913"/>
      <c r="C205" s="913"/>
      <c r="D205" s="914"/>
    </row>
    <row r="206" spans="1:4">
      <c r="A206" s="915" t="s">
        <v>376</v>
      </c>
      <c r="B206" s="916"/>
      <c r="C206" s="916"/>
      <c r="D206" s="917"/>
    </row>
    <row r="207" spans="1:4" ht="18">
      <c r="A207" s="918" t="s">
        <v>377</v>
      </c>
      <c r="B207" s="919"/>
      <c r="C207" s="919"/>
      <c r="D207" s="920"/>
    </row>
    <row r="208" spans="1:4">
      <c r="A208" s="40" t="s">
        <v>83</v>
      </c>
      <c r="B208" s="27"/>
      <c r="C208" s="27"/>
      <c r="D208" s="41"/>
    </row>
    <row r="209" spans="1:4" ht="18">
      <c r="A209" s="284" t="str">
        <f>'0422Master'!F5</f>
        <v>Burgeon IT Services Pvt.Ltd.</v>
      </c>
      <c r="B209" s="268"/>
      <c r="C209" s="27"/>
      <c r="D209" s="41"/>
    </row>
    <row r="210" spans="1:4" ht="18">
      <c r="A210" s="284" t="str">
        <f>'0422Master'!F6</f>
        <v>Siri Mansion LIGB 436 Dr.A S Rao Nagar,Hyderabad</v>
      </c>
      <c r="B210" s="268"/>
      <c r="C210" s="27"/>
      <c r="D210" s="41"/>
    </row>
    <row r="211" spans="1:4" ht="18">
      <c r="A211" s="271"/>
      <c r="B211" s="272"/>
      <c r="C211" s="27"/>
      <c r="D211" s="41"/>
    </row>
    <row r="212" spans="1:4" ht="15.75">
      <c r="A212" s="270" t="s">
        <v>378</v>
      </c>
      <c r="B212" s="285"/>
      <c r="C212" s="286" t="str">
        <f>'0422Master'!B15</f>
        <v>Vipin U.N</v>
      </c>
      <c r="D212" s="109"/>
    </row>
    <row r="213" spans="1:4">
      <c r="A213" s="909" t="s">
        <v>379</v>
      </c>
      <c r="B213" s="910"/>
      <c r="C213" s="910"/>
      <c r="D213" s="911"/>
    </row>
    <row r="214" spans="1:4">
      <c r="A214" s="40"/>
      <c r="B214" s="27"/>
      <c r="C214" s="27"/>
      <c r="D214" s="41"/>
    </row>
    <row r="215" spans="1:4">
      <c r="A215" s="909" t="s">
        <v>380</v>
      </c>
      <c r="B215" s="910"/>
      <c r="C215" s="910"/>
      <c r="D215" s="911"/>
    </row>
    <row r="216" spans="1:4">
      <c r="A216" s="273"/>
      <c r="B216" s="274"/>
      <c r="C216" s="274"/>
      <c r="D216" s="275"/>
    </row>
    <row r="217" spans="1:4">
      <c r="A217" s="902" t="s">
        <v>381</v>
      </c>
      <c r="B217" s="903"/>
      <c r="C217" s="903"/>
      <c r="D217" s="904"/>
    </row>
    <row r="218" spans="1:4">
      <c r="A218" s="40"/>
      <c r="B218" s="27"/>
      <c r="C218" s="27"/>
      <c r="D218" s="41"/>
    </row>
    <row r="219" spans="1:4">
      <c r="A219" s="902" t="s">
        <v>382</v>
      </c>
      <c r="B219" s="903"/>
      <c r="C219" s="903"/>
      <c r="D219" s="904"/>
    </row>
    <row r="220" spans="1:4">
      <c r="A220" s="902" t="s">
        <v>383</v>
      </c>
      <c r="B220" s="903"/>
      <c r="C220" s="903"/>
      <c r="D220" s="904"/>
    </row>
    <row r="221" spans="1:4">
      <c r="A221" s="269"/>
      <c r="B221" s="276"/>
      <c r="C221" s="276"/>
      <c r="D221" s="277"/>
    </row>
    <row r="222" spans="1:4">
      <c r="A222" s="909" t="s">
        <v>384</v>
      </c>
      <c r="B222" s="910"/>
      <c r="C222" s="910"/>
      <c r="D222" s="911"/>
    </row>
    <row r="223" spans="1:4">
      <c r="A223" s="269"/>
      <c r="B223" s="276"/>
      <c r="C223" s="276"/>
      <c r="D223" s="277"/>
    </row>
    <row r="224" spans="1:4">
      <c r="A224" s="902" t="s">
        <v>385</v>
      </c>
      <c r="B224" s="903"/>
      <c r="C224" s="903"/>
      <c r="D224" s="904"/>
    </row>
    <row r="225" spans="1:4">
      <c r="A225" s="40"/>
      <c r="B225" s="27"/>
      <c r="C225" s="27"/>
      <c r="D225" s="41"/>
    </row>
    <row r="226" spans="1:4">
      <c r="A226" s="899" t="s">
        <v>386</v>
      </c>
      <c r="B226" s="900"/>
      <c r="C226" s="900"/>
      <c r="D226" s="901"/>
    </row>
    <row r="227" spans="1:4" ht="42.75">
      <c r="A227" s="278" t="s">
        <v>387</v>
      </c>
      <c r="B227" s="481" t="s">
        <v>388</v>
      </c>
      <c r="C227" s="481" t="s">
        <v>389</v>
      </c>
      <c r="D227" s="279" t="s">
        <v>390</v>
      </c>
    </row>
    <row r="228" spans="1:4">
      <c r="A228" s="280">
        <v>1</v>
      </c>
      <c r="B228" s="339">
        <v>2</v>
      </c>
      <c r="C228" s="339">
        <v>3</v>
      </c>
      <c r="D228" s="423">
        <v>4</v>
      </c>
    </row>
    <row r="229" spans="1:4">
      <c r="A229" s="40" t="str">
        <f>'0422Master'!E15</f>
        <v>GANGA G</v>
      </c>
      <c r="B229" s="308" t="s">
        <v>262</v>
      </c>
      <c r="C229" s="308" t="s">
        <v>391</v>
      </c>
      <c r="D229" s="305">
        <v>1</v>
      </c>
    </row>
    <row r="230" spans="1:4">
      <c r="A230" s="290"/>
      <c r="B230" s="308"/>
      <c r="C230" s="308"/>
      <c r="D230" s="281"/>
    </row>
    <row r="231" spans="1:4">
      <c r="A231" s="287"/>
      <c r="B231" s="308"/>
      <c r="C231" s="308"/>
      <c r="D231" s="281"/>
    </row>
    <row r="232" spans="1:4">
      <c r="A232" s="40"/>
      <c r="B232" s="27"/>
      <c r="C232" s="27"/>
      <c r="D232" s="41"/>
    </row>
    <row r="233" spans="1:4">
      <c r="A233" s="899" t="s">
        <v>392</v>
      </c>
      <c r="B233" s="900"/>
      <c r="C233" s="900"/>
      <c r="D233" s="901"/>
    </row>
    <row r="234" spans="1:4">
      <c r="A234" s="394"/>
      <c r="B234" s="395"/>
      <c r="C234" s="395"/>
      <c r="D234" s="396"/>
    </row>
    <row r="235" spans="1:4">
      <c r="A235" s="905" t="s">
        <v>393</v>
      </c>
      <c r="B235" s="906"/>
      <c r="C235" s="921" t="str">
        <f>'0422Master'!B15</f>
        <v>Vipin U.N</v>
      </c>
      <c r="D235" s="908"/>
    </row>
    <row r="236" spans="1:4">
      <c r="A236" s="905" t="s">
        <v>394</v>
      </c>
      <c r="B236" s="906"/>
      <c r="C236" s="907" t="str">
        <f>'0422Master'!D15</f>
        <v>Male</v>
      </c>
      <c r="D236" s="908"/>
    </row>
    <row r="237" spans="1:4">
      <c r="A237" s="905" t="s">
        <v>395</v>
      </c>
      <c r="B237" s="906"/>
      <c r="C237" s="907" t="s">
        <v>417</v>
      </c>
      <c r="D237" s="908"/>
    </row>
    <row r="238" spans="1:4">
      <c r="A238" s="905" t="s">
        <v>397</v>
      </c>
      <c r="B238" s="906"/>
      <c r="C238" s="907" t="s">
        <v>374</v>
      </c>
      <c r="D238" s="908"/>
    </row>
    <row r="239" spans="1:4">
      <c r="A239" s="905" t="s">
        <v>398</v>
      </c>
      <c r="B239" s="906"/>
      <c r="C239" s="921" t="str">
        <f>'0422Master'!F15</f>
        <v>Senior IT Endpoint Engineer</v>
      </c>
      <c r="D239" s="908"/>
    </row>
    <row r="240" spans="1:4">
      <c r="A240" s="905" t="s">
        <v>399</v>
      </c>
      <c r="B240" s="906"/>
      <c r="C240" s="921">
        <f>'0422Master'!A15</f>
        <v>2</v>
      </c>
      <c r="D240" s="908"/>
    </row>
    <row r="241" spans="1:4">
      <c r="A241" s="905" t="s">
        <v>400</v>
      </c>
      <c r="B241" s="906"/>
      <c r="C241" s="922">
        <f>'0422Master'!N15</f>
        <v>44181</v>
      </c>
      <c r="D241" s="908"/>
    </row>
    <row r="242" spans="1:4">
      <c r="A242" s="905" t="s">
        <v>401</v>
      </c>
      <c r="B242" s="906"/>
      <c r="C242" s="907"/>
      <c r="D242" s="908"/>
    </row>
    <row r="243" spans="1:4">
      <c r="A243" s="905"/>
      <c r="B243" s="906"/>
      <c r="C243" s="921" t="str">
        <f>'0422Master'!G15</f>
        <v>#30 "Rajeevam" Ground Floor 2nd cross,Green Garden Layout,12th Main NRI Layout Varanasi,Jinekethimmanahali, Ramamurthy Nagar ,Bangalore - 560036</v>
      </c>
      <c r="D243" s="908"/>
    </row>
    <row r="244" spans="1:4">
      <c r="A244" s="905"/>
      <c r="B244" s="906"/>
      <c r="C244" s="921">
        <f>'0422Master'!H15</f>
        <v>0</v>
      </c>
      <c r="D244" s="908"/>
    </row>
    <row r="245" spans="1:4">
      <c r="A245" s="905"/>
      <c r="B245" s="906"/>
      <c r="C245" s="921">
        <f>'0422Master'!I15</f>
        <v>0</v>
      </c>
      <c r="D245" s="908"/>
    </row>
    <row r="246" spans="1:4">
      <c r="A246" s="269" t="s">
        <v>352</v>
      </c>
      <c r="B246" s="276" t="s">
        <v>273</v>
      </c>
      <c r="C246" s="276"/>
      <c r="D246" s="277"/>
    </row>
    <row r="247" spans="1:4">
      <c r="A247" s="269" t="s">
        <v>402</v>
      </c>
      <c r="B247" s="306">
        <f>'0422Master'!N15</f>
        <v>44181</v>
      </c>
      <c r="C247" s="282" t="s">
        <v>403</v>
      </c>
      <c r="D247" s="277"/>
    </row>
    <row r="248" spans="1:4">
      <c r="A248" s="269"/>
      <c r="B248" s="276"/>
      <c r="C248" s="276"/>
      <c r="D248" s="277"/>
    </row>
    <row r="249" spans="1:4">
      <c r="A249" s="899" t="s">
        <v>404</v>
      </c>
      <c r="B249" s="900"/>
      <c r="C249" s="900"/>
      <c r="D249" s="901"/>
    </row>
    <row r="250" spans="1:4">
      <c r="A250" s="269" t="s">
        <v>405</v>
      </c>
      <c r="B250" s="276"/>
      <c r="C250" s="276"/>
      <c r="D250" s="277"/>
    </row>
    <row r="251" spans="1:4">
      <c r="A251" s="269"/>
      <c r="B251" s="276"/>
      <c r="C251" s="276"/>
      <c r="D251" s="277"/>
    </row>
    <row r="252" spans="1:4">
      <c r="A252" s="902" t="s">
        <v>406</v>
      </c>
      <c r="B252" s="903"/>
      <c r="C252" s="903" t="s">
        <v>407</v>
      </c>
      <c r="D252" s="904"/>
    </row>
    <row r="253" spans="1:4">
      <c r="A253" s="889">
        <v>1</v>
      </c>
      <c r="B253" s="890"/>
      <c r="C253" s="890">
        <v>1</v>
      </c>
      <c r="D253" s="891"/>
    </row>
    <row r="254" spans="1:4">
      <c r="A254" s="889">
        <v>2</v>
      </c>
      <c r="B254" s="890"/>
      <c r="C254" s="890">
        <v>2</v>
      </c>
      <c r="D254" s="891"/>
    </row>
    <row r="255" spans="1:4">
      <c r="A255" s="427"/>
      <c r="B255" s="27"/>
      <c r="C255" s="892" t="s">
        <v>408</v>
      </c>
      <c r="D255" s="893"/>
    </row>
    <row r="256" spans="1:4">
      <c r="A256" s="894" t="s">
        <v>409</v>
      </c>
      <c r="B256" s="895"/>
      <c r="C256" s="895"/>
      <c r="D256" s="896"/>
    </row>
    <row r="257" spans="1:4">
      <c r="A257" s="424" t="s">
        <v>410</v>
      </c>
      <c r="B257" s="425"/>
      <c r="C257" s="425"/>
      <c r="D257" s="426"/>
    </row>
    <row r="258" spans="1:4">
      <c r="A258" s="424"/>
      <c r="B258" s="425"/>
      <c r="C258" s="425"/>
      <c r="D258" s="426"/>
    </row>
    <row r="259" spans="1:4">
      <c r="A259" s="424"/>
      <c r="B259" s="425"/>
      <c r="C259" s="425" t="s">
        <v>411</v>
      </c>
      <c r="D259" s="426"/>
    </row>
    <row r="260" spans="1:4">
      <c r="A260" s="427"/>
      <c r="B260" s="428"/>
      <c r="C260" s="393" t="s">
        <v>201</v>
      </c>
      <c r="D260" s="429"/>
    </row>
    <row r="261" spans="1:4">
      <c r="A261" s="427"/>
      <c r="B261" s="27"/>
      <c r="C261" s="27" t="s">
        <v>412</v>
      </c>
      <c r="D261" s="283"/>
    </row>
    <row r="262" spans="1:4">
      <c r="A262" s="427"/>
      <c r="B262" s="27"/>
      <c r="C262" s="897" t="str">
        <f>'0422Master'!F5</f>
        <v>Burgeon IT Services Pvt.Ltd.</v>
      </c>
      <c r="D262" s="898"/>
    </row>
    <row r="263" spans="1:4">
      <c r="A263" s="269" t="s">
        <v>352</v>
      </c>
      <c r="B263" s="27" t="str">
        <f>B246</f>
        <v>Hyderabad</v>
      </c>
      <c r="C263" s="185" t="str">
        <f>'0422Master'!F6</f>
        <v>Siri Mansion LIGB 436 Dr.A S Rao Nagar,Hyderabad</v>
      </c>
      <c r="D263" s="41"/>
    </row>
    <row r="264" spans="1:4" ht="15.75" thickBot="1">
      <c r="A264" s="269" t="s">
        <v>402</v>
      </c>
      <c r="B264" s="297">
        <f>B247</f>
        <v>44181</v>
      </c>
      <c r="C264" s="185"/>
      <c r="D264" s="41"/>
    </row>
    <row r="265" spans="1:4" ht="15.75" thickBot="1">
      <c r="A265" s="288"/>
      <c r="B265" s="289" t="s">
        <v>413</v>
      </c>
      <c r="C265" s="289"/>
      <c r="D265" s="57"/>
    </row>
    <row r="266" spans="1:4">
      <c r="A266" s="269" t="s">
        <v>414</v>
      </c>
      <c r="B266" s="27"/>
      <c r="C266" s="185"/>
      <c r="D266" s="41"/>
    </row>
    <row r="267" spans="1:4">
      <c r="A267" s="269" t="s">
        <v>402</v>
      </c>
      <c r="B267" s="297">
        <f>B264</f>
        <v>44181</v>
      </c>
      <c r="C267" s="185"/>
      <c r="D267" s="41"/>
    </row>
    <row r="268" spans="1:4" ht="15.75" thickBot="1">
      <c r="A268" s="291" t="s">
        <v>415</v>
      </c>
      <c r="B268" s="52"/>
      <c r="C268" s="52"/>
      <c r="D268" s="53" t="s">
        <v>416</v>
      </c>
    </row>
    <row r="272" spans="1:4" ht="15.75" thickBot="1"/>
    <row r="273" spans="1:4" ht="20.25">
      <c r="A273" s="912" t="s">
        <v>375</v>
      </c>
      <c r="B273" s="913"/>
      <c r="C273" s="913"/>
      <c r="D273" s="914"/>
    </row>
    <row r="274" spans="1:4">
      <c r="A274" s="915" t="s">
        <v>376</v>
      </c>
      <c r="B274" s="916"/>
      <c r="C274" s="916"/>
      <c r="D274" s="917"/>
    </row>
    <row r="275" spans="1:4" ht="18">
      <c r="A275" s="918" t="s">
        <v>377</v>
      </c>
      <c r="B275" s="919"/>
      <c r="C275" s="919"/>
      <c r="D275" s="920"/>
    </row>
    <row r="276" spans="1:4">
      <c r="A276" s="40" t="s">
        <v>83</v>
      </c>
      <c r="B276" s="27"/>
      <c r="C276" s="27"/>
      <c r="D276" s="41"/>
    </row>
    <row r="277" spans="1:4" ht="18">
      <c r="A277" s="284" t="str">
        <f>'0422Master'!F5</f>
        <v>Burgeon IT Services Pvt.Ltd.</v>
      </c>
      <c r="B277" s="268"/>
      <c r="C277" s="27"/>
      <c r="D277" s="41"/>
    </row>
    <row r="278" spans="1:4" ht="18">
      <c r="A278" s="284" t="str">
        <f>'0422Master'!F6</f>
        <v>Siri Mansion LIGB 436 Dr.A S Rao Nagar,Hyderabad</v>
      </c>
      <c r="B278" s="268"/>
      <c r="C278" s="27"/>
      <c r="D278" s="41"/>
    </row>
    <row r="279" spans="1:4" ht="18">
      <c r="A279" s="271"/>
      <c r="B279" s="272"/>
      <c r="C279" s="27"/>
      <c r="D279" s="41"/>
    </row>
    <row r="280" spans="1:4" ht="15.75">
      <c r="A280" s="270" t="s">
        <v>378</v>
      </c>
      <c r="B280" s="285"/>
      <c r="C280" s="286" t="e">
        <f>'0422Master'!#REF!</f>
        <v>#REF!</v>
      </c>
      <c r="D280" s="109"/>
    </row>
    <row r="281" spans="1:4">
      <c r="A281" s="909" t="s">
        <v>379</v>
      </c>
      <c r="B281" s="910"/>
      <c r="C281" s="910"/>
      <c r="D281" s="911"/>
    </row>
    <row r="282" spans="1:4">
      <c r="A282" s="40"/>
      <c r="B282" s="27"/>
      <c r="C282" s="27"/>
      <c r="D282" s="41"/>
    </row>
    <row r="283" spans="1:4">
      <c r="A283" s="909" t="s">
        <v>380</v>
      </c>
      <c r="B283" s="910"/>
      <c r="C283" s="910"/>
      <c r="D283" s="911"/>
    </row>
    <row r="284" spans="1:4">
      <c r="A284" s="273"/>
      <c r="B284" s="274"/>
      <c r="C284" s="274"/>
      <c r="D284" s="275"/>
    </row>
    <row r="285" spans="1:4">
      <c r="A285" s="902" t="s">
        <v>381</v>
      </c>
      <c r="B285" s="903"/>
      <c r="C285" s="903"/>
      <c r="D285" s="904"/>
    </row>
    <row r="286" spans="1:4">
      <c r="A286" s="40"/>
      <c r="B286" s="27"/>
      <c r="C286" s="27"/>
      <c r="D286" s="41"/>
    </row>
    <row r="287" spans="1:4">
      <c r="A287" s="902" t="s">
        <v>382</v>
      </c>
      <c r="B287" s="903"/>
      <c r="C287" s="903"/>
      <c r="D287" s="904"/>
    </row>
    <row r="288" spans="1:4">
      <c r="A288" s="902" t="s">
        <v>383</v>
      </c>
      <c r="B288" s="903"/>
      <c r="C288" s="903"/>
      <c r="D288" s="904"/>
    </row>
    <row r="289" spans="1:4">
      <c r="A289" s="269"/>
      <c r="B289" s="276"/>
      <c r="C289" s="276"/>
      <c r="D289" s="277"/>
    </row>
    <row r="290" spans="1:4">
      <c r="A290" s="909" t="s">
        <v>384</v>
      </c>
      <c r="B290" s="910"/>
      <c r="C290" s="910"/>
      <c r="D290" s="911"/>
    </row>
    <row r="291" spans="1:4">
      <c r="A291" s="269"/>
      <c r="B291" s="276"/>
      <c r="C291" s="276"/>
      <c r="D291" s="277"/>
    </row>
    <row r="292" spans="1:4">
      <c r="A292" s="902" t="s">
        <v>385</v>
      </c>
      <c r="B292" s="903"/>
      <c r="C292" s="903"/>
      <c r="D292" s="904"/>
    </row>
    <row r="293" spans="1:4">
      <c r="A293" s="40"/>
      <c r="B293" s="27"/>
      <c r="C293" s="27"/>
      <c r="D293" s="41"/>
    </row>
    <row r="294" spans="1:4">
      <c r="A294" s="899" t="s">
        <v>386</v>
      </c>
      <c r="B294" s="900"/>
      <c r="C294" s="900"/>
      <c r="D294" s="901"/>
    </row>
    <row r="295" spans="1:4" ht="42.75">
      <c r="A295" s="278" t="s">
        <v>387</v>
      </c>
      <c r="B295" s="481" t="s">
        <v>388</v>
      </c>
      <c r="C295" s="481" t="s">
        <v>389</v>
      </c>
      <c r="D295" s="279" t="s">
        <v>390</v>
      </c>
    </row>
    <row r="296" spans="1:4">
      <c r="A296" s="280">
        <v>1</v>
      </c>
      <c r="B296" s="339">
        <v>2</v>
      </c>
      <c r="C296" s="339">
        <v>3</v>
      </c>
      <c r="D296" s="423">
        <v>4</v>
      </c>
    </row>
    <row r="297" spans="1:4">
      <c r="A297" s="40" t="e">
        <f>'0422Master'!#REF!</f>
        <v>#REF!</v>
      </c>
      <c r="B297" s="308" t="s">
        <v>262</v>
      </c>
      <c r="C297" s="308" t="s">
        <v>391</v>
      </c>
      <c r="D297" s="305">
        <v>1</v>
      </c>
    </row>
    <row r="298" spans="1:4">
      <c r="A298" s="290"/>
      <c r="B298" s="308"/>
      <c r="C298" s="308"/>
      <c r="D298" s="281"/>
    </row>
    <row r="299" spans="1:4">
      <c r="A299" s="287"/>
      <c r="B299" s="308"/>
      <c r="C299" s="308"/>
      <c r="D299" s="281"/>
    </row>
    <row r="300" spans="1:4">
      <c r="A300" s="40"/>
      <c r="B300" s="27"/>
      <c r="C300" s="27"/>
      <c r="D300" s="41"/>
    </row>
    <row r="301" spans="1:4">
      <c r="A301" s="899" t="s">
        <v>392</v>
      </c>
      <c r="B301" s="900"/>
      <c r="C301" s="900"/>
      <c r="D301" s="901"/>
    </row>
    <row r="302" spans="1:4">
      <c r="A302" s="394"/>
      <c r="B302" s="395"/>
      <c r="C302" s="395"/>
      <c r="D302" s="396"/>
    </row>
    <row r="303" spans="1:4">
      <c r="A303" s="905" t="s">
        <v>393</v>
      </c>
      <c r="B303" s="906"/>
      <c r="C303" s="921" t="e">
        <f>'0422Master'!#REF!</f>
        <v>#REF!</v>
      </c>
      <c r="D303" s="908"/>
    </row>
    <row r="304" spans="1:4">
      <c r="A304" s="905" t="s">
        <v>394</v>
      </c>
      <c r="B304" s="906"/>
      <c r="C304" s="907" t="e">
        <f>'0422Master'!#REF!</f>
        <v>#REF!</v>
      </c>
      <c r="D304" s="908"/>
    </row>
    <row r="305" spans="1:4">
      <c r="A305" s="905" t="s">
        <v>395</v>
      </c>
      <c r="B305" s="906"/>
      <c r="C305" s="907" t="s">
        <v>417</v>
      </c>
      <c r="D305" s="908"/>
    </row>
    <row r="306" spans="1:4">
      <c r="A306" s="905" t="s">
        <v>397</v>
      </c>
      <c r="B306" s="906"/>
      <c r="C306" s="907" t="s">
        <v>374</v>
      </c>
      <c r="D306" s="908"/>
    </row>
    <row r="307" spans="1:4">
      <c r="A307" s="905" t="s">
        <v>398</v>
      </c>
      <c r="B307" s="906"/>
      <c r="C307" s="921" t="e">
        <f>'0422Master'!#REF!</f>
        <v>#REF!</v>
      </c>
      <c r="D307" s="908"/>
    </row>
    <row r="308" spans="1:4">
      <c r="A308" s="905" t="s">
        <v>399</v>
      </c>
      <c r="B308" s="906"/>
      <c r="C308" s="921" t="e">
        <f>'0422Master'!#REF!</f>
        <v>#REF!</v>
      </c>
      <c r="D308" s="908"/>
    </row>
    <row r="309" spans="1:4">
      <c r="A309" s="905" t="s">
        <v>400</v>
      </c>
      <c r="B309" s="906"/>
      <c r="C309" s="922" t="e">
        <f>'0422Master'!#REF!</f>
        <v>#REF!</v>
      </c>
      <c r="D309" s="908"/>
    </row>
    <row r="310" spans="1:4">
      <c r="A310" s="905" t="s">
        <v>401</v>
      </c>
      <c r="B310" s="906"/>
      <c r="C310" s="907"/>
      <c r="D310" s="908"/>
    </row>
    <row r="311" spans="1:4">
      <c r="A311" s="905"/>
      <c r="B311" s="906"/>
      <c r="C311" s="921" t="e">
        <f>'0422Master'!#REF!</f>
        <v>#REF!</v>
      </c>
      <c r="D311" s="908"/>
    </row>
    <row r="312" spans="1:4">
      <c r="A312" s="905"/>
      <c r="B312" s="906"/>
      <c r="C312" s="921" t="e">
        <f>'0422Master'!#REF!</f>
        <v>#REF!</v>
      </c>
      <c r="D312" s="908"/>
    </row>
    <row r="313" spans="1:4">
      <c r="A313" s="905"/>
      <c r="B313" s="906"/>
      <c r="C313" s="921" t="e">
        <f>'0422Master'!#REF!</f>
        <v>#REF!</v>
      </c>
      <c r="D313" s="908"/>
    </row>
    <row r="314" spans="1:4">
      <c r="A314" s="269" t="s">
        <v>352</v>
      </c>
      <c r="B314" s="276" t="s">
        <v>273</v>
      </c>
      <c r="C314" s="276"/>
      <c r="D314" s="277"/>
    </row>
    <row r="315" spans="1:4">
      <c r="A315" s="269" t="s">
        <v>402</v>
      </c>
      <c r="B315" s="306" t="e">
        <f>'0422Master'!#REF!</f>
        <v>#REF!</v>
      </c>
      <c r="C315" s="282" t="s">
        <v>403</v>
      </c>
      <c r="D315" s="277"/>
    </row>
    <row r="316" spans="1:4">
      <c r="A316" s="269"/>
      <c r="B316" s="276"/>
      <c r="C316" s="276"/>
      <c r="D316" s="277"/>
    </row>
    <row r="317" spans="1:4">
      <c r="A317" s="899" t="s">
        <v>404</v>
      </c>
      <c r="B317" s="900"/>
      <c r="C317" s="900"/>
      <c r="D317" s="901"/>
    </row>
    <row r="318" spans="1:4">
      <c r="A318" s="269" t="s">
        <v>405</v>
      </c>
      <c r="B318" s="276"/>
      <c r="C318" s="276"/>
      <c r="D318" s="277"/>
    </row>
    <row r="319" spans="1:4">
      <c r="A319" s="269"/>
      <c r="B319" s="276"/>
      <c r="C319" s="276"/>
      <c r="D319" s="277"/>
    </row>
    <row r="320" spans="1:4">
      <c r="A320" s="902" t="s">
        <v>406</v>
      </c>
      <c r="B320" s="903"/>
      <c r="C320" s="903" t="s">
        <v>407</v>
      </c>
      <c r="D320" s="904"/>
    </row>
    <row r="321" spans="1:4">
      <c r="A321" s="889">
        <v>1</v>
      </c>
      <c r="B321" s="890"/>
      <c r="C321" s="890">
        <v>1</v>
      </c>
      <c r="D321" s="891"/>
    </row>
    <row r="322" spans="1:4">
      <c r="A322" s="889">
        <v>2</v>
      </c>
      <c r="B322" s="890"/>
      <c r="C322" s="890">
        <v>2</v>
      </c>
      <c r="D322" s="891"/>
    </row>
    <row r="323" spans="1:4">
      <c r="A323" s="427"/>
      <c r="B323" s="27"/>
      <c r="C323" s="892" t="s">
        <v>408</v>
      </c>
      <c r="D323" s="893"/>
    </row>
    <row r="324" spans="1:4">
      <c r="A324" s="894" t="s">
        <v>409</v>
      </c>
      <c r="B324" s="895"/>
      <c r="C324" s="895"/>
      <c r="D324" s="896"/>
    </row>
    <row r="325" spans="1:4">
      <c r="A325" s="424" t="s">
        <v>410</v>
      </c>
      <c r="B325" s="425"/>
      <c r="C325" s="425"/>
      <c r="D325" s="426"/>
    </row>
    <row r="326" spans="1:4">
      <c r="A326" s="424"/>
      <c r="B326" s="425"/>
      <c r="C326" s="425"/>
      <c r="D326" s="426"/>
    </row>
    <row r="327" spans="1:4">
      <c r="A327" s="424"/>
      <c r="B327" s="425"/>
      <c r="C327" s="425" t="s">
        <v>411</v>
      </c>
      <c r="D327" s="426"/>
    </row>
    <row r="328" spans="1:4">
      <c r="A328" s="427"/>
      <c r="B328" s="428"/>
      <c r="C328" s="393" t="s">
        <v>201</v>
      </c>
      <c r="D328" s="429"/>
    </row>
    <row r="329" spans="1:4">
      <c r="A329" s="427"/>
      <c r="B329" s="27"/>
      <c r="C329" s="27" t="s">
        <v>412</v>
      </c>
      <c r="D329" s="283"/>
    </row>
    <row r="330" spans="1:4">
      <c r="A330" s="427"/>
      <c r="B330" s="27"/>
      <c r="C330" s="897" t="str">
        <f>'0422Master'!F5</f>
        <v>Burgeon IT Services Pvt.Ltd.</v>
      </c>
      <c r="D330" s="898"/>
    </row>
    <row r="331" spans="1:4">
      <c r="A331" s="269" t="s">
        <v>352</v>
      </c>
      <c r="B331" s="27" t="str">
        <f>B314</f>
        <v>Hyderabad</v>
      </c>
      <c r="C331" s="185" t="str">
        <f>'0422Master'!F6</f>
        <v>Siri Mansion LIGB 436 Dr.A S Rao Nagar,Hyderabad</v>
      </c>
      <c r="D331" s="41"/>
    </row>
    <row r="332" spans="1:4" ht="15.75" thickBot="1">
      <c r="A332" s="269" t="s">
        <v>402</v>
      </c>
      <c r="B332" s="297" t="e">
        <f>B315</f>
        <v>#REF!</v>
      </c>
      <c r="C332" s="185"/>
      <c r="D332" s="41"/>
    </row>
    <row r="333" spans="1:4" ht="15.75" thickBot="1">
      <c r="A333" s="288"/>
      <c r="B333" s="289" t="s">
        <v>413</v>
      </c>
      <c r="C333" s="289"/>
      <c r="D333" s="57"/>
    </row>
    <row r="334" spans="1:4">
      <c r="A334" s="269" t="s">
        <v>414</v>
      </c>
      <c r="B334" s="27"/>
      <c r="C334" s="185"/>
      <c r="D334" s="41"/>
    </row>
    <row r="335" spans="1:4">
      <c r="A335" s="269" t="s">
        <v>402</v>
      </c>
      <c r="B335" s="297" t="e">
        <f>B332</f>
        <v>#REF!</v>
      </c>
      <c r="C335" s="185"/>
      <c r="D335" s="41"/>
    </row>
    <row r="336" spans="1:4" ht="15.75" thickBot="1">
      <c r="A336" s="291" t="s">
        <v>415</v>
      </c>
      <c r="B336" s="52"/>
      <c r="C336" s="52"/>
      <c r="D336" s="53" t="s">
        <v>416</v>
      </c>
    </row>
    <row r="340" spans="1:4" ht="15.75" thickBot="1"/>
    <row r="341" spans="1:4" ht="20.25">
      <c r="A341" s="912" t="s">
        <v>375</v>
      </c>
      <c r="B341" s="913"/>
      <c r="C341" s="913"/>
      <c r="D341" s="914"/>
    </row>
    <row r="342" spans="1:4">
      <c r="A342" s="915" t="s">
        <v>376</v>
      </c>
      <c r="B342" s="916"/>
      <c r="C342" s="916"/>
      <c r="D342" s="917"/>
    </row>
    <row r="343" spans="1:4" ht="18">
      <c r="A343" s="918" t="s">
        <v>377</v>
      </c>
      <c r="B343" s="919"/>
      <c r="C343" s="919"/>
      <c r="D343" s="920"/>
    </row>
    <row r="344" spans="1:4">
      <c r="A344" s="40" t="s">
        <v>83</v>
      </c>
      <c r="B344" s="27"/>
      <c r="C344" s="27"/>
      <c r="D344" s="41"/>
    </row>
    <row r="345" spans="1:4" ht="18">
      <c r="A345" s="284" t="str">
        <f>'0422Master'!F5</f>
        <v>Burgeon IT Services Pvt.Ltd.</v>
      </c>
      <c r="B345" s="268"/>
      <c r="C345" s="27"/>
      <c r="D345" s="41"/>
    </row>
    <row r="346" spans="1:4" ht="18">
      <c r="A346" s="284" t="str">
        <f>'0422Master'!F6</f>
        <v>Siri Mansion LIGB 436 Dr.A S Rao Nagar,Hyderabad</v>
      </c>
      <c r="B346" s="268"/>
      <c r="C346" s="27"/>
      <c r="D346" s="41"/>
    </row>
    <row r="347" spans="1:4" ht="18">
      <c r="A347" s="271"/>
      <c r="B347" s="272"/>
      <c r="C347" s="27"/>
      <c r="D347" s="41"/>
    </row>
    <row r="348" spans="1:4" ht="15.75">
      <c r="A348" s="270" t="s">
        <v>378</v>
      </c>
      <c r="B348" s="285"/>
      <c r="C348" s="286" t="e">
        <f>'0422Master'!#REF!</f>
        <v>#REF!</v>
      </c>
      <c r="D348" s="109"/>
    </row>
    <row r="349" spans="1:4">
      <c r="A349" s="909" t="s">
        <v>379</v>
      </c>
      <c r="B349" s="910"/>
      <c r="C349" s="910"/>
      <c r="D349" s="911"/>
    </row>
    <row r="350" spans="1:4">
      <c r="A350" s="40"/>
      <c r="B350" s="27"/>
      <c r="C350" s="27"/>
      <c r="D350" s="41"/>
    </row>
    <row r="351" spans="1:4">
      <c r="A351" s="909" t="s">
        <v>380</v>
      </c>
      <c r="B351" s="910"/>
      <c r="C351" s="910"/>
      <c r="D351" s="911"/>
    </row>
    <row r="352" spans="1:4">
      <c r="A352" s="273"/>
      <c r="B352" s="274"/>
      <c r="C352" s="274"/>
      <c r="D352" s="275"/>
    </row>
    <row r="353" spans="1:4">
      <c r="A353" s="902" t="s">
        <v>381</v>
      </c>
      <c r="B353" s="903"/>
      <c r="C353" s="903"/>
      <c r="D353" s="904"/>
    </row>
    <row r="354" spans="1:4">
      <c r="A354" s="40"/>
      <c r="B354" s="27"/>
      <c r="C354" s="27"/>
      <c r="D354" s="41"/>
    </row>
    <row r="355" spans="1:4">
      <c r="A355" s="902" t="s">
        <v>382</v>
      </c>
      <c r="B355" s="903"/>
      <c r="C355" s="903"/>
      <c r="D355" s="904"/>
    </row>
    <row r="356" spans="1:4">
      <c r="A356" s="902" t="s">
        <v>383</v>
      </c>
      <c r="B356" s="903"/>
      <c r="C356" s="903"/>
      <c r="D356" s="904"/>
    </row>
    <row r="357" spans="1:4">
      <c r="A357" s="269"/>
      <c r="B357" s="276"/>
      <c r="C357" s="276"/>
      <c r="D357" s="277"/>
    </row>
    <row r="358" spans="1:4">
      <c r="A358" s="909" t="s">
        <v>384</v>
      </c>
      <c r="B358" s="910"/>
      <c r="C358" s="910"/>
      <c r="D358" s="911"/>
    </row>
    <row r="359" spans="1:4">
      <c r="A359" s="269"/>
      <c r="B359" s="276"/>
      <c r="C359" s="276"/>
      <c r="D359" s="277"/>
    </row>
    <row r="360" spans="1:4">
      <c r="A360" s="902" t="s">
        <v>385</v>
      </c>
      <c r="B360" s="903"/>
      <c r="C360" s="903"/>
      <c r="D360" s="904"/>
    </row>
    <row r="361" spans="1:4">
      <c r="A361" s="40"/>
      <c r="B361" s="27"/>
      <c r="C361" s="27"/>
      <c r="D361" s="41"/>
    </row>
    <row r="362" spans="1:4">
      <c r="A362" s="899" t="s">
        <v>386</v>
      </c>
      <c r="B362" s="900"/>
      <c r="C362" s="900"/>
      <c r="D362" s="901"/>
    </row>
    <row r="363" spans="1:4" ht="42.75">
      <c r="A363" s="278" t="s">
        <v>387</v>
      </c>
      <c r="B363" s="481" t="s">
        <v>388</v>
      </c>
      <c r="C363" s="481" t="s">
        <v>389</v>
      </c>
      <c r="D363" s="279" t="s">
        <v>390</v>
      </c>
    </row>
    <row r="364" spans="1:4">
      <c r="A364" s="280">
        <v>1</v>
      </c>
      <c r="B364" s="339">
        <v>2</v>
      </c>
      <c r="C364" s="339">
        <v>3</v>
      </c>
      <c r="D364" s="423">
        <v>4</v>
      </c>
    </row>
    <row r="365" spans="1:4">
      <c r="A365" s="40" t="e">
        <f>'0422Master'!#REF!</f>
        <v>#REF!</v>
      </c>
      <c r="B365" s="308" t="s">
        <v>262</v>
      </c>
      <c r="C365" s="308" t="s">
        <v>391</v>
      </c>
      <c r="D365" s="305">
        <v>1</v>
      </c>
    </row>
    <row r="366" spans="1:4">
      <c r="A366" s="290"/>
      <c r="B366" s="308"/>
      <c r="C366" s="308"/>
      <c r="D366" s="281"/>
    </row>
    <row r="367" spans="1:4">
      <c r="A367" s="287"/>
      <c r="B367" s="308"/>
      <c r="C367" s="308"/>
      <c r="D367" s="281"/>
    </row>
    <row r="368" spans="1:4">
      <c r="A368" s="40"/>
      <c r="B368" s="27"/>
      <c r="C368" s="27"/>
      <c r="D368" s="41"/>
    </row>
    <row r="369" spans="1:4">
      <c r="A369" s="899" t="s">
        <v>392</v>
      </c>
      <c r="B369" s="900"/>
      <c r="C369" s="900"/>
      <c r="D369" s="901"/>
    </row>
    <row r="370" spans="1:4">
      <c r="A370" s="394"/>
      <c r="B370" s="395"/>
      <c r="C370" s="395"/>
      <c r="D370" s="396"/>
    </row>
    <row r="371" spans="1:4">
      <c r="A371" s="905" t="s">
        <v>393</v>
      </c>
      <c r="B371" s="906"/>
      <c r="C371" s="921" t="e">
        <f>'0422Master'!#REF!</f>
        <v>#REF!</v>
      </c>
      <c r="D371" s="908"/>
    </row>
    <row r="372" spans="1:4">
      <c r="A372" s="905" t="s">
        <v>394</v>
      </c>
      <c r="B372" s="906"/>
      <c r="C372" s="907" t="e">
        <f>'0422Master'!#REF!</f>
        <v>#REF!</v>
      </c>
      <c r="D372" s="908"/>
    </row>
    <row r="373" spans="1:4">
      <c r="A373" s="905" t="s">
        <v>395</v>
      </c>
      <c r="B373" s="906"/>
      <c r="C373" s="907" t="s">
        <v>417</v>
      </c>
      <c r="D373" s="908"/>
    </row>
    <row r="374" spans="1:4">
      <c r="A374" s="905" t="s">
        <v>397</v>
      </c>
      <c r="B374" s="906"/>
      <c r="C374" s="907" t="s">
        <v>374</v>
      </c>
      <c r="D374" s="908"/>
    </row>
    <row r="375" spans="1:4">
      <c r="A375" s="905" t="s">
        <v>398</v>
      </c>
      <c r="B375" s="906"/>
      <c r="C375" s="921" t="e">
        <f>'0422Master'!#REF!</f>
        <v>#REF!</v>
      </c>
      <c r="D375" s="908"/>
    </row>
    <row r="376" spans="1:4">
      <c r="A376" s="905" t="s">
        <v>399</v>
      </c>
      <c r="B376" s="906"/>
      <c r="C376" s="921" t="e">
        <f>'0422Master'!#REF!</f>
        <v>#REF!</v>
      </c>
      <c r="D376" s="908"/>
    </row>
    <row r="377" spans="1:4">
      <c r="A377" s="905" t="s">
        <v>400</v>
      </c>
      <c r="B377" s="906"/>
      <c r="C377" s="922" t="e">
        <f>'0422Master'!#REF!</f>
        <v>#REF!</v>
      </c>
      <c r="D377" s="908"/>
    </row>
    <row r="378" spans="1:4">
      <c r="A378" s="905" t="s">
        <v>401</v>
      </c>
      <c r="B378" s="906"/>
      <c r="C378" s="907"/>
      <c r="D378" s="908"/>
    </row>
    <row r="379" spans="1:4">
      <c r="A379" s="905"/>
      <c r="B379" s="906"/>
      <c r="C379" s="921" t="e">
        <f>'0422Master'!#REF!</f>
        <v>#REF!</v>
      </c>
      <c r="D379" s="908"/>
    </row>
    <row r="380" spans="1:4">
      <c r="A380" s="905"/>
      <c r="B380" s="906"/>
      <c r="C380" s="921" t="e">
        <f>'0422Master'!#REF!</f>
        <v>#REF!</v>
      </c>
      <c r="D380" s="908"/>
    </row>
    <row r="381" spans="1:4">
      <c r="A381" s="905"/>
      <c r="B381" s="906"/>
      <c r="C381" s="921" t="e">
        <f>'0422Master'!#REF!</f>
        <v>#REF!</v>
      </c>
      <c r="D381" s="908"/>
    </row>
    <row r="382" spans="1:4">
      <c r="A382" s="269" t="s">
        <v>352</v>
      </c>
      <c r="B382" s="276" t="s">
        <v>273</v>
      </c>
      <c r="C382" s="276"/>
      <c r="D382" s="277"/>
    </row>
    <row r="383" spans="1:4">
      <c r="A383" s="269" t="s">
        <v>402</v>
      </c>
      <c r="B383" s="306" t="e">
        <f>'0422Master'!#REF!</f>
        <v>#REF!</v>
      </c>
      <c r="C383" s="282" t="s">
        <v>403</v>
      </c>
      <c r="D383" s="277"/>
    </row>
    <row r="384" spans="1:4">
      <c r="A384" s="269"/>
      <c r="B384" s="276"/>
      <c r="C384" s="276"/>
      <c r="D384" s="277"/>
    </row>
    <row r="385" spans="1:4">
      <c r="A385" s="899" t="s">
        <v>404</v>
      </c>
      <c r="B385" s="900"/>
      <c r="C385" s="900"/>
      <c r="D385" s="901"/>
    </row>
    <row r="386" spans="1:4">
      <c r="A386" s="269" t="s">
        <v>405</v>
      </c>
      <c r="B386" s="276"/>
      <c r="C386" s="276"/>
      <c r="D386" s="277"/>
    </row>
    <row r="387" spans="1:4">
      <c r="A387" s="269"/>
      <c r="B387" s="276"/>
      <c r="C387" s="276"/>
      <c r="D387" s="277"/>
    </row>
    <row r="388" spans="1:4">
      <c r="A388" s="902" t="s">
        <v>406</v>
      </c>
      <c r="B388" s="903"/>
      <c r="C388" s="903" t="s">
        <v>407</v>
      </c>
      <c r="D388" s="904"/>
    </row>
    <row r="389" spans="1:4">
      <c r="A389" s="889">
        <v>1</v>
      </c>
      <c r="B389" s="890"/>
      <c r="C389" s="890">
        <v>1</v>
      </c>
      <c r="D389" s="891"/>
    </row>
    <row r="390" spans="1:4">
      <c r="A390" s="889">
        <v>2</v>
      </c>
      <c r="B390" s="890"/>
      <c r="C390" s="890">
        <v>2</v>
      </c>
      <c r="D390" s="891"/>
    </row>
    <row r="391" spans="1:4">
      <c r="A391" s="427"/>
      <c r="B391" s="27"/>
      <c r="C391" s="892" t="s">
        <v>408</v>
      </c>
      <c r="D391" s="893"/>
    </row>
    <row r="392" spans="1:4">
      <c r="A392" s="894" t="s">
        <v>409</v>
      </c>
      <c r="B392" s="895"/>
      <c r="C392" s="895"/>
      <c r="D392" s="896"/>
    </row>
    <row r="393" spans="1:4">
      <c r="A393" s="424" t="s">
        <v>410</v>
      </c>
      <c r="B393" s="425"/>
      <c r="C393" s="425"/>
      <c r="D393" s="426"/>
    </row>
    <row r="394" spans="1:4">
      <c r="A394" s="424"/>
      <c r="B394" s="425"/>
      <c r="C394" s="425"/>
      <c r="D394" s="426"/>
    </row>
    <row r="395" spans="1:4">
      <c r="A395" s="424"/>
      <c r="B395" s="425"/>
      <c r="C395" s="425" t="s">
        <v>411</v>
      </c>
      <c r="D395" s="426"/>
    </row>
    <row r="396" spans="1:4">
      <c r="A396" s="427"/>
      <c r="B396" s="428"/>
      <c r="C396" s="393" t="s">
        <v>201</v>
      </c>
      <c r="D396" s="429"/>
    </row>
    <row r="397" spans="1:4">
      <c r="A397" s="427"/>
      <c r="B397" s="27"/>
      <c r="C397" s="27" t="s">
        <v>412</v>
      </c>
      <c r="D397" s="283"/>
    </row>
    <row r="398" spans="1:4">
      <c r="A398" s="427"/>
      <c r="B398" s="27"/>
      <c r="C398" s="897" t="str">
        <f>'0422Master'!F5</f>
        <v>Burgeon IT Services Pvt.Ltd.</v>
      </c>
      <c r="D398" s="898"/>
    </row>
    <row r="399" spans="1:4">
      <c r="A399" s="269" t="s">
        <v>352</v>
      </c>
      <c r="B399" s="27" t="str">
        <f>B382</f>
        <v>Hyderabad</v>
      </c>
      <c r="C399" s="185" t="str">
        <f>'0422Master'!F6</f>
        <v>Siri Mansion LIGB 436 Dr.A S Rao Nagar,Hyderabad</v>
      </c>
      <c r="D399" s="41"/>
    </row>
    <row r="400" spans="1:4" ht="15.75" thickBot="1">
      <c r="A400" s="269" t="s">
        <v>402</v>
      </c>
      <c r="B400" s="297" t="e">
        <f>B383</f>
        <v>#REF!</v>
      </c>
      <c r="C400" s="185"/>
      <c r="D400" s="41"/>
    </row>
    <row r="401" spans="1:4" ht="15.75" thickBot="1">
      <c r="A401" s="288"/>
      <c r="B401" s="289" t="s">
        <v>413</v>
      </c>
      <c r="C401" s="289"/>
      <c r="D401" s="57"/>
    </row>
    <row r="402" spans="1:4">
      <c r="A402" s="269" t="s">
        <v>414</v>
      </c>
      <c r="B402" s="27"/>
      <c r="C402" s="185"/>
      <c r="D402" s="41"/>
    </row>
    <row r="403" spans="1:4">
      <c r="A403" s="269" t="s">
        <v>402</v>
      </c>
      <c r="B403" s="297" t="e">
        <f>B400</f>
        <v>#REF!</v>
      </c>
      <c r="C403" s="185"/>
      <c r="D403" s="41"/>
    </row>
    <row r="404" spans="1:4" ht="15.75" thickBot="1">
      <c r="A404" s="291" t="s">
        <v>415</v>
      </c>
      <c r="B404" s="52"/>
      <c r="C404" s="52"/>
      <c r="D404" s="53" t="s">
        <v>416</v>
      </c>
    </row>
    <row r="408" spans="1:4" ht="15.75" thickBot="1"/>
    <row r="409" spans="1:4" ht="20.25">
      <c r="A409" s="912" t="s">
        <v>375</v>
      </c>
      <c r="B409" s="913"/>
      <c r="C409" s="913"/>
      <c r="D409" s="914"/>
    </row>
    <row r="410" spans="1:4">
      <c r="A410" s="915" t="s">
        <v>376</v>
      </c>
      <c r="B410" s="916"/>
      <c r="C410" s="916"/>
      <c r="D410" s="917"/>
    </row>
    <row r="411" spans="1:4" ht="18">
      <c r="A411" s="918" t="s">
        <v>377</v>
      </c>
      <c r="B411" s="919"/>
      <c r="C411" s="919"/>
      <c r="D411" s="920"/>
    </row>
    <row r="412" spans="1:4">
      <c r="A412" s="40" t="s">
        <v>83</v>
      </c>
      <c r="B412" s="27"/>
      <c r="C412" s="27"/>
      <c r="D412" s="41"/>
    </row>
    <row r="413" spans="1:4" ht="18">
      <c r="A413" s="284" t="str">
        <f>'0422Master'!F5</f>
        <v>Burgeon IT Services Pvt.Ltd.</v>
      </c>
      <c r="B413" s="268"/>
      <c r="C413" s="27"/>
      <c r="D413" s="41"/>
    </row>
    <row r="414" spans="1:4" ht="18">
      <c r="A414" s="284" t="str">
        <f>'0422Master'!F6</f>
        <v>Siri Mansion LIGB 436 Dr.A S Rao Nagar,Hyderabad</v>
      </c>
      <c r="B414" s="268"/>
      <c r="C414" s="27"/>
      <c r="D414" s="41"/>
    </row>
    <row r="415" spans="1:4" ht="18">
      <c r="A415" s="271"/>
      <c r="B415" s="272"/>
      <c r="C415" s="27"/>
      <c r="D415" s="41"/>
    </row>
    <row r="416" spans="1:4" ht="15.75">
      <c r="A416" s="270" t="s">
        <v>378</v>
      </c>
      <c r="B416" s="285"/>
      <c r="C416" s="286">
        <f>'0422Master'!B16</f>
        <v>0</v>
      </c>
      <c r="D416" s="109"/>
    </row>
    <row r="417" spans="1:4">
      <c r="A417" s="909" t="s">
        <v>379</v>
      </c>
      <c r="B417" s="910"/>
      <c r="C417" s="910"/>
      <c r="D417" s="911"/>
    </row>
    <row r="418" spans="1:4">
      <c r="A418" s="40"/>
      <c r="B418" s="27"/>
      <c r="C418" s="27"/>
      <c r="D418" s="41"/>
    </row>
    <row r="419" spans="1:4">
      <c r="A419" s="909" t="s">
        <v>380</v>
      </c>
      <c r="B419" s="910"/>
      <c r="C419" s="910"/>
      <c r="D419" s="911"/>
    </row>
    <row r="420" spans="1:4">
      <c r="A420" s="273"/>
      <c r="B420" s="274"/>
      <c r="C420" s="274"/>
      <c r="D420" s="275"/>
    </row>
    <row r="421" spans="1:4">
      <c r="A421" s="902" t="s">
        <v>381</v>
      </c>
      <c r="B421" s="903"/>
      <c r="C421" s="903"/>
      <c r="D421" s="904"/>
    </row>
    <row r="422" spans="1:4">
      <c r="A422" s="40"/>
      <c r="B422" s="27"/>
      <c r="C422" s="27"/>
      <c r="D422" s="41"/>
    </row>
    <row r="423" spans="1:4">
      <c r="A423" s="902" t="s">
        <v>382</v>
      </c>
      <c r="B423" s="903"/>
      <c r="C423" s="903"/>
      <c r="D423" s="904"/>
    </row>
    <row r="424" spans="1:4">
      <c r="A424" s="902" t="s">
        <v>383</v>
      </c>
      <c r="B424" s="903"/>
      <c r="C424" s="903"/>
      <c r="D424" s="904"/>
    </row>
    <row r="425" spans="1:4">
      <c r="A425" s="269"/>
      <c r="B425" s="276"/>
      <c r="C425" s="276"/>
      <c r="D425" s="277"/>
    </row>
    <row r="426" spans="1:4">
      <c r="A426" s="909" t="s">
        <v>384</v>
      </c>
      <c r="B426" s="910"/>
      <c r="C426" s="910"/>
      <c r="D426" s="911"/>
    </row>
    <row r="427" spans="1:4">
      <c r="A427" s="269"/>
      <c r="B427" s="276"/>
      <c r="C427" s="276"/>
      <c r="D427" s="277"/>
    </row>
    <row r="428" spans="1:4">
      <c r="A428" s="902" t="s">
        <v>385</v>
      </c>
      <c r="B428" s="903"/>
      <c r="C428" s="903"/>
      <c r="D428" s="904"/>
    </row>
    <row r="429" spans="1:4">
      <c r="A429" s="40"/>
      <c r="B429" s="27"/>
      <c r="C429" s="27"/>
      <c r="D429" s="41"/>
    </row>
    <row r="430" spans="1:4">
      <c r="A430" s="899" t="s">
        <v>386</v>
      </c>
      <c r="B430" s="900"/>
      <c r="C430" s="900"/>
      <c r="D430" s="901"/>
    </row>
    <row r="431" spans="1:4" ht="42.75">
      <c r="A431" s="278" t="s">
        <v>387</v>
      </c>
      <c r="B431" s="481" t="s">
        <v>388</v>
      </c>
      <c r="C431" s="481" t="s">
        <v>389</v>
      </c>
      <c r="D431" s="279" t="s">
        <v>390</v>
      </c>
    </row>
    <row r="432" spans="1:4">
      <c r="A432" s="280">
        <v>1</v>
      </c>
      <c r="B432" s="339">
        <v>2</v>
      </c>
      <c r="C432" s="339">
        <v>3</v>
      </c>
      <c r="D432" s="423">
        <v>4</v>
      </c>
    </row>
    <row r="433" spans="1:4">
      <c r="A433" s="40">
        <f>'0422Master'!E16</f>
        <v>0</v>
      </c>
      <c r="B433" s="308" t="s">
        <v>262</v>
      </c>
      <c r="C433" s="308" t="s">
        <v>391</v>
      </c>
      <c r="D433" s="305">
        <v>1</v>
      </c>
    </row>
    <row r="434" spans="1:4">
      <c r="A434" s="290"/>
      <c r="B434" s="308"/>
      <c r="C434" s="308"/>
      <c r="D434" s="281"/>
    </row>
    <row r="435" spans="1:4">
      <c r="A435" s="287"/>
      <c r="B435" s="308"/>
      <c r="C435" s="308"/>
      <c r="D435" s="281"/>
    </row>
    <row r="436" spans="1:4">
      <c r="A436" s="40"/>
      <c r="B436" s="27"/>
      <c r="C436" s="27"/>
      <c r="D436" s="41"/>
    </row>
    <row r="437" spans="1:4">
      <c r="A437" s="899" t="s">
        <v>392</v>
      </c>
      <c r="B437" s="900"/>
      <c r="C437" s="900"/>
      <c r="D437" s="901"/>
    </row>
    <row r="438" spans="1:4">
      <c r="A438" s="394"/>
      <c r="B438" s="395"/>
      <c r="C438" s="395"/>
      <c r="D438" s="396"/>
    </row>
    <row r="439" spans="1:4">
      <c r="A439" s="905" t="s">
        <v>393</v>
      </c>
      <c r="B439" s="906"/>
      <c r="C439" s="921">
        <f>'0422Master'!B16</f>
        <v>0</v>
      </c>
      <c r="D439" s="908"/>
    </row>
    <row r="440" spans="1:4">
      <c r="A440" s="905" t="s">
        <v>394</v>
      </c>
      <c r="B440" s="906"/>
      <c r="C440" s="907">
        <f>'0422Master'!D16</f>
        <v>0</v>
      </c>
      <c r="D440" s="908"/>
    </row>
    <row r="441" spans="1:4">
      <c r="A441" s="905" t="s">
        <v>395</v>
      </c>
      <c r="B441" s="906"/>
      <c r="C441" s="907" t="s">
        <v>417</v>
      </c>
      <c r="D441" s="908"/>
    </row>
    <row r="442" spans="1:4">
      <c r="A442" s="905" t="s">
        <v>397</v>
      </c>
      <c r="B442" s="906"/>
      <c r="C442" s="907" t="s">
        <v>374</v>
      </c>
      <c r="D442" s="908"/>
    </row>
    <row r="443" spans="1:4">
      <c r="A443" s="905" t="s">
        <v>398</v>
      </c>
      <c r="B443" s="906"/>
      <c r="C443" s="921">
        <f>'0422Master'!F16</f>
        <v>0</v>
      </c>
      <c r="D443" s="908"/>
    </row>
    <row r="444" spans="1:4">
      <c r="A444" s="905" t="s">
        <v>399</v>
      </c>
      <c r="B444" s="906"/>
      <c r="C444" s="921">
        <f>'0422Master'!A16</f>
        <v>0</v>
      </c>
      <c r="D444" s="908"/>
    </row>
    <row r="445" spans="1:4">
      <c r="A445" s="905" t="s">
        <v>400</v>
      </c>
      <c r="B445" s="906"/>
      <c r="C445" s="922">
        <f>'0422Master'!N16</f>
        <v>0</v>
      </c>
      <c r="D445" s="908"/>
    </row>
    <row r="446" spans="1:4">
      <c r="A446" s="905" t="s">
        <v>401</v>
      </c>
      <c r="B446" s="906"/>
      <c r="C446" s="907"/>
      <c r="D446" s="908"/>
    </row>
    <row r="447" spans="1:4">
      <c r="A447" s="905"/>
      <c r="B447" s="906"/>
      <c r="C447" s="921">
        <f>'0422Master'!G16</f>
        <v>0</v>
      </c>
      <c r="D447" s="908"/>
    </row>
    <row r="448" spans="1:4">
      <c r="A448" s="905"/>
      <c r="B448" s="906"/>
      <c r="C448" s="921">
        <f>'0422Master'!H16</f>
        <v>0</v>
      </c>
      <c r="D448" s="908"/>
    </row>
    <row r="449" spans="1:4">
      <c r="A449" s="905"/>
      <c r="B449" s="906"/>
      <c r="C449" s="921">
        <f>'0422Master'!I16</f>
        <v>0</v>
      </c>
      <c r="D449" s="908"/>
    </row>
    <row r="450" spans="1:4">
      <c r="A450" s="269" t="s">
        <v>352</v>
      </c>
      <c r="B450" s="276" t="s">
        <v>273</v>
      </c>
      <c r="C450" s="276"/>
      <c r="D450" s="277"/>
    </row>
    <row r="451" spans="1:4">
      <c r="A451" s="269" t="s">
        <v>402</v>
      </c>
      <c r="B451" s="306">
        <f>'0422Master'!N16</f>
        <v>0</v>
      </c>
      <c r="C451" s="282" t="s">
        <v>403</v>
      </c>
      <c r="D451" s="277"/>
    </row>
    <row r="452" spans="1:4">
      <c r="A452" s="269"/>
      <c r="B452" s="276"/>
      <c r="C452" s="276"/>
      <c r="D452" s="277"/>
    </row>
    <row r="453" spans="1:4">
      <c r="A453" s="899" t="s">
        <v>404</v>
      </c>
      <c r="B453" s="900"/>
      <c r="C453" s="900"/>
      <c r="D453" s="901"/>
    </row>
    <row r="454" spans="1:4">
      <c r="A454" s="269" t="s">
        <v>405</v>
      </c>
      <c r="B454" s="276"/>
      <c r="C454" s="276"/>
      <c r="D454" s="277"/>
    </row>
    <row r="455" spans="1:4">
      <c r="A455" s="269"/>
      <c r="B455" s="276"/>
      <c r="C455" s="276"/>
      <c r="D455" s="277"/>
    </row>
    <row r="456" spans="1:4">
      <c r="A456" s="902" t="s">
        <v>406</v>
      </c>
      <c r="B456" s="903"/>
      <c r="C456" s="903" t="s">
        <v>407</v>
      </c>
      <c r="D456" s="904"/>
    </row>
    <row r="457" spans="1:4">
      <c r="A457" s="889">
        <v>1</v>
      </c>
      <c r="B457" s="890"/>
      <c r="C457" s="890">
        <v>1</v>
      </c>
      <c r="D457" s="891"/>
    </row>
    <row r="458" spans="1:4">
      <c r="A458" s="889">
        <v>2</v>
      </c>
      <c r="B458" s="890"/>
      <c r="C458" s="890">
        <v>2</v>
      </c>
      <c r="D458" s="891"/>
    </row>
    <row r="459" spans="1:4">
      <c r="A459" s="427"/>
      <c r="B459" s="27"/>
      <c r="C459" s="892" t="s">
        <v>408</v>
      </c>
      <c r="D459" s="893"/>
    </row>
    <row r="460" spans="1:4">
      <c r="A460" s="894" t="s">
        <v>409</v>
      </c>
      <c r="B460" s="895"/>
      <c r="C460" s="895"/>
      <c r="D460" s="896"/>
    </row>
    <row r="461" spans="1:4">
      <c r="A461" s="424" t="s">
        <v>410</v>
      </c>
      <c r="B461" s="425"/>
      <c r="C461" s="425"/>
      <c r="D461" s="426"/>
    </row>
    <row r="462" spans="1:4">
      <c r="A462" s="424"/>
      <c r="B462" s="425"/>
      <c r="C462" s="425"/>
      <c r="D462" s="426"/>
    </row>
    <row r="463" spans="1:4">
      <c r="A463" s="424"/>
      <c r="B463" s="425"/>
      <c r="C463" s="425" t="s">
        <v>411</v>
      </c>
      <c r="D463" s="426"/>
    </row>
    <row r="464" spans="1:4">
      <c r="A464" s="427"/>
      <c r="B464" s="428"/>
      <c r="C464" s="393" t="s">
        <v>201</v>
      </c>
      <c r="D464" s="429"/>
    </row>
    <row r="465" spans="1:4">
      <c r="A465" s="427"/>
      <c r="B465" s="27"/>
      <c r="C465" s="27" t="s">
        <v>412</v>
      </c>
      <c r="D465" s="283"/>
    </row>
    <row r="466" spans="1:4">
      <c r="A466" s="427"/>
      <c r="B466" s="27"/>
      <c r="C466" s="897" t="str">
        <f>'0422Master'!F5</f>
        <v>Burgeon IT Services Pvt.Ltd.</v>
      </c>
      <c r="D466" s="898"/>
    </row>
    <row r="467" spans="1:4">
      <c r="A467" s="269" t="s">
        <v>352</v>
      </c>
      <c r="B467" s="27" t="str">
        <f>B450</f>
        <v>Hyderabad</v>
      </c>
      <c r="C467" s="185" t="str">
        <f>'0422Master'!F6</f>
        <v>Siri Mansion LIGB 436 Dr.A S Rao Nagar,Hyderabad</v>
      </c>
      <c r="D467" s="41"/>
    </row>
    <row r="468" spans="1:4" ht="15.75" thickBot="1">
      <c r="A468" s="269" t="s">
        <v>402</v>
      </c>
      <c r="B468" s="297">
        <f>B451</f>
        <v>0</v>
      </c>
      <c r="C468" s="185"/>
      <c r="D468" s="41"/>
    </row>
    <row r="469" spans="1:4" ht="15.75" thickBot="1">
      <c r="A469" s="288"/>
      <c r="B469" s="289" t="s">
        <v>413</v>
      </c>
      <c r="C469" s="289"/>
      <c r="D469" s="57"/>
    </row>
    <row r="470" spans="1:4">
      <c r="A470" s="269" t="s">
        <v>414</v>
      </c>
      <c r="B470" s="27"/>
      <c r="C470" s="185"/>
      <c r="D470" s="41"/>
    </row>
    <row r="471" spans="1:4">
      <c r="A471" s="269" t="s">
        <v>402</v>
      </c>
      <c r="B471" s="297">
        <f>B468</f>
        <v>0</v>
      </c>
      <c r="C471" s="185"/>
      <c r="D471" s="41"/>
    </row>
    <row r="472" spans="1:4" ht="15.75" thickBot="1">
      <c r="A472" s="291" t="s">
        <v>415</v>
      </c>
      <c r="B472" s="52"/>
      <c r="C472" s="52"/>
      <c r="D472" s="53" t="s">
        <v>416</v>
      </c>
    </row>
    <row r="476" spans="1:4" ht="15.75" thickBot="1"/>
    <row r="477" spans="1:4" ht="20.25">
      <c r="A477" s="912" t="s">
        <v>375</v>
      </c>
      <c r="B477" s="913"/>
      <c r="C477" s="913"/>
      <c r="D477" s="914"/>
    </row>
    <row r="478" spans="1:4">
      <c r="A478" s="915" t="s">
        <v>376</v>
      </c>
      <c r="B478" s="916"/>
      <c r="C478" s="916"/>
      <c r="D478" s="917"/>
    </row>
    <row r="479" spans="1:4" ht="18">
      <c r="A479" s="918" t="s">
        <v>377</v>
      </c>
      <c r="B479" s="919"/>
      <c r="C479" s="919"/>
      <c r="D479" s="920"/>
    </row>
    <row r="480" spans="1:4">
      <c r="A480" s="40" t="s">
        <v>83</v>
      </c>
      <c r="B480" s="27"/>
      <c r="C480" s="27"/>
      <c r="D480" s="41"/>
    </row>
    <row r="481" spans="1:4" ht="18">
      <c r="A481" s="284" t="str">
        <f>'0422Master'!F5</f>
        <v>Burgeon IT Services Pvt.Ltd.</v>
      </c>
      <c r="B481" s="268"/>
      <c r="C481" s="27"/>
      <c r="D481" s="41"/>
    </row>
    <row r="482" spans="1:4" ht="18">
      <c r="A482" s="284" t="str">
        <f>'0422Master'!F6</f>
        <v>Siri Mansion LIGB 436 Dr.A S Rao Nagar,Hyderabad</v>
      </c>
      <c r="B482" s="268"/>
      <c r="C482" s="27"/>
      <c r="D482" s="41"/>
    </row>
    <row r="483" spans="1:4" ht="18">
      <c r="A483" s="271"/>
      <c r="B483" s="272"/>
      <c r="C483" s="27"/>
      <c r="D483" s="41"/>
    </row>
    <row r="484" spans="1:4" ht="15.75">
      <c r="A484" s="270" t="s">
        <v>378</v>
      </c>
      <c r="B484" s="285"/>
      <c r="C484" s="286" t="e">
        <f>'0422Master'!#REF!</f>
        <v>#REF!</v>
      </c>
      <c r="D484" s="109"/>
    </row>
    <row r="485" spans="1:4">
      <c r="A485" s="909" t="s">
        <v>379</v>
      </c>
      <c r="B485" s="910"/>
      <c r="C485" s="910"/>
      <c r="D485" s="911"/>
    </row>
    <row r="486" spans="1:4">
      <c r="A486" s="40"/>
      <c r="B486" s="27"/>
      <c r="C486" s="27"/>
      <c r="D486" s="41"/>
    </row>
    <row r="487" spans="1:4">
      <c r="A487" s="909" t="s">
        <v>380</v>
      </c>
      <c r="B487" s="910"/>
      <c r="C487" s="910"/>
      <c r="D487" s="911"/>
    </row>
    <row r="488" spans="1:4">
      <c r="A488" s="273"/>
      <c r="B488" s="274"/>
      <c r="C488" s="274"/>
      <c r="D488" s="275"/>
    </row>
    <row r="489" spans="1:4">
      <c r="A489" s="902" t="s">
        <v>381</v>
      </c>
      <c r="B489" s="903"/>
      <c r="C489" s="903"/>
      <c r="D489" s="904"/>
    </row>
    <row r="490" spans="1:4">
      <c r="A490" s="40"/>
      <c r="B490" s="27"/>
      <c r="C490" s="27"/>
      <c r="D490" s="41"/>
    </row>
    <row r="491" spans="1:4">
      <c r="A491" s="902" t="s">
        <v>382</v>
      </c>
      <c r="B491" s="903"/>
      <c r="C491" s="903"/>
      <c r="D491" s="904"/>
    </row>
    <row r="492" spans="1:4">
      <c r="A492" s="902" t="s">
        <v>383</v>
      </c>
      <c r="B492" s="903"/>
      <c r="C492" s="903"/>
      <c r="D492" s="904"/>
    </row>
    <row r="493" spans="1:4">
      <c r="A493" s="269"/>
      <c r="B493" s="276"/>
      <c r="C493" s="276"/>
      <c r="D493" s="277"/>
    </row>
    <row r="494" spans="1:4">
      <c r="A494" s="909" t="s">
        <v>384</v>
      </c>
      <c r="B494" s="910"/>
      <c r="C494" s="910"/>
      <c r="D494" s="911"/>
    </row>
    <row r="495" spans="1:4">
      <c r="A495" s="269"/>
      <c r="B495" s="276"/>
      <c r="C495" s="276"/>
      <c r="D495" s="277"/>
    </row>
    <row r="496" spans="1:4">
      <c r="A496" s="902" t="s">
        <v>385</v>
      </c>
      <c r="B496" s="903"/>
      <c r="C496" s="903"/>
      <c r="D496" s="904"/>
    </row>
    <row r="497" spans="1:4">
      <c r="A497" s="40"/>
      <c r="B497" s="27"/>
      <c r="C497" s="27"/>
      <c r="D497" s="41"/>
    </row>
    <row r="498" spans="1:4">
      <c r="A498" s="899" t="s">
        <v>386</v>
      </c>
      <c r="B498" s="900"/>
      <c r="C498" s="900"/>
      <c r="D498" s="901"/>
    </row>
    <row r="499" spans="1:4" ht="42.75">
      <c r="A499" s="278" t="s">
        <v>387</v>
      </c>
      <c r="B499" s="481" t="s">
        <v>388</v>
      </c>
      <c r="C499" s="481" t="s">
        <v>389</v>
      </c>
      <c r="D499" s="279" t="s">
        <v>390</v>
      </c>
    </row>
    <row r="500" spans="1:4">
      <c r="A500" s="280">
        <v>1</v>
      </c>
      <c r="B500" s="339">
        <v>2</v>
      </c>
      <c r="C500" s="339">
        <v>3</v>
      </c>
      <c r="D500" s="423">
        <v>4</v>
      </c>
    </row>
    <row r="501" spans="1:4">
      <c r="A501" s="40" t="e">
        <f>'0422Master'!#REF!</f>
        <v>#REF!</v>
      </c>
      <c r="B501" s="308" t="s">
        <v>262</v>
      </c>
      <c r="C501" s="308" t="s">
        <v>391</v>
      </c>
      <c r="D501" s="305">
        <v>1</v>
      </c>
    </row>
    <row r="502" spans="1:4">
      <c r="A502" s="290"/>
      <c r="B502" s="308"/>
      <c r="C502" s="308"/>
      <c r="D502" s="281"/>
    </row>
    <row r="503" spans="1:4">
      <c r="A503" s="287"/>
      <c r="B503" s="308"/>
      <c r="C503" s="308"/>
      <c r="D503" s="281"/>
    </row>
    <row r="504" spans="1:4">
      <c r="A504" s="40"/>
      <c r="B504" s="27"/>
      <c r="C504" s="27"/>
      <c r="D504" s="41"/>
    </row>
    <row r="505" spans="1:4">
      <c r="A505" s="899" t="s">
        <v>392</v>
      </c>
      <c r="B505" s="900"/>
      <c r="C505" s="900"/>
      <c r="D505" s="901"/>
    </row>
    <row r="506" spans="1:4">
      <c r="A506" s="394"/>
      <c r="B506" s="395"/>
      <c r="C506" s="395"/>
      <c r="D506" s="396"/>
    </row>
    <row r="507" spans="1:4">
      <c r="A507" s="905" t="s">
        <v>393</v>
      </c>
      <c r="B507" s="906"/>
      <c r="C507" s="921" t="e">
        <f>'0422Master'!#REF!</f>
        <v>#REF!</v>
      </c>
      <c r="D507" s="908"/>
    </row>
    <row r="508" spans="1:4">
      <c r="A508" s="905" t="s">
        <v>394</v>
      </c>
      <c r="B508" s="906"/>
      <c r="C508" s="907" t="e">
        <f>'0422Master'!#REF!</f>
        <v>#REF!</v>
      </c>
      <c r="D508" s="908"/>
    </row>
    <row r="509" spans="1:4">
      <c r="A509" s="905" t="s">
        <v>395</v>
      </c>
      <c r="B509" s="906"/>
      <c r="C509" s="907" t="s">
        <v>417</v>
      </c>
      <c r="D509" s="908"/>
    </row>
    <row r="510" spans="1:4">
      <c r="A510" s="905" t="s">
        <v>397</v>
      </c>
      <c r="B510" s="906"/>
      <c r="C510" s="907" t="s">
        <v>374</v>
      </c>
      <c r="D510" s="908"/>
    </row>
    <row r="511" spans="1:4">
      <c r="A511" s="905" t="s">
        <v>398</v>
      </c>
      <c r="B511" s="906"/>
      <c r="C511" s="921" t="e">
        <f>'0422Master'!#REF!</f>
        <v>#REF!</v>
      </c>
      <c r="D511" s="908"/>
    </row>
    <row r="512" spans="1:4">
      <c r="A512" s="905" t="s">
        <v>399</v>
      </c>
      <c r="B512" s="906"/>
      <c r="C512" s="921" t="e">
        <f>'0422Master'!#REF!</f>
        <v>#REF!</v>
      </c>
      <c r="D512" s="908"/>
    </row>
    <row r="513" spans="1:4">
      <c r="A513" s="905" t="s">
        <v>400</v>
      </c>
      <c r="B513" s="906"/>
      <c r="C513" s="922" t="e">
        <f>'0422Master'!#REF!</f>
        <v>#REF!</v>
      </c>
      <c r="D513" s="908"/>
    </row>
    <row r="514" spans="1:4">
      <c r="A514" s="905" t="s">
        <v>401</v>
      </c>
      <c r="B514" s="906"/>
      <c r="C514" s="907"/>
      <c r="D514" s="908"/>
    </row>
    <row r="515" spans="1:4">
      <c r="A515" s="905"/>
      <c r="B515" s="906"/>
      <c r="C515" s="921" t="e">
        <f>'0422Master'!#REF!</f>
        <v>#REF!</v>
      </c>
      <c r="D515" s="908"/>
    </row>
    <row r="516" spans="1:4">
      <c r="A516" s="905"/>
      <c r="B516" s="906"/>
      <c r="C516" s="921" t="e">
        <f>'0422Master'!#REF!</f>
        <v>#REF!</v>
      </c>
      <c r="D516" s="908"/>
    </row>
    <row r="517" spans="1:4">
      <c r="A517" s="905"/>
      <c r="B517" s="906"/>
      <c r="C517" s="921" t="e">
        <f>'0422Master'!#REF!</f>
        <v>#REF!</v>
      </c>
      <c r="D517" s="908"/>
    </row>
    <row r="518" spans="1:4">
      <c r="A518" s="269" t="s">
        <v>352</v>
      </c>
      <c r="B518" s="276" t="s">
        <v>273</v>
      </c>
      <c r="C518" s="276"/>
      <c r="D518" s="277"/>
    </row>
    <row r="519" spans="1:4">
      <c r="A519" s="269" t="s">
        <v>402</v>
      </c>
      <c r="B519" s="306" t="e">
        <f>'0422Master'!#REF!</f>
        <v>#REF!</v>
      </c>
      <c r="C519" s="282" t="s">
        <v>403</v>
      </c>
      <c r="D519" s="277"/>
    </row>
    <row r="520" spans="1:4">
      <c r="A520" s="269"/>
      <c r="B520" s="276"/>
      <c r="C520" s="276"/>
      <c r="D520" s="277"/>
    </row>
    <row r="521" spans="1:4">
      <c r="A521" s="899" t="s">
        <v>404</v>
      </c>
      <c r="B521" s="900"/>
      <c r="C521" s="900"/>
      <c r="D521" s="901"/>
    </row>
    <row r="522" spans="1:4">
      <c r="A522" s="269" t="s">
        <v>405</v>
      </c>
      <c r="B522" s="276"/>
      <c r="C522" s="276"/>
      <c r="D522" s="277"/>
    </row>
    <row r="523" spans="1:4">
      <c r="A523" s="269"/>
      <c r="B523" s="276"/>
      <c r="C523" s="276"/>
      <c r="D523" s="277"/>
    </row>
    <row r="524" spans="1:4">
      <c r="A524" s="902" t="s">
        <v>406</v>
      </c>
      <c r="B524" s="903"/>
      <c r="C524" s="903" t="s">
        <v>407</v>
      </c>
      <c r="D524" s="904"/>
    </row>
    <row r="525" spans="1:4">
      <c r="A525" s="889">
        <v>1</v>
      </c>
      <c r="B525" s="890"/>
      <c r="C525" s="890">
        <v>1</v>
      </c>
      <c r="D525" s="891"/>
    </row>
    <row r="526" spans="1:4">
      <c r="A526" s="889">
        <v>2</v>
      </c>
      <c r="B526" s="890"/>
      <c r="C526" s="890">
        <v>2</v>
      </c>
      <c r="D526" s="891"/>
    </row>
    <row r="527" spans="1:4">
      <c r="A527" s="427"/>
      <c r="B527" s="27"/>
      <c r="C527" s="892" t="s">
        <v>408</v>
      </c>
      <c r="D527" s="893"/>
    </row>
    <row r="528" spans="1:4">
      <c r="A528" s="894" t="s">
        <v>409</v>
      </c>
      <c r="B528" s="895"/>
      <c r="C528" s="895"/>
      <c r="D528" s="896"/>
    </row>
    <row r="529" spans="1:4">
      <c r="A529" s="424" t="s">
        <v>410</v>
      </c>
      <c r="B529" s="425"/>
      <c r="C529" s="425"/>
      <c r="D529" s="426"/>
    </row>
    <row r="530" spans="1:4">
      <c r="A530" s="424"/>
      <c r="B530" s="425"/>
      <c r="C530" s="425"/>
      <c r="D530" s="426"/>
    </row>
    <row r="531" spans="1:4">
      <c r="A531" s="424"/>
      <c r="B531" s="425"/>
      <c r="C531" s="425" t="s">
        <v>411</v>
      </c>
      <c r="D531" s="426"/>
    </row>
    <row r="532" spans="1:4">
      <c r="A532" s="427"/>
      <c r="B532" s="428"/>
      <c r="C532" s="393" t="s">
        <v>201</v>
      </c>
      <c r="D532" s="429"/>
    </row>
    <row r="533" spans="1:4">
      <c r="A533" s="427"/>
      <c r="B533" s="27"/>
      <c r="C533" s="27" t="s">
        <v>412</v>
      </c>
      <c r="D533" s="283"/>
    </row>
    <row r="534" spans="1:4">
      <c r="A534" s="427"/>
      <c r="B534" s="27"/>
      <c r="C534" s="897" t="str">
        <f>'0422Master'!F5</f>
        <v>Burgeon IT Services Pvt.Ltd.</v>
      </c>
      <c r="D534" s="898"/>
    </row>
    <row r="535" spans="1:4">
      <c r="A535" s="269" t="s">
        <v>352</v>
      </c>
      <c r="B535" s="27" t="str">
        <f>B518</f>
        <v>Hyderabad</v>
      </c>
      <c r="C535" s="185" t="str">
        <f>'0422Master'!F6</f>
        <v>Siri Mansion LIGB 436 Dr.A S Rao Nagar,Hyderabad</v>
      </c>
      <c r="D535" s="41"/>
    </row>
    <row r="536" spans="1:4" ht="15.75" thickBot="1">
      <c r="A536" s="269" t="s">
        <v>402</v>
      </c>
      <c r="B536" s="297" t="e">
        <f>B519</f>
        <v>#REF!</v>
      </c>
      <c r="C536" s="185"/>
      <c r="D536" s="41"/>
    </row>
    <row r="537" spans="1:4" ht="15.75" thickBot="1">
      <c r="A537" s="288"/>
      <c r="B537" s="289" t="s">
        <v>413</v>
      </c>
      <c r="C537" s="289"/>
      <c r="D537" s="57"/>
    </row>
    <row r="538" spans="1:4">
      <c r="A538" s="269" t="s">
        <v>414</v>
      </c>
      <c r="B538" s="27"/>
      <c r="C538" s="185"/>
      <c r="D538" s="41"/>
    </row>
    <row r="539" spans="1:4">
      <c r="A539" s="269" t="s">
        <v>402</v>
      </c>
      <c r="B539" s="297" t="e">
        <f>B536</f>
        <v>#REF!</v>
      </c>
      <c r="C539" s="185"/>
      <c r="D539" s="41"/>
    </row>
    <row r="540" spans="1:4" ht="15.75" thickBot="1">
      <c r="A540" s="291" t="s">
        <v>415</v>
      </c>
      <c r="B540" s="52"/>
      <c r="C540" s="52"/>
      <c r="D540" s="53" t="s">
        <v>416</v>
      </c>
    </row>
    <row r="544" spans="1:4" ht="15.75" thickBot="1"/>
    <row r="545" spans="1:4" ht="20.25">
      <c r="A545" s="912" t="s">
        <v>375</v>
      </c>
      <c r="B545" s="913"/>
      <c r="C545" s="913"/>
      <c r="D545" s="914"/>
    </row>
    <row r="546" spans="1:4">
      <c r="A546" s="915" t="s">
        <v>376</v>
      </c>
      <c r="B546" s="916"/>
      <c r="C546" s="916"/>
      <c r="D546" s="917"/>
    </row>
    <row r="547" spans="1:4" ht="18">
      <c r="A547" s="918" t="s">
        <v>377</v>
      </c>
      <c r="B547" s="919"/>
      <c r="C547" s="919"/>
      <c r="D547" s="920"/>
    </row>
    <row r="548" spans="1:4">
      <c r="A548" s="40" t="s">
        <v>83</v>
      </c>
      <c r="B548" s="27"/>
      <c r="C548" s="27"/>
      <c r="D548" s="41"/>
    </row>
    <row r="549" spans="1:4" ht="18">
      <c r="A549" s="284" t="str">
        <f>'0422Master'!F5</f>
        <v>Burgeon IT Services Pvt.Ltd.</v>
      </c>
      <c r="B549" s="268"/>
      <c r="C549" s="27"/>
      <c r="D549" s="41"/>
    </row>
    <row r="550" spans="1:4" ht="18">
      <c r="A550" s="284" t="str">
        <f>'0422Master'!F6</f>
        <v>Siri Mansion LIGB 436 Dr.A S Rao Nagar,Hyderabad</v>
      </c>
      <c r="B550" s="268"/>
      <c r="C550" s="27"/>
      <c r="D550" s="41"/>
    </row>
    <row r="551" spans="1:4" ht="18">
      <c r="A551" s="271"/>
      <c r="B551" s="272"/>
      <c r="C551" s="27"/>
      <c r="D551" s="41"/>
    </row>
    <row r="552" spans="1:4" ht="15.75">
      <c r="A552" s="270" t="s">
        <v>378</v>
      </c>
      <c r="B552" s="285"/>
      <c r="C552" s="286" t="e">
        <f>'0422Master'!#REF!</f>
        <v>#REF!</v>
      </c>
      <c r="D552" s="109"/>
    </row>
    <row r="553" spans="1:4">
      <c r="A553" s="909" t="s">
        <v>379</v>
      </c>
      <c r="B553" s="910"/>
      <c r="C553" s="910"/>
      <c r="D553" s="911"/>
    </row>
    <row r="554" spans="1:4">
      <c r="A554" s="40"/>
      <c r="B554" s="27"/>
      <c r="C554" s="27"/>
      <c r="D554" s="41"/>
    </row>
    <row r="555" spans="1:4">
      <c r="A555" s="909" t="s">
        <v>380</v>
      </c>
      <c r="B555" s="910"/>
      <c r="C555" s="910"/>
      <c r="D555" s="911"/>
    </row>
    <row r="556" spans="1:4">
      <c r="A556" s="273"/>
      <c r="B556" s="274"/>
      <c r="C556" s="274"/>
      <c r="D556" s="275"/>
    </row>
    <row r="557" spans="1:4">
      <c r="A557" s="902" t="s">
        <v>381</v>
      </c>
      <c r="B557" s="903"/>
      <c r="C557" s="903"/>
      <c r="D557" s="904"/>
    </row>
    <row r="558" spans="1:4">
      <c r="A558" s="40"/>
      <c r="B558" s="27"/>
      <c r="C558" s="27"/>
      <c r="D558" s="41"/>
    </row>
    <row r="559" spans="1:4">
      <c r="A559" s="902" t="s">
        <v>382</v>
      </c>
      <c r="B559" s="903"/>
      <c r="C559" s="903"/>
      <c r="D559" s="904"/>
    </row>
    <row r="560" spans="1:4">
      <c r="A560" s="902" t="s">
        <v>383</v>
      </c>
      <c r="B560" s="903"/>
      <c r="C560" s="903"/>
      <c r="D560" s="904"/>
    </row>
    <row r="561" spans="1:4">
      <c r="A561" s="269"/>
      <c r="B561" s="276"/>
      <c r="C561" s="276"/>
      <c r="D561" s="277"/>
    </row>
    <row r="562" spans="1:4">
      <c r="A562" s="909" t="s">
        <v>384</v>
      </c>
      <c r="B562" s="910"/>
      <c r="C562" s="910"/>
      <c r="D562" s="911"/>
    </row>
    <row r="563" spans="1:4">
      <c r="A563" s="269"/>
      <c r="B563" s="276"/>
      <c r="C563" s="276"/>
      <c r="D563" s="277"/>
    </row>
    <row r="564" spans="1:4">
      <c r="A564" s="902" t="s">
        <v>385</v>
      </c>
      <c r="B564" s="903"/>
      <c r="C564" s="903"/>
      <c r="D564" s="904"/>
    </row>
    <row r="565" spans="1:4">
      <c r="A565" s="40"/>
      <c r="B565" s="27"/>
      <c r="C565" s="27"/>
      <c r="D565" s="41"/>
    </row>
    <row r="566" spans="1:4">
      <c r="A566" s="899" t="s">
        <v>386</v>
      </c>
      <c r="B566" s="900"/>
      <c r="C566" s="900"/>
      <c r="D566" s="901"/>
    </row>
    <row r="567" spans="1:4" ht="42.75">
      <c r="A567" s="278" t="s">
        <v>387</v>
      </c>
      <c r="B567" s="481" t="s">
        <v>388</v>
      </c>
      <c r="C567" s="481" t="s">
        <v>389</v>
      </c>
      <c r="D567" s="279" t="s">
        <v>390</v>
      </c>
    </row>
    <row r="568" spans="1:4">
      <c r="A568" s="280">
        <v>1</v>
      </c>
      <c r="B568" s="339">
        <v>2</v>
      </c>
      <c r="C568" s="339">
        <v>3</v>
      </c>
      <c r="D568" s="423">
        <v>4</v>
      </c>
    </row>
    <row r="569" spans="1:4">
      <c r="A569" s="40" t="e">
        <f>'0422Master'!#REF!</f>
        <v>#REF!</v>
      </c>
      <c r="B569" s="308" t="s">
        <v>262</v>
      </c>
      <c r="C569" s="308" t="s">
        <v>391</v>
      </c>
      <c r="D569" s="305">
        <v>1</v>
      </c>
    </row>
    <row r="570" spans="1:4">
      <c r="A570" s="290"/>
      <c r="B570" s="308"/>
      <c r="C570" s="308"/>
      <c r="D570" s="281"/>
    </row>
    <row r="571" spans="1:4">
      <c r="A571" s="287"/>
      <c r="B571" s="308"/>
      <c r="C571" s="308"/>
      <c r="D571" s="281"/>
    </row>
    <row r="572" spans="1:4">
      <c r="A572" s="40"/>
      <c r="B572" s="27"/>
      <c r="C572" s="27"/>
      <c r="D572" s="41"/>
    </row>
    <row r="573" spans="1:4">
      <c r="A573" s="899" t="s">
        <v>392</v>
      </c>
      <c r="B573" s="900"/>
      <c r="C573" s="900"/>
      <c r="D573" s="901"/>
    </row>
    <row r="574" spans="1:4">
      <c r="A574" s="394"/>
      <c r="B574" s="395"/>
      <c r="C574" s="395"/>
      <c r="D574" s="396"/>
    </row>
    <row r="575" spans="1:4">
      <c r="A575" s="905" t="s">
        <v>393</v>
      </c>
      <c r="B575" s="906"/>
      <c r="C575" s="921" t="e">
        <f>'0422Master'!#REF!</f>
        <v>#REF!</v>
      </c>
      <c r="D575" s="908"/>
    </row>
    <row r="576" spans="1:4">
      <c r="A576" s="905" t="s">
        <v>394</v>
      </c>
      <c r="B576" s="906"/>
      <c r="C576" s="907" t="e">
        <f>'0422Master'!#REF!</f>
        <v>#REF!</v>
      </c>
      <c r="D576" s="908"/>
    </row>
    <row r="577" spans="1:4">
      <c r="A577" s="905" t="s">
        <v>395</v>
      </c>
      <c r="B577" s="906"/>
      <c r="C577" s="907" t="s">
        <v>417</v>
      </c>
      <c r="D577" s="908"/>
    </row>
    <row r="578" spans="1:4">
      <c r="A578" s="905" t="s">
        <v>397</v>
      </c>
      <c r="B578" s="906"/>
      <c r="C578" s="907" t="s">
        <v>374</v>
      </c>
      <c r="D578" s="908"/>
    </row>
    <row r="579" spans="1:4">
      <c r="A579" s="905" t="s">
        <v>398</v>
      </c>
      <c r="B579" s="906"/>
      <c r="C579" s="921" t="e">
        <f>'0422Master'!#REF!</f>
        <v>#REF!</v>
      </c>
      <c r="D579" s="908"/>
    </row>
    <row r="580" spans="1:4">
      <c r="A580" s="905" t="s">
        <v>399</v>
      </c>
      <c r="B580" s="906"/>
      <c r="C580" s="921" t="e">
        <f>'0422Master'!#REF!</f>
        <v>#REF!</v>
      </c>
      <c r="D580" s="908"/>
    </row>
    <row r="581" spans="1:4">
      <c r="A581" s="905" t="s">
        <v>400</v>
      </c>
      <c r="B581" s="906"/>
      <c r="C581" s="922" t="e">
        <f>'0422Master'!#REF!</f>
        <v>#REF!</v>
      </c>
      <c r="D581" s="908"/>
    </row>
    <row r="582" spans="1:4">
      <c r="A582" s="905" t="s">
        <v>401</v>
      </c>
      <c r="B582" s="906"/>
      <c r="C582" s="907"/>
      <c r="D582" s="908"/>
    </row>
    <row r="583" spans="1:4">
      <c r="A583" s="905"/>
      <c r="B583" s="906"/>
      <c r="C583" s="921" t="e">
        <f>'0422Master'!#REF!</f>
        <v>#REF!</v>
      </c>
      <c r="D583" s="908"/>
    </row>
    <row r="584" spans="1:4">
      <c r="A584" s="905"/>
      <c r="B584" s="906"/>
      <c r="C584" s="921" t="e">
        <f>'0422Master'!#REF!</f>
        <v>#REF!</v>
      </c>
      <c r="D584" s="908"/>
    </row>
    <row r="585" spans="1:4">
      <c r="A585" s="905"/>
      <c r="B585" s="906"/>
      <c r="C585" s="921" t="e">
        <f>'0422Master'!#REF!</f>
        <v>#REF!</v>
      </c>
      <c r="D585" s="908"/>
    </row>
    <row r="586" spans="1:4">
      <c r="A586" s="269" t="s">
        <v>352</v>
      </c>
      <c r="B586" s="276" t="s">
        <v>273</v>
      </c>
      <c r="C586" s="276"/>
      <c r="D586" s="277"/>
    </row>
    <row r="587" spans="1:4">
      <c r="A587" s="269" t="s">
        <v>402</v>
      </c>
      <c r="B587" s="306" t="e">
        <f>'0422Master'!#REF!</f>
        <v>#REF!</v>
      </c>
      <c r="C587" s="282" t="s">
        <v>403</v>
      </c>
      <c r="D587" s="277"/>
    </row>
    <row r="588" spans="1:4">
      <c r="A588" s="269"/>
      <c r="B588" s="276"/>
      <c r="C588" s="276"/>
      <c r="D588" s="277"/>
    </row>
    <row r="589" spans="1:4">
      <c r="A589" s="899" t="s">
        <v>404</v>
      </c>
      <c r="B589" s="900"/>
      <c r="C589" s="900"/>
      <c r="D589" s="901"/>
    </row>
    <row r="590" spans="1:4">
      <c r="A590" s="269" t="s">
        <v>405</v>
      </c>
      <c r="B590" s="276"/>
      <c r="C590" s="276"/>
      <c r="D590" s="277"/>
    </row>
    <row r="591" spans="1:4">
      <c r="A591" s="269"/>
      <c r="B591" s="276"/>
      <c r="C591" s="276"/>
      <c r="D591" s="277"/>
    </row>
    <row r="592" spans="1:4">
      <c r="A592" s="902" t="s">
        <v>406</v>
      </c>
      <c r="B592" s="903"/>
      <c r="C592" s="903" t="s">
        <v>407</v>
      </c>
      <c r="D592" s="904"/>
    </row>
    <row r="593" spans="1:4">
      <c r="A593" s="889">
        <v>1</v>
      </c>
      <c r="B593" s="890"/>
      <c r="C593" s="890">
        <v>1</v>
      </c>
      <c r="D593" s="891"/>
    </row>
    <row r="594" spans="1:4">
      <c r="A594" s="889">
        <v>2</v>
      </c>
      <c r="B594" s="890"/>
      <c r="C594" s="890">
        <v>2</v>
      </c>
      <c r="D594" s="891"/>
    </row>
    <row r="595" spans="1:4">
      <c r="A595" s="427"/>
      <c r="B595" s="27"/>
      <c r="C595" s="892" t="s">
        <v>408</v>
      </c>
      <c r="D595" s="893"/>
    </row>
    <row r="596" spans="1:4">
      <c r="A596" s="894" t="s">
        <v>409</v>
      </c>
      <c r="B596" s="895"/>
      <c r="C596" s="895"/>
      <c r="D596" s="896"/>
    </row>
    <row r="597" spans="1:4">
      <c r="A597" s="424" t="s">
        <v>410</v>
      </c>
      <c r="B597" s="425"/>
      <c r="C597" s="425"/>
      <c r="D597" s="426"/>
    </row>
    <row r="598" spans="1:4">
      <c r="A598" s="424"/>
      <c r="B598" s="425"/>
      <c r="C598" s="425"/>
      <c r="D598" s="426"/>
    </row>
    <row r="599" spans="1:4">
      <c r="A599" s="424"/>
      <c r="B599" s="425"/>
      <c r="C599" s="425" t="s">
        <v>411</v>
      </c>
      <c r="D599" s="426"/>
    </row>
    <row r="600" spans="1:4">
      <c r="A600" s="427"/>
      <c r="B600" s="428"/>
      <c r="C600" s="393" t="s">
        <v>201</v>
      </c>
      <c r="D600" s="429"/>
    </row>
    <row r="601" spans="1:4">
      <c r="A601" s="427"/>
      <c r="B601" s="27"/>
      <c r="C601" s="27" t="s">
        <v>412</v>
      </c>
      <c r="D601" s="283"/>
    </row>
    <row r="602" spans="1:4">
      <c r="A602" s="427"/>
      <c r="B602" s="27"/>
      <c r="C602" s="897">
        <f>'0422Master'!F532</f>
        <v>0</v>
      </c>
      <c r="D602" s="898"/>
    </row>
    <row r="603" spans="1:4">
      <c r="A603" s="269" t="s">
        <v>352</v>
      </c>
      <c r="B603" s="27" t="str">
        <f>B586</f>
        <v>Hyderabad</v>
      </c>
      <c r="C603" s="185">
        <f>'0422Master'!F533</f>
        <v>0</v>
      </c>
      <c r="D603" s="41"/>
    </row>
    <row r="604" spans="1:4" ht="15.75" thickBot="1">
      <c r="A604" s="269" t="s">
        <v>402</v>
      </c>
      <c r="B604" s="297" t="e">
        <f>B587</f>
        <v>#REF!</v>
      </c>
      <c r="C604" s="185"/>
      <c r="D604" s="41"/>
    </row>
    <row r="605" spans="1:4" ht="15.75" thickBot="1">
      <c r="A605" s="288"/>
      <c r="B605" s="289" t="s">
        <v>413</v>
      </c>
      <c r="C605" s="289"/>
      <c r="D605" s="57"/>
    </row>
    <row r="606" spans="1:4">
      <c r="A606" s="269" t="s">
        <v>414</v>
      </c>
      <c r="B606" s="27"/>
      <c r="C606" s="185"/>
      <c r="D606" s="41"/>
    </row>
    <row r="607" spans="1:4">
      <c r="A607" s="269" t="s">
        <v>402</v>
      </c>
      <c r="B607" s="297" t="e">
        <f>B604</f>
        <v>#REF!</v>
      </c>
      <c r="C607" s="185"/>
      <c r="D607" s="41"/>
    </row>
    <row r="608" spans="1:4" ht="15.75" thickBot="1">
      <c r="A608" s="291" t="s">
        <v>415</v>
      </c>
      <c r="B608" s="52"/>
      <c r="C608" s="52"/>
      <c r="D608" s="53" t="s">
        <v>416</v>
      </c>
    </row>
    <row r="612" spans="1:4" ht="15.75" thickBot="1"/>
    <row r="613" spans="1:4" ht="20.25">
      <c r="A613" s="912" t="s">
        <v>375</v>
      </c>
      <c r="B613" s="913"/>
      <c r="C613" s="913"/>
      <c r="D613" s="914"/>
    </row>
    <row r="614" spans="1:4">
      <c r="A614" s="915" t="s">
        <v>376</v>
      </c>
      <c r="B614" s="916"/>
      <c r="C614" s="916"/>
      <c r="D614" s="917"/>
    </row>
    <row r="615" spans="1:4" ht="18">
      <c r="A615" s="918" t="s">
        <v>377</v>
      </c>
      <c r="B615" s="919"/>
      <c r="C615" s="919"/>
      <c r="D615" s="920"/>
    </row>
    <row r="616" spans="1:4">
      <c r="A616" s="40" t="s">
        <v>83</v>
      </c>
      <c r="B616" s="27"/>
      <c r="C616" s="27"/>
      <c r="D616" s="41"/>
    </row>
    <row r="617" spans="1:4" ht="18">
      <c r="A617" s="284">
        <f>'0422Master'!F600</f>
        <v>0</v>
      </c>
      <c r="B617" s="268"/>
      <c r="C617" s="27"/>
      <c r="D617" s="41"/>
    </row>
    <row r="618" spans="1:4" ht="18">
      <c r="A618" s="284">
        <f>'0422Master'!F601</f>
        <v>0</v>
      </c>
      <c r="B618" s="268"/>
      <c r="C618" s="27"/>
      <c r="D618" s="41"/>
    </row>
    <row r="619" spans="1:4" ht="18">
      <c r="A619" s="271"/>
      <c r="B619" s="272"/>
      <c r="C619" s="27"/>
      <c r="D619" s="41"/>
    </row>
    <row r="620" spans="1:4" ht="15.75">
      <c r="A620" s="270" t="s">
        <v>378</v>
      </c>
      <c r="B620" s="285"/>
      <c r="C620" s="286">
        <f>'0422Master'!B610</f>
        <v>0</v>
      </c>
      <c r="D620" s="109"/>
    </row>
    <row r="621" spans="1:4">
      <c r="A621" s="909" t="s">
        <v>379</v>
      </c>
      <c r="B621" s="910"/>
      <c r="C621" s="910"/>
      <c r="D621" s="911"/>
    </row>
    <row r="622" spans="1:4">
      <c r="A622" s="40"/>
      <c r="B622" s="27"/>
      <c r="C622" s="27"/>
      <c r="D622" s="41"/>
    </row>
    <row r="623" spans="1:4">
      <c r="A623" s="909" t="s">
        <v>380</v>
      </c>
      <c r="B623" s="910"/>
      <c r="C623" s="910"/>
      <c r="D623" s="911"/>
    </row>
    <row r="624" spans="1:4">
      <c r="A624" s="273"/>
      <c r="B624" s="274"/>
      <c r="C624" s="274"/>
      <c r="D624" s="275"/>
    </row>
    <row r="625" spans="1:4">
      <c r="A625" s="902" t="s">
        <v>381</v>
      </c>
      <c r="B625" s="903"/>
      <c r="C625" s="903"/>
      <c r="D625" s="904"/>
    </row>
    <row r="626" spans="1:4">
      <c r="A626" s="40"/>
      <c r="B626" s="27"/>
      <c r="C626" s="27"/>
      <c r="D626" s="41"/>
    </row>
    <row r="627" spans="1:4">
      <c r="A627" s="902" t="s">
        <v>382</v>
      </c>
      <c r="B627" s="903"/>
      <c r="C627" s="903"/>
      <c r="D627" s="904"/>
    </row>
    <row r="628" spans="1:4">
      <c r="A628" s="902" t="s">
        <v>383</v>
      </c>
      <c r="B628" s="903"/>
      <c r="C628" s="903"/>
      <c r="D628" s="904"/>
    </row>
    <row r="629" spans="1:4">
      <c r="A629" s="269"/>
      <c r="B629" s="276"/>
      <c r="C629" s="276"/>
      <c r="D629" s="277"/>
    </row>
    <row r="630" spans="1:4">
      <c r="A630" s="909" t="s">
        <v>384</v>
      </c>
      <c r="B630" s="910"/>
      <c r="C630" s="910"/>
      <c r="D630" s="911"/>
    </row>
    <row r="631" spans="1:4">
      <c r="A631" s="269"/>
      <c r="B631" s="276"/>
      <c r="C631" s="276"/>
      <c r="D631" s="277"/>
    </row>
    <row r="632" spans="1:4">
      <c r="A632" s="902" t="s">
        <v>385</v>
      </c>
      <c r="B632" s="903"/>
      <c r="C632" s="903"/>
      <c r="D632" s="904"/>
    </row>
    <row r="633" spans="1:4">
      <c r="A633" s="40"/>
      <c r="B633" s="27"/>
      <c r="C633" s="27"/>
      <c r="D633" s="41"/>
    </row>
    <row r="634" spans="1:4">
      <c r="A634" s="899" t="s">
        <v>386</v>
      </c>
      <c r="B634" s="900"/>
      <c r="C634" s="900"/>
      <c r="D634" s="901"/>
    </row>
    <row r="635" spans="1:4" ht="42.75">
      <c r="A635" s="278" t="s">
        <v>387</v>
      </c>
      <c r="B635" s="481" t="s">
        <v>388</v>
      </c>
      <c r="C635" s="481" t="s">
        <v>389</v>
      </c>
      <c r="D635" s="279" t="s">
        <v>390</v>
      </c>
    </row>
    <row r="636" spans="1:4">
      <c r="A636" s="280">
        <v>1</v>
      </c>
      <c r="B636" s="339">
        <v>2</v>
      </c>
      <c r="C636" s="339">
        <v>3</v>
      </c>
      <c r="D636" s="423">
        <v>4</v>
      </c>
    </row>
    <row r="637" spans="1:4">
      <c r="A637" s="40"/>
      <c r="B637" s="308" t="s">
        <v>262</v>
      </c>
      <c r="C637" s="308" t="s">
        <v>391</v>
      </c>
      <c r="D637" s="305">
        <v>1</v>
      </c>
    </row>
    <row r="638" spans="1:4">
      <c r="A638" s="290"/>
      <c r="B638" s="308"/>
      <c r="C638" s="308"/>
      <c r="D638" s="281"/>
    </row>
    <row r="639" spans="1:4">
      <c r="A639" s="287"/>
      <c r="B639" s="308"/>
      <c r="C639" s="308"/>
      <c r="D639" s="281"/>
    </row>
    <row r="640" spans="1:4">
      <c r="A640" s="40"/>
      <c r="B640" s="27"/>
      <c r="C640" s="27"/>
      <c r="D640" s="41"/>
    </row>
    <row r="641" spans="1:4">
      <c r="A641" s="899" t="s">
        <v>392</v>
      </c>
      <c r="B641" s="900"/>
      <c r="C641" s="900"/>
      <c r="D641" s="901"/>
    </row>
    <row r="642" spans="1:4">
      <c r="A642" s="394"/>
      <c r="B642" s="395"/>
      <c r="C642" s="395"/>
      <c r="D642" s="396"/>
    </row>
    <row r="643" spans="1:4">
      <c r="A643" s="905" t="s">
        <v>393</v>
      </c>
      <c r="B643" s="906"/>
      <c r="C643" s="907"/>
      <c r="D643" s="908"/>
    </row>
    <row r="644" spans="1:4">
      <c r="A644" s="905" t="s">
        <v>394</v>
      </c>
      <c r="B644" s="906"/>
      <c r="C644" s="907"/>
      <c r="D644" s="908"/>
    </row>
    <row r="645" spans="1:4">
      <c r="A645" s="905" t="s">
        <v>395</v>
      </c>
      <c r="B645" s="906"/>
      <c r="C645" s="907"/>
      <c r="D645" s="908"/>
    </row>
    <row r="646" spans="1:4">
      <c r="A646" s="905" t="s">
        <v>397</v>
      </c>
      <c r="B646" s="906"/>
      <c r="C646" s="907"/>
      <c r="D646" s="908"/>
    </row>
    <row r="647" spans="1:4">
      <c r="A647" s="905" t="s">
        <v>398</v>
      </c>
      <c r="B647" s="906"/>
      <c r="C647" s="907"/>
      <c r="D647" s="908"/>
    </row>
    <row r="648" spans="1:4">
      <c r="A648" s="905" t="s">
        <v>399</v>
      </c>
      <c r="B648" s="906"/>
      <c r="C648" s="907"/>
      <c r="D648" s="908"/>
    </row>
    <row r="649" spans="1:4">
      <c r="A649" s="905" t="s">
        <v>400</v>
      </c>
      <c r="B649" s="906"/>
      <c r="C649" s="907"/>
      <c r="D649" s="908"/>
    </row>
    <row r="650" spans="1:4">
      <c r="A650" s="905" t="s">
        <v>401</v>
      </c>
      <c r="B650" s="906"/>
      <c r="C650" s="907"/>
      <c r="D650" s="908"/>
    </row>
    <row r="651" spans="1:4">
      <c r="A651" s="905"/>
      <c r="B651" s="906"/>
      <c r="C651" s="907"/>
      <c r="D651" s="908"/>
    </row>
    <row r="652" spans="1:4">
      <c r="A652" s="905"/>
      <c r="B652" s="906"/>
      <c r="C652" s="907"/>
      <c r="D652" s="908"/>
    </row>
    <row r="653" spans="1:4">
      <c r="A653" s="905"/>
      <c r="B653" s="906"/>
      <c r="C653" s="907"/>
      <c r="D653" s="908"/>
    </row>
    <row r="654" spans="1:4">
      <c r="A654" s="269" t="s">
        <v>352</v>
      </c>
      <c r="B654" s="276"/>
      <c r="C654" s="276"/>
      <c r="D654" s="277"/>
    </row>
    <row r="655" spans="1:4">
      <c r="A655" s="269" t="s">
        <v>402</v>
      </c>
      <c r="B655" s="276"/>
      <c r="C655" s="282" t="s">
        <v>403</v>
      </c>
      <c r="D655" s="277"/>
    </row>
    <row r="656" spans="1:4">
      <c r="A656" s="269"/>
      <c r="B656" s="276"/>
      <c r="C656" s="276"/>
      <c r="D656" s="277"/>
    </row>
    <row r="657" spans="1:4">
      <c r="A657" s="899" t="s">
        <v>404</v>
      </c>
      <c r="B657" s="900"/>
      <c r="C657" s="900"/>
      <c r="D657" s="901"/>
    </row>
    <row r="658" spans="1:4">
      <c r="A658" s="269" t="s">
        <v>405</v>
      </c>
      <c r="B658" s="276"/>
      <c r="C658" s="276"/>
      <c r="D658" s="277"/>
    </row>
    <row r="659" spans="1:4">
      <c r="A659" s="269"/>
      <c r="B659" s="276"/>
      <c r="C659" s="276"/>
      <c r="D659" s="277"/>
    </row>
    <row r="660" spans="1:4">
      <c r="A660" s="902" t="s">
        <v>406</v>
      </c>
      <c r="B660" s="903"/>
      <c r="C660" s="903" t="s">
        <v>407</v>
      </c>
      <c r="D660" s="904"/>
    </row>
    <row r="661" spans="1:4">
      <c r="A661" s="889">
        <v>1</v>
      </c>
      <c r="B661" s="890"/>
      <c r="C661" s="890">
        <v>1</v>
      </c>
      <c r="D661" s="891"/>
    </row>
    <row r="662" spans="1:4">
      <c r="A662" s="889">
        <v>2</v>
      </c>
      <c r="B662" s="890"/>
      <c r="C662" s="890">
        <v>2</v>
      </c>
      <c r="D662" s="891"/>
    </row>
    <row r="663" spans="1:4">
      <c r="A663" s="427"/>
      <c r="B663" s="27"/>
      <c r="C663" s="892" t="s">
        <v>408</v>
      </c>
      <c r="D663" s="893"/>
    </row>
    <row r="664" spans="1:4">
      <c r="A664" s="894" t="s">
        <v>409</v>
      </c>
      <c r="B664" s="895"/>
      <c r="C664" s="895"/>
      <c r="D664" s="896"/>
    </row>
    <row r="665" spans="1:4">
      <c r="A665" s="424" t="s">
        <v>410</v>
      </c>
      <c r="B665" s="425"/>
      <c r="C665" s="425"/>
      <c r="D665" s="426"/>
    </row>
    <row r="666" spans="1:4">
      <c r="A666" s="424"/>
      <c r="B666" s="425"/>
      <c r="C666" s="425"/>
      <c r="D666" s="426"/>
    </row>
    <row r="667" spans="1:4">
      <c r="A667" s="424"/>
      <c r="B667" s="425"/>
      <c r="C667" s="425" t="s">
        <v>411</v>
      </c>
      <c r="D667" s="426"/>
    </row>
    <row r="668" spans="1:4">
      <c r="A668" s="427"/>
      <c r="B668" s="428"/>
      <c r="C668" s="393" t="s">
        <v>201</v>
      </c>
      <c r="D668" s="429"/>
    </row>
    <row r="669" spans="1:4">
      <c r="A669" s="427"/>
      <c r="B669" s="27"/>
      <c r="C669" s="27" t="s">
        <v>412</v>
      </c>
      <c r="D669" s="283"/>
    </row>
    <row r="670" spans="1:4">
      <c r="A670" s="427"/>
      <c r="B670" s="27"/>
      <c r="C670" s="897">
        <f>'0422Master'!F600</f>
        <v>0</v>
      </c>
      <c r="D670" s="898"/>
    </row>
    <row r="671" spans="1:4">
      <c r="A671" s="269" t="s">
        <v>352</v>
      </c>
      <c r="B671" s="27"/>
      <c r="C671" s="185">
        <f>'0422Master'!F601</f>
        <v>0</v>
      </c>
      <c r="D671" s="41"/>
    </row>
    <row r="672" spans="1:4" ht="15.75" thickBot="1">
      <c r="A672" s="269" t="s">
        <v>402</v>
      </c>
      <c r="B672" s="27"/>
      <c r="C672" s="185"/>
      <c r="D672" s="41"/>
    </row>
    <row r="673" spans="1:4" ht="15.75" thickBot="1">
      <c r="A673" s="288"/>
      <c r="B673" s="289" t="s">
        <v>413</v>
      </c>
      <c r="C673" s="289"/>
      <c r="D673" s="57"/>
    </row>
    <row r="674" spans="1:4">
      <c r="A674" s="269" t="s">
        <v>414</v>
      </c>
      <c r="B674" s="27"/>
      <c r="C674" s="185"/>
      <c r="D674" s="41"/>
    </row>
    <row r="675" spans="1:4">
      <c r="A675" s="269" t="s">
        <v>402</v>
      </c>
      <c r="B675" s="27"/>
      <c r="C675" s="185"/>
      <c r="D675" s="41"/>
    </row>
    <row r="676" spans="1:4" ht="15.75" thickBot="1">
      <c r="A676" s="291" t="s">
        <v>415</v>
      </c>
      <c r="B676" s="52"/>
      <c r="C676" s="52"/>
      <c r="D676" s="53" t="s">
        <v>416</v>
      </c>
    </row>
    <row r="680" spans="1:4" ht="15.75" thickBot="1"/>
    <row r="681" spans="1:4" ht="20.25">
      <c r="A681" s="912" t="s">
        <v>375</v>
      </c>
      <c r="B681" s="913"/>
      <c r="C681" s="913"/>
      <c r="D681" s="914"/>
    </row>
    <row r="682" spans="1:4">
      <c r="A682" s="915" t="s">
        <v>376</v>
      </c>
      <c r="B682" s="916"/>
      <c r="C682" s="916"/>
      <c r="D682" s="917"/>
    </row>
    <row r="683" spans="1:4" ht="18">
      <c r="A683" s="918" t="s">
        <v>377</v>
      </c>
      <c r="B683" s="919"/>
      <c r="C683" s="919"/>
      <c r="D683" s="920"/>
    </row>
    <row r="684" spans="1:4">
      <c r="A684" s="40" t="s">
        <v>83</v>
      </c>
      <c r="B684" s="27"/>
      <c r="C684" s="27"/>
      <c r="D684" s="41"/>
    </row>
    <row r="685" spans="1:4" ht="18">
      <c r="A685" s="284">
        <f>'0422Master'!F668</f>
        <v>0</v>
      </c>
      <c r="B685" s="268"/>
      <c r="C685" s="27"/>
      <c r="D685" s="41"/>
    </row>
    <row r="686" spans="1:4" ht="18">
      <c r="A686" s="284">
        <f>'0422Master'!F669</f>
        <v>0</v>
      </c>
      <c r="B686" s="268"/>
      <c r="C686" s="27"/>
      <c r="D686" s="41"/>
    </row>
    <row r="687" spans="1:4" ht="18">
      <c r="A687" s="271"/>
      <c r="B687" s="272"/>
      <c r="C687" s="27"/>
      <c r="D687" s="41"/>
    </row>
    <row r="688" spans="1:4" ht="15.75">
      <c r="A688" s="270" t="s">
        <v>378</v>
      </c>
      <c r="B688" s="285"/>
      <c r="C688" s="286">
        <f>'0422Master'!B678</f>
        <v>0</v>
      </c>
      <c r="D688" s="109"/>
    </row>
    <row r="689" spans="1:4">
      <c r="A689" s="909" t="s">
        <v>379</v>
      </c>
      <c r="B689" s="910"/>
      <c r="C689" s="910"/>
      <c r="D689" s="911"/>
    </row>
    <row r="690" spans="1:4">
      <c r="A690" s="40"/>
      <c r="B690" s="27"/>
      <c r="C690" s="27"/>
      <c r="D690" s="41"/>
    </row>
    <row r="691" spans="1:4">
      <c r="A691" s="909" t="s">
        <v>380</v>
      </c>
      <c r="B691" s="910"/>
      <c r="C691" s="910"/>
      <c r="D691" s="911"/>
    </row>
    <row r="692" spans="1:4">
      <c r="A692" s="273"/>
      <c r="B692" s="274"/>
      <c r="C692" s="274"/>
      <c r="D692" s="275"/>
    </row>
    <row r="693" spans="1:4">
      <c r="A693" s="902" t="s">
        <v>381</v>
      </c>
      <c r="B693" s="903"/>
      <c r="C693" s="903"/>
      <c r="D693" s="904"/>
    </row>
    <row r="694" spans="1:4">
      <c r="A694" s="40"/>
      <c r="B694" s="27"/>
      <c r="C694" s="27"/>
      <c r="D694" s="41"/>
    </row>
    <row r="695" spans="1:4">
      <c r="A695" s="902" t="s">
        <v>382</v>
      </c>
      <c r="B695" s="903"/>
      <c r="C695" s="903"/>
      <c r="D695" s="904"/>
    </row>
    <row r="696" spans="1:4">
      <c r="A696" s="902" t="s">
        <v>383</v>
      </c>
      <c r="B696" s="903"/>
      <c r="C696" s="903"/>
      <c r="D696" s="904"/>
    </row>
    <row r="697" spans="1:4">
      <c r="A697" s="269"/>
      <c r="B697" s="276"/>
      <c r="C697" s="276"/>
      <c r="D697" s="277"/>
    </row>
    <row r="698" spans="1:4">
      <c r="A698" s="909" t="s">
        <v>384</v>
      </c>
      <c r="B698" s="910"/>
      <c r="C698" s="910"/>
      <c r="D698" s="911"/>
    </row>
    <row r="699" spans="1:4">
      <c r="A699" s="269"/>
      <c r="B699" s="276"/>
      <c r="C699" s="276"/>
      <c r="D699" s="277"/>
    </row>
    <row r="700" spans="1:4">
      <c r="A700" s="902" t="s">
        <v>385</v>
      </c>
      <c r="B700" s="903"/>
      <c r="C700" s="903"/>
      <c r="D700" s="904"/>
    </row>
    <row r="701" spans="1:4">
      <c r="A701" s="40"/>
      <c r="B701" s="27"/>
      <c r="C701" s="27"/>
      <c r="D701" s="41"/>
    </row>
    <row r="702" spans="1:4">
      <c r="A702" s="899" t="s">
        <v>386</v>
      </c>
      <c r="B702" s="900"/>
      <c r="C702" s="900"/>
      <c r="D702" s="901"/>
    </row>
    <row r="703" spans="1:4" ht="42.75">
      <c r="A703" s="278" t="s">
        <v>387</v>
      </c>
      <c r="B703" s="481" t="s">
        <v>388</v>
      </c>
      <c r="C703" s="481" t="s">
        <v>389</v>
      </c>
      <c r="D703" s="279" t="s">
        <v>390</v>
      </c>
    </row>
    <row r="704" spans="1:4">
      <c r="A704" s="280">
        <v>1</v>
      </c>
      <c r="B704" s="339">
        <v>2</v>
      </c>
      <c r="C704" s="339">
        <v>3</v>
      </c>
      <c r="D704" s="423">
        <v>4</v>
      </c>
    </row>
    <row r="705" spans="1:4">
      <c r="A705" s="40"/>
      <c r="B705" s="308" t="s">
        <v>262</v>
      </c>
      <c r="C705" s="308" t="s">
        <v>391</v>
      </c>
      <c r="D705" s="305">
        <v>1</v>
      </c>
    </row>
    <row r="706" spans="1:4">
      <c r="A706" s="290"/>
      <c r="B706" s="308"/>
      <c r="C706" s="308"/>
      <c r="D706" s="281"/>
    </row>
    <row r="707" spans="1:4">
      <c r="A707" s="287"/>
      <c r="B707" s="308"/>
      <c r="C707" s="308"/>
      <c r="D707" s="281"/>
    </row>
    <row r="708" spans="1:4">
      <c r="A708" s="40"/>
      <c r="B708" s="27"/>
      <c r="C708" s="27"/>
      <c r="D708" s="41"/>
    </row>
    <row r="709" spans="1:4">
      <c r="A709" s="899" t="s">
        <v>392</v>
      </c>
      <c r="B709" s="900"/>
      <c r="C709" s="900"/>
      <c r="D709" s="901"/>
    </row>
    <row r="710" spans="1:4">
      <c r="A710" s="394"/>
      <c r="B710" s="395"/>
      <c r="C710" s="395"/>
      <c r="D710" s="396"/>
    </row>
    <row r="711" spans="1:4">
      <c r="A711" s="905" t="s">
        <v>393</v>
      </c>
      <c r="B711" s="906"/>
      <c r="C711" s="907"/>
      <c r="D711" s="908"/>
    </row>
    <row r="712" spans="1:4">
      <c r="A712" s="905" t="s">
        <v>394</v>
      </c>
      <c r="B712" s="906"/>
      <c r="C712" s="907"/>
      <c r="D712" s="908"/>
    </row>
    <row r="713" spans="1:4">
      <c r="A713" s="905" t="s">
        <v>395</v>
      </c>
      <c r="B713" s="906"/>
      <c r="C713" s="907"/>
      <c r="D713" s="908"/>
    </row>
    <row r="714" spans="1:4">
      <c r="A714" s="905" t="s">
        <v>397</v>
      </c>
      <c r="B714" s="906"/>
      <c r="C714" s="907"/>
      <c r="D714" s="908"/>
    </row>
    <row r="715" spans="1:4">
      <c r="A715" s="905" t="s">
        <v>398</v>
      </c>
      <c r="B715" s="906"/>
      <c r="C715" s="907"/>
      <c r="D715" s="908"/>
    </row>
    <row r="716" spans="1:4">
      <c r="A716" s="905" t="s">
        <v>399</v>
      </c>
      <c r="B716" s="906"/>
      <c r="C716" s="907"/>
      <c r="D716" s="908"/>
    </row>
    <row r="717" spans="1:4">
      <c r="A717" s="905" t="s">
        <v>400</v>
      </c>
      <c r="B717" s="906"/>
      <c r="C717" s="907"/>
      <c r="D717" s="908"/>
    </row>
    <row r="718" spans="1:4">
      <c r="A718" s="905" t="s">
        <v>401</v>
      </c>
      <c r="B718" s="906"/>
      <c r="C718" s="907"/>
      <c r="D718" s="908"/>
    </row>
    <row r="719" spans="1:4">
      <c r="A719" s="905"/>
      <c r="B719" s="906"/>
      <c r="C719" s="907"/>
      <c r="D719" s="908"/>
    </row>
    <row r="720" spans="1:4">
      <c r="A720" s="905"/>
      <c r="B720" s="906"/>
      <c r="C720" s="907"/>
      <c r="D720" s="908"/>
    </row>
    <row r="721" spans="1:4">
      <c r="A721" s="905"/>
      <c r="B721" s="906"/>
      <c r="C721" s="907"/>
      <c r="D721" s="908"/>
    </row>
    <row r="722" spans="1:4">
      <c r="A722" s="269" t="s">
        <v>352</v>
      </c>
      <c r="B722" s="276"/>
      <c r="C722" s="276"/>
      <c r="D722" s="277"/>
    </row>
    <row r="723" spans="1:4">
      <c r="A723" s="269" t="s">
        <v>402</v>
      </c>
      <c r="B723" s="276"/>
      <c r="C723" s="282" t="s">
        <v>403</v>
      </c>
      <c r="D723" s="277"/>
    </row>
    <row r="724" spans="1:4">
      <c r="A724" s="269"/>
      <c r="B724" s="276"/>
      <c r="C724" s="276"/>
      <c r="D724" s="277"/>
    </row>
    <row r="725" spans="1:4">
      <c r="A725" s="899" t="s">
        <v>404</v>
      </c>
      <c r="B725" s="900"/>
      <c r="C725" s="900"/>
      <c r="D725" s="901"/>
    </row>
    <row r="726" spans="1:4">
      <c r="A726" s="269" t="s">
        <v>405</v>
      </c>
      <c r="B726" s="276"/>
      <c r="C726" s="276"/>
      <c r="D726" s="277"/>
    </row>
    <row r="727" spans="1:4">
      <c r="A727" s="269"/>
      <c r="B727" s="276"/>
      <c r="C727" s="276"/>
      <c r="D727" s="277"/>
    </row>
    <row r="728" spans="1:4">
      <c r="A728" s="902" t="s">
        <v>406</v>
      </c>
      <c r="B728" s="903"/>
      <c r="C728" s="903" t="s">
        <v>407</v>
      </c>
      <c r="D728" s="904"/>
    </row>
    <row r="729" spans="1:4">
      <c r="A729" s="889">
        <v>1</v>
      </c>
      <c r="B729" s="890"/>
      <c r="C729" s="890">
        <v>1</v>
      </c>
      <c r="D729" s="891"/>
    </row>
    <row r="730" spans="1:4">
      <c r="A730" s="889">
        <v>2</v>
      </c>
      <c r="B730" s="890"/>
      <c r="C730" s="890">
        <v>2</v>
      </c>
      <c r="D730" s="891"/>
    </row>
    <row r="731" spans="1:4">
      <c r="A731" s="427"/>
      <c r="B731" s="27"/>
      <c r="C731" s="892" t="s">
        <v>408</v>
      </c>
      <c r="D731" s="893"/>
    </row>
    <row r="732" spans="1:4">
      <c r="A732" s="894" t="s">
        <v>409</v>
      </c>
      <c r="B732" s="895"/>
      <c r="C732" s="895"/>
      <c r="D732" s="896"/>
    </row>
    <row r="733" spans="1:4">
      <c r="A733" s="424" t="s">
        <v>410</v>
      </c>
      <c r="B733" s="425"/>
      <c r="C733" s="425"/>
      <c r="D733" s="426"/>
    </row>
    <row r="734" spans="1:4">
      <c r="A734" s="424"/>
      <c r="B734" s="425"/>
      <c r="C734" s="425"/>
      <c r="D734" s="426"/>
    </row>
    <row r="735" spans="1:4">
      <c r="A735" s="424"/>
      <c r="B735" s="425"/>
      <c r="C735" s="425" t="s">
        <v>411</v>
      </c>
      <c r="D735" s="426"/>
    </row>
    <row r="736" spans="1:4">
      <c r="A736" s="427"/>
      <c r="B736" s="428"/>
      <c r="C736" s="393" t="s">
        <v>201</v>
      </c>
      <c r="D736" s="429"/>
    </row>
    <row r="737" spans="1:4">
      <c r="A737" s="427"/>
      <c r="B737" s="27"/>
      <c r="C737" s="27" t="s">
        <v>412</v>
      </c>
      <c r="D737" s="283"/>
    </row>
    <row r="738" spans="1:4">
      <c r="A738" s="427"/>
      <c r="B738" s="27"/>
      <c r="C738" s="897">
        <f>'0422Master'!F668</f>
        <v>0</v>
      </c>
      <c r="D738" s="898"/>
    </row>
    <row r="739" spans="1:4">
      <c r="A739" s="269" t="s">
        <v>352</v>
      </c>
      <c r="B739" s="27"/>
      <c r="C739" s="185">
        <f>'0422Master'!F669</f>
        <v>0</v>
      </c>
      <c r="D739" s="41"/>
    </row>
    <row r="740" spans="1:4" ht="15.75" thickBot="1">
      <c r="A740" s="269" t="s">
        <v>402</v>
      </c>
      <c r="B740" s="27"/>
      <c r="C740" s="185"/>
      <c r="D740" s="41"/>
    </row>
    <row r="741" spans="1:4" ht="15.75" thickBot="1">
      <c r="A741" s="288"/>
      <c r="B741" s="289" t="s">
        <v>413</v>
      </c>
      <c r="C741" s="289"/>
      <c r="D741" s="57"/>
    </row>
    <row r="742" spans="1:4">
      <c r="A742" s="269" t="s">
        <v>414</v>
      </c>
      <c r="B742" s="27"/>
      <c r="C742" s="185"/>
      <c r="D742" s="41"/>
    </row>
    <row r="743" spans="1:4">
      <c r="A743" s="269" t="s">
        <v>402</v>
      </c>
      <c r="B743" s="27"/>
      <c r="C743" s="185"/>
      <c r="D743" s="41"/>
    </row>
    <row r="744" spans="1:4" ht="15.75" thickBot="1">
      <c r="A744" s="291" t="s">
        <v>415</v>
      </c>
      <c r="B744" s="52"/>
      <c r="C744" s="52"/>
      <c r="D744" s="53" t="s">
        <v>416</v>
      </c>
    </row>
  </sheetData>
  <mergeCells count="484">
    <mergeCell ref="A40:B40"/>
    <mergeCell ref="C40:D40"/>
    <mergeCell ref="A41:B41"/>
    <mergeCell ref="C41:D41"/>
    <mergeCell ref="A52:D52"/>
    <mergeCell ref="C51:D51"/>
    <mergeCell ref="C58:D58"/>
    <mergeCell ref="A45:D45"/>
    <mergeCell ref="A48:B48"/>
    <mergeCell ref="C48:D48"/>
    <mergeCell ref="A49:B49"/>
    <mergeCell ref="C49:D49"/>
    <mergeCell ref="A50:B50"/>
    <mergeCell ref="C50:D50"/>
    <mergeCell ref="A35:B35"/>
    <mergeCell ref="C35:D35"/>
    <mergeCell ref="A36:B36"/>
    <mergeCell ref="C36:D36"/>
    <mergeCell ref="A37:B37"/>
    <mergeCell ref="C37:D37"/>
    <mergeCell ref="A38:B38"/>
    <mergeCell ref="C38:D38"/>
    <mergeCell ref="A39:B39"/>
    <mergeCell ref="C39:D39"/>
    <mergeCell ref="A29:D29"/>
    <mergeCell ref="A31:B31"/>
    <mergeCell ref="C31:D31"/>
    <mergeCell ref="A32:B32"/>
    <mergeCell ref="C32:D32"/>
    <mergeCell ref="A33:B33"/>
    <mergeCell ref="C33:D33"/>
    <mergeCell ref="A34:B34"/>
    <mergeCell ref="C34:D34"/>
    <mergeCell ref="A22:D22"/>
    <mergeCell ref="A1:D1"/>
    <mergeCell ref="A2:D2"/>
    <mergeCell ref="A3:D3"/>
    <mergeCell ref="A9:D9"/>
    <mergeCell ref="A11:D11"/>
    <mergeCell ref="A13:D13"/>
    <mergeCell ref="A15:D15"/>
    <mergeCell ref="A16:D16"/>
    <mergeCell ref="A18:D18"/>
    <mergeCell ref="A20:D20"/>
    <mergeCell ref="A81:D81"/>
    <mergeCell ref="A83:D83"/>
    <mergeCell ref="A84:D84"/>
    <mergeCell ref="A86:D86"/>
    <mergeCell ref="A88:D88"/>
    <mergeCell ref="A69:D69"/>
    <mergeCell ref="A70:D70"/>
    <mergeCell ref="A71:D71"/>
    <mergeCell ref="A77:D77"/>
    <mergeCell ref="A79:D79"/>
    <mergeCell ref="A101:B101"/>
    <mergeCell ref="C101:D101"/>
    <mergeCell ref="A102:B102"/>
    <mergeCell ref="C102:D102"/>
    <mergeCell ref="A103:B103"/>
    <mergeCell ref="C103:D103"/>
    <mergeCell ref="A90:D90"/>
    <mergeCell ref="A97:D97"/>
    <mergeCell ref="A99:B99"/>
    <mergeCell ref="C99:D99"/>
    <mergeCell ref="A100:B100"/>
    <mergeCell ref="C100:D100"/>
    <mergeCell ref="A107:B107"/>
    <mergeCell ref="C107:D107"/>
    <mergeCell ref="A108:B108"/>
    <mergeCell ref="C108:D108"/>
    <mergeCell ref="A109:B109"/>
    <mergeCell ref="C109:D109"/>
    <mergeCell ref="A104:B104"/>
    <mergeCell ref="C104:D104"/>
    <mergeCell ref="A105:B105"/>
    <mergeCell ref="C105:D105"/>
    <mergeCell ref="A106:B106"/>
    <mergeCell ref="C106:D106"/>
    <mergeCell ref="A118:B118"/>
    <mergeCell ref="C118:D118"/>
    <mergeCell ref="C119:D119"/>
    <mergeCell ref="A120:D120"/>
    <mergeCell ref="C126:D126"/>
    <mergeCell ref="A113:D113"/>
    <mergeCell ref="A116:B116"/>
    <mergeCell ref="C116:D116"/>
    <mergeCell ref="A117:B117"/>
    <mergeCell ref="C117:D117"/>
    <mergeCell ref="A149:D149"/>
    <mergeCell ref="A151:D151"/>
    <mergeCell ref="A152:D152"/>
    <mergeCell ref="A154:D154"/>
    <mergeCell ref="A156:D156"/>
    <mergeCell ref="A137:D137"/>
    <mergeCell ref="A138:D138"/>
    <mergeCell ref="A139:D139"/>
    <mergeCell ref="A145:D145"/>
    <mergeCell ref="A147:D147"/>
    <mergeCell ref="A169:B169"/>
    <mergeCell ref="C169:D169"/>
    <mergeCell ref="A170:B170"/>
    <mergeCell ref="C170:D170"/>
    <mergeCell ref="A171:B171"/>
    <mergeCell ref="C171:D171"/>
    <mergeCell ref="A158:D158"/>
    <mergeCell ref="A165:D165"/>
    <mergeCell ref="A167:B167"/>
    <mergeCell ref="C167:D167"/>
    <mergeCell ref="A168:B168"/>
    <mergeCell ref="C168:D168"/>
    <mergeCell ref="A175:B175"/>
    <mergeCell ref="C175:D175"/>
    <mergeCell ref="A176:B176"/>
    <mergeCell ref="C176:D176"/>
    <mergeCell ref="A177:B177"/>
    <mergeCell ref="C177:D177"/>
    <mergeCell ref="A172:B172"/>
    <mergeCell ref="C172:D172"/>
    <mergeCell ref="A173:B173"/>
    <mergeCell ref="C173:D173"/>
    <mergeCell ref="A174:B174"/>
    <mergeCell ref="C174:D174"/>
    <mergeCell ref="A186:B186"/>
    <mergeCell ref="C186:D186"/>
    <mergeCell ref="C187:D187"/>
    <mergeCell ref="A188:D188"/>
    <mergeCell ref="C194:D194"/>
    <mergeCell ref="A181:D181"/>
    <mergeCell ref="A184:B184"/>
    <mergeCell ref="C184:D184"/>
    <mergeCell ref="A185:B185"/>
    <mergeCell ref="C185:D185"/>
    <mergeCell ref="A217:D217"/>
    <mergeCell ref="A219:D219"/>
    <mergeCell ref="A220:D220"/>
    <mergeCell ref="A222:D222"/>
    <mergeCell ref="A224:D224"/>
    <mergeCell ref="A205:D205"/>
    <mergeCell ref="A206:D206"/>
    <mergeCell ref="A207:D207"/>
    <mergeCell ref="A213:D213"/>
    <mergeCell ref="A215:D215"/>
    <mergeCell ref="A237:B237"/>
    <mergeCell ref="C237:D237"/>
    <mergeCell ref="A238:B238"/>
    <mergeCell ref="C238:D238"/>
    <mergeCell ref="A239:B239"/>
    <mergeCell ref="C239:D239"/>
    <mergeCell ref="A226:D226"/>
    <mergeCell ref="A233:D233"/>
    <mergeCell ref="A235:B235"/>
    <mergeCell ref="C235:D235"/>
    <mergeCell ref="A236:B236"/>
    <mergeCell ref="C236:D236"/>
    <mergeCell ref="A243:B243"/>
    <mergeCell ref="C243:D243"/>
    <mergeCell ref="A244:B244"/>
    <mergeCell ref="C244:D244"/>
    <mergeCell ref="A245:B245"/>
    <mergeCell ref="C245:D245"/>
    <mergeCell ref="A240:B240"/>
    <mergeCell ref="C240:D240"/>
    <mergeCell ref="A241:B241"/>
    <mergeCell ref="C241:D241"/>
    <mergeCell ref="A242:B242"/>
    <mergeCell ref="C242:D242"/>
    <mergeCell ref="A254:B254"/>
    <mergeCell ref="C254:D254"/>
    <mergeCell ref="C255:D255"/>
    <mergeCell ref="A256:D256"/>
    <mergeCell ref="C262:D262"/>
    <mergeCell ref="A249:D249"/>
    <mergeCell ref="A252:B252"/>
    <mergeCell ref="C252:D252"/>
    <mergeCell ref="A253:B253"/>
    <mergeCell ref="C253:D253"/>
    <mergeCell ref="A285:D285"/>
    <mergeCell ref="A287:D287"/>
    <mergeCell ref="A288:D288"/>
    <mergeCell ref="A290:D290"/>
    <mergeCell ref="A292:D292"/>
    <mergeCell ref="A273:D273"/>
    <mergeCell ref="A274:D274"/>
    <mergeCell ref="A275:D275"/>
    <mergeCell ref="A281:D281"/>
    <mergeCell ref="A283:D283"/>
    <mergeCell ref="A305:B305"/>
    <mergeCell ref="C305:D305"/>
    <mergeCell ref="A306:B306"/>
    <mergeCell ref="C306:D306"/>
    <mergeCell ref="A307:B307"/>
    <mergeCell ref="C307:D307"/>
    <mergeCell ref="A294:D294"/>
    <mergeCell ref="A301:D301"/>
    <mergeCell ref="A303:B303"/>
    <mergeCell ref="C303:D303"/>
    <mergeCell ref="A304:B304"/>
    <mergeCell ref="C304:D304"/>
    <mergeCell ref="A311:B311"/>
    <mergeCell ref="C311:D311"/>
    <mergeCell ref="A312:B312"/>
    <mergeCell ref="C312:D312"/>
    <mergeCell ref="A313:B313"/>
    <mergeCell ref="C313:D313"/>
    <mergeCell ref="A308:B308"/>
    <mergeCell ref="C308:D308"/>
    <mergeCell ref="A309:B309"/>
    <mergeCell ref="C309:D309"/>
    <mergeCell ref="A310:B310"/>
    <mergeCell ref="C310:D310"/>
    <mergeCell ref="A322:B322"/>
    <mergeCell ref="C322:D322"/>
    <mergeCell ref="C323:D323"/>
    <mergeCell ref="A324:D324"/>
    <mergeCell ref="C330:D330"/>
    <mergeCell ref="A317:D317"/>
    <mergeCell ref="A320:B320"/>
    <mergeCell ref="C320:D320"/>
    <mergeCell ref="A321:B321"/>
    <mergeCell ref="C321:D321"/>
    <mergeCell ref="A353:D353"/>
    <mergeCell ref="A355:D355"/>
    <mergeCell ref="A356:D356"/>
    <mergeCell ref="A358:D358"/>
    <mergeCell ref="A360:D360"/>
    <mergeCell ref="A341:D341"/>
    <mergeCell ref="A342:D342"/>
    <mergeCell ref="A343:D343"/>
    <mergeCell ref="A349:D349"/>
    <mergeCell ref="A351:D351"/>
    <mergeCell ref="A373:B373"/>
    <mergeCell ref="C373:D373"/>
    <mergeCell ref="A374:B374"/>
    <mergeCell ref="C374:D374"/>
    <mergeCell ref="A375:B375"/>
    <mergeCell ref="C375:D375"/>
    <mergeCell ref="A362:D362"/>
    <mergeCell ref="A369:D369"/>
    <mergeCell ref="A371:B371"/>
    <mergeCell ref="C371:D371"/>
    <mergeCell ref="A372:B372"/>
    <mergeCell ref="C372:D372"/>
    <mergeCell ref="A379:B379"/>
    <mergeCell ref="C379:D379"/>
    <mergeCell ref="A380:B380"/>
    <mergeCell ref="C380:D380"/>
    <mergeCell ref="A381:B381"/>
    <mergeCell ref="C381:D381"/>
    <mergeCell ref="A376:B376"/>
    <mergeCell ref="C376:D376"/>
    <mergeCell ref="A377:B377"/>
    <mergeCell ref="C377:D377"/>
    <mergeCell ref="A378:B378"/>
    <mergeCell ref="C378:D378"/>
    <mergeCell ref="A390:B390"/>
    <mergeCell ref="C390:D390"/>
    <mergeCell ref="C391:D391"/>
    <mergeCell ref="A392:D392"/>
    <mergeCell ref="C398:D398"/>
    <mergeCell ref="A385:D385"/>
    <mergeCell ref="A388:B388"/>
    <mergeCell ref="C388:D388"/>
    <mergeCell ref="A389:B389"/>
    <mergeCell ref="C389:D389"/>
    <mergeCell ref="A421:D421"/>
    <mergeCell ref="A423:D423"/>
    <mergeCell ref="A424:D424"/>
    <mergeCell ref="A426:D426"/>
    <mergeCell ref="A428:D428"/>
    <mergeCell ref="A409:D409"/>
    <mergeCell ref="A410:D410"/>
    <mergeCell ref="A411:D411"/>
    <mergeCell ref="A417:D417"/>
    <mergeCell ref="A419:D419"/>
    <mergeCell ref="A441:B441"/>
    <mergeCell ref="C441:D441"/>
    <mergeCell ref="A442:B442"/>
    <mergeCell ref="C442:D442"/>
    <mergeCell ref="A443:B443"/>
    <mergeCell ref="C443:D443"/>
    <mergeCell ref="A430:D430"/>
    <mergeCell ref="A437:D437"/>
    <mergeCell ref="A439:B439"/>
    <mergeCell ref="C439:D439"/>
    <mergeCell ref="A440:B440"/>
    <mergeCell ref="C440:D440"/>
    <mergeCell ref="A447:B447"/>
    <mergeCell ref="C447:D447"/>
    <mergeCell ref="A448:B448"/>
    <mergeCell ref="C448:D448"/>
    <mergeCell ref="A449:B449"/>
    <mergeCell ref="C449:D449"/>
    <mergeCell ref="A444:B444"/>
    <mergeCell ref="C444:D444"/>
    <mergeCell ref="A445:B445"/>
    <mergeCell ref="C445:D445"/>
    <mergeCell ref="A446:B446"/>
    <mergeCell ref="C446:D446"/>
    <mergeCell ref="A458:B458"/>
    <mergeCell ref="C458:D458"/>
    <mergeCell ref="C459:D459"/>
    <mergeCell ref="A460:D460"/>
    <mergeCell ref="C466:D466"/>
    <mergeCell ref="A453:D453"/>
    <mergeCell ref="A456:B456"/>
    <mergeCell ref="C456:D456"/>
    <mergeCell ref="A457:B457"/>
    <mergeCell ref="C457:D457"/>
    <mergeCell ref="A489:D489"/>
    <mergeCell ref="A491:D491"/>
    <mergeCell ref="A492:D492"/>
    <mergeCell ref="A494:D494"/>
    <mergeCell ref="A496:D496"/>
    <mergeCell ref="A477:D477"/>
    <mergeCell ref="A478:D478"/>
    <mergeCell ref="A479:D479"/>
    <mergeCell ref="A485:D485"/>
    <mergeCell ref="A487:D487"/>
    <mergeCell ref="A509:B509"/>
    <mergeCell ref="C509:D509"/>
    <mergeCell ref="A510:B510"/>
    <mergeCell ref="C510:D510"/>
    <mergeCell ref="A511:B511"/>
    <mergeCell ref="C511:D511"/>
    <mergeCell ref="A498:D498"/>
    <mergeCell ref="A505:D505"/>
    <mergeCell ref="A507:B507"/>
    <mergeCell ref="C507:D507"/>
    <mergeCell ref="A508:B508"/>
    <mergeCell ref="C508:D508"/>
    <mergeCell ref="A515:B515"/>
    <mergeCell ref="C515:D515"/>
    <mergeCell ref="A516:B516"/>
    <mergeCell ref="C516:D516"/>
    <mergeCell ref="A517:B517"/>
    <mergeCell ref="C517:D517"/>
    <mergeCell ref="A512:B512"/>
    <mergeCell ref="C512:D512"/>
    <mergeCell ref="A513:B513"/>
    <mergeCell ref="C513:D513"/>
    <mergeCell ref="A514:B514"/>
    <mergeCell ref="C514:D514"/>
    <mergeCell ref="A526:B526"/>
    <mergeCell ref="C526:D526"/>
    <mergeCell ref="C527:D527"/>
    <mergeCell ref="A528:D528"/>
    <mergeCell ref="C534:D534"/>
    <mergeCell ref="A521:D521"/>
    <mergeCell ref="A524:B524"/>
    <mergeCell ref="C524:D524"/>
    <mergeCell ref="A525:B525"/>
    <mergeCell ref="C525:D525"/>
    <mergeCell ref="A557:D557"/>
    <mergeCell ref="A559:D559"/>
    <mergeCell ref="A560:D560"/>
    <mergeCell ref="A562:D562"/>
    <mergeCell ref="A564:D564"/>
    <mergeCell ref="A545:D545"/>
    <mergeCell ref="A546:D546"/>
    <mergeCell ref="A547:D547"/>
    <mergeCell ref="A553:D553"/>
    <mergeCell ref="A555:D555"/>
    <mergeCell ref="A577:B577"/>
    <mergeCell ref="C577:D577"/>
    <mergeCell ref="A578:B578"/>
    <mergeCell ref="C578:D578"/>
    <mergeCell ref="A579:B579"/>
    <mergeCell ref="C579:D579"/>
    <mergeCell ref="A566:D566"/>
    <mergeCell ref="A573:D573"/>
    <mergeCell ref="A575:B575"/>
    <mergeCell ref="C575:D575"/>
    <mergeCell ref="A576:B576"/>
    <mergeCell ref="C576:D576"/>
    <mergeCell ref="A583:B583"/>
    <mergeCell ref="C583:D583"/>
    <mergeCell ref="A584:B584"/>
    <mergeCell ref="C584:D584"/>
    <mergeCell ref="A585:B585"/>
    <mergeCell ref="C585:D585"/>
    <mergeCell ref="A580:B580"/>
    <mergeCell ref="C580:D580"/>
    <mergeCell ref="A581:B581"/>
    <mergeCell ref="C581:D581"/>
    <mergeCell ref="A582:B582"/>
    <mergeCell ref="C582:D582"/>
    <mergeCell ref="A594:B594"/>
    <mergeCell ref="C594:D594"/>
    <mergeCell ref="C595:D595"/>
    <mergeCell ref="A596:D596"/>
    <mergeCell ref="C602:D602"/>
    <mergeCell ref="A589:D589"/>
    <mergeCell ref="A592:B592"/>
    <mergeCell ref="C592:D592"/>
    <mergeCell ref="A593:B593"/>
    <mergeCell ref="C593:D593"/>
    <mergeCell ref="A625:D625"/>
    <mergeCell ref="A627:D627"/>
    <mergeCell ref="A628:D628"/>
    <mergeCell ref="A630:D630"/>
    <mergeCell ref="A632:D632"/>
    <mergeCell ref="A613:D613"/>
    <mergeCell ref="A614:D614"/>
    <mergeCell ref="A615:D615"/>
    <mergeCell ref="A621:D621"/>
    <mergeCell ref="A623:D623"/>
    <mergeCell ref="A645:B645"/>
    <mergeCell ref="C645:D645"/>
    <mergeCell ref="A646:B646"/>
    <mergeCell ref="C646:D646"/>
    <mergeCell ref="A647:B647"/>
    <mergeCell ref="C647:D647"/>
    <mergeCell ref="A634:D634"/>
    <mergeCell ref="A641:D641"/>
    <mergeCell ref="A643:B643"/>
    <mergeCell ref="C643:D643"/>
    <mergeCell ref="A644:B644"/>
    <mergeCell ref="C644:D644"/>
    <mergeCell ref="A651:B651"/>
    <mergeCell ref="C651:D651"/>
    <mergeCell ref="A652:B652"/>
    <mergeCell ref="C652:D652"/>
    <mergeCell ref="A653:B653"/>
    <mergeCell ref="C653:D653"/>
    <mergeCell ref="A648:B648"/>
    <mergeCell ref="C648:D648"/>
    <mergeCell ref="A649:B649"/>
    <mergeCell ref="C649:D649"/>
    <mergeCell ref="A650:B650"/>
    <mergeCell ref="C650:D650"/>
    <mergeCell ref="A662:B662"/>
    <mergeCell ref="C662:D662"/>
    <mergeCell ref="C663:D663"/>
    <mergeCell ref="A664:D664"/>
    <mergeCell ref="C670:D670"/>
    <mergeCell ref="A657:D657"/>
    <mergeCell ref="A660:B660"/>
    <mergeCell ref="C660:D660"/>
    <mergeCell ref="A661:B661"/>
    <mergeCell ref="C661:D661"/>
    <mergeCell ref="A693:D693"/>
    <mergeCell ref="A695:D695"/>
    <mergeCell ref="A696:D696"/>
    <mergeCell ref="A698:D698"/>
    <mergeCell ref="A700:D700"/>
    <mergeCell ref="A681:D681"/>
    <mergeCell ref="A682:D682"/>
    <mergeCell ref="A683:D683"/>
    <mergeCell ref="A689:D689"/>
    <mergeCell ref="A691:D691"/>
    <mergeCell ref="A713:B713"/>
    <mergeCell ref="C713:D713"/>
    <mergeCell ref="A714:B714"/>
    <mergeCell ref="C714:D714"/>
    <mergeCell ref="A715:B715"/>
    <mergeCell ref="C715:D715"/>
    <mergeCell ref="A702:D702"/>
    <mergeCell ref="A709:D709"/>
    <mergeCell ref="A711:B711"/>
    <mergeCell ref="C711:D711"/>
    <mergeCell ref="A712:B712"/>
    <mergeCell ref="C712:D712"/>
    <mergeCell ref="A719:B719"/>
    <mergeCell ref="C719:D719"/>
    <mergeCell ref="A720:B720"/>
    <mergeCell ref="C720:D720"/>
    <mergeCell ref="A721:B721"/>
    <mergeCell ref="C721:D721"/>
    <mergeCell ref="A716:B716"/>
    <mergeCell ref="C716:D716"/>
    <mergeCell ref="A717:B717"/>
    <mergeCell ref="C717:D717"/>
    <mergeCell ref="A718:B718"/>
    <mergeCell ref="C718:D718"/>
    <mergeCell ref="A730:B730"/>
    <mergeCell ref="C730:D730"/>
    <mergeCell ref="C731:D731"/>
    <mergeCell ref="A732:D732"/>
    <mergeCell ref="C738:D738"/>
    <mergeCell ref="A725:D725"/>
    <mergeCell ref="A728:B728"/>
    <mergeCell ref="C728:D728"/>
    <mergeCell ref="A729:B729"/>
    <mergeCell ref="C729:D729"/>
  </mergeCells>
  <pageMargins left="0.78" right="0.70866141732283472" top="0.74803149606299213" bottom="0.74803149606299213" header="0.31496062992125984" footer="0.31496062992125984"/>
  <pageSetup scale="6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3:K56"/>
  <sheetViews>
    <sheetView topLeftCell="A7" workbookViewId="0">
      <selection activeCell="J20" sqref="J20"/>
    </sheetView>
  </sheetViews>
  <sheetFormatPr defaultRowHeight="15"/>
  <cols>
    <col min="1" max="1" width="5.140625" customWidth="1"/>
    <col min="5" max="5" width="22" customWidth="1"/>
    <col min="10" max="10" width="22.140625" customWidth="1"/>
    <col min="11" max="11" width="16.85546875" customWidth="1"/>
  </cols>
  <sheetData>
    <row r="3" spans="1:11" ht="15.75" thickBot="1"/>
    <row r="4" spans="1:11" ht="26.25">
      <c r="A4" s="96"/>
      <c r="B4" s="760" t="s">
        <v>418</v>
      </c>
      <c r="C4" s="760"/>
      <c r="D4" s="760"/>
      <c r="E4" s="760"/>
      <c r="F4" s="760"/>
      <c r="G4" s="760"/>
      <c r="H4" s="760"/>
      <c r="I4" s="760"/>
      <c r="J4" s="760"/>
      <c r="K4" s="98"/>
    </row>
    <row r="5" spans="1:11">
      <c r="A5" s="40"/>
      <c r="B5" s="767" t="s">
        <v>419</v>
      </c>
      <c r="C5" s="767"/>
      <c r="D5" s="767"/>
      <c r="E5" s="767"/>
      <c r="F5" s="767"/>
      <c r="G5" s="767"/>
      <c r="H5" s="767"/>
      <c r="I5" s="767"/>
      <c r="J5" s="767"/>
      <c r="K5" s="41"/>
    </row>
    <row r="6" spans="1:11">
      <c r="A6" s="40"/>
      <c r="B6" s="395"/>
      <c r="C6" s="395"/>
      <c r="D6" s="395"/>
      <c r="E6" s="395"/>
      <c r="F6" s="395"/>
      <c r="G6" s="395"/>
      <c r="H6" s="395"/>
      <c r="I6" s="395"/>
      <c r="J6" s="395"/>
      <c r="K6" s="41"/>
    </row>
    <row r="7" spans="1:11" ht="23.25">
      <c r="A7" s="40"/>
      <c r="B7" s="925" t="s">
        <v>420</v>
      </c>
      <c r="C7" s="925"/>
      <c r="D7" s="925"/>
      <c r="E7" s="925"/>
      <c r="F7" s="925"/>
      <c r="G7" s="925"/>
      <c r="H7" s="925"/>
      <c r="I7" s="925"/>
      <c r="J7" s="925"/>
      <c r="K7" s="41"/>
    </row>
    <row r="8" spans="1:11">
      <c r="A8" s="40"/>
      <c r="B8" s="767"/>
      <c r="C8" s="767"/>
      <c r="D8" s="767"/>
      <c r="E8" s="767"/>
      <c r="F8" s="767"/>
      <c r="G8" s="767"/>
      <c r="H8" s="767"/>
      <c r="I8" s="767"/>
      <c r="J8" s="767"/>
      <c r="K8" s="41"/>
    </row>
    <row r="9" spans="1:11" ht="15.75" thickBot="1">
      <c r="A9" s="40"/>
      <c r="B9" s="923" t="s">
        <v>218</v>
      </c>
      <c r="C9" s="923"/>
      <c r="D9" s="923"/>
      <c r="E9" s="923"/>
      <c r="F9" s="431"/>
      <c r="G9" s="924" t="s">
        <v>421</v>
      </c>
      <c r="H9" s="924"/>
      <c r="I9" s="924"/>
      <c r="J9" s="924"/>
      <c r="K9" s="41"/>
    </row>
    <row r="10" spans="1:11">
      <c r="A10" s="40"/>
      <c r="B10" s="128"/>
      <c r="C10" s="295"/>
      <c r="D10" s="295"/>
      <c r="E10" s="296"/>
      <c r="F10" s="395"/>
      <c r="G10" s="128"/>
      <c r="H10" s="295"/>
      <c r="I10" s="295"/>
      <c r="J10" s="296"/>
      <c r="K10" s="41"/>
    </row>
    <row r="11" spans="1:11">
      <c r="A11" s="40"/>
      <c r="B11" s="99" t="str">
        <f>'0422Master'!F5</f>
        <v>Burgeon IT Services Pvt.Ltd.</v>
      </c>
      <c r="C11" s="100"/>
      <c r="D11" s="100"/>
      <c r="E11" s="101"/>
      <c r="F11" s="395"/>
      <c r="G11" s="99" t="str">
        <f>'0422Master'!AO5</f>
        <v>Burgeon IT Services Pvt.Ltd.</v>
      </c>
      <c r="H11" s="100"/>
      <c r="I11" s="100"/>
      <c r="J11" s="101"/>
      <c r="K11" s="41"/>
    </row>
    <row r="12" spans="1:11">
      <c r="A12" s="40"/>
      <c r="B12" s="99"/>
      <c r="C12" s="100"/>
      <c r="D12" s="100"/>
      <c r="E12" s="101"/>
      <c r="F12" s="395"/>
      <c r="G12" s="99"/>
      <c r="H12" s="100"/>
      <c r="I12" s="100"/>
      <c r="J12" s="101"/>
      <c r="K12" s="41"/>
    </row>
    <row r="13" spans="1:11">
      <c r="A13" s="40"/>
      <c r="B13" s="99" t="str">
        <f>'0422Master'!F6</f>
        <v>Siri Mansion LIGB 436 Dr.A S Rao Nagar,Hyderabad</v>
      </c>
      <c r="C13" s="100"/>
      <c r="D13" s="100"/>
      <c r="E13" s="101"/>
      <c r="F13" s="395"/>
      <c r="G13" s="99" t="str">
        <f>'0422Master'!AO6</f>
        <v>Siri Mansion LIGB 436 Dr.A S Rao Nagar,Hyderabad</v>
      </c>
      <c r="H13" s="100"/>
      <c r="I13" s="100"/>
      <c r="J13" s="101"/>
      <c r="K13" s="41"/>
    </row>
    <row r="14" spans="1:11">
      <c r="A14" s="40"/>
      <c r="B14" s="99"/>
      <c r="C14" s="100"/>
      <c r="D14" s="100"/>
      <c r="E14" s="101"/>
      <c r="F14" s="395"/>
      <c r="G14" s="99"/>
      <c r="H14" s="100"/>
      <c r="I14" s="100"/>
      <c r="J14" s="101"/>
      <c r="K14" s="41"/>
    </row>
    <row r="15" spans="1:11" ht="15.75" thickBot="1">
      <c r="A15" s="40"/>
      <c r="B15" s="103"/>
      <c r="C15" s="55"/>
      <c r="D15" s="55"/>
      <c r="E15" s="104"/>
      <c r="F15" s="395"/>
      <c r="G15" s="103"/>
      <c r="H15" s="55"/>
      <c r="I15" s="55"/>
      <c r="J15" s="104"/>
      <c r="K15" s="41"/>
    </row>
    <row r="16" spans="1:11">
      <c r="A16" s="40"/>
      <c r="B16" s="27"/>
      <c r="C16" s="27"/>
      <c r="D16" s="27"/>
      <c r="E16" s="27"/>
      <c r="F16" s="27"/>
      <c r="G16" s="27"/>
      <c r="H16" s="27"/>
      <c r="I16" s="27"/>
      <c r="J16" s="27"/>
      <c r="K16" s="41"/>
    </row>
    <row r="17" spans="1:11" ht="15.75" thickBot="1">
      <c r="A17" s="40"/>
      <c r="B17" s="923" t="s">
        <v>422</v>
      </c>
      <c r="C17" s="923"/>
      <c r="D17" s="923"/>
      <c r="E17" s="923"/>
      <c r="F17" s="431"/>
      <c r="G17" s="924" t="s">
        <v>423</v>
      </c>
      <c r="H17" s="924"/>
      <c r="I17" s="924"/>
      <c r="J17" s="924"/>
      <c r="K17" s="41"/>
    </row>
    <row r="18" spans="1:11">
      <c r="A18" s="40"/>
      <c r="B18" s="128"/>
      <c r="C18" s="295"/>
      <c r="D18" s="295"/>
      <c r="E18" s="296"/>
      <c r="F18" s="395"/>
      <c r="G18" s="128"/>
      <c r="H18" s="295"/>
      <c r="I18" s="295"/>
      <c r="J18" s="296"/>
      <c r="K18" s="41"/>
    </row>
    <row r="19" spans="1:11">
      <c r="A19" s="40"/>
      <c r="B19" s="99"/>
      <c r="C19" s="100"/>
      <c r="D19" s="100"/>
      <c r="E19" s="101"/>
      <c r="F19" s="395"/>
      <c r="G19" s="99" t="str">
        <f>'0422Master'!AO8</f>
        <v>INFOSYS LIMITED, IL BHUBANESHWAR-STP,UNIT-II</v>
      </c>
      <c r="H19" s="100"/>
      <c r="I19" s="100"/>
      <c r="J19" s="101"/>
      <c r="K19" s="41"/>
    </row>
    <row r="20" spans="1:11">
      <c r="A20" s="40"/>
      <c r="B20" s="99"/>
      <c r="C20" s="100"/>
      <c r="D20" s="100"/>
      <c r="E20" s="101"/>
      <c r="F20" s="395"/>
      <c r="G20" s="99"/>
      <c r="H20" s="100"/>
      <c r="I20" s="100"/>
      <c r="J20" s="101"/>
      <c r="K20" s="41"/>
    </row>
    <row r="21" spans="1:11">
      <c r="A21" s="40"/>
      <c r="B21" s="99" t="str">
        <f>'0422Master'!F8</f>
        <v>IT SUPPORTIVE SERVICES &amp; BHUBANESWAR</v>
      </c>
      <c r="C21" s="100"/>
      <c r="D21" s="100"/>
      <c r="E21" s="101"/>
      <c r="F21" s="395"/>
      <c r="G21" s="99" t="str">
        <f>'0422Master'!AO10</f>
        <v>Plot No E/4,Info city,Chandaka Industrial, Bhubaneswar,Odisha - 751024</v>
      </c>
      <c r="H21" s="100"/>
      <c r="I21" s="100"/>
      <c r="J21" s="101"/>
      <c r="K21" s="41"/>
    </row>
    <row r="22" spans="1:11">
      <c r="A22" s="40"/>
      <c r="B22" s="99"/>
      <c r="C22" s="100"/>
      <c r="D22" s="100"/>
      <c r="E22" s="101"/>
      <c r="F22" s="395"/>
      <c r="G22" s="99"/>
      <c r="H22" s="100"/>
      <c r="I22" s="100"/>
      <c r="J22" s="101"/>
      <c r="K22" s="41"/>
    </row>
    <row r="23" spans="1:11" ht="15.75" thickBot="1">
      <c r="A23" s="40"/>
      <c r="B23" s="103"/>
      <c r="C23" s="55"/>
      <c r="D23" s="55"/>
      <c r="E23" s="104"/>
      <c r="F23" s="395"/>
      <c r="G23" s="103"/>
      <c r="H23" s="55"/>
      <c r="I23" s="55"/>
      <c r="J23" s="104"/>
      <c r="K23" s="41"/>
    </row>
    <row r="24" spans="1:11">
      <c r="A24" s="40"/>
      <c r="B24" s="27"/>
      <c r="C24" s="27"/>
      <c r="D24" s="27"/>
      <c r="E24" s="27"/>
      <c r="F24" s="27"/>
      <c r="G24" s="27"/>
      <c r="H24" s="27"/>
      <c r="I24" s="27"/>
      <c r="J24" s="27"/>
      <c r="K24" s="41"/>
    </row>
    <row r="25" spans="1:11">
      <c r="A25" s="40"/>
      <c r="B25" s="27"/>
      <c r="C25" s="27"/>
      <c r="D25" s="27"/>
      <c r="E25" s="27"/>
      <c r="F25" s="27"/>
      <c r="G25" s="27"/>
      <c r="H25" s="27"/>
      <c r="I25" s="27"/>
      <c r="J25" s="27"/>
      <c r="K25" s="41"/>
    </row>
    <row r="26" spans="1:11">
      <c r="A26" s="40"/>
      <c r="B26" s="926" t="s">
        <v>424</v>
      </c>
      <c r="C26" s="926"/>
      <c r="D26" s="926"/>
      <c r="E26" s="926"/>
      <c r="F26" s="46"/>
      <c r="G26" s="46"/>
      <c r="H26" s="46"/>
      <c r="I26" s="46"/>
      <c r="J26" s="46"/>
      <c r="K26" s="41"/>
    </row>
    <row r="27" spans="1:11">
      <c r="A27" s="40"/>
      <c r="B27" s="430"/>
      <c r="C27" s="430"/>
      <c r="D27" s="430"/>
      <c r="E27" s="430"/>
      <c r="F27" s="79"/>
      <c r="G27" s="79"/>
      <c r="H27" s="79"/>
      <c r="I27" s="79"/>
      <c r="J27" s="79"/>
      <c r="K27" s="41"/>
    </row>
    <row r="28" spans="1:11">
      <c r="A28" s="40"/>
      <c r="B28" s="430"/>
      <c r="C28" s="430"/>
      <c r="D28" s="430"/>
      <c r="E28" s="430"/>
      <c r="F28" s="46"/>
      <c r="G28" s="46"/>
      <c r="H28" s="46"/>
      <c r="I28" s="46"/>
      <c r="J28" s="46"/>
      <c r="K28" s="41"/>
    </row>
    <row r="29" spans="1:11">
      <c r="A29" s="40"/>
      <c r="B29" s="430"/>
      <c r="C29" s="430"/>
      <c r="D29" s="430"/>
      <c r="E29" s="430"/>
      <c r="F29" s="79"/>
      <c r="G29" s="79"/>
      <c r="H29" s="79"/>
      <c r="I29" s="79"/>
      <c r="J29" s="79"/>
      <c r="K29" s="41"/>
    </row>
    <row r="30" spans="1:11">
      <c r="A30" s="40"/>
      <c r="B30" s="430"/>
      <c r="C30" s="430"/>
      <c r="D30" s="430"/>
      <c r="E30" s="430"/>
      <c r="F30" s="27"/>
      <c r="G30" s="27"/>
      <c r="H30" s="27"/>
      <c r="I30" s="27"/>
      <c r="J30" s="27"/>
      <c r="K30" s="41"/>
    </row>
    <row r="31" spans="1:11">
      <c r="A31" s="40"/>
      <c r="B31" s="926" t="s">
        <v>425</v>
      </c>
      <c r="C31" s="926"/>
      <c r="D31" s="926"/>
      <c r="E31" s="926"/>
      <c r="F31" s="46"/>
      <c r="G31" s="46"/>
      <c r="H31" s="46"/>
      <c r="I31" s="46"/>
      <c r="J31" s="46"/>
      <c r="K31" s="41"/>
    </row>
    <row r="32" spans="1:11">
      <c r="A32" s="40"/>
      <c r="B32" s="430"/>
      <c r="C32" s="430"/>
      <c r="D32" s="430"/>
      <c r="E32" s="430"/>
      <c r="F32" s="27"/>
      <c r="G32" s="27"/>
      <c r="H32" s="27"/>
      <c r="I32" s="27"/>
      <c r="J32" s="27"/>
      <c r="K32" s="41"/>
    </row>
    <row r="33" spans="1:11">
      <c r="A33" s="40"/>
      <c r="B33" s="926" t="s">
        <v>426</v>
      </c>
      <c r="C33" s="926"/>
      <c r="D33" s="926"/>
      <c r="E33" s="926"/>
      <c r="F33" s="46"/>
      <c r="G33" s="46"/>
      <c r="H33" s="46"/>
      <c r="I33" s="46"/>
      <c r="J33" s="46"/>
      <c r="K33" s="41"/>
    </row>
    <row r="34" spans="1:11">
      <c r="A34" s="40"/>
      <c r="B34" s="430"/>
      <c r="C34" s="430"/>
      <c r="D34" s="430"/>
      <c r="E34" s="430"/>
      <c r="F34" s="27"/>
      <c r="G34" s="27"/>
      <c r="H34" s="27"/>
      <c r="I34" s="27"/>
      <c r="J34" s="27"/>
      <c r="K34" s="41"/>
    </row>
    <row r="35" spans="1:11">
      <c r="A35" s="40"/>
      <c r="B35" s="926" t="s">
        <v>427</v>
      </c>
      <c r="C35" s="926"/>
      <c r="D35" s="926"/>
      <c r="E35" s="926"/>
      <c r="F35" s="46"/>
      <c r="G35" s="46"/>
      <c r="H35" s="46"/>
      <c r="I35" s="46"/>
      <c r="J35" s="46"/>
      <c r="K35" s="41"/>
    </row>
    <row r="36" spans="1:11">
      <c r="A36" s="40"/>
      <c r="B36" s="430"/>
      <c r="C36" s="430"/>
      <c r="D36" s="430"/>
      <c r="E36" s="430"/>
      <c r="F36" s="27"/>
      <c r="G36" s="27"/>
      <c r="H36" s="27"/>
      <c r="I36" s="27"/>
      <c r="J36" s="27"/>
      <c r="K36" s="41"/>
    </row>
    <row r="37" spans="1:11" ht="15.75" thickBot="1">
      <c r="A37" s="40"/>
      <c r="B37" s="27"/>
      <c r="C37" s="27"/>
      <c r="D37" s="27"/>
      <c r="E37" s="27"/>
      <c r="F37" s="27"/>
      <c r="G37" s="27"/>
      <c r="H37" s="27"/>
      <c r="I37" s="27"/>
      <c r="J37" s="27"/>
      <c r="K37" s="41"/>
    </row>
    <row r="38" spans="1:11">
      <c r="A38" s="40"/>
      <c r="B38" s="927" t="s">
        <v>428</v>
      </c>
      <c r="C38" s="929" t="s">
        <v>429</v>
      </c>
      <c r="D38" s="929"/>
      <c r="E38" s="929" t="s">
        <v>430</v>
      </c>
      <c r="F38" s="929"/>
      <c r="G38" s="929" t="s">
        <v>431</v>
      </c>
      <c r="H38" s="929"/>
      <c r="I38" s="929"/>
      <c r="J38" s="931" t="s">
        <v>20</v>
      </c>
      <c r="K38" s="41"/>
    </row>
    <row r="39" spans="1:11">
      <c r="A39" s="40"/>
      <c r="B39" s="928"/>
      <c r="C39" s="930"/>
      <c r="D39" s="930"/>
      <c r="E39" s="930"/>
      <c r="F39" s="930"/>
      <c r="G39" s="930"/>
      <c r="H39" s="930"/>
      <c r="I39" s="930"/>
      <c r="J39" s="932"/>
      <c r="K39" s="41"/>
    </row>
    <row r="40" spans="1:11">
      <c r="A40" s="40"/>
      <c r="B40" s="928"/>
      <c r="C40" s="482" t="s">
        <v>82</v>
      </c>
      <c r="D40" s="482" t="s">
        <v>83</v>
      </c>
      <c r="E40" s="930"/>
      <c r="F40" s="930"/>
      <c r="G40" s="930"/>
      <c r="H40" s="930"/>
      <c r="I40" s="930"/>
      <c r="J40" s="932"/>
      <c r="K40" s="41"/>
    </row>
    <row r="41" spans="1:11">
      <c r="A41" s="40"/>
      <c r="B41" s="292">
        <v>1</v>
      </c>
      <c r="C41" s="483">
        <v>2</v>
      </c>
      <c r="D41" s="483">
        <v>3</v>
      </c>
      <c r="E41" s="933">
        <v>4</v>
      </c>
      <c r="F41" s="933"/>
      <c r="G41" s="933">
        <v>5</v>
      </c>
      <c r="H41" s="933"/>
      <c r="I41" s="933"/>
      <c r="J41" s="293">
        <v>6</v>
      </c>
      <c r="K41" s="41"/>
    </row>
    <row r="42" spans="1:11">
      <c r="A42" s="40"/>
      <c r="B42" s="483"/>
      <c r="C42" s="483"/>
      <c r="D42" s="483"/>
      <c r="E42" s="907"/>
      <c r="F42" s="907"/>
      <c r="G42" s="907"/>
      <c r="H42" s="907"/>
      <c r="I42" s="907"/>
      <c r="J42" s="483"/>
      <c r="K42" s="41"/>
    </row>
    <row r="43" spans="1:11">
      <c r="A43" s="40"/>
      <c r="B43" s="483"/>
      <c r="C43" s="483"/>
      <c r="D43" s="483"/>
      <c r="E43" s="907"/>
      <c r="F43" s="907"/>
      <c r="G43" s="907"/>
      <c r="H43" s="907"/>
      <c r="I43" s="907"/>
      <c r="J43" s="483"/>
      <c r="K43" s="41"/>
    </row>
    <row r="44" spans="1:11">
      <c r="A44" s="40"/>
      <c r="B44" s="483"/>
      <c r="C44" s="483"/>
      <c r="D44" s="483"/>
      <c r="E44" s="907"/>
      <c r="F44" s="907"/>
      <c r="G44" s="907"/>
      <c r="H44" s="907"/>
      <c r="I44" s="907"/>
      <c r="J44" s="483"/>
      <c r="K44" s="41"/>
    </row>
    <row r="45" spans="1:11">
      <c r="A45" s="40"/>
      <c r="B45" s="308"/>
      <c r="C45" s="308"/>
      <c r="D45" s="308"/>
      <c r="E45" s="907"/>
      <c r="F45" s="907"/>
      <c r="G45" s="907"/>
      <c r="H45" s="907"/>
      <c r="I45" s="907"/>
      <c r="J45" s="308"/>
      <c r="K45" s="41"/>
    </row>
    <row r="46" spans="1:11">
      <c r="A46" s="40"/>
      <c r="B46" s="308"/>
      <c r="C46" s="308"/>
      <c r="D46" s="308"/>
      <c r="E46" s="907"/>
      <c r="F46" s="907"/>
      <c r="G46" s="907"/>
      <c r="H46" s="907"/>
      <c r="I46" s="907"/>
      <c r="J46" s="308"/>
      <c r="K46" s="41"/>
    </row>
    <row r="47" spans="1:11">
      <c r="A47" s="40"/>
      <c r="B47" s="308"/>
      <c r="C47" s="308"/>
      <c r="D47" s="308"/>
      <c r="E47" s="907"/>
      <c r="F47" s="907"/>
      <c r="G47" s="907"/>
      <c r="H47" s="907"/>
      <c r="I47" s="907"/>
      <c r="J47" s="308"/>
      <c r="K47" s="41"/>
    </row>
    <row r="48" spans="1:11">
      <c r="A48" s="40"/>
      <c r="B48" s="308"/>
      <c r="C48" s="308"/>
      <c r="D48" s="308"/>
      <c r="E48" s="907"/>
      <c r="F48" s="907"/>
      <c r="G48" s="907"/>
      <c r="H48" s="907"/>
      <c r="I48" s="907"/>
      <c r="J48" s="308"/>
      <c r="K48" s="41"/>
    </row>
    <row r="49" spans="1:11">
      <c r="A49" s="40"/>
      <c r="B49" s="308"/>
      <c r="C49" s="308"/>
      <c r="D49" s="308"/>
      <c r="E49" s="907"/>
      <c r="F49" s="907"/>
      <c r="G49" s="907"/>
      <c r="H49" s="907"/>
      <c r="I49" s="907"/>
      <c r="J49" s="308"/>
      <c r="K49" s="41"/>
    </row>
    <row r="50" spans="1:11">
      <c r="A50" s="40"/>
      <c r="B50" s="308"/>
      <c r="C50" s="308"/>
      <c r="D50" s="308"/>
      <c r="E50" s="907"/>
      <c r="F50" s="907"/>
      <c r="G50" s="907"/>
      <c r="H50" s="907"/>
      <c r="I50" s="907"/>
      <c r="J50" s="308"/>
      <c r="K50" s="41"/>
    </row>
    <row r="51" spans="1:11">
      <c r="A51" s="40"/>
      <c r="B51" s="308"/>
      <c r="C51" s="308"/>
      <c r="D51" s="308"/>
      <c r="E51" s="907"/>
      <c r="F51" s="907"/>
      <c r="G51" s="907"/>
      <c r="H51" s="907"/>
      <c r="I51" s="907"/>
      <c r="J51" s="308"/>
      <c r="K51" s="41"/>
    </row>
    <row r="52" spans="1:11">
      <c r="A52" s="40"/>
      <c r="B52" s="308"/>
      <c r="C52" s="308"/>
      <c r="D52" s="308"/>
      <c r="E52" s="907"/>
      <c r="F52" s="907"/>
      <c r="G52" s="907"/>
      <c r="H52" s="907"/>
      <c r="I52" s="907"/>
      <c r="J52" s="308"/>
      <c r="K52" s="41"/>
    </row>
    <row r="53" spans="1:11">
      <c r="A53" s="40"/>
      <c r="B53" s="27"/>
      <c r="C53" s="27"/>
      <c r="D53" s="27"/>
      <c r="E53" s="27"/>
      <c r="F53" s="27"/>
      <c r="G53" s="27"/>
      <c r="H53" s="27"/>
      <c r="I53" s="27"/>
      <c r="J53" s="27"/>
      <c r="K53" s="41"/>
    </row>
    <row r="54" spans="1:11">
      <c r="A54" s="40"/>
      <c r="B54" s="27"/>
      <c r="C54" s="27"/>
      <c r="D54" s="27"/>
      <c r="E54" s="27"/>
      <c r="F54" s="27"/>
      <c r="G54" s="27"/>
      <c r="H54" s="27"/>
      <c r="I54" s="27"/>
      <c r="J54" s="27"/>
      <c r="K54" s="41"/>
    </row>
    <row r="55" spans="1:11" ht="15.75" thickBot="1">
      <c r="A55" s="40"/>
      <c r="B55" s="27"/>
      <c r="C55" s="27"/>
      <c r="D55" s="27"/>
      <c r="E55" s="27"/>
      <c r="F55" s="27"/>
      <c r="G55" s="27"/>
      <c r="H55" s="934"/>
      <c r="I55" s="934"/>
      <c r="J55" s="934"/>
      <c r="K55" s="41"/>
    </row>
    <row r="56" spans="1:11" ht="15.75" thickBot="1">
      <c r="A56" s="54"/>
      <c r="B56" s="52"/>
      <c r="C56" s="52"/>
      <c r="D56" s="52"/>
      <c r="E56" s="52"/>
      <c r="F56" s="52"/>
      <c r="G56" s="52"/>
      <c r="H56" s="294" t="s">
        <v>432</v>
      </c>
      <c r="I56" s="56"/>
      <c r="J56" s="56"/>
      <c r="K56" s="53"/>
    </row>
  </sheetData>
  <mergeCells count="42">
    <mergeCell ref="E52:F52"/>
    <mergeCell ref="G52:I52"/>
    <mergeCell ref="H55:J55"/>
    <mergeCell ref="E42:F42"/>
    <mergeCell ref="E43:F43"/>
    <mergeCell ref="E44:F44"/>
    <mergeCell ref="G42:I42"/>
    <mergeCell ref="G43:I43"/>
    <mergeCell ref="G44:I44"/>
    <mergeCell ref="E49:F49"/>
    <mergeCell ref="G49:I49"/>
    <mergeCell ref="E50:F50"/>
    <mergeCell ref="G50:I50"/>
    <mergeCell ref="E51:F51"/>
    <mergeCell ref="G51:I51"/>
    <mergeCell ref="E46:F46"/>
    <mergeCell ref="G46:I46"/>
    <mergeCell ref="E47:F47"/>
    <mergeCell ref="G47:I47"/>
    <mergeCell ref="E48:F48"/>
    <mergeCell ref="G48:I48"/>
    <mergeCell ref="G38:I40"/>
    <mergeCell ref="J38:J40"/>
    <mergeCell ref="E41:F41"/>
    <mergeCell ref="G41:I41"/>
    <mergeCell ref="E45:F45"/>
    <mergeCell ref="G45:I45"/>
    <mergeCell ref="B26:E26"/>
    <mergeCell ref="B31:E31"/>
    <mergeCell ref="B33:E33"/>
    <mergeCell ref="B35:E35"/>
    <mergeCell ref="B38:B40"/>
    <mergeCell ref="C38:D39"/>
    <mergeCell ref="E38:F40"/>
    <mergeCell ref="B17:E17"/>
    <mergeCell ref="G17:J17"/>
    <mergeCell ref="B4:J4"/>
    <mergeCell ref="B5:J5"/>
    <mergeCell ref="B7:J7"/>
    <mergeCell ref="B8:J8"/>
    <mergeCell ref="B9:E9"/>
    <mergeCell ref="G9:J9"/>
  </mergeCells>
  <pageMargins left="0.94488188976377963" right="0.70866141732283472" top="0.74803149606299213" bottom="0.74803149606299213" header="0.31496062992125984" footer="0.31496062992125984"/>
  <pageSetup scale="67"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ORRISA APRIL 22WM Reg</vt:lpstr>
      <vt:lpstr>0422Master</vt:lpstr>
      <vt:lpstr>04-22Equal remu</vt:lpstr>
      <vt:lpstr>04-22M Roll</vt:lpstr>
      <vt:lpstr>Leave Reg</vt:lpstr>
      <vt:lpstr>wages Reg</vt:lpstr>
      <vt:lpstr>Emp Cards</vt:lpstr>
      <vt:lpstr>wage sllips</vt:lpstr>
      <vt:lpstr>APRIL 22Bonus</vt:lpstr>
      <vt:lpstr>Ded</vt:lpstr>
      <vt:lpstr>Fines</vt:lpstr>
      <vt:lpstr>Advances</vt:lpstr>
      <vt:lpstr>Overtime</vt:lpstr>
      <vt:lpstr>Accident</vt:lpstr>
      <vt:lpstr>ESI cards Reg</vt:lpstr>
      <vt:lpstr>Form-I</vt:lpstr>
      <vt:lpstr>Form-2</vt:lpstr>
      <vt:lpstr>Form 11</vt:lpstr>
      <vt:lpstr>Form-F</vt:lpstr>
      <vt:lpstr>Serive Certificate</vt:lpstr>
      <vt:lpstr>Sheet1</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cp:lastModifiedBy>
  <cp:revision/>
  <cp:lastPrinted>2021-12-11T09:31:05Z</cp:lastPrinted>
  <dcterms:created xsi:type="dcterms:W3CDTF">2018-12-21T09:44:49Z</dcterms:created>
  <dcterms:modified xsi:type="dcterms:W3CDTF">2022-06-04T11:54:57Z</dcterms:modified>
</cp:coreProperties>
</file>