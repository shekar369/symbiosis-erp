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C:\Users\admin\Desktop\burgeon complted april 22\BURGEON-GURGOAN-APRIL 22\"/>
    </mc:Choice>
  </mc:AlternateContent>
  <xr:revisionPtr revIDLastSave="0" documentId="13_ncr:1_{5F76C87F-672F-439B-93EB-357B14B6291F}" xr6:coauthVersionLast="46" xr6:coauthVersionMax="46" xr10:uidLastSave="{00000000-0000-0000-0000-000000000000}"/>
  <bookViews>
    <workbookView xWindow="-120" yWindow="-120" windowWidth="15600" windowHeight="11160" tabRatio="800" firstSheet="2" activeTab="5" xr2:uid="{00000000-000D-0000-FFFF-FFFF00000000}"/>
  </bookViews>
  <sheets>
    <sheet name="GUREGOAN APRIL 22WM Reg" sheetId="15" r:id="rId1"/>
    <sheet name="04-22Master" sheetId="1" r:id="rId2"/>
    <sheet name="Eql remn" sheetId="13" r:id="rId3"/>
    <sheet name="04-22 Muster Roll" sheetId="2" r:id="rId4"/>
    <sheet name="04-22Leave Regr" sheetId="23" r:id="rId5"/>
    <sheet name="wages Reg" sheetId="3" r:id="rId6"/>
    <sheet name="04-22Empl Cards" sheetId="10" r:id="rId7"/>
    <sheet name="wage sllips" sheetId="4" r:id="rId8"/>
    <sheet name="04-22Bonus" sheetId="12" r:id="rId9"/>
    <sheet name="Ser Certi" sheetId="21" r:id="rId10"/>
    <sheet name="Deductions" sheetId="5" r:id="rId11"/>
    <sheet name="Fines" sheetId="7" r:id="rId12"/>
    <sheet name="Advances" sheetId="6" r:id="rId13"/>
    <sheet name="Overtime" sheetId="8" r:id="rId14"/>
    <sheet name="Accident" sheetId="9" r:id="rId15"/>
    <sheet name="ESI cards Reg" sheetId="16" r:id="rId16"/>
    <sheet name="Form-I" sheetId="19" r:id="rId17"/>
    <sheet name="Form-2" sheetId="20" r:id="rId18"/>
    <sheet name="Form 11" sheetId="17" r:id="rId19"/>
    <sheet name="Form-F" sheetId="18" r:id="rId20"/>
    <sheet name="Sheet1" sheetId="22" r:id="rId21"/>
  </sheets>
  <externalReferences>
    <externalReference r:id="rId22"/>
  </externalReferences>
  <definedNames>
    <definedName name="_xlnm._FilterDatabase" localSheetId="1" hidden="1">'04-22Master'!$A$14:$JD$15</definedName>
  </definedNames>
  <calcPr calcId="191029"/>
</workbook>
</file>

<file path=xl/calcChain.xml><?xml version="1.0" encoding="utf-8"?>
<calcChain xmlns="http://schemas.openxmlformats.org/spreadsheetml/2006/main">
  <c r="AI15" i="2" l="1"/>
  <c r="O16" i="23" l="1"/>
  <c r="O17" i="23" s="1"/>
  <c r="O18" i="23" s="1"/>
  <c r="AE22" i="1" l="1"/>
  <c r="D6" i="13" l="1"/>
  <c r="AA17" i="3" l="1"/>
  <c r="J85" i="10"/>
  <c r="C22" i="13"/>
  <c r="C16" i="13" s="1"/>
  <c r="D49" i="23"/>
  <c r="E47" i="23"/>
  <c r="E46" i="23"/>
  <c r="D22" i="13"/>
  <c r="C14" i="13" s="1"/>
  <c r="AM16" i="1"/>
  <c r="I47" i="23" l="1"/>
  <c r="F20" i="13" l="1"/>
  <c r="E5" i="23" l="1"/>
  <c r="I16" i="1" l="1"/>
  <c r="D8" i="23" s="1"/>
  <c r="H16" i="1"/>
  <c r="G16" i="1"/>
  <c r="F16" i="1"/>
  <c r="E16" i="1"/>
  <c r="H8" i="4" s="1"/>
  <c r="R8" i="4" s="1"/>
  <c r="D16" i="1"/>
  <c r="C16" i="1"/>
  <c r="B16" i="1"/>
  <c r="A16" i="1"/>
  <c r="J7" i="15"/>
  <c r="J8" i="15"/>
  <c r="P16" i="1" l="1"/>
  <c r="I6" i="23"/>
  <c r="H662" i="10"/>
  <c r="H571" i="10"/>
  <c r="H618" i="10"/>
  <c r="J617" i="10"/>
  <c r="J616" i="10"/>
  <c r="H666" i="10"/>
  <c r="H713" i="10"/>
  <c r="I816" i="10"/>
  <c r="E816" i="10"/>
  <c r="J815" i="10"/>
  <c r="J811" i="10"/>
  <c r="H809" i="10"/>
  <c r="H808" i="10"/>
  <c r="J807" i="10"/>
  <c r="J806" i="10"/>
  <c r="H805" i="10"/>
  <c r="H804" i="10"/>
  <c r="H803" i="10"/>
  <c r="H801" i="10"/>
  <c r="H799" i="10"/>
  <c r="H797" i="10"/>
  <c r="B798" i="10"/>
  <c r="B791" i="10"/>
  <c r="B789" i="10"/>
  <c r="I769" i="10"/>
  <c r="E769" i="10"/>
  <c r="H768" i="10"/>
  <c r="H764" i="10"/>
  <c r="H762" i="10"/>
  <c r="H761" i="10"/>
  <c r="H758" i="10"/>
  <c r="H757" i="10"/>
  <c r="H754" i="10"/>
  <c r="H756" i="10"/>
  <c r="H661" i="10"/>
  <c r="E20" i="13" l="1"/>
  <c r="H760" i="10"/>
  <c r="H759" i="10"/>
  <c r="G21" i="21" l="1"/>
  <c r="B21" i="21"/>
  <c r="G19" i="21"/>
  <c r="B13" i="21"/>
  <c r="B11" i="21"/>
  <c r="C739" i="18"/>
  <c r="C738" i="18"/>
  <c r="C688" i="18"/>
  <c r="A686" i="18"/>
  <c r="A685" i="18"/>
  <c r="C671" i="18"/>
  <c r="C670" i="18"/>
  <c r="C620" i="18"/>
  <c r="A618" i="18"/>
  <c r="A617" i="18"/>
  <c r="C603" i="18"/>
  <c r="B603" i="18"/>
  <c r="C602" i="18"/>
  <c r="B587" i="18"/>
  <c r="B604" i="18" s="1"/>
  <c r="B607" i="18" s="1"/>
  <c r="C585" i="18"/>
  <c r="C584" i="18"/>
  <c r="C583" i="18"/>
  <c r="C581" i="18"/>
  <c r="C580" i="18"/>
  <c r="C579" i="18"/>
  <c r="C576" i="18"/>
  <c r="C575" i="18"/>
  <c r="A569" i="18"/>
  <c r="C552" i="18"/>
  <c r="A550" i="18"/>
  <c r="A549" i="18"/>
  <c r="C535" i="18"/>
  <c r="B535" i="18"/>
  <c r="C534" i="18"/>
  <c r="B519" i="18"/>
  <c r="B536" i="18" s="1"/>
  <c r="B539" i="18" s="1"/>
  <c r="C517" i="18"/>
  <c r="C516" i="18"/>
  <c r="C515" i="18"/>
  <c r="C513" i="18"/>
  <c r="C512" i="18"/>
  <c r="C511" i="18"/>
  <c r="C508" i="18"/>
  <c r="C507" i="18"/>
  <c r="A501" i="18"/>
  <c r="C484" i="18"/>
  <c r="A482" i="18"/>
  <c r="A481" i="18"/>
  <c r="C467" i="18"/>
  <c r="B467" i="18"/>
  <c r="C466" i="18"/>
  <c r="B451" i="18"/>
  <c r="B468" i="18" s="1"/>
  <c r="B471" i="18" s="1"/>
  <c r="C449" i="18"/>
  <c r="C448" i="18"/>
  <c r="C447" i="18"/>
  <c r="C445" i="18"/>
  <c r="C444" i="18"/>
  <c r="C443" i="18"/>
  <c r="C440" i="18"/>
  <c r="C439" i="18"/>
  <c r="A433" i="18"/>
  <c r="C416" i="18"/>
  <c r="A414" i="18"/>
  <c r="A413" i="18"/>
  <c r="C399" i="18"/>
  <c r="B399" i="18"/>
  <c r="C398" i="18"/>
  <c r="B383" i="18"/>
  <c r="B400" i="18" s="1"/>
  <c r="B403" i="18" s="1"/>
  <c r="C381" i="18"/>
  <c r="C380" i="18"/>
  <c r="C379" i="18"/>
  <c r="C377" i="18"/>
  <c r="C376" i="18"/>
  <c r="C375" i="18"/>
  <c r="C372" i="18"/>
  <c r="C371" i="18"/>
  <c r="A365" i="18"/>
  <c r="C348" i="18"/>
  <c r="A346" i="18"/>
  <c r="A345" i="18"/>
  <c r="C331" i="18"/>
  <c r="B331" i="18"/>
  <c r="C330" i="18"/>
  <c r="B315" i="18"/>
  <c r="B332" i="18" s="1"/>
  <c r="B335" i="18" s="1"/>
  <c r="C313" i="18"/>
  <c r="C312" i="18"/>
  <c r="C311" i="18"/>
  <c r="C309" i="18"/>
  <c r="C308" i="18"/>
  <c r="C307" i="18"/>
  <c r="C304" i="18"/>
  <c r="C303" i="18"/>
  <c r="A297" i="18"/>
  <c r="C280" i="18"/>
  <c r="A278" i="18"/>
  <c r="A277" i="18"/>
  <c r="C263" i="18"/>
  <c r="B263" i="18"/>
  <c r="C262" i="18"/>
  <c r="B247" i="18"/>
  <c r="B264" i="18" s="1"/>
  <c r="B267" i="18" s="1"/>
  <c r="C245" i="18"/>
  <c r="C244" i="18"/>
  <c r="C243" i="18"/>
  <c r="C241" i="18"/>
  <c r="C240" i="18"/>
  <c r="C239" i="18"/>
  <c r="C236" i="18"/>
  <c r="C235" i="18"/>
  <c r="A229" i="18"/>
  <c r="C212" i="18"/>
  <c r="A210" i="18"/>
  <c r="A209" i="18"/>
  <c r="C195" i="18"/>
  <c r="B195" i="18"/>
  <c r="C194" i="18"/>
  <c r="B179" i="18"/>
  <c r="B196" i="18" s="1"/>
  <c r="B199" i="18" s="1"/>
  <c r="C177" i="18"/>
  <c r="C176" i="18"/>
  <c r="C175" i="18"/>
  <c r="C173" i="18"/>
  <c r="C172" i="18"/>
  <c r="C171" i="18"/>
  <c r="C168" i="18"/>
  <c r="C167" i="18"/>
  <c r="A161" i="18"/>
  <c r="C144" i="18"/>
  <c r="A142" i="18"/>
  <c r="A141" i="18"/>
  <c r="C127" i="18"/>
  <c r="B127" i="18"/>
  <c r="C126" i="18"/>
  <c r="B111" i="18"/>
  <c r="B128" i="18" s="1"/>
  <c r="B131" i="18" s="1"/>
  <c r="C109" i="18"/>
  <c r="C108" i="18"/>
  <c r="C107" i="18"/>
  <c r="C105" i="18"/>
  <c r="C104" i="18"/>
  <c r="C103" i="18"/>
  <c r="C100" i="18"/>
  <c r="C99" i="18"/>
  <c r="A93" i="18"/>
  <c r="C76" i="18"/>
  <c r="A74" i="18"/>
  <c r="A73" i="18"/>
  <c r="C59" i="18"/>
  <c r="B59" i="18"/>
  <c r="C58" i="18"/>
  <c r="B43" i="18"/>
  <c r="B60" i="18" s="1"/>
  <c r="B63" i="18" s="1"/>
  <c r="C41" i="18"/>
  <c r="C40" i="18"/>
  <c r="C39" i="18"/>
  <c r="C37" i="18"/>
  <c r="C36" i="18"/>
  <c r="C35" i="18"/>
  <c r="C32" i="18"/>
  <c r="C31" i="18"/>
  <c r="A25" i="18"/>
  <c r="C8" i="18"/>
  <c r="A6" i="18"/>
  <c r="A5" i="18"/>
  <c r="B597" i="17"/>
  <c r="J596" i="17"/>
  <c r="E596" i="17"/>
  <c r="I563" i="17"/>
  <c r="J562" i="17"/>
  <c r="B543" i="17"/>
  <c r="J542" i="17"/>
  <c r="E542" i="17"/>
  <c r="H514" i="17"/>
  <c r="H513" i="17"/>
  <c r="I509" i="17"/>
  <c r="J508" i="17"/>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B42" i="17"/>
  <c r="J41" i="17"/>
  <c r="E41" i="17"/>
  <c r="D37" i="17"/>
  <c r="C56" i="17" s="1"/>
  <c r="H12" i="17"/>
  <c r="H11" i="17"/>
  <c r="H9" i="17"/>
  <c r="H8" i="17"/>
  <c r="I5" i="17"/>
  <c r="J4" i="17"/>
  <c r="K3" i="17"/>
  <c r="F587" i="20"/>
  <c r="F586" i="20"/>
  <c r="H549" i="20"/>
  <c r="H548" i="20"/>
  <c r="H547" i="20"/>
  <c r="H544" i="20"/>
  <c r="H543" i="20"/>
  <c r="H542" i="20"/>
  <c r="H541" i="20"/>
  <c r="F536" i="20"/>
  <c r="F535" i="20"/>
  <c r="H498" i="20"/>
  <c r="H497" i="20"/>
  <c r="H496" i="20"/>
  <c r="H493" i="20"/>
  <c r="H492" i="20"/>
  <c r="H491" i="20"/>
  <c r="H490" i="20"/>
  <c r="F485" i="20"/>
  <c r="B485" i="20"/>
  <c r="F484" i="20"/>
  <c r="K481" i="20"/>
  <c r="C479" i="20"/>
  <c r="B452" i="20"/>
  <c r="H446" i="20"/>
  <c r="H445" i="20"/>
  <c r="H444" i="20"/>
  <c r="H441" i="20"/>
  <c r="H440" i="20"/>
  <c r="H439" i="20"/>
  <c r="H438" i="20"/>
  <c r="F432" i="20"/>
  <c r="B432" i="20"/>
  <c r="F431" i="20"/>
  <c r="K427" i="20"/>
  <c r="C425" i="20"/>
  <c r="B398" i="20"/>
  <c r="H392" i="20"/>
  <c r="H391" i="20"/>
  <c r="H390" i="20"/>
  <c r="H387" i="20"/>
  <c r="H386" i="20"/>
  <c r="H385" i="20"/>
  <c r="H384" i="20"/>
  <c r="F378" i="20"/>
  <c r="B378" i="20"/>
  <c r="F377" i="20"/>
  <c r="K373" i="20"/>
  <c r="C371" i="20"/>
  <c r="B344" i="20"/>
  <c r="H338" i="20"/>
  <c r="H337" i="20"/>
  <c r="H336" i="20"/>
  <c r="H333" i="20"/>
  <c r="H332" i="20"/>
  <c r="H331" i="20"/>
  <c r="H330" i="20"/>
  <c r="F323" i="20"/>
  <c r="B323" i="20"/>
  <c r="F322" i="20"/>
  <c r="K318" i="20"/>
  <c r="C316" i="20"/>
  <c r="B289" i="20"/>
  <c r="H283" i="20"/>
  <c r="H282" i="20"/>
  <c r="H281" i="20"/>
  <c r="H278" i="20"/>
  <c r="H277" i="20"/>
  <c r="H276" i="20"/>
  <c r="H275" i="20"/>
  <c r="F270" i="20"/>
  <c r="B270" i="20"/>
  <c r="F269" i="20"/>
  <c r="K265" i="20"/>
  <c r="C263" i="20"/>
  <c r="B236" i="20"/>
  <c r="H230" i="20"/>
  <c r="H229" i="20"/>
  <c r="H228" i="20"/>
  <c r="H225" i="20"/>
  <c r="H224" i="20"/>
  <c r="H223" i="20"/>
  <c r="H222" i="20"/>
  <c r="F216" i="20"/>
  <c r="B216" i="20"/>
  <c r="F215" i="20"/>
  <c r="K211" i="20"/>
  <c r="C209" i="20"/>
  <c r="B182" i="20"/>
  <c r="H176" i="20"/>
  <c r="H175" i="20"/>
  <c r="H174" i="20"/>
  <c r="H171" i="20"/>
  <c r="H170" i="20"/>
  <c r="H169" i="20"/>
  <c r="H168" i="20"/>
  <c r="F162" i="20"/>
  <c r="B162" i="20"/>
  <c r="F161" i="20"/>
  <c r="C155" i="20"/>
  <c r="B128" i="20"/>
  <c r="H122" i="20"/>
  <c r="H121" i="20"/>
  <c r="H120" i="20"/>
  <c r="H117" i="20"/>
  <c r="H116" i="20"/>
  <c r="H115" i="20"/>
  <c r="H114" i="20"/>
  <c r="F108" i="20"/>
  <c r="B108" i="20"/>
  <c r="F107" i="20"/>
  <c r="K103" i="20"/>
  <c r="C101" i="20"/>
  <c r="B74" i="20"/>
  <c r="H68" i="20"/>
  <c r="H67" i="20"/>
  <c r="H66" i="20"/>
  <c r="H63" i="20"/>
  <c r="H62" i="20"/>
  <c r="H61" i="20"/>
  <c r="H60" i="20"/>
  <c r="F54" i="20"/>
  <c r="B54" i="20"/>
  <c r="F53" i="20"/>
  <c r="K49" i="20"/>
  <c r="C47" i="20"/>
  <c r="B20" i="20"/>
  <c r="H14" i="20"/>
  <c r="H13" i="20"/>
  <c r="H12" i="20"/>
  <c r="H9" i="20"/>
  <c r="H8" i="20"/>
  <c r="H7" i="20"/>
  <c r="H6" i="20"/>
  <c r="F576" i="19"/>
  <c r="B576" i="19"/>
  <c r="F575" i="19"/>
  <c r="K570" i="19"/>
  <c r="B561" i="19"/>
  <c r="H556" i="19"/>
  <c r="H555" i="19"/>
  <c r="H554" i="19"/>
  <c r="H553" i="19"/>
  <c r="H552" i="19"/>
  <c r="H551" i="19"/>
  <c r="H548" i="19"/>
  <c r="H547" i="19"/>
  <c r="H546" i="19"/>
  <c r="H545" i="19"/>
  <c r="H543" i="19"/>
  <c r="B542" i="19"/>
  <c r="H541" i="19"/>
  <c r="H535" i="19"/>
  <c r="B535" i="19"/>
  <c r="H533" i="19"/>
  <c r="B533" i="19"/>
  <c r="F525" i="19"/>
  <c r="B525" i="19"/>
  <c r="F524" i="19"/>
  <c r="K521" i="19"/>
  <c r="B512" i="19"/>
  <c r="H507" i="19"/>
  <c r="H506" i="19"/>
  <c r="H505" i="19"/>
  <c r="H504" i="19"/>
  <c r="H503" i="19"/>
  <c r="H502" i="19"/>
  <c r="H499" i="19"/>
  <c r="H498" i="19"/>
  <c r="H497" i="19"/>
  <c r="H496" i="19"/>
  <c r="H494" i="19"/>
  <c r="B493" i="19"/>
  <c r="H492" i="19"/>
  <c r="H486" i="19"/>
  <c r="B486" i="19"/>
  <c r="H484" i="19"/>
  <c r="B484" i="19"/>
  <c r="F474" i="19"/>
  <c r="B474" i="19"/>
  <c r="F473" i="19"/>
  <c r="K468" i="19"/>
  <c r="B458" i="19"/>
  <c r="H453" i="19"/>
  <c r="H452" i="19"/>
  <c r="H451" i="19"/>
  <c r="H450" i="19"/>
  <c r="H449" i="19"/>
  <c r="H448" i="19"/>
  <c r="H445" i="19"/>
  <c r="H444" i="19"/>
  <c r="H443" i="19"/>
  <c r="H442" i="19"/>
  <c r="H440" i="19"/>
  <c r="B439" i="19"/>
  <c r="H438" i="19"/>
  <c r="B432" i="19"/>
  <c r="B430" i="19"/>
  <c r="F421" i="19"/>
  <c r="B421" i="19"/>
  <c r="F420" i="19"/>
  <c r="K415" i="19"/>
  <c r="B406" i="19"/>
  <c r="H401" i="19"/>
  <c r="H400" i="19"/>
  <c r="H399" i="19"/>
  <c r="H398" i="19"/>
  <c r="H397" i="19"/>
  <c r="H396" i="19"/>
  <c r="H393" i="19"/>
  <c r="H392" i="19"/>
  <c r="H391" i="19"/>
  <c r="H390" i="19"/>
  <c r="H388" i="19"/>
  <c r="B387" i="19"/>
  <c r="H386" i="19"/>
  <c r="B380" i="19"/>
  <c r="B378" i="19"/>
  <c r="F369" i="19"/>
  <c r="B369" i="19"/>
  <c r="F368" i="19"/>
  <c r="K363" i="19"/>
  <c r="B353" i="19"/>
  <c r="H348" i="19"/>
  <c r="H347" i="19"/>
  <c r="H346" i="19"/>
  <c r="H345" i="19"/>
  <c r="H344" i="19"/>
  <c r="H343" i="19"/>
  <c r="H340" i="19"/>
  <c r="H339" i="19"/>
  <c r="H338" i="19"/>
  <c r="H337" i="19"/>
  <c r="H335" i="19"/>
  <c r="B334" i="19"/>
  <c r="H333" i="19"/>
  <c r="B327" i="19"/>
  <c r="B325" i="19"/>
  <c r="F316" i="19"/>
  <c r="B316" i="19"/>
  <c r="F315" i="19"/>
  <c r="K310" i="19"/>
  <c r="B300" i="19"/>
  <c r="H295" i="19"/>
  <c r="H294" i="19"/>
  <c r="H293" i="19"/>
  <c r="H292" i="19"/>
  <c r="H291" i="19"/>
  <c r="H290" i="19"/>
  <c r="H287" i="19"/>
  <c r="H286" i="19"/>
  <c r="H285" i="19"/>
  <c r="H284" i="19"/>
  <c r="H282" i="19"/>
  <c r="B281" i="19"/>
  <c r="H280" i="19"/>
  <c r="B274" i="19"/>
  <c r="B272" i="19"/>
  <c r="F263" i="19"/>
  <c r="B263" i="19"/>
  <c r="F262" i="19"/>
  <c r="K257" i="19"/>
  <c r="B247" i="19"/>
  <c r="H242" i="19"/>
  <c r="H241" i="19"/>
  <c r="H240" i="19"/>
  <c r="H239" i="19"/>
  <c r="H238" i="19"/>
  <c r="H237" i="19"/>
  <c r="H234" i="19"/>
  <c r="H233" i="19"/>
  <c r="H232" i="19"/>
  <c r="H231" i="19"/>
  <c r="H229" i="19"/>
  <c r="B228" i="19"/>
  <c r="H227" i="19"/>
  <c r="B221" i="19"/>
  <c r="B219" i="19"/>
  <c r="F210" i="19"/>
  <c r="B210" i="19"/>
  <c r="F209" i="19"/>
  <c r="K204" i="19"/>
  <c r="B194" i="19"/>
  <c r="H189" i="19"/>
  <c r="H188" i="19"/>
  <c r="H187" i="19"/>
  <c r="H186" i="19"/>
  <c r="H185" i="19"/>
  <c r="H184" i="19"/>
  <c r="H181" i="19"/>
  <c r="H180" i="19"/>
  <c r="H179" i="19"/>
  <c r="H178" i="19"/>
  <c r="H176" i="19"/>
  <c r="B175" i="19"/>
  <c r="H174" i="19"/>
  <c r="B168" i="19"/>
  <c r="B166" i="19"/>
  <c r="F157" i="19"/>
  <c r="B157" i="19"/>
  <c r="F156" i="19"/>
  <c r="K151" i="19"/>
  <c r="B141" i="19"/>
  <c r="H136" i="19"/>
  <c r="H135" i="19"/>
  <c r="H134" i="19"/>
  <c r="H133" i="19"/>
  <c r="H132" i="19"/>
  <c r="H131" i="19"/>
  <c r="H128" i="19"/>
  <c r="H127" i="19"/>
  <c r="H126" i="19"/>
  <c r="H125" i="19"/>
  <c r="H123" i="19"/>
  <c r="B122" i="19"/>
  <c r="H121" i="19"/>
  <c r="B115" i="19"/>
  <c r="B113" i="19"/>
  <c r="F103" i="19"/>
  <c r="B103" i="19"/>
  <c r="F102" i="19"/>
  <c r="K97" i="19"/>
  <c r="B87" i="19"/>
  <c r="H82" i="19"/>
  <c r="H81" i="19"/>
  <c r="H80" i="19"/>
  <c r="H79" i="19"/>
  <c r="H78" i="19"/>
  <c r="H77" i="19"/>
  <c r="H74" i="19"/>
  <c r="H73" i="19"/>
  <c r="H72" i="19"/>
  <c r="H71" i="19"/>
  <c r="H69" i="19"/>
  <c r="B68" i="19"/>
  <c r="H67" i="19"/>
  <c r="B61" i="19"/>
  <c r="B59" i="19"/>
  <c r="B51" i="19"/>
  <c r="K45" i="19"/>
  <c r="B35" i="19"/>
  <c r="H30" i="19"/>
  <c r="H29" i="19"/>
  <c r="H28" i="19"/>
  <c r="H27" i="19"/>
  <c r="H26" i="19"/>
  <c r="H25" i="19"/>
  <c r="H22" i="19"/>
  <c r="H21" i="19"/>
  <c r="H20" i="19"/>
  <c r="H19" i="19"/>
  <c r="D22" i="16"/>
  <c r="C22" i="16"/>
  <c r="D21" i="16"/>
  <c r="C21" i="16"/>
  <c r="D20" i="16"/>
  <c r="C20" i="16"/>
  <c r="D19" i="16"/>
  <c r="C19" i="16"/>
  <c r="D18" i="16"/>
  <c r="C18" i="16"/>
  <c r="D17" i="16"/>
  <c r="C17" i="16"/>
  <c r="D16" i="16"/>
  <c r="C16" i="16"/>
  <c r="D15" i="16"/>
  <c r="C15" i="16"/>
  <c r="D14" i="16"/>
  <c r="C14" i="16"/>
  <c r="D13" i="16"/>
  <c r="C13" i="16"/>
  <c r="D12" i="16"/>
  <c r="C12" i="16"/>
  <c r="D11" i="16"/>
  <c r="C11" i="16"/>
  <c r="D10" i="16"/>
  <c r="C10" i="16"/>
  <c r="D9" i="16"/>
  <c r="C9" i="16"/>
  <c r="D8" i="16"/>
  <c r="C8" i="16"/>
  <c r="D7" i="16"/>
  <c r="C7" i="16"/>
  <c r="D6" i="16"/>
  <c r="C6" i="16"/>
  <c r="D5" i="16"/>
  <c r="C5" i="16"/>
  <c r="D4" i="16"/>
  <c r="C4" i="16"/>
  <c r="D3" i="16"/>
  <c r="C3" i="16"/>
  <c r="C1" i="16"/>
  <c r="Q10" i="12"/>
  <c r="P10" i="12"/>
  <c r="O10" i="12"/>
  <c r="H10" i="12"/>
  <c r="M10" i="12" s="1"/>
  <c r="N10" i="12" s="1"/>
  <c r="F10" i="12"/>
  <c r="E10" i="12"/>
  <c r="C10" i="12"/>
  <c r="D5" i="12"/>
  <c r="L4" i="12"/>
  <c r="F12" i="9"/>
  <c r="F16" i="8"/>
  <c r="F9" i="8"/>
  <c r="F8" i="8"/>
  <c r="D7" i="8"/>
  <c r="B6" i="8"/>
  <c r="B5" i="8"/>
  <c r="D4" i="8"/>
  <c r="F16" i="6"/>
  <c r="E9" i="6"/>
  <c r="E8" i="6"/>
  <c r="D7" i="6"/>
  <c r="B6" i="6"/>
  <c r="B5" i="6"/>
  <c r="D4" i="6"/>
  <c r="H16" i="7"/>
  <c r="E9" i="7"/>
  <c r="E8" i="7"/>
  <c r="D7" i="7"/>
  <c r="B6" i="7"/>
  <c r="B5" i="7"/>
  <c r="D4" i="7"/>
  <c r="H16" i="5"/>
  <c r="E9" i="5"/>
  <c r="E8" i="5"/>
  <c r="D7" i="5"/>
  <c r="B6" i="5"/>
  <c r="B5" i="5"/>
  <c r="D4" i="5"/>
  <c r="H73" i="4"/>
  <c r="R73" i="4" s="1"/>
  <c r="G73" i="4"/>
  <c r="Q73" i="4" s="1"/>
  <c r="F73" i="4"/>
  <c r="P73" i="4" s="1"/>
  <c r="E73" i="4"/>
  <c r="O73" i="4" s="1"/>
  <c r="D73" i="4"/>
  <c r="N73" i="4" s="1"/>
  <c r="O67" i="4"/>
  <c r="E62" i="4"/>
  <c r="O62" i="4" s="1"/>
  <c r="E60" i="4"/>
  <c r="O60" i="4" s="1"/>
  <c r="E58" i="4"/>
  <c r="O58" i="4" s="1"/>
  <c r="E56" i="4"/>
  <c r="O56" i="4" s="1"/>
  <c r="B53" i="4"/>
  <c r="L53" i="4" s="1"/>
  <c r="D52" i="4"/>
  <c r="O52" i="4" s="1"/>
  <c r="H25" i="4"/>
  <c r="R25" i="4" s="1"/>
  <c r="G25" i="4"/>
  <c r="Q25" i="4" s="1"/>
  <c r="F25" i="4"/>
  <c r="P25" i="4" s="1"/>
  <c r="E25" i="4"/>
  <c r="O25" i="4" s="1"/>
  <c r="D25" i="4"/>
  <c r="O19" i="4"/>
  <c r="E14" i="4"/>
  <c r="O14" i="4" s="1"/>
  <c r="E12" i="4"/>
  <c r="O12" i="4" s="1"/>
  <c r="E10" i="4"/>
  <c r="O10" i="4" s="1"/>
  <c r="E8" i="4"/>
  <c r="O8" i="4" s="1"/>
  <c r="B5" i="4"/>
  <c r="L5" i="4" s="1"/>
  <c r="D4" i="4"/>
  <c r="O4" i="4" s="1"/>
  <c r="L816" i="10"/>
  <c r="K816" i="10"/>
  <c r="G816" i="10"/>
  <c r="H802" i="10"/>
  <c r="L769" i="10"/>
  <c r="K769" i="10"/>
  <c r="G769" i="10"/>
  <c r="J768" i="10"/>
  <c r="J764" i="10"/>
  <c r="J760" i="10"/>
  <c r="J759" i="10"/>
  <c r="H755" i="10"/>
  <c r="H752" i="10"/>
  <c r="B751" i="10"/>
  <c r="H750" i="10"/>
  <c r="B744" i="10"/>
  <c r="B742" i="10"/>
  <c r="L721" i="10"/>
  <c r="K721" i="10"/>
  <c r="I721" i="10"/>
  <c r="G721" i="10"/>
  <c r="E721" i="10"/>
  <c r="J720" i="10"/>
  <c r="J716" i="10"/>
  <c r="H716" i="10"/>
  <c r="H714" i="10"/>
  <c r="J712" i="10"/>
  <c r="H712" i="10"/>
  <c r="J711" i="10"/>
  <c r="H711" i="10"/>
  <c r="H710" i="10"/>
  <c r="H709" i="10"/>
  <c r="H708" i="10"/>
  <c r="H707" i="10"/>
  <c r="H706" i="10"/>
  <c r="H704" i="10"/>
  <c r="B703" i="10"/>
  <c r="H702" i="10"/>
  <c r="B696" i="10"/>
  <c r="B694" i="10"/>
  <c r="L674" i="10"/>
  <c r="K674" i="10"/>
  <c r="I674" i="10"/>
  <c r="G674" i="10"/>
  <c r="E674" i="10"/>
  <c r="J669" i="10"/>
  <c r="H669" i="10"/>
  <c r="H667" i="10"/>
  <c r="J665" i="10"/>
  <c r="H665" i="10"/>
  <c r="J664" i="10"/>
  <c r="H664" i="10"/>
  <c r="H663" i="10"/>
  <c r="H660" i="10"/>
  <c r="H659" i="10"/>
  <c r="H657" i="10"/>
  <c r="B656" i="10"/>
  <c r="H655" i="10"/>
  <c r="B649" i="10"/>
  <c r="B647" i="10"/>
  <c r="L626" i="10"/>
  <c r="K626" i="10"/>
  <c r="I626" i="10"/>
  <c r="G626" i="10"/>
  <c r="E626" i="10"/>
  <c r="J621" i="10"/>
  <c r="H619" i="10"/>
  <c r="H613" i="10"/>
  <c r="H609" i="10"/>
  <c r="B608" i="10"/>
  <c r="H607" i="10"/>
  <c r="B601" i="10"/>
  <c r="B599" i="10"/>
  <c r="L579" i="10"/>
  <c r="K579" i="10"/>
  <c r="I579" i="10"/>
  <c r="G579" i="10"/>
  <c r="E579" i="10"/>
  <c r="J574" i="10"/>
  <c r="H572" i="10"/>
  <c r="H570" i="10"/>
  <c r="J569" i="10"/>
  <c r="H569" i="10"/>
  <c r="H566" i="10"/>
  <c r="H562" i="10"/>
  <c r="B561" i="10"/>
  <c r="H560" i="10"/>
  <c r="B554" i="10"/>
  <c r="B552" i="10"/>
  <c r="L531" i="10"/>
  <c r="K531" i="10"/>
  <c r="I531" i="10"/>
  <c r="G531" i="10"/>
  <c r="E531" i="10"/>
  <c r="J526" i="10"/>
  <c r="H524" i="10"/>
  <c r="H523" i="10"/>
  <c r="J522" i="10"/>
  <c r="H522" i="10"/>
  <c r="J521" i="10"/>
  <c r="H521" i="10"/>
  <c r="H518" i="10"/>
  <c r="H514" i="10"/>
  <c r="B513" i="10"/>
  <c r="H512" i="10"/>
  <c r="B506" i="10"/>
  <c r="B504" i="10"/>
  <c r="L483" i="10"/>
  <c r="K483" i="10"/>
  <c r="I483" i="10"/>
  <c r="G483" i="10"/>
  <c r="E483" i="10"/>
  <c r="J478" i="10"/>
  <c r="H476" i="10"/>
  <c r="H475" i="10"/>
  <c r="J474" i="10"/>
  <c r="J473" i="10"/>
  <c r="H470" i="10"/>
  <c r="H466" i="10"/>
  <c r="B465" i="10"/>
  <c r="H464" i="10"/>
  <c r="B458" i="10"/>
  <c r="B456" i="10"/>
  <c r="L434" i="10"/>
  <c r="K434" i="10"/>
  <c r="I434" i="10"/>
  <c r="G434" i="10"/>
  <c r="E434" i="10"/>
  <c r="J429" i="10"/>
  <c r="H427" i="10"/>
  <c r="H426" i="10"/>
  <c r="J425" i="10"/>
  <c r="J424" i="10"/>
  <c r="H423" i="10"/>
  <c r="H422" i="10"/>
  <c r="H421" i="10"/>
  <c r="H420" i="10"/>
  <c r="H419" i="10"/>
  <c r="H417" i="10"/>
  <c r="B416" i="10"/>
  <c r="H415" i="10"/>
  <c r="B409" i="10"/>
  <c r="B407" i="10"/>
  <c r="L384" i="10"/>
  <c r="K384" i="10"/>
  <c r="I384" i="10"/>
  <c r="G384" i="10"/>
  <c r="E384" i="10"/>
  <c r="J379" i="10"/>
  <c r="H377" i="10"/>
  <c r="H376" i="10"/>
  <c r="J375" i="10"/>
  <c r="J374" i="10"/>
  <c r="H373" i="10"/>
  <c r="H372" i="10"/>
  <c r="H371" i="10"/>
  <c r="H370" i="10"/>
  <c r="H369" i="10"/>
  <c r="H367" i="10"/>
  <c r="B366" i="10"/>
  <c r="H365" i="10"/>
  <c r="B359" i="10"/>
  <c r="B357" i="10"/>
  <c r="L334" i="10"/>
  <c r="K334" i="10"/>
  <c r="I334" i="10"/>
  <c r="G334" i="10"/>
  <c r="E334" i="10"/>
  <c r="J329" i="10"/>
  <c r="H327" i="10"/>
  <c r="H326" i="10"/>
  <c r="J325" i="10"/>
  <c r="J324" i="10"/>
  <c r="H323" i="10"/>
  <c r="H322" i="10"/>
  <c r="H321" i="10"/>
  <c r="H320" i="10"/>
  <c r="H319" i="10"/>
  <c r="H317" i="10"/>
  <c r="B316" i="10"/>
  <c r="H315" i="10"/>
  <c r="B309" i="10"/>
  <c r="B307" i="10"/>
  <c r="L283" i="10"/>
  <c r="K283" i="10"/>
  <c r="I283" i="10"/>
  <c r="G283" i="10"/>
  <c r="E283" i="10"/>
  <c r="J278" i="10"/>
  <c r="H276" i="10"/>
  <c r="H275" i="10"/>
  <c r="J274" i="10"/>
  <c r="J273" i="10"/>
  <c r="H272" i="10"/>
  <c r="H271" i="10"/>
  <c r="H270" i="10"/>
  <c r="H269" i="10"/>
  <c r="H268" i="10"/>
  <c r="H266" i="10"/>
  <c r="B265" i="10"/>
  <c r="H264" i="10"/>
  <c r="B258" i="10"/>
  <c r="B256" i="10"/>
  <c r="L232" i="10"/>
  <c r="K232" i="10"/>
  <c r="I232" i="10"/>
  <c r="G232" i="10"/>
  <c r="E232" i="10"/>
  <c r="J227" i="10"/>
  <c r="H225" i="10"/>
  <c r="H224" i="10"/>
  <c r="J223" i="10"/>
  <c r="J222" i="10"/>
  <c r="H221" i="10"/>
  <c r="H220" i="10"/>
  <c r="H219" i="10"/>
  <c r="H218" i="10"/>
  <c r="H217" i="10"/>
  <c r="H215" i="10"/>
  <c r="B214" i="10"/>
  <c r="H213" i="10"/>
  <c r="B207" i="10"/>
  <c r="B205" i="10"/>
  <c r="L184" i="10"/>
  <c r="K184" i="10"/>
  <c r="I184" i="10"/>
  <c r="G184" i="10"/>
  <c r="E184" i="10"/>
  <c r="J179" i="10"/>
  <c r="H177" i="10"/>
  <c r="H176" i="10"/>
  <c r="J175" i="10"/>
  <c r="J174" i="10"/>
  <c r="H173" i="10"/>
  <c r="H172" i="10"/>
  <c r="H171" i="10"/>
  <c r="H170" i="10"/>
  <c r="H169" i="10"/>
  <c r="H167" i="10"/>
  <c r="B166" i="10"/>
  <c r="H165" i="10"/>
  <c r="B159" i="10"/>
  <c r="B157" i="10"/>
  <c r="L134" i="10"/>
  <c r="K134" i="10"/>
  <c r="I134" i="10"/>
  <c r="G134" i="10"/>
  <c r="E134" i="10"/>
  <c r="J129" i="10"/>
  <c r="H127" i="10"/>
  <c r="H126" i="10"/>
  <c r="J125" i="10"/>
  <c r="J124" i="10"/>
  <c r="H123" i="10"/>
  <c r="H122" i="10"/>
  <c r="H121" i="10"/>
  <c r="H120" i="10"/>
  <c r="H119" i="10"/>
  <c r="H117" i="10"/>
  <c r="B116" i="10"/>
  <c r="H115" i="10"/>
  <c r="B109" i="10"/>
  <c r="B107" i="10"/>
  <c r="L84" i="10"/>
  <c r="K84" i="10"/>
  <c r="I84" i="10"/>
  <c r="G84" i="10"/>
  <c r="E84" i="10"/>
  <c r="J79" i="10"/>
  <c r="H77" i="10"/>
  <c r="H76" i="10"/>
  <c r="J75" i="10"/>
  <c r="J74" i="10"/>
  <c r="H73" i="10"/>
  <c r="H72" i="10"/>
  <c r="H71" i="10"/>
  <c r="H70" i="10"/>
  <c r="H69" i="10"/>
  <c r="H67" i="10"/>
  <c r="B66" i="10"/>
  <c r="H65" i="10"/>
  <c r="B59" i="10"/>
  <c r="B57" i="10"/>
  <c r="L34" i="10"/>
  <c r="K34" i="10"/>
  <c r="I34" i="10"/>
  <c r="G34" i="10"/>
  <c r="E34" i="10"/>
  <c r="J29" i="10"/>
  <c r="H27" i="10"/>
  <c r="H26" i="10"/>
  <c r="J25" i="10"/>
  <c r="J24" i="10"/>
  <c r="H23" i="10"/>
  <c r="H22" i="10"/>
  <c r="H21" i="10"/>
  <c r="H20" i="10"/>
  <c r="H19" i="10"/>
  <c r="H17" i="10"/>
  <c r="B16" i="10"/>
  <c r="H15" i="10"/>
  <c r="B9" i="10"/>
  <c r="B7" i="10"/>
  <c r="AF15" i="3"/>
  <c r="AE15" i="3"/>
  <c r="AD15" i="3"/>
  <c r="Z15" i="3"/>
  <c r="Z17" i="3" s="1"/>
  <c r="Y15" i="3"/>
  <c r="Y17" i="3" s="1"/>
  <c r="X15" i="3"/>
  <c r="X17" i="3" s="1"/>
  <c r="W15" i="3"/>
  <c r="W17" i="3" s="1"/>
  <c r="V15" i="3"/>
  <c r="V17" i="3" s="1"/>
  <c r="T15" i="3"/>
  <c r="T17" i="3" s="1"/>
  <c r="S15" i="3"/>
  <c r="S17" i="3" s="1"/>
  <c r="R15" i="3"/>
  <c r="R17" i="3" s="1"/>
  <c r="Q15" i="3"/>
  <c r="Q17" i="3" s="1"/>
  <c r="N15" i="3"/>
  <c r="N17" i="3" s="1"/>
  <c r="M15" i="3"/>
  <c r="M17" i="3" s="1"/>
  <c r="J15" i="3"/>
  <c r="J17" i="3" s="1"/>
  <c r="I15" i="3"/>
  <c r="I17" i="3" s="1"/>
  <c r="H15" i="3"/>
  <c r="H17" i="3" s="1"/>
  <c r="G15" i="3"/>
  <c r="G17" i="3" s="1"/>
  <c r="F15" i="3"/>
  <c r="E15" i="3"/>
  <c r="D15" i="3"/>
  <c r="C15" i="3"/>
  <c r="AB10" i="3"/>
  <c r="AB9" i="3"/>
  <c r="D9" i="3"/>
  <c r="D7" i="3"/>
  <c r="D6" i="3"/>
  <c r="D5" i="3"/>
  <c r="D15" i="2"/>
  <c r="C15" i="2"/>
  <c r="Z10" i="2"/>
  <c r="H17" i="19" s="1"/>
  <c r="Z9" i="2"/>
  <c r="H15" i="19" s="1"/>
  <c r="D9" i="2"/>
  <c r="D7" i="2"/>
  <c r="B16" i="19" s="1"/>
  <c r="D6" i="2"/>
  <c r="B9" i="19" s="1"/>
  <c r="D5" i="2"/>
  <c r="B7" i="19" s="1"/>
  <c r="A20" i="13"/>
  <c r="F13" i="13"/>
  <c r="F12" i="13"/>
  <c r="F8" i="13"/>
  <c r="H711" i="1"/>
  <c r="H612" i="10"/>
  <c r="H568" i="10"/>
  <c r="H565" i="10"/>
  <c r="H517" i="10"/>
  <c r="H472" i="10"/>
  <c r="H469" i="10"/>
  <c r="H468" i="10"/>
  <c r="AJ6" i="1"/>
  <c r="AJ5" i="1"/>
  <c r="H742" i="10" s="1"/>
  <c r="F5" i="15"/>
  <c r="F4" i="15"/>
  <c r="F3" i="15"/>
  <c r="A2" i="15"/>
  <c r="G13" i="21" l="1"/>
  <c r="E6" i="23"/>
  <c r="H219" i="19"/>
  <c r="H430" i="19"/>
  <c r="H599" i="10"/>
  <c r="H504" i="10"/>
  <c r="H113" i="19"/>
  <c r="Z6" i="2"/>
  <c r="H9" i="19" s="1"/>
  <c r="F51" i="19"/>
  <c r="F10" i="13"/>
  <c r="Z5" i="2"/>
  <c r="H7" i="19" s="1"/>
  <c r="AB15" i="3"/>
  <c r="AB17" i="3" s="1"/>
  <c r="H647" i="10"/>
  <c r="H380" i="19"/>
  <c r="J4" i="15"/>
  <c r="H791" i="10"/>
  <c r="H258" i="10"/>
  <c r="H159" i="10"/>
  <c r="H409" i="10"/>
  <c r="H309" i="10"/>
  <c r="H207" i="10"/>
  <c r="H109" i="10"/>
  <c r="H9" i="10"/>
  <c r="H359" i="10"/>
  <c r="H59" i="10"/>
  <c r="H61" i="19"/>
  <c r="J3" i="15"/>
  <c r="H357" i="10"/>
  <c r="H256" i="10"/>
  <c r="H157" i="10"/>
  <c r="H57" i="10"/>
  <c r="H407" i="10"/>
  <c r="H205" i="10"/>
  <c r="H7" i="10"/>
  <c r="H789" i="10"/>
  <c r="H307" i="10"/>
  <c r="H107" i="10"/>
  <c r="AB5" i="3"/>
  <c r="H456" i="10"/>
  <c r="H552" i="10"/>
  <c r="H274" i="19"/>
  <c r="H325" i="19"/>
  <c r="H615" i="10"/>
  <c r="H519" i="10"/>
  <c r="H614" i="10"/>
  <c r="J578" i="10"/>
  <c r="J580" i="10" s="1"/>
  <c r="J135" i="10"/>
  <c r="J435" i="10"/>
  <c r="J433" i="10"/>
  <c r="J83" i="10"/>
  <c r="E71" i="4"/>
  <c r="J333" i="10"/>
  <c r="J335" i="10"/>
  <c r="J383" i="10"/>
  <c r="J385" i="10"/>
  <c r="J530" i="10"/>
  <c r="J532" i="10" s="1"/>
  <c r="J625" i="10"/>
  <c r="J627" i="10" s="1"/>
  <c r="J673" i="10"/>
  <c r="J675" i="10" s="1"/>
  <c r="H720" i="10"/>
  <c r="J722" i="10" s="1"/>
  <c r="J183" i="10"/>
  <c r="J185" i="10"/>
  <c r="J482" i="10"/>
  <c r="J484" i="10" s="1"/>
  <c r="J282" i="10"/>
  <c r="J284" i="10"/>
  <c r="B15" i="3"/>
  <c r="B15" i="2"/>
  <c r="J231" i="10"/>
  <c r="AB6" i="3"/>
  <c r="H696" i="10"/>
  <c r="H168" i="19"/>
  <c r="B10" i="12"/>
  <c r="J233" i="10"/>
  <c r="H744" i="10"/>
  <c r="H601" i="10"/>
  <c r="H554" i="10"/>
  <c r="H458" i="10"/>
  <c r="F11" i="13"/>
  <c r="H432" i="19"/>
  <c r="H327" i="19"/>
  <c r="H221" i="19"/>
  <c r="H115" i="19"/>
  <c r="H649" i="10"/>
  <c r="H506" i="10"/>
  <c r="H694" i="10"/>
  <c r="F50" i="19"/>
  <c r="H59" i="19"/>
  <c r="H166" i="19"/>
  <c r="H272" i="19"/>
  <c r="H378" i="19"/>
  <c r="G11" i="21"/>
  <c r="H516" i="10"/>
  <c r="J817" i="10"/>
  <c r="N25" i="4"/>
  <c r="I25" i="4"/>
  <c r="H611" i="10"/>
  <c r="H520" i="10"/>
  <c r="H471" i="10"/>
  <c r="H564" i="10"/>
  <c r="H567" i="10"/>
  <c r="J770" i="10"/>
  <c r="I73" i="4"/>
  <c r="S73" i="4" s="1"/>
  <c r="E75" i="4" l="1"/>
  <c r="O75" i="4" s="1"/>
  <c r="O71" i="4"/>
  <c r="S25" i="4"/>
  <c r="L15" i="3" l="1"/>
  <c r="L17" i="3" s="1"/>
  <c r="AB16" i="1"/>
  <c r="AG16" i="1" s="1"/>
  <c r="G10" i="12" s="1"/>
  <c r="O15" i="3"/>
  <c r="K15" i="3" s="1"/>
  <c r="W16" i="1"/>
  <c r="G20" i="13"/>
  <c r="H20" i="13" s="1"/>
  <c r="K17" i="3" l="1"/>
  <c r="P15" i="3"/>
  <c r="O17" i="3"/>
  <c r="E23" i="4"/>
  <c r="J133" i="10"/>
  <c r="J33" i="10"/>
  <c r="AN16" i="1"/>
  <c r="J35" i="10" l="1"/>
  <c r="O23" i="4"/>
  <c r="E27" i="4"/>
  <c r="O27" i="4" s="1"/>
  <c r="U15" i="3"/>
  <c r="P17" i="3"/>
  <c r="U17" i="3" l="1"/>
  <c r="AC15" i="3"/>
  <c r="AC17" i="3" s="1"/>
</calcChain>
</file>

<file path=xl/sharedStrings.xml><?xml version="1.0" encoding="utf-8"?>
<sst xmlns="http://schemas.openxmlformats.org/spreadsheetml/2006/main" count="3632" uniqueCount="466">
  <si>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</si>
  <si>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</si>
  <si>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</si>
  <si>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</si>
  <si>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</si>
  <si>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</si>
  <si>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</si>
  <si>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</si>
  <si>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</si>
  <si>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</si>
  <si>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</si>
  <si>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</si>
  <si>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</si>
  <si>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</si>
  <si>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</si>
  <si>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</si>
  <si>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</si>
  <si>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</si>
  <si>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</si>
  <si>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</si>
  <si>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</si>
  <si>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</si>
  <si>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</si>
  <si>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</si>
  <si>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</si>
  <si>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</si>
  <si>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</si>
  <si>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</si>
  <si>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</si>
  <si>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</si>
  <si>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</si>
  <si>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</si>
  <si>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</si>
  <si>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</si>
  <si>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</si>
  <si>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</si>
  <si>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</si>
  <si>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</si>
  <si>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</si>
  <si>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Father's/ 
Husband's Name</t>
  </si>
  <si>
    <t>Sex</t>
  </si>
  <si>
    <t>Remarks</t>
  </si>
  <si>
    <t>P</t>
  </si>
  <si>
    <t>Father's /Husband Name</t>
  </si>
  <si>
    <t>Permanent Address</t>
  </si>
  <si>
    <t>Local Address</t>
  </si>
  <si>
    <t>Date of Commencement of Employment</t>
  </si>
  <si>
    <t>Signature or thumb impression of Workman</t>
  </si>
  <si>
    <t>Date of termination of Employment</t>
  </si>
  <si>
    <t>Reasons for termination</t>
  </si>
  <si>
    <r>
      <t xml:space="preserve">                                                                                         </t>
    </r>
    <r>
      <rPr>
        <b/>
        <sz val="25"/>
        <color indexed="8"/>
        <rFont val="Calibri"/>
        <family val="2"/>
      </rPr>
      <t xml:space="preserve">FORM - XIII REGISTER OF WORKMEN EMPLOYED BY CONTRACTOR
</t>
    </r>
  </si>
  <si>
    <t xml:space="preserve">Age </t>
  </si>
  <si>
    <t>Form XIX - WAGE SLIP</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</si>
  <si>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</si>
  <si>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</si>
  <si>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</si>
  <si>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</si>
  <si>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</si>
  <si>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</si>
  <si>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</si>
  <si>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</si>
  <si>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</si>
  <si>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</si>
  <si>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</si>
  <si>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</si>
  <si>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</si>
  <si>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</si>
  <si>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t>FORM XX- REGISTER OF DEDUCTIONS FOR DAMAGE OR LOSS</t>
  </si>
  <si>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</si>
  <si>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</si>
  <si>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</si>
  <si>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</si>
  <si>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</si>
  <si>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</si>
  <si>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</si>
  <si>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</si>
  <si>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</si>
  <si>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</si>
  <si>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</si>
  <si>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</si>
  <si>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</si>
  <si>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         </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</si>
  <si>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</si>
  <si>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</si>
  <si>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</si>
  <si>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</si>
  <si>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</si>
  <si>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</si>
  <si>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</si>
  <si>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</si>
  <si>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</si>
  <si>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</si>
  <si>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</si>
  <si>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</si>
  <si>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</si>
  <si>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</si>
  <si>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</si>
  <si>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</si>
  <si>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</si>
  <si>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</si>
  <si>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t>FORM XXIII- REGISTER OF OVERTIME</t>
  </si>
  <si>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</si>
  <si>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</si>
  <si>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</si>
  <si>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</si>
  <si>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</si>
  <si>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</si>
  <si>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</si>
  <si>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</si>
  <si>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</si>
  <si>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</si>
  <si>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</si>
  <si>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</si>
  <si>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</si>
  <si>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</si>
  <si>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</si>
  <si>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(Vide Rule 76 of Contract Labour (R&amp;A) Central &amp; A.P Rules, 1971)</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</si>
  <si>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</si>
  <si>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</si>
  <si>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</si>
  <si>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</si>
  <si>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</si>
  <si>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</si>
  <si>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</si>
  <si>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</si>
  <si>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</si>
  <si>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</si>
  <si>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</si>
  <si>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</si>
  <si>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</si>
  <si>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</si>
  <si>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</si>
  <si>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</si>
  <si>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</si>
  <si>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</si>
  <si>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</si>
  <si>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</si>
  <si>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</si>
  <si>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</si>
  <si>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</si>
  <si>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</si>
  <si>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</si>
  <si>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 xml:space="preserve">Name of the Employee: </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</si>
  <si>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</si>
  <si>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</si>
  <si>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</si>
  <si>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</si>
  <si>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</si>
  <si>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</si>
  <si>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</si>
  <si>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</si>
  <si>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</si>
  <si>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</si>
  <si>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</si>
  <si>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</si>
  <si>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</si>
  <si>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</si>
  <si>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</si>
  <si>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</si>
  <si>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</si>
  <si>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</si>
  <si>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</si>
  <si>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</si>
  <si>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</si>
  <si>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</si>
  <si>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</si>
  <si>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</si>
  <si>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</si>
  <si>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</si>
  <si>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</si>
  <si>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</si>
  <si>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</si>
  <si>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</si>
  <si>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</si>
  <si>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</si>
  <si>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</si>
  <si>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</si>
  <si>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</si>
  <si>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</si>
  <si>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</si>
  <si>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</si>
  <si>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</si>
  <si>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</si>
  <si>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</si>
  <si>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</si>
  <si>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</si>
  <si>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</si>
  <si>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</si>
  <si>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Issue Date</t>
  </si>
  <si>
    <t>Signature</t>
  </si>
  <si>
    <t>ESI PAHECHAN CARDS ISSUE REGISTER</t>
  </si>
  <si>
    <t>WO</t>
  </si>
  <si>
    <t>Name of the Establishment:</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</si>
  <si>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</si>
  <si>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</si>
  <si>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</si>
  <si>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</si>
  <si>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</si>
  <si>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</si>
  <si>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</si>
  <si>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</si>
  <si>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Male</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</si>
  <si>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</si>
  <si>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</si>
  <si>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</si>
  <si>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</si>
  <si>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</si>
  <si>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</si>
  <si>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</si>
  <si>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</si>
  <si>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</si>
  <si>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</si>
  <si>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</si>
  <si>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</si>
  <si>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</si>
  <si>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</si>
  <si>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</si>
  <si>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</si>
  <si>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</si>
  <si>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</si>
  <si>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</si>
  <si>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</si>
  <si>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</si>
  <si>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</si>
  <si>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</si>
  <si>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</si>
  <si>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</si>
  <si>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</si>
  <si>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</si>
  <si>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</si>
  <si>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</si>
  <si>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</si>
  <si>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</si>
  <si>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</si>
  <si>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</si>
  <si>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</si>
  <si>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</si>
  <si>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</si>
  <si>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</si>
  <si>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</si>
  <si>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</si>
  <si>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</si>
  <si>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</si>
  <si>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</si>
  <si>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</si>
  <si>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</si>
  <si>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</si>
  <si>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</si>
  <si>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</si>
  <si>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</si>
  <si>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</si>
  <si>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</si>
  <si>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</si>
  <si>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</si>
  <si>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</si>
  <si>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</si>
  <si>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</si>
  <si>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</si>
  <si>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</si>
  <si>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</si>
  <si>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</si>
  <si>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</si>
  <si>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</si>
  <si>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</si>
  <si>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</si>
  <si>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</si>
  <si>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</si>
  <si>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</si>
  <si>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</si>
  <si>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</si>
  <si>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</si>
  <si>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</si>
  <si>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</si>
  <si>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</si>
  <si>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</si>
  <si>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</si>
  <si>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</si>
  <si>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</si>
  <si>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</si>
  <si>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</si>
  <si>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</si>
  <si>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</si>
  <si>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</si>
  <si>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</si>
  <si>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</si>
  <si>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</si>
  <si>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</si>
  <si>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</si>
  <si>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</si>
  <si>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</si>
  <si>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</si>
  <si>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</si>
  <si>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</si>
  <si>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</si>
  <si>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</si>
  <si>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</si>
  <si>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</si>
  <si>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</si>
  <si>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</si>
  <si>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</si>
  <si>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</si>
  <si>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</si>
  <si>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</si>
  <si>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</si>
  <si>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</si>
  <si>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</si>
  <si>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</si>
  <si>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</si>
  <si>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</si>
  <si>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</si>
  <si>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</si>
  <si>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</si>
  <si>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</si>
  <si>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</si>
  <si>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</si>
  <si>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</si>
  <si>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</si>
  <si>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</si>
  <si>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</si>
  <si>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</si>
  <si>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</si>
  <si>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</si>
  <si>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</si>
  <si>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</si>
  <si>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</si>
  <si>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</si>
  <si>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</si>
  <si>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</si>
  <si>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</si>
  <si>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</si>
  <si>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</si>
  <si>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</si>
  <si>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</si>
  <si>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</si>
  <si>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</si>
  <si>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</si>
  <si>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</si>
  <si>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</si>
  <si>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</si>
  <si>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</si>
  <si>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</si>
  <si>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</si>
  <si>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</si>
  <si>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</si>
  <si>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</si>
  <si>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</si>
  <si>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</si>
  <si>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</si>
  <si>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</si>
  <si>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</si>
  <si>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</si>
  <si>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</si>
  <si>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</si>
  <si>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</si>
  <si>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</si>
  <si>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</si>
  <si>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</si>
  <si>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</si>
  <si>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</si>
  <si>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</si>
  <si>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</si>
  <si>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</si>
  <si>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</si>
  <si>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</si>
  <si>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</si>
  <si>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</si>
  <si>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</si>
  <si>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</si>
  <si>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</si>
  <si>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</si>
  <si>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</si>
  <si>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</si>
  <si>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</si>
  <si>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</si>
  <si>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</si>
  <si>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</si>
  <si>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</si>
  <si>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</si>
  <si>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</si>
  <si>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</si>
  <si>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</si>
  <si>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</si>
  <si>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</si>
  <si>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</si>
  <si>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</si>
  <si>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</si>
  <si>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</si>
  <si>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</si>
  <si>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</si>
  <si>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</si>
  <si>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</si>
  <si>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</si>
  <si>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</si>
  <si>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Burgeon IT Services Pvt.Ltd.</t>
  </si>
  <si>
    <t>Siri Mansion LIGB 436 Dr.A S Rao Nagar,Hyderabad</t>
  </si>
  <si>
    <t xml:space="preserve">INFOSYS  LTD.IL Hyderabad SEZ Unit-3 </t>
  </si>
  <si>
    <t>Sy.No 42,Pocharam Village,Gatkesar Mandal</t>
  </si>
  <si>
    <t>Wage Period</t>
  </si>
  <si>
    <t>Adjusted Amount</t>
  </si>
  <si>
    <r>
      <t>Name and address of Contractor:</t>
    </r>
    <r>
      <rPr>
        <sz val="10"/>
        <rFont val="Arial"/>
        <family val="2"/>
      </rPr>
      <t xml:space="preserve">                                                                                                                                                                    E-35 GREATER KAILASH ENCLAVE-1 NEW DELHI</t>
    </r>
  </si>
  <si>
    <r>
      <t xml:space="preserve"> </t>
    </r>
    <r>
      <rPr>
        <b/>
        <sz val="25"/>
        <color indexed="8"/>
        <rFont val="Arial Black"/>
        <family val="2"/>
      </rPr>
      <t xml:space="preserve">FORM - XIII REGISTER OF WORKMEN EMPLOYED BY CONTRACTOR
</t>
    </r>
  </si>
  <si>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</si>
  <si>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</si>
  <si>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</si>
  <si>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</si>
  <si>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</si>
  <si>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</si>
  <si>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</si>
  <si>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</si>
  <si>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</si>
  <si>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</si>
  <si>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</si>
  <si>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</si>
  <si>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</si>
  <si>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</si>
  <si>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</si>
  <si>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</si>
  <si>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 xml:space="preserve">                                                                                      Signature of the Contractor with Seal </t>
  </si>
  <si>
    <t xml:space="preserve">                                                                                                                                                                                                             Signature of the Contractor with Seal </t>
  </si>
  <si>
    <t>Senior Consultant</t>
  </si>
  <si>
    <t>Gaunda Mohammad Arief</t>
  </si>
  <si>
    <t>abdul hameed</t>
  </si>
  <si>
    <t>Flat No 311, vaddegeeri, Chand talkies road, Kurnool, Andhra Pradesh 518001</t>
  </si>
  <si>
    <t>12-2-790/11, Ayodhyanagar Cooperative housingg society, Flat G 2, span nest apts, Mehdipatnam, HYD 500028</t>
  </si>
  <si>
    <t>Bank of baroda</t>
  </si>
  <si>
    <t>A/C'24218100005896</t>
  </si>
  <si>
    <t>(Vide Rule 75 of Contract Labour (Regulation and Abolition) Central/Haryana 1971)</t>
  </si>
  <si>
    <r>
      <rPr>
        <b/>
        <sz val="25"/>
        <color indexed="8"/>
        <rFont val="Calibri"/>
        <family val="2"/>
      </rPr>
      <t xml:space="preserve">FORM - XVI MUSTER ROLL
</t>
    </r>
    <r>
      <rPr>
        <sz val="11"/>
        <color theme="1"/>
        <rFont val="Calibri"/>
        <family val="2"/>
        <scheme val="minor"/>
      </rPr>
      <t>[Vide Rule 78 (1) (a) (i) of Contract Labour (Reg. &amp; Abolition) Central &amp; Haryana Rules 1971]</t>
    </r>
  </si>
  <si>
    <r>
      <rPr>
        <b/>
        <sz val="25"/>
        <color indexed="8"/>
        <rFont val="Calibri"/>
        <family val="2"/>
      </rPr>
      <t xml:space="preserve">FORM - XVII REGISTER OF WAGES
</t>
    </r>
    <r>
      <rPr>
        <sz val="11"/>
        <color theme="1"/>
        <rFont val="Calibri"/>
        <family val="2"/>
        <scheme val="minor"/>
      </rPr>
      <t>[Vide Rule 78 (1) (a) (i) of Contract Labour (Reg. &amp; Abolition) Central &amp; Haryana 1971]</t>
    </r>
  </si>
  <si>
    <t>(Vide Rule 76 of Contract Labour (R&amp;A) Central &amp; Haryana, 1971)</t>
  </si>
  <si>
    <t>[Vide rule 78 (1) (b) of the Contract Labour (Regulation and Abolition) Central and Haryana Rules, 1971]</t>
  </si>
  <si>
    <t>(Vide Rule 78(1) (a) (i) of Contract Labour (Regulation and Abolition) Central /Haryana Rules 1971</t>
  </si>
  <si>
    <t>(Vide Rule 78(1) (a) (i) of Contract Labour (Regulation and Abolition) Central /A.P.Haryana1971</t>
  </si>
  <si>
    <t>(Vide Rule 78(1) (a) (i) of Contract Labour (Regulation and Abolition) Central /HaryanaRules 1971</t>
  </si>
  <si>
    <t>(Vide Rule 78(1) (a) (i) of Contract Labour (Regulation and Abolition) Central /Haryana Rules. 1971</t>
  </si>
  <si>
    <t>FORM - I</t>
  </si>
  <si>
    <t>Register of Leave</t>
  </si>
  <si>
    <t>(See Rule 14 as per Delhi Shops and Establishment rules 1954)</t>
  </si>
  <si>
    <t>Date of Employment :</t>
  </si>
  <si>
    <t xml:space="preserve">Casual or Sickness Leave </t>
  </si>
  <si>
    <t>Privilege Leave</t>
  </si>
  <si>
    <t xml:space="preserve">Amount of Leave </t>
  </si>
  <si>
    <t xml:space="preserve">Date of Application if any </t>
  </si>
  <si>
    <t>Leave Availed From</t>
  </si>
  <si>
    <t>Leave Availed To</t>
  </si>
  <si>
    <t xml:space="preserve">Total Leave Availed </t>
  </si>
  <si>
    <t>No.
of
days</t>
  </si>
  <si>
    <t xml:space="preserve">Date of Application </t>
  </si>
  <si>
    <t xml:space="preserve">Whether Application Granted or Refused Fully or Partly </t>
  </si>
  <si>
    <t>Signature of the Employer</t>
  </si>
  <si>
    <t>Balance leave Carried</t>
  </si>
  <si>
    <t>Further Leave Added in the month</t>
  </si>
  <si>
    <t>Leave Accumelated</t>
  </si>
  <si>
    <t>OOOO</t>
  </si>
  <si>
    <t>ooOO</t>
  </si>
  <si>
    <t>Infosys Ltd</t>
  </si>
  <si>
    <t>Gurgoan</t>
  </si>
  <si>
    <t>Gurgaon</t>
  </si>
  <si>
    <t>EL</t>
  </si>
  <si>
    <t>JAN'22</t>
  </si>
  <si>
    <t>FEB'22</t>
  </si>
  <si>
    <t>05.05.2022</t>
  </si>
  <si>
    <t>APRIL;22</t>
  </si>
  <si>
    <t>2022-2023</t>
  </si>
  <si>
    <t>H</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</si>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</sst>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mmmm/yyyy"/>
    <numFmt numFmtId="166" formatCode="[$-409]d/mmm/yy;@"/>
    <numFmt numFmtId="167" formatCode="_(* #,##0_);_(* \(#,##0\);_(* &quot;-&quot;??_);_(@_)"/>
    <numFmt numFmtId="168" formatCode="_ * #,##0_ ;_ * \-#,##0_ ;_ * &quot;-&quot;??_ ;_ @_ "/>
    <numFmt numFmtId="169" formatCode="[$-14009]dd/mm/yyyy;@"/>
  </numFmts>
  <fonts count="96">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b/>
      <sz val="12"/>
      <name val="Arial"/>
      <family val="2"/>
    </font>
    <font>
      <sz val="10"/>
      <color indexed="8"/>
      <name val="Arial"/>
      <family val="2"/>
    </font>
    <font>
      <sz val="10"/>
      <color theme="1"/>
      <name val="Arial"/>
      <family val="2"/>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b/>
      <sz val="25"/>
      <color indexed="8"/>
      <name val="Arial Black"/>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0"/>
      <color rgb="FF000000"/>
      <name val="Arial"/>
      <family val="2"/>
    </font>
    <font>
      <sz val="12"/>
      <color theme="1"/>
      <name val="Cambria"/>
      <family val="1"/>
      <scheme val="major"/>
    </font>
    <font>
      <sz val="11"/>
      <color indexed="8"/>
      <name val="Calibri"/>
      <family val="2"/>
      <scheme val="minor"/>
    </font>
    <font>
      <sz val="11"/>
      <name val="Cambria"/>
      <family val="1"/>
      <scheme val="major"/>
    </font>
    <font>
      <sz val="11"/>
      <color indexed="8"/>
      <name val="Cambria"/>
      <family val="1"/>
      <scheme val="major"/>
    </font>
    <font>
      <sz val="11"/>
      <color theme="1"/>
      <name val="Cambria"/>
      <family val="1"/>
      <scheme val="major"/>
    </font>
    <font>
      <sz val="11"/>
      <color rgb="FF222222"/>
      <name val="Calibri"/>
      <family val="2"/>
      <scheme val="minor"/>
    </font>
    <font>
      <b/>
      <sz val="10"/>
      <color theme="1"/>
      <name val="Arial"/>
      <family val="2"/>
    </font>
    <font>
      <u/>
      <sz val="11"/>
      <color theme="10"/>
      <name val="Calibri"/>
      <family val="2"/>
    </font>
    <font>
      <b/>
      <sz val="10"/>
      <color theme="1"/>
      <name val="Calibri"/>
      <family val="2"/>
      <scheme val="minor"/>
    </font>
    <font>
      <sz val="10"/>
      <color rgb="FF222222"/>
      <name val="Calibri"/>
      <family val="2"/>
      <scheme val="minor"/>
    </font>
    <font>
      <sz val="10"/>
      <color theme="1"/>
      <name val="Times New Roman"/>
      <family val="1"/>
    </font>
    <font>
      <sz val="11"/>
      <name val="Calibri"/>
      <family val="2"/>
    </font>
    <font>
      <sz val="11"/>
      <color indexed="8"/>
      <name val="Arial Unicode MS"/>
      <family val="2"/>
    </font>
    <font>
      <sz val="11"/>
      <color theme="0"/>
      <name val="Calibri"/>
      <family val="2"/>
      <scheme val="minor"/>
    </font>
    <font>
      <b/>
      <sz val="10"/>
      <name val="Calibri"/>
      <family val="2"/>
      <scheme val="minor"/>
    </font>
    <font>
      <b/>
      <sz val="11"/>
      <name val="Cambria"/>
      <family val="1"/>
      <scheme val="major"/>
    </font>
    <font>
      <b/>
      <sz val="12"/>
      <color rgb="FFFF0000"/>
      <name val="Arial Unicode MS"/>
      <family val="2"/>
    </font>
    <font>
      <b/>
      <sz val="16"/>
      <color theme="1"/>
      <name val="Calibri"/>
      <family val="2"/>
      <scheme val="minor"/>
    </font>
    <font>
      <b/>
      <sz val="14"/>
      <name val="Cambria"/>
      <family val="1"/>
      <scheme val="major"/>
    </font>
    <font>
      <b/>
      <sz val="14"/>
      <color indexed="8"/>
      <name val="Calibri"/>
      <family val="2"/>
      <scheme val="minor"/>
    </font>
    <font>
      <sz val="14"/>
      <name val="Calibri"/>
      <family val="2"/>
      <scheme val="minor"/>
    </font>
    <font>
      <sz val="14"/>
      <color indexed="8"/>
      <name val="Calibri"/>
      <family val="2"/>
      <scheme val="minor"/>
    </font>
    <font>
      <sz val="14"/>
      <color theme="1"/>
      <name val="Calibri"/>
      <family val="2"/>
      <scheme val="minor"/>
    </font>
    <font>
      <sz val="11"/>
      <color rgb="FFFF0000"/>
      <name val="Arial Unicode MS"/>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39997558519241921"/>
        <bgColor indexed="65"/>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s>
  <borders count="6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0">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9" fillId="0" borderId="0"/>
    <xf numFmtId="0" fontId="70" fillId="0" borderId="0"/>
    <xf numFmtId="0" fontId="79" fillId="0" borderId="0" applyNumberFormat="0" applyFill="0" applyBorder="0" applyAlignment="0" applyProtection="0">
      <alignment vertical="top"/>
      <protection locked="0"/>
    </xf>
    <xf numFmtId="0" fontId="85" fillId="5" borderId="0" applyNumberFormat="0" applyBorder="0" applyAlignment="0" applyProtection="0"/>
  </cellStyleXfs>
  <cellXfs count="1077">
    <xf numFmtId="0" fontId="0" fillId="0" borderId="0" xfId="0"/>
    <xf numFmtId="0" fontId="4" fillId="0" borderId="0" xfId="0" applyFont="1"/>
    <xf numFmtId="0" fontId="5" fillId="0" borderId="0" xfId="0" applyFont="1"/>
    <xf numFmtId="0" fontId="2" fillId="0" borderId="0" xfId="0" applyFont="1"/>
    <xf numFmtId="0" fontId="7" fillId="0" borderId="0" xfId="0" applyFo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9" fillId="0" borderId="0" xfId="0" applyFont="1"/>
    <xf numFmtId="0" fontId="10" fillId="0" borderId="0" xfId="0" applyFont="1" applyAlignment="1">
      <alignment horizontal="left"/>
    </xf>
    <xf numFmtId="17" fontId="2" fillId="0" borderId="0" xfId="0" applyNumberFormat="1" applyFont="1"/>
    <xf numFmtId="0" fontId="2" fillId="0" borderId="0" xfId="0" applyFont="1" applyAlignment="1">
      <alignment horizontal="left"/>
    </xf>
    <xf numFmtId="0" fontId="0" fillId="2" borderId="0" xfId="0" applyFill="1"/>
    <xf numFmtId="0" fontId="0" fillId="0" borderId="0" xfId="0" applyAlignment="1">
      <alignment vertical="center"/>
    </xf>
    <xf numFmtId="0" fontId="0" fillId="0" borderId="10" xfId="0" applyBorder="1"/>
    <xf numFmtId="0" fontId="8" fillId="0" borderId="0" xfId="3"/>
    <xf numFmtId="0" fontId="0" fillId="0" borderId="0" xfId="0" applyAlignment="1">
      <alignment wrapText="1"/>
    </xf>
    <xf numFmtId="0" fontId="0" fillId="0" borderId="29" xfId="0" applyBorder="1"/>
    <xf numFmtId="0" fontId="0" fillId="0" borderId="30" xfId="0" applyBorder="1"/>
    <xf numFmtId="0" fontId="8" fillId="0" borderId="29" xfId="0" applyFont="1" applyBorder="1"/>
    <xf numFmtId="0" fontId="8" fillId="0" borderId="26" xfId="0" applyFont="1" applyBorder="1"/>
    <xf numFmtId="0" fontId="0" fillId="0" borderId="26" xfId="0" applyBorder="1"/>
    <xf numFmtId="17" fontId="9" fillId="0" borderId="26" xfId="0" applyNumberFormat="1" applyFont="1" applyBorder="1"/>
    <xf numFmtId="0" fontId="9" fillId="0" borderId="29" xfId="0" applyFont="1" applyBorder="1"/>
    <xf numFmtId="2" fontId="8" fillId="0" borderId="26" xfId="0" applyNumberFormat="1" applyFont="1" applyBorder="1"/>
    <xf numFmtId="0" fontId="9" fillId="0" borderId="26" xfId="0" applyFont="1" applyBorder="1"/>
    <xf numFmtId="1" fontId="8" fillId="0" borderId="26" xfId="0" applyNumberFormat="1" applyFont="1" applyBorder="1"/>
    <xf numFmtId="0" fontId="0" fillId="0" borderId="32" xfId="0" applyBorder="1"/>
    <xf numFmtId="0" fontId="0" fillId="0" borderId="33" xfId="0" applyBorder="1"/>
    <xf numFmtId="0" fontId="0" fillId="0" borderId="34" xfId="0" applyBorder="1"/>
    <xf numFmtId="1" fontId="0" fillId="0" borderId="10" xfId="0" applyNumberFormat="1" applyBorder="1"/>
    <xf numFmtId="0" fontId="0" fillId="0" borderId="17" xfId="0" applyBorder="1"/>
    <xf numFmtId="0" fontId="0" fillId="0" borderId="18" xfId="0" applyBorder="1"/>
    <xf numFmtId="0" fontId="20" fillId="0" borderId="35" xfId="0" applyFont="1" applyBorder="1" applyAlignment="1">
      <alignment vertical="top"/>
    </xf>
    <xf numFmtId="0" fontId="8" fillId="0" borderId="36" xfId="0" applyFont="1" applyBorder="1" applyAlignment="1">
      <alignment vertical="top"/>
    </xf>
    <xf numFmtId="0" fontId="8" fillId="0" borderId="37" xfId="0" applyFont="1" applyBorder="1" applyAlignment="1">
      <alignment vertical="top"/>
    </xf>
    <xf numFmtId="0" fontId="8" fillId="0" borderId="23" xfId="0" applyFont="1" applyBorder="1" applyAlignment="1">
      <alignment vertical="top"/>
    </xf>
    <xf numFmtId="0" fontId="8" fillId="0" borderId="0" xfId="0" applyFont="1" applyAlignment="1">
      <alignment vertical="top"/>
    </xf>
    <xf numFmtId="0" fontId="8" fillId="0" borderId="38" xfId="0" applyFont="1" applyBorder="1" applyAlignment="1">
      <alignment vertical="top"/>
    </xf>
    <xf numFmtId="0" fontId="8" fillId="0" borderId="14" xfId="0" applyFont="1" applyBorder="1" applyAlignment="1">
      <alignment vertical="top"/>
    </xf>
    <xf numFmtId="0" fontId="8" fillId="0" borderId="26" xfId="0" applyFont="1" applyBorder="1" applyAlignment="1">
      <alignment vertical="top"/>
    </xf>
    <xf numFmtId="0" fontId="8" fillId="0" borderId="19" xfId="0" applyFont="1" applyBorder="1" applyAlignment="1">
      <alignment vertical="top"/>
    </xf>
    <xf numFmtId="0" fontId="8" fillId="0" borderId="35" xfId="0" applyFont="1" applyBorder="1" applyAlignment="1">
      <alignment vertical="top"/>
    </xf>
    <xf numFmtId="0" fontId="9" fillId="0" borderId="23" xfId="0" applyFont="1" applyBorder="1" applyAlignment="1">
      <alignment vertical="top"/>
    </xf>
    <xf numFmtId="0" fontId="9" fillId="3" borderId="39" xfId="0" applyFont="1" applyFill="1" applyBorder="1" applyAlignment="1">
      <alignment horizontal="center" vertical="top" wrapText="1"/>
    </xf>
    <xf numFmtId="0" fontId="9" fillId="3" borderId="10" xfId="0" applyFont="1" applyFill="1" applyBorder="1" applyAlignment="1">
      <alignment vertical="top" wrapText="1"/>
    </xf>
    <xf numFmtId="0" fontId="9" fillId="3" borderId="9" xfId="0" applyFont="1" applyFill="1" applyBorder="1" applyAlignment="1">
      <alignment vertical="top"/>
    </xf>
    <xf numFmtId="0" fontId="9" fillId="3" borderId="10" xfId="0" applyFont="1" applyFill="1" applyBorder="1" applyAlignment="1">
      <alignment horizontal="center" vertical="top" wrapText="1"/>
    </xf>
    <xf numFmtId="0" fontId="9" fillId="3" borderId="10" xfId="0" applyFont="1" applyFill="1" applyBorder="1" applyAlignment="1">
      <alignment vertical="top"/>
    </xf>
    <xf numFmtId="0" fontId="9" fillId="3" borderId="10" xfId="0" applyFont="1" applyFill="1" applyBorder="1" applyAlignment="1">
      <alignment horizontal="center" vertical="top"/>
    </xf>
    <xf numFmtId="0" fontId="22" fillId="0" borderId="10" xfId="0" applyFont="1" applyBorder="1" applyAlignment="1">
      <alignment vertical="top"/>
    </xf>
    <xf numFmtId="0" fontId="8" fillId="0" borderId="10" xfId="0" applyFont="1" applyBorder="1" applyAlignment="1">
      <alignment vertical="top"/>
    </xf>
    <xf numFmtId="0" fontId="22" fillId="0" borderId="22" xfId="0" applyFont="1" applyBorder="1" applyAlignment="1">
      <alignment vertical="top"/>
    </xf>
    <xf numFmtId="0" fontId="22" fillId="0" borderId="39" xfId="0" applyFont="1" applyBorder="1" applyAlignment="1">
      <alignment vertical="top"/>
    </xf>
    <xf numFmtId="0" fontId="22" fillId="0" borderId="9" xfId="0" applyFont="1" applyBorder="1" applyAlignment="1">
      <alignment vertical="top"/>
    </xf>
    <xf numFmtId="0" fontId="8" fillId="0" borderId="16" xfId="0" applyFont="1" applyBorder="1" applyAlignment="1">
      <alignment vertical="top"/>
    </xf>
    <xf numFmtId="0" fontId="9" fillId="3" borderId="9" xfId="0" applyFont="1" applyFill="1" applyBorder="1" applyAlignment="1">
      <alignment horizontal="center" vertical="top"/>
    </xf>
    <xf numFmtId="0" fontId="9" fillId="3" borderId="21" xfId="0" applyFont="1" applyFill="1" applyBorder="1" applyAlignment="1">
      <alignment horizontal="center" vertical="top" wrapText="1"/>
    </xf>
    <xf numFmtId="0" fontId="9" fillId="3" borderId="20" xfId="0" applyFont="1" applyFill="1" applyBorder="1" applyAlignment="1">
      <alignment horizontal="center" vertical="top" wrapText="1"/>
    </xf>
    <xf numFmtId="0" fontId="9" fillId="3" borderId="14" xfId="0" applyFont="1" applyFill="1" applyBorder="1" applyAlignment="1">
      <alignment horizontal="center" vertical="top"/>
    </xf>
    <xf numFmtId="0" fontId="9" fillId="3" borderId="9" xfId="0" applyFont="1" applyFill="1" applyBorder="1" applyAlignment="1">
      <alignment vertical="top" wrapText="1"/>
    </xf>
    <xf numFmtId="0" fontId="9" fillId="3" borderId="19" xfId="0" applyFont="1" applyFill="1" applyBorder="1" applyAlignment="1">
      <alignment horizontal="center" vertical="top"/>
    </xf>
    <xf numFmtId="0" fontId="9" fillId="3" borderId="21" xfId="0" applyFont="1" applyFill="1" applyBorder="1" applyAlignment="1">
      <alignment vertical="top"/>
    </xf>
    <xf numFmtId="0" fontId="0" fillId="0" borderId="37" xfId="0" applyBorder="1"/>
    <xf numFmtId="0" fontId="8" fillId="0" borderId="39" xfId="0" applyFont="1" applyBorder="1" applyAlignment="1">
      <alignment vertical="top"/>
    </xf>
    <xf numFmtId="0" fontId="0" fillId="0" borderId="38" xfId="0" applyBorder="1"/>
    <xf numFmtId="0" fontId="8" fillId="0" borderId="9" xfId="0" applyFont="1" applyBorder="1" applyAlignment="1">
      <alignment vertical="top"/>
    </xf>
    <xf numFmtId="0" fontId="0" fillId="0" borderId="31" xfId="0" applyBorder="1"/>
    <xf numFmtId="0" fontId="0" fillId="0" borderId="24" xfId="0" applyBorder="1"/>
    <xf numFmtId="0" fontId="8" fillId="0" borderId="22" xfId="0" applyFont="1" applyBorder="1" applyAlignment="1">
      <alignment vertical="top"/>
    </xf>
    <xf numFmtId="0" fontId="8" fillId="0" borderId="31" xfId="0" applyFont="1" applyBorder="1" applyAlignment="1">
      <alignment vertical="top"/>
    </xf>
    <xf numFmtId="0" fontId="8" fillId="0" borderId="24" xfId="0" applyFont="1" applyBorder="1" applyAlignment="1">
      <alignment vertical="top"/>
    </xf>
    <xf numFmtId="0" fontId="24" fillId="0" borderId="10" xfId="0" applyFont="1" applyBorder="1" applyAlignment="1">
      <alignment vertical="top"/>
    </xf>
    <xf numFmtId="0" fontId="9" fillId="3" borderId="9" xfId="0" applyFont="1" applyFill="1" applyBorder="1" applyAlignment="1">
      <alignment horizontal="center" vertical="top" wrapText="1"/>
    </xf>
    <xf numFmtId="0" fontId="0" fillId="0" borderId="23" xfId="0" applyBorder="1"/>
    <xf numFmtId="0" fontId="0" fillId="0" borderId="14" xfId="0" applyBorder="1"/>
    <xf numFmtId="0" fontId="0" fillId="0" borderId="19" xfId="0" applyBorder="1"/>
    <xf numFmtId="0" fontId="8" fillId="0" borderId="36" xfId="0" applyFont="1" applyBorder="1" applyAlignment="1">
      <alignment vertical="top" wrapText="1"/>
    </xf>
    <xf numFmtId="0" fontId="8" fillId="0" borderId="26" xfId="0" applyFont="1" applyBorder="1" applyAlignment="1">
      <alignment vertical="top" wrapText="1"/>
    </xf>
    <xf numFmtId="0" fontId="0" fillId="0" borderId="27" xfId="0" applyBorder="1"/>
    <xf numFmtId="0" fontId="0" fillId="0" borderId="15" xfId="0" applyBorder="1"/>
    <xf numFmtId="0" fontId="0" fillId="0" borderId="28" xfId="0" applyBorder="1"/>
    <xf numFmtId="0" fontId="2" fillId="0" borderId="29" xfId="0" applyFont="1" applyBorder="1"/>
    <xf numFmtId="0" fontId="2" fillId="0" borderId="27" xfId="0" applyFont="1" applyBorder="1"/>
    <xf numFmtId="0" fontId="2" fillId="0" borderId="15" xfId="0" applyFont="1" applyBorder="1"/>
    <xf numFmtId="0" fontId="2" fillId="0" borderId="28" xfId="0" applyFont="1" applyBorder="1"/>
    <xf numFmtId="0" fontId="2" fillId="0" borderId="30" xfId="0" applyFont="1" applyBorder="1"/>
    <xf numFmtId="0" fontId="2" fillId="0" borderId="34" xfId="0" applyFont="1" applyBorder="1"/>
    <xf numFmtId="0" fontId="2" fillId="0" borderId="32" xfId="0" applyFont="1" applyBorder="1"/>
    <xf numFmtId="0" fontId="2" fillId="0" borderId="33" xfId="0" applyFont="1" applyBorder="1"/>
    <xf numFmtId="0" fontId="0" fillId="0" borderId="29" xfId="0" applyBorder="1" applyAlignment="1">
      <alignment vertical="center"/>
    </xf>
    <xf numFmtId="0" fontId="28" fillId="0" borderId="22" xfId="0" applyFont="1" applyBorder="1"/>
    <xf numFmtId="0" fontId="2" fillId="0" borderId="31" xfId="0" applyFont="1" applyBorder="1" applyAlignment="1">
      <alignment horizontal="left" vertical="center"/>
    </xf>
    <xf numFmtId="0" fontId="2" fillId="0" borderId="22" xfId="0" applyFont="1" applyBorder="1" applyAlignment="1">
      <alignment horizontal="center" vertical="center"/>
    </xf>
    <xf numFmtId="0" fontId="2" fillId="0" borderId="31" xfId="0" applyFont="1" applyBorder="1" applyAlignment="1">
      <alignment horizontal="center" vertical="center"/>
    </xf>
    <xf numFmtId="0" fontId="2" fillId="0" borderId="24" xfId="0" applyFont="1" applyBorder="1" applyAlignment="1">
      <alignment horizontal="left" vertical="center"/>
    </xf>
    <xf numFmtId="0" fontId="2" fillId="0" borderId="14" xfId="0" applyFont="1" applyBorder="1" applyAlignment="1">
      <alignment horizontal="center" vertical="center"/>
    </xf>
    <xf numFmtId="0" fontId="2" fillId="0" borderId="26"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1" fontId="2" fillId="0" borderId="31" xfId="0" applyNumberFormat="1" applyFont="1" applyBorder="1" applyAlignment="1">
      <alignment horizontal="center" vertical="center"/>
    </xf>
    <xf numFmtId="0" fontId="28" fillId="0" borderId="35" xfId="0" applyFont="1" applyBorder="1"/>
    <xf numFmtId="0" fontId="2" fillId="0" borderId="36" xfId="0" applyFont="1" applyBorder="1"/>
    <xf numFmtId="0" fontId="2" fillId="0" borderId="37" xfId="0" applyFont="1" applyBorder="1"/>
    <xf numFmtId="0" fontId="0" fillId="0" borderId="35" xfId="0" applyBorder="1"/>
    <xf numFmtId="0" fontId="0" fillId="0" borderId="36" xfId="0" applyBorder="1"/>
    <xf numFmtId="0" fontId="0" fillId="0" borderId="47" xfId="0" applyBorder="1"/>
    <xf numFmtId="0" fontId="2" fillId="0" borderId="26" xfId="0" applyFont="1" applyBorder="1"/>
    <xf numFmtId="0" fontId="2" fillId="0" borderId="19" xfId="0" applyFont="1" applyBorder="1"/>
    <xf numFmtId="0" fontId="0" fillId="0" borderId="45" xfId="0" applyBorder="1"/>
    <xf numFmtId="1" fontId="2" fillId="0" borderId="10" xfId="0" applyNumberFormat="1" applyFont="1" applyBorder="1" applyAlignment="1">
      <alignment horizontal="center" vertical="center"/>
    </xf>
    <xf numFmtId="1" fontId="2" fillId="0" borderId="43" xfId="0" applyNumberFormat="1" applyFont="1" applyBorder="1" applyAlignment="1">
      <alignment horizontal="center" vertical="center"/>
    </xf>
    <xf numFmtId="0" fontId="29" fillId="0" borderId="0" xfId="0" applyFont="1" applyAlignment="1">
      <alignment horizontal="center"/>
    </xf>
    <xf numFmtId="0" fontId="30" fillId="0" borderId="0" xfId="0" applyFont="1" applyAlignment="1">
      <alignment horizontal="center"/>
    </xf>
    <xf numFmtId="0" fontId="31" fillId="0" borderId="0" xfId="0" applyFont="1"/>
    <xf numFmtId="0" fontId="32" fillId="0" borderId="0" xfId="0" applyFont="1" applyAlignment="1">
      <alignment wrapText="1"/>
    </xf>
    <xf numFmtId="0" fontId="32" fillId="0" borderId="0" xfId="0" applyFont="1"/>
    <xf numFmtId="0" fontId="33" fillId="0" borderId="0" xfId="0" applyFont="1" applyAlignment="1">
      <alignment horizontal="center"/>
    </xf>
    <xf numFmtId="0" fontId="33" fillId="0" borderId="0" xfId="0" applyFont="1" applyAlignment="1">
      <alignment wrapText="1"/>
    </xf>
    <xf numFmtId="0" fontId="33" fillId="0" borderId="0" xfId="0" applyFont="1"/>
    <xf numFmtId="0" fontId="34" fillId="0" borderId="39" xfId="0" applyFont="1" applyBorder="1" applyAlignment="1">
      <alignment horizontal="center" wrapText="1"/>
    </xf>
    <xf numFmtId="0" fontId="34" fillId="0" borderId="0" xfId="0" applyFont="1"/>
    <xf numFmtId="0" fontId="35" fillId="0" borderId="9" xfId="0" applyFont="1" applyBorder="1" applyAlignment="1">
      <alignment horizontal="center" vertical="center" wrapText="1"/>
    </xf>
    <xf numFmtId="0" fontId="34" fillId="0" borderId="12" xfId="0" applyFont="1" applyBorder="1" applyAlignment="1">
      <alignment horizontal="center" wrapText="1"/>
    </xf>
    <xf numFmtId="0" fontId="36" fillId="0" borderId="0" xfId="0" applyFont="1" applyAlignment="1">
      <alignment horizontal="center" vertical="center" wrapText="1"/>
    </xf>
    <xf numFmtId="0" fontId="0" fillId="0" borderId="39" xfId="0" applyBorder="1" applyAlignment="1">
      <alignment horizontal="center"/>
    </xf>
    <xf numFmtId="0" fontId="0" fillId="0" borderId="39" xfId="0" applyBorder="1" applyAlignment="1">
      <alignment horizontal="center" wrapText="1"/>
    </xf>
    <xf numFmtId="0" fontId="0" fillId="0" borderId="9" xfId="0" applyBorder="1" applyAlignment="1">
      <alignment horizontal="center"/>
    </xf>
    <xf numFmtId="0" fontId="0" fillId="0" borderId="10" xfId="0" applyBorder="1" applyAlignment="1">
      <alignment horizontal="center" wrapText="1"/>
    </xf>
    <xf numFmtId="0" fontId="0" fillId="0" borderId="10" xfId="0" applyBorder="1" applyAlignment="1">
      <alignment horizontal="left" wrapText="1"/>
    </xf>
    <xf numFmtId="1" fontId="37" fillId="2" borderId="10" xfId="0" applyNumberFormat="1" applyFont="1" applyFill="1" applyBorder="1"/>
    <xf numFmtId="1" fontId="5" fillId="2" borderId="10" xfId="4" applyNumberFormat="1" applyFont="1" applyFill="1" applyBorder="1" applyAlignment="1">
      <alignment horizontal="left"/>
    </xf>
    <xf numFmtId="0" fontId="0" fillId="2" borderId="30" xfId="0" applyFill="1" applyBorder="1" applyAlignment="1">
      <alignment horizontal="center" vertical="top" wrapText="1"/>
    </xf>
    <xf numFmtId="0" fontId="39" fillId="2" borderId="30" xfId="0" applyFont="1" applyFill="1" applyBorder="1" applyAlignment="1">
      <alignment horizontal="center" vertical="top" wrapText="1"/>
    </xf>
    <xf numFmtId="0" fontId="39" fillId="2" borderId="29" xfId="0" applyFont="1" applyFill="1" applyBorder="1" applyAlignment="1">
      <alignment horizontal="center" vertical="top" wrapText="1"/>
    </xf>
    <xf numFmtId="0" fontId="40" fillId="2" borderId="29" xfId="0" applyFont="1" applyFill="1" applyBorder="1" applyAlignment="1">
      <alignment horizontal="center" vertical="top" wrapText="1"/>
    </xf>
    <xf numFmtId="0" fontId="40" fillId="2" borderId="30" xfId="0" applyFont="1" applyFill="1" applyBorder="1" applyAlignment="1">
      <alignment horizontal="center" vertical="top" wrapText="1"/>
    </xf>
    <xf numFmtId="0" fontId="41" fillId="2" borderId="29" xfId="0" applyFont="1" applyFill="1" applyBorder="1" applyAlignment="1">
      <alignment horizontal="left" vertical="center"/>
    </xf>
    <xf numFmtId="0" fontId="41" fillId="2" borderId="29" xfId="0" applyFont="1" applyFill="1" applyBorder="1"/>
    <xf numFmtId="0" fontId="41" fillId="2" borderId="30" xfId="0" applyFont="1" applyFill="1" applyBorder="1"/>
    <xf numFmtId="0" fontId="42" fillId="2" borderId="29" xfId="0" applyFont="1" applyFill="1" applyBorder="1"/>
    <xf numFmtId="0" fontId="42" fillId="2" borderId="30" xfId="0" applyFont="1" applyFill="1" applyBorder="1"/>
    <xf numFmtId="0" fontId="43" fillId="2" borderId="30" xfId="0" applyFont="1" applyFill="1" applyBorder="1" applyAlignment="1">
      <alignment horizontal="justify" vertical="top" wrapText="1"/>
    </xf>
    <xf numFmtId="0" fontId="0" fillId="2" borderId="30" xfId="0" applyFill="1" applyBorder="1" applyAlignment="1">
      <alignment horizontal="justify" vertical="top" wrapText="1"/>
    </xf>
    <xf numFmtId="0" fontId="44" fillId="2" borderId="29" xfId="0" applyFont="1" applyFill="1" applyBorder="1" applyAlignment="1">
      <alignment horizontal="center" vertical="top" wrapText="1"/>
    </xf>
    <xf numFmtId="0" fontId="44" fillId="2" borderId="30" xfId="0" applyFont="1" applyFill="1" applyBorder="1" applyAlignment="1">
      <alignment horizontal="center" vertical="top" wrapText="1"/>
    </xf>
    <xf numFmtId="0" fontId="44" fillId="2" borderId="49" xfId="0" applyFont="1" applyFill="1" applyBorder="1" applyAlignment="1">
      <alignment horizontal="center" vertical="center" wrapText="1"/>
    </xf>
    <xf numFmtId="0" fontId="44" fillId="2" borderId="44" xfId="0" applyFont="1" applyFill="1" applyBorder="1" applyAlignment="1">
      <alignment horizontal="center" vertical="center" wrapText="1"/>
    </xf>
    <xf numFmtId="0" fontId="0" fillId="0" borderId="50" xfId="0" applyBorder="1" applyAlignment="1">
      <alignment vertical="center"/>
    </xf>
    <xf numFmtId="17" fontId="2" fillId="0" borderId="0" xfId="0" applyNumberFormat="1" applyFont="1" applyAlignment="1">
      <alignment horizontal="center"/>
    </xf>
    <xf numFmtId="0" fontId="8" fillId="2" borderId="0" xfId="0" applyFont="1" applyFill="1"/>
    <xf numFmtId="0" fontId="47" fillId="0" borderId="0" xfId="0" applyFont="1"/>
    <xf numFmtId="0" fontId="2" fillId="0" borderId="10" xfId="0" applyFont="1" applyBorder="1"/>
    <xf numFmtId="1" fontId="2" fillId="0" borderId="29" xfId="0" applyNumberFormat="1" applyFont="1" applyBorder="1"/>
    <xf numFmtId="1" fontId="0" fillId="0" borderId="0" xfId="0" applyNumberFormat="1"/>
    <xf numFmtId="0" fontId="2" fillId="0" borderId="36" xfId="0" applyFont="1" applyBorder="1" applyAlignment="1">
      <alignment horizontal="left" vertical="center"/>
    </xf>
    <xf numFmtId="0" fontId="2" fillId="0" borderId="37" xfId="0" applyFont="1" applyBorder="1" applyAlignment="1">
      <alignment horizontal="left"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 fontId="2" fillId="0" borderId="36" xfId="0" applyNumberFormat="1" applyFont="1" applyBorder="1" applyAlignment="1">
      <alignment horizontal="center" vertical="center"/>
    </xf>
    <xf numFmtId="0" fontId="2" fillId="0" borderId="47"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9" xfId="0" applyBorder="1" applyAlignment="1">
      <alignment horizontal="center"/>
    </xf>
    <xf numFmtId="0" fontId="0" fillId="0" borderId="30" xfId="0" applyBorder="1" applyAlignment="1">
      <alignment horizontal="center"/>
    </xf>
    <xf numFmtId="1" fontId="2" fillId="0" borderId="10" xfId="0" applyNumberFormat="1" applyFont="1" applyBorder="1" applyAlignment="1">
      <alignment horizontal="center" vertical="center" wrapText="1"/>
    </xf>
    <xf numFmtId="1" fontId="2" fillId="0" borderId="22" xfId="0" applyNumberFormat="1" applyFont="1" applyBorder="1" applyAlignment="1">
      <alignment horizontal="center" vertical="center"/>
    </xf>
    <xf numFmtId="1" fontId="2" fillId="0" borderId="22" xfId="0" applyNumberFormat="1" applyFont="1" applyBorder="1" applyAlignment="1">
      <alignment horizontal="center" vertical="center" wrapText="1"/>
    </xf>
    <xf numFmtId="0" fontId="2" fillId="0" borderId="10" xfId="0" applyFont="1" applyBorder="1" applyAlignment="1">
      <alignment horizontal="center" wrapText="1"/>
    </xf>
    <xf numFmtId="0" fontId="28" fillId="0" borderId="22" xfId="5" applyNumberFormat="1" applyFont="1" applyBorder="1"/>
    <xf numFmtId="1" fontId="2" fillId="0" borderId="24" xfId="0" applyNumberFormat="1" applyFont="1" applyBorder="1" applyAlignment="1">
      <alignment horizontal="center" vertical="center" wrapText="1"/>
    </xf>
    <xf numFmtId="0" fontId="2" fillId="0" borderId="0" xfId="0" applyFont="1" applyAlignment="1">
      <alignment horizontal="left" vertical="center"/>
    </xf>
    <xf numFmtId="0" fontId="2" fillId="0" borderId="22" xfId="0" applyFont="1" applyBorder="1" applyAlignment="1">
      <alignment horizontal="right" vertical="center"/>
    </xf>
    <xf numFmtId="1" fontId="0" fillId="0" borderId="31" xfId="0" applyNumberFormat="1" applyBorder="1"/>
    <xf numFmtId="0" fontId="49" fillId="0" borderId="0" xfId="0" applyFont="1"/>
    <xf numFmtId="0" fontId="28"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30" xfId="0" applyFont="1" applyBorder="1" applyAlignment="1">
      <alignment horizontal="center" vertical="center"/>
    </xf>
    <xf numFmtId="0" fontId="26" fillId="0" borderId="15" xfId="0" applyFont="1" applyBorder="1"/>
    <xf numFmtId="0" fontId="26" fillId="0" borderId="28" xfId="0" applyFont="1" applyBorder="1"/>
    <xf numFmtId="0" fontId="50" fillId="0" borderId="15" xfId="0" applyFont="1" applyBorder="1"/>
    <xf numFmtId="0" fontId="0" fillId="0" borderId="0" xfId="0" applyAlignment="1">
      <alignment vertical="top"/>
    </xf>
    <xf numFmtId="0" fontId="2" fillId="0" borderId="0" xfId="0" applyFont="1" applyAlignment="1">
      <alignment vertical="center" wrapText="1"/>
    </xf>
    <xf numFmtId="0" fontId="2" fillId="0" borderId="31" xfId="0" applyFont="1" applyBorder="1"/>
    <xf numFmtId="0" fontId="2" fillId="0" borderId="24" xfId="0" applyFont="1" applyBorder="1"/>
    <xf numFmtId="0" fontId="2" fillId="0" borderId="22" xfId="0" applyFont="1" applyBorder="1"/>
    <xf numFmtId="0" fontId="0" fillId="0" borderId="22" xfId="0" applyBorder="1"/>
    <xf numFmtId="0" fontId="2" fillId="0" borderId="24" xfId="0" applyFont="1" applyBorder="1" applyAlignment="1">
      <alignment horizontal="center" vertical="center"/>
    </xf>
    <xf numFmtId="0" fontId="2" fillId="0" borderId="22" xfId="0" applyFont="1" applyBorder="1" applyAlignment="1">
      <alignment horizontal="center" wrapText="1"/>
    </xf>
    <xf numFmtId="0" fontId="2" fillId="0" borderId="22" xfId="0" applyFont="1" applyBorder="1" applyAlignment="1">
      <alignment horizontal="left" wrapText="1"/>
    </xf>
    <xf numFmtId="0" fontId="2" fillId="0" borderId="30" xfId="0" applyFont="1" applyBorder="1" applyAlignment="1">
      <alignment vertical="center" wrapText="1"/>
    </xf>
    <xf numFmtId="0" fontId="0" fillId="0" borderId="46" xfId="0" applyBorder="1"/>
    <xf numFmtId="0" fontId="52" fillId="2" borderId="36" xfId="0" applyFont="1" applyFill="1" applyBorder="1" applyAlignment="1">
      <alignment vertical="center"/>
    </xf>
    <xf numFmtId="0" fontId="52" fillId="2" borderId="37" xfId="0" applyFont="1" applyFill="1" applyBorder="1" applyAlignment="1">
      <alignment vertical="center"/>
    </xf>
    <xf numFmtId="0" fontId="52" fillId="2" borderId="14" xfId="0" applyFont="1" applyFill="1" applyBorder="1" applyAlignment="1">
      <alignment vertical="center"/>
    </xf>
    <xf numFmtId="0" fontId="52" fillId="2" borderId="26" xfId="0" applyFont="1" applyFill="1" applyBorder="1" applyAlignment="1">
      <alignment vertical="center"/>
    </xf>
    <xf numFmtId="0" fontId="52" fillId="2" borderId="19" xfId="0" applyFont="1" applyFill="1" applyBorder="1" applyAlignment="1">
      <alignment vertical="center"/>
    </xf>
    <xf numFmtId="0" fontId="52" fillId="2" borderId="0" xfId="0" applyFont="1" applyFill="1" applyAlignment="1">
      <alignment vertical="center"/>
    </xf>
    <xf numFmtId="0" fontId="52" fillId="2" borderId="0" xfId="0" applyFont="1" applyFill="1" applyAlignment="1">
      <alignment horizontal="center" vertical="center"/>
    </xf>
    <xf numFmtId="0" fontId="52" fillId="2" borderId="22" xfId="0" applyFont="1" applyFill="1" applyBorder="1" applyAlignment="1">
      <alignment horizontal="center" vertical="center"/>
    </xf>
    <xf numFmtId="0" fontId="52" fillId="2" borderId="31" xfId="0" applyFont="1" applyFill="1" applyBorder="1" applyAlignment="1">
      <alignment vertical="center"/>
    </xf>
    <xf numFmtId="0" fontId="52" fillId="2" borderId="24" xfId="0" applyFont="1" applyFill="1" applyBorder="1" applyAlignment="1">
      <alignment vertical="center"/>
    </xf>
    <xf numFmtId="0" fontId="2" fillId="0" borderId="22" xfId="0" applyFont="1" applyBorder="1" applyAlignment="1">
      <alignment horizontal="left" vertical="center"/>
    </xf>
    <xf numFmtId="0" fontId="27" fillId="0" borderId="0" xfId="0" applyFont="1"/>
    <xf numFmtId="0" fontId="5" fillId="0" borderId="22" xfId="0" applyFont="1" applyBorder="1"/>
    <xf numFmtId="0" fontId="5" fillId="0" borderId="35" xfId="0" applyFont="1" applyBorder="1"/>
    <xf numFmtId="0" fontId="27" fillId="0" borderId="36" xfId="0" applyFont="1" applyBorder="1"/>
    <xf numFmtId="0" fontId="5" fillId="0" borderId="31" xfId="0" applyFont="1" applyBorder="1"/>
    <xf numFmtId="0" fontId="52" fillId="0" borderId="22" xfId="0" applyFont="1" applyBorder="1" applyAlignment="1">
      <alignment vertical="center"/>
    </xf>
    <xf numFmtId="0" fontId="53" fillId="2" borderId="36" xfId="0" applyFont="1" applyFill="1" applyBorder="1" applyAlignment="1" applyProtection="1">
      <alignment horizontal="center" vertical="center"/>
      <protection locked="0"/>
    </xf>
    <xf numFmtId="0" fontId="52" fillId="2" borderId="22" xfId="0" applyFont="1" applyFill="1" applyBorder="1" applyAlignment="1">
      <alignment vertical="center"/>
    </xf>
    <xf numFmtId="0" fontId="11" fillId="0" borderId="0" xfId="0" applyFont="1"/>
    <xf numFmtId="0" fontId="2" fillId="0" borderId="0" xfId="0" applyFont="1" applyAlignment="1">
      <alignment vertical="top"/>
    </xf>
    <xf numFmtId="0" fontId="52" fillId="2" borderId="0" xfId="0" applyFont="1" applyFill="1" applyAlignment="1">
      <alignment vertical="center" wrapText="1"/>
    </xf>
    <xf numFmtId="0" fontId="52" fillId="2" borderId="10" xfId="0" applyFont="1" applyFill="1" applyBorder="1" applyAlignment="1">
      <alignment vertical="center" wrapText="1"/>
    </xf>
    <xf numFmtId="0" fontId="52" fillId="2" borderId="22" xfId="0" applyFont="1" applyFill="1" applyBorder="1" applyAlignment="1">
      <alignment vertical="center" wrapText="1"/>
    </xf>
    <xf numFmtId="0" fontId="52" fillId="2" borderId="24" xfId="0" applyFont="1" applyFill="1" applyBorder="1" applyAlignment="1">
      <alignment vertical="center" wrapText="1"/>
    </xf>
    <xf numFmtId="0" fontId="55" fillId="2" borderId="0" xfId="0" applyFont="1" applyFill="1" applyAlignment="1">
      <alignment vertical="center"/>
    </xf>
    <xf numFmtId="0" fontId="55" fillId="2" borderId="31" xfId="0" applyFont="1" applyFill="1" applyBorder="1" applyAlignment="1">
      <alignment vertical="center"/>
    </xf>
    <xf numFmtId="0" fontId="58" fillId="0" borderId="0" xfId="0" applyFont="1" applyAlignment="1">
      <alignment horizontal="left" vertical="center"/>
    </xf>
    <xf numFmtId="0" fontId="58" fillId="0" borderId="0" xfId="0" applyFont="1"/>
    <xf numFmtId="0" fontId="54" fillId="2" borderId="0" xfId="0" applyFont="1" applyFill="1" applyAlignment="1">
      <alignment vertical="center"/>
    </xf>
    <xf numFmtId="0" fontId="59"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31" xfId="0" applyFont="1" applyBorder="1"/>
    <xf numFmtId="0" fontId="61" fillId="0" borderId="31" xfId="0" applyFont="1" applyBorder="1" applyAlignment="1">
      <alignment horizontal="left" vertical="center"/>
    </xf>
    <xf numFmtId="0" fontId="61" fillId="0" borderId="24" xfId="0" applyFont="1" applyBorder="1" applyAlignment="1">
      <alignment horizontal="left" vertical="center"/>
    </xf>
    <xf numFmtId="0" fontId="62" fillId="0" borderId="22" xfId="0" applyFont="1" applyBorder="1" applyAlignment="1">
      <alignment horizontal="left" vertical="center"/>
    </xf>
    <xf numFmtId="0" fontId="62" fillId="0" borderId="0" xfId="0" applyFont="1" applyAlignment="1">
      <alignment horizontal="left" vertical="center"/>
    </xf>
    <xf numFmtId="0" fontId="62" fillId="0" borderId="0" xfId="0" applyFont="1"/>
    <xf numFmtId="0" fontId="63" fillId="0" borderId="0" xfId="0" applyFont="1"/>
    <xf numFmtId="0" fontId="63" fillId="0" borderId="0" xfId="5" applyNumberFormat="1" applyFont="1"/>
    <xf numFmtId="0" fontId="64" fillId="0" borderId="0" xfId="0" applyFont="1"/>
    <xf numFmtId="0" fontId="27" fillId="0" borderId="30" xfId="0" applyFont="1" applyBorder="1"/>
    <xf numFmtId="0" fontId="61" fillId="0" borderId="0" xfId="0" applyFont="1" applyAlignment="1">
      <alignment horizontal="left" vertical="center"/>
    </xf>
    <xf numFmtId="0" fontId="27" fillId="0" borderId="47" xfId="0" applyFont="1" applyBorder="1"/>
    <xf numFmtId="0" fontId="5" fillId="0" borderId="46" xfId="0" applyFont="1" applyBorder="1"/>
    <xf numFmtId="0" fontId="52" fillId="2" borderId="46" xfId="0" applyFont="1" applyFill="1" applyBorder="1" applyAlignment="1">
      <alignment vertical="center"/>
    </xf>
    <xf numFmtId="0" fontId="52" fillId="2" borderId="43" xfId="0" applyFont="1" applyFill="1" applyBorder="1" applyAlignment="1">
      <alignment horizontal="center" vertical="center"/>
    </xf>
    <xf numFmtId="0" fontId="55" fillId="2" borderId="46" xfId="0" applyFont="1" applyFill="1" applyBorder="1" applyAlignment="1">
      <alignment vertical="center"/>
    </xf>
    <xf numFmtId="0" fontId="59" fillId="0" borderId="30" xfId="0" applyFont="1" applyBorder="1" applyAlignment="1">
      <alignment horizontal="left" vertical="top" wrapText="1"/>
    </xf>
    <xf numFmtId="0" fontId="54" fillId="2" borderId="30" xfId="0" applyFont="1" applyFill="1" applyBorder="1" applyAlignment="1">
      <alignment vertical="center"/>
    </xf>
    <xf numFmtId="2" fontId="2" fillId="0" borderId="0" xfId="0" applyNumberFormat="1" applyFont="1" applyAlignment="1">
      <alignment horizontal="center" vertical="center"/>
    </xf>
    <xf numFmtId="0" fontId="67" fillId="0" borderId="0" xfId="0" applyFont="1" applyAlignment="1">
      <alignment vertical="center"/>
    </xf>
    <xf numFmtId="0" fontId="24" fillId="0" borderId="29" xfId="0" applyFont="1" applyBorder="1"/>
    <xf numFmtId="0" fontId="67" fillId="0" borderId="29" xfId="0" applyFont="1" applyBorder="1" applyAlignment="1">
      <alignment horizontal="left" vertical="center" wrapText="1"/>
    </xf>
    <xf numFmtId="0" fontId="0" fillId="0" borderId="29" xfId="0" applyBorder="1" applyAlignment="1">
      <alignment vertical="center" wrapText="1"/>
    </xf>
    <xf numFmtId="0" fontId="0" fillId="0" borderId="0" xfId="0" applyAlignment="1">
      <alignment vertical="center" wrapText="1"/>
    </xf>
    <xf numFmtId="0" fontId="0" fillId="0" borderId="30" xfId="0" applyBorder="1" applyAlignment="1">
      <alignment vertical="center" wrapText="1"/>
    </xf>
    <xf numFmtId="0" fontId="24" fillId="0" borderId="0" xfId="0" applyFont="1"/>
    <xf numFmtId="0" fontId="24" fillId="0" borderId="30" xfId="0" applyFont="1" applyBorder="1"/>
    <xf numFmtId="0" fontId="24" fillId="0" borderId="50"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43" xfId="0" applyFont="1" applyBorder="1" applyAlignment="1">
      <alignment horizontal="center" vertical="center" wrapText="1"/>
    </xf>
    <xf numFmtId="0" fontId="0" fillId="0" borderId="50" xfId="0" applyBorder="1" applyAlignment="1">
      <alignment horizontal="center"/>
    </xf>
    <xf numFmtId="0" fontId="0" fillId="0" borderId="10" xfId="0" applyBorder="1" applyAlignment="1">
      <alignment horizontal="center"/>
    </xf>
    <xf numFmtId="0" fontId="0" fillId="0" borderId="43" xfId="0" applyBorder="1" applyAlignment="1">
      <alignment horizontal="center"/>
    </xf>
    <xf numFmtId="0" fontId="0" fillId="0" borderId="43" xfId="0" applyBorder="1"/>
    <xf numFmtId="0" fontId="20" fillId="0" borderId="0" xfId="0" applyFont="1"/>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30" xfId="0" applyFont="1" applyBorder="1" applyAlignment="1">
      <alignment horizontal="left" vertical="center"/>
    </xf>
    <xf numFmtId="0" fontId="0" fillId="0" borderId="30" xfId="0" applyBorder="1" applyAlignment="1">
      <alignment horizontal="left" vertical="center"/>
    </xf>
    <xf numFmtId="0" fontId="9" fillId="0" borderId="29" xfId="0" applyFont="1" applyBorder="1" applyAlignment="1">
      <alignment vertical="center"/>
    </xf>
    <xf numFmtId="0" fontId="24" fillId="0" borderId="0" xfId="0" applyFont="1" applyAlignment="1">
      <alignment horizontal="center"/>
    </xf>
    <xf numFmtId="1" fontId="11" fillId="0" borderId="0" xfId="0" applyNumberFormat="1" applyFont="1"/>
    <xf numFmtId="0" fontId="0" fillId="0" borderId="8" xfId="0" applyBorder="1"/>
    <xf numFmtId="0" fontId="24" fillId="0" borderId="16" xfId="0" applyFont="1" applyBorder="1"/>
    <xf numFmtId="0" fontId="2" fillId="0" borderId="17" xfId="0" applyFont="1" applyBorder="1"/>
    <xf numFmtId="0" fontId="0" fillId="0" borderId="50" xfId="0" applyBorder="1"/>
    <xf numFmtId="0" fontId="24" fillId="0" borderId="34" xfId="0" applyFont="1" applyBorder="1"/>
    <xf numFmtId="0" fontId="0" fillId="0" borderId="0" xfId="0" applyAlignment="1">
      <alignment horizontal="center" vertical="center"/>
    </xf>
    <xf numFmtId="0" fontId="9" fillId="0" borderId="0" xfId="0" applyFont="1" applyAlignment="1">
      <alignment horizontal="left"/>
    </xf>
    <xf numFmtId="0" fontId="0" fillId="0" borderId="10" xfId="0" applyBorder="1" applyAlignment="1">
      <alignment horizontal="center" vertical="center" wrapText="1"/>
    </xf>
    <xf numFmtId="0" fontId="68" fillId="0" borderId="50" xfId="0" applyFont="1" applyBorder="1" applyAlignment="1">
      <alignment horizontal="center"/>
    </xf>
    <xf numFmtId="0" fontId="68" fillId="0" borderId="10" xfId="0" applyFont="1" applyBorder="1" applyAlignment="1">
      <alignment horizontal="center"/>
    </xf>
    <xf numFmtId="0" fontId="68" fillId="0" borderId="43" xfId="0" applyFont="1" applyBorder="1" applyAlignment="1">
      <alignment horizontal="center"/>
    </xf>
    <xf numFmtId="0" fontId="8" fillId="0" borderId="17" xfId="0" applyFont="1" applyBorder="1"/>
    <xf numFmtId="14" fontId="0" fillId="0" borderId="0" xfId="0" applyNumberFormat="1"/>
    <xf numFmtId="9" fontId="0" fillId="0" borderId="10" xfId="0" applyNumberFormat="1" applyBorder="1"/>
    <xf numFmtId="0" fontId="63" fillId="0" borderId="22" xfId="0" applyFont="1" applyBorder="1"/>
    <xf numFmtId="14" fontId="0" fillId="0" borderId="32" xfId="0" applyNumberFormat="1" applyBorder="1"/>
    <xf numFmtId="1" fontId="27" fillId="0" borderId="36" xfId="0" applyNumberFormat="1" applyFont="1" applyBorder="1"/>
    <xf numFmtId="14" fontId="2" fillId="0" borderId="0" xfId="0" applyNumberFormat="1" applyFont="1"/>
    <xf numFmtId="1" fontId="11" fillId="0" borderId="31" xfId="0" applyNumberFormat="1" applyFont="1" applyBorder="1"/>
    <xf numFmtId="9" fontId="0" fillId="0" borderId="30" xfId="0" applyNumberFormat="1" applyBorder="1" applyAlignment="1">
      <alignment horizontal="center"/>
    </xf>
    <xf numFmtId="14" fontId="24" fillId="0" borderId="0" xfId="0" applyNumberFormat="1" applyFont="1"/>
    <xf numFmtId="1" fontId="0" fillId="0" borderId="29" xfId="0" applyNumberFormat="1" applyBorder="1"/>
    <xf numFmtId="0" fontId="0" fillId="0" borderId="52" xfId="0" applyBorder="1"/>
    <xf numFmtId="1" fontId="8" fillId="0" borderId="0" xfId="0" applyNumberFormat="1" applyFont="1"/>
    <xf numFmtId="0" fontId="8" fillId="0" borderId="52" xfId="0" applyFont="1" applyBorder="1"/>
    <xf numFmtId="1" fontId="8" fillId="0" borderId="52" xfId="0" applyNumberFormat="1" applyFont="1" applyBorder="1"/>
    <xf numFmtId="1" fontId="0" fillId="0" borderId="52" xfId="0" applyNumberFormat="1" applyBorder="1"/>
    <xf numFmtId="1" fontId="13" fillId="2" borderId="52" xfId="0" applyNumberFormat="1" applyFont="1" applyFill="1" applyBorder="1"/>
    <xf numFmtId="1" fontId="5" fillId="2" borderId="10" xfId="0" quotePrefix="1" applyNumberFormat="1" applyFont="1" applyFill="1" applyBorder="1" applyAlignment="1">
      <alignment horizontal="left"/>
    </xf>
    <xf numFmtId="0" fontId="8" fillId="2" borderId="52" xfId="3" applyFont="1" applyFill="1" applyBorder="1" applyAlignment="1">
      <alignment horizontal="center"/>
    </xf>
    <xf numFmtId="0" fontId="10" fillId="2" borderId="52" xfId="0" applyFont="1" applyFill="1" applyBorder="1" applyAlignment="1">
      <alignment horizontal="center"/>
    </xf>
    <xf numFmtId="0" fontId="0" fillId="0" borderId="0" xfId="0" applyBorder="1"/>
    <xf numFmtId="0" fontId="2" fillId="0" borderId="0" xfId="0" applyFont="1" applyBorder="1"/>
    <xf numFmtId="0" fontId="2" fillId="0" borderId="56" xfId="0" applyFont="1" applyBorder="1" applyAlignment="1">
      <alignment horizontal="left" vertical="center"/>
    </xf>
    <xf numFmtId="0" fontId="2" fillId="0" borderId="55" xfId="0" applyFont="1" applyBorder="1" applyAlignment="1">
      <alignment horizontal="center" vertical="center"/>
    </xf>
    <xf numFmtId="0" fontId="0" fillId="0" borderId="56" xfId="0" applyBorder="1" applyAlignment="1">
      <alignment vertical="center"/>
    </xf>
    <xf numFmtId="1" fontId="2" fillId="0" borderId="56" xfId="0" applyNumberFormat="1" applyFont="1" applyBorder="1" applyAlignment="1">
      <alignment horizontal="center" vertical="center"/>
    </xf>
    <xf numFmtId="0" fontId="0" fillId="0" borderId="0" xfId="0" applyAlignment="1">
      <alignment horizontal="center"/>
    </xf>
    <xf numFmtId="1" fontId="0" fillId="0" borderId="10" xfId="0" applyNumberFormat="1" applyBorder="1" applyAlignment="1">
      <alignment horizontal="center" wrapText="1"/>
    </xf>
    <xf numFmtId="0" fontId="0" fillId="2" borderId="52" xfId="0" applyFill="1" applyBorder="1" applyAlignment="1">
      <alignment horizontal="center"/>
    </xf>
    <xf numFmtId="0" fontId="72" fillId="2" borderId="52" xfId="0" applyFont="1" applyFill="1" applyBorder="1" applyAlignment="1">
      <alignment horizontal="left"/>
    </xf>
    <xf numFmtId="0" fontId="9" fillId="2" borderId="16"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20" xfId="0" applyFont="1" applyFill="1" applyBorder="1" applyAlignment="1">
      <alignment horizontal="center" wrapText="1"/>
    </xf>
    <xf numFmtId="0" fontId="9" fillId="2" borderId="9" xfId="0" applyFont="1" applyFill="1" applyBorder="1" applyAlignment="1">
      <alignment horizontal="center" vertical="center" wrapText="1"/>
    </xf>
    <xf numFmtId="0" fontId="9" fillId="2" borderId="30" xfId="0" applyFont="1" applyFill="1" applyBorder="1" applyAlignment="1">
      <alignment horizontal="center" wrapText="1"/>
    </xf>
    <xf numFmtId="0" fontId="2" fillId="2" borderId="3" xfId="0" applyFont="1" applyFill="1" applyBorder="1" applyAlignment="1">
      <alignment horizontal="center" vertical="center"/>
    </xf>
    <xf numFmtId="0" fontId="2" fillId="2" borderId="52" xfId="0" applyFont="1" applyFill="1" applyBorder="1" applyAlignment="1">
      <alignment horizontal="center" wrapText="1"/>
    </xf>
    <xf numFmtId="1" fontId="10" fillId="2" borderId="52" xfId="1" applyNumberFormat="1" applyFont="1" applyFill="1" applyBorder="1"/>
    <xf numFmtId="14" fontId="72" fillId="2" borderId="52" xfId="0" applyNumberFormat="1" applyFont="1" applyFill="1" applyBorder="1" applyAlignment="1">
      <alignment horizontal="left"/>
    </xf>
    <xf numFmtId="1" fontId="13" fillId="2" borderId="52" xfId="0" applyNumberFormat="1" applyFont="1" applyFill="1" applyBorder="1" applyAlignment="1">
      <alignment horizontal="center"/>
    </xf>
    <xf numFmtId="14" fontId="0" fillId="2" borderId="52" xfId="0" applyNumberFormat="1" applyFill="1" applyBorder="1" applyAlignment="1">
      <alignment horizontal="left"/>
    </xf>
    <xf numFmtId="0" fontId="2" fillId="2" borderId="0" xfId="0" applyFont="1" applyFill="1" applyAlignment="1">
      <alignment horizontal="left"/>
    </xf>
    <xf numFmtId="0" fontId="0" fillId="2" borderId="0" xfId="0" applyFill="1" applyAlignment="1">
      <alignment horizontal="center"/>
    </xf>
    <xf numFmtId="0" fontId="5" fillId="2" borderId="0" xfId="0" applyFont="1" applyFill="1"/>
    <xf numFmtId="0" fontId="6" fillId="2" borderId="0" xfId="0" applyFont="1" applyFill="1"/>
    <xf numFmtId="0" fontId="2" fillId="2" borderId="0" xfId="0" applyFont="1" applyFill="1"/>
    <xf numFmtId="0" fontId="4" fillId="2" borderId="0" xfId="0" applyFont="1" applyFill="1"/>
    <xf numFmtId="0" fontId="7" fillId="2" borderId="0" xfId="0" applyFont="1" applyFill="1"/>
    <xf numFmtId="0" fontId="2" fillId="2" borderId="0" xfId="0" applyFont="1" applyFill="1" applyAlignment="1">
      <alignment horizontal="center"/>
    </xf>
    <xf numFmtId="0" fontId="0" fillId="2" borderId="0" xfId="0" applyFill="1" applyAlignment="1">
      <alignment horizontal="left"/>
    </xf>
    <xf numFmtId="0" fontId="7" fillId="2" borderId="0" xfId="0" applyFont="1" applyFill="1" applyAlignment="1">
      <alignment horizontal="center"/>
    </xf>
    <xf numFmtId="0" fontId="71" fillId="2" borderId="0" xfId="0" applyFont="1" applyFill="1"/>
    <xf numFmtId="0" fontId="9" fillId="2" borderId="0" xfId="0" applyFont="1" applyFill="1"/>
    <xf numFmtId="0" fontId="10" fillId="2" borderId="0" xfId="0" applyFont="1" applyFill="1" applyAlignment="1">
      <alignment horizontal="left"/>
    </xf>
    <xf numFmtId="17" fontId="2" fillId="2" borderId="0" xfId="0" applyNumberFormat="1" applyFont="1" applyFill="1"/>
    <xf numFmtId="0" fontId="10" fillId="2" borderId="0" xfId="0" applyFont="1" applyFill="1"/>
    <xf numFmtId="0" fontId="10" fillId="2" borderId="0" xfId="0" applyFont="1" applyFill="1" applyAlignment="1">
      <alignment horizontal="center"/>
    </xf>
    <xf numFmtId="0" fontId="0" fillId="2" borderId="0" xfId="0" applyFill="1" applyAlignment="1">
      <alignment vertical="center"/>
    </xf>
    <xf numFmtId="0" fontId="72" fillId="2" borderId="52" xfId="0" applyFont="1" applyFill="1" applyBorder="1"/>
    <xf numFmtId="1" fontId="57" fillId="2" borderId="52" xfId="0" applyNumberFormat="1" applyFont="1" applyFill="1" applyBorder="1"/>
    <xf numFmtId="1" fontId="57" fillId="2" borderId="52" xfId="1" applyNumberFormat="1" applyFont="1" applyFill="1" applyBorder="1" applyAlignment="1">
      <alignment horizontal="center"/>
    </xf>
    <xf numFmtId="1" fontId="57" fillId="2" borderId="52" xfId="1" applyNumberFormat="1" applyFont="1" applyFill="1" applyBorder="1"/>
    <xf numFmtId="0" fontId="1" fillId="2" borderId="52" xfId="0" applyFont="1" applyFill="1" applyBorder="1"/>
    <xf numFmtId="0" fontId="1" fillId="2" borderId="52" xfId="0" applyFont="1" applyFill="1" applyBorder="1" applyAlignment="1"/>
    <xf numFmtId="0" fontId="10" fillId="2" borderId="52" xfId="0" applyFont="1" applyFill="1" applyBorder="1" applyAlignment="1"/>
    <xf numFmtId="0" fontId="10" fillId="2" borderId="52" xfId="0" applyFont="1" applyFill="1" applyBorder="1" applyAlignment="1">
      <alignment horizontal="left"/>
    </xf>
    <xf numFmtId="0" fontId="10" fillId="2" borderId="52" xfId="3" applyFont="1" applyFill="1" applyBorder="1" applyAlignment="1"/>
    <xf numFmtId="0" fontId="10" fillId="2" borderId="52" xfId="3" applyFont="1" applyFill="1" applyBorder="1" applyAlignment="1">
      <alignment horizontal="left"/>
    </xf>
    <xf numFmtId="0" fontId="0" fillId="2" borderId="52" xfId="0" applyFont="1" applyFill="1" applyBorder="1" applyAlignment="1">
      <alignment horizontal="left"/>
    </xf>
    <xf numFmtId="0" fontId="0" fillId="2" borderId="52" xfId="0" applyFill="1" applyBorder="1" applyAlignment="1">
      <alignment horizontal="left"/>
    </xf>
    <xf numFmtId="0" fontId="13" fillId="2" borderId="52" xfId="0" applyFont="1" applyFill="1" applyBorder="1"/>
    <xf numFmtId="167" fontId="15" fillId="2" borderId="52" xfId="1" applyNumberFormat="1" applyFont="1" applyFill="1" applyBorder="1"/>
    <xf numFmtId="3" fontId="15" fillId="2" borderId="52" xfId="0" applyNumberFormat="1" applyFont="1" applyFill="1" applyBorder="1" applyAlignment="1">
      <alignment horizontal="center"/>
    </xf>
    <xf numFmtId="0" fontId="0" fillId="0" borderId="0" xfId="0" applyBorder="1" applyAlignment="1">
      <alignment vertical="center"/>
    </xf>
    <xf numFmtId="168" fontId="15" fillId="2" borderId="52" xfId="1" applyNumberFormat="1" applyFont="1" applyFill="1" applyBorder="1"/>
    <xf numFmtId="3" fontId="72" fillId="2" borderId="52" xfId="0" applyNumberFormat="1" applyFont="1" applyFill="1" applyBorder="1" applyAlignment="1">
      <alignment horizontal="center"/>
    </xf>
    <xf numFmtId="0" fontId="15" fillId="2" borderId="52" xfId="0" applyFont="1" applyFill="1" applyBorder="1" applyAlignment="1">
      <alignment horizontal="left"/>
    </xf>
    <xf numFmtId="0" fontId="0" fillId="2" borderId="52" xfId="0" applyFill="1" applyBorder="1"/>
    <xf numFmtId="0" fontId="0" fillId="2" borderId="52" xfId="0" applyFill="1" applyBorder="1" applyAlignment="1"/>
    <xf numFmtId="0" fontId="0" fillId="0" borderId="52" xfId="0" applyBorder="1" applyAlignment="1">
      <alignment horizontal="center" vertical="center"/>
    </xf>
    <xf numFmtId="0" fontId="0" fillId="0" borderId="0" xfId="0" applyBorder="1" applyAlignment="1">
      <alignment horizontal="center" wrapText="1"/>
    </xf>
    <xf numFmtId="1" fontId="5" fillId="2" borderId="0" xfId="4" applyNumberFormat="1" applyFont="1" applyFill="1" applyBorder="1" applyAlignment="1">
      <alignment horizontal="left"/>
    </xf>
    <xf numFmtId="0" fontId="0" fillId="0" borderId="0" xfId="0" applyBorder="1" applyAlignment="1">
      <alignment horizontal="left" wrapText="1"/>
    </xf>
    <xf numFmtId="1" fontId="37" fillId="2" borderId="0" xfId="0" applyNumberFormat="1" applyFont="1" applyFill="1" applyBorder="1" applyAlignment="1">
      <alignment vertical="top"/>
    </xf>
    <xf numFmtId="1" fontId="37" fillId="2" borderId="0" xfId="0" applyNumberFormat="1" applyFont="1" applyFill="1" applyBorder="1"/>
    <xf numFmtId="1" fontId="0" fillId="0" borderId="0" xfId="0" applyNumberFormat="1" applyBorder="1" applyAlignment="1">
      <alignment horizontal="center" wrapText="1"/>
    </xf>
    <xf numFmtId="1" fontId="5" fillId="2" borderId="0" xfId="0" quotePrefix="1" applyNumberFormat="1" applyFont="1" applyFill="1" applyBorder="1" applyAlignment="1">
      <alignment horizontal="left"/>
    </xf>
    <xf numFmtId="1" fontId="10" fillId="2" borderId="0" xfId="0" applyNumberFormat="1" applyFont="1" applyFill="1" applyBorder="1" applyAlignment="1">
      <alignment horizontal="center"/>
    </xf>
    <xf numFmtId="1" fontId="73" fillId="2" borderId="0" xfId="0" applyNumberFormat="1" applyFont="1" applyFill="1" applyBorder="1" applyAlignment="1">
      <alignment horizontal="left"/>
    </xf>
    <xf numFmtId="1" fontId="0" fillId="2" borderId="0" xfId="0" applyNumberFormat="1" applyFont="1" applyFill="1" applyBorder="1" applyAlignment="1">
      <alignment horizontal="center"/>
    </xf>
    <xf numFmtId="0" fontId="0" fillId="2" borderId="0" xfId="0" applyFont="1" applyFill="1" applyBorder="1" applyAlignment="1">
      <alignment horizontal="center"/>
    </xf>
    <xf numFmtId="1" fontId="10" fillId="2" borderId="0" xfId="1" applyNumberFormat="1" applyFont="1" applyFill="1" applyBorder="1" applyAlignment="1">
      <alignment horizontal="center"/>
    </xf>
    <xf numFmtId="1" fontId="10" fillId="2" borderId="0" xfId="1" applyNumberFormat="1" applyFont="1" applyFill="1" applyBorder="1"/>
    <xf numFmtId="1" fontId="10" fillId="2" borderId="0" xfId="0" applyNumberFormat="1" applyFont="1" applyFill="1" applyBorder="1"/>
    <xf numFmtId="1" fontId="10" fillId="2" borderId="0" xfId="2" quotePrefix="1" applyNumberFormat="1" applyFont="1" applyFill="1" applyBorder="1" applyAlignment="1">
      <alignment horizontal="left"/>
    </xf>
    <xf numFmtId="0" fontId="14" fillId="2" borderId="52" xfId="0" applyFont="1" applyFill="1" applyBorder="1"/>
    <xf numFmtId="0" fontId="14" fillId="2" borderId="52" xfId="0" applyFont="1" applyFill="1" applyBorder="1" applyAlignment="1">
      <alignment wrapText="1"/>
    </xf>
    <xf numFmtId="14" fontId="0" fillId="2" borderId="52" xfId="0" applyNumberFormat="1" applyFont="1" applyFill="1" applyBorder="1" applyAlignment="1">
      <alignment horizontal="left"/>
    </xf>
    <xf numFmtId="14" fontId="76" fillId="2" borderId="52" xfId="0" applyNumberFormat="1" applyFont="1" applyFill="1" applyBorder="1" applyAlignment="1">
      <alignment horizontal="left"/>
    </xf>
    <xf numFmtId="0" fontId="0" fillId="0" borderId="0" xfId="0" applyBorder="1" applyAlignment="1">
      <alignment horizontal="center" vertical="center"/>
    </xf>
    <xf numFmtId="0" fontId="0" fillId="0" borderId="30" xfId="0" applyBorder="1" applyAlignment="1">
      <alignment horizontal="center" vertical="center"/>
    </xf>
    <xf numFmtId="1" fontId="13" fillId="2" borderId="10" xfId="0" applyNumberFormat="1" applyFont="1" applyFill="1" applyBorder="1" applyAlignment="1">
      <alignment vertical="center"/>
    </xf>
    <xf numFmtId="0" fontId="0" fillId="2" borderId="0" xfId="0" applyFill="1" applyAlignment="1"/>
    <xf numFmtId="0" fontId="0" fillId="0" borderId="0" xfId="0"/>
    <xf numFmtId="0" fontId="9" fillId="0" borderId="35" xfId="0" applyNumberFormat="1" applyFont="1" applyFill="1" applyBorder="1" applyAlignment="1" applyProtection="1">
      <alignment horizontal="center" vertical="top"/>
    </xf>
    <xf numFmtId="0" fontId="8" fillId="0" borderId="14" xfId="0" applyNumberFormat="1" applyFont="1" applyFill="1" applyBorder="1" applyAlignment="1" applyProtection="1">
      <alignment vertical="top"/>
    </xf>
    <xf numFmtId="0" fontId="8" fillId="0" borderId="26"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19" xfId="0" applyNumberFormat="1" applyFont="1" applyFill="1" applyBorder="1" applyAlignment="1" applyProtection="1">
      <alignment vertical="top"/>
    </xf>
    <xf numFmtId="0" fontId="9" fillId="3" borderId="35" xfId="0" applyNumberFormat="1" applyFont="1" applyFill="1" applyBorder="1" applyAlignment="1" applyProtection="1">
      <alignment horizontal="left" vertical="center" textRotation="90" wrapText="1"/>
    </xf>
    <xf numFmtId="0" fontId="9" fillId="3" borderId="37"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textRotation="90" wrapText="1"/>
    </xf>
    <xf numFmtId="0" fontId="9" fillId="3" borderId="19" xfId="0" applyNumberFormat="1" applyFont="1" applyFill="1" applyBorder="1" applyAlignment="1" applyProtection="1">
      <alignment horizontal="center" vertical="top" textRotation="90"/>
    </xf>
    <xf numFmtId="0" fontId="9" fillId="3" borderId="9" xfId="0" applyNumberFormat="1" applyFont="1" applyFill="1" applyBorder="1" applyAlignment="1" applyProtection="1">
      <alignment vertical="center" textRotation="90" wrapText="1"/>
    </xf>
    <xf numFmtId="0" fontId="9" fillId="3" borderId="9" xfId="0" applyNumberFormat="1" applyFont="1" applyFill="1" applyBorder="1" applyAlignment="1" applyProtection="1">
      <alignment horizontal="center" vertical="center" textRotation="90"/>
    </xf>
    <xf numFmtId="0" fontId="9" fillId="3" borderId="52" xfId="0" applyNumberFormat="1" applyFont="1" applyFill="1" applyBorder="1" applyAlignment="1" applyProtection="1">
      <alignment horizontal="center" vertical="top"/>
    </xf>
    <xf numFmtId="0" fontId="8" fillId="4" borderId="52" xfId="0" applyNumberFormat="1" applyFont="1" applyFill="1" applyBorder="1" applyAlignment="1" applyProtection="1">
      <alignment vertical="top"/>
    </xf>
    <xf numFmtId="0" fontId="8" fillId="4" borderId="9" xfId="0" applyNumberFormat="1" applyFont="1" applyFill="1" applyBorder="1" applyAlignment="1" applyProtection="1">
      <alignment vertical="top"/>
    </xf>
    <xf numFmtId="0" fontId="8" fillId="0" borderId="52" xfId="0" applyNumberFormat="1" applyFont="1" applyFill="1" applyBorder="1" applyAlignment="1" applyProtection="1">
      <alignment vertical="top"/>
    </xf>
    <xf numFmtId="0" fontId="8" fillId="0" borderId="53" xfId="0" applyNumberFormat="1" applyFont="1" applyFill="1" applyBorder="1" applyAlignment="1" applyProtection="1">
      <alignment vertical="top"/>
    </xf>
    <xf numFmtId="0" fontId="8" fillId="0" borderId="55" xfId="0" applyNumberFormat="1" applyFont="1" applyFill="1" applyBorder="1" applyAlignment="1" applyProtection="1">
      <alignment vertical="top"/>
    </xf>
    <xf numFmtId="0" fontId="8" fillId="0" borderId="40" xfId="0" applyNumberFormat="1" applyFont="1" applyFill="1" applyBorder="1" applyAlignment="1" applyProtection="1">
      <alignment vertical="top"/>
    </xf>
    <xf numFmtId="0" fontId="8" fillId="0" borderId="41" xfId="0" applyNumberFormat="1" applyFont="1" applyFill="1" applyBorder="1" applyAlignment="1" applyProtection="1">
      <alignment vertical="top"/>
    </xf>
    <xf numFmtId="0" fontId="8" fillId="0" borderId="42" xfId="0" applyNumberFormat="1" applyFont="1" applyFill="1" applyBorder="1" applyAlignment="1" applyProtection="1">
      <alignment vertical="top"/>
    </xf>
    <xf numFmtId="17" fontId="9" fillId="0" borderId="54" xfId="0" applyNumberFormat="1" applyFont="1" applyFill="1" applyBorder="1" applyAlignment="1" applyProtection="1">
      <alignment vertical="top"/>
    </xf>
    <xf numFmtId="0" fontId="8" fillId="0" borderId="9" xfId="0" applyNumberFormat="1" applyFont="1" applyFill="1" applyBorder="1" applyAlignment="1" applyProtection="1">
      <alignment vertical="top"/>
    </xf>
    <xf numFmtId="1" fontId="57" fillId="2" borderId="0" xfId="0" applyNumberFormat="1" applyFont="1" applyFill="1" applyBorder="1" applyAlignment="1">
      <alignment horizontal="center"/>
    </xf>
    <xf numFmtId="1" fontId="41" fillId="2" borderId="0" xfId="1" applyNumberFormat="1" applyFont="1" applyFill="1" applyBorder="1"/>
    <xf numFmtId="1" fontId="41" fillId="2" borderId="0" xfId="0" applyNumberFormat="1" applyFont="1" applyFill="1" applyBorder="1" applyAlignment="1">
      <alignment horizontal="center"/>
    </xf>
    <xf numFmtId="0" fontId="8" fillId="0" borderId="0" xfId="0" applyFont="1" applyBorder="1" applyAlignment="1">
      <alignment vertical="top"/>
    </xf>
    <xf numFmtId="1"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54" xfId="0" applyFont="1" applyBorder="1" applyAlignment="1">
      <alignment horizontal="left" vertical="center"/>
    </xf>
    <xf numFmtId="0" fontId="2" fillId="0" borderId="56" xfId="0" applyFont="1" applyBorder="1" applyAlignment="1">
      <alignment horizontal="center" vertical="center"/>
    </xf>
    <xf numFmtId="0" fontId="2" fillId="0" borderId="46" xfId="0" applyFont="1" applyBorder="1" applyAlignment="1">
      <alignment horizontal="center" vertical="center"/>
    </xf>
    <xf numFmtId="0" fontId="15" fillId="2" borderId="52" xfId="1" applyFont="1" applyFill="1" applyBorder="1"/>
    <xf numFmtId="1" fontId="75" fillId="2" borderId="52" xfId="0" applyNumberFormat="1" applyFont="1" applyFill="1" applyBorder="1" applyAlignment="1">
      <alignment horizontal="left"/>
    </xf>
    <xf numFmtId="0" fontId="74" fillId="2" borderId="52" xfId="0" applyFont="1" applyFill="1" applyBorder="1" applyAlignment="1"/>
    <xf numFmtId="1" fontId="18" fillId="2" borderId="52" xfId="0" applyNumberFormat="1" applyFont="1" applyFill="1" applyBorder="1" applyAlignment="1">
      <alignment horizontal="center" vertical="center"/>
    </xf>
    <xf numFmtId="0" fontId="8" fillId="0" borderId="0" xfId="0" applyFont="1" applyBorder="1" applyAlignment="1">
      <alignment vertical="top" wrapText="1"/>
    </xf>
    <xf numFmtId="0" fontId="8" fillId="0" borderId="52" xfId="0" applyFont="1" applyBorder="1" applyAlignment="1">
      <alignment vertical="top"/>
    </xf>
    <xf numFmtId="0" fontId="2" fillId="0" borderId="54" xfId="0" applyFont="1" applyBorder="1" applyAlignment="1">
      <alignment horizontal="left" vertical="center"/>
    </xf>
    <xf numFmtId="0" fontId="8" fillId="0" borderId="0" xfId="0" applyFont="1" applyAlignment="1">
      <alignment horizontal="left"/>
    </xf>
    <xf numFmtId="1" fontId="10" fillId="2" borderId="52" xfId="0" applyNumberFormat="1" applyFont="1" applyFill="1" applyBorder="1" applyAlignment="1">
      <alignment horizontal="center"/>
    </xf>
    <xf numFmtId="0" fontId="28" fillId="0" borderId="61" xfId="0" applyFont="1" applyBorder="1"/>
    <xf numFmtId="0" fontId="28" fillId="0" borderId="59" xfId="0" applyFont="1" applyBorder="1"/>
    <xf numFmtId="0" fontId="28" fillId="0" borderId="60" xfId="0" applyFont="1" applyBorder="1"/>
    <xf numFmtId="0" fontId="78" fillId="0" borderId="0" xfId="0" applyFont="1"/>
    <xf numFmtId="0" fontId="0" fillId="0" borderId="0" xfId="0"/>
    <xf numFmtId="1" fontId="0" fillId="2" borderId="52" xfId="0" applyNumberFormat="1" applyFill="1" applyBorder="1" applyAlignment="1">
      <alignment horizontal="left"/>
    </xf>
    <xf numFmtId="0" fontId="0" fillId="2" borderId="53" xfId="0" applyFill="1" applyBorder="1"/>
    <xf numFmtId="0" fontId="13" fillId="2" borderId="52" xfId="0" applyFont="1" applyFill="1" applyBorder="1" applyAlignment="1">
      <alignment wrapText="1"/>
    </xf>
    <xf numFmtId="1" fontId="13" fillId="2" borderId="52" xfId="0" applyNumberFormat="1" applyFont="1" applyFill="1" applyBorder="1" applyAlignment="1">
      <alignment wrapText="1"/>
    </xf>
    <xf numFmtId="0" fontId="57" fillId="2" borderId="52" xfId="0" applyFont="1" applyFill="1" applyBorder="1" applyAlignment="1">
      <alignment wrapText="1"/>
    </xf>
    <xf numFmtId="14" fontId="74" fillId="2" borderId="52" xfId="0" applyNumberFormat="1" applyFont="1" applyFill="1" applyBorder="1" applyAlignment="1">
      <alignment horizontal="left"/>
    </xf>
    <xf numFmtId="14" fontId="24" fillId="2" borderId="52" xfId="0" applyNumberFormat="1" applyFont="1" applyFill="1" applyBorder="1" applyAlignment="1">
      <alignment horizontal="left"/>
    </xf>
    <xf numFmtId="0" fontId="8" fillId="0" borderId="17" xfId="0" applyFont="1" applyBorder="1" applyAlignment="1">
      <alignment vertical="top"/>
    </xf>
    <xf numFmtId="0" fontId="8" fillId="0" borderId="18" xfId="0" applyFont="1" applyBorder="1" applyAlignment="1">
      <alignment vertical="top"/>
    </xf>
    <xf numFmtId="17" fontId="8" fillId="0" borderId="54" xfId="0" applyNumberFormat="1" applyFont="1" applyBorder="1" applyAlignment="1">
      <alignment vertical="top"/>
    </xf>
    <xf numFmtId="0" fontId="8" fillId="0" borderId="52" xfId="0" applyFont="1" applyBorder="1" applyAlignment="1" applyProtection="1">
      <alignment vertical="top"/>
      <protection locked="0"/>
    </xf>
    <xf numFmtId="0" fontId="0" fillId="2" borderId="52" xfId="0" applyFill="1" applyBorder="1" applyAlignment="1">
      <alignment wrapText="1"/>
    </xf>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0" fontId="2" fillId="2" borderId="20" xfId="0" applyFont="1" applyFill="1" applyBorder="1" applyAlignment="1">
      <alignment vertical="center"/>
    </xf>
    <xf numFmtId="0" fontId="0" fillId="2" borderId="57" xfId="0" applyFill="1" applyBorder="1"/>
    <xf numFmtId="1" fontId="18" fillId="2" borderId="52" xfId="0" applyNumberFormat="1" applyFont="1" applyFill="1" applyBorder="1" applyAlignment="1">
      <alignment horizontal="center" vertical="top"/>
    </xf>
    <xf numFmtId="0" fontId="0" fillId="2" borderId="52" xfId="0" applyFont="1" applyFill="1" applyBorder="1" applyAlignment="1"/>
    <xf numFmtId="0" fontId="57" fillId="2" borderId="52" xfId="0" applyFont="1" applyFill="1" applyBorder="1" applyAlignment="1">
      <alignment horizontal="center" wrapText="1"/>
    </xf>
    <xf numFmtId="0" fontId="77" fillId="2" borderId="52" xfId="0" applyFont="1" applyFill="1" applyBorder="1"/>
    <xf numFmtId="0" fontId="57" fillId="2" borderId="52" xfId="0" applyFont="1" applyFill="1" applyBorder="1" applyAlignment="1">
      <alignment vertical="top" wrapText="1"/>
    </xf>
    <xf numFmtId="14" fontId="15" fillId="2" borderId="52" xfId="0" applyNumberFormat="1" applyFont="1" applyFill="1" applyBorder="1" applyAlignment="1">
      <alignment horizontal="left"/>
    </xf>
    <xf numFmtId="1" fontId="75" fillId="2" borderId="0" xfId="0" applyNumberFormat="1" applyFont="1" applyFill="1" applyBorder="1" applyAlignment="1">
      <alignment horizontal="left"/>
    </xf>
    <xf numFmtId="0" fontId="74" fillId="2" borderId="0" xfId="0" applyFont="1" applyFill="1" applyBorder="1" applyAlignment="1"/>
    <xf numFmtId="1" fontId="18" fillId="2" borderId="0" xfId="0" applyNumberFormat="1" applyFont="1" applyFill="1" applyBorder="1" applyAlignment="1">
      <alignment horizontal="center" vertical="center"/>
    </xf>
    <xf numFmtId="0" fontId="17" fillId="2" borderId="0" xfId="0" applyFont="1" applyFill="1" applyBorder="1" applyAlignment="1">
      <alignment horizontal="center" vertical="center"/>
    </xf>
    <xf numFmtId="0" fontId="22" fillId="0" borderId="55" xfId="0" applyFont="1" applyBorder="1" applyAlignment="1">
      <alignment vertical="top"/>
    </xf>
    <xf numFmtId="0" fontId="8" fillId="0" borderId="54" xfId="0" applyFont="1" applyBorder="1" applyAlignment="1">
      <alignment vertical="top"/>
    </xf>
    <xf numFmtId="17" fontId="9" fillId="0" borderId="52" xfId="0" applyNumberFormat="1" applyFont="1" applyBorder="1" applyAlignment="1">
      <alignment vertical="top"/>
    </xf>
    <xf numFmtId="0" fontId="0" fillId="0" borderId="0" xfId="0"/>
    <xf numFmtId="0" fontId="0" fillId="2" borderId="52" xfId="0" applyFont="1" applyFill="1" applyBorder="1"/>
    <xf numFmtId="15" fontId="0" fillId="2" borderId="52" xfId="0" applyNumberFormat="1" applyFill="1" applyBorder="1" applyAlignment="1">
      <alignment horizontal="left"/>
    </xf>
    <xf numFmtId="1" fontId="15" fillId="2" borderId="52" xfId="0" applyNumberFormat="1" applyFont="1" applyFill="1" applyBorder="1" applyAlignment="1">
      <alignment horizont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0" borderId="0" xfId="0" applyFont="1" applyBorder="1" applyAlignment="1">
      <alignment horizontal="left"/>
    </xf>
    <xf numFmtId="0" fontId="0" fillId="0" borderId="15" xfId="0" applyBorder="1" applyAlignment="1">
      <alignment horizontal="center"/>
    </xf>
    <xf numFmtId="0" fontId="0" fillId="0" borderId="29" xfId="0" applyBorder="1" applyAlignment="1">
      <alignment horizontal="center"/>
    </xf>
    <xf numFmtId="0" fontId="0" fillId="0" borderId="30" xfId="0" applyBorder="1" applyAlignment="1">
      <alignment horizontal="left"/>
    </xf>
    <xf numFmtId="0" fontId="43" fillId="2" borderId="29" xfId="0" applyFont="1" applyFill="1" applyBorder="1" applyAlignment="1">
      <alignment horizontal="left" vertical="top" wrapText="1"/>
    </xf>
    <xf numFmtId="0" fontId="0" fillId="2" borderId="52" xfId="0" quotePrefix="1" applyFill="1" applyBorder="1"/>
    <xf numFmtId="0" fontId="0" fillId="0" borderId="27" xfId="0" applyBorder="1" applyAlignment="1">
      <alignment horizontal="center"/>
    </xf>
    <xf numFmtId="0" fontId="5" fillId="0" borderId="15" xfId="0" applyFont="1" applyBorder="1"/>
    <xf numFmtId="0" fontId="5" fillId="0" borderId="0" xfId="0" applyFont="1" applyBorder="1"/>
    <xf numFmtId="0" fontId="4" fillId="0" borderId="0" xfId="0" applyFont="1" applyBorder="1"/>
    <xf numFmtId="0" fontId="2" fillId="0" borderId="0" xfId="0" applyFont="1" applyBorder="1" applyAlignment="1">
      <alignment vertical="center"/>
    </xf>
    <xf numFmtId="0" fontId="6" fillId="0" borderId="0" xfId="0" applyFont="1" applyBorder="1"/>
    <xf numFmtId="0" fontId="2" fillId="0" borderId="30" xfId="0" applyFont="1" applyBorder="1" applyAlignment="1">
      <alignment vertical="center"/>
    </xf>
    <xf numFmtId="0" fontId="2" fillId="0" borderId="29" xfId="0" applyFont="1" applyBorder="1" applyAlignment="1">
      <alignment horizontal="center"/>
    </xf>
    <xf numFmtId="0" fontId="8" fillId="0" borderId="0" xfId="0" applyFont="1" applyBorder="1"/>
    <xf numFmtId="0" fontId="0" fillId="0" borderId="0" xfId="0" applyBorder="1" applyAlignment="1">
      <alignment horizontal="left"/>
    </xf>
    <xf numFmtId="0" fontId="9" fillId="0" borderId="0" xfId="0" applyFont="1" applyBorder="1"/>
    <xf numFmtId="0" fontId="10" fillId="0" borderId="0" xfId="0" applyFont="1" applyBorder="1" applyAlignment="1">
      <alignment horizontal="left"/>
    </xf>
    <xf numFmtId="0" fontId="2" fillId="0" borderId="0" xfId="0" applyFont="1" applyBorder="1" applyAlignment="1">
      <alignment wrapText="1"/>
    </xf>
    <xf numFmtId="17" fontId="2" fillId="0" borderId="0" xfId="0" applyNumberFormat="1" applyFont="1" applyBorder="1"/>
    <xf numFmtId="0" fontId="2" fillId="0" borderId="0" xfId="0" applyFont="1" applyBorder="1" applyAlignment="1">
      <alignment horizontal="center"/>
    </xf>
    <xf numFmtId="0" fontId="2" fillId="0" borderId="30" xfId="0" applyFont="1" applyBorder="1" applyAlignment="1">
      <alignment horizontal="center"/>
    </xf>
    <xf numFmtId="0" fontId="10" fillId="0" borderId="0" xfId="0" applyFont="1" applyBorder="1"/>
    <xf numFmtId="0" fontId="0" fillId="2" borderId="0" xfId="0" applyFill="1" applyBorder="1"/>
    <xf numFmtId="0" fontId="0" fillId="0" borderId="0" xfId="0" applyBorder="1" applyAlignment="1">
      <alignment horizontal="center"/>
    </xf>
    <xf numFmtId="1" fontId="13" fillId="2" borderId="29" xfId="0" applyNumberFormat="1" applyFont="1" applyFill="1" applyBorder="1" applyAlignment="1">
      <alignment horizontal="center"/>
    </xf>
    <xf numFmtId="1" fontId="0" fillId="2" borderId="30" xfId="0" applyNumberFormat="1" applyFill="1" applyBorder="1"/>
    <xf numFmtId="0" fontId="8" fillId="0" borderId="34" xfId="3" applyBorder="1" applyAlignment="1">
      <alignment horizontal="center"/>
    </xf>
    <xf numFmtId="0" fontId="8" fillId="0" borderId="32" xfId="3" applyBorder="1" applyAlignment="1">
      <alignment horizontal="center"/>
    </xf>
    <xf numFmtId="0" fontId="9" fillId="0" borderId="32" xfId="3" applyFont="1" applyBorder="1" applyAlignment="1">
      <alignment vertical="center"/>
    </xf>
    <xf numFmtId="0" fontId="16" fillId="0" borderId="32" xfId="3" applyFont="1" applyBorder="1" applyAlignment="1">
      <alignment vertical="center"/>
    </xf>
    <xf numFmtId="0" fontId="7" fillId="0" borderId="0" xfId="0" applyFont="1" applyBorder="1" applyAlignment="1">
      <alignment horizontal="center"/>
    </xf>
    <xf numFmtId="0" fontId="7" fillId="0" borderId="30" xfId="0" applyFont="1" applyBorder="1" applyAlignment="1">
      <alignment horizontal="center"/>
    </xf>
    <xf numFmtId="0" fontId="10" fillId="0" borderId="30" xfId="0" applyFont="1" applyBorder="1" applyAlignment="1">
      <alignment horizontal="left"/>
    </xf>
    <xf numFmtId="0" fontId="7" fillId="0" borderId="0" xfId="0" applyFont="1" applyBorder="1"/>
    <xf numFmtId="0" fontId="7" fillId="0" borderId="30" xfId="0" applyFont="1" applyBorder="1"/>
    <xf numFmtId="0" fontId="10" fillId="0" borderId="0" xfId="0" applyFont="1" applyBorder="1" applyAlignment="1">
      <alignment horizontal="center"/>
    </xf>
    <xf numFmtId="0" fontId="2" fillId="2" borderId="52" xfId="0" applyFont="1" applyFill="1" applyBorder="1" applyAlignment="1">
      <alignment horizontal="center"/>
    </xf>
    <xf numFmtId="1" fontId="10" fillId="2" borderId="50" xfId="0" applyNumberFormat="1" applyFont="1" applyFill="1" applyBorder="1" applyAlignment="1">
      <alignment horizontal="center"/>
    </xf>
    <xf numFmtId="1" fontId="73" fillId="2" borderId="52" xfId="0" applyNumberFormat="1" applyFont="1" applyFill="1" applyBorder="1" applyAlignment="1">
      <alignment horizontal="left"/>
    </xf>
    <xf numFmtId="1" fontId="57" fillId="2" borderId="52" xfId="0" applyNumberFormat="1" applyFont="1" applyFill="1" applyBorder="1" applyAlignment="1">
      <alignment horizontal="center"/>
    </xf>
    <xf numFmtId="0" fontId="0" fillId="2" borderId="52" xfId="0" applyFont="1" applyFill="1" applyBorder="1" applyAlignment="1">
      <alignment horizontal="center"/>
    </xf>
    <xf numFmtId="1" fontId="10" fillId="2" borderId="52" xfId="1" applyNumberFormat="1" applyFont="1" applyFill="1" applyBorder="1" applyAlignment="1">
      <alignment horizontal="center"/>
    </xf>
    <xf numFmtId="1" fontId="0" fillId="2" borderId="52" xfId="0" applyNumberFormat="1" applyFont="1" applyFill="1" applyBorder="1" applyAlignment="1">
      <alignment horizontal="center"/>
    </xf>
    <xf numFmtId="1" fontId="10" fillId="2" borderId="52" xfId="0" applyNumberFormat="1" applyFont="1" applyFill="1" applyBorder="1"/>
    <xf numFmtId="1" fontId="10" fillId="2" borderId="52" xfId="2" quotePrefix="1" applyNumberFormat="1" applyFont="1" applyFill="1" applyBorder="1" applyAlignment="1">
      <alignment horizontal="left"/>
    </xf>
    <xf numFmtId="1" fontId="10" fillId="2" borderId="43" xfId="0" applyNumberFormat="1" applyFont="1" applyFill="1" applyBorder="1"/>
    <xf numFmtId="1" fontId="10" fillId="2" borderId="29" xfId="0" applyNumberFormat="1" applyFont="1" applyFill="1" applyBorder="1" applyAlignment="1">
      <alignment horizontal="center"/>
    </xf>
    <xf numFmtId="1" fontId="10" fillId="2" borderId="30" xfId="0" applyNumberFormat="1" applyFont="1" applyFill="1" applyBorder="1"/>
    <xf numFmtId="0" fontId="10" fillId="2" borderId="34" xfId="3" applyFont="1" applyFill="1" applyBorder="1" applyAlignment="1">
      <alignment horizontal="center"/>
    </xf>
    <xf numFmtId="0" fontId="10" fillId="2" borderId="32" xfId="3" applyFont="1" applyFill="1" applyBorder="1" applyAlignment="1">
      <alignment horizontal="center"/>
    </xf>
    <xf numFmtId="0" fontId="41" fillId="2" borderId="32" xfId="3" applyFont="1" applyFill="1" applyBorder="1" applyAlignment="1">
      <alignment vertical="center"/>
    </xf>
    <xf numFmtId="0" fontId="10" fillId="2" borderId="33" xfId="3" applyFont="1" applyFill="1" applyBorder="1"/>
    <xf numFmtId="0" fontId="0" fillId="2" borderId="0" xfId="0" applyFill="1" applyBorder="1" applyAlignment="1">
      <alignment horizontal="center" vertical="top" wrapText="1"/>
    </xf>
    <xf numFmtId="0" fontId="39" fillId="2" borderId="0" xfId="0" applyFont="1" applyFill="1" applyBorder="1" applyAlignment="1">
      <alignment horizontal="center" vertical="top" wrapText="1"/>
    </xf>
    <xf numFmtId="0" fontId="40" fillId="2" borderId="0" xfId="0" applyFont="1" applyFill="1" applyBorder="1" applyAlignment="1">
      <alignment horizontal="center" vertical="top" wrapText="1"/>
    </xf>
    <xf numFmtId="0" fontId="41" fillId="2" borderId="0" xfId="0" applyFont="1" applyFill="1" applyBorder="1" applyAlignment="1">
      <alignment horizontal="left" vertical="center"/>
    </xf>
    <xf numFmtId="0" fontId="10" fillId="0" borderId="0" xfId="0" applyFont="1" applyBorder="1" applyAlignment="1">
      <alignment horizontal="left" vertical="center"/>
    </xf>
    <xf numFmtId="0" fontId="41" fillId="2" borderId="0" xfId="0" applyFont="1" applyFill="1" applyBorder="1" applyAlignment="1">
      <alignment horizontal="center"/>
    </xf>
    <xf numFmtId="0" fontId="41" fillId="0" borderId="0" xfId="0" applyFont="1" applyBorder="1" applyAlignment="1">
      <alignment horizontal="center"/>
    </xf>
    <xf numFmtId="0" fontId="41" fillId="2" borderId="0" xfId="0" applyFont="1" applyFill="1" applyBorder="1" applyAlignment="1">
      <alignment horizontal="center" wrapText="1"/>
    </xf>
    <xf numFmtId="0" fontId="41" fillId="2" borderId="0" xfId="0" applyFont="1" applyFill="1" applyBorder="1" applyAlignment="1">
      <alignment horizontal="left" wrapText="1"/>
    </xf>
    <xf numFmtId="0" fontId="41" fillId="2" borderId="0" xfId="0" applyFont="1" applyFill="1" applyBorder="1"/>
    <xf numFmtId="0" fontId="42" fillId="2" borderId="0" xfId="0" applyFont="1" applyFill="1" applyBorder="1" applyAlignment="1">
      <alignment horizontal="center"/>
    </xf>
    <xf numFmtId="0" fontId="42" fillId="2" borderId="0" xfId="0" applyFont="1" applyFill="1" applyBorder="1" applyAlignment="1">
      <alignment vertical="center"/>
    </xf>
    <xf numFmtId="0" fontId="42" fillId="2" borderId="0" xfId="0" applyFont="1" applyFill="1" applyBorder="1"/>
    <xf numFmtId="0" fontId="38" fillId="2" borderId="0" xfId="0" applyFont="1" applyFill="1" applyBorder="1" applyAlignment="1">
      <alignment vertical="top" wrapText="1"/>
    </xf>
    <xf numFmtId="0" fontId="43" fillId="2" borderId="0" xfId="0" applyFont="1" applyFill="1" applyBorder="1" applyAlignment="1">
      <alignment vertical="top" wrapText="1"/>
    </xf>
    <xf numFmtId="0" fontId="43" fillId="2" borderId="0" xfId="0" applyFont="1" applyFill="1" applyBorder="1" applyAlignment="1">
      <alignment horizontal="justify" vertical="top" wrapText="1"/>
    </xf>
    <xf numFmtId="0" fontId="43" fillId="2" borderId="0" xfId="0" applyFont="1" applyFill="1" applyBorder="1" applyAlignment="1">
      <alignment horizontal="left" vertical="top" wrapText="1"/>
    </xf>
    <xf numFmtId="0" fontId="0" fillId="2" borderId="0" xfId="0" applyFill="1" applyBorder="1" applyAlignment="1">
      <alignment horizontal="justify" vertical="top" wrapText="1"/>
    </xf>
    <xf numFmtId="0" fontId="44" fillId="2" borderId="0" xfId="0" applyFont="1" applyFill="1" applyBorder="1" applyAlignment="1">
      <alignment horizontal="center" vertical="top" wrapText="1"/>
    </xf>
    <xf numFmtId="0" fontId="44" fillId="2" borderId="53" xfId="0" applyFont="1" applyFill="1" applyBorder="1" applyAlignment="1">
      <alignment horizontal="center" vertical="center" wrapText="1"/>
    </xf>
    <xf numFmtId="1" fontId="0" fillId="0" borderId="52" xfId="0" applyNumberFormat="1" applyBorder="1" applyAlignment="1">
      <alignment horizontal="center" vertical="center"/>
    </xf>
    <xf numFmtId="0" fontId="0" fillId="0" borderId="52" xfId="0" applyBorder="1" applyAlignment="1">
      <alignment vertical="center"/>
    </xf>
    <xf numFmtId="0" fontId="0" fillId="0" borderId="43" xfId="0" applyBorder="1" applyAlignment="1">
      <alignment horizontal="center" vertical="center"/>
    </xf>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2" fillId="0" borderId="46" xfId="0" applyFont="1" applyBorder="1" applyAlignment="1">
      <alignment horizontal="center" vertical="center"/>
    </xf>
    <xf numFmtId="0" fontId="0" fillId="0" borderId="52" xfId="0" applyBorder="1" applyAlignment="1">
      <alignment horizontal="left"/>
    </xf>
    <xf numFmtId="0" fontId="84" fillId="2" borderId="52" xfId="0" applyFont="1" applyFill="1" applyBorder="1" applyAlignment="1">
      <alignment horizontal="center" vertical="center"/>
    </xf>
    <xf numFmtId="0" fontId="84" fillId="2" borderId="0" xfId="0" applyFont="1" applyFill="1" applyBorder="1" applyAlignment="1">
      <alignment horizontal="center" vertical="center"/>
    </xf>
    <xf numFmtId="0" fontId="22" fillId="0" borderId="0" xfId="0" applyFont="1" applyBorder="1" applyAlignment="1">
      <alignment vertical="top"/>
    </xf>
    <xf numFmtId="0" fontId="22" fillId="0" borderId="52" xfId="0" applyFont="1" applyBorder="1" applyAlignment="1">
      <alignment vertical="top"/>
    </xf>
    <xf numFmtId="0" fontId="9" fillId="0" borderId="0" xfId="0" applyFont="1" applyBorder="1" applyAlignment="1">
      <alignment horizontal="right" vertical="top"/>
    </xf>
    <xf numFmtId="17" fontId="9" fillId="0" borderId="0" xfId="0" applyNumberFormat="1" applyFont="1" applyBorder="1" applyAlignment="1">
      <alignment vertical="top"/>
    </xf>
    <xf numFmtId="0" fontId="2" fillId="2" borderId="12" xfId="0" applyFont="1" applyFill="1" applyBorder="1" applyAlignment="1">
      <alignment horizontal="center" vertical="center" wrapText="1"/>
    </xf>
    <xf numFmtId="0" fontId="2" fillId="0" borderId="56" xfId="0" applyFont="1" applyBorder="1" applyAlignment="1">
      <alignment horizontal="center" vertic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46" xfId="0" applyFont="1" applyBorder="1" applyAlignment="1">
      <alignment horizontal="center" vertical="center"/>
    </xf>
    <xf numFmtId="0" fontId="2" fillId="2" borderId="53" xfId="0" applyFont="1" applyFill="1" applyBorder="1" applyAlignment="1">
      <alignment horizontal="center"/>
    </xf>
    <xf numFmtId="0" fontId="2" fillId="2" borderId="53" xfId="0" applyFont="1" applyFill="1" applyBorder="1" applyAlignment="1">
      <alignment horizontal="center" wrapText="1"/>
    </xf>
    <xf numFmtId="15" fontId="0" fillId="2" borderId="52" xfId="0" applyNumberFormat="1" applyFont="1" applyFill="1" applyBorder="1"/>
    <xf numFmtId="0" fontId="15" fillId="2" borderId="52" xfId="0" applyFont="1" applyFill="1" applyBorder="1"/>
    <xf numFmtId="1" fontId="77" fillId="2" borderId="52" xfId="0" applyNumberFormat="1" applyFont="1" applyFill="1" applyBorder="1" applyAlignment="1">
      <alignment horizontal="left" wrapText="1"/>
    </xf>
    <xf numFmtId="0" fontId="18" fillId="2" borderId="52" xfId="0" applyFont="1" applyFill="1" applyBorder="1" applyAlignment="1">
      <alignment wrapText="1"/>
    </xf>
    <xf numFmtId="0" fontId="82" fillId="2" borderId="52" xfId="0" applyFont="1" applyFill="1" applyBorder="1" applyAlignment="1">
      <alignment vertical="center" wrapText="1"/>
    </xf>
    <xf numFmtId="0" fontId="0" fillId="2" borderId="52" xfId="0" quotePrefix="1" applyFill="1" applyBorder="1" applyAlignment="1">
      <alignment horizontal="left"/>
    </xf>
    <xf numFmtId="1" fontId="83" fillId="2" borderId="52" xfId="0" applyNumberFormat="1" applyFont="1" applyFill="1" applyBorder="1" applyAlignment="1">
      <alignment horizontal="left"/>
    </xf>
    <xf numFmtId="0" fontId="0" fillId="2" borderId="0" xfId="0" applyFill="1" applyAlignment="1">
      <alignment wrapText="1"/>
    </xf>
    <xf numFmtId="0" fontId="77" fillId="2" borderId="52" xfId="0" applyFont="1" applyFill="1" applyBorder="1" applyAlignment="1">
      <alignment wrapText="1"/>
    </xf>
    <xf numFmtId="0" fontId="0" fillId="2" borderId="52" xfId="0" applyFont="1" applyFill="1" applyBorder="1" applyAlignment="1">
      <alignment wrapText="1"/>
    </xf>
    <xf numFmtId="169" fontId="18" fillId="2" borderId="52" xfId="0" applyNumberFormat="1" applyFont="1" applyFill="1" applyBorder="1" applyAlignment="1">
      <alignment horizontal="center" vertical="top"/>
    </xf>
    <xf numFmtId="169" fontId="0" fillId="2" borderId="52" xfId="0" applyNumberFormat="1" applyFill="1" applyBorder="1" applyAlignment="1">
      <alignment horizontal="center" vertical="top"/>
    </xf>
    <xf numFmtId="169" fontId="0" fillId="2" borderId="52" xfId="0" applyNumberFormat="1" applyFill="1" applyBorder="1"/>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2" fillId="0" borderId="46" xfId="0" applyFont="1" applyBorder="1" applyAlignment="1">
      <alignment horizontal="center" vertical="center"/>
    </xf>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2" fillId="0" borderId="46" xfId="0" applyFont="1" applyBorder="1" applyAlignment="1">
      <alignment horizontal="center" vertical="center"/>
    </xf>
    <xf numFmtId="0" fontId="15" fillId="2" borderId="53" xfId="0" applyFont="1" applyFill="1" applyBorder="1" applyAlignment="1">
      <alignment horizontal="left"/>
    </xf>
    <xf numFmtId="0" fontId="2" fillId="2" borderId="25"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0" fillId="2" borderId="53" xfId="0" applyFill="1" applyBorder="1" applyAlignment="1">
      <alignment horizontal="center"/>
    </xf>
    <xf numFmtId="0" fontId="0" fillId="2" borderId="52" xfId="0" applyFill="1" applyBorder="1" applyAlignment="1">
      <alignment horizontal="center" vertical="center"/>
    </xf>
    <xf numFmtId="0" fontId="72" fillId="2" borderId="52" xfId="0" applyFont="1" applyFill="1" applyBorder="1" applyAlignment="1">
      <alignment horizontal="center"/>
    </xf>
    <xf numFmtId="1" fontId="84" fillId="2" borderId="52" xfId="0" applyNumberFormat="1" applyFont="1" applyFill="1" applyBorder="1" applyAlignment="1">
      <alignment horizontal="center" vertic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2" fillId="0" borderId="46" xfId="0" applyFont="1" applyBorder="1" applyAlignment="1">
      <alignment horizontal="center" vertical="center"/>
    </xf>
    <xf numFmtId="1" fontId="15" fillId="2" borderId="52" xfId="1" applyNumberFormat="1" applyFont="1" applyFill="1" applyBorder="1" applyAlignment="1">
      <alignment horizontal="center"/>
    </xf>
    <xf numFmtId="0" fontId="0" fillId="0" borderId="52" xfId="0" applyBorder="1" applyAlignment="1">
      <alignment horizontal="center"/>
    </xf>
    <xf numFmtId="1" fontId="0" fillId="0" borderId="0" xfId="0" applyNumberFormat="1" applyBorder="1" applyAlignment="1">
      <alignment horizontal="center" vertical="center"/>
    </xf>
    <xf numFmtId="15" fontId="0" fillId="2" borderId="52" xfId="0" applyNumberFormat="1" applyFill="1" applyBorder="1"/>
    <xf numFmtId="0" fontId="76" fillId="2" borderId="52" xfId="0" applyFont="1" applyFill="1" applyBorder="1"/>
    <xf numFmtId="0" fontId="76" fillId="2" borderId="52" xfId="0" applyFont="1" applyFill="1" applyBorder="1" applyAlignment="1">
      <alignment horizontal="left"/>
    </xf>
    <xf numFmtId="0" fontId="76" fillId="2" borderId="52" xfId="0" applyFont="1" applyFill="1" applyBorder="1" applyAlignment="1">
      <alignment horizontal="center" wrapText="1"/>
    </xf>
    <xf numFmtId="0" fontId="76" fillId="2" borderId="52" xfId="0" applyFont="1" applyFill="1" applyBorder="1" applyAlignment="1">
      <alignment wrapText="1"/>
    </xf>
    <xf numFmtId="0" fontId="76" fillId="2" borderId="53" xfId="0" applyFont="1" applyFill="1" applyBorder="1"/>
    <xf numFmtId="0" fontId="76" fillId="2" borderId="53" xfId="0" applyFont="1" applyFill="1" applyBorder="1" applyAlignment="1">
      <alignment horizontal="left"/>
    </xf>
    <xf numFmtId="0" fontId="76" fillId="2" borderId="53" xfId="0" applyFont="1" applyFill="1" applyBorder="1" applyAlignment="1">
      <alignment wrapText="1"/>
    </xf>
    <xf numFmtId="15" fontId="76" fillId="2" borderId="52" xfId="0" applyNumberFormat="1" applyFont="1" applyFill="1" applyBorder="1" applyAlignment="1">
      <alignment horizontal="left"/>
    </xf>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2" fillId="0" borderId="46" xfId="0" applyFont="1" applyBorder="1" applyAlignment="1">
      <alignment horizontal="center" vertical="center"/>
    </xf>
    <xf numFmtId="0" fontId="15" fillId="2" borderId="54" xfId="0" applyFont="1" applyFill="1" applyBorder="1" applyAlignment="1">
      <alignment horizontal="left"/>
    </xf>
    <xf numFmtId="14" fontId="0" fillId="0" borderId="52" xfId="0" applyNumberFormat="1" applyBorder="1"/>
    <xf numFmtId="14" fontId="0" fillId="2" borderId="52" xfId="0" applyNumberFormat="1" applyFill="1" applyBorder="1"/>
    <xf numFmtId="0" fontId="5" fillId="2" borderId="52" xfId="0" applyFont="1" applyFill="1" applyBorder="1"/>
    <xf numFmtId="1" fontId="0" fillId="2" borderId="52" xfId="0" applyNumberFormat="1" applyFill="1" applyBorder="1"/>
    <xf numFmtId="167" fontId="0" fillId="2" borderId="52" xfId="0" applyNumberFormat="1" applyFill="1" applyBorder="1"/>
    <xf numFmtId="168" fontId="0" fillId="2" borderId="52" xfId="0" applyNumberFormat="1" applyFill="1" applyBorder="1"/>
    <xf numFmtId="1" fontId="13" fillId="2" borderId="0" xfId="0" applyNumberFormat="1" applyFont="1" applyFill="1" applyBorder="1" applyAlignment="1">
      <alignment horizontal="center"/>
    </xf>
    <xf numFmtId="1" fontId="84" fillId="2" borderId="0" xfId="0" applyNumberFormat="1" applyFont="1" applyFill="1" applyBorder="1" applyAlignment="1">
      <alignment horizontal="center" vertical="center"/>
    </xf>
    <xf numFmtId="0" fontId="41" fillId="2" borderId="52" xfId="3" applyFont="1" applyFill="1" applyBorder="1" applyAlignment="1">
      <alignment horizontal="left"/>
    </xf>
    <xf numFmtId="15" fontId="0" fillId="2" borderId="52" xfId="0" applyNumberFormat="1" applyFont="1" applyFill="1" applyBorder="1" applyAlignment="1">
      <alignment horizontal="left"/>
    </xf>
    <xf numFmtId="14" fontId="0" fillId="0" borderId="52" xfId="0" applyNumberFormat="1" applyBorder="1" applyAlignment="1">
      <alignment horizontal="left"/>
    </xf>
    <xf numFmtId="0" fontId="0" fillId="2" borderId="0" xfId="0" applyFill="1" applyBorder="1" applyAlignment="1">
      <alignment horizontal="center"/>
    </xf>
    <xf numFmtId="14" fontId="0" fillId="2" borderId="0" xfId="0" applyNumberFormat="1" applyFill="1" applyBorder="1"/>
    <xf numFmtId="1" fontId="0" fillId="0" borderId="0" xfId="0" applyNumberFormat="1" applyBorder="1" applyAlignment="1">
      <alignment horizontal="left"/>
    </xf>
    <xf numFmtId="0" fontId="72" fillId="2" borderId="0" xfId="0" applyFont="1" applyFill="1" applyBorder="1" applyAlignment="1">
      <alignment horizontal="left"/>
    </xf>
    <xf numFmtId="1" fontId="57" fillId="2" borderId="0" xfId="1" applyNumberFormat="1" applyFont="1" applyFill="1" applyBorder="1" applyAlignment="1">
      <alignment horizontal="center"/>
    </xf>
    <xf numFmtId="0" fontId="5" fillId="2" borderId="0" xfId="0" applyFont="1" applyFill="1" applyBorder="1"/>
    <xf numFmtId="1" fontId="0" fillId="2" borderId="0" xfId="0" applyNumberFormat="1" applyFill="1" applyBorder="1"/>
    <xf numFmtId="1" fontId="57" fillId="2" borderId="0" xfId="1" applyNumberFormat="1" applyFont="1" applyFill="1" applyBorder="1"/>
    <xf numFmtId="167" fontId="0" fillId="2" borderId="0" xfId="0" applyNumberFormat="1" applyFill="1" applyBorder="1"/>
    <xf numFmtId="168" fontId="0" fillId="2" borderId="0" xfId="0" applyNumberFormat="1" applyFill="1" applyBorder="1"/>
    <xf numFmtId="3" fontId="15" fillId="2" borderId="0" xfId="0" applyNumberFormat="1" applyFont="1" applyFill="1" applyBorder="1" applyAlignment="1">
      <alignment horizontal="center"/>
    </xf>
    <xf numFmtId="1" fontId="57" fillId="2" borderId="0" xfId="0" applyNumberFormat="1" applyFont="1" applyFill="1" applyBorder="1"/>
    <xf numFmtId="0" fontId="0" fillId="2" borderId="0" xfId="0" quotePrefix="1" applyFill="1" applyBorder="1"/>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2" fillId="0" borderId="46" xfId="0" applyFont="1" applyBorder="1" applyAlignment="1">
      <alignment horizontal="center" vertical="center"/>
    </xf>
    <xf numFmtId="0" fontId="10" fillId="2" borderId="52" xfId="0" applyFont="1" applyFill="1" applyBorder="1"/>
    <xf numFmtId="0" fontId="10" fillId="0" borderId="52" xfId="0" applyFont="1" applyBorder="1" applyAlignment="1">
      <alignment horizontal="left"/>
    </xf>
    <xf numFmtId="164" fontId="0" fillId="2" borderId="0" xfId="0" applyNumberFormat="1" applyFill="1"/>
    <xf numFmtId="1" fontId="15" fillId="2" borderId="52" xfId="1" applyNumberFormat="1" applyFont="1" applyFill="1" applyBorder="1"/>
    <xf numFmtId="1" fontId="0" fillId="2" borderId="52" xfId="0" applyNumberFormat="1" applyFill="1" applyBorder="1" applyAlignment="1">
      <alignment horizontal="left" wrapText="1"/>
    </xf>
    <xf numFmtId="0" fontId="72" fillId="2" borderId="52" xfId="0" applyFont="1" applyFill="1" applyBorder="1" applyAlignment="1"/>
    <xf numFmtId="0" fontId="15" fillId="2" borderId="52" xfId="0" applyFont="1" applyFill="1" applyBorder="1" applyAlignment="1"/>
    <xf numFmtId="0" fontId="24" fillId="2" borderId="52" xfId="0" applyFont="1" applyFill="1" applyBorder="1" applyAlignment="1">
      <alignment horizontal="center"/>
    </xf>
    <xf numFmtId="1" fontId="15" fillId="2" borderId="0" xfId="1" applyNumberFormat="1" applyFont="1" applyFill="1" applyBorder="1"/>
    <xf numFmtId="0" fontId="15" fillId="2" borderId="0" xfId="0" applyFont="1" applyFill="1" applyBorder="1" applyAlignment="1"/>
    <xf numFmtId="1" fontId="13" fillId="2" borderId="0" xfId="0" applyNumberFormat="1" applyFont="1" applyFill="1" applyBorder="1" applyAlignment="1">
      <alignment vertical="center"/>
    </xf>
    <xf numFmtId="0" fontId="8" fillId="0" borderId="47" xfId="0" applyFont="1" applyBorder="1" applyAlignment="1">
      <alignment vertical="top" wrapText="1"/>
    </xf>
    <xf numFmtId="1" fontId="15" fillId="2" borderId="52" xfId="0" applyNumberFormat="1" applyFont="1" applyFill="1" applyBorder="1" applyAlignment="1">
      <alignment horizontal="left"/>
    </xf>
    <xf numFmtId="0" fontId="8" fillId="0" borderId="30" xfId="0" applyFont="1" applyBorder="1" applyAlignment="1">
      <alignment vertical="top" wrapText="1"/>
    </xf>
    <xf numFmtId="0" fontId="8" fillId="0" borderId="45" xfId="0" applyFont="1" applyBorder="1" applyAlignment="1">
      <alignment vertical="top" wrapText="1"/>
    </xf>
    <xf numFmtId="0" fontId="9" fillId="3" borderId="52" xfId="0" applyFont="1" applyFill="1" applyBorder="1" applyAlignment="1">
      <alignment horizontal="center" vertical="top"/>
    </xf>
    <xf numFmtId="0" fontId="9" fillId="3" borderId="43" xfId="0" applyFont="1" applyFill="1" applyBorder="1" applyAlignment="1">
      <alignment horizontal="center" vertical="top"/>
    </xf>
    <xf numFmtId="0" fontId="8" fillId="0" borderId="43" xfId="0" applyFont="1" applyBorder="1" applyAlignment="1">
      <alignment vertical="top"/>
    </xf>
    <xf numFmtId="14" fontId="8" fillId="0" borderId="52" xfId="0" applyNumberFormat="1" applyFont="1" applyBorder="1" applyAlignment="1">
      <alignment vertical="top"/>
    </xf>
    <xf numFmtId="15" fontId="0" fillId="0" borderId="0" xfId="0" applyNumberFormat="1"/>
    <xf numFmtId="0" fontId="2" fillId="2" borderId="2" xfId="0" applyFont="1" applyFill="1" applyBorder="1" applyAlignment="1">
      <alignment horizontal="center" vertical="center" wrapText="1"/>
    </xf>
    <xf numFmtId="0" fontId="1" fillId="2" borderId="52" xfId="0" applyFont="1" applyFill="1" applyBorder="1" applyAlignment="1">
      <alignment horizontal="center" vertical="center"/>
    </xf>
    <xf numFmtId="1" fontId="0" fillId="2" borderId="52" xfId="0" applyNumberFormat="1" applyFill="1" applyBorder="1" applyAlignment="1">
      <alignment horizontal="center" vertical="center"/>
    </xf>
    <xf numFmtId="0" fontId="0" fillId="2" borderId="52" xfId="0" applyFill="1" applyBorder="1" applyAlignment="1">
      <alignment vertical="center"/>
    </xf>
    <xf numFmtId="0" fontId="77" fillId="2" borderId="52" xfId="0" applyFont="1" applyFill="1" applyBorder="1" applyAlignment="1">
      <alignment vertical="center"/>
    </xf>
    <xf numFmtId="14" fontId="72" fillId="2" borderId="52" xfId="0" applyNumberFormat="1" applyFont="1" applyFill="1" applyBorder="1" applyAlignment="1">
      <alignment horizontal="left" vertical="center"/>
    </xf>
    <xf numFmtId="0" fontId="72" fillId="2" borderId="52" xfId="0" applyFont="1" applyFill="1" applyBorder="1" applyAlignment="1">
      <alignment vertical="center"/>
    </xf>
    <xf numFmtId="0" fontId="72" fillId="2" borderId="52" xfId="0" applyFont="1" applyFill="1" applyBorder="1" applyAlignment="1">
      <alignment horizontal="left" vertical="center"/>
    </xf>
    <xf numFmtId="1" fontId="15" fillId="2" borderId="52" xfId="1" applyNumberFormat="1" applyFont="1" applyFill="1" applyBorder="1" applyAlignment="1">
      <alignment horizontal="center" vertical="center"/>
    </xf>
    <xf numFmtId="1" fontId="57" fillId="2" borderId="52" xfId="1" applyNumberFormat="1" applyFont="1" applyFill="1" applyBorder="1" applyAlignment="1">
      <alignment horizontal="center" vertical="center"/>
    </xf>
    <xf numFmtId="1" fontId="57" fillId="2" borderId="52" xfId="1" applyNumberFormat="1" applyFont="1" applyFill="1" applyBorder="1" applyAlignment="1">
      <alignment vertical="center"/>
    </xf>
    <xf numFmtId="0" fontId="15" fillId="2" borderId="52" xfId="1" applyFont="1" applyFill="1" applyBorder="1" applyAlignment="1">
      <alignment vertical="center"/>
    </xf>
    <xf numFmtId="1" fontId="57" fillId="2" borderId="52" xfId="0" applyNumberFormat="1" applyFont="1" applyFill="1" applyBorder="1" applyAlignment="1">
      <alignment vertical="center"/>
    </xf>
    <xf numFmtId="0" fontId="0" fillId="2" borderId="52" xfId="0" applyFill="1" applyBorder="1" applyAlignment="1">
      <alignment horizontal="left" vertical="center"/>
    </xf>
    <xf numFmtId="0" fontId="8" fillId="0" borderId="52" xfId="0" applyFont="1" applyBorder="1" applyAlignment="1">
      <alignment vertical="center"/>
    </xf>
    <xf numFmtId="14" fontId="57" fillId="0" borderId="52" xfId="0" applyNumberFormat="1" applyFont="1" applyBorder="1"/>
    <xf numFmtId="0" fontId="8" fillId="0" borderId="53" xfId="0" applyFont="1" applyBorder="1" applyAlignment="1">
      <alignment vertical="center"/>
    </xf>
    <xf numFmtId="14" fontId="0" fillId="0" borderId="52" xfId="0" applyNumberFormat="1" applyBorder="1" applyAlignment="1">
      <alignment wrapText="1"/>
    </xf>
    <xf numFmtId="0" fontId="2" fillId="2" borderId="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0" borderId="0" xfId="0" applyFont="1" applyAlignment="1">
      <alignment horizontal="left" vertical="center"/>
    </xf>
    <xf numFmtId="0" fontId="2" fillId="0" borderId="52" xfId="0" applyFont="1" applyBorder="1" applyAlignment="1">
      <alignment horizontal="center" vertical="center"/>
    </xf>
    <xf numFmtId="0" fontId="42" fillId="2" borderId="52" xfId="3" applyFont="1" applyFill="1" applyBorder="1" applyAlignment="1">
      <alignment horizontal="left" vertical="center" wrapText="1"/>
    </xf>
    <xf numFmtId="1" fontId="86" fillId="2" borderId="52" xfId="0" applyNumberFormat="1" applyFont="1" applyFill="1" applyBorder="1" applyAlignment="1">
      <alignment horizontal="left" vertical="center"/>
    </xf>
    <xf numFmtId="14" fontId="41" fillId="2" borderId="52" xfId="0" applyNumberFormat="1" applyFont="1" applyFill="1" applyBorder="1" applyAlignment="1">
      <alignment horizontal="left" vertical="center"/>
    </xf>
    <xf numFmtId="0" fontId="41" fillId="2" borderId="52" xfId="0" applyFont="1" applyFill="1" applyBorder="1" applyAlignment="1">
      <alignment horizontal="left" vertical="center"/>
    </xf>
    <xf numFmtId="0" fontId="86" fillId="2" borderId="52" xfId="0" applyFont="1" applyFill="1" applyBorder="1" applyAlignment="1">
      <alignment horizontal="left" vertical="center"/>
    </xf>
    <xf numFmtId="1" fontId="86" fillId="2" borderId="52" xfId="0" applyNumberFormat="1" applyFont="1" applyFill="1" applyBorder="1" applyAlignment="1">
      <alignment horizontal="left" vertical="center" wrapText="1"/>
    </xf>
    <xf numFmtId="14" fontId="87" fillId="2" borderId="52" xfId="0" applyNumberFormat="1" applyFont="1" applyFill="1" applyBorder="1" applyAlignment="1">
      <alignment horizontal="left" vertical="center"/>
    </xf>
    <xf numFmtId="1" fontId="0" fillId="2" borderId="52" xfId="0" applyNumberFormat="1" applyFill="1" applyBorder="1" applyAlignment="1">
      <alignment horizontal="center"/>
    </xf>
    <xf numFmtId="0" fontId="81" fillId="2" borderId="52" xfId="0" applyFont="1" applyFill="1" applyBorder="1" applyAlignment="1">
      <alignment horizontal="center" vertical="center" wrapText="1"/>
    </xf>
    <xf numFmtId="0" fontId="41" fillId="2" borderId="52" xfId="0" applyFont="1" applyFill="1" applyBorder="1" applyAlignment="1">
      <alignment horizontal="center" vertical="center"/>
    </xf>
    <xf numFmtId="1" fontId="86" fillId="2" borderId="52" xfId="0" applyNumberFormat="1" applyFont="1" applyFill="1" applyBorder="1" applyAlignment="1">
      <alignment horizontal="center" vertical="center" wrapText="1"/>
    </xf>
    <xf numFmtId="167" fontId="74" fillId="8" borderId="52" xfId="1" applyNumberFormat="1" applyFont="1" applyFill="1" applyBorder="1" applyAlignment="1">
      <alignment horizontal="right"/>
    </xf>
    <xf numFmtId="1" fontId="74" fillId="8" borderId="52" xfId="0" applyNumberFormat="1" applyFont="1" applyFill="1" applyBorder="1" applyAlignment="1">
      <alignment horizontal="right"/>
    </xf>
    <xf numFmtId="1" fontId="2" fillId="2" borderId="52" xfId="1" applyNumberFormat="1" applyFont="1" applyFill="1" applyBorder="1" applyAlignment="1">
      <alignment vertical="center"/>
    </xf>
    <xf numFmtId="167" fontId="74" fillId="2" borderId="52" xfId="1" applyNumberFormat="1" applyFont="1" applyFill="1" applyBorder="1" applyAlignment="1">
      <alignment horizontal="right"/>
    </xf>
    <xf numFmtId="3" fontId="74" fillId="8" borderId="52" xfId="0" applyNumberFormat="1" applyFont="1" applyFill="1" applyBorder="1" applyAlignment="1">
      <alignment horizontal="right"/>
    </xf>
    <xf numFmtId="14" fontId="0" fillId="2" borderId="0" xfId="0" applyNumberFormat="1" applyFill="1" applyBorder="1" applyAlignment="1">
      <alignment horizontal="left" vertical="center"/>
    </xf>
    <xf numFmtId="0" fontId="0" fillId="2" borderId="0" xfId="0" applyFill="1" applyBorder="1" applyAlignment="1">
      <alignment vertical="center"/>
    </xf>
    <xf numFmtId="1" fontId="57" fillId="2" borderId="0" xfId="0" applyNumberFormat="1" applyFont="1" applyFill="1" applyBorder="1" applyAlignment="1">
      <alignment vertical="center" wrapText="1"/>
    </xf>
    <xf numFmtId="1" fontId="0" fillId="2" borderId="0" xfId="0" applyNumberFormat="1" applyFill="1" applyBorder="1" applyAlignment="1">
      <alignment horizontal="left" vertical="center"/>
    </xf>
    <xf numFmtId="1" fontId="0" fillId="0" borderId="52" xfId="0" applyNumberFormat="1" applyBorder="1" applyAlignment="1">
      <alignment wrapText="1"/>
    </xf>
    <xf numFmtId="17" fontId="2" fillId="0" borderId="62" xfId="0" applyNumberFormat="1" applyFont="1" applyBorder="1"/>
    <xf numFmtId="14" fontId="80" fillId="0" borderId="52" xfId="0" applyNumberFormat="1" applyFont="1" applyBorder="1"/>
    <xf numFmtId="1" fontId="2" fillId="0" borderId="36" xfId="0" applyNumberFormat="1" applyFont="1" applyBorder="1"/>
    <xf numFmtId="1" fontId="10" fillId="2" borderId="55" xfId="0" applyNumberFormat="1" applyFont="1" applyFill="1" applyBorder="1"/>
    <xf numFmtId="0" fontId="0" fillId="0" borderId="52" xfId="0" applyBorder="1" applyAlignment="1">
      <alignment horizontal="center" wrapText="1"/>
    </xf>
    <xf numFmtId="0" fontId="5" fillId="2" borderId="52" xfId="0" applyFont="1" applyFill="1" applyBorder="1" applyAlignment="1">
      <alignment horizontal="left" vertical="center" wrapText="1"/>
    </xf>
    <xf numFmtId="14" fontId="57" fillId="2" borderId="52" xfId="0" applyNumberFormat="1" applyFont="1" applyFill="1" applyBorder="1" applyAlignment="1">
      <alignment horizontal="left"/>
    </xf>
    <xf numFmtId="0" fontId="88" fillId="2" borderId="52" xfId="0" applyFont="1" applyFill="1" applyBorder="1" applyAlignment="1">
      <alignment horizontal="center" vertical="center"/>
    </xf>
    <xf numFmtId="1" fontId="91" fillId="2" borderId="52" xfId="0" applyNumberFormat="1" applyFont="1" applyFill="1" applyBorder="1" applyAlignment="1">
      <alignment horizontal="left" wrapText="1"/>
    </xf>
    <xf numFmtId="0" fontId="90" fillId="2" borderId="52" xfId="0" applyFont="1" applyFill="1" applyBorder="1" applyAlignment="1">
      <alignment horizontal="left" vertical="center" wrapText="1"/>
    </xf>
    <xf numFmtId="0" fontId="76" fillId="2" borderId="52" xfId="0" applyFont="1" applyFill="1" applyBorder="1" applyAlignment="1">
      <alignment horizontal="right"/>
    </xf>
    <xf numFmtId="14" fontId="8" fillId="0" borderId="52" xfId="0" applyNumberFormat="1" applyFont="1" applyBorder="1" applyAlignment="1">
      <alignment vertical="center"/>
    </xf>
    <xf numFmtId="0" fontId="8" fillId="0" borderId="43" xfId="0" applyFont="1" applyBorder="1" applyAlignment="1">
      <alignment vertical="center"/>
    </xf>
    <xf numFmtId="1" fontId="92" fillId="2" borderId="52" xfId="0" applyNumberFormat="1" applyFont="1" applyFill="1" applyBorder="1" applyAlignment="1">
      <alignment horizontal="center" vertical="center"/>
    </xf>
    <xf numFmtId="1" fontId="93" fillId="2" borderId="52" xfId="0" applyNumberFormat="1" applyFont="1" applyFill="1" applyBorder="1" applyAlignment="1">
      <alignment horizontal="left" vertical="center"/>
    </xf>
    <xf numFmtId="1" fontId="94" fillId="2" borderId="52" xfId="0" applyNumberFormat="1" applyFont="1" applyFill="1" applyBorder="1" applyAlignment="1">
      <alignment horizontal="center" vertical="center"/>
    </xf>
    <xf numFmtId="0" fontId="94" fillId="2" borderId="52" xfId="0" applyFont="1" applyFill="1" applyBorder="1" applyAlignment="1">
      <alignment horizontal="center" vertical="center"/>
    </xf>
    <xf numFmtId="1" fontId="92" fillId="2" borderId="52" xfId="1" applyNumberFormat="1" applyFont="1" applyFill="1" applyBorder="1" applyAlignment="1">
      <alignment horizontal="center" vertical="center"/>
    </xf>
    <xf numFmtId="1" fontId="40" fillId="2" borderId="52" xfId="1" applyNumberFormat="1" applyFont="1" applyFill="1" applyBorder="1" applyAlignment="1">
      <alignment horizontal="center" vertical="center"/>
    </xf>
    <xf numFmtId="1" fontId="49" fillId="2" borderId="52" xfId="0" applyNumberFormat="1" applyFont="1" applyFill="1" applyBorder="1" applyAlignment="1">
      <alignment horizontal="center" vertical="center"/>
    </xf>
    <xf numFmtId="1" fontId="40" fillId="2" borderId="52" xfId="1" applyNumberFormat="1" applyFont="1" applyFill="1" applyBorder="1" applyAlignment="1">
      <alignment vertical="center"/>
    </xf>
    <xf numFmtId="1" fontId="92" fillId="2" borderId="52" xfId="0" applyNumberFormat="1" applyFont="1" applyFill="1" applyBorder="1" applyAlignment="1">
      <alignment vertical="center"/>
    </xf>
    <xf numFmtId="1" fontId="92" fillId="2" borderId="52" xfId="2" quotePrefix="1" applyNumberFormat="1" applyFont="1" applyFill="1" applyBorder="1" applyAlignment="1">
      <alignment horizontal="left" vertical="center"/>
    </xf>
    <xf numFmtId="0" fontId="94" fillId="0" borderId="0" xfId="0" applyFont="1" applyAlignment="1">
      <alignment vertical="center"/>
    </xf>
    <xf numFmtId="1" fontId="11" fillId="2" borderId="52" xfId="1" applyNumberFormat="1" applyFont="1" applyFill="1" applyBorder="1" applyAlignment="1">
      <alignment vertical="center"/>
    </xf>
    <xf numFmtId="0" fontId="8" fillId="0" borderId="52" xfId="0" applyFont="1" applyBorder="1" applyAlignment="1">
      <alignment horizontal="center" vertical="center"/>
    </xf>
    <xf numFmtId="0" fontId="5" fillId="2" borderId="52" xfId="0" applyFont="1" applyFill="1" applyBorder="1" applyAlignment="1">
      <alignment horizontal="left"/>
    </xf>
    <xf numFmtId="14" fontId="2" fillId="2" borderId="52" xfId="0" applyNumberFormat="1" applyFont="1" applyFill="1" applyBorder="1" applyAlignment="1">
      <alignment horizontal="left" vertical="center"/>
    </xf>
    <xf numFmtId="168" fontId="74" fillId="2" borderId="52" xfId="1" applyNumberFormat="1" applyFont="1" applyFill="1" applyBorder="1" applyAlignment="1">
      <alignment horizontal="right"/>
    </xf>
    <xf numFmtId="3" fontId="74" fillId="2" borderId="52" xfId="0" applyNumberFormat="1" applyFont="1" applyFill="1" applyBorder="1" applyAlignment="1">
      <alignment horizontal="right"/>
    </xf>
    <xf numFmtId="1" fontId="89" fillId="2" borderId="52" xfId="1" applyNumberFormat="1" applyFont="1" applyFill="1" applyBorder="1" applyAlignment="1">
      <alignment vertical="center"/>
    </xf>
    <xf numFmtId="0" fontId="95" fillId="8" borderId="52" xfId="0" applyFont="1" applyFill="1" applyBorder="1" applyAlignment="1">
      <alignment horizontal="center" vertical="center"/>
    </xf>
    <xf numFmtId="0" fontId="9" fillId="2" borderId="52" xfId="0" applyFont="1" applyFill="1" applyBorder="1" applyAlignment="1">
      <alignment horizontal="center" vertical="center" wrapText="1"/>
    </xf>
    <xf numFmtId="0" fontId="9" fillId="2" borderId="15" xfId="0" applyFont="1" applyFill="1" applyBorder="1" applyAlignment="1">
      <alignment horizontal="center" vertical="center" wrapText="1"/>
    </xf>
    <xf numFmtId="167" fontId="15" fillId="8" borderId="52" xfId="1" applyNumberFormat="1" applyFont="1" applyFill="1" applyBorder="1"/>
    <xf numFmtId="14" fontId="8" fillId="0" borderId="52" xfId="0" applyNumberFormat="1" applyFont="1" applyBorder="1" applyAlignment="1">
      <alignment horizontal="center" vertical="center"/>
    </xf>
    <xf numFmtId="0" fontId="47" fillId="0" borderId="0" xfId="0" applyFont="1" applyAlignment="1">
      <alignment horizontal="center" vertical="center" wrapText="1"/>
    </xf>
    <xf numFmtId="0" fontId="47" fillId="0" borderId="0" xfId="0" applyFont="1" applyAlignment="1">
      <alignment horizontal="center" vertical="center"/>
    </xf>
    <xf numFmtId="0" fontId="2" fillId="2" borderId="0" xfId="0" applyFont="1" applyFill="1" applyAlignment="1">
      <alignment horizontal="left"/>
    </xf>
    <xf numFmtId="0" fontId="2" fillId="0" borderId="0" xfId="0" applyFont="1" applyAlignment="1">
      <alignment horizontal="left"/>
    </xf>
    <xf numFmtId="0" fontId="2" fillId="2" borderId="2"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3" xfId="0" applyFont="1" applyFill="1" applyBorder="1" applyAlignment="1">
      <alignment horizontal="center" vertical="center"/>
    </xf>
    <xf numFmtId="0" fontId="2" fillId="2" borderId="25"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0" fillId="0" borderId="0" xfId="0" applyAlignment="1">
      <alignment horizontal="center"/>
    </xf>
    <xf numFmtId="0" fontId="2" fillId="2" borderId="0" xfId="0" applyFont="1" applyFill="1" applyAlignment="1">
      <alignment horizontal="right" vertical="center" wrapText="1"/>
    </xf>
    <xf numFmtId="0" fontId="2" fillId="2" borderId="0" xfId="0" applyFont="1" applyFill="1" applyAlignment="1">
      <alignment horizontal="center" wrapText="1"/>
    </xf>
    <xf numFmtId="0" fontId="2" fillId="2" borderId="9" xfId="0" applyFont="1" applyFill="1" applyBorder="1" applyAlignment="1">
      <alignment horizontal="center" vertical="center" wrapText="1"/>
    </xf>
    <xf numFmtId="17" fontId="89" fillId="2" borderId="0" xfId="0" applyNumberFormat="1" applyFont="1" applyFill="1" applyAlignment="1">
      <alignment horizontal="center"/>
    </xf>
    <xf numFmtId="0" fontId="2" fillId="2" borderId="7" xfId="0" applyFont="1" applyFill="1" applyBorder="1" applyAlignment="1">
      <alignment horizontal="center" vertical="center" wrapText="1"/>
    </xf>
    <xf numFmtId="0" fontId="2" fillId="2" borderId="58"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166" fontId="41" fillId="0" borderId="0" xfId="0" applyNumberFormat="1" applyFont="1" applyBorder="1" applyAlignment="1">
      <alignment horizontal="left" vertical="center" wrapText="1"/>
    </xf>
    <xf numFmtId="166" fontId="41" fillId="0" borderId="30" xfId="0" applyNumberFormat="1" applyFont="1" applyBorder="1" applyAlignment="1">
      <alignment horizontal="left" vertical="center" wrapText="1"/>
    </xf>
    <xf numFmtId="0" fontId="0" fillId="2" borderId="29" xfId="0" applyFill="1" applyBorder="1" applyAlignment="1">
      <alignment horizontal="center" vertical="top" wrapText="1"/>
    </xf>
    <xf numFmtId="0" fontId="0" fillId="2" borderId="0" xfId="0" applyFill="1" applyBorder="1" applyAlignment="1">
      <alignment horizontal="center" vertical="top" wrapText="1"/>
    </xf>
    <xf numFmtId="165" fontId="40" fillId="2" borderId="0" xfId="0" applyNumberFormat="1" applyFont="1" applyFill="1" applyBorder="1" applyAlignment="1">
      <alignment horizontal="center" vertical="top" wrapText="1"/>
    </xf>
    <xf numFmtId="0" fontId="46" fillId="2" borderId="27" xfId="0" applyFont="1" applyFill="1" applyBorder="1" applyAlignment="1">
      <alignment horizontal="center" vertical="top" wrapText="1"/>
    </xf>
    <xf numFmtId="0" fontId="46" fillId="2" borderId="15" xfId="0" applyFont="1" applyFill="1" applyBorder="1" applyAlignment="1">
      <alignment horizontal="center" vertical="top" wrapText="1"/>
    </xf>
    <xf numFmtId="0" fontId="46" fillId="2" borderId="28" xfId="0" applyFont="1" applyFill="1" applyBorder="1" applyAlignment="1">
      <alignment horizontal="center" vertical="top" wrapText="1"/>
    </xf>
    <xf numFmtId="0" fontId="38" fillId="2" borderId="29" xfId="0" applyFont="1" applyFill="1" applyBorder="1" applyAlignment="1">
      <alignment horizontal="center" vertical="top" wrapText="1"/>
    </xf>
    <xf numFmtId="0" fontId="38" fillId="2" borderId="0" xfId="0" applyFont="1" applyFill="1" applyBorder="1" applyAlignment="1">
      <alignment horizontal="center" vertical="top" wrapText="1"/>
    </xf>
    <xf numFmtId="0" fontId="38" fillId="2" borderId="30" xfId="0" applyFont="1" applyFill="1" applyBorder="1" applyAlignment="1">
      <alignment horizontal="center" vertical="top" wrapText="1"/>
    </xf>
    <xf numFmtId="0" fontId="43" fillId="2" borderId="29" xfId="0" applyFont="1" applyFill="1" applyBorder="1" applyAlignment="1">
      <alignment horizontal="center" vertical="top" wrapText="1"/>
    </xf>
    <xf numFmtId="0" fontId="43" fillId="2" borderId="0" xfId="0" applyFont="1" applyFill="1" applyBorder="1" applyAlignment="1">
      <alignment horizontal="center" vertical="top" wrapText="1"/>
    </xf>
    <xf numFmtId="0" fontId="43" fillId="2" borderId="30" xfId="0" applyFont="1" applyFill="1" applyBorder="1" applyAlignment="1">
      <alignment horizontal="center" vertical="top" wrapText="1"/>
    </xf>
    <xf numFmtId="0" fontId="44" fillId="2" borderId="26" xfId="0" applyFont="1" applyFill="1" applyBorder="1" applyAlignment="1">
      <alignment horizontal="center" vertical="top" wrapText="1"/>
    </xf>
    <xf numFmtId="0" fontId="44" fillId="2" borderId="0" xfId="0" applyFont="1" applyFill="1" applyBorder="1" applyAlignment="1">
      <alignment horizontal="center" vertical="top" wrapText="1"/>
    </xf>
    <xf numFmtId="0" fontId="43" fillId="2" borderId="29" xfId="0" applyFont="1" applyFill="1" applyBorder="1" applyAlignment="1">
      <alignment horizontal="left" vertical="top" wrapText="1"/>
    </xf>
    <xf numFmtId="0" fontId="43" fillId="2" borderId="0" xfId="0" applyFont="1" applyFill="1" applyBorder="1" applyAlignment="1">
      <alignment horizontal="left" vertical="top" wrapText="1"/>
    </xf>
    <xf numFmtId="0" fontId="0" fillId="2" borderId="29" xfId="0" applyFill="1" applyBorder="1" applyAlignment="1">
      <alignment horizontal="justify" vertical="top" wrapText="1"/>
    </xf>
    <xf numFmtId="0" fontId="0" fillId="2" borderId="0" xfId="0" applyFill="1" applyBorder="1" applyAlignment="1">
      <alignment horizontal="justify" vertical="top" wrapText="1"/>
    </xf>
    <xf numFmtId="0" fontId="0" fillId="0" borderId="29" xfId="0" applyBorder="1" applyAlignment="1">
      <alignment horizontal="center" wrapText="1"/>
    </xf>
    <xf numFmtId="0" fontId="0" fillId="0" borderId="0" xfId="0" applyBorder="1" applyAlignment="1">
      <alignment horizontal="center"/>
    </xf>
    <xf numFmtId="0" fontId="0" fillId="0" borderId="30" xfId="0" applyBorder="1" applyAlignment="1">
      <alignment horizontal="center"/>
    </xf>
    <xf numFmtId="0" fontId="2" fillId="0" borderId="29" xfId="0" applyFont="1" applyBorder="1" applyAlignment="1">
      <alignment horizontal="left"/>
    </xf>
    <xf numFmtId="0" fontId="2" fillId="0" borderId="0" xfId="0" applyFont="1" applyBorder="1" applyAlignment="1">
      <alignment horizontal="left"/>
    </xf>
    <xf numFmtId="0" fontId="9" fillId="0" borderId="32" xfId="3" applyFont="1" applyBorder="1" applyAlignment="1">
      <alignment horizontal="center" vertical="center"/>
    </xf>
    <xf numFmtId="0" fontId="9" fillId="0" borderId="33" xfId="3" applyFont="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9" fillId="2" borderId="13" xfId="0" applyFont="1" applyFill="1" applyBorder="1" applyAlignment="1">
      <alignment horizontal="center" vertical="center" wrapText="1"/>
    </xf>
    <xf numFmtId="0" fontId="9" fillId="2" borderId="52"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3" borderId="11" xfId="0" applyFont="1" applyFill="1" applyBorder="1" applyAlignment="1">
      <alignment horizontal="center" vertical="top" wrapText="1"/>
    </xf>
    <xf numFmtId="0" fontId="9" fillId="3" borderId="43" xfId="0" applyFont="1" applyFill="1" applyBorder="1" applyAlignment="1">
      <alignment horizontal="center" vertical="top" wrapText="1"/>
    </xf>
    <xf numFmtId="0" fontId="9" fillId="3" borderId="9" xfId="0" applyFont="1" applyFill="1" applyBorder="1" applyAlignment="1">
      <alignment horizontal="center" vertical="top" wrapText="1"/>
    </xf>
    <xf numFmtId="0" fontId="9" fillId="3" borderId="52" xfId="0" applyFont="1" applyFill="1" applyBorder="1" applyAlignment="1">
      <alignment horizontal="center" vertical="top" wrapText="1"/>
    </xf>
    <xf numFmtId="0" fontId="9" fillId="3" borderId="12" xfId="0" applyFont="1" applyFill="1" applyBorder="1" applyAlignment="1">
      <alignment horizontal="center" vertical="top" wrapText="1"/>
    </xf>
    <xf numFmtId="0" fontId="9" fillId="3" borderId="9" xfId="0" applyFont="1" applyFill="1" applyBorder="1" applyAlignment="1">
      <alignment horizontal="left" vertical="top" wrapText="1"/>
    </xf>
    <xf numFmtId="0" fontId="9" fillId="3" borderId="52" xfId="0" applyFont="1" applyFill="1" applyBorder="1" applyAlignment="1">
      <alignment horizontal="left" vertical="top" wrapText="1"/>
    </xf>
    <xf numFmtId="0" fontId="25" fillId="6" borderId="13" xfId="0" applyFont="1" applyFill="1" applyBorder="1" applyAlignment="1">
      <alignment horizontal="center" vertical="center"/>
    </xf>
    <xf numFmtId="0" fontId="25" fillId="6" borderId="48" xfId="0" applyFont="1" applyFill="1" applyBorder="1" applyAlignment="1">
      <alignment horizontal="center" vertical="center"/>
    </xf>
    <xf numFmtId="0" fontId="25" fillId="6" borderId="52" xfId="0" applyFont="1" applyFill="1" applyBorder="1" applyAlignment="1">
      <alignment horizontal="center" vertical="center"/>
    </xf>
    <xf numFmtId="0" fontId="25" fillId="6" borderId="43" xfId="0" applyFont="1" applyFill="1" applyBorder="1" applyAlignment="1">
      <alignment horizontal="center" vertical="center"/>
    </xf>
    <xf numFmtId="0" fontId="25" fillId="6" borderId="55" xfId="0" applyFont="1" applyFill="1" applyBorder="1" applyAlignment="1">
      <alignment horizontal="center" vertical="center"/>
    </xf>
    <xf numFmtId="0" fontId="25" fillId="6" borderId="56" xfId="0" applyFont="1" applyFill="1" applyBorder="1" applyAlignment="1">
      <alignment horizontal="center" vertical="center"/>
    </xf>
    <xf numFmtId="0" fontId="25" fillId="6" borderId="46" xfId="0" applyFont="1" applyFill="1" applyBorder="1" applyAlignment="1">
      <alignment horizontal="center" vertical="center"/>
    </xf>
    <xf numFmtId="0" fontId="24" fillId="7" borderId="52" xfId="0" applyFont="1" applyFill="1" applyBorder="1" applyAlignment="1">
      <alignment horizontal="center" vertical="top"/>
    </xf>
    <xf numFmtId="0" fontId="24" fillId="7" borderId="53" xfId="0" applyFont="1" applyFill="1" applyBorder="1" applyAlignment="1">
      <alignment horizontal="center" vertical="top"/>
    </xf>
    <xf numFmtId="0" fontId="24" fillId="7" borderId="43" xfId="0" applyFont="1" applyFill="1" applyBorder="1" applyAlignment="1">
      <alignment horizontal="center" vertical="top"/>
    </xf>
    <xf numFmtId="0" fontId="41" fillId="5" borderId="40" xfId="9" applyFont="1" applyBorder="1" applyAlignment="1">
      <alignment horizontal="center"/>
    </xf>
    <xf numFmtId="0" fontId="41" fillId="5" borderId="41" xfId="9" applyFont="1" applyBorder="1" applyAlignment="1">
      <alignment horizontal="center"/>
    </xf>
    <xf numFmtId="0" fontId="41" fillId="5" borderId="42" xfId="9" applyFont="1" applyBorder="1" applyAlignment="1">
      <alignment horizontal="center"/>
    </xf>
    <xf numFmtId="0" fontId="41" fillId="5" borderId="16" xfId="9" applyFont="1" applyBorder="1" applyAlignment="1">
      <alignment horizontal="center"/>
    </xf>
    <xf numFmtId="0" fontId="41" fillId="5" borderId="17" xfId="9" applyFont="1" applyBorder="1" applyAlignment="1">
      <alignment horizontal="center"/>
    </xf>
    <xf numFmtId="0" fontId="41" fillId="5" borderId="18" xfId="9" applyFont="1" applyBorder="1" applyAlignment="1">
      <alignment horizontal="center"/>
    </xf>
    <xf numFmtId="0" fontId="2" fillId="0" borderId="0" xfId="0" applyFont="1" applyBorder="1" applyAlignment="1">
      <alignment horizontal="center" wrapText="1"/>
    </xf>
    <xf numFmtId="0" fontId="2" fillId="0" borderId="30" xfId="0" applyFont="1" applyBorder="1" applyAlignment="1">
      <alignment horizontal="center" wrapText="1"/>
    </xf>
    <xf numFmtId="0" fontId="2" fillId="2" borderId="11" xfId="0" applyFont="1" applyFill="1" applyBorder="1" applyAlignment="1">
      <alignment horizontal="center" vertical="center" wrapText="1"/>
    </xf>
    <xf numFmtId="0" fontId="41" fillId="2" borderId="32" xfId="3" applyFont="1" applyFill="1" applyBorder="1" applyAlignment="1">
      <alignment horizontal="center"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1" fontId="2" fillId="0" borderId="9" xfId="0" applyNumberFormat="1" applyFont="1" applyBorder="1" applyAlignment="1">
      <alignment horizontal="center" vertical="center"/>
    </xf>
    <xf numFmtId="1" fontId="2" fillId="0" borderId="11" xfId="0" applyNumberFormat="1" applyFont="1" applyBorder="1" applyAlignment="1">
      <alignment horizontal="center" vertical="center"/>
    </xf>
    <xf numFmtId="0" fontId="2" fillId="0" borderId="50" xfId="0" applyFont="1" applyBorder="1" applyAlignment="1">
      <alignment horizontal="left" vertical="center"/>
    </xf>
    <xf numFmtId="0" fontId="2" fillId="0" borderId="52" xfId="0" applyFont="1" applyBorder="1" applyAlignment="1">
      <alignment horizontal="left" vertical="center"/>
    </xf>
    <xf numFmtId="17"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43" xfId="0" applyFont="1" applyBorder="1" applyAlignment="1">
      <alignment horizontal="center" vertical="center"/>
    </xf>
    <xf numFmtId="0" fontId="2" fillId="0" borderId="55" xfId="0" applyFont="1" applyBorder="1" applyAlignment="1">
      <alignment horizontal="left" vertical="center"/>
    </xf>
    <xf numFmtId="1" fontId="2" fillId="0" borderId="52" xfId="0" applyNumberFormat="1" applyFont="1" applyBorder="1" applyAlignment="1">
      <alignment horizontal="center" vertical="center"/>
    </xf>
    <xf numFmtId="0" fontId="2" fillId="0" borderId="61" xfId="0" applyFont="1" applyBorder="1" applyAlignment="1">
      <alignment horizontal="center" vertical="center"/>
    </xf>
    <xf numFmtId="0" fontId="2" fillId="0" borderId="56" xfId="0" applyFont="1" applyBorder="1" applyAlignment="1">
      <alignment horizontal="center" vertical="center"/>
    </xf>
    <xf numFmtId="1" fontId="59" fillId="0" borderId="52" xfId="0" applyNumberFormat="1" applyFont="1" applyBorder="1" applyAlignment="1">
      <alignment horizontal="center" vertical="center" wrapText="1"/>
    </xf>
    <xf numFmtId="0" fontId="2" fillId="0" borderId="50" xfId="0" applyFont="1" applyBorder="1" applyAlignment="1">
      <alignment horizontal="left" vertical="center" wrapText="1"/>
    </xf>
    <xf numFmtId="0" fontId="2" fillId="0" borderId="52" xfId="0" applyFont="1" applyBorder="1" applyAlignment="1">
      <alignment horizontal="left" vertical="center" wrapText="1"/>
    </xf>
    <xf numFmtId="0" fontId="2" fillId="0" borderId="9" xfId="0" applyFont="1" applyBorder="1" applyAlignment="1">
      <alignment horizontal="center" vertical="center"/>
    </xf>
    <xf numFmtId="0" fontId="2" fillId="0" borderId="11" xfId="0" applyFont="1" applyBorder="1" applyAlignment="1">
      <alignment horizontal="center" vertical="center"/>
    </xf>
    <xf numFmtId="14" fontId="2" fillId="0" borderId="53" xfId="0" applyNumberFormat="1" applyFont="1" applyBorder="1" applyAlignment="1">
      <alignment horizontal="center" vertical="center"/>
    </xf>
    <xf numFmtId="14" fontId="2" fillId="0" borderId="44" xfId="0" applyNumberFormat="1" applyFont="1" applyBorder="1" applyAlignment="1">
      <alignment horizontal="center" vertical="center"/>
    </xf>
    <xf numFmtId="0" fontId="26" fillId="0" borderId="27" xfId="0" applyFont="1" applyBorder="1" applyAlignment="1">
      <alignment horizontal="center"/>
    </xf>
    <xf numFmtId="0" fontId="26" fillId="0" borderId="15" xfId="0" applyFont="1" applyBorder="1" applyAlignment="1">
      <alignment horizontal="center"/>
    </xf>
    <xf numFmtId="0" fontId="26" fillId="0" borderId="28" xfId="0" applyFont="1" applyBorder="1" applyAlignment="1">
      <alignment horizontal="center"/>
    </xf>
    <xf numFmtId="0" fontId="27" fillId="0" borderId="29" xfId="0" applyFont="1" applyBorder="1" applyAlignment="1">
      <alignment horizontal="center"/>
    </xf>
    <xf numFmtId="0" fontId="27" fillId="0" borderId="0" xfId="0" applyFont="1" applyBorder="1" applyAlignment="1">
      <alignment horizontal="center"/>
    </xf>
    <xf numFmtId="0" fontId="27" fillId="0" borderId="30" xfId="0" applyFont="1" applyBorder="1" applyAlignment="1">
      <alignment horizontal="center"/>
    </xf>
    <xf numFmtId="0" fontId="5" fillId="0" borderId="34"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2" fillId="0" borderId="27" xfId="0" applyFont="1" applyBorder="1" applyAlignment="1">
      <alignment horizontal="left" vertical="top"/>
    </xf>
    <xf numFmtId="0" fontId="2" fillId="0" borderId="15" xfId="0" applyFont="1" applyBorder="1" applyAlignment="1">
      <alignment horizontal="left" vertical="top"/>
    </xf>
    <xf numFmtId="0" fontId="2" fillId="0" borderId="34" xfId="0" applyFont="1" applyBorder="1" applyAlignment="1">
      <alignment horizontal="left" vertical="top"/>
    </xf>
    <xf numFmtId="0" fontId="2" fillId="0" borderId="32" xfId="0" applyFont="1" applyBorder="1" applyAlignment="1">
      <alignment horizontal="left" vertical="top"/>
    </xf>
    <xf numFmtId="0" fontId="2" fillId="0" borderId="15" xfId="0" applyFont="1" applyBorder="1" applyAlignment="1">
      <alignment horizontal="left" vertical="center" wrapText="1"/>
    </xf>
    <xf numFmtId="0" fontId="2" fillId="0" borderId="28" xfId="0" applyFont="1" applyBorder="1" applyAlignment="1">
      <alignment horizontal="left" vertical="center" wrapText="1"/>
    </xf>
    <xf numFmtId="0" fontId="2" fillId="0" borderId="32" xfId="0" applyFont="1" applyBorder="1" applyAlignment="1">
      <alignment horizontal="left" vertical="center" wrapText="1"/>
    </xf>
    <xf numFmtId="0" fontId="2" fillId="0" borderId="33" xfId="0" applyFont="1" applyBorder="1" applyAlignment="1">
      <alignment horizontal="left" vertical="center" wrapText="1"/>
    </xf>
    <xf numFmtId="0" fontId="2" fillId="0" borderId="30" xfId="0" applyFont="1" applyBorder="1" applyAlignment="1">
      <alignment horizontal="left"/>
    </xf>
    <xf numFmtId="0" fontId="2" fillId="0" borderId="52" xfId="0" applyNumberFormat="1" applyFont="1" applyBorder="1" applyAlignment="1">
      <alignment horizontal="center" vertical="center"/>
    </xf>
    <xf numFmtId="0" fontId="2" fillId="0" borderId="43" xfId="0" applyNumberFormat="1" applyFont="1" applyBorder="1" applyAlignment="1">
      <alignment horizontal="center" vertical="center"/>
    </xf>
    <xf numFmtId="14" fontId="2" fillId="0" borderId="52" xfId="0" applyNumberFormat="1" applyFont="1" applyBorder="1" applyAlignment="1">
      <alignment horizontal="center" vertical="center"/>
    </xf>
    <xf numFmtId="0" fontId="2" fillId="0" borderId="55" xfId="0" applyFont="1" applyBorder="1" applyAlignment="1">
      <alignment horizontal="center" vertical="center"/>
    </xf>
    <xf numFmtId="0" fontId="2" fillId="0" borderId="46" xfId="0" applyFont="1" applyBorder="1" applyAlignment="1">
      <alignment horizontal="center" vertical="center"/>
    </xf>
    <xf numFmtId="0" fontId="2" fillId="0" borderId="53" xfId="0" applyFont="1" applyBorder="1" applyAlignment="1">
      <alignment horizontal="center" vertical="center"/>
    </xf>
    <xf numFmtId="0" fontId="2" fillId="0" borderId="44" xfId="0" applyFont="1" applyBorder="1" applyAlignment="1">
      <alignment horizontal="center" vertical="center"/>
    </xf>
    <xf numFmtId="1" fontId="2" fillId="0" borderId="27" xfId="0" applyNumberFormat="1" applyFont="1" applyBorder="1" applyAlignment="1">
      <alignment horizontal="center" vertical="center"/>
    </xf>
    <xf numFmtId="0" fontId="2" fillId="0" borderId="15" xfId="0" applyFont="1" applyBorder="1" applyAlignment="1">
      <alignment horizontal="center" vertical="center"/>
    </xf>
    <xf numFmtId="0" fontId="2" fillId="0" borderId="28" xfId="0" applyFont="1" applyBorder="1" applyAlignment="1">
      <alignment horizontal="center" vertical="center"/>
    </xf>
    <xf numFmtId="1" fontId="59" fillId="0" borderId="34" xfId="0" applyNumberFormat="1" applyFont="1" applyBorder="1" applyAlignment="1">
      <alignment horizontal="center" vertical="center" wrapText="1"/>
    </xf>
    <xf numFmtId="1" fontId="59" fillId="0" borderId="32" xfId="0" applyNumberFormat="1" applyFont="1" applyBorder="1" applyAlignment="1">
      <alignment horizontal="center" vertical="center" wrapText="1"/>
    </xf>
    <xf numFmtId="1" fontId="59" fillId="0" borderId="33" xfId="0" applyNumberFormat="1" applyFont="1" applyBorder="1" applyAlignment="1">
      <alignment horizontal="center" vertical="center" wrapText="1"/>
    </xf>
    <xf numFmtId="1" fontId="59" fillId="0" borderId="9" xfId="0" applyNumberFormat="1" applyFont="1" applyBorder="1" applyAlignment="1">
      <alignment horizontal="center" vertical="center"/>
    </xf>
    <xf numFmtId="0" fontId="59" fillId="0" borderId="9" xfId="0" applyFont="1" applyBorder="1" applyAlignment="1">
      <alignment horizontal="center" vertical="center"/>
    </xf>
    <xf numFmtId="0" fontId="59" fillId="0" borderId="11" xfId="0" applyFont="1" applyBorder="1" applyAlignment="1">
      <alignment horizontal="center" vertical="center"/>
    </xf>
    <xf numFmtId="1" fontId="80" fillId="0" borderId="52" xfId="0" applyNumberFormat="1" applyFont="1" applyBorder="1" applyAlignment="1">
      <alignment horizontal="center" vertical="center" wrapText="1"/>
    </xf>
    <xf numFmtId="1" fontId="80" fillId="0" borderId="34" xfId="0" applyNumberFormat="1" applyFont="1" applyBorder="1" applyAlignment="1">
      <alignment horizontal="center" vertical="center" wrapText="1"/>
    </xf>
    <xf numFmtId="1" fontId="80" fillId="0" borderId="32" xfId="0" applyNumberFormat="1" applyFont="1" applyBorder="1" applyAlignment="1">
      <alignment horizontal="center" vertical="center" wrapText="1"/>
    </xf>
    <xf numFmtId="1" fontId="80" fillId="0" borderId="33" xfId="0" applyNumberFormat="1" applyFont="1" applyBorder="1" applyAlignment="1">
      <alignment horizontal="center" vertical="center" wrapText="1"/>
    </xf>
    <xf numFmtId="0" fontId="19" fillId="0" borderId="27" xfId="0" applyFont="1" applyBorder="1" applyAlignment="1">
      <alignment horizontal="center"/>
    </xf>
    <xf numFmtId="0" fontId="19" fillId="0" borderId="15" xfId="0" applyFont="1" applyBorder="1" applyAlignment="1">
      <alignment horizontal="center"/>
    </xf>
    <xf numFmtId="0" fontId="19" fillId="0" borderId="28" xfId="0" applyFont="1" applyBorder="1" applyAlignment="1">
      <alignment horizontal="center"/>
    </xf>
    <xf numFmtId="0" fontId="0" fillId="0" borderId="29"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8" fillId="0" borderId="0" xfId="0" applyFont="1" applyAlignment="1">
      <alignment horizontal="left"/>
    </xf>
    <xf numFmtId="0" fontId="8" fillId="0" borderId="0" xfId="0" applyFont="1" applyAlignment="1">
      <alignment horizontal="left" vertical="center" wrapText="1"/>
    </xf>
    <xf numFmtId="0" fontId="8" fillId="0" borderId="29" xfId="0" applyFont="1" applyBorder="1" applyAlignment="1">
      <alignment horizontal="left" vertical="center" wrapText="1"/>
    </xf>
    <xf numFmtId="0" fontId="8" fillId="0" borderId="29" xfId="0" applyFont="1" applyBorder="1" applyAlignment="1">
      <alignment horizontal="left"/>
    </xf>
    <xf numFmtId="0" fontId="34" fillId="0" borderId="39" xfId="0" applyFont="1" applyBorder="1" applyAlignment="1">
      <alignment horizontal="center" wrapText="1"/>
    </xf>
    <xf numFmtId="0" fontId="34" fillId="0" borderId="9" xfId="0" applyFont="1" applyBorder="1" applyAlignment="1">
      <alignment horizontal="center" wrapText="1"/>
    </xf>
    <xf numFmtId="0" fontId="29" fillId="0" borderId="0" xfId="0" applyFont="1" applyAlignment="1">
      <alignment horizontal="center"/>
    </xf>
    <xf numFmtId="0" fontId="30" fillId="0" borderId="0" xfId="0" applyFont="1" applyAlignment="1">
      <alignment horizontal="center"/>
    </xf>
    <xf numFmtId="0" fontId="33" fillId="0" borderId="39"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10" xfId="0" applyFont="1" applyBorder="1" applyAlignment="1">
      <alignment horizontal="center" wrapText="1"/>
    </xf>
    <xf numFmtId="0" fontId="33" fillId="0" borderId="39" xfId="0" applyFont="1" applyBorder="1" applyAlignment="1">
      <alignment horizontal="center" wrapText="1"/>
    </xf>
    <xf numFmtId="0" fontId="33" fillId="0" borderId="9" xfId="0" applyFont="1" applyBorder="1" applyAlignment="1">
      <alignment horizontal="center" wrapText="1"/>
    </xf>
    <xf numFmtId="0" fontId="34" fillId="0" borderId="10" xfId="0" applyFont="1" applyBorder="1" applyAlignment="1">
      <alignment horizontal="center"/>
    </xf>
    <xf numFmtId="0" fontId="34" fillId="0" borderId="10" xfId="0" applyFont="1" applyBorder="1" applyAlignment="1">
      <alignment horizontal="center" wrapText="1"/>
    </xf>
    <xf numFmtId="0" fontId="0" fillId="0" borderId="0" xfId="0" applyAlignment="1">
      <alignment horizontal="center" vertical="center"/>
    </xf>
    <xf numFmtId="0" fontId="0" fillId="0" borderId="0" xfId="0" applyAlignment="1">
      <alignment horizontal="center" wrapText="1"/>
    </xf>
    <xf numFmtId="0" fontId="25" fillId="0" borderId="0" xfId="0" applyFont="1" applyAlignment="1">
      <alignment horizontal="center"/>
    </xf>
    <xf numFmtId="0" fontId="9" fillId="0" borderId="0" xfId="0" applyFont="1" applyAlignment="1">
      <alignment horizontal="left"/>
    </xf>
    <xf numFmtId="0" fontId="0" fillId="0" borderId="51" xfId="0" applyBorder="1" applyAlignment="1">
      <alignment horizontal="center" vertical="center" wrapText="1"/>
    </xf>
    <xf numFmtId="0" fontId="0" fillId="0" borderId="50"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68" fillId="0" borderId="10" xfId="0" applyFont="1" applyBorder="1" applyAlignment="1">
      <alignment horizontal="center"/>
    </xf>
    <xf numFmtId="0" fontId="0" fillId="0" borderId="10" xfId="0" applyBorder="1" applyAlignment="1">
      <alignment horizontal="center"/>
    </xf>
    <xf numFmtId="0" fontId="9" fillId="3" borderId="10" xfId="0" applyFont="1" applyFill="1" applyBorder="1" applyAlignment="1">
      <alignment horizontal="left" vertical="top" wrapText="1"/>
    </xf>
    <xf numFmtId="0" fontId="9" fillId="3" borderId="10" xfId="0" applyFont="1" applyFill="1" applyBorder="1" applyAlignment="1">
      <alignment horizontal="center" vertical="top" wrapText="1"/>
    </xf>
    <xf numFmtId="0" fontId="19" fillId="0" borderId="10" xfId="0" applyFont="1" applyBorder="1" applyAlignment="1">
      <alignment horizontal="center" vertical="center"/>
    </xf>
    <xf numFmtId="0" fontId="8" fillId="0" borderId="10" xfId="0" applyFont="1" applyBorder="1" applyAlignment="1">
      <alignment horizontal="center" vertical="top"/>
    </xf>
    <xf numFmtId="0" fontId="8" fillId="0" borderId="16" xfId="0" applyFont="1" applyBorder="1" applyAlignment="1">
      <alignment horizontal="right" vertical="top"/>
    </xf>
    <xf numFmtId="0" fontId="8" fillId="0" borderId="17" xfId="0" applyFont="1" applyBorder="1" applyAlignment="1">
      <alignment horizontal="right" vertical="top"/>
    </xf>
    <xf numFmtId="0" fontId="8" fillId="0" borderId="18" xfId="0" applyFont="1" applyBorder="1" applyAlignment="1">
      <alignment horizontal="right" vertical="top"/>
    </xf>
    <xf numFmtId="0" fontId="9" fillId="3" borderId="20" xfId="0" applyFont="1" applyFill="1" applyBorder="1" applyAlignment="1">
      <alignment horizontal="center" vertical="top" wrapText="1"/>
    </xf>
    <xf numFmtId="0" fontId="9" fillId="3" borderId="21" xfId="0" applyFont="1" applyFill="1" applyBorder="1" applyAlignment="1">
      <alignment horizontal="center" vertical="top" wrapText="1"/>
    </xf>
    <xf numFmtId="0" fontId="23" fillId="0" borderId="10" xfId="0" applyFont="1" applyBorder="1" applyAlignment="1">
      <alignment horizontal="center" vertical="center"/>
    </xf>
    <xf numFmtId="0" fontId="9" fillId="3" borderId="20" xfId="0" applyFont="1" applyFill="1" applyBorder="1" applyAlignment="1">
      <alignment horizontal="left" vertical="top" wrapText="1"/>
    </xf>
    <xf numFmtId="0" fontId="9" fillId="3" borderId="21" xfId="0" applyFont="1" applyFill="1" applyBorder="1" applyAlignment="1">
      <alignment horizontal="left" vertical="top" wrapText="1"/>
    </xf>
    <xf numFmtId="0" fontId="8" fillId="0" borderId="39" xfId="0" applyFont="1" applyBorder="1" applyAlignment="1">
      <alignment horizontal="center" vertical="top"/>
    </xf>
    <xf numFmtId="0" fontId="9" fillId="0" borderId="52" xfId="0" applyFont="1" applyBorder="1" applyAlignment="1">
      <alignment horizontal="right" vertical="top"/>
    </xf>
    <xf numFmtId="0" fontId="9" fillId="0" borderId="55" xfId="0" applyFont="1" applyBorder="1" applyAlignment="1">
      <alignment horizontal="right" vertical="top"/>
    </xf>
    <xf numFmtId="0" fontId="9" fillId="0" borderId="56" xfId="0" applyFont="1" applyBorder="1" applyAlignment="1">
      <alignment horizontal="right" vertical="top"/>
    </xf>
    <xf numFmtId="0" fontId="9" fillId="0" borderId="54" xfId="0" applyFont="1" applyBorder="1" applyAlignment="1">
      <alignment horizontal="right" vertical="top"/>
    </xf>
    <xf numFmtId="0" fontId="8" fillId="0" borderId="55" xfId="0" applyFont="1" applyBorder="1" applyAlignment="1">
      <alignment horizontal="right" vertical="top"/>
    </xf>
    <xf numFmtId="0" fontId="8" fillId="0" borderId="56" xfId="0" applyFont="1" applyBorder="1" applyAlignment="1">
      <alignment horizontal="right" vertical="top"/>
    </xf>
    <xf numFmtId="0" fontId="8" fillId="0" borderId="54" xfId="0" applyFont="1" applyBorder="1" applyAlignment="1">
      <alignment horizontal="right" vertical="top"/>
    </xf>
    <xf numFmtId="0" fontId="9" fillId="3" borderId="22" xfId="0" applyFont="1" applyFill="1" applyBorder="1" applyAlignment="1">
      <alignment horizontal="center" vertical="top" wrapText="1"/>
    </xf>
    <xf numFmtId="0" fontId="9" fillId="3" borderId="24" xfId="0" applyFont="1" applyFill="1" applyBorder="1" applyAlignment="1">
      <alignment horizontal="left" vertical="top" wrapText="1"/>
    </xf>
    <xf numFmtId="0" fontId="9" fillId="3" borderId="39" xfId="0" applyFont="1" applyFill="1" applyBorder="1" applyAlignment="1">
      <alignment horizontal="center" vertical="top" wrapText="1"/>
    </xf>
    <xf numFmtId="0" fontId="9" fillId="3" borderId="53" xfId="0" applyNumberFormat="1" applyFont="1" applyFill="1" applyBorder="1" applyAlignment="1" applyProtection="1">
      <alignment horizontal="center" vertical="center" textRotation="90" wrapText="1"/>
    </xf>
    <xf numFmtId="0" fontId="9" fillId="3" borderId="12" xfId="0" applyNumberFormat="1" applyFont="1" applyFill="1" applyBorder="1" applyAlignment="1" applyProtection="1">
      <alignment horizontal="center" vertical="center" textRotation="90" wrapText="1"/>
    </xf>
    <xf numFmtId="0" fontId="9" fillId="3" borderId="9" xfId="0" applyNumberFormat="1" applyFont="1" applyFill="1" applyBorder="1" applyAlignment="1" applyProtection="1">
      <alignment horizontal="center" vertical="center" textRotation="90" wrapText="1"/>
    </xf>
    <xf numFmtId="0" fontId="9" fillId="3" borderId="53" xfId="0" applyNumberFormat="1" applyFont="1" applyFill="1" applyBorder="1" applyAlignment="1" applyProtection="1">
      <alignment horizontal="center" vertical="top" textRotation="90" wrapText="1"/>
    </xf>
    <xf numFmtId="0" fontId="9" fillId="3" borderId="12" xfId="0" applyNumberFormat="1" applyFont="1" applyFill="1" applyBorder="1" applyAlignment="1" applyProtection="1">
      <alignment horizontal="center" vertical="top" textRotation="90" wrapText="1"/>
    </xf>
    <xf numFmtId="0" fontId="9" fillId="3" borderId="9" xfId="0" applyNumberFormat="1" applyFont="1" applyFill="1" applyBorder="1" applyAlignment="1" applyProtection="1">
      <alignment horizontal="center" vertical="top" textRotation="90" wrapText="1"/>
    </xf>
    <xf numFmtId="0" fontId="9" fillId="3" borderId="53" xfId="0" applyNumberFormat="1" applyFont="1" applyFill="1" applyBorder="1" applyAlignment="1" applyProtection="1">
      <alignment horizontal="center" vertical="center" textRotation="90"/>
    </xf>
    <xf numFmtId="0" fontId="9" fillId="3" borderId="12" xfId="0" applyNumberFormat="1" applyFont="1" applyFill="1" applyBorder="1" applyAlignment="1" applyProtection="1">
      <alignment horizontal="center" vertical="center" textRotation="90"/>
    </xf>
    <xf numFmtId="0" fontId="9" fillId="3" borderId="9" xfId="0" applyNumberFormat="1" applyFont="1" applyFill="1" applyBorder="1" applyAlignment="1" applyProtection="1">
      <alignment horizontal="center" vertical="center" textRotation="90"/>
    </xf>
    <xf numFmtId="0" fontId="19" fillId="0" borderId="35" xfId="0" applyNumberFormat="1" applyFont="1" applyFill="1" applyBorder="1" applyAlignment="1" applyProtection="1">
      <alignment horizontal="center" vertical="center"/>
    </xf>
    <xf numFmtId="0" fontId="19" fillId="0" borderId="36" xfId="0" applyNumberFormat="1" applyFont="1" applyFill="1" applyBorder="1" applyAlignment="1" applyProtection="1">
      <alignment horizontal="center" vertical="center"/>
    </xf>
    <xf numFmtId="0" fontId="19" fillId="0" borderId="37" xfId="0" applyNumberFormat="1" applyFont="1" applyFill="1" applyBorder="1" applyAlignment="1" applyProtection="1">
      <alignment horizontal="center" vertical="center"/>
    </xf>
    <xf numFmtId="0" fontId="19" fillId="0" borderId="14" xfId="0" applyNumberFormat="1" applyFont="1" applyFill="1" applyBorder="1" applyAlignment="1" applyProtection="1">
      <alignment horizontal="center" vertical="center"/>
    </xf>
    <xf numFmtId="0" fontId="19" fillId="0" borderId="26" xfId="0" applyNumberFormat="1" applyFont="1" applyFill="1" applyBorder="1" applyAlignment="1" applyProtection="1">
      <alignment horizontal="center" vertical="center"/>
    </xf>
    <xf numFmtId="0" fontId="19" fillId="0" borderId="19" xfId="0" applyNumberFormat="1" applyFont="1" applyFill="1" applyBorder="1" applyAlignment="1" applyProtection="1">
      <alignment horizontal="center" vertical="center"/>
    </xf>
    <xf numFmtId="0" fontId="9" fillId="0" borderId="52"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left" vertical="top"/>
    </xf>
    <xf numFmtId="0" fontId="8" fillId="0" borderId="53" xfId="0" applyNumberFormat="1" applyFont="1" applyFill="1" applyBorder="1" applyAlignment="1" applyProtection="1">
      <alignment horizontal="left" vertical="top"/>
    </xf>
    <xf numFmtId="0" fontId="9" fillId="3" borderId="35" xfId="0" applyNumberFormat="1" applyFont="1" applyFill="1" applyBorder="1" applyAlignment="1" applyProtection="1">
      <alignment horizontal="center" vertical="center" wrapText="1"/>
    </xf>
    <xf numFmtId="0" fontId="9" fillId="3" borderId="36" xfId="0" applyNumberFormat="1" applyFont="1" applyFill="1" applyBorder="1" applyAlignment="1" applyProtection="1">
      <alignment horizontal="center" vertical="center" wrapText="1"/>
    </xf>
    <xf numFmtId="0" fontId="9" fillId="3" borderId="14" xfId="0" applyNumberFormat="1" applyFont="1" applyFill="1" applyBorder="1" applyAlignment="1" applyProtection="1">
      <alignment horizontal="center" vertical="center" wrapText="1"/>
    </xf>
    <xf numFmtId="0" fontId="9" fillId="3" borderId="26" xfId="0" applyNumberFormat="1" applyFont="1" applyFill="1" applyBorder="1" applyAlignment="1" applyProtection="1">
      <alignment horizontal="center" vertical="center" wrapText="1"/>
    </xf>
    <xf numFmtId="0" fontId="9" fillId="3" borderId="54" xfId="0" applyNumberFormat="1" applyFont="1" applyFill="1" applyBorder="1" applyAlignment="1" applyProtection="1">
      <alignment horizontal="left" vertical="top" textRotation="90" wrapText="1"/>
    </xf>
    <xf numFmtId="0" fontId="9" fillId="3" borderId="52" xfId="0" applyNumberFormat="1" applyFont="1" applyFill="1" applyBorder="1" applyAlignment="1" applyProtection="1">
      <alignment horizontal="left" vertical="top" textRotation="90" wrapText="1"/>
    </xf>
    <xf numFmtId="0" fontId="2" fillId="0" borderId="10" xfId="0" applyFont="1" applyBorder="1" applyAlignment="1">
      <alignment horizontal="left" vertical="center"/>
    </xf>
    <xf numFmtId="0" fontId="0" fillId="0" borderId="15" xfId="0" applyBorder="1" applyAlignment="1">
      <alignment horizontal="center"/>
    </xf>
    <xf numFmtId="0" fontId="0" fillId="0" borderId="28" xfId="0" applyBorder="1" applyAlignment="1">
      <alignment horizontal="center"/>
    </xf>
    <xf numFmtId="1" fontId="2" fillId="0" borderId="22" xfId="0" applyNumberFormat="1" applyFont="1" applyBorder="1" applyAlignment="1">
      <alignment horizontal="center" vertical="center"/>
    </xf>
    <xf numFmtId="0" fontId="2" fillId="0" borderId="31" xfId="0" applyFont="1" applyBorder="1" applyAlignment="1">
      <alignment horizontal="center" vertical="center"/>
    </xf>
    <xf numFmtId="1" fontId="2" fillId="0" borderId="22" xfId="0" applyNumberFormat="1" applyFont="1" applyBorder="1" applyAlignment="1">
      <alignment horizontal="center" vertical="center" wrapText="1"/>
    </xf>
    <xf numFmtId="1" fontId="2" fillId="0" borderId="24" xfId="0" applyNumberFormat="1" applyFont="1" applyBorder="1" applyAlignment="1">
      <alignment horizontal="center" vertical="center" wrapText="1"/>
    </xf>
    <xf numFmtId="1" fontId="2" fillId="0" borderId="46" xfId="0" applyNumberFormat="1" applyFont="1" applyBorder="1" applyAlignment="1">
      <alignment horizontal="center" vertical="center" wrapText="1"/>
    </xf>
    <xf numFmtId="0" fontId="0" fillId="0" borderId="22" xfId="0" applyBorder="1" applyAlignment="1">
      <alignment horizontal="center"/>
    </xf>
    <xf numFmtId="0" fontId="0" fillId="0" borderId="24" xfId="0" applyBorder="1" applyAlignment="1">
      <alignment horizontal="center"/>
    </xf>
    <xf numFmtId="0" fontId="27"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30" xfId="0" applyFont="1" applyBorder="1" applyAlignment="1">
      <alignment horizontal="left" vertical="center" wrapText="1"/>
    </xf>
    <xf numFmtId="14"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1" fontId="2" fillId="0" borderId="22" xfId="0" applyNumberFormat="1" applyFont="1" applyBorder="1" applyAlignment="1">
      <alignment horizontal="center"/>
    </xf>
    <xf numFmtId="1" fontId="2" fillId="0" borderId="31" xfId="0" applyNumberFormat="1" applyFont="1" applyBorder="1" applyAlignment="1">
      <alignment horizontal="center"/>
    </xf>
    <xf numFmtId="1" fontId="2" fillId="0" borderId="46" xfId="0" applyNumberFormat="1" applyFont="1" applyBorder="1" applyAlignment="1">
      <alignment horizontal="center"/>
    </xf>
    <xf numFmtId="17" fontId="2" fillId="0" borderId="10" xfId="0" applyNumberFormat="1" applyFont="1" applyBorder="1" applyAlignment="1">
      <alignment horizontal="center" vertical="center"/>
    </xf>
    <xf numFmtId="1" fontId="2" fillId="0" borderId="10" xfId="0" applyNumberFormat="1" applyFont="1" applyBorder="1" applyAlignment="1">
      <alignment horizontal="center" vertical="center"/>
    </xf>
    <xf numFmtId="0" fontId="2" fillId="0" borderId="10" xfId="0" applyFont="1" applyBorder="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0" fillId="0" borderId="46" xfId="0" applyBorder="1" applyAlignment="1">
      <alignment horizontal="center"/>
    </xf>
    <xf numFmtId="0" fontId="2" fillId="0" borderId="0" xfId="0" applyFont="1" applyAlignment="1">
      <alignment horizontal="left" vertical="center"/>
    </xf>
    <xf numFmtId="14" fontId="2" fillId="0" borderId="0" xfId="0" applyNumberFormat="1" applyFont="1" applyAlignment="1">
      <alignment horizontal="center" vertical="center"/>
    </xf>
    <xf numFmtId="0" fontId="5" fillId="0" borderId="0" xfId="0" applyFont="1" applyAlignment="1">
      <alignment horizontal="center"/>
    </xf>
    <xf numFmtId="17" fontId="2" fillId="0" borderId="0" xfId="0" applyNumberFormat="1" applyFont="1" applyAlignment="1">
      <alignment horizontal="center" vertical="center"/>
    </xf>
    <xf numFmtId="0" fontId="26" fillId="0" borderId="0" xfId="0" applyFont="1" applyAlignment="1">
      <alignment horizontal="center"/>
    </xf>
    <xf numFmtId="0" fontId="0" fillId="0" borderId="31" xfId="0" applyBorder="1" applyAlignment="1">
      <alignment horizontal="center"/>
    </xf>
    <xf numFmtId="1" fontId="2" fillId="0" borderId="31" xfId="0" applyNumberFormat="1" applyFont="1" applyBorder="1" applyAlignment="1">
      <alignment horizontal="center" vertical="center" wrapText="1"/>
    </xf>
    <xf numFmtId="0" fontId="51" fillId="0" borderId="0" xfId="0" applyFont="1" applyAlignment="1">
      <alignment horizontal="center"/>
    </xf>
    <xf numFmtId="0" fontId="51" fillId="0" borderId="30" xfId="0" applyFont="1" applyBorder="1" applyAlignment="1">
      <alignment horizontal="center"/>
    </xf>
    <xf numFmtId="0" fontId="5" fillId="0" borderId="30" xfId="0" applyFont="1" applyBorder="1" applyAlignment="1">
      <alignment horizontal="center"/>
    </xf>
    <xf numFmtId="0" fontId="2" fillId="0" borderId="22" xfId="0" applyFont="1" applyBorder="1" applyAlignment="1">
      <alignment horizontal="center" vertical="center"/>
    </xf>
    <xf numFmtId="0" fontId="2" fillId="0" borderId="24" xfId="0" applyFont="1" applyBorder="1" applyAlignment="1">
      <alignment horizontal="center" vertical="center"/>
    </xf>
    <xf numFmtId="0" fontId="2" fillId="0" borderId="22" xfId="0" applyFont="1" applyBorder="1" applyAlignment="1">
      <alignment horizontal="center"/>
    </xf>
    <xf numFmtId="0" fontId="2" fillId="0" borderId="31" xfId="0" applyFont="1" applyBorder="1" applyAlignment="1">
      <alignment horizontal="center"/>
    </xf>
    <xf numFmtId="0" fontId="2" fillId="0" borderId="46" xfId="0" applyFont="1" applyBorder="1" applyAlignment="1">
      <alignment horizontal="center"/>
    </xf>
    <xf numFmtId="1" fontId="2" fillId="0" borderId="31" xfId="0" applyNumberFormat="1" applyFont="1" applyBorder="1" applyAlignment="1">
      <alignment horizontal="left" vertical="center" wrapText="1"/>
    </xf>
    <xf numFmtId="1" fontId="2" fillId="0" borderId="46" xfId="0" applyNumberFormat="1" applyFont="1" applyBorder="1" applyAlignment="1">
      <alignment horizontal="left" vertical="center" wrapText="1"/>
    </xf>
    <xf numFmtId="0" fontId="52" fillId="2" borderId="22" xfId="0" applyFont="1" applyFill="1" applyBorder="1" applyAlignment="1">
      <alignment horizontal="center" vertical="center"/>
    </xf>
    <xf numFmtId="0" fontId="52" fillId="2" borderId="31" xfId="0" applyFont="1" applyFill="1" applyBorder="1" applyAlignment="1">
      <alignment horizontal="center" vertical="center"/>
    </xf>
    <xf numFmtId="0" fontId="52" fillId="2" borderId="46" xfId="0" applyFont="1" applyFill="1" applyBorder="1" applyAlignment="1">
      <alignment horizontal="center" vertical="center"/>
    </xf>
    <xf numFmtId="0" fontId="0" fillId="0" borderId="22" xfId="0" applyBorder="1" applyAlignment="1">
      <alignment horizontal="left"/>
    </xf>
    <xf numFmtId="0" fontId="0" fillId="0" borderId="31" xfId="0"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46" xfId="0" applyFont="1" applyBorder="1" applyAlignment="1">
      <alignment horizontal="left"/>
    </xf>
    <xf numFmtId="0" fontId="52" fillId="2" borderId="24"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30" xfId="0" applyNumberFormat="1" applyFont="1" applyBorder="1" applyAlignment="1">
      <alignment horizontal="center" vertical="center" wrapText="1"/>
    </xf>
    <xf numFmtId="0" fontId="62" fillId="0" borderId="0" xfId="0" applyFont="1" applyAlignment="1">
      <alignment vertical="center" wrapText="1"/>
    </xf>
    <xf numFmtId="0" fontId="62" fillId="0" borderId="30" xfId="0" applyFont="1" applyBorder="1" applyAlignment="1">
      <alignment vertical="center" wrapText="1"/>
    </xf>
    <xf numFmtId="0" fontId="0" fillId="0" borderId="0" xfId="0" applyAlignment="1">
      <alignment horizontal="right"/>
    </xf>
    <xf numFmtId="1" fontId="60" fillId="2" borderId="0" xfId="0" applyNumberFormat="1" applyFont="1" applyFill="1" applyAlignment="1">
      <alignment horizontal="center" vertical="center"/>
    </xf>
    <xf numFmtId="0" fontId="60" fillId="2" borderId="0" xfId="0" applyFont="1" applyFill="1" applyAlignment="1">
      <alignment horizontal="center" vertical="center"/>
    </xf>
    <xf numFmtId="0" fontId="0" fillId="0" borderId="0" xfId="0" applyAlignment="1">
      <alignment horizontal="left"/>
    </xf>
    <xf numFmtId="0" fontId="0" fillId="0" borderId="30" xfId="0" applyBorder="1" applyAlignment="1">
      <alignment horizontal="left"/>
    </xf>
    <xf numFmtId="0" fontId="57" fillId="0" borderId="0" xfId="0" applyFont="1" applyAlignment="1">
      <alignment horizontal="center"/>
    </xf>
    <xf numFmtId="0" fontId="57" fillId="0" borderId="30" xfId="0" applyFont="1" applyBorder="1" applyAlignment="1">
      <alignment horizontal="center"/>
    </xf>
    <xf numFmtId="0" fontId="52" fillId="2" borderId="35" xfId="0" applyFont="1" applyFill="1" applyBorder="1" applyAlignment="1">
      <alignment vertical="center"/>
    </xf>
    <xf numFmtId="0" fontId="52" fillId="2" borderId="36" xfId="0" applyFont="1" applyFill="1" applyBorder="1" applyAlignment="1">
      <alignment vertical="center"/>
    </xf>
    <xf numFmtId="0" fontId="52" fillId="2" borderId="35" xfId="0" applyFont="1" applyFill="1" applyBorder="1" applyAlignment="1">
      <alignment horizontal="center" vertical="center"/>
    </xf>
    <xf numFmtId="0" fontId="52" fillId="2" borderId="36" xfId="0" applyFont="1" applyFill="1" applyBorder="1" applyAlignment="1">
      <alignment horizontal="center" vertical="center"/>
    </xf>
    <xf numFmtId="0" fontId="52" fillId="2" borderId="47" xfId="0" applyFont="1" applyFill="1" applyBorder="1" applyAlignment="1">
      <alignment horizontal="center" vertical="center"/>
    </xf>
    <xf numFmtId="0" fontId="52" fillId="2" borderId="14" xfId="0" applyFont="1" applyFill="1" applyBorder="1" applyAlignment="1">
      <alignment horizontal="center" vertical="center"/>
    </xf>
    <xf numFmtId="0" fontId="52" fillId="2" borderId="26" xfId="0" applyFont="1" applyFill="1" applyBorder="1" applyAlignment="1">
      <alignment horizontal="center" vertical="center"/>
    </xf>
    <xf numFmtId="0" fontId="52" fillId="2" borderId="45" xfId="0" applyFont="1" applyFill="1" applyBorder="1" applyAlignment="1">
      <alignment horizontal="center" vertical="center"/>
    </xf>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0" fontId="45" fillId="0" borderId="0" xfId="0" applyFont="1" applyAlignment="1">
      <alignment horizontal="left"/>
    </xf>
    <xf numFmtId="0" fontId="45" fillId="0" borderId="30" xfId="0" applyFont="1" applyBorder="1" applyAlignment="1">
      <alignment horizontal="left"/>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30" xfId="0" applyFont="1" applyBorder="1" applyAlignment="1">
      <alignment horizontal="left" vertical="center"/>
    </xf>
    <xf numFmtId="0" fontId="9" fillId="0" borderId="0" xfId="0" applyFont="1" applyAlignment="1">
      <alignment horizontal="left" vertical="center" wrapText="1"/>
    </xf>
    <xf numFmtId="0" fontId="9" fillId="0" borderId="30" xfId="0" applyFont="1" applyBorder="1" applyAlignment="1">
      <alignment horizontal="left" vertical="center" wrapText="1"/>
    </xf>
    <xf numFmtId="0" fontId="45" fillId="0" borderId="29" xfId="0" applyFont="1" applyBorder="1" applyAlignment="1">
      <alignment horizontal="center"/>
    </xf>
    <xf numFmtId="0" fontId="45" fillId="0" borderId="0" xfId="0" applyFont="1" applyAlignment="1">
      <alignment horizontal="center"/>
    </xf>
    <xf numFmtId="0" fontId="45" fillId="0" borderId="30" xfId="0" applyFont="1" applyBorder="1" applyAlignment="1">
      <alignment horizontal="center"/>
    </xf>
    <xf numFmtId="0" fontId="24" fillId="0" borderId="29" xfId="0" applyFont="1" applyBorder="1" applyAlignment="1">
      <alignment horizontal="left"/>
    </xf>
    <xf numFmtId="0" fontId="24" fillId="0" borderId="0" xfId="0" applyFont="1" applyAlignment="1">
      <alignment horizontal="left"/>
    </xf>
    <xf numFmtId="0" fontId="24" fillId="0" borderId="30" xfId="0" applyFont="1" applyBorder="1" applyAlignment="1">
      <alignment horizontal="left"/>
    </xf>
    <xf numFmtId="0" fontId="24" fillId="0" borderId="50" xfId="0" applyFont="1" applyBorder="1" applyAlignment="1">
      <alignment horizontal="left"/>
    </xf>
    <xf numFmtId="0" fontId="24" fillId="0" borderId="10" xfId="0" applyFont="1" applyBorder="1" applyAlignment="1">
      <alignment horizontal="left"/>
    </xf>
    <xf numFmtId="0" fontId="0" fillId="0" borderId="43" xfId="0" applyBorder="1" applyAlignment="1">
      <alignment horizontal="center"/>
    </xf>
    <xf numFmtId="0" fontId="24" fillId="0" borderId="29" xfId="0" applyFont="1" applyBorder="1" applyAlignment="1">
      <alignment horizontal="justify" vertical="justify" wrapText="1"/>
    </xf>
    <xf numFmtId="0" fontId="24" fillId="0" borderId="0" xfId="0" applyFont="1" applyAlignment="1">
      <alignment horizontal="justify" vertical="justify" wrapText="1"/>
    </xf>
    <xf numFmtId="0" fontId="24" fillId="0" borderId="30" xfId="0" applyFont="1" applyBorder="1" applyAlignment="1">
      <alignment horizontal="justify" vertical="justify" wrapText="1"/>
    </xf>
    <xf numFmtId="0" fontId="65" fillId="0" borderId="27" xfId="0" applyFont="1" applyBorder="1" applyAlignment="1">
      <alignment horizontal="center"/>
    </xf>
    <xf numFmtId="0" fontId="65" fillId="0" borderId="15" xfId="0" applyFont="1" applyBorder="1" applyAlignment="1">
      <alignment horizontal="center"/>
    </xf>
    <xf numFmtId="0" fontId="65" fillId="0" borderId="28" xfId="0" applyFont="1" applyBorder="1" applyAlignment="1">
      <alignment horizontal="center"/>
    </xf>
    <xf numFmtId="0" fontId="66" fillId="0" borderId="29" xfId="0" applyFont="1" applyBorder="1" applyAlignment="1">
      <alignment horizontal="center"/>
    </xf>
    <xf numFmtId="0" fontId="66" fillId="0" borderId="0" xfId="0" applyFont="1" applyAlignment="1">
      <alignment horizontal="center"/>
    </xf>
    <xf numFmtId="0" fontId="66" fillId="0" borderId="30" xfId="0" applyFont="1" applyBorder="1" applyAlignment="1">
      <alignment horizontal="center"/>
    </xf>
    <xf numFmtId="0" fontId="67" fillId="0" borderId="29" xfId="0" applyFont="1" applyBorder="1" applyAlignment="1">
      <alignment horizontal="center"/>
    </xf>
    <xf numFmtId="0" fontId="67" fillId="0" borderId="0" xfId="0" applyFont="1" applyAlignment="1">
      <alignment horizontal="center"/>
    </xf>
    <xf numFmtId="0" fontId="67" fillId="0" borderId="30" xfId="0" applyFont="1" applyBorder="1" applyAlignment="1">
      <alignment horizontal="center"/>
    </xf>
    <xf numFmtId="1" fontId="0" fillId="0" borderId="10" xfId="0" applyNumberFormat="1" applyBorder="1" applyAlignment="1">
      <alignment horizontal="center"/>
    </xf>
    <xf numFmtId="14" fontId="0" fillId="0" borderId="10" xfId="0" applyNumberFormat="1" applyBorder="1" applyAlignment="1">
      <alignment horizontal="center"/>
    </xf>
    <xf numFmtId="0" fontId="0" fillId="0" borderId="29" xfId="0" applyBorder="1" applyAlignment="1">
      <alignment horizontal="right"/>
    </xf>
    <xf numFmtId="17" fontId="0" fillId="0" borderId="29" xfId="0" applyNumberFormat="1" applyBorder="1" applyAlignment="1">
      <alignment horizontal="right"/>
    </xf>
  </cellXfs>
  <cellStyles count="10">
    <cellStyle name="60% - Accent5" xfId="9" builtinId="48"/>
    <cellStyle name="Comma 2" xfId="1" xr:uid="{00000000-0005-0000-0000-000001000000}"/>
    <cellStyle name="Excel Built-in Normal 1" xfId="6" xr:uid="{00000000-0005-0000-0000-000002000000}"/>
    <cellStyle name="Excel Built-in Normal 2" xfId="7" xr:uid="{00000000-0005-0000-0000-000003000000}"/>
    <cellStyle name="Hyperlink 2" xfId="8" xr:uid="{00000000-0005-0000-0000-000004000000}"/>
    <cellStyle name="Normal" xfId="0" builtinId="0"/>
    <cellStyle name="Normal 2" xfId="3" xr:uid="{00000000-0005-0000-0000-000006000000}"/>
    <cellStyle name="Normal 4 3 3 2 2" xfId="2" xr:uid="{00000000-0005-0000-0000-000007000000}"/>
    <cellStyle name="Normal 4 3 3 2 2 2" xfId="4" xr:uid="{00000000-0005-0000-0000-000008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emf"/></Relationships>
</file>

<file path=xl/drawings/_rels/drawing11.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22</xdr:row>
      <xdr:rowOff>76200</xdr:rowOff>
    </xdr:from>
    <xdr:to>
      <xdr:col>9</xdr:col>
      <xdr:colOff>838697</xdr:colOff>
      <xdr:row>27</xdr:row>
      <xdr:rowOff>132810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38975" y="8686800"/>
          <a:ext cx="2000747" cy="1009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298637</xdr:colOff>
      <xdr:row>17</xdr:row>
      <xdr:rowOff>261472</xdr:rowOff>
    </xdr:from>
    <xdr:to>
      <xdr:col>31</xdr:col>
      <xdr:colOff>102133</xdr:colOff>
      <xdr:row>21</xdr:row>
      <xdr:rowOff>168089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0519" y="5461001"/>
          <a:ext cx="2209026" cy="10421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17318</xdr:colOff>
      <xdr:row>39</xdr:row>
      <xdr:rowOff>95250</xdr:rowOff>
    </xdr:from>
    <xdr:to>
      <xdr:col>11</xdr:col>
      <xdr:colOff>484084</xdr:colOff>
      <xdr:row>45</xdr:row>
      <xdr:rowOff>1</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818" y="51616841"/>
          <a:ext cx="2077357" cy="1047750"/>
        </a:xfrm>
        <a:prstGeom prst="rect">
          <a:avLst/>
        </a:prstGeom>
      </xdr:spPr>
    </xdr:pic>
    <xdr:clientData/>
  </xdr:twoCellAnchor>
  <xdr:twoCellAnchor editAs="oneCell">
    <xdr:from>
      <xdr:col>9</xdr:col>
      <xdr:colOff>0</xdr:colOff>
      <xdr:row>90</xdr:row>
      <xdr:rowOff>0</xdr:rowOff>
    </xdr:from>
    <xdr:to>
      <xdr:col>11</xdr:col>
      <xdr:colOff>466766</xdr:colOff>
      <xdr:row>95</xdr:row>
      <xdr:rowOff>95250</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118473682"/>
          <a:ext cx="2077357" cy="1047750"/>
        </a:xfrm>
        <a:prstGeom prst="rect">
          <a:avLst/>
        </a:prstGeom>
      </xdr:spPr>
    </xdr:pic>
    <xdr:clientData/>
  </xdr:twoCellAnchor>
  <xdr:twoCellAnchor editAs="oneCell">
    <xdr:from>
      <xdr:col>9</xdr:col>
      <xdr:colOff>0</xdr:colOff>
      <xdr:row>140</xdr:row>
      <xdr:rowOff>0</xdr:rowOff>
    </xdr:from>
    <xdr:to>
      <xdr:col>11</xdr:col>
      <xdr:colOff>466766</xdr:colOff>
      <xdr:row>145</xdr:row>
      <xdr:rowOff>95250</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145178318"/>
          <a:ext cx="2077357" cy="1047750"/>
        </a:xfrm>
        <a:prstGeom prst="rect">
          <a:avLst/>
        </a:prstGeom>
      </xdr:spPr>
    </xdr:pic>
    <xdr:clientData/>
  </xdr:twoCellAnchor>
  <xdr:oneCellAnchor>
    <xdr:from>
      <xdr:col>7</xdr:col>
      <xdr:colOff>447260</xdr:colOff>
      <xdr:row>189</xdr:row>
      <xdr:rowOff>49695</xdr:rowOff>
    </xdr:from>
    <xdr:ext cx="2152402" cy="1018887"/>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54217" y="51973369"/>
          <a:ext cx="2152402" cy="1018887"/>
        </a:xfrm>
        <a:prstGeom prst="rect">
          <a:avLst/>
        </a:prstGeom>
      </xdr:spPr>
    </xdr:pic>
    <xdr:clientData/>
  </xdr:oneCellAnchor>
  <xdr:oneCellAnchor>
    <xdr:from>
      <xdr:col>9</xdr:col>
      <xdr:colOff>0</xdr:colOff>
      <xdr:row>238</xdr:row>
      <xdr:rowOff>0</xdr:rowOff>
    </xdr:from>
    <xdr:ext cx="2152402" cy="1018887"/>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9478" y="211709000"/>
          <a:ext cx="2152402" cy="1018887"/>
        </a:xfrm>
        <a:prstGeom prst="rect">
          <a:avLst/>
        </a:prstGeom>
      </xdr:spPr>
    </xdr:pic>
    <xdr:clientData/>
  </xdr:oneCellAnchor>
  <xdr:oneCellAnchor>
    <xdr:from>
      <xdr:col>9</xdr:col>
      <xdr:colOff>0</xdr:colOff>
      <xdr:row>289</xdr:row>
      <xdr:rowOff>0</xdr:rowOff>
    </xdr:from>
    <xdr:ext cx="2152402" cy="1018887"/>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9478" y="236650696"/>
          <a:ext cx="2152402" cy="1018887"/>
        </a:xfrm>
        <a:prstGeom prst="rect">
          <a:avLst/>
        </a:prstGeom>
      </xdr:spPr>
    </xdr:pic>
    <xdr:clientData/>
  </xdr:oneCellAnchor>
  <xdr:oneCellAnchor>
    <xdr:from>
      <xdr:col>9</xdr:col>
      <xdr:colOff>0</xdr:colOff>
      <xdr:row>340</xdr:row>
      <xdr:rowOff>0</xdr:rowOff>
    </xdr:from>
    <xdr:ext cx="2152402" cy="1018887"/>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9478" y="236650696"/>
          <a:ext cx="2152402" cy="1018887"/>
        </a:xfrm>
        <a:prstGeom prst="rect">
          <a:avLst/>
        </a:prstGeom>
      </xdr:spPr>
    </xdr:pic>
    <xdr:clientData/>
  </xdr:oneCellAnchor>
  <xdr:oneCellAnchor>
    <xdr:from>
      <xdr:col>9</xdr:col>
      <xdr:colOff>0</xdr:colOff>
      <xdr:row>390</xdr:row>
      <xdr:rowOff>0</xdr:rowOff>
    </xdr:from>
    <xdr:ext cx="2152402" cy="1018887"/>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9478" y="135630478"/>
          <a:ext cx="2152402" cy="1018887"/>
        </a:xfrm>
        <a:prstGeom prst="rect">
          <a:avLst/>
        </a:prstGeom>
      </xdr:spPr>
    </xdr:pic>
    <xdr:clientData/>
  </xdr:oneCellAnchor>
  <xdr:oneCellAnchor>
    <xdr:from>
      <xdr:col>9</xdr:col>
      <xdr:colOff>0</xdr:colOff>
      <xdr:row>440</xdr:row>
      <xdr:rowOff>0</xdr:rowOff>
    </xdr:from>
    <xdr:ext cx="2152402" cy="1018887"/>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9478" y="135630478"/>
          <a:ext cx="2152402" cy="1018887"/>
        </a:xfrm>
        <a:prstGeom prst="rect">
          <a:avLst/>
        </a:prstGeom>
      </xdr:spPr>
    </xdr:pic>
    <xdr:clientData/>
  </xdr:oneCellAnchor>
  <xdr:oneCellAnchor>
    <xdr:from>
      <xdr:col>9</xdr:col>
      <xdr:colOff>0</xdr:colOff>
      <xdr:row>489</xdr:row>
      <xdr:rowOff>0</xdr:rowOff>
    </xdr:from>
    <xdr:ext cx="2152402" cy="1018887"/>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44722022"/>
          <a:ext cx="2152402" cy="1018887"/>
        </a:xfrm>
        <a:prstGeom prst="rect">
          <a:avLst/>
        </a:prstGeom>
      </xdr:spPr>
    </xdr:pic>
    <xdr:clientData/>
  </xdr:oneCellAnchor>
  <xdr:oneCellAnchor>
    <xdr:from>
      <xdr:col>9</xdr:col>
      <xdr:colOff>0</xdr:colOff>
      <xdr:row>537</xdr:row>
      <xdr:rowOff>0</xdr:rowOff>
    </xdr:from>
    <xdr:ext cx="2152402" cy="1018887"/>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44722022"/>
          <a:ext cx="2152402" cy="1018887"/>
        </a:xfrm>
        <a:prstGeom prst="rect">
          <a:avLst/>
        </a:prstGeom>
      </xdr:spPr>
    </xdr:pic>
    <xdr:clientData/>
  </xdr:oneCellAnchor>
  <xdr:oneCellAnchor>
    <xdr:from>
      <xdr:col>9</xdr:col>
      <xdr:colOff>0</xdr:colOff>
      <xdr:row>585</xdr:row>
      <xdr:rowOff>0</xdr:rowOff>
    </xdr:from>
    <xdr:ext cx="2152402" cy="1018887"/>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44722022"/>
          <a:ext cx="2152402" cy="1018887"/>
        </a:xfrm>
        <a:prstGeom prst="rect">
          <a:avLst/>
        </a:prstGeom>
      </xdr:spPr>
    </xdr:pic>
    <xdr:clientData/>
  </xdr:oneCellAnchor>
  <xdr:oneCellAnchor>
    <xdr:from>
      <xdr:col>9</xdr:col>
      <xdr:colOff>0</xdr:colOff>
      <xdr:row>632</xdr:row>
      <xdr:rowOff>0</xdr:rowOff>
    </xdr:from>
    <xdr:ext cx="2152402" cy="1018887"/>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44722022"/>
          <a:ext cx="2152402" cy="1018887"/>
        </a:xfrm>
        <a:prstGeom prst="rect">
          <a:avLst/>
        </a:prstGeom>
      </xdr:spPr>
    </xdr:pic>
    <xdr:clientData/>
  </xdr:oneCellAnchor>
  <xdr:oneCellAnchor>
    <xdr:from>
      <xdr:col>9</xdr:col>
      <xdr:colOff>0</xdr:colOff>
      <xdr:row>680</xdr:row>
      <xdr:rowOff>0</xdr:rowOff>
    </xdr:from>
    <xdr:ext cx="2152402" cy="1018887"/>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68269478"/>
          <a:ext cx="2152402" cy="1018887"/>
        </a:xfrm>
        <a:prstGeom prst="rect">
          <a:avLst/>
        </a:prstGeom>
      </xdr:spPr>
    </xdr:pic>
    <xdr:clientData/>
  </xdr:oneCellAnchor>
  <xdr:oneCellAnchor>
    <xdr:from>
      <xdr:col>9</xdr:col>
      <xdr:colOff>0</xdr:colOff>
      <xdr:row>727</xdr:row>
      <xdr:rowOff>0</xdr:rowOff>
    </xdr:from>
    <xdr:ext cx="2152402" cy="1018887"/>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68269478"/>
          <a:ext cx="2152402" cy="1018887"/>
        </a:xfrm>
        <a:prstGeom prst="rect">
          <a:avLst/>
        </a:prstGeom>
      </xdr:spPr>
    </xdr:pic>
    <xdr:clientData/>
  </xdr:oneCellAnchor>
  <xdr:oneCellAnchor>
    <xdr:from>
      <xdr:col>9</xdr:col>
      <xdr:colOff>0</xdr:colOff>
      <xdr:row>775</xdr:row>
      <xdr:rowOff>0</xdr:rowOff>
    </xdr:from>
    <xdr:ext cx="2152402" cy="1018887"/>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68269478"/>
          <a:ext cx="2152402" cy="1018887"/>
        </a:xfrm>
        <a:prstGeom prst="rect">
          <a:avLst/>
        </a:prstGeom>
      </xdr:spPr>
    </xdr:pic>
    <xdr:clientData/>
  </xdr:oneCellAnchor>
  <xdr:oneCellAnchor>
    <xdr:from>
      <xdr:col>9</xdr:col>
      <xdr:colOff>0</xdr:colOff>
      <xdr:row>822</xdr:row>
      <xdr:rowOff>0</xdr:rowOff>
    </xdr:from>
    <xdr:ext cx="2152402" cy="1018887"/>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68269478"/>
          <a:ext cx="2152402" cy="1018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32</xdr:row>
      <xdr:rowOff>0</xdr:rowOff>
    </xdr:from>
    <xdr:to>
      <xdr:col>8</xdr:col>
      <xdr:colOff>248557</xdr:colOff>
      <xdr:row>37</xdr:row>
      <xdr:rowOff>95250</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34185225"/>
          <a:ext cx="2077357" cy="1047750"/>
        </a:xfrm>
        <a:prstGeom prst="rect">
          <a:avLst/>
        </a:prstGeom>
      </xdr:spPr>
    </xdr:pic>
    <xdr:clientData/>
  </xdr:twoCellAnchor>
  <xdr:twoCellAnchor editAs="oneCell">
    <xdr:from>
      <xdr:col>15</xdr:col>
      <xdr:colOff>0</xdr:colOff>
      <xdr:row>32</xdr:row>
      <xdr:rowOff>0</xdr:rowOff>
    </xdr:from>
    <xdr:to>
      <xdr:col>18</xdr:col>
      <xdr:colOff>248557</xdr:colOff>
      <xdr:row>37</xdr:row>
      <xdr:rowOff>95250</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34185225"/>
          <a:ext cx="2077357" cy="1047750"/>
        </a:xfrm>
        <a:prstGeom prst="rect">
          <a:avLst/>
        </a:prstGeom>
      </xdr:spPr>
    </xdr:pic>
    <xdr:clientData/>
  </xdr:twoCellAnchor>
  <xdr:twoCellAnchor editAs="oneCell">
    <xdr:from>
      <xdr:col>5</xdr:col>
      <xdr:colOff>0</xdr:colOff>
      <xdr:row>80</xdr:row>
      <xdr:rowOff>0</xdr:rowOff>
    </xdr:from>
    <xdr:to>
      <xdr:col>8</xdr:col>
      <xdr:colOff>248557</xdr:colOff>
      <xdr:row>85</xdr:row>
      <xdr:rowOff>95250</xdr:rowOff>
    </xdr:to>
    <xdr:pic>
      <xdr:nvPicPr>
        <xdr:cNvPr id="18" name="Picture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80362425"/>
          <a:ext cx="2077357" cy="1047750"/>
        </a:xfrm>
        <a:prstGeom prst="rect">
          <a:avLst/>
        </a:prstGeom>
      </xdr:spPr>
    </xdr:pic>
    <xdr:clientData/>
  </xdr:twoCellAnchor>
  <xdr:twoCellAnchor editAs="oneCell">
    <xdr:from>
      <xdr:col>15</xdr:col>
      <xdr:colOff>0</xdr:colOff>
      <xdr:row>80</xdr:row>
      <xdr:rowOff>0</xdr:rowOff>
    </xdr:from>
    <xdr:to>
      <xdr:col>18</xdr:col>
      <xdr:colOff>248557</xdr:colOff>
      <xdr:row>85</xdr:row>
      <xdr:rowOff>95250</xdr:rowOff>
    </xdr:to>
    <xdr:pic>
      <xdr:nvPicPr>
        <xdr:cNvPr id="19" name="Picture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80362425"/>
          <a:ext cx="2077357" cy="1047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115372</xdr:colOff>
      <xdr:row>34</xdr:row>
      <xdr:rowOff>180975</xdr:rowOff>
    </xdr:from>
    <xdr:to>
      <xdr:col>12</xdr:col>
      <xdr:colOff>175079</xdr:colOff>
      <xdr:row>39</xdr:row>
      <xdr:rowOff>180975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6347" y="7324725"/>
          <a:ext cx="1888507" cy="952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552450</xdr:colOff>
      <xdr:row>33</xdr:row>
      <xdr:rowOff>19050</xdr:rowOff>
    </xdr:from>
    <xdr:to>
      <xdr:col>8</xdr:col>
      <xdr:colOff>323603</xdr:colOff>
      <xdr:row>38</xdr:row>
      <xdr:rowOff>180975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0" y="6829425"/>
          <a:ext cx="2209553" cy="1114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600075</xdr:colOff>
      <xdr:row>30</xdr:row>
      <xdr:rowOff>85726</xdr:rowOff>
    </xdr:from>
    <xdr:to>
      <xdr:col>9</xdr:col>
      <xdr:colOff>163492</xdr:colOff>
      <xdr:row>35</xdr:row>
      <xdr:rowOff>142876</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67425" y="6438901"/>
          <a:ext cx="2001817" cy="1009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47625</xdr:colOff>
      <xdr:row>32</xdr:row>
      <xdr:rowOff>86474</xdr:rowOff>
    </xdr:from>
    <xdr:to>
      <xdr:col>10</xdr:col>
      <xdr:colOff>609600</xdr:colOff>
      <xdr:row>37</xdr:row>
      <xdr:rowOff>32339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10350" y="6525374"/>
          <a:ext cx="1781175" cy="8983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209550</xdr:colOff>
      <xdr:row>21</xdr:row>
      <xdr:rowOff>47625</xdr:rowOff>
    </xdr:from>
    <xdr:to>
      <xdr:col>13</xdr:col>
      <xdr:colOff>245176</xdr:colOff>
      <xdr:row>26</xdr:row>
      <xdr:rowOff>54696</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324600"/>
          <a:ext cx="1902526" cy="9595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0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0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1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1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Users\user\Desktop\1.Burgeon%20IT%20Services%20Pvt.Ltd\Burgeon%20February%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Feb- 2019"/>
      <sheetName val="Sheet1"/>
      <sheetName val="Payslips"/>
      <sheetName val="LEFT"/>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s>
    <sheetDataSet>
      <sheetData sheetId="0" refreshError="1"/>
      <sheetData sheetId="1" refreshError="1"/>
      <sheetData sheetId="2" refreshError="1"/>
      <sheetData sheetId="3" refreshError="1">
        <row r="3">
          <cell r="A3">
            <v>26</v>
          </cell>
          <cell r="T3" t="str">
            <v>N/A</v>
          </cell>
          <cell r="U3" t="str">
            <v xml:space="preserve">Bharath Dommaraju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B71"/>
  <sheetViews>
    <sheetView zoomScale="85" zoomScaleNormal="85" workbookViewId="0">
      <selection activeCell="B13" sqref="B13"/>
    </sheetView>
  </sheetViews>
  <sheetFormatPr defaultRowHeight="15"/>
  <cols>
    <col min="1" max="1" width="10.5703125" style="8" customWidth="1"/>
    <col min="2" max="2" width="32.5703125" customWidth="1"/>
    <col min="3" max="3" width="12.85546875" customWidth="1"/>
    <col min="4" max="4" width="7.28515625" customWidth="1"/>
    <col min="5" max="5" width="13.85546875" customWidth="1"/>
    <col min="6" max="6" width="17" customWidth="1"/>
    <col min="7" max="7" width="29.42578125" customWidth="1"/>
    <col min="8" max="8" width="25" customWidth="1"/>
    <col min="9" max="9" width="18.42578125" customWidth="1"/>
    <col min="10" max="10" width="22.85546875" customWidth="1"/>
    <col min="11" max="11" width="15.28515625" customWidth="1"/>
    <col min="12" max="12" width="16" customWidth="1"/>
    <col min="13" max="13" width="21.5703125" customWidth="1"/>
  </cols>
  <sheetData>
    <row r="1" spans="1:13" s="153" customFormat="1" ht="67.5" customHeight="1">
      <c r="A1" s="747" t="s">
        <v>400</v>
      </c>
      <c r="B1" s="748"/>
      <c r="C1" s="748"/>
      <c r="D1" s="748"/>
      <c r="E1" s="748"/>
      <c r="F1" s="748"/>
      <c r="G1" s="748"/>
      <c r="H1" s="748"/>
      <c r="I1" s="748"/>
      <c r="J1" s="748"/>
      <c r="K1" s="748"/>
      <c r="L1" s="748"/>
      <c r="M1" s="748"/>
    </row>
    <row r="2" spans="1:13" ht="28.5" customHeight="1">
      <c r="A2" s="757" t="str">
        <f>'04-22Master'!B4</f>
        <v>(Vide Rule 75 of Contract Labour (Regulation and Abolition) Central/Haryana 1971)</v>
      </c>
      <c r="B2" s="757"/>
      <c r="C2" s="757"/>
      <c r="D2" s="757"/>
      <c r="E2" s="757"/>
      <c r="F2" s="757"/>
      <c r="G2" s="757"/>
      <c r="H2" s="757"/>
      <c r="I2" s="757"/>
      <c r="J2" s="757"/>
      <c r="K2" s="757"/>
      <c r="L2" s="757"/>
      <c r="M2" s="757"/>
    </row>
    <row r="3" spans="1:13" ht="43.5" customHeight="1">
      <c r="A3" s="749" t="s">
        <v>0</v>
      </c>
      <c r="B3" s="749"/>
      <c r="C3" s="749"/>
      <c r="D3" s="13"/>
      <c r="E3" s="13"/>
      <c r="F3" s="1" t="str">
        <f>'04-22Master'!F5</f>
        <v>Burgeon IT Services Pvt.Ltd.</v>
      </c>
      <c r="G3" s="1"/>
      <c r="H3" s="1"/>
      <c r="I3" s="1"/>
      <c r="J3" s="1" t="str">
        <f>'04-22Master'!AJ5</f>
        <v>Burgeon IT Services Pvt.Ltd.</v>
      </c>
      <c r="K3" s="1"/>
      <c r="L3" s="1"/>
      <c r="M3" s="1"/>
    </row>
    <row r="4" spans="1:13" ht="20.45" customHeight="1">
      <c r="A4" s="5"/>
      <c r="F4" s="6" t="str">
        <f>'04-22Master'!F6</f>
        <v>Siri Mansion LIGB 436 Dr.A S Rao Nagar,Hyderabad</v>
      </c>
      <c r="G4" s="6"/>
      <c r="H4" s="6"/>
      <c r="I4" s="6"/>
      <c r="J4" s="6" t="str">
        <f>'04-22Master'!AJ6</f>
        <v>Siri Mansion LIGB 436 Dr.A S Rao Nagar,Hyderabad</v>
      </c>
      <c r="K4" s="6"/>
      <c r="L4" s="6"/>
      <c r="M4" s="6"/>
    </row>
    <row r="5" spans="1:13">
      <c r="A5" s="750" t="s">
        <v>2</v>
      </c>
      <c r="B5" s="750"/>
      <c r="C5" s="750"/>
      <c r="D5" s="13"/>
      <c r="E5" s="13"/>
      <c r="F5" s="10" t="str">
        <f>'04-22Master'!F8</f>
        <v>IT SUPPORTIVE SERVICES</v>
      </c>
      <c r="G5" s="10" t="s">
        <v>457</v>
      </c>
      <c r="H5" s="10"/>
      <c r="I5" s="10"/>
      <c r="J5" s="10"/>
      <c r="K5" s="10"/>
      <c r="L5" s="10"/>
      <c r="M5" s="10"/>
    </row>
    <row r="6" spans="1:13">
      <c r="A6" s="5"/>
    </row>
    <row r="7" spans="1:13" ht="15" customHeight="1">
      <c r="A7" s="750" t="s">
        <v>3</v>
      </c>
      <c r="B7" s="750"/>
      <c r="C7" s="750"/>
      <c r="E7" s="13"/>
      <c r="F7" s="151"/>
      <c r="G7" s="12"/>
      <c r="H7" s="12"/>
      <c r="I7" s="12"/>
      <c r="J7" s="12" t="str">
        <f>'04-22Master'!AJ10</f>
        <v xml:space="preserve">INFOSYS  LTD.IL Hyderabad SEZ Unit-3 </v>
      </c>
      <c r="K7" s="12"/>
      <c r="L7" s="12"/>
      <c r="M7" s="12"/>
    </row>
    <row r="8" spans="1:13" ht="17.45" customHeight="1">
      <c r="J8" t="str">
        <f>'04-22Master'!AJ11</f>
        <v>Sy.No 42,Pocharam Village,Gatkesar Mandal</v>
      </c>
    </row>
    <row r="9" spans="1:13">
      <c r="C9" s="14"/>
      <c r="D9" s="14"/>
      <c r="E9" s="14"/>
    </row>
    <row r="10" spans="1:13" ht="15.75" thickBot="1"/>
    <row r="11" spans="1:13" s="15" customFormat="1" ht="55.5" customHeight="1">
      <c r="A11" s="751" t="s">
        <v>7</v>
      </c>
      <c r="B11" s="753" t="s">
        <v>6</v>
      </c>
      <c r="C11" s="452" t="s">
        <v>51</v>
      </c>
      <c r="D11" s="452" t="s">
        <v>40</v>
      </c>
      <c r="E11" s="452" t="s">
        <v>43</v>
      </c>
      <c r="F11" s="755" t="s">
        <v>8</v>
      </c>
      <c r="G11" s="591" t="s">
        <v>44</v>
      </c>
      <c r="H11" s="591" t="s">
        <v>45</v>
      </c>
      <c r="I11" s="591" t="s">
        <v>46</v>
      </c>
      <c r="J11" s="591" t="s">
        <v>47</v>
      </c>
      <c r="K11" s="591" t="s">
        <v>48</v>
      </c>
      <c r="L11" s="591" t="s">
        <v>49</v>
      </c>
      <c r="M11" s="591" t="s">
        <v>41</v>
      </c>
    </row>
    <row r="12" spans="1:13" ht="8.1" customHeight="1">
      <c r="A12" s="752"/>
      <c r="B12" s="754"/>
      <c r="C12" s="453"/>
      <c r="D12" s="453"/>
      <c r="E12" s="453"/>
      <c r="F12" s="756"/>
      <c r="G12" s="592"/>
      <c r="H12" s="592"/>
      <c r="I12" s="592"/>
      <c r="J12" s="592"/>
      <c r="K12" s="592"/>
      <c r="L12" s="592"/>
      <c r="M12" s="592"/>
    </row>
    <row r="13" spans="1:13" s="688" customFormat="1" ht="47.1" customHeight="1">
      <c r="A13" s="691">
        <v>1</v>
      </c>
      <c r="B13" s="690" t="s">
        <v>420</v>
      </c>
      <c r="C13" s="692">
        <v>29048</v>
      </c>
      <c r="D13" s="693" t="s">
        <v>201</v>
      </c>
      <c r="E13" s="693" t="s">
        <v>421</v>
      </c>
      <c r="F13" s="694" t="s">
        <v>419</v>
      </c>
      <c r="G13" s="695" t="s">
        <v>422</v>
      </c>
      <c r="H13" s="695" t="s">
        <v>423</v>
      </c>
      <c r="I13" s="696">
        <v>44169</v>
      </c>
      <c r="J13" s="700" t="s">
        <v>453</v>
      </c>
      <c r="K13" s="700" t="s">
        <v>453</v>
      </c>
      <c r="L13" s="700" t="s">
        <v>453</v>
      </c>
      <c r="M13" s="700" t="s">
        <v>453</v>
      </c>
    </row>
    <row r="14" spans="1:13" s="688" customFormat="1" ht="32.1" customHeight="1">
      <c r="A14" s="691"/>
      <c r="B14" s="693"/>
      <c r="C14" s="699"/>
      <c r="D14" s="693"/>
      <c r="E14" s="693"/>
      <c r="F14" s="716"/>
      <c r="G14" s="700"/>
      <c r="H14" s="700"/>
      <c r="I14" s="717"/>
      <c r="J14" s="700"/>
      <c r="K14" s="700"/>
      <c r="L14" s="700"/>
      <c r="M14" s="700"/>
    </row>
    <row r="15" spans="1:13" ht="60" customHeight="1">
      <c r="A15" s="324"/>
      <c r="B15" s="350"/>
      <c r="C15" s="350"/>
      <c r="D15" s="349"/>
      <c r="E15" s="349"/>
      <c r="F15" s="355"/>
      <c r="G15" s="438"/>
      <c r="H15" s="438"/>
      <c r="I15" s="441"/>
      <c r="J15" s="454"/>
      <c r="K15" s="579"/>
      <c r="L15" s="594"/>
      <c r="M15" s="301"/>
    </row>
    <row r="16" spans="1:13" ht="60" customHeight="1">
      <c r="A16" s="324"/>
      <c r="B16" s="350"/>
      <c r="C16" s="350"/>
      <c r="D16" s="349"/>
      <c r="E16" s="349"/>
      <c r="F16" s="355"/>
      <c r="G16" s="438"/>
      <c r="H16" s="438"/>
      <c r="I16" s="440"/>
      <c r="J16" s="454"/>
      <c r="K16" s="579"/>
      <c r="L16" s="594"/>
      <c r="M16" s="454"/>
    </row>
    <row r="17" spans="1:236" ht="60" customHeight="1">
      <c r="A17" s="303"/>
      <c r="B17" s="351"/>
      <c r="C17" s="626"/>
      <c r="D17" s="352"/>
      <c r="E17" s="352"/>
      <c r="F17" s="355"/>
      <c r="G17" s="438"/>
      <c r="H17" s="438"/>
      <c r="I17" s="440"/>
      <c r="J17" s="454"/>
      <c r="K17" s="579"/>
      <c r="L17" s="594"/>
      <c r="M17" s="454"/>
    </row>
    <row r="18" spans="1:236" ht="60" customHeight="1">
      <c r="A18" s="304"/>
      <c r="B18" s="350"/>
      <c r="C18" s="350"/>
      <c r="D18" s="349"/>
      <c r="E18" s="349"/>
      <c r="F18" s="355"/>
      <c r="G18" s="437"/>
      <c r="H18" s="437"/>
      <c r="I18" s="440"/>
      <c r="J18" s="454"/>
      <c r="K18" s="579"/>
      <c r="L18" s="594"/>
      <c r="M18" s="454"/>
    </row>
    <row r="19" spans="1:236" ht="60" customHeight="1">
      <c r="A19" s="304"/>
      <c r="B19" s="350"/>
      <c r="C19" s="350"/>
      <c r="D19" s="349"/>
      <c r="E19" s="349"/>
      <c r="F19" s="355"/>
      <c r="G19" s="437"/>
      <c r="H19" s="437"/>
      <c r="I19" s="440"/>
      <c r="J19" s="454"/>
      <c r="K19" s="579"/>
      <c r="L19" s="594"/>
      <c r="M19" s="454"/>
    </row>
    <row r="20" spans="1:236" ht="60" customHeight="1">
      <c r="A20" s="304"/>
      <c r="B20" s="350"/>
      <c r="C20" s="350"/>
      <c r="D20" s="349"/>
      <c r="E20" s="349"/>
      <c r="F20" s="355"/>
      <c r="G20" s="437"/>
      <c r="H20" s="437"/>
      <c r="I20" s="440"/>
      <c r="J20" s="454"/>
      <c r="K20" s="579"/>
      <c r="L20" s="594"/>
      <c r="M20" s="454"/>
    </row>
    <row r="21" spans="1:236" ht="60" customHeight="1">
      <c r="A21" s="304"/>
      <c r="B21" s="350"/>
      <c r="C21" s="350"/>
      <c r="D21" s="349"/>
      <c r="E21" s="349"/>
      <c r="F21" s="355"/>
      <c r="G21" s="437"/>
      <c r="H21" s="437"/>
      <c r="I21" s="440"/>
      <c r="J21" s="454"/>
      <c r="K21" s="579"/>
      <c r="L21" s="594"/>
      <c r="M21" s="454"/>
    </row>
    <row r="22" spans="1:236" ht="60" customHeight="1">
      <c r="A22" s="304"/>
      <c r="B22" s="350"/>
      <c r="C22" s="350"/>
      <c r="D22" s="349"/>
      <c r="E22" s="349"/>
      <c r="F22" s="355"/>
      <c r="G22" s="437"/>
      <c r="H22" s="437"/>
      <c r="I22" s="440"/>
      <c r="J22" s="454"/>
      <c r="K22" s="579"/>
      <c r="L22" s="594"/>
      <c r="M22" s="454"/>
    </row>
    <row r="23" spans="1:236" ht="60" customHeight="1">
      <c r="A23" s="304"/>
      <c r="B23" s="350"/>
      <c r="C23" s="350"/>
      <c r="D23" s="349"/>
      <c r="E23" s="349"/>
      <c r="F23" s="355"/>
      <c r="G23" s="437"/>
      <c r="H23" s="437"/>
      <c r="I23" s="440"/>
      <c r="J23" s="454"/>
      <c r="K23" s="579"/>
      <c r="L23" s="594"/>
      <c r="M23" s="454"/>
    </row>
    <row r="24" spans="1:236" ht="60" customHeight="1">
      <c r="A24" s="304"/>
      <c r="B24" s="350"/>
      <c r="C24" s="350"/>
      <c r="D24" s="349"/>
      <c r="E24" s="349"/>
      <c r="F24" s="355"/>
      <c r="G24" s="437"/>
      <c r="H24" s="437"/>
      <c r="I24" s="440"/>
      <c r="J24" s="454"/>
      <c r="K24" s="579"/>
      <c r="L24" s="594"/>
      <c r="M24" s="301"/>
    </row>
    <row r="25" spans="1:236" ht="60" customHeight="1">
      <c r="A25" s="324"/>
      <c r="B25" s="350"/>
      <c r="C25" s="350"/>
      <c r="D25" s="349"/>
      <c r="E25" s="349"/>
      <c r="F25" s="355"/>
      <c r="G25" s="438"/>
      <c r="H25" s="438"/>
      <c r="I25" s="440"/>
      <c r="J25" s="454"/>
      <c r="K25" s="579"/>
      <c r="L25" s="594"/>
      <c r="M25" s="454"/>
    </row>
    <row r="26" spans="1:236" ht="60" customHeight="1">
      <c r="A26" s="304"/>
      <c r="B26" s="350"/>
      <c r="C26" s="350"/>
      <c r="D26" s="349"/>
      <c r="E26" s="349"/>
      <c r="F26" s="355"/>
      <c r="G26" s="437"/>
      <c r="H26" s="437"/>
      <c r="I26" s="440"/>
      <c r="J26" s="454"/>
      <c r="K26" s="579"/>
      <c r="L26" s="594"/>
      <c r="M26" s="454"/>
    </row>
    <row r="27" spans="1:236" ht="60" customHeight="1">
      <c r="A27" s="304"/>
      <c r="B27" s="350"/>
      <c r="C27" s="350"/>
      <c r="D27" s="349"/>
      <c r="E27" s="349"/>
      <c r="F27" s="355"/>
      <c r="G27" s="437"/>
      <c r="H27" s="437"/>
      <c r="I27" s="440"/>
      <c r="J27" s="454"/>
      <c r="K27" s="579"/>
      <c r="L27" s="594"/>
      <c r="M27" s="301"/>
    </row>
    <row r="28" spans="1:236" ht="60" customHeight="1">
      <c r="A28" s="304"/>
      <c r="B28" s="350"/>
      <c r="C28" s="350"/>
      <c r="D28" s="349"/>
      <c r="E28" s="349"/>
      <c r="F28" s="355"/>
      <c r="G28" s="437"/>
      <c r="H28" s="437"/>
      <c r="I28" s="440"/>
      <c r="J28" s="454"/>
      <c r="K28" s="579"/>
      <c r="L28" s="594"/>
      <c r="M28" s="301"/>
    </row>
    <row r="29" spans="1:236" ht="60" customHeight="1">
      <c r="A29" s="304"/>
      <c r="B29" s="350"/>
      <c r="C29" s="350"/>
      <c r="D29" s="349"/>
      <c r="E29" s="349"/>
      <c r="F29" s="355"/>
      <c r="G29" s="437"/>
      <c r="H29" s="437"/>
      <c r="I29" s="440"/>
      <c r="J29" s="454"/>
      <c r="K29" s="579"/>
      <c r="L29" s="594"/>
      <c r="M29" s="301"/>
    </row>
    <row r="30" spans="1:236" ht="60" customHeight="1">
      <c r="A30" s="304"/>
      <c r="B30" s="350"/>
      <c r="C30" s="350"/>
      <c r="D30" s="349"/>
      <c r="E30" s="349"/>
      <c r="F30" s="355"/>
      <c r="G30" s="437"/>
      <c r="H30" s="437"/>
      <c r="I30" s="440"/>
      <c r="J30" s="454"/>
      <c r="K30" s="579"/>
      <c r="L30" s="594"/>
      <c r="M30" s="301"/>
    </row>
    <row r="31" spans="1:236" ht="60" customHeight="1">
      <c r="A31" s="304"/>
      <c r="B31" s="350"/>
      <c r="C31" s="350"/>
      <c r="D31" s="349"/>
      <c r="E31" s="349"/>
      <c r="F31" s="355"/>
      <c r="G31" s="437"/>
      <c r="H31" s="437"/>
      <c r="I31" s="440"/>
      <c r="J31" s="454"/>
      <c r="K31" s="579"/>
      <c r="L31" s="594"/>
      <c r="M31" s="301"/>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c r="FN31" s="17"/>
      <c r="FO31" s="17"/>
      <c r="FP31" s="17"/>
      <c r="FQ31" s="17"/>
      <c r="FR31" s="17"/>
      <c r="FS31" s="17"/>
      <c r="FT31" s="17"/>
      <c r="FU31" s="17"/>
      <c r="FV31" s="17"/>
      <c r="FW31" s="17"/>
      <c r="FX31" s="17"/>
      <c r="FY31" s="17"/>
      <c r="FZ31" s="17"/>
      <c r="GA31" s="17"/>
      <c r="GB31" s="17"/>
      <c r="GC31" s="17"/>
      <c r="GD31" s="17"/>
      <c r="GE31" s="17"/>
      <c r="GF31" s="17"/>
      <c r="GG31" s="17"/>
      <c r="GH31" s="17"/>
      <c r="GI31" s="17"/>
      <c r="GJ31" s="17"/>
      <c r="GK31" s="17"/>
      <c r="GL31" s="17"/>
      <c r="GM31" s="17"/>
      <c r="GN31" s="17"/>
      <c r="GO31" s="17"/>
      <c r="GP31" s="17"/>
      <c r="GQ31" s="17"/>
      <c r="GR31" s="17"/>
      <c r="GS31" s="17"/>
      <c r="GT31" s="17"/>
      <c r="GU31" s="17"/>
      <c r="GV31" s="17"/>
      <c r="GW31" s="17"/>
      <c r="GX31" s="17"/>
      <c r="GY31" s="17"/>
      <c r="GZ31" s="17"/>
      <c r="HA31" s="17"/>
      <c r="HB31" s="17"/>
      <c r="HC31" s="17"/>
      <c r="HD31" s="17"/>
      <c r="HE31" s="17"/>
      <c r="HF31" s="17"/>
      <c r="HG31" s="17"/>
      <c r="HH31" s="17"/>
      <c r="HI31" s="17"/>
      <c r="HJ31" s="17"/>
      <c r="HK31" s="17"/>
      <c r="HL31" s="17"/>
      <c r="HM31" s="17"/>
      <c r="HN31" s="17"/>
      <c r="HO31" s="17"/>
      <c r="HP31" s="17"/>
      <c r="HQ31" s="17"/>
      <c r="HR31" s="17"/>
      <c r="HS31" s="17"/>
      <c r="HT31" s="17"/>
      <c r="HU31" s="17"/>
      <c r="HV31" s="17"/>
      <c r="HW31" s="17"/>
      <c r="HX31" s="17"/>
      <c r="HY31" s="17"/>
      <c r="HZ31" s="17"/>
      <c r="IA31" s="17"/>
      <c r="IB31" s="17"/>
    </row>
    <row r="32" spans="1:236" ht="60" customHeight="1">
      <c r="A32" s="304"/>
      <c r="B32" s="350"/>
      <c r="C32" s="350"/>
      <c r="D32" s="349"/>
      <c r="E32" s="349"/>
      <c r="F32" s="355"/>
      <c r="G32" s="438"/>
      <c r="H32" s="437"/>
      <c r="I32" s="440"/>
      <c r="J32" s="454"/>
      <c r="K32" s="579"/>
      <c r="L32" s="594"/>
      <c r="M32" s="301"/>
    </row>
    <row r="33" spans="1:13" ht="60" customHeight="1">
      <c r="A33" s="324"/>
      <c r="B33" s="350"/>
      <c r="C33" s="350"/>
      <c r="D33" s="349"/>
      <c r="E33" s="349"/>
      <c r="F33" s="355"/>
      <c r="G33" s="438"/>
      <c r="H33" s="438"/>
      <c r="I33" s="441"/>
      <c r="J33" s="454"/>
      <c r="K33" s="579"/>
      <c r="L33" s="594"/>
      <c r="M33" s="301"/>
    </row>
    <row r="34" spans="1:13" ht="60" customHeight="1">
      <c r="A34" s="324"/>
      <c r="B34" s="350"/>
      <c r="C34" s="350"/>
      <c r="D34" s="349"/>
      <c r="E34" s="349"/>
      <c r="F34" s="355"/>
      <c r="G34" s="437"/>
      <c r="H34" s="437"/>
      <c r="I34" s="440"/>
      <c r="J34" s="454"/>
      <c r="K34" s="579"/>
      <c r="L34" s="594"/>
      <c r="M34" s="301"/>
    </row>
    <row r="35" spans="1:13" ht="60" customHeight="1">
      <c r="A35" s="313"/>
      <c r="B35" s="350"/>
      <c r="C35" s="353"/>
      <c r="D35" s="349"/>
      <c r="E35" s="455"/>
      <c r="F35" s="355"/>
      <c r="G35" s="439"/>
      <c r="H35" s="439"/>
      <c r="I35" s="382"/>
      <c r="J35" s="454"/>
      <c r="K35" s="579"/>
      <c r="L35" s="594"/>
      <c r="M35" s="301"/>
    </row>
    <row r="36" spans="1:13" ht="60" customHeight="1">
      <c r="A36" s="313"/>
      <c r="B36" s="353"/>
      <c r="C36" s="382"/>
      <c r="D36" s="349"/>
      <c r="E36" s="353"/>
      <c r="F36" s="355"/>
      <c r="G36" s="439"/>
      <c r="H36" s="456"/>
      <c r="I36" s="382"/>
      <c r="J36" s="454"/>
      <c r="K36" s="580"/>
      <c r="L36" s="594"/>
      <c r="M36" s="362"/>
    </row>
    <row r="37" spans="1:13" ht="60" customHeight="1">
      <c r="A37" s="313"/>
      <c r="B37" s="353"/>
      <c r="C37" s="325"/>
      <c r="D37" s="348"/>
      <c r="E37" s="354"/>
      <c r="F37" s="381"/>
      <c r="G37" s="437"/>
      <c r="H37" s="437"/>
      <c r="I37" s="383"/>
      <c r="J37" s="454"/>
      <c r="K37" s="581"/>
      <c r="L37" s="594"/>
      <c r="M37" s="362"/>
    </row>
    <row r="38" spans="1:13" ht="60" customHeight="1">
      <c r="A38" s="313"/>
      <c r="B38" s="353"/>
      <c r="C38" s="325"/>
      <c r="D38" s="455"/>
      <c r="E38" s="354"/>
      <c r="F38" s="381"/>
      <c r="G38" s="437"/>
      <c r="H38" s="437"/>
      <c r="I38" s="383"/>
      <c r="J38" s="454"/>
      <c r="K38" s="581"/>
      <c r="L38" s="362"/>
      <c r="M38" s="362"/>
    </row>
    <row r="39" spans="1:13" ht="60" customHeight="1">
      <c r="A39" s="313"/>
      <c r="B39" s="361"/>
      <c r="C39" s="325"/>
      <c r="D39" s="362"/>
      <c r="E39" s="362"/>
      <c r="F39" s="380"/>
      <c r="G39" s="439"/>
      <c r="H39" s="439"/>
      <c r="I39" s="383"/>
      <c r="J39" s="454"/>
      <c r="K39" s="581"/>
      <c r="L39" s="362"/>
      <c r="M39" s="362"/>
    </row>
    <row r="40" spans="1:13" ht="60" customHeight="1">
      <c r="A40" s="313"/>
      <c r="B40" s="350"/>
      <c r="C40" s="354"/>
      <c r="D40" s="363"/>
      <c r="E40" s="362"/>
      <c r="F40" s="457"/>
      <c r="G40" s="439"/>
      <c r="H40" s="439"/>
      <c r="I40" s="382"/>
      <c r="J40" s="454"/>
      <c r="K40" s="581"/>
      <c r="L40" s="362"/>
      <c r="M40" s="362"/>
    </row>
    <row r="41" spans="1:13" ht="60" customHeight="1">
      <c r="A41" s="313"/>
      <c r="B41" s="361"/>
      <c r="C41" s="325"/>
      <c r="D41" s="363"/>
      <c r="E41" s="362"/>
      <c r="F41" s="457"/>
      <c r="G41" s="439"/>
      <c r="H41" s="439"/>
      <c r="I41" s="383"/>
      <c r="J41" s="454"/>
      <c r="K41" s="581"/>
      <c r="L41" s="362"/>
      <c r="M41" s="362"/>
    </row>
    <row r="42" spans="1:13" ht="60" customHeight="1">
      <c r="A42" s="313"/>
      <c r="B42" s="361"/>
      <c r="C42" s="325"/>
      <c r="D42" s="363"/>
      <c r="E42" s="362"/>
      <c r="F42" s="380"/>
      <c r="G42" s="439"/>
      <c r="H42" s="439"/>
      <c r="I42" s="383"/>
      <c r="J42" s="454"/>
      <c r="K42" s="581"/>
      <c r="L42" s="362"/>
      <c r="M42" s="362"/>
    </row>
    <row r="43" spans="1:13" ht="60" customHeight="1">
      <c r="A43" s="313"/>
      <c r="B43" s="361"/>
      <c r="C43" s="325"/>
      <c r="D43" s="363"/>
      <c r="E43" s="362"/>
      <c r="F43" s="362"/>
      <c r="G43" s="458"/>
      <c r="H43" s="439"/>
      <c r="I43" s="383"/>
      <c r="J43" s="454"/>
      <c r="K43" s="580"/>
      <c r="L43" s="594"/>
      <c r="M43" s="362"/>
    </row>
    <row r="44" spans="1:13" ht="60" customHeight="1">
      <c r="A44" s="313"/>
      <c r="B44" s="361"/>
      <c r="C44" s="354"/>
      <c r="D44" s="363"/>
      <c r="E44" s="362"/>
      <c r="F44" s="362"/>
      <c r="G44" s="446"/>
      <c r="H44" s="446"/>
      <c r="I44" s="323"/>
      <c r="J44" s="454"/>
      <c r="K44" s="581"/>
      <c r="L44" s="362"/>
      <c r="M44" s="362"/>
    </row>
    <row r="45" spans="1:13" ht="60" customHeight="1">
      <c r="A45" s="313"/>
      <c r="B45" s="361"/>
      <c r="C45" s="354"/>
      <c r="D45" s="363"/>
      <c r="E45" s="362"/>
      <c r="F45" s="362"/>
      <c r="G45" s="446"/>
      <c r="H45" s="446"/>
      <c r="I45" s="323"/>
      <c r="J45" s="454"/>
      <c r="K45" s="581"/>
      <c r="L45" s="362"/>
      <c r="M45" s="362"/>
    </row>
    <row r="46" spans="1:13" ht="60" customHeight="1">
      <c r="A46" s="313"/>
      <c r="B46" s="361"/>
      <c r="C46" s="325"/>
      <c r="D46" s="363"/>
      <c r="E46" s="362"/>
      <c r="F46" s="362"/>
      <c r="G46" s="446"/>
      <c r="H46" s="446"/>
      <c r="I46" s="323"/>
      <c r="J46" s="454"/>
      <c r="K46" s="580"/>
      <c r="L46" s="594"/>
      <c r="M46" s="362"/>
    </row>
    <row r="47" spans="1:13" ht="60" customHeight="1">
      <c r="A47" s="313"/>
      <c r="B47" s="361"/>
      <c r="C47" s="334"/>
      <c r="D47" s="362"/>
      <c r="E47" s="14"/>
      <c r="F47" s="362"/>
      <c r="G47" s="576"/>
      <c r="H47" s="446"/>
      <c r="I47" s="459"/>
      <c r="J47" s="454"/>
      <c r="K47" s="580"/>
      <c r="L47" s="594"/>
      <c r="M47" s="362"/>
    </row>
    <row r="48" spans="1:13" ht="60" customHeight="1">
      <c r="A48" s="313"/>
      <c r="B48" s="361"/>
      <c r="C48" s="469"/>
      <c r="D48" s="362"/>
      <c r="E48" s="362"/>
      <c r="F48" s="362"/>
      <c r="G48" s="446"/>
      <c r="H48" s="446"/>
      <c r="I48" s="459"/>
      <c r="J48" s="454"/>
      <c r="K48" s="581"/>
      <c r="L48" s="362"/>
      <c r="M48" s="362"/>
    </row>
    <row r="49" spans="1:13" ht="60" customHeight="1">
      <c r="A49" s="313"/>
      <c r="B49" s="361"/>
      <c r="C49" s="627"/>
      <c r="D49" s="468"/>
      <c r="E49" s="468"/>
      <c r="F49" s="362"/>
      <c r="G49" s="577"/>
      <c r="H49" s="578"/>
      <c r="I49" s="459"/>
      <c r="J49" s="454"/>
      <c r="K49" s="581"/>
      <c r="L49" s="362"/>
      <c r="M49" s="362"/>
    </row>
    <row r="50" spans="1:13" ht="39.950000000000003" customHeight="1">
      <c r="A50" s="313"/>
      <c r="B50" s="362"/>
      <c r="C50" s="325"/>
      <c r="D50" s="362"/>
      <c r="E50" s="362"/>
      <c r="F50" s="362"/>
      <c r="G50" s="572"/>
      <c r="H50" s="573"/>
      <c r="I50" s="459"/>
      <c r="J50" s="454"/>
      <c r="K50" s="581"/>
      <c r="L50" s="362"/>
      <c r="M50" s="362"/>
    </row>
    <row r="51" spans="1:13" ht="48.6" customHeight="1">
      <c r="A51" s="313"/>
      <c r="B51" s="361"/>
      <c r="C51" s="354"/>
      <c r="D51" s="362"/>
      <c r="E51" s="362"/>
      <c r="F51" s="354"/>
      <c r="G51" s="446"/>
      <c r="H51" s="446"/>
      <c r="I51" s="362"/>
      <c r="J51" s="454"/>
      <c r="K51" s="581"/>
      <c r="L51" s="362"/>
      <c r="M51" s="362"/>
    </row>
    <row r="52" spans="1:13" ht="44.45" customHeight="1">
      <c r="A52" s="313"/>
      <c r="B52" s="361"/>
      <c r="C52" s="325"/>
      <c r="D52" s="362"/>
      <c r="E52" s="362"/>
      <c r="F52" s="354"/>
      <c r="G52" s="446"/>
      <c r="H52" s="446"/>
      <c r="I52" s="362"/>
      <c r="J52" s="454"/>
      <c r="K52" s="581"/>
      <c r="L52" s="362"/>
      <c r="M52" s="362"/>
    </row>
    <row r="53" spans="1:13" s="467" customFormat="1" ht="44.45" customHeight="1">
      <c r="A53" s="313"/>
      <c r="B53" s="361"/>
      <c r="C53" s="325"/>
      <c r="D53" s="362"/>
      <c r="E53" s="646"/>
      <c r="F53" s="647"/>
      <c r="G53" s="446"/>
      <c r="H53" s="446"/>
      <c r="I53" s="619"/>
      <c r="J53" s="454"/>
      <c r="K53" s="581"/>
      <c r="L53" s="619"/>
      <c r="M53" s="362"/>
    </row>
    <row r="54" spans="1:13" ht="48.95" customHeight="1">
      <c r="A54" s="313"/>
      <c r="B54" s="361"/>
      <c r="C54" s="459"/>
      <c r="D54" s="362"/>
      <c r="E54" s="362"/>
      <c r="F54" s="362"/>
      <c r="G54" s="446"/>
      <c r="H54" s="446"/>
      <c r="I54" s="459"/>
      <c r="J54" s="454"/>
      <c r="K54" s="362"/>
      <c r="L54" s="619"/>
      <c r="M54" s="362"/>
    </row>
    <row r="55" spans="1:13" ht="52.5" customHeight="1">
      <c r="A55" s="313"/>
      <c r="B55" s="361"/>
      <c r="C55" s="459"/>
      <c r="D55" s="362"/>
      <c r="E55" s="362"/>
      <c r="F55" s="362"/>
      <c r="G55" s="446"/>
      <c r="H55" s="446"/>
      <c r="I55" s="459"/>
      <c r="J55" s="454"/>
      <c r="K55" s="362"/>
      <c r="L55" s="362"/>
      <c r="M55" s="362"/>
    </row>
    <row r="56" spans="1:13" ht="57.95" customHeight="1">
      <c r="A56" s="313"/>
      <c r="B56" s="361"/>
      <c r="C56" s="383"/>
      <c r="D56" s="605"/>
      <c r="E56" s="605"/>
      <c r="F56" s="606"/>
      <c r="G56" s="607"/>
      <c r="H56" s="608"/>
      <c r="I56" s="459"/>
      <c r="J56" s="454"/>
      <c r="K56" s="362"/>
      <c r="L56" s="362"/>
      <c r="M56" s="362"/>
    </row>
    <row r="57" spans="1:13" ht="57.95" customHeight="1">
      <c r="A57" s="313"/>
      <c r="B57" s="361"/>
      <c r="C57" s="383"/>
      <c r="D57" s="605"/>
      <c r="E57" s="605"/>
      <c r="F57" s="606"/>
      <c r="G57" s="608"/>
      <c r="H57" s="608"/>
      <c r="I57" s="383"/>
      <c r="J57" s="454"/>
      <c r="K57" s="362"/>
      <c r="L57" s="362"/>
      <c r="M57" s="362"/>
    </row>
    <row r="58" spans="1:13" ht="57.95" customHeight="1">
      <c r="A58" s="593"/>
      <c r="B58" s="590"/>
      <c r="C58" s="610"/>
      <c r="D58" s="609"/>
      <c r="E58" s="609"/>
      <c r="F58" s="610"/>
      <c r="G58" s="611"/>
      <c r="H58" s="611"/>
      <c r="I58" s="609"/>
      <c r="J58" s="454"/>
      <c r="K58" s="436"/>
      <c r="L58" s="436"/>
      <c r="M58" s="436"/>
    </row>
    <row r="59" spans="1:13" ht="57.95" customHeight="1">
      <c r="A59" s="313"/>
      <c r="B59" s="361"/>
      <c r="C59" s="606"/>
      <c r="D59" s="605"/>
      <c r="E59" s="605"/>
      <c r="F59" s="606"/>
      <c r="G59" s="608"/>
      <c r="H59" s="608"/>
      <c r="I59" s="459"/>
      <c r="J59" s="454"/>
      <c r="K59" s="362"/>
      <c r="L59" s="362"/>
      <c r="M59" s="362"/>
    </row>
    <row r="60" spans="1:13" ht="57.95" customHeight="1">
      <c r="A60" s="313"/>
      <c r="B60" s="361"/>
      <c r="C60" s="383"/>
      <c r="D60" s="605"/>
      <c r="E60" s="605"/>
      <c r="F60" s="606"/>
      <c r="G60" s="608"/>
      <c r="H60" s="608"/>
      <c r="I60" s="459"/>
      <c r="J60" s="454"/>
      <c r="K60" s="362"/>
      <c r="L60" s="362"/>
      <c r="M60" s="362"/>
    </row>
    <row r="61" spans="1:13" ht="57.95" customHeight="1">
      <c r="A61" s="313"/>
      <c r="B61" s="361"/>
      <c r="C61" s="383"/>
      <c r="D61" s="605"/>
      <c r="E61" s="605"/>
      <c r="F61" s="606"/>
      <c r="G61" s="608"/>
      <c r="H61" s="608"/>
      <c r="I61" s="459"/>
      <c r="J61" s="605"/>
      <c r="K61" s="362"/>
      <c r="L61" s="362"/>
      <c r="M61" s="362"/>
    </row>
    <row r="62" spans="1:13" ht="57.95" customHeight="1">
      <c r="A62" s="602"/>
      <c r="B62" s="361"/>
      <c r="C62" s="612"/>
      <c r="D62" s="605"/>
      <c r="E62" s="605"/>
      <c r="F62" s="605"/>
      <c r="G62" s="608"/>
      <c r="H62" s="608"/>
      <c r="I62" s="459"/>
      <c r="J62" s="605"/>
      <c r="K62" s="296"/>
      <c r="L62" s="296"/>
      <c r="M62" s="296"/>
    </row>
    <row r="63" spans="1:13" ht="57.95" customHeight="1">
      <c r="A63" s="602"/>
      <c r="B63" s="617"/>
      <c r="C63" s="606"/>
      <c r="D63" s="605"/>
      <c r="E63" s="605"/>
      <c r="F63" s="605"/>
      <c r="G63" s="608"/>
      <c r="H63" s="608"/>
      <c r="I63" s="459"/>
      <c r="J63" s="605"/>
      <c r="K63" s="296"/>
      <c r="L63" s="296"/>
      <c r="M63" s="296"/>
    </row>
    <row r="64" spans="1:13" ht="36" customHeight="1">
      <c r="A64" s="602"/>
      <c r="B64" s="296"/>
      <c r="C64" s="628"/>
      <c r="D64" s="605"/>
      <c r="E64" s="467"/>
      <c r="F64" s="296"/>
      <c r="G64" s="296"/>
      <c r="H64" s="296"/>
      <c r="I64" s="618"/>
      <c r="J64" s="296"/>
      <c r="K64" s="296"/>
      <c r="L64" s="296"/>
      <c r="M64" s="296"/>
    </row>
    <row r="65" spans="1:13" ht="35.25" customHeight="1">
      <c r="A65" s="602"/>
      <c r="B65" s="296"/>
      <c r="C65" s="555"/>
      <c r="D65" s="296"/>
      <c r="E65" s="296"/>
      <c r="F65" s="296"/>
      <c r="G65" s="296"/>
      <c r="H65" s="296"/>
      <c r="I65" s="296"/>
      <c r="J65" s="296"/>
      <c r="K65" s="296"/>
      <c r="L65" s="296"/>
      <c r="M65" s="296"/>
    </row>
    <row r="66" spans="1:13" ht="33" customHeight="1">
      <c r="A66" s="602"/>
      <c r="B66" s="296"/>
      <c r="C66" s="628"/>
      <c r="D66" s="296"/>
      <c r="E66" s="296"/>
      <c r="F66" s="296"/>
      <c r="G66" s="296"/>
      <c r="H66" s="296"/>
      <c r="I66" s="618"/>
      <c r="J66" s="296"/>
      <c r="K66" s="296"/>
      <c r="L66" s="296"/>
      <c r="M66" s="296"/>
    </row>
    <row r="67" spans="1:13" ht="34.5" customHeight="1">
      <c r="A67" s="602"/>
      <c r="B67" s="296"/>
      <c r="C67" s="628"/>
      <c r="D67" s="296"/>
      <c r="E67" s="296"/>
      <c r="F67" s="296"/>
      <c r="G67" s="296"/>
      <c r="H67" s="296"/>
      <c r="I67" s="618"/>
      <c r="J67" s="296"/>
      <c r="K67" s="296"/>
      <c r="L67" s="296"/>
      <c r="M67" s="296"/>
    </row>
    <row r="68" spans="1:13" ht="30" customHeight="1">
      <c r="A68" s="602"/>
      <c r="B68" s="296"/>
      <c r="C68" s="555"/>
      <c r="D68" s="296"/>
      <c r="E68" s="296"/>
      <c r="F68" s="296"/>
      <c r="G68" s="296"/>
      <c r="H68" s="296"/>
      <c r="I68" s="296"/>
      <c r="J68" s="296"/>
      <c r="K68" s="296"/>
      <c r="L68" s="296"/>
      <c r="M68" s="296"/>
    </row>
    <row r="69" spans="1:13" ht="26.25" customHeight="1">
      <c r="A69" s="602"/>
      <c r="B69" s="296"/>
      <c r="C69" s="555"/>
      <c r="D69" s="296"/>
      <c r="E69" s="296"/>
      <c r="F69" s="296"/>
      <c r="G69" s="296"/>
      <c r="H69" s="296"/>
      <c r="I69" s="296"/>
      <c r="J69" s="296"/>
      <c r="K69" s="296"/>
      <c r="L69" s="296"/>
      <c r="M69" s="296"/>
    </row>
    <row r="70" spans="1:13" ht="31.5" customHeight="1">
      <c r="A70" s="602"/>
      <c r="B70" s="296"/>
      <c r="C70" s="555"/>
      <c r="D70" s="296"/>
      <c r="E70" s="296"/>
      <c r="F70" s="296"/>
      <c r="G70" s="296"/>
      <c r="H70" s="296"/>
      <c r="I70" s="296"/>
      <c r="J70" s="296"/>
      <c r="K70" s="296"/>
      <c r="L70" s="296"/>
      <c r="M70" s="296"/>
    </row>
    <row r="71" spans="1:13" ht="34.5" customHeight="1">
      <c r="A71" s="602"/>
      <c r="B71" s="296"/>
      <c r="C71" s="555"/>
      <c r="D71" s="296"/>
      <c r="E71" s="296"/>
      <c r="F71" s="296"/>
      <c r="G71" s="296"/>
      <c r="H71" s="296"/>
      <c r="I71" s="296"/>
      <c r="J71" s="296"/>
      <c r="K71" s="296"/>
      <c r="L71" s="296"/>
      <c r="M71" s="296"/>
    </row>
  </sheetData>
  <mergeCells count="8">
    <mergeCell ref="A1:M1"/>
    <mergeCell ref="A3:C3"/>
    <mergeCell ref="A5:C5"/>
    <mergeCell ref="A7:C7"/>
    <mergeCell ref="A11:A12"/>
    <mergeCell ref="B11:B12"/>
    <mergeCell ref="F11:F12"/>
    <mergeCell ref="A2:M2"/>
  </mergeCells>
  <printOptions horizontalCentered="1" verticalCentered="1"/>
  <pageMargins left="0" right="0" top="0" bottom="0" header="0.31496062992126" footer="0.31496062992126"/>
  <pageSetup paperSize="9" scale="60" orientation="landscape" horizontalDpi="4294967293"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711"/>
  <sheetViews>
    <sheetView topLeftCell="A9" workbookViewId="0">
      <pane xSplit="2" ySplit="7" topLeftCell="AF16" activePane="bottomRight" state="frozen"/>
      <selection activeCell="A9" sqref="A9"/>
      <selection pane="topRight" activeCell="C9" sqref="C9"/>
      <selection pane="bottomLeft" activeCell="A16" sqref="A16"/>
      <selection pane="bottomRight" activeCell="AN16" sqref="AN16"/>
    </sheetView>
  </sheetViews>
  <sheetFormatPr defaultColWidth="9.140625" defaultRowHeight="39" customHeight="1"/>
  <cols>
    <col min="1" max="1" width="8.5703125" style="327" customWidth="1"/>
    <col min="2" max="2" width="29.28515625" style="14" customWidth="1"/>
    <col min="3" max="3" width="12" style="14" customWidth="1"/>
    <col min="4" max="4" width="8.7109375" style="14" customWidth="1"/>
    <col min="5" max="5" width="26.85546875" style="14" customWidth="1"/>
    <col min="6" max="6" width="26" style="14" customWidth="1"/>
    <col min="7" max="7" width="47.28515625" style="14" customWidth="1"/>
    <col min="8" max="8" width="26.5703125" style="14" customWidth="1"/>
    <col min="9" max="9" width="23" style="14" customWidth="1"/>
    <col min="10" max="10" width="26.5703125" style="14" customWidth="1"/>
    <col min="11" max="12" width="23" style="14" customWidth="1"/>
    <col min="13" max="13" width="29" style="14" customWidth="1"/>
    <col min="14" max="14" width="19.7109375" style="14" customWidth="1"/>
    <col min="15" max="15" width="13.85546875" style="14" customWidth="1"/>
    <col min="16" max="16" width="26.85546875" style="14" customWidth="1"/>
    <col min="17" max="17" width="6.5703125" style="14" customWidth="1"/>
    <col min="18" max="18" width="6" style="14" customWidth="1"/>
    <col min="19" max="19" width="11" style="328" customWidth="1"/>
    <col min="20" max="20" width="11" style="14" customWidth="1"/>
    <col min="21" max="21" width="8.42578125" style="14" customWidth="1"/>
    <col min="22" max="22" width="5.5703125" style="14" customWidth="1"/>
    <col min="23" max="23" width="9.140625" style="14" customWidth="1"/>
    <col min="24" max="24" width="11" style="14" customWidth="1"/>
    <col min="25" max="25" width="11.28515625" style="14" customWidth="1"/>
    <col min="26" max="26" width="12" style="14" bestFit="1" customWidth="1"/>
    <col min="27" max="27" width="13.7109375" style="14" bestFit="1" customWidth="1"/>
    <col min="28" max="30" width="11.42578125" style="14" customWidth="1"/>
    <col min="31" max="31" width="11.7109375" style="14" customWidth="1"/>
    <col min="32" max="32" width="7.7109375" style="14" customWidth="1"/>
    <col min="33" max="33" width="6.85546875" style="14" customWidth="1"/>
    <col min="34" max="34" width="7.5703125" style="327" customWidth="1"/>
    <col min="35" max="35" width="9.28515625" style="327" customWidth="1"/>
    <col min="36" max="36" width="12.5703125" style="327" customWidth="1"/>
    <col min="37" max="37" width="7.140625" style="327" customWidth="1"/>
    <col min="38" max="38" width="6.28515625" style="327" customWidth="1"/>
    <col min="39" max="39" width="8.140625" style="327" customWidth="1"/>
    <col min="40" max="40" width="11.140625" style="14" customWidth="1"/>
    <col min="41" max="41" width="11.85546875" style="14" customWidth="1"/>
    <col min="42" max="42" width="23" style="14" bestFit="1" customWidth="1"/>
    <col min="43" max="43" width="26" style="14" customWidth="1"/>
    <col min="44" max="44" width="11.7109375" style="14" customWidth="1"/>
    <col min="45" max="16384" width="9.140625" style="14"/>
  </cols>
  <sheetData>
    <row r="1" spans="1:44" ht="15.75" hidden="1"/>
    <row r="2" spans="1:44" ht="15.75" hidden="1"/>
    <row r="3" spans="1:44" ht="63.6" hidden="1" customHeight="1">
      <c r="A3" s="14" t="s">
        <v>50</v>
      </c>
      <c r="S3" s="14"/>
      <c r="AH3" s="14"/>
      <c r="AI3" s="14"/>
      <c r="AJ3" s="14"/>
      <c r="AK3" s="14"/>
      <c r="AL3" s="14"/>
      <c r="AM3" s="14"/>
    </row>
    <row r="4" spans="1:44" ht="15.75" hidden="1">
      <c r="B4" s="387" t="s">
        <v>426</v>
      </c>
    </row>
    <row r="5" spans="1:44" ht="23.1" customHeight="1">
      <c r="A5" s="749" t="s">
        <v>0</v>
      </c>
      <c r="B5" s="749"/>
      <c r="C5" s="749"/>
      <c r="D5" s="326"/>
      <c r="E5" s="326"/>
      <c r="F5" s="329" t="s">
        <v>393</v>
      </c>
      <c r="G5" s="330"/>
      <c r="H5" s="330"/>
      <c r="I5" s="331"/>
      <c r="J5" s="331"/>
      <c r="K5" s="331"/>
      <c r="L5" s="331"/>
      <c r="M5" s="331"/>
      <c r="N5" s="331"/>
      <c r="O5" s="331"/>
      <c r="P5" s="331"/>
      <c r="V5" s="758" t="s">
        <v>1</v>
      </c>
      <c r="W5" s="758"/>
      <c r="X5" s="758"/>
      <c r="Y5" s="758"/>
      <c r="Z5" s="758"/>
      <c r="AA5" s="758"/>
      <c r="AB5" s="758"/>
      <c r="AC5" s="758"/>
      <c r="AD5" s="758"/>
      <c r="AE5" s="758"/>
      <c r="AF5" s="758"/>
      <c r="AG5" s="758"/>
      <c r="AH5" s="758"/>
      <c r="AI5" s="758"/>
      <c r="AJ5" s="329" t="str">
        <f>F5</f>
        <v>Burgeon IT Services Pvt.Ltd.</v>
      </c>
      <c r="AK5" s="330"/>
      <c r="AL5" s="330"/>
      <c r="AM5" s="330"/>
      <c r="AN5" s="330"/>
      <c r="AO5" s="330"/>
      <c r="AP5" s="330"/>
      <c r="AQ5" s="330"/>
      <c r="AR5" s="330"/>
    </row>
    <row r="6" spans="1:44" ht="32.450000000000003" customHeight="1">
      <c r="A6" s="333"/>
      <c r="F6" s="152" t="s">
        <v>394</v>
      </c>
      <c r="I6" s="152"/>
      <c r="J6" s="152"/>
      <c r="K6" s="152"/>
      <c r="L6" s="152"/>
      <c r="M6" s="152"/>
      <c r="N6" s="152"/>
      <c r="O6" s="152"/>
      <c r="P6" s="152"/>
      <c r="W6" s="334"/>
      <c r="X6" s="334"/>
      <c r="Y6" s="334"/>
      <c r="Z6" s="334"/>
      <c r="AA6" s="334"/>
      <c r="AB6" s="334"/>
      <c r="AC6" s="334"/>
      <c r="AD6" s="334"/>
      <c r="AE6" s="334"/>
      <c r="AF6" s="334"/>
      <c r="AG6" s="334"/>
      <c r="AJ6" s="152" t="str">
        <f>F6</f>
        <v>Siri Mansion LIGB 436 Dr.A S Rao Nagar,Hyderabad</v>
      </c>
      <c r="AK6" s="14"/>
      <c r="AL6" s="14"/>
      <c r="AM6" s="335"/>
      <c r="AN6" s="335"/>
      <c r="AO6" s="335"/>
      <c r="AP6" s="335"/>
      <c r="AQ6" s="335"/>
      <c r="AR6" s="335"/>
    </row>
    <row r="7" spans="1:44" ht="36.950000000000003" customHeight="1">
      <c r="A7" s="333"/>
      <c r="F7" s="336"/>
      <c r="I7" s="152"/>
      <c r="J7" s="152"/>
      <c r="K7" s="152"/>
      <c r="L7" s="152"/>
      <c r="M7" s="152"/>
      <c r="N7" s="152"/>
      <c r="O7" s="152"/>
      <c r="P7" s="152"/>
      <c r="W7" s="334"/>
      <c r="X7" s="334"/>
      <c r="Y7" s="334"/>
      <c r="Z7" s="334"/>
      <c r="AA7" s="334"/>
      <c r="AB7" s="334"/>
      <c r="AC7" s="334"/>
      <c r="AD7" s="334"/>
      <c r="AE7" s="334"/>
      <c r="AF7" s="334"/>
      <c r="AG7" s="334"/>
      <c r="AJ7" s="152"/>
      <c r="AK7" s="14"/>
      <c r="AL7" s="14"/>
      <c r="AM7" s="335"/>
      <c r="AN7" s="335"/>
      <c r="AO7" s="335"/>
      <c r="AP7" s="335"/>
      <c r="AQ7" s="335"/>
      <c r="AR7" s="335"/>
    </row>
    <row r="8" spans="1:44" ht="34.15" customHeight="1">
      <c r="A8" s="749" t="s">
        <v>2</v>
      </c>
      <c r="B8" s="749"/>
      <c r="C8" s="749"/>
      <c r="D8" s="326"/>
      <c r="E8" s="326"/>
      <c r="F8" s="337" t="s">
        <v>387</v>
      </c>
      <c r="G8" s="337"/>
      <c r="H8" s="337"/>
      <c r="I8" s="337"/>
      <c r="J8" s="337"/>
      <c r="K8" s="337"/>
      <c r="L8" s="337"/>
      <c r="M8" s="337"/>
      <c r="N8" s="337"/>
      <c r="O8" s="337"/>
      <c r="P8" s="337"/>
      <c r="W8" s="334"/>
      <c r="X8" s="334"/>
      <c r="Y8" s="334"/>
      <c r="Z8" s="334"/>
      <c r="AA8" s="334"/>
      <c r="AB8" s="334"/>
      <c r="AC8" s="334"/>
      <c r="AD8" s="334"/>
      <c r="AE8" s="334"/>
      <c r="AF8" s="334"/>
      <c r="AG8" s="334"/>
      <c r="AJ8" s="338"/>
      <c r="AK8" s="338"/>
      <c r="AL8" s="338"/>
      <c r="AM8" s="338"/>
      <c r="AN8" s="338"/>
      <c r="AO8" s="338"/>
      <c r="AP8" s="338"/>
      <c r="AQ8" s="338"/>
      <c r="AR8" s="338"/>
    </row>
    <row r="9" spans="1:44" ht="19.149999999999999" customHeight="1">
      <c r="A9" s="333"/>
      <c r="W9" s="334"/>
      <c r="X9" s="334"/>
      <c r="Y9" s="334"/>
      <c r="Z9" s="334"/>
      <c r="AA9" s="334"/>
      <c r="AB9" s="334"/>
      <c r="AC9" s="334"/>
      <c r="AD9" s="334"/>
      <c r="AE9" s="334"/>
      <c r="AF9" s="334"/>
      <c r="AG9" s="334"/>
      <c r="AJ9" s="759"/>
      <c r="AK9" s="759"/>
      <c r="AL9" s="759"/>
      <c r="AM9" s="759"/>
      <c r="AN9" s="759"/>
      <c r="AO9" s="759"/>
      <c r="AP9" s="759"/>
      <c r="AQ9" s="759"/>
      <c r="AR9" s="759"/>
    </row>
    <row r="10" spans="1:44" ht="22.9" customHeight="1">
      <c r="A10" s="749" t="s">
        <v>3</v>
      </c>
      <c r="B10" s="749"/>
      <c r="C10" s="749"/>
      <c r="D10" s="761">
        <v>44652</v>
      </c>
      <c r="E10" s="761"/>
      <c r="G10" s="339"/>
      <c r="H10" s="339"/>
      <c r="I10" s="339"/>
      <c r="J10" s="339"/>
      <c r="K10" s="339"/>
      <c r="L10" s="339"/>
      <c r="M10" s="339"/>
      <c r="N10" s="339"/>
      <c r="O10" s="339"/>
      <c r="P10" s="339"/>
      <c r="W10" s="326"/>
      <c r="X10" s="326"/>
      <c r="Y10" s="326"/>
      <c r="Z10" s="326"/>
      <c r="AA10" s="326"/>
      <c r="AC10" s="333"/>
      <c r="AD10" s="333"/>
      <c r="AE10" s="326" t="s">
        <v>4</v>
      </c>
      <c r="AF10" s="333"/>
      <c r="AG10" s="333"/>
      <c r="AH10" s="333"/>
      <c r="AI10" s="333"/>
      <c r="AJ10" s="326" t="s">
        <v>395</v>
      </c>
      <c r="AK10" s="330"/>
      <c r="AL10" s="330"/>
      <c r="AM10" s="330"/>
      <c r="AN10" s="330"/>
      <c r="AO10" s="330"/>
      <c r="AP10" s="330"/>
      <c r="AQ10" s="332"/>
      <c r="AR10" s="332"/>
    </row>
    <row r="11" spans="1:44" ht="18" customHeight="1">
      <c r="AJ11" s="340" t="s">
        <v>396</v>
      </c>
      <c r="AK11" s="341"/>
      <c r="AL11" s="341"/>
      <c r="AM11" s="335"/>
      <c r="AN11" s="335"/>
      <c r="AO11" s="335"/>
      <c r="AP11" s="335"/>
      <c r="AQ11" s="335"/>
      <c r="AR11" s="335"/>
    </row>
    <row r="12" spans="1:44" ht="19.899999999999999" customHeight="1" thickBot="1"/>
    <row r="13" spans="1:44" ht="39" hidden="1" customHeight="1" thickBot="1"/>
    <row r="14" spans="1:44" s="342" customFormat="1" ht="39" customHeight="1">
      <c r="A14" s="751" t="s">
        <v>7</v>
      </c>
      <c r="B14" s="753" t="s">
        <v>6</v>
      </c>
      <c r="C14" s="452" t="s">
        <v>51</v>
      </c>
      <c r="D14" s="452" t="s">
        <v>40</v>
      </c>
      <c r="E14" s="452" t="s">
        <v>43</v>
      </c>
      <c r="F14" s="755" t="s">
        <v>8</v>
      </c>
      <c r="G14" s="751" t="s">
        <v>44</v>
      </c>
      <c r="H14" s="751" t="s">
        <v>45</v>
      </c>
      <c r="I14" s="751" t="s">
        <v>46</v>
      </c>
      <c r="J14" s="751" t="s">
        <v>47</v>
      </c>
      <c r="K14" s="751" t="s">
        <v>48</v>
      </c>
      <c r="L14" s="751" t="s">
        <v>49</v>
      </c>
      <c r="M14" s="751" t="s">
        <v>41</v>
      </c>
      <c r="N14" s="751" t="s">
        <v>140</v>
      </c>
      <c r="O14" s="751" t="s">
        <v>141</v>
      </c>
      <c r="P14" s="751" t="s">
        <v>6</v>
      </c>
      <c r="Q14" s="751" t="s">
        <v>9</v>
      </c>
      <c r="R14" s="751" t="s">
        <v>10</v>
      </c>
      <c r="S14" s="764" t="s">
        <v>193</v>
      </c>
      <c r="T14" s="751" t="s">
        <v>11</v>
      </c>
      <c r="U14" s="751" t="s">
        <v>12</v>
      </c>
      <c r="V14" s="751" t="s">
        <v>13</v>
      </c>
      <c r="W14" s="766" t="s">
        <v>14</v>
      </c>
      <c r="X14" s="685" t="s">
        <v>15</v>
      </c>
      <c r="Y14" s="685" t="s">
        <v>16</v>
      </c>
      <c r="Z14" s="685" t="s">
        <v>17</v>
      </c>
      <c r="AA14" s="685" t="s">
        <v>18</v>
      </c>
      <c r="AB14" s="768" t="s">
        <v>19</v>
      </c>
      <c r="AC14" s="320" t="s">
        <v>20</v>
      </c>
      <c r="AD14" s="320" t="s">
        <v>21</v>
      </c>
      <c r="AE14" s="320" t="s">
        <v>22</v>
      </c>
      <c r="AF14" s="684" t="s">
        <v>23</v>
      </c>
      <c r="AG14" s="684" t="s">
        <v>24</v>
      </c>
      <c r="AH14" s="770" t="s">
        <v>25</v>
      </c>
      <c r="AI14" s="771"/>
      <c r="AJ14" s="771"/>
      <c r="AK14" s="771"/>
      <c r="AL14" s="771"/>
      <c r="AM14" s="772"/>
      <c r="AN14" s="751" t="s">
        <v>26</v>
      </c>
      <c r="AO14" s="751" t="s">
        <v>27</v>
      </c>
      <c r="AP14" s="666" t="s">
        <v>28</v>
      </c>
      <c r="AQ14" s="751" t="s">
        <v>29</v>
      </c>
      <c r="AR14" s="762" t="s">
        <v>30</v>
      </c>
    </row>
    <row r="15" spans="1:44" customFormat="1" ht="39" customHeight="1">
      <c r="A15" s="752"/>
      <c r="B15" s="754"/>
      <c r="C15" s="362"/>
      <c r="D15" s="498"/>
      <c r="E15" s="362"/>
      <c r="F15" s="756"/>
      <c r="G15" s="760"/>
      <c r="H15" s="760"/>
      <c r="I15" s="760"/>
      <c r="J15" s="760"/>
      <c r="K15" s="760"/>
      <c r="L15" s="760"/>
      <c r="M15" s="760"/>
      <c r="N15" s="760"/>
      <c r="O15" s="760"/>
      <c r="P15" s="760"/>
      <c r="Q15" s="752"/>
      <c r="R15" s="752"/>
      <c r="S15" s="765"/>
      <c r="T15" s="752"/>
      <c r="U15" s="752"/>
      <c r="V15" s="752"/>
      <c r="W15" s="767"/>
      <c r="X15" s="686"/>
      <c r="Y15" s="686"/>
      <c r="Z15" s="686"/>
      <c r="AA15" s="686"/>
      <c r="AB15" s="769"/>
      <c r="AC15" s="687"/>
      <c r="AD15" s="687"/>
      <c r="AE15" s="687"/>
      <c r="AF15" s="687"/>
      <c r="AG15" s="687"/>
      <c r="AH15" s="567" t="s">
        <v>31</v>
      </c>
      <c r="AI15" s="567" t="s">
        <v>32</v>
      </c>
      <c r="AJ15" s="567" t="s">
        <v>33</v>
      </c>
      <c r="AK15" s="567" t="s">
        <v>34</v>
      </c>
      <c r="AL15" s="567" t="s">
        <v>35</v>
      </c>
      <c r="AM15" s="568" t="s">
        <v>36</v>
      </c>
      <c r="AN15" s="752"/>
      <c r="AO15" s="752"/>
      <c r="AP15" s="562"/>
      <c r="AQ15" s="752"/>
      <c r="AR15" s="763"/>
    </row>
    <row r="16" spans="1:44" s="342" customFormat="1" ht="39" customHeight="1">
      <c r="A16" s="668">
        <f>'GUREGOAN APRIL 22WM Reg'!A13</f>
        <v>1</v>
      </c>
      <c r="B16" s="720" t="str">
        <f>'GUREGOAN APRIL 22WM Reg'!B13</f>
        <v>Gaunda Mohammad Arief</v>
      </c>
      <c r="C16" s="706">
        <f>'GUREGOAN APRIL 22WM Reg'!C13</f>
        <v>29048</v>
      </c>
      <c r="D16" s="669" t="str">
        <f>'GUREGOAN APRIL 22WM Reg'!D13</f>
        <v>Male</v>
      </c>
      <c r="E16" s="707" t="str">
        <f>'GUREGOAN APRIL 22WM Reg'!E13</f>
        <v>abdul hameed</v>
      </c>
      <c r="F16" s="670" t="str">
        <f>'GUREGOAN APRIL 22WM Reg'!F13</f>
        <v>Senior Consultant</v>
      </c>
      <c r="G16" s="708" t="str">
        <f>'GUREGOAN APRIL 22WM Reg'!G13</f>
        <v>Flat No 311, vaddegeeri, Chand talkies road, Kurnool, Andhra Pradesh 518001</v>
      </c>
      <c r="H16" s="708" t="str">
        <f>'GUREGOAN APRIL 22WM Reg'!H13</f>
        <v>12-2-790/11, Ayodhyanagar Cooperative housingg society, Flat G 2, span nest apts, Mehdipatnam, HYD 500028</v>
      </c>
      <c r="I16" s="671">
        <f>'GUREGOAN APRIL 22WM Reg'!I13</f>
        <v>44169</v>
      </c>
      <c r="J16" s="594" t="s">
        <v>454</v>
      </c>
      <c r="K16" s="594" t="s">
        <v>454</v>
      </c>
      <c r="L16" s="594" t="s">
        <v>454</v>
      </c>
      <c r="M16" s="594" t="s">
        <v>454</v>
      </c>
      <c r="N16" s="709">
        <v>101647021660</v>
      </c>
      <c r="O16" s="672" t="s">
        <v>37</v>
      </c>
      <c r="P16" s="673" t="str">
        <f>B16</f>
        <v>Gaunda Mohammad Arief</v>
      </c>
      <c r="Q16" s="674">
        <v>30</v>
      </c>
      <c r="R16" s="675">
        <v>29</v>
      </c>
      <c r="S16" s="702">
        <v>80278</v>
      </c>
      <c r="T16" s="745">
        <v>46561.24</v>
      </c>
      <c r="U16" s="704">
        <v>0</v>
      </c>
      <c r="V16" s="667">
        <v>0</v>
      </c>
      <c r="W16" s="703">
        <f>U16+V16+X16+Y16+Z16+AA16</f>
        <v>31153.82666666666</v>
      </c>
      <c r="X16" s="649">
        <v>18624.495999999999</v>
      </c>
      <c r="Y16" s="421">
        <v>2014</v>
      </c>
      <c r="Z16" s="421">
        <v>2014</v>
      </c>
      <c r="AA16" s="359">
        <v>8501.3306666666613</v>
      </c>
      <c r="AB16" s="676">
        <f>T16+U16+V16+X16+Y16+Z16+AA16</f>
        <v>77715.066666666666</v>
      </c>
      <c r="AC16" s="705">
        <v>1555</v>
      </c>
      <c r="AD16" s="705">
        <v>2239.5956439999995</v>
      </c>
      <c r="AE16" s="701">
        <v>3880.103333333333</v>
      </c>
      <c r="AF16" s="676">
        <v>0</v>
      </c>
      <c r="AG16" s="676">
        <f>SUBTOTAL(9,AC16:AF16)+AB16</f>
        <v>85389.765643999999</v>
      </c>
      <c r="AH16" s="676">
        <v>0</v>
      </c>
      <c r="AI16" s="677">
        <v>1800</v>
      </c>
      <c r="AJ16" s="677">
        <v>200</v>
      </c>
      <c r="AK16" s="721">
        <v>0</v>
      </c>
      <c r="AL16" s="701">
        <v>440.76132899999999</v>
      </c>
      <c r="AM16" s="676">
        <f>SUBTOTAL(9,AH16:AL16)</f>
        <v>2440.7613289999999</v>
      </c>
      <c r="AN16" s="741">
        <f>AG16-AM16</f>
        <v>82949.004314999998</v>
      </c>
      <c r="AO16" s="678" t="s">
        <v>461</v>
      </c>
      <c r="AP16" s="669" t="s">
        <v>424</v>
      </c>
      <c r="AQ16" s="679" t="s">
        <v>425</v>
      </c>
      <c r="AR16" s="669"/>
    </row>
    <row r="17" spans="1:44" ht="39" customHeight="1">
      <c r="A17" s="697"/>
      <c r="B17" s="361"/>
      <c r="C17" s="569"/>
      <c r="D17" s="669"/>
      <c r="E17" s="594"/>
      <c r="F17" s="737"/>
      <c r="G17" s="698"/>
      <c r="H17" s="698"/>
      <c r="I17" s="738"/>
      <c r="J17" s="594"/>
      <c r="K17" s="594"/>
      <c r="L17" s="594"/>
      <c r="M17" s="594"/>
      <c r="N17" s="594"/>
      <c r="O17" s="672"/>
      <c r="P17" s="673"/>
      <c r="Q17" s="674"/>
      <c r="R17" s="675"/>
      <c r="S17" s="721"/>
      <c r="T17" s="704"/>
      <c r="U17" s="704"/>
      <c r="V17" s="347"/>
      <c r="W17" s="703"/>
      <c r="X17" s="704"/>
      <c r="Y17" s="704"/>
      <c r="Z17" s="704"/>
      <c r="AA17" s="739"/>
      <c r="AB17" s="676"/>
      <c r="AC17" s="740"/>
      <c r="AD17" s="740"/>
      <c r="AE17" s="704"/>
      <c r="AF17" s="676"/>
      <c r="AG17" s="676"/>
      <c r="AH17" s="676"/>
      <c r="AI17" s="677"/>
      <c r="AJ17" s="677"/>
      <c r="AK17" s="704"/>
      <c r="AL17" s="704"/>
      <c r="AM17" s="676"/>
      <c r="AN17" s="676"/>
      <c r="AO17" s="678"/>
      <c r="AP17" s="362"/>
      <c r="AQ17" s="571"/>
      <c r="AR17" s="362"/>
    </row>
    <row r="18" spans="1:44" ht="39" customHeight="1">
      <c r="A18" s="313"/>
      <c r="B18" s="361"/>
      <c r="C18" s="362"/>
      <c r="D18" s="362"/>
      <c r="E18" s="354"/>
      <c r="F18" s="354"/>
      <c r="G18" s="446"/>
      <c r="H18" s="446"/>
      <c r="I18" s="362"/>
      <c r="J18" s="362"/>
      <c r="K18" s="362"/>
      <c r="L18" s="362"/>
      <c r="M18" s="362"/>
      <c r="N18" s="435"/>
      <c r="O18" s="343"/>
      <c r="P18" s="314"/>
      <c r="Q18" s="601"/>
      <c r="R18" s="345"/>
      <c r="S18" s="470"/>
      <c r="T18" s="649"/>
      <c r="U18" s="347"/>
      <c r="V18" s="347"/>
      <c r="W18" s="703"/>
      <c r="X18" s="356"/>
      <c r="Y18" s="356"/>
      <c r="Z18" s="356"/>
      <c r="AA18" s="359"/>
      <c r="AB18" s="676"/>
      <c r="AC18" s="357"/>
      <c r="AD18" s="360"/>
      <c r="AE18" s="356"/>
      <c r="AF18" s="676"/>
      <c r="AG18" s="735"/>
      <c r="AH18" s="346"/>
      <c r="AI18" s="421"/>
      <c r="AJ18" s="421"/>
      <c r="AK18" s="421"/>
      <c r="AL18" s="649"/>
      <c r="AM18" s="735"/>
      <c r="AN18" s="735"/>
      <c r="AO18" s="344"/>
      <c r="AP18" s="362"/>
      <c r="AQ18" s="574"/>
      <c r="AR18" s="362"/>
    </row>
    <row r="19" spans="1:44" ht="39" customHeight="1">
      <c r="A19" s="313"/>
      <c r="B19" s="361"/>
      <c r="C19" s="325"/>
      <c r="D19" s="362"/>
      <c r="E19" s="362"/>
      <c r="F19" s="354"/>
      <c r="G19" s="446"/>
      <c r="H19" s="446"/>
      <c r="I19" s="459"/>
      <c r="J19" s="362"/>
      <c r="K19" s="362"/>
      <c r="L19" s="362"/>
      <c r="M19" s="362"/>
      <c r="N19" s="480"/>
      <c r="O19" s="343"/>
      <c r="P19" s="314"/>
      <c r="Q19" s="601"/>
      <c r="R19" s="345"/>
      <c r="S19" s="595"/>
      <c r="T19" s="649"/>
      <c r="U19" s="347"/>
      <c r="V19" s="347"/>
      <c r="W19" s="346"/>
      <c r="X19" s="356"/>
      <c r="Y19" s="356"/>
      <c r="Z19" s="421"/>
      <c r="AA19" s="359"/>
      <c r="AB19" s="346"/>
      <c r="AC19" s="357"/>
      <c r="AD19" s="360"/>
      <c r="AE19" s="356"/>
      <c r="AF19" s="570"/>
      <c r="AG19" s="346"/>
      <c r="AH19" s="346"/>
      <c r="AI19" s="421"/>
      <c r="AJ19" s="421"/>
      <c r="AK19" s="421"/>
      <c r="AL19" s="421"/>
      <c r="AM19" s="346"/>
      <c r="AN19" s="346"/>
      <c r="AO19" s="344"/>
      <c r="AP19" s="362"/>
      <c r="AQ19" s="575"/>
      <c r="AR19" s="362"/>
    </row>
    <row r="20" spans="1:44" ht="39" customHeight="1">
      <c r="A20" s="313"/>
      <c r="B20" s="361"/>
      <c r="C20" s="362"/>
      <c r="D20" s="362"/>
      <c r="E20" s="362"/>
      <c r="F20" s="354"/>
      <c r="G20" s="446"/>
      <c r="H20" s="446"/>
      <c r="I20" s="362"/>
      <c r="J20" s="362"/>
      <c r="K20" s="362"/>
      <c r="L20" s="362"/>
      <c r="M20" s="362"/>
      <c r="N20" s="435"/>
      <c r="O20" s="343"/>
      <c r="P20" s="314"/>
      <c r="Q20" s="601"/>
      <c r="R20" s="345"/>
      <c r="S20" s="470"/>
      <c r="T20" s="649"/>
      <c r="U20" s="347"/>
      <c r="V20" s="347"/>
      <c r="W20" s="346"/>
      <c r="X20" s="356"/>
      <c r="Y20" s="356"/>
      <c r="Z20" s="356"/>
      <c r="AA20" s="359"/>
      <c r="AB20" s="346"/>
      <c r="AC20" s="357"/>
      <c r="AD20" s="360"/>
      <c r="AE20" s="356">
        <v>7773</v>
      </c>
      <c r="AF20" s="343"/>
      <c r="AG20" s="346"/>
      <c r="AH20" s="346"/>
      <c r="AI20" s="421"/>
      <c r="AJ20" s="421"/>
      <c r="AK20" s="421"/>
      <c r="AL20" s="421"/>
      <c r="AM20" s="346"/>
      <c r="AN20" s="346"/>
      <c r="AO20" s="344"/>
      <c r="AP20" s="362"/>
      <c r="AQ20" s="575"/>
      <c r="AR20" s="362"/>
    </row>
    <row r="21" spans="1:44" ht="39" customHeight="1">
      <c r="A21" s="313"/>
      <c r="B21" s="361"/>
      <c r="C21" s="325"/>
      <c r="D21" s="362"/>
      <c r="E21" s="362"/>
      <c r="F21" s="354"/>
      <c r="G21" s="446"/>
      <c r="H21" s="446"/>
      <c r="I21" s="459"/>
      <c r="J21" s="362"/>
      <c r="K21" s="362"/>
      <c r="L21" s="362"/>
      <c r="M21" s="362"/>
      <c r="N21" s="574"/>
      <c r="O21" s="343"/>
      <c r="P21" s="314"/>
      <c r="Q21" s="601"/>
      <c r="R21" s="345"/>
      <c r="S21" s="595"/>
      <c r="T21" s="649"/>
      <c r="U21" s="347"/>
      <c r="V21" s="347"/>
      <c r="W21" s="346"/>
      <c r="X21" s="356"/>
      <c r="Y21" s="356"/>
      <c r="Z21" s="356"/>
      <c r="AA21" s="359"/>
      <c r="AB21" s="346"/>
      <c r="AC21" s="357"/>
      <c r="AD21" s="360"/>
      <c r="AE21" s="356">
        <v>80278</v>
      </c>
      <c r="AF21" s="570"/>
      <c r="AG21" s="346"/>
      <c r="AH21" s="346"/>
      <c r="AI21" s="421"/>
      <c r="AJ21" s="421"/>
      <c r="AK21" s="421"/>
      <c r="AL21" s="421"/>
      <c r="AM21" s="346"/>
      <c r="AN21" s="346"/>
      <c r="AO21" s="344"/>
      <c r="AP21" s="362"/>
      <c r="AQ21" s="435"/>
      <c r="AR21" s="362"/>
    </row>
    <row r="22" spans="1:44" ht="39" customHeight="1">
      <c r="A22" s="313"/>
      <c r="B22" s="361"/>
      <c r="C22" s="325"/>
      <c r="D22" s="362"/>
      <c r="E22" s="362"/>
      <c r="F22" s="354"/>
      <c r="G22" s="446"/>
      <c r="H22" s="446"/>
      <c r="I22" s="459"/>
      <c r="J22" s="362"/>
      <c r="K22" s="362"/>
      <c r="L22" s="362"/>
      <c r="M22" s="362"/>
      <c r="N22" s="650"/>
      <c r="O22" s="343"/>
      <c r="P22" s="314"/>
      <c r="Q22" s="601"/>
      <c r="R22" s="345"/>
      <c r="S22" s="470"/>
      <c r="T22" s="649"/>
      <c r="U22" s="347"/>
      <c r="V22" s="347"/>
      <c r="W22" s="346"/>
      <c r="X22" s="356"/>
      <c r="Y22" s="356"/>
      <c r="Z22" s="356"/>
      <c r="AA22" s="359"/>
      <c r="AB22" s="346"/>
      <c r="AC22" s="357"/>
      <c r="AD22" s="360"/>
      <c r="AE22" s="356">
        <f>SUBTOTAL(9,AE20:AE21)</f>
        <v>88051</v>
      </c>
      <c r="AF22" s="570"/>
      <c r="AG22" s="346"/>
      <c r="AH22" s="346"/>
      <c r="AI22" s="421"/>
      <c r="AJ22" s="421"/>
      <c r="AK22" s="421"/>
      <c r="AL22" s="421"/>
      <c r="AM22" s="346"/>
      <c r="AN22" s="346"/>
      <c r="AO22" s="344"/>
      <c r="AP22" s="362"/>
      <c r="AQ22" s="354"/>
      <c r="AR22" s="362"/>
    </row>
    <row r="23" spans="1:44" ht="39" customHeight="1">
      <c r="A23" s="313"/>
      <c r="B23" s="361"/>
      <c r="C23" s="604"/>
      <c r="D23" s="362"/>
      <c r="E23" s="362"/>
      <c r="F23" s="362"/>
      <c r="G23" s="576"/>
      <c r="H23" s="576"/>
      <c r="I23" s="459"/>
      <c r="J23" s="362"/>
      <c r="K23" s="362"/>
      <c r="L23" s="362"/>
      <c r="M23" s="362"/>
      <c r="N23" s="435"/>
      <c r="O23" s="343"/>
      <c r="P23" s="314"/>
      <c r="Q23" s="601"/>
      <c r="R23" s="345"/>
      <c r="S23" s="470"/>
      <c r="T23" s="649"/>
      <c r="U23" s="347"/>
      <c r="V23" s="347"/>
      <c r="W23" s="346"/>
      <c r="X23" s="356"/>
      <c r="Y23" s="356"/>
      <c r="Z23" s="356"/>
      <c r="AA23" s="359"/>
      <c r="AB23" s="346"/>
      <c r="AC23" s="357"/>
      <c r="AD23" s="360"/>
      <c r="AE23" s="356"/>
      <c r="AF23" s="570"/>
      <c r="AG23" s="346"/>
      <c r="AH23" s="346"/>
      <c r="AI23" s="421"/>
      <c r="AJ23" s="421"/>
      <c r="AK23" s="421"/>
      <c r="AL23" s="421"/>
      <c r="AM23" s="346"/>
      <c r="AN23" s="346"/>
      <c r="AO23" s="344"/>
      <c r="AP23" s="362"/>
      <c r="AQ23" s="435"/>
      <c r="AR23" s="362"/>
    </row>
    <row r="24" spans="1:44" ht="39" customHeight="1">
      <c r="A24" s="313"/>
      <c r="B24" s="361"/>
      <c r="C24" s="362"/>
      <c r="D24" s="362"/>
      <c r="E24" s="362"/>
      <c r="F24" s="362"/>
      <c r="G24" s="446"/>
      <c r="H24" s="446"/>
      <c r="I24" s="459"/>
      <c r="J24" s="362"/>
      <c r="K24" s="362"/>
      <c r="L24" s="362"/>
      <c r="M24" s="362"/>
      <c r="N24" s="435"/>
      <c r="O24" s="343"/>
      <c r="P24" s="314"/>
      <c r="Q24" s="601"/>
      <c r="R24" s="345"/>
      <c r="S24" s="651"/>
      <c r="T24" s="649"/>
      <c r="U24" s="347"/>
      <c r="V24" s="347"/>
      <c r="W24" s="346"/>
      <c r="X24" s="356"/>
      <c r="Y24" s="356"/>
      <c r="Z24" s="356"/>
      <c r="AA24" s="359"/>
      <c r="AB24" s="346"/>
      <c r="AC24" s="357"/>
      <c r="AD24" s="357"/>
      <c r="AE24" s="649"/>
      <c r="AF24" s="570"/>
      <c r="AG24" s="346"/>
      <c r="AH24" s="346"/>
      <c r="AI24" s="421"/>
      <c r="AJ24" s="421"/>
      <c r="AK24" s="421"/>
      <c r="AL24" s="421"/>
      <c r="AM24" s="346"/>
      <c r="AN24" s="346"/>
      <c r="AO24" s="344"/>
      <c r="AP24" s="362"/>
      <c r="AQ24" s="574"/>
      <c r="AR24" s="362"/>
    </row>
    <row r="25" spans="1:44" ht="39" customHeight="1">
      <c r="A25" s="313"/>
      <c r="B25" s="362"/>
      <c r="C25" s="619"/>
      <c r="D25" s="362"/>
      <c r="E25" s="362"/>
      <c r="F25" s="362"/>
      <c r="G25" s="362"/>
      <c r="H25" s="362"/>
      <c r="I25" s="619"/>
      <c r="J25" s="362"/>
      <c r="K25" s="362"/>
      <c r="L25" s="362"/>
      <c r="M25" s="362"/>
      <c r="N25" s="435"/>
      <c r="O25" s="362"/>
      <c r="P25" s="314"/>
      <c r="Q25" s="362"/>
      <c r="R25" s="345"/>
      <c r="S25" s="620"/>
      <c r="T25" s="621"/>
      <c r="U25" s="362"/>
      <c r="V25" s="362"/>
      <c r="W25" s="346"/>
      <c r="X25" s="622"/>
      <c r="Y25" s="362"/>
      <c r="Z25" s="362"/>
      <c r="AA25" s="623"/>
      <c r="AB25" s="346"/>
      <c r="AC25" s="357"/>
      <c r="AD25" s="357"/>
      <c r="AE25" s="649"/>
      <c r="AF25" s="570"/>
      <c r="AG25" s="346"/>
      <c r="AH25" s="313"/>
      <c r="AI25" s="313"/>
      <c r="AJ25" s="313"/>
      <c r="AK25" s="421"/>
      <c r="AL25" s="421"/>
      <c r="AM25" s="346"/>
      <c r="AN25" s="346"/>
      <c r="AO25" s="344"/>
      <c r="AP25" s="362"/>
      <c r="AQ25" s="480"/>
      <c r="AR25" s="362"/>
    </row>
    <row r="26" spans="1:44" ht="39" customHeight="1">
      <c r="A26" s="313"/>
      <c r="B26" s="362"/>
      <c r="C26" s="619"/>
      <c r="D26" s="362"/>
      <c r="E26" s="362"/>
      <c r="F26" s="362"/>
      <c r="G26" s="362"/>
      <c r="H26" s="362"/>
      <c r="I26" s="619"/>
      <c r="J26" s="362"/>
      <c r="K26" s="362"/>
      <c r="L26" s="362"/>
      <c r="M26" s="362"/>
      <c r="N26" s="435"/>
      <c r="O26" s="362"/>
      <c r="P26" s="314"/>
      <c r="Q26" s="362"/>
      <c r="R26" s="345"/>
      <c r="S26" s="620"/>
      <c r="T26" s="621"/>
      <c r="U26" s="362"/>
      <c r="V26" s="362"/>
      <c r="W26" s="346"/>
      <c r="X26" s="622"/>
      <c r="Y26" s="362"/>
      <c r="Z26" s="362"/>
      <c r="AA26" s="623"/>
      <c r="AB26" s="346"/>
      <c r="AC26" s="357"/>
      <c r="AD26" s="357"/>
      <c r="AE26" s="649"/>
      <c r="AF26" s="570"/>
      <c r="AG26" s="346"/>
      <c r="AH26" s="313"/>
      <c r="AI26" s="313"/>
      <c r="AJ26" s="313"/>
      <c r="AK26" s="421"/>
      <c r="AL26" s="421"/>
      <c r="AM26" s="346"/>
      <c r="AN26" s="346"/>
      <c r="AO26" s="344"/>
      <c r="AP26" s="362"/>
      <c r="AQ26" s="480"/>
      <c r="AR26" s="362"/>
    </row>
    <row r="27" spans="1:44" ht="39" customHeight="1">
      <c r="A27" s="313"/>
      <c r="B27" s="362"/>
      <c r="C27" s="619"/>
      <c r="D27" s="362"/>
      <c r="E27" s="362"/>
      <c r="F27" s="362"/>
      <c r="G27" s="362"/>
      <c r="H27" s="362"/>
      <c r="I27" s="619"/>
      <c r="J27" s="362"/>
      <c r="K27" s="362"/>
      <c r="L27" s="362"/>
      <c r="M27" s="362"/>
      <c r="N27" s="435"/>
      <c r="O27" s="362"/>
      <c r="P27" s="314"/>
      <c r="Q27" s="362"/>
      <c r="R27" s="345"/>
      <c r="S27" s="620"/>
      <c r="T27" s="621"/>
      <c r="U27" s="362"/>
      <c r="V27" s="362"/>
      <c r="W27" s="346"/>
      <c r="X27" s="622"/>
      <c r="Y27" s="362"/>
      <c r="Z27" s="362"/>
      <c r="AA27" s="623"/>
      <c r="AB27" s="346"/>
      <c r="AC27" s="357"/>
      <c r="AD27" s="357"/>
      <c r="AE27" s="649"/>
      <c r="AF27" s="652"/>
      <c r="AG27" s="346"/>
      <c r="AH27" s="313"/>
      <c r="AI27" s="313"/>
      <c r="AJ27" s="313"/>
      <c r="AK27" s="421"/>
      <c r="AL27" s="313"/>
      <c r="AM27" s="346"/>
      <c r="AN27" s="346"/>
      <c r="AO27" s="344"/>
      <c r="AP27" s="362"/>
      <c r="AQ27" s="480"/>
      <c r="AR27" s="362"/>
    </row>
    <row r="28" spans="1:44" ht="39" customHeight="1">
      <c r="A28" s="313"/>
      <c r="B28" s="362"/>
      <c r="C28" s="619"/>
      <c r="D28" s="362"/>
      <c r="E28" s="362"/>
      <c r="F28" s="362"/>
      <c r="G28" s="362"/>
      <c r="H28" s="362"/>
      <c r="I28" s="619"/>
      <c r="J28" s="362"/>
      <c r="K28" s="362"/>
      <c r="L28" s="362"/>
      <c r="M28" s="362"/>
      <c r="N28" s="435"/>
      <c r="O28" s="362"/>
      <c r="P28" s="314"/>
      <c r="Q28" s="362"/>
      <c r="R28" s="345"/>
      <c r="S28" s="620"/>
      <c r="T28" s="649"/>
      <c r="U28" s="362"/>
      <c r="V28" s="362"/>
      <c r="W28" s="346"/>
      <c r="X28" s="622"/>
      <c r="Y28" s="362"/>
      <c r="Z28" s="362"/>
      <c r="AA28" s="623"/>
      <c r="AB28" s="346"/>
      <c r="AC28" s="357"/>
      <c r="AD28" s="357"/>
      <c r="AE28" s="649"/>
      <c r="AF28" s="652"/>
      <c r="AG28" s="346"/>
      <c r="AH28" s="313"/>
      <c r="AI28" s="313"/>
      <c r="AJ28" s="313"/>
      <c r="AK28" s="421"/>
      <c r="AL28" s="313"/>
      <c r="AM28" s="346"/>
      <c r="AN28" s="346"/>
      <c r="AO28" s="344"/>
      <c r="AP28" s="362"/>
      <c r="AQ28" s="480"/>
      <c r="AR28" s="362"/>
    </row>
    <row r="29" spans="1:44" ht="39" customHeight="1">
      <c r="A29" s="313"/>
      <c r="B29" s="362"/>
      <c r="C29" s="619"/>
      <c r="D29" s="362"/>
      <c r="E29" s="313"/>
      <c r="F29" s="362"/>
      <c r="G29" s="446"/>
      <c r="H29" s="446"/>
      <c r="I29" s="619"/>
      <c r="J29" s="362"/>
      <c r="K29" s="362"/>
      <c r="L29" s="362"/>
      <c r="M29" s="362"/>
      <c r="N29" s="435"/>
      <c r="O29" s="362"/>
      <c r="P29" s="314"/>
      <c r="Q29" s="362"/>
      <c r="R29" s="345"/>
      <c r="S29" s="620"/>
      <c r="T29" s="621"/>
      <c r="U29" s="362"/>
      <c r="V29" s="362"/>
      <c r="W29" s="346"/>
      <c r="X29" s="421"/>
      <c r="Y29" s="362"/>
      <c r="Z29" s="362"/>
      <c r="AA29" s="359"/>
      <c r="AB29" s="346"/>
      <c r="AC29" s="357"/>
      <c r="AD29" s="357"/>
      <c r="AE29" s="649"/>
      <c r="AF29" s="652"/>
      <c r="AG29" s="346"/>
      <c r="AH29" s="313"/>
      <c r="AI29" s="313"/>
      <c r="AJ29" s="313"/>
      <c r="AK29" s="421"/>
      <c r="AL29" s="313"/>
      <c r="AM29" s="346"/>
      <c r="AN29" s="346"/>
      <c r="AO29" s="344"/>
      <c r="AP29" s="602"/>
      <c r="AQ29" s="480"/>
      <c r="AR29" s="362"/>
    </row>
    <row r="30" spans="1:44" ht="39" customHeight="1">
      <c r="A30" s="313"/>
      <c r="B30" s="362"/>
      <c r="C30" s="619"/>
      <c r="D30" s="362"/>
      <c r="E30" s="594"/>
      <c r="F30" s="362"/>
      <c r="G30" s="446"/>
      <c r="H30" s="446"/>
      <c r="I30" s="619"/>
      <c r="J30" s="362"/>
      <c r="K30" s="362"/>
      <c r="L30" s="362"/>
      <c r="M30" s="362"/>
      <c r="N30" s="435"/>
      <c r="O30" s="362"/>
      <c r="P30" s="314"/>
      <c r="Q30" s="601"/>
      <c r="R30" s="345"/>
      <c r="S30" s="620"/>
      <c r="T30" s="649"/>
      <c r="U30" s="362"/>
      <c r="V30" s="362"/>
      <c r="W30" s="346"/>
      <c r="X30" s="622"/>
      <c r="Y30" s="362"/>
      <c r="Z30" s="362"/>
      <c r="AA30" s="623"/>
      <c r="AB30" s="346"/>
      <c r="AC30" s="357"/>
      <c r="AD30" s="357"/>
      <c r="AE30" s="649"/>
      <c r="AF30" s="652"/>
      <c r="AG30" s="346"/>
      <c r="AH30" s="313"/>
      <c r="AI30" s="313"/>
      <c r="AJ30" s="313"/>
      <c r="AK30" s="421"/>
      <c r="AL30" s="313"/>
      <c r="AM30" s="346"/>
      <c r="AN30" s="346"/>
      <c r="AO30" s="344"/>
      <c r="AP30" s="602"/>
      <c r="AQ30" s="480"/>
      <c r="AR30" s="362"/>
    </row>
    <row r="31" spans="1:44" ht="39" customHeight="1">
      <c r="A31" s="313"/>
      <c r="B31" s="362"/>
      <c r="C31" s="619"/>
      <c r="D31" s="362"/>
      <c r="E31" s="313"/>
      <c r="F31" s="362"/>
      <c r="G31" s="446"/>
      <c r="H31" s="446"/>
      <c r="I31" s="619"/>
      <c r="J31" s="362"/>
      <c r="K31" s="362"/>
      <c r="L31" s="362"/>
      <c r="M31" s="362"/>
      <c r="N31" s="435"/>
      <c r="O31" s="362"/>
      <c r="P31" s="314"/>
      <c r="Q31" s="601"/>
      <c r="R31" s="345"/>
      <c r="S31" s="620"/>
      <c r="T31" s="649"/>
      <c r="U31" s="362"/>
      <c r="V31" s="362"/>
      <c r="W31" s="346"/>
      <c r="X31" s="622"/>
      <c r="Y31" s="362"/>
      <c r="Z31" s="362"/>
      <c r="AA31" s="623"/>
      <c r="AB31" s="346"/>
      <c r="AC31" s="357"/>
      <c r="AD31" s="357"/>
      <c r="AE31" s="649"/>
      <c r="AF31" s="652"/>
      <c r="AG31" s="346"/>
      <c r="AH31" s="313"/>
      <c r="AI31" s="313"/>
      <c r="AJ31" s="313"/>
      <c r="AK31" s="421"/>
      <c r="AL31" s="313"/>
      <c r="AM31" s="346"/>
      <c r="AN31" s="346"/>
      <c r="AO31" s="344"/>
      <c r="AP31" s="602"/>
      <c r="AQ31" s="480"/>
      <c r="AR31" s="362"/>
    </row>
    <row r="32" spans="1:44" ht="39" customHeight="1">
      <c r="A32" s="313"/>
      <c r="B32" s="362"/>
      <c r="C32" s="619"/>
      <c r="D32" s="362"/>
      <c r="E32" s="653"/>
      <c r="F32" s="362"/>
      <c r="G32" s="446"/>
      <c r="H32" s="446"/>
      <c r="I32" s="619"/>
      <c r="J32" s="362"/>
      <c r="K32" s="362"/>
      <c r="L32" s="362"/>
      <c r="M32" s="362"/>
      <c r="N32" s="435"/>
      <c r="O32" s="362"/>
      <c r="P32" s="314"/>
      <c r="Q32" s="601"/>
      <c r="R32" s="345"/>
      <c r="S32" s="620"/>
      <c r="T32" s="649"/>
      <c r="U32" s="362"/>
      <c r="V32" s="362"/>
      <c r="W32" s="346"/>
      <c r="X32" s="622"/>
      <c r="Y32" s="362"/>
      <c r="Z32" s="362"/>
      <c r="AA32" s="623"/>
      <c r="AB32" s="346"/>
      <c r="AC32" s="357"/>
      <c r="AD32" s="357"/>
      <c r="AE32" s="649"/>
      <c r="AF32" s="652"/>
      <c r="AG32" s="346"/>
      <c r="AH32" s="313"/>
      <c r="AI32" s="313"/>
      <c r="AJ32" s="313"/>
      <c r="AK32" s="421"/>
      <c r="AL32" s="313"/>
      <c r="AM32" s="346"/>
      <c r="AN32" s="346"/>
      <c r="AO32" s="344"/>
      <c r="AP32" s="602"/>
      <c r="AQ32" s="480"/>
      <c r="AR32" s="362"/>
    </row>
    <row r="33" spans="1:44" ht="39" customHeight="1">
      <c r="A33" s="629"/>
      <c r="B33" s="498"/>
      <c r="C33" s="630"/>
      <c r="D33" s="498"/>
      <c r="E33" s="498"/>
      <c r="F33" s="498"/>
      <c r="G33" s="498"/>
      <c r="H33" s="498"/>
      <c r="I33" s="630"/>
      <c r="J33" s="498"/>
      <c r="K33" s="498"/>
      <c r="L33" s="498"/>
      <c r="M33" s="498"/>
      <c r="N33" s="631"/>
      <c r="O33" s="498"/>
      <c r="P33" s="632"/>
      <c r="Q33" s="498"/>
      <c r="R33" s="633"/>
      <c r="S33" s="634"/>
      <c r="T33" s="635"/>
      <c r="U33" s="498"/>
      <c r="V33" s="498"/>
      <c r="W33" s="636"/>
      <c r="X33" s="637"/>
      <c r="Y33" s="498"/>
      <c r="Z33" s="498"/>
      <c r="AA33" s="638"/>
      <c r="AB33" s="636"/>
      <c r="AC33" s="639"/>
      <c r="AD33" s="639"/>
      <c r="AE33" s="654"/>
      <c r="AF33" s="655"/>
      <c r="AG33" s="636"/>
      <c r="AH33" s="629"/>
      <c r="AI33" s="629"/>
      <c r="AJ33" s="629"/>
      <c r="AK33" s="629"/>
      <c r="AL33" s="629"/>
      <c r="AM33" s="636"/>
      <c r="AN33" s="636"/>
      <c r="AO33" s="640"/>
      <c r="AP33" s="498"/>
      <c r="AQ33" s="641"/>
      <c r="AR33" s="498"/>
    </row>
    <row r="35" spans="1:44" ht="39" customHeight="1">
      <c r="U35" s="648"/>
    </row>
    <row r="711" spans="8:8" ht="39" customHeight="1">
      <c r="H711" s="14">
        <f>'04-22Master'!I303</f>
        <v>0</v>
      </c>
    </row>
  </sheetData>
  <autoFilter ref="A14:JD15" xr:uid="{00000000-0009-0000-0000-000001000000}">
    <filterColumn colId="3">
      <customFilters>
        <customFilter operator="notEqual" val=" "/>
      </customFilters>
    </filterColumn>
    <filterColumn colId="33" showButton="0"/>
    <filterColumn colId="34" showButton="0"/>
    <filterColumn colId="35" showButton="0"/>
    <filterColumn colId="36" showButton="0"/>
    <filterColumn colId="37" showButton="0"/>
  </autoFilter>
  <mergeCells count="32">
    <mergeCell ref="AR14:AR15"/>
    <mergeCell ref="B14:B15"/>
    <mergeCell ref="P14:P15"/>
    <mergeCell ref="S14:S15"/>
    <mergeCell ref="T14:T15"/>
    <mergeCell ref="U14:U15"/>
    <mergeCell ref="V14:V15"/>
    <mergeCell ref="AQ14:AQ15"/>
    <mergeCell ref="W14:W15"/>
    <mergeCell ref="AB14:AB15"/>
    <mergeCell ref="AH14:AM14"/>
    <mergeCell ref="AN14:AN15"/>
    <mergeCell ref="AO14:AO15"/>
    <mergeCell ref="L14:L15"/>
    <mergeCell ref="M14:M15"/>
    <mergeCell ref="N14:N15"/>
    <mergeCell ref="V5:AI5"/>
    <mergeCell ref="A8:C8"/>
    <mergeCell ref="AJ9:AR9"/>
    <mergeCell ref="A10:C10"/>
    <mergeCell ref="A14:A15"/>
    <mergeCell ref="F14:F15"/>
    <mergeCell ref="Q14:Q15"/>
    <mergeCell ref="R14:R15"/>
    <mergeCell ref="A5:C5"/>
    <mergeCell ref="O14:O15"/>
    <mergeCell ref="G14:G15"/>
    <mergeCell ref="H14:H15"/>
    <mergeCell ref="I14:I15"/>
    <mergeCell ref="J14:J15"/>
    <mergeCell ref="K14:K15"/>
    <mergeCell ref="D10:E10"/>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10" workbookViewId="0">
      <selection activeCell="D20" sqref="D20"/>
    </sheetView>
  </sheetViews>
  <sheetFormatPr defaultRowHeight="15"/>
  <cols>
    <col min="1" max="1" width="29.28515625" customWidth="1"/>
    <col min="2" max="2" width="23.7109375" customWidth="1"/>
    <col min="3" max="3" width="11.28515625" customWidth="1"/>
    <col min="4" max="4" width="11.85546875" customWidth="1"/>
    <col min="5" max="8" width="9.42578125" bestFit="1" customWidth="1"/>
    <col min="10" max="10" width="15" customWidth="1"/>
    <col min="11" max="11" width="12.85546875" customWidth="1"/>
  </cols>
  <sheetData>
    <row r="1" spans="1:11">
      <c r="A1" s="778" t="s">
        <v>168</v>
      </c>
      <c r="B1" s="779"/>
      <c r="C1" s="779"/>
      <c r="D1" s="779"/>
      <c r="E1" s="779"/>
      <c r="F1" s="779"/>
      <c r="G1" s="779"/>
      <c r="H1" s="779"/>
      <c r="I1" s="779"/>
      <c r="J1" s="779"/>
      <c r="K1" s="780"/>
    </row>
    <row r="2" spans="1:11">
      <c r="A2" s="781" t="s">
        <v>169</v>
      </c>
      <c r="B2" s="782"/>
      <c r="C2" s="782"/>
      <c r="D2" s="782"/>
      <c r="E2" s="782"/>
      <c r="F2" s="782"/>
      <c r="G2" s="782"/>
      <c r="H2" s="782"/>
      <c r="I2" s="782"/>
      <c r="J2" s="782"/>
      <c r="K2" s="783"/>
    </row>
    <row r="3" spans="1:11">
      <c r="A3" s="775"/>
      <c r="B3" s="776"/>
      <c r="C3" s="776"/>
      <c r="D3" s="776"/>
      <c r="E3" s="776"/>
      <c r="F3" s="776"/>
      <c r="G3" s="776"/>
      <c r="H3" s="776"/>
      <c r="I3" s="776"/>
      <c r="J3" s="528"/>
      <c r="K3" s="134"/>
    </row>
    <row r="4" spans="1:11" ht="14.45" customHeight="1">
      <c r="A4" s="784" t="s">
        <v>170</v>
      </c>
      <c r="B4" s="785"/>
      <c r="C4" s="785"/>
      <c r="D4" s="785"/>
      <c r="E4" s="785"/>
      <c r="F4" s="785"/>
      <c r="G4" s="785"/>
      <c r="H4" s="785"/>
      <c r="I4" s="785"/>
      <c r="J4" s="785"/>
      <c r="K4" s="786"/>
    </row>
    <row r="5" spans="1:11">
      <c r="A5" s="136"/>
      <c r="B5" s="529"/>
      <c r="C5" s="529"/>
      <c r="D5" s="529"/>
      <c r="E5" s="529"/>
      <c r="F5" s="529"/>
      <c r="G5" s="529"/>
      <c r="H5" s="529"/>
      <c r="I5" s="529"/>
      <c r="J5" s="529"/>
      <c r="K5" s="135"/>
    </row>
    <row r="6" spans="1:11" ht="18.75">
      <c r="A6" s="137"/>
      <c r="B6" s="530"/>
      <c r="C6" s="530"/>
      <c r="D6" s="777">
        <f>'04-22Master'!D10</f>
        <v>44652</v>
      </c>
      <c r="E6" s="777"/>
      <c r="F6" s="530"/>
      <c r="G6" s="530"/>
      <c r="H6" s="530"/>
      <c r="I6" s="530"/>
      <c r="J6" s="530"/>
      <c r="K6" s="138"/>
    </row>
    <row r="7" spans="1:11">
      <c r="A7" s="136"/>
      <c r="B7" s="529"/>
      <c r="C7" s="529"/>
      <c r="D7" s="529"/>
      <c r="E7" s="529"/>
      <c r="F7" s="529"/>
      <c r="G7" s="529"/>
      <c r="H7" s="529"/>
      <c r="I7" s="529"/>
      <c r="J7" s="529"/>
      <c r="K7" s="135"/>
    </row>
    <row r="8" spans="1:11">
      <c r="A8" s="139" t="s">
        <v>171</v>
      </c>
      <c r="B8" s="531"/>
      <c r="C8" s="531"/>
      <c r="D8" s="531"/>
      <c r="E8" s="532"/>
      <c r="F8" s="773" t="str">
        <f>'04-22Master'!F5</f>
        <v>Burgeon IT Services Pvt.Ltd.</v>
      </c>
      <c r="G8" s="773"/>
      <c r="H8" s="773"/>
      <c r="I8" s="773"/>
      <c r="J8" s="773"/>
      <c r="K8" s="774"/>
    </row>
    <row r="9" spans="1:11">
      <c r="A9" s="140"/>
      <c r="B9" s="533"/>
      <c r="C9" s="534"/>
      <c r="D9" s="535"/>
      <c r="E9" s="535"/>
      <c r="F9" s="536"/>
      <c r="G9" s="533"/>
      <c r="H9" s="533"/>
      <c r="I9" s="533"/>
      <c r="J9" s="537"/>
      <c r="K9" s="141"/>
    </row>
    <row r="10" spans="1:11">
      <c r="A10" s="139" t="s">
        <v>172</v>
      </c>
      <c r="B10" s="531"/>
      <c r="C10" s="531"/>
      <c r="D10" s="531"/>
      <c r="E10" s="532"/>
      <c r="F10" s="773" t="str">
        <f>'04-22Master'!AJ5</f>
        <v>Burgeon IT Services Pvt.Ltd.</v>
      </c>
      <c r="G10" s="773"/>
      <c r="H10" s="773"/>
      <c r="I10" s="773"/>
      <c r="J10" s="773"/>
      <c r="K10" s="774"/>
    </row>
    <row r="11" spans="1:11">
      <c r="A11" s="140"/>
      <c r="B11" s="533"/>
      <c r="C11" s="533"/>
      <c r="D11" s="533"/>
      <c r="E11" s="537"/>
      <c r="F11" s="537" t="str">
        <f>'04-22Master'!AJ6</f>
        <v>Siri Mansion LIGB 436 Dr.A S Rao Nagar,Hyderabad</v>
      </c>
      <c r="G11" s="533"/>
      <c r="H11" s="533"/>
      <c r="I11" s="533"/>
      <c r="J11" s="537"/>
      <c r="K11" s="141"/>
    </row>
    <row r="12" spans="1:11">
      <c r="A12" s="139" t="s">
        <v>173</v>
      </c>
      <c r="B12" s="531"/>
      <c r="C12" s="531"/>
      <c r="D12" s="531"/>
      <c r="E12" s="532"/>
      <c r="F12" s="773" t="str">
        <f>'04-22Master'!AJ10</f>
        <v xml:space="preserve">INFOSYS  LTD.IL Hyderabad SEZ Unit-3 </v>
      </c>
      <c r="G12" s="773"/>
      <c r="H12" s="773"/>
      <c r="I12" s="773"/>
      <c r="J12" s="773"/>
      <c r="K12" s="774"/>
    </row>
    <row r="13" spans="1:11" ht="21">
      <c r="A13" s="142"/>
      <c r="B13" s="538"/>
      <c r="C13" s="538"/>
      <c r="D13" s="538"/>
      <c r="E13" s="539"/>
      <c r="F13" s="497" t="str">
        <f>'04-22Master'!AJ11</f>
        <v>Sy.No 42,Pocharam Village,Gatkesar Mandal</v>
      </c>
      <c r="G13" s="538"/>
      <c r="H13" s="538"/>
      <c r="I13" s="538"/>
      <c r="J13" s="540"/>
      <c r="K13" s="143"/>
    </row>
    <row r="14" spans="1:11">
      <c r="A14" s="789" t="s">
        <v>174</v>
      </c>
      <c r="B14" s="790"/>
      <c r="C14" s="541">
        <f>D22</f>
        <v>1</v>
      </c>
      <c r="D14" s="542"/>
      <c r="E14" s="542"/>
      <c r="F14" s="542"/>
      <c r="G14" s="542"/>
      <c r="H14" s="542"/>
      <c r="I14" s="542"/>
      <c r="J14" s="543"/>
      <c r="K14" s="144"/>
    </row>
    <row r="15" spans="1:11">
      <c r="A15" s="479"/>
      <c r="B15" s="544"/>
      <c r="C15" s="542"/>
      <c r="D15" s="542"/>
      <c r="E15" s="542"/>
      <c r="F15" s="542"/>
      <c r="G15" s="542"/>
      <c r="H15" s="542"/>
      <c r="I15" s="542"/>
      <c r="J15" s="543"/>
      <c r="K15" s="144"/>
    </row>
    <row r="16" spans="1:11">
      <c r="A16" s="789" t="s">
        <v>175</v>
      </c>
      <c r="B16" s="790"/>
      <c r="C16" s="541">
        <f>C22</f>
        <v>0</v>
      </c>
      <c r="D16" s="542"/>
      <c r="E16" s="542"/>
      <c r="F16" s="542"/>
      <c r="G16" s="542"/>
      <c r="H16" s="542"/>
      <c r="I16" s="542"/>
      <c r="J16" s="543"/>
      <c r="K16" s="144"/>
    </row>
    <row r="17" spans="1:11">
      <c r="A17" s="791"/>
      <c r="B17" s="792"/>
      <c r="C17" s="792"/>
      <c r="D17" s="792"/>
      <c r="E17" s="792"/>
      <c r="F17" s="792"/>
      <c r="G17" s="792"/>
      <c r="H17" s="792"/>
      <c r="I17" s="792"/>
      <c r="J17" s="545"/>
      <c r="K17" s="145"/>
    </row>
    <row r="18" spans="1:11">
      <c r="A18" s="146"/>
      <c r="B18" s="546"/>
      <c r="C18" s="787" t="s">
        <v>176</v>
      </c>
      <c r="D18" s="787"/>
      <c r="E18" s="787"/>
      <c r="F18" s="787"/>
      <c r="G18" s="787"/>
      <c r="H18" s="787"/>
      <c r="I18" s="788"/>
      <c r="J18" s="546"/>
      <c r="K18" s="147"/>
    </row>
    <row r="19" spans="1:11" ht="105">
      <c r="A19" s="148" t="s">
        <v>177</v>
      </c>
      <c r="B19" s="547" t="s">
        <v>178</v>
      </c>
      <c r="C19" s="547" t="s">
        <v>179</v>
      </c>
      <c r="D19" s="547" t="s">
        <v>180</v>
      </c>
      <c r="E19" s="547" t="s">
        <v>181</v>
      </c>
      <c r="F19" s="547" t="s">
        <v>182</v>
      </c>
      <c r="G19" s="547" t="s">
        <v>183</v>
      </c>
      <c r="H19" s="547" t="s">
        <v>184</v>
      </c>
      <c r="I19" s="547" t="s">
        <v>185</v>
      </c>
      <c r="J19" s="547" t="s">
        <v>186</v>
      </c>
      <c r="K19" s="149" t="s">
        <v>187</v>
      </c>
    </row>
    <row r="20" spans="1:11" ht="21" customHeight="1">
      <c r="A20" s="150" t="str">
        <f>'04-22Master'!F16</f>
        <v>Senior Consultant</v>
      </c>
      <c r="B20" s="364" t="s">
        <v>387</v>
      </c>
      <c r="C20" s="364">
        <v>0</v>
      </c>
      <c r="D20" s="364">
        <v>1</v>
      </c>
      <c r="E20" s="548">
        <f>'04-22Master'!S16</f>
        <v>80278</v>
      </c>
      <c r="F20" s="548">
        <f>'04-22Master'!T16</f>
        <v>46561.24</v>
      </c>
      <c r="G20" s="548">
        <f>'04-22Master'!X16</f>
        <v>18624.495999999999</v>
      </c>
      <c r="H20" s="548">
        <f>E20-(F20+G20)</f>
        <v>15092.264000000003</v>
      </c>
      <c r="I20" s="549">
        <v>0</v>
      </c>
      <c r="J20" s="364" t="s">
        <v>455</v>
      </c>
      <c r="K20" s="550" t="s">
        <v>456</v>
      </c>
    </row>
    <row r="21" spans="1:11" s="467" customFormat="1" ht="21" customHeight="1">
      <c r="A21" s="150"/>
      <c r="B21" s="364"/>
      <c r="C21" s="364"/>
      <c r="D21" s="364"/>
      <c r="E21" s="548"/>
      <c r="F21" s="548"/>
      <c r="G21" s="548"/>
      <c r="H21" s="548"/>
      <c r="I21" s="549"/>
      <c r="J21" s="364"/>
      <c r="K21" s="364"/>
    </row>
    <row r="22" spans="1:11" s="467" customFormat="1" ht="21" customHeight="1">
      <c r="A22" s="92"/>
      <c r="B22" s="384"/>
      <c r="C22" s="689">
        <f>SUM(C20:C21)</f>
        <v>0</v>
      </c>
      <c r="D22" s="689">
        <f>SUM(D20:D21)</f>
        <v>1</v>
      </c>
      <c r="E22" s="603"/>
      <c r="F22" s="603"/>
      <c r="G22" s="603"/>
      <c r="H22" s="603"/>
      <c r="I22" s="358"/>
      <c r="J22" s="384"/>
      <c r="K22" s="385"/>
    </row>
    <row r="23" spans="1:11">
      <c r="A23" s="19"/>
      <c r="B23" s="305"/>
      <c r="C23" s="305"/>
      <c r="D23" s="305"/>
      <c r="E23" s="305"/>
      <c r="F23" s="305"/>
      <c r="G23" s="305"/>
      <c r="H23" s="305"/>
      <c r="I23" s="305"/>
      <c r="J23" s="305"/>
      <c r="K23" s="20"/>
    </row>
    <row r="24" spans="1:11">
      <c r="A24" s="19"/>
      <c r="B24" s="305"/>
      <c r="C24" s="305"/>
      <c r="D24" s="305"/>
      <c r="E24" s="305"/>
      <c r="F24" s="305"/>
      <c r="G24" s="305"/>
      <c r="H24" s="305"/>
      <c r="I24" s="305"/>
      <c r="J24" s="305"/>
      <c r="K24" s="20"/>
    </row>
    <row r="25" spans="1:11">
      <c r="A25" s="19"/>
      <c r="B25" s="305"/>
      <c r="C25" s="305"/>
      <c r="D25" s="305"/>
      <c r="E25" s="305"/>
      <c r="F25" s="305"/>
      <c r="G25" s="305"/>
      <c r="H25" s="305"/>
      <c r="I25" s="305"/>
      <c r="J25" s="305"/>
      <c r="K25" s="20"/>
    </row>
    <row r="26" spans="1:11">
      <c r="A26" s="19"/>
      <c r="B26" s="305"/>
      <c r="C26" s="305"/>
      <c r="D26" s="305"/>
      <c r="E26" s="305"/>
      <c r="F26" s="305"/>
      <c r="G26" s="305"/>
      <c r="H26" s="305"/>
      <c r="I26" s="305"/>
      <c r="J26" s="305"/>
      <c r="K26" s="20"/>
    </row>
    <row r="27" spans="1:11">
      <c r="A27" s="19"/>
      <c r="B27" s="305"/>
      <c r="C27" s="305"/>
      <c r="D27" s="305"/>
      <c r="E27" s="305"/>
      <c r="F27" s="305"/>
      <c r="G27" s="305"/>
      <c r="H27" s="306"/>
      <c r="I27" s="305"/>
      <c r="J27" s="305"/>
      <c r="K27" s="20"/>
    </row>
    <row r="28" spans="1:11">
      <c r="A28" s="19"/>
      <c r="B28" s="305"/>
      <c r="C28" s="305"/>
      <c r="D28" s="305"/>
      <c r="E28" s="305"/>
      <c r="F28" s="305"/>
      <c r="G28" s="305"/>
      <c r="H28" s="305"/>
      <c r="I28" s="305"/>
      <c r="J28" s="305"/>
      <c r="K28" s="20"/>
    </row>
    <row r="29" spans="1:11" ht="15.75" thickBot="1">
      <c r="A29" s="31"/>
      <c r="B29" s="29"/>
      <c r="C29" s="29"/>
      <c r="D29" s="29"/>
      <c r="E29" s="29"/>
      <c r="F29" s="29"/>
      <c r="G29" s="29"/>
      <c r="H29" s="306" t="s">
        <v>38</v>
      </c>
      <c r="I29" s="305"/>
      <c r="J29" s="305"/>
      <c r="K29" s="30"/>
    </row>
  </sheetData>
  <mergeCells count="12">
    <mergeCell ref="C18:I18"/>
    <mergeCell ref="F10:K10"/>
    <mergeCell ref="F12:K12"/>
    <mergeCell ref="A14:B14"/>
    <mergeCell ref="A16:B16"/>
    <mergeCell ref="A17:I17"/>
    <mergeCell ref="F8:K8"/>
    <mergeCell ref="A3:I3"/>
    <mergeCell ref="D6:E6"/>
    <mergeCell ref="A1:K1"/>
    <mergeCell ref="A2:K2"/>
    <mergeCell ref="A4:K4"/>
  </mergeCells>
  <pageMargins left="0.86614173228346458" right="0.70866141732283472" top="0.74803149606299213" bottom="0.74803149606299213" header="0.31496062992125984" footer="0.31496062992125984"/>
  <pageSetup paperSize="8" scale="95"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K23"/>
  <sheetViews>
    <sheetView topLeftCell="A4" zoomScalePageLayoutView="85" workbookViewId="0">
      <selection activeCell="B15" sqref="B15"/>
    </sheetView>
  </sheetViews>
  <sheetFormatPr defaultRowHeight="15.75"/>
  <cols>
    <col min="1" max="1" width="5.140625" style="8" customWidth="1"/>
    <col min="2" max="2" width="26" customWidth="1"/>
    <col min="3" max="3" width="11.28515625" customWidth="1"/>
    <col min="4" max="4" width="7.85546875" customWidth="1"/>
    <col min="5" max="6" width="4.85546875" customWidth="1"/>
    <col min="7" max="7" width="4.85546875" style="2" customWidth="1"/>
    <col min="8" max="31" width="4.85546875" customWidth="1"/>
    <col min="32" max="34" width="4.85546875" style="467" customWidth="1"/>
    <col min="35" max="35" width="12.42578125" customWidth="1"/>
    <col min="44" max="44" width="3.7109375" customWidth="1"/>
  </cols>
  <sheetData>
    <row r="1" spans="1:38">
      <c r="A1" s="481"/>
      <c r="B1" s="82"/>
      <c r="C1" s="82"/>
      <c r="D1" s="82"/>
      <c r="E1" s="82"/>
      <c r="F1" s="82"/>
      <c r="G1" s="4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3"/>
    </row>
    <row r="2" spans="1:38">
      <c r="A2" s="477"/>
      <c r="B2" s="305"/>
      <c r="C2" s="305"/>
      <c r="D2" s="305"/>
      <c r="E2" s="305"/>
      <c r="F2" s="305"/>
      <c r="G2" s="483"/>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20"/>
    </row>
    <row r="3" spans="1:38" ht="43.5" customHeight="1">
      <c r="A3" s="793" t="s">
        <v>427</v>
      </c>
      <c r="B3" s="794"/>
      <c r="C3" s="794"/>
      <c r="D3" s="794"/>
      <c r="E3" s="794"/>
      <c r="F3" s="794"/>
      <c r="G3" s="794"/>
      <c r="H3" s="794"/>
      <c r="I3" s="794"/>
      <c r="J3" s="794"/>
      <c r="K3" s="794"/>
      <c r="L3" s="794"/>
      <c r="M3" s="794"/>
      <c r="N3" s="794"/>
      <c r="O3" s="794"/>
      <c r="P3" s="794"/>
      <c r="Q3" s="794"/>
      <c r="R3" s="794"/>
      <c r="S3" s="794"/>
      <c r="T3" s="794"/>
      <c r="U3" s="794"/>
      <c r="V3" s="794"/>
      <c r="W3" s="794"/>
      <c r="X3" s="794"/>
      <c r="Y3" s="794"/>
      <c r="Z3" s="794"/>
      <c r="AA3" s="794"/>
      <c r="AB3" s="794"/>
      <c r="AC3" s="794"/>
      <c r="AD3" s="794"/>
      <c r="AE3" s="794"/>
      <c r="AF3" s="794"/>
      <c r="AG3" s="794"/>
      <c r="AH3" s="794"/>
      <c r="AI3" s="795"/>
    </row>
    <row r="4" spans="1:38">
      <c r="A4" s="477"/>
      <c r="B4" s="305"/>
      <c r="C4" s="305"/>
      <c r="D4" s="305"/>
      <c r="E4" s="305"/>
      <c r="F4" s="305"/>
      <c r="G4" s="483"/>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20"/>
    </row>
    <row r="5" spans="1:38" ht="43.5" customHeight="1">
      <c r="A5" s="796" t="s">
        <v>0</v>
      </c>
      <c r="B5" s="797"/>
      <c r="C5" s="797"/>
      <c r="D5" s="484" t="str">
        <f>'04-22Master'!F5</f>
        <v>Burgeon IT Services Pvt.Ltd.</v>
      </c>
      <c r="E5" s="305"/>
      <c r="F5" s="305"/>
      <c r="G5" s="483"/>
      <c r="H5" s="305"/>
      <c r="I5" s="305"/>
      <c r="J5" s="485" t="s">
        <v>1</v>
      </c>
      <c r="K5" s="485"/>
      <c r="L5" s="485"/>
      <c r="M5" s="485"/>
      <c r="N5" s="485"/>
      <c r="O5" s="485"/>
      <c r="P5" s="485"/>
      <c r="Q5" s="485"/>
      <c r="R5" s="485"/>
      <c r="S5" s="485"/>
      <c r="T5" s="485"/>
      <c r="U5" s="485"/>
      <c r="V5" s="485"/>
      <c r="W5" s="305"/>
      <c r="X5" s="485"/>
      <c r="Y5" s="485"/>
      <c r="Z5" s="486" t="str">
        <f>'04-22Master'!AJ5</f>
        <v>Burgeon IT Services Pvt.Ltd.</v>
      </c>
      <c r="AA5" s="485"/>
      <c r="AB5" s="485"/>
      <c r="AC5" s="485"/>
      <c r="AD5" s="485"/>
      <c r="AE5" s="485"/>
      <c r="AF5" s="485"/>
      <c r="AG5" s="485"/>
      <c r="AH5" s="485"/>
      <c r="AI5" s="487"/>
      <c r="AJ5" s="4"/>
      <c r="AK5" s="4"/>
      <c r="AL5" s="4"/>
    </row>
    <row r="6" spans="1:38" ht="20.45" customHeight="1">
      <c r="A6" s="488"/>
      <c r="B6" s="305"/>
      <c r="C6" s="305"/>
      <c r="D6" s="489" t="str">
        <f>'04-22Master'!F6</f>
        <v>Siri Mansion LIGB 436 Dr.A S Rao Nagar,Hyderabad</v>
      </c>
      <c r="E6" s="305"/>
      <c r="F6" s="305"/>
      <c r="G6" s="483"/>
      <c r="H6" s="305"/>
      <c r="I6" s="305"/>
      <c r="J6" s="305"/>
      <c r="K6" s="490"/>
      <c r="L6" s="490"/>
      <c r="M6" s="490"/>
      <c r="N6" s="490"/>
      <c r="O6" s="490"/>
      <c r="P6" s="490"/>
      <c r="Q6" s="490"/>
      <c r="R6" s="490"/>
      <c r="S6" s="490"/>
      <c r="T6" s="490"/>
      <c r="U6" s="490"/>
      <c r="V6" s="490"/>
      <c r="W6" s="305"/>
      <c r="X6" s="490"/>
      <c r="Y6" s="490"/>
      <c r="Z6" s="489" t="str">
        <f>'04-22Master'!AJ6</f>
        <v>Siri Mansion LIGB 436 Dr.A S Rao Nagar,Hyderabad</v>
      </c>
      <c r="AA6" s="490"/>
      <c r="AB6" s="490"/>
      <c r="AC6" s="490"/>
      <c r="AD6" s="490"/>
      <c r="AE6" s="490"/>
      <c r="AF6" s="490"/>
      <c r="AG6" s="490"/>
      <c r="AH6" s="490"/>
      <c r="AI6" s="478"/>
      <c r="AJ6" s="9"/>
      <c r="AK6" s="9"/>
      <c r="AL6" s="9"/>
    </row>
    <row r="7" spans="1:38" ht="24.95" customHeight="1">
      <c r="A7" s="796" t="s">
        <v>2</v>
      </c>
      <c r="B7" s="797"/>
      <c r="C7" s="797"/>
      <c r="D7" s="491" t="str">
        <f>'04-22Master'!F8</f>
        <v>IT SUPPORTIVE SERVICES</v>
      </c>
      <c r="E7" s="305"/>
      <c r="F7" s="305"/>
      <c r="G7" s="483"/>
      <c r="H7" s="305"/>
      <c r="I7" s="305"/>
      <c r="J7" s="305"/>
      <c r="K7" s="490"/>
      <c r="L7" s="490"/>
      <c r="M7" s="490"/>
      <c r="N7" s="490"/>
      <c r="O7" s="490"/>
      <c r="P7" s="490"/>
      <c r="Q7" s="490"/>
      <c r="R7" s="490"/>
      <c r="S7" s="490"/>
      <c r="T7" s="490"/>
      <c r="U7" s="490"/>
      <c r="V7" s="490"/>
      <c r="W7" s="305"/>
      <c r="X7" s="490"/>
      <c r="Y7" s="490"/>
      <c r="Z7" s="492"/>
      <c r="AA7" s="490"/>
      <c r="AB7" s="490"/>
      <c r="AC7" s="490"/>
      <c r="AD7" s="490"/>
      <c r="AE7" s="490"/>
      <c r="AF7" s="490"/>
      <c r="AG7" s="490"/>
      <c r="AH7" s="490"/>
      <c r="AI7" s="478"/>
      <c r="AJ7" s="11"/>
      <c r="AK7" s="11"/>
      <c r="AL7" s="11"/>
    </row>
    <row r="8" spans="1:38" ht="16.5" thickBot="1">
      <c r="A8" s="488"/>
      <c r="B8" s="305"/>
      <c r="C8" s="305"/>
      <c r="D8" s="305"/>
      <c r="E8" s="305"/>
      <c r="F8" s="305"/>
      <c r="G8" s="483"/>
      <c r="H8" s="305"/>
      <c r="I8" s="305"/>
      <c r="J8" s="305"/>
      <c r="K8" s="490"/>
      <c r="L8" s="490"/>
      <c r="M8" s="490"/>
      <c r="N8" s="490"/>
      <c r="O8" s="490"/>
      <c r="P8" s="490"/>
      <c r="Q8" s="490"/>
      <c r="R8" s="490"/>
      <c r="S8" s="490"/>
      <c r="T8" s="490"/>
      <c r="U8" s="490"/>
      <c r="V8" s="490"/>
      <c r="W8" s="305"/>
      <c r="X8" s="490"/>
      <c r="Y8" s="490"/>
      <c r="Z8" s="493"/>
      <c r="AA8" s="490"/>
      <c r="AB8" s="490"/>
      <c r="AC8" s="490"/>
      <c r="AD8" s="490"/>
      <c r="AE8" s="490"/>
      <c r="AF8" s="490"/>
      <c r="AG8" s="490"/>
      <c r="AH8" s="490"/>
      <c r="AI8" s="478"/>
    </row>
    <row r="9" spans="1:38" ht="15" customHeight="1" thickBot="1">
      <c r="A9" s="796" t="s">
        <v>3</v>
      </c>
      <c r="B9" s="797"/>
      <c r="C9" s="797"/>
      <c r="D9" s="711">
        <f>'04-22Master'!D10</f>
        <v>44652</v>
      </c>
      <c r="E9" s="305"/>
      <c r="F9" s="305"/>
      <c r="G9" s="483"/>
      <c r="H9" s="305"/>
      <c r="I9" s="305"/>
      <c r="J9" s="305"/>
      <c r="K9" s="475"/>
      <c r="L9" s="305"/>
      <c r="M9" s="475" t="s">
        <v>4</v>
      </c>
      <c r="N9" s="475"/>
      <c r="O9" s="475"/>
      <c r="P9" s="495"/>
      <c r="Q9" s="495"/>
      <c r="R9" s="495"/>
      <c r="S9" s="495"/>
      <c r="T9" s="495"/>
      <c r="U9" s="495"/>
      <c r="V9" s="495"/>
      <c r="W9" s="305"/>
      <c r="X9" s="495"/>
      <c r="Y9" s="495"/>
      <c r="Z9" s="475" t="str">
        <f>'04-22Master'!AJ10</f>
        <v xml:space="preserve">INFOSYS  LTD.IL Hyderabad SEZ Unit-3 </v>
      </c>
      <c r="AA9" s="495"/>
      <c r="AB9" s="495"/>
      <c r="AC9" s="495"/>
      <c r="AD9" s="495"/>
      <c r="AE9" s="495"/>
      <c r="AF9" s="495"/>
      <c r="AG9" s="495"/>
      <c r="AH9" s="495"/>
      <c r="AI9" s="496"/>
      <c r="AJ9" s="4"/>
    </row>
    <row r="10" spans="1:38" ht="17.45" customHeight="1">
      <c r="A10" s="477"/>
      <c r="B10" s="305"/>
      <c r="C10" s="305"/>
      <c r="D10" s="305"/>
      <c r="E10" s="305"/>
      <c r="F10" s="305"/>
      <c r="G10" s="483"/>
      <c r="H10" s="305"/>
      <c r="I10" s="305"/>
      <c r="J10" s="305"/>
      <c r="K10" s="305"/>
      <c r="L10" s="305"/>
      <c r="M10" s="305"/>
      <c r="N10" s="305"/>
      <c r="O10" s="305"/>
      <c r="P10" s="305"/>
      <c r="Q10" s="305"/>
      <c r="R10" s="305"/>
      <c r="S10" s="305"/>
      <c r="T10" s="305"/>
      <c r="U10" s="305"/>
      <c r="V10" s="305"/>
      <c r="W10" s="305"/>
      <c r="X10" s="305"/>
      <c r="Y10" s="305"/>
      <c r="Z10" s="497" t="str">
        <f>'04-22Master'!AJ11</f>
        <v>Sy.No 42,Pocharam Village,Gatkesar Mandal</v>
      </c>
      <c r="AA10" s="305"/>
      <c r="AB10" s="305"/>
      <c r="AC10" s="305"/>
      <c r="AD10" s="305"/>
      <c r="AE10" s="305"/>
      <c r="AF10" s="305"/>
      <c r="AG10" s="305"/>
      <c r="AH10" s="305"/>
      <c r="AI10" s="20"/>
      <c r="AJ10" s="9"/>
    </row>
    <row r="11" spans="1:38">
      <c r="A11" s="477"/>
      <c r="B11" s="305"/>
      <c r="C11" s="498"/>
      <c r="D11" s="305"/>
      <c r="E11" s="305"/>
      <c r="F11" s="305"/>
      <c r="G11" s="483"/>
      <c r="H11" s="305"/>
      <c r="I11" s="305"/>
      <c r="J11" s="305"/>
      <c r="K11" s="305"/>
      <c r="L11" s="305"/>
      <c r="M11" s="305"/>
      <c r="N11" s="305"/>
      <c r="O11" s="305"/>
      <c r="P11" s="305"/>
      <c r="Q11" s="305"/>
      <c r="R11" s="305"/>
      <c r="S11" s="305"/>
      <c r="T11" s="305"/>
      <c r="U11" s="305"/>
      <c r="V11" s="305"/>
      <c r="W11" s="305"/>
      <c r="X11" s="305"/>
      <c r="Y11" s="305"/>
      <c r="Z11" s="499"/>
      <c r="AA11" s="305"/>
      <c r="AB11" s="305"/>
      <c r="AC11" s="305"/>
      <c r="AD11" s="305"/>
      <c r="AE11" s="305"/>
      <c r="AF11" s="305"/>
      <c r="AG11" s="305"/>
      <c r="AH11" s="305"/>
      <c r="AI11" s="20"/>
    </row>
    <row r="12" spans="1:38" ht="16.5" thickBot="1">
      <c r="A12" s="477"/>
      <c r="B12" s="305"/>
      <c r="C12" s="305"/>
      <c r="D12" s="305"/>
      <c r="E12" s="305"/>
      <c r="F12" s="305"/>
      <c r="G12" s="483"/>
      <c r="H12" s="305"/>
      <c r="I12" s="305"/>
      <c r="J12" s="305"/>
      <c r="K12" s="305"/>
      <c r="L12" s="305"/>
      <c r="M12" s="305"/>
      <c r="N12" s="305"/>
      <c r="O12" s="305"/>
      <c r="P12" s="305"/>
      <c r="Q12" s="305"/>
      <c r="R12" s="305"/>
      <c r="S12" s="305"/>
      <c r="T12" s="305"/>
      <c r="U12" s="305"/>
      <c r="V12" s="305"/>
      <c r="W12" s="499"/>
      <c r="X12" s="305"/>
      <c r="Y12" s="305"/>
      <c r="Z12" s="305"/>
      <c r="AA12" s="305"/>
      <c r="AB12" s="305"/>
      <c r="AC12" s="305"/>
      <c r="AD12" s="305"/>
      <c r="AE12" s="305"/>
      <c r="AF12" s="305"/>
      <c r="AG12" s="305"/>
      <c r="AH12" s="305"/>
      <c r="AI12" s="20"/>
    </row>
    <row r="13" spans="1:38" s="15" customFormat="1" ht="36.6" customHeight="1" thickBot="1">
      <c r="A13" s="800" t="s">
        <v>5</v>
      </c>
      <c r="B13" s="751" t="s">
        <v>6</v>
      </c>
      <c r="C13" s="803" t="s">
        <v>39</v>
      </c>
      <c r="D13" s="805" t="s">
        <v>40</v>
      </c>
      <c r="E13" s="315"/>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744"/>
      <c r="AH13" s="744"/>
      <c r="AI13" s="317" t="s">
        <v>41</v>
      </c>
    </row>
    <row r="14" spans="1:38" ht="47.25" customHeight="1">
      <c r="A14" s="801"/>
      <c r="B14" s="802"/>
      <c r="C14" s="804"/>
      <c r="D14" s="804"/>
      <c r="E14" s="318">
        <v>1</v>
      </c>
      <c r="F14" s="318">
        <v>2</v>
      </c>
      <c r="G14" s="318">
        <v>3</v>
      </c>
      <c r="H14" s="318">
        <v>4</v>
      </c>
      <c r="I14" s="318">
        <v>5</v>
      </c>
      <c r="J14" s="318">
        <v>6</v>
      </c>
      <c r="K14" s="318">
        <v>7</v>
      </c>
      <c r="L14" s="318">
        <v>8</v>
      </c>
      <c r="M14" s="318">
        <v>9</v>
      </c>
      <c r="N14" s="318">
        <v>10</v>
      </c>
      <c r="O14" s="318">
        <v>11</v>
      </c>
      <c r="P14" s="318">
        <v>12</v>
      </c>
      <c r="Q14" s="318">
        <v>13</v>
      </c>
      <c r="R14" s="318">
        <v>14</v>
      </c>
      <c r="S14" s="318">
        <v>15</v>
      </c>
      <c r="T14" s="318">
        <v>16</v>
      </c>
      <c r="U14" s="318">
        <v>17</v>
      </c>
      <c r="V14" s="318">
        <v>18</v>
      </c>
      <c r="W14" s="318">
        <v>19</v>
      </c>
      <c r="X14" s="318">
        <v>20</v>
      </c>
      <c r="Y14" s="318">
        <v>21</v>
      </c>
      <c r="Z14" s="318">
        <v>22</v>
      </c>
      <c r="AA14" s="318">
        <v>23</v>
      </c>
      <c r="AB14" s="318">
        <v>24</v>
      </c>
      <c r="AC14" s="318">
        <v>25</v>
      </c>
      <c r="AD14" s="318">
        <v>26</v>
      </c>
      <c r="AE14" s="318">
        <v>27</v>
      </c>
      <c r="AF14" s="318">
        <v>28</v>
      </c>
      <c r="AG14" s="743">
        <v>29</v>
      </c>
      <c r="AH14" s="743">
        <v>30</v>
      </c>
      <c r="AI14" s="319"/>
    </row>
    <row r="15" spans="1:38" ht="22.5" customHeight="1">
      <c r="A15" s="324">
        <v>1</v>
      </c>
      <c r="B15" s="422" t="str">
        <f>'04-22Master'!P16</f>
        <v>Gaunda Mohammad Arief</v>
      </c>
      <c r="C15" s="423" t="str">
        <f>'04-22Master'!E16</f>
        <v>abdul hameed</v>
      </c>
      <c r="D15" s="424" t="str">
        <f>'04-22Master'!D16</f>
        <v>Male</v>
      </c>
      <c r="E15" s="556" t="s">
        <v>42</v>
      </c>
      <c r="F15" s="556" t="s">
        <v>191</v>
      </c>
      <c r="G15" s="556" t="s">
        <v>191</v>
      </c>
      <c r="H15" s="556" t="s">
        <v>42</v>
      </c>
      <c r="I15" s="556" t="s">
        <v>42</v>
      </c>
      <c r="J15" s="556" t="s">
        <v>42</v>
      </c>
      <c r="K15" s="556" t="s">
        <v>42</v>
      </c>
      <c r="L15" s="556" t="s">
        <v>42</v>
      </c>
      <c r="M15" s="556" t="s">
        <v>191</v>
      </c>
      <c r="N15" s="556" t="s">
        <v>191</v>
      </c>
      <c r="O15" s="556" t="s">
        <v>42</v>
      </c>
      <c r="P15" s="556" t="s">
        <v>42</v>
      </c>
      <c r="Q15" s="556" t="s">
        <v>42</v>
      </c>
      <c r="R15" s="556" t="s">
        <v>42</v>
      </c>
      <c r="S15" s="556" t="s">
        <v>464</v>
      </c>
      <c r="T15" s="556" t="s">
        <v>191</v>
      </c>
      <c r="U15" s="556" t="s">
        <v>191</v>
      </c>
      <c r="V15" s="742" t="s">
        <v>458</v>
      </c>
      <c r="W15" s="556" t="s">
        <v>465</v>
      </c>
      <c r="X15" s="556" t="s">
        <v>42</v>
      </c>
      <c r="Y15" s="556" t="s">
        <v>42</v>
      </c>
      <c r="Z15" s="556" t="s">
        <v>42</v>
      </c>
      <c r="AA15" s="556" t="s">
        <v>191</v>
      </c>
      <c r="AB15" s="556" t="s">
        <v>191</v>
      </c>
      <c r="AC15" s="556" t="s">
        <v>42</v>
      </c>
      <c r="AD15" s="556" t="s">
        <v>42</v>
      </c>
      <c r="AE15" s="556" t="s">
        <v>42</v>
      </c>
      <c r="AF15" s="556" t="s">
        <v>42</v>
      </c>
      <c r="AG15" s="556" t="s">
        <v>42</v>
      </c>
      <c r="AH15" s="556" t="s">
        <v>191</v>
      </c>
      <c r="AI15" s="596">
        <f>'04-22Master'!R16</f>
        <v>29</v>
      </c>
    </row>
    <row r="16" spans="1:38" s="467" customFormat="1" ht="22.5" customHeight="1">
      <c r="A16" s="324">
        <v>2</v>
      </c>
      <c r="B16" s="422"/>
      <c r="C16" s="423"/>
      <c r="D16" s="424"/>
      <c r="E16" s="556"/>
      <c r="F16" s="556"/>
      <c r="G16" s="556"/>
      <c r="H16" s="556"/>
      <c r="I16" s="556"/>
      <c r="J16" s="556"/>
      <c r="K16" s="556"/>
      <c r="L16" s="556"/>
      <c r="M16" s="556"/>
      <c r="N16" s="556"/>
      <c r="O16" s="556"/>
      <c r="P16" s="556"/>
      <c r="Q16" s="556"/>
      <c r="R16" s="556"/>
      <c r="S16" s="556"/>
      <c r="T16" s="556"/>
      <c r="U16" s="556"/>
      <c r="V16" s="556"/>
      <c r="W16" s="556"/>
      <c r="X16" s="556"/>
      <c r="Y16" s="556"/>
      <c r="Z16" s="556"/>
      <c r="AA16" s="556"/>
      <c r="AB16" s="718"/>
      <c r="AC16" s="718"/>
      <c r="AD16" s="556"/>
      <c r="AE16" s="556"/>
      <c r="AF16" s="556"/>
      <c r="AG16" s="556"/>
      <c r="AH16" s="556"/>
      <c r="AI16" s="596"/>
    </row>
    <row r="17" spans="1:271" s="467" customFormat="1" ht="22.5" customHeight="1">
      <c r="A17" s="624"/>
      <c r="B17" s="460"/>
      <c r="C17" s="461"/>
      <c r="D17" s="462"/>
      <c r="E17" s="557"/>
      <c r="F17" s="557"/>
      <c r="G17" s="557"/>
      <c r="H17" s="557"/>
      <c r="I17" s="557"/>
      <c r="J17" s="557"/>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625"/>
    </row>
    <row r="18" spans="1:271" s="467" customFormat="1" ht="22.5" customHeight="1">
      <c r="A18" s="500"/>
      <c r="B18" s="460"/>
      <c r="C18" s="461"/>
      <c r="D18" s="462"/>
      <c r="E18" s="557"/>
      <c r="F18" s="557"/>
      <c r="G18" s="557"/>
      <c r="H18" s="557"/>
      <c r="I18" s="557"/>
      <c r="J18" s="557"/>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01"/>
    </row>
    <row r="19" spans="1:271" s="467" customFormat="1" ht="22.5" customHeight="1">
      <c r="A19" s="500"/>
      <c r="B19" s="460"/>
      <c r="C19" s="461"/>
      <c r="D19" s="462"/>
      <c r="E19" s="557"/>
      <c r="F19" s="557"/>
      <c r="G19" s="557"/>
      <c r="H19" s="557"/>
      <c r="I19" s="557"/>
      <c r="J19" s="557"/>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01"/>
    </row>
    <row r="20" spans="1:271" s="467" customFormat="1" ht="22.5" customHeight="1">
      <c r="A20" s="500"/>
      <c r="B20" s="460"/>
      <c r="C20" s="461"/>
      <c r="D20" s="462"/>
      <c r="E20" s="557"/>
      <c r="F20" s="557"/>
      <c r="G20" s="557"/>
      <c r="H20" s="557"/>
      <c r="I20" s="557"/>
      <c r="J20" s="557"/>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01"/>
    </row>
    <row r="21" spans="1:271" s="467" customFormat="1" ht="22.5" customHeight="1">
      <c r="A21" s="500"/>
      <c r="B21" s="460"/>
      <c r="C21" s="461"/>
      <c r="D21" s="462"/>
      <c r="E21" s="557"/>
      <c r="F21" s="557"/>
      <c r="G21" s="557"/>
      <c r="H21" s="557"/>
      <c r="I21" s="557"/>
      <c r="J21" s="557"/>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01"/>
    </row>
    <row r="22" spans="1:271" s="467" customFormat="1" ht="22.5" customHeight="1">
      <c r="A22" s="500"/>
      <c r="B22" s="460"/>
      <c r="C22" s="461"/>
      <c r="D22" s="462"/>
      <c r="E22" s="463"/>
      <c r="F22" s="463"/>
      <c r="G22" s="463"/>
      <c r="H22" s="463"/>
      <c r="I22" s="463"/>
      <c r="J22" s="463"/>
      <c r="K22" s="463"/>
      <c r="L22" s="463"/>
      <c r="M22" s="463"/>
      <c r="N22" s="463"/>
      <c r="O22" s="463"/>
      <c r="P22" s="463"/>
      <c r="Q22" s="463"/>
      <c r="R22" s="463"/>
      <c r="S22" s="463"/>
      <c r="T22" s="463"/>
      <c r="U22" s="463"/>
      <c r="V22" s="463"/>
      <c r="W22" s="463"/>
      <c r="X22" s="463"/>
      <c r="Y22" s="463"/>
      <c r="Z22" s="463"/>
      <c r="AA22" s="463"/>
      <c r="AB22" s="463"/>
      <c r="AC22" s="463"/>
      <c r="AD22" s="463"/>
      <c r="AE22" s="463"/>
      <c r="AF22" s="463"/>
      <c r="AG22" s="463"/>
      <c r="AH22" s="463"/>
      <c r="AI22" s="501"/>
    </row>
    <row r="23" spans="1:271" ht="16.5" thickBot="1">
      <c r="A23" s="502"/>
      <c r="B23" s="798"/>
      <c r="C23" s="798"/>
      <c r="D23" s="503"/>
      <c r="E23" s="504"/>
      <c r="F23" s="504"/>
      <c r="G23" s="505"/>
      <c r="H23" s="504"/>
      <c r="I23" s="504"/>
      <c r="J23" s="798" t="s">
        <v>417</v>
      </c>
      <c r="K23" s="798"/>
      <c r="L23" s="798"/>
      <c r="M23" s="798"/>
      <c r="N23" s="798"/>
      <c r="O23" s="798"/>
      <c r="P23" s="798"/>
      <c r="Q23" s="798"/>
      <c r="R23" s="798"/>
      <c r="S23" s="798"/>
      <c r="T23" s="798"/>
      <c r="U23" s="798"/>
      <c r="V23" s="798"/>
      <c r="W23" s="798"/>
      <c r="X23" s="798"/>
      <c r="Y23" s="798"/>
      <c r="Z23" s="798"/>
      <c r="AA23" s="798"/>
      <c r="AB23" s="798"/>
      <c r="AC23" s="798"/>
      <c r="AD23" s="798"/>
      <c r="AE23" s="798"/>
      <c r="AF23" s="798"/>
      <c r="AG23" s="798"/>
      <c r="AH23" s="798"/>
      <c r="AI23" s="799"/>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c r="IS23" s="17"/>
      <c r="IT23" s="17"/>
      <c r="IU23" s="17"/>
      <c r="IV23" s="17"/>
      <c r="IW23" s="17"/>
      <c r="IX23" s="17"/>
      <c r="IY23" s="17"/>
      <c r="IZ23" s="17"/>
      <c r="JA23" s="17"/>
      <c r="JB23" s="17"/>
      <c r="JC23" s="17"/>
      <c r="JD23" s="17"/>
      <c r="JE23" s="17"/>
      <c r="JF23" s="17"/>
      <c r="JG23" s="17"/>
      <c r="JH23" s="17"/>
      <c r="JI23" s="17"/>
      <c r="JJ23" s="17"/>
      <c r="JK23" s="17"/>
    </row>
  </sheetData>
  <mergeCells count="10">
    <mergeCell ref="A3:AI3"/>
    <mergeCell ref="A5:C5"/>
    <mergeCell ref="A7:C7"/>
    <mergeCell ref="A9:C9"/>
    <mergeCell ref="B23:C23"/>
    <mergeCell ref="J23:AI23"/>
    <mergeCell ref="A13:A14"/>
    <mergeCell ref="B13:B14"/>
    <mergeCell ref="C13:C14"/>
    <mergeCell ref="D13:D14"/>
  </mergeCells>
  <printOptions horizontalCentered="1" verticalCentered="1"/>
  <pageMargins left="0" right="0" top="0" bottom="0" header="0.31496062992126" footer="0.31496062992126"/>
  <pageSetup paperSize="9" scale="60" orientation="landscape" horizontalDpi="4294967293"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3"/>
  <sheetViews>
    <sheetView topLeftCell="A10" workbookViewId="0">
      <selection activeCell="C19" sqref="C19"/>
    </sheetView>
  </sheetViews>
  <sheetFormatPr defaultColWidth="9.140625" defaultRowHeight="15"/>
  <cols>
    <col min="1" max="1" width="12.42578125" style="467" customWidth="1"/>
    <col min="2" max="2" width="12.28515625" style="467" customWidth="1"/>
    <col min="3" max="3" width="12" style="467" customWidth="1"/>
    <col min="4" max="4" width="10.5703125" style="467" bestFit="1" customWidth="1"/>
    <col min="5" max="5" width="12.5703125" style="467" customWidth="1"/>
    <col min="6" max="6" width="14" style="467" customWidth="1"/>
    <col min="7" max="7" width="10.7109375" style="467" customWidth="1"/>
    <col min="8" max="8" width="6.7109375" style="467" customWidth="1"/>
    <col min="9" max="9" width="9.140625" style="467"/>
    <col min="10" max="10" width="10.5703125" style="467" customWidth="1"/>
    <col min="11" max="11" width="11.140625" style="467" customWidth="1"/>
    <col min="12" max="12" width="12.140625" style="467" customWidth="1"/>
    <col min="13" max="13" width="11.42578125" style="467" customWidth="1"/>
    <col min="14" max="15" width="9.140625" style="467"/>
    <col min="16" max="16" width="17.7109375" style="467" customWidth="1"/>
    <col min="17" max="17" width="12.140625" style="467" customWidth="1"/>
    <col min="18" max="16384" width="9.140625" style="467"/>
  </cols>
  <sheetData>
    <row r="1" spans="1:17">
      <c r="A1" s="81"/>
      <c r="B1" s="813" t="s">
        <v>435</v>
      </c>
      <c r="C1" s="813"/>
      <c r="D1" s="813"/>
      <c r="E1" s="813"/>
      <c r="F1" s="813"/>
      <c r="G1" s="813"/>
      <c r="H1" s="813"/>
      <c r="I1" s="813"/>
      <c r="J1" s="813"/>
      <c r="K1" s="813"/>
      <c r="L1" s="813"/>
      <c r="M1" s="813"/>
      <c r="N1" s="813"/>
      <c r="O1" s="813"/>
      <c r="P1" s="813"/>
      <c r="Q1" s="814"/>
    </row>
    <row r="2" spans="1:17" ht="25.15" customHeight="1">
      <c r="A2" s="19"/>
      <c r="B2" s="815"/>
      <c r="C2" s="815"/>
      <c r="D2" s="815"/>
      <c r="E2" s="815"/>
      <c r="F2" s="815"/>
      <c r="G2" s="815"/>
      <c r="H2" s="815"/>
      <c r="I2" s="815"/>
      <c r="J2" s="815"/>
      <c r="K2" s="815"/>
      <c r="L2" s="815"/>
      <c r="M2" s="815"/>
      <c r="N2" s="815"/>
      <c r="O2" s="815"/>
      <c r="P2" s="815"/>
      <c r="Q2" s="816"/>
    </row>
    <row r="3" spans="1:17" ht="25.15" customHeight="1">
      <c r="A3" s="19"/>
      <c r="B3" s="817" t="s">
        <v>436</v>
      </c>
      <c r="C3" s="818"/>
      <c r="D3" s="818"/>
      <c r="E3" s="818"/>
      <c r="F3" s="818"/>
      <c r="G3" s="818"/>
      <c r="H3" s="818"/>
      <c r="I3" s="818"/>
      <c r="J3" s="818"/>
      <c r="K3" s="818"/>
      <c r="L3" s="818"/>
      <c r="M3" s="818"/>
      <c r="N3" s="818"/>
      <c r="O3" s="818"/>
      <c r="P3" s="818"/>
      <c r="Q3" s="819"/>
    </row>
    <row r="4" spans="1:17" ht="22.9" customHeight="1">
      <c r="A4" s="19"/>
      <c r="B4" s="820" t="s">
        <v>437</v>
      </c>
      <c r="C4" s="820"/>
      <c r="D4" s="820"/>
      <c r="E4" s="820"/>
      <c r="F4" s="821"/>
      <c r="G4" s="821"/>
      <c r="H4" s="821"/>
      <c r="I4" s="820"/>
      <c r="J4" s="820"/>
      <c r="K4" s="820"/>
      <c r="L4" s="820"/>
      <c r="M4" s="820"/>
      <c r="N4" s="820"/>
      <c r="O4" s="820"/>
      <c r="P4" s="820"/>
      <c r="Q4" s="822"/>
    </row>
    <row r="5" spans="1:17" ht="15" customHeight="1">
      <c r="A5" s="19"/>
      <c r="B5" s="35" t="s">
        <v>192</v>
      </c>
      <c r="C5" s="36"/>
      <c r="D5" s="36"/>
      <c r="E5" s="105" t="str">
        <f>'04-22Master'!F5</f>
        <v>Burgeon IT Services Pvt.Ltd.</v>
      </c>
      <c r="F5" s="44"/>
      <c r="G5" s="44"/>
      <c r="H5" s="44"/>
      <c r="I5" s="44" t="s">
        <v>142</v>
      </c>
      <c r="J5" s="79"/>
      <c r="K5" s="79"/>
      <c r="L5" s="79"/>
      <c r="M5" s="79"/>
      <c r="N5" s="79"/>
      <c r="O5" s="79"/>
      <c r="P5" s="79"/>
      <c r="Q5" s="657"/>
    </row>
    <row r="6" spans="1:17" ht="15.75">
      <c r="A6" s="19"/>
      <c r="B6" s="38"/>
      <c r="C6" s="415"/>
      <c r="D6" s="415"/>
      <c r="E6" s="40" t="str">
        <f>'04-22Master'!AJ6</f>
        <v>Siri Mansion LIGB 436 Dr.A S Rao Nagar,Hyderabad</v>
      </c>
      <c r="F6" s="425"/>
      <c r="G6" s="425"/>
      <c r="H6" s="425"/>
      <c r="I6" s="658" t="str">
        <f>'04-22Master'!B16</f>
        <v>Gaunda Mohammad Arief</v>
      </c>
      <c r="J6" s="425"/>
      <c r="K6" s="425"/>
      <c r="L6" s="425"/>
      <c r="M6" s="425"/>
      <c r="N6" s="425"/>
      <c r="O6" s="425"/>
      <c r="P6" s="425"/>
      <c r="Q6" s="659"/>
    </row>
    <row r="7" spans="1:17">
      <c r="A7" s="19"/>
      <c r="B7" s="41"/>
      <c r="C7" s="42"/>
      <c r="D7" s="42"/>
      <c r="E7" s="43"/>
      <c r="F7" s="80"/>
      <c r="G7" s="80"/>
      <c r="H7" s="80"/>
      <c r="I7" s="80"/>
      <c r="J7" s="80"/>
      <c r="K7" s="80"/>
      <c r="L7" s="80"/>
      <c r="M7" s="80"/>
      <c r="N7" s="80"/>
      <c r="O7" s="80"/>
      <c r="P7" s="80"/>
      <c r="Q7" s="660"/>
    </row>
    <row r="8" spans="1:17">
      <c r="A8" s="19"/>
      <c r="B8" s="106" t="s">
        <v>438</v>
      </c>
      <c r="D8" s="665">
        <f>'04-22Master'!I16</f>
        <v>44169</v>
      </c>
    </row>
    <row r="9" spans="1:17">
      <c r="A9" s="19"/>
      <c r="B9" s="76"/>
    </row>
    <row r="10" spans="1:17" ht="15.75" thickBot="1">
      <c r="A10" s="19"/>
      <c r="B10" s="76"/>
    </row>
    <row r="11" spans="1:17" ht="15.75" thickBot="1">
      <c r="A11" s="19"/>
      <c r="B11" s="823" t="s">
        <v>439</v>
      </c>
      <c r="C11" s="824"/>
      <c r="D11" s="824"/>
      <c r="E11" s="824"/>
      <c r="F11" s="825"/>
      <c r="G11" s="826" t="s">
        <v>440</v>
      </c>
      <c r="H11" s="827"/>
      <c r="I11" s="827"/>
      <c r="J11" s="827"/>
      <c r="K11" s="827"/>
      <c r="L11" s="827"/>
      <c r="M11" s="827"/>
      <c r="N11" s="827"/>
      <c r="O11" s="827"/>
      <c r="P11" s="827"/>
      <c r="Q11" s="828"/>
    </row>
    <row r="12" spans="1:17" ht="26.25" customHeight="1">
      <c r="A12" s="19"/>
      <c r="B12" s="808" t="s">
        <v>441</v>
      </c>
      <c r="C12" s="808" t="s">
        <v>442</v>
      </c>
      <c r="D12" s="808" t="s">
        <v>443</v>
      </c>
      <c r="E12" s="808" t="s">
        <v>444</v>
      </c>
      <c r="F12" s="810" t="s">
        <v>445</v>
      </c>
      <c r="G12" s="810" t="s">
        <v>452</v>
      </c>
      <c r="H12" s="810" t="s">
        <v>451</v>
      </c>
      <c r="I12" s="811" t="s">
        <v>446</v>
      </c>
      <c r="J12" s="811" t="s">
        <v>447</v>
      </c>
      <c r="K12" s="808" t="s">
        <v>448</v>
      </c>
      <c r="L12" s="808" t="s">
        <v>443</v>
      </c>
      <c r="M12" s="808" t="s">
        <v>444</v>
      </c>
      <c r="N12" s="810" t="s">
        <v>445</v>
      </c>
      <c r="O12" s="810" t="s">
        <v>450</v>
      </c>
      <c r="P12" s="808" t="s">
        <v>144</v>
      </c>
      <c r="Q12" s="806" t="s">
        <v>449</v>
      </c>
    </row>
    <row r="13" spans="1:17" ht="9.9499999999999993" customHeight="1">
      <c r="A13" s="19"/>
      <c r="B13" s="809"/>
      <c r="C13" s="809"/>
      <c r="D13" s="809"/>
      <c r="E13" s="809"/>
      <c r="F13" s="808"/>
      <c r="G13" s="808"/>
      <c r="H13" s="808"/>
      <c r="I13" s="812"/>
      <c r="J13" s="812"/>
      <c r="K13" s="809"/>
      <c r="L13" s="809"/>
      <c r="M13" s="809"/>
      <c r="N13" s="808"/>
      <c r="O13" s="808"/>
      <c r="P13" s="809"/>
      <c r="Q13" s="807"/>
    </row>
    <row r="14" spans="1:17">
      <c r="A14" s="19"/>
      <c r="B14" s="661">
        <v>1</v>
      </c>
      <c r="C14" s="661">
        <v>2</v>
      </c>
      <c r="D14" s="661">
        <v>3</v>
      </c>
      <c r="E14" s="661">
        <v>4</v>
      </c>
      <c r="F14" s="661">
        <v>5</v>
      </c>
      <c r="G14" s="661"/>
      <c r="H14" s="661"/>
      <c r="I14" s="661">
        <v>6</v>
      </c>
      <c r="J14" s="661">
        <v>7</v>
      </c>
      <c r="K14" s="661">
        <v>8</v>
      </c>
      <c r="L14" s="661">
        <v>9</v>
      </c>
      <c r="M14" s="661">
        <v>10</v>
      </c>
      <c r="N14" s="661">
        <v>11</v>
      </c>
      <c r="O14" s="661"/>
      <c r="P14" s="661">
        <v>12</v>
      </c>
      <c r="Q14" s="662">
        <v>13</v>
      </c>
    </row>
    <row r="15" spans="1:17" ht="20.25" customHeight="1">
      <c r="A15" s="1075" t="s">
        <v>459</v>
      </c>
      <c r="B15" s="426">
        <v>1</v>
      </c>
      <c r="C15" s="736">
        <v>0</v>
      </c>
      <c r="D15" s="736">
        <v>0</v>
      </c>
      <c r="E15" s="736">
        <v>0</v>
      </c>
      <c r="F15" s="736">
        <v>0</v>
      </c>
      <c r="G15" s="426">
        <v>15</v>
      </c>
      <c r="H15" s="426">
        <v>1.5</v>
      </c>
      <c r="I15" s="426">
        <v>0</v>
      </c>
      <c r="J15" s="664">
        <v>44564</v>
      </c>
      <c r="K15" s="426">
        <v>1</v>
      </c>
      <c r="L15" s="664">
        <v>44564</v>
      </c>
      <c r="M15" s="664">
        <v>44564</v>
      </c>
      <c r="N15" s="426">
        <v>1</v>
      </c>
      <c r="O15" s="426">
        <v>15.5</v>
      </c>
      <c r="P15" s="426"/>
      <c r="Q15" s="663"/>
    </row>
    <row r="16" spans="1:17" ht="20.25" customHeight="1">
      <c r="A16" s="1075" t="s">
        <v>460</v>
      </c>
      <c r="B16" s="426">
        <v>1</v>
      </c>
      <c r="C16" s="664">
        <v>44595</v>
      </c>
      <c r="D16" s="664">
        <v>44595</v>
      </c>
      <c r="E16" s="664">
        <v>44595</v>
      </c>
      <c r="F16" s="736">
        <v>1</v>
      </c>
      <c r="G16" s="426"/>
      <c r="H16" s="426">
        <v>1.5</v>
      </c>
      <c r="I16" s="426">
        <v>0</v>
      </c>
      <c r="J16" s="664">
        <v>44595</v>
      </c>
      <c r="K16" s="426">
        <v>1</v>
      </c>
      <c r="L16" s="664">
        <v>44595</v>
      </c>
      <c r="M16" s="664">
        <v>44595</v>
      </c>
      <c r="N16" s="426">
        <v>1</v>
      </c>
      <c r="O16" s="426">
        <f>O15+H16-K16</f>
        <v>16</v>
      </c>
      <c r="P16" s="426"/>
      <c r="Q16" s="663"/>
    </row>
    <row r="17" spans="1:17" ht="20.25" customHeight="1">
      <c r="A17" s="1076">
        <v>44621</v>
      </c>
      <c r="B17" s="426">
        <v>1</v>
      </c>
      <c r="C17" s="664">
        <v>44624</v>
      </c>
      <c r="D17" s="664">
        <v>44624</v>
      </c>
      <c r="E17" s="664">
        <v>44624</v>
      </c>
      <c r="F17" s="736">
        <v>1</v>
      </c>
      <c r="G17" s="426"/>
      <c r="H17" s="426">
        <v>1.5</v>
      </c>
      <c r="I17" s="426">
        <v>0</v>
      </c>
      <c r="J17" s="664">
        <v>44624</v>
      </c>
      <c r="K17" s="426">
        <v>1</v>
      </c>
      <c r="L17" s="664">
        <v>44624</v>
      </c>
      <c r="M17" s="664">
        <v>44624</v>
      </c>
      <c r="N17" s="426">
        <v>1</v>
      </c>
      <c r="O17" s="426">
        <f>O16+H17-K17</f>
        <v>16.5</v>
      </c>
      <c r="P17" s="426"/>
      <c r="Q17" s="663"/>
    </row>
    <row r="18" spans="1:17" ht="20.25" customHeight="1">
      <c r="A18" s="1075" t="s">
        <v>462</v>
      </c>
      <c r="B18" s="426">
        <v>1</v>
      </c>
      <c r="C18" s="746">
        <v>44669</v>
      </c>
      <c r="D18" s="746">
        <v>44669</v>
      </c>
      <c r="E18" s="746">
        <v>44669</v>
      </c>
      <c r="F18" s="736">
        <v>1</v>
      </c>
      <c r="G18" s="426"/>
      <c r="H18" s="426">
        <v>1.5</v>
      </c>
      <c r="I18" s="426">
        <v>1</v>
      </c>
      <c r="J18" s="746">
        <v>44669</v>
      </c>
      <c r="K18" s="426">
        <v>1</v>
      </c>
      <c r="L18" s="746">
        <v>44669</v>
      </c>
      <c r="M18" s="746">
        <v>44669</v>
      </c>
      <c r="N18" s="426">
        <v>1</v>
      </c>
      <c r="O18" s="426">
        <f>O17+H18-K18</f>
        <v>17</v>
      </c>
      <c r="P18" s="426"/>
      <c r="Q18" s="663"/>
    </row>
    <row r="19" spans="1:17" ht="20.25" customHeight="1">
      <c r="A19" s="19"/>
      <c r="B19" s="426"/>
      <c r="C19" s="736"/>
      <c r="D19" s="736"/>
      <c r="E19" s="736"/>
      <c r="F19" s="736"/>
      <c r="G19" s="426"/>
      <c r="H19" s="426"/>
      <c r="I19" s="426"/>
      <c r="J19" s="426"/>
      <c r="K19" s="426"/>
      <c r="L19" s="426"/>
      <c r="M19" s="426"/>
      <c r="N19" s="426"/>
      <c r="O19" s="426"/>
      <c r="P19" s="426"/>
      <c r="Q19" s="663"/>
    </row>
    <row r="20" spans="1:17" ht="20.25" customHeight="1">
      <c r="A20" s="19"/>
      <c r="B20" s="680"/>
      <c r="C20" s="736"/>
      <c r="D20" s="736"/>
      <c r="E20" s="736"/>
      <c r="F20" s="736"/>
      <c r="G20" s="426"/>
      <c r="H20" s="680"/>
      <c r="I20" s="680"/>
      <c r="J20" s="680"/>
      <c r="K20" s="680"/>
      <c r="L20" s="680"/>
      <c r="M20" s="680"/>
      <c r="N20" s="680"/>
      <c r="O20" s="426"/>
      <c r="P20" s="426"/>
      <c r="Q20" s="663"/>
    </row>
    <row r="21" spans="1:17" ht="20.25" customHeight="1">
      <c r="A21" s="19"/>
      <c r="B21" s="682"/>
      <c r="C21" s="736"/>
      <c r="D21" s="736"/>
      <c r="E21" s="736"/>
      <c r="F21" s="736"/>
      <c r="G21" s="680"/>
      <c r="H21" s="680"/>
      <c r="I21" s="680"/>
      <c r="J21" s="682"/>
      <c r="K21" s="680"/>
      <c r="L21" s="736"/>
      <c r="M21" s="736"/>
      <c r="N21" s="680"/>
      <c r="O21" s="426"/>
      <c r="P21" s="426"/>
      <c r="Q21" s="663"/>
    </row>
    <row r="22" spans="1:17" ht="12.6" customHeight="1">
      <c r="A22" s="296"/>
      <c r="B22" s="710"/>
      <c r="C22" s="736"/>
      <c r="D22" s="736"/>
      <c r="E22" s="736"/>
      <c r="F22" s="736"/>
      <c r="G22" s="680"/>
      <c r="H22" s="680"/>
      <c r="I22" s="680"/>
      <c r="J22" s="712"/>
      <c r="K22" s="680"/>
      <c r="L22" s="712"/>
      <c r="M22" s="712"/>
      <c r="N22" s="680"/>
      <c r="O22" s="426"/>
      <c r="P22" s="426"/>
      <c r="Q22" s="663"/>
    </row>
    <row r="23" spans="1:17" ht="12.6" customHeight="1">
      <c r="A23" s="296"/>
      <c r="B23" s="710"/>
      <c r="C23" s="736"/>
      <c r="D23" s="736"/>
      <c r="E23" s="736"/>
      <c r="F23" s="736"/>
      <c r="G23" s="680"/>
      <c r="H23" s="680"/>
      <c r="I23" s="680"/>
      <c r="J23" s="712"/>
      <c r="K23" s="680"/>
      <c r="L23" s="712"/>
      <c r="M23" s="712"/>
      <c r="N23" s="680"/>
      <c r="O23" s="426"/>
      <c r="P23" s="426"/>
      <c r="Q23" s="663"/>
    </row>
    <row r="24" spans="1:17" ht="12.6" customHeight="1">
      <c r="A24" s="19"/>
      <c r="B24" s="426"/>
      <c r="C24" s="736"/>
      <c r="D24" s="736"/>
      <c r="E24" s="736"/>
      <c r="F24" s="736"/>
      <c r="G24" s="296"/>
      <c r="H24" s="296"/>
      <c r="I24" s="296"/>
      <c r="J24" s="618"/>
      <c r="K24" s="296"/>
      <c r="L24" s="618"/>
      <c r="M24" s="618"/>
      <c r="N24" s="296"/>
      <c r="O24" s="426"/>
      <c r="P24" s="426"/>
      <c r="Q24" s="663"/>
    </row>
    <row r="25" spans="1:17" ht="11.25" customHeight="1">
      <c r="A25" s="19"/>
      <c r="B25" s="426"/>
      <c r="C25" s="736"/>
      <c r="D25" s="736"/>
      <c r="E25" s="736"/>
      <c r="F25" s="736"/>
      <c r="G25" s="296"/>
      <c r="H25" s="296"/>
      <c r="I25" s="296"/>
      <c r="J25" s="618"/>
      <c r="K25" s="296"/>
      <c r="L25" s="618"/>
      <c r="M25" s="618"/>
      <c r="N25" s="296"/>
      <c r="O25" s="426"/>
      <c r="P25" s="426"/>
      <c r="Q25" s="663"/>
    </row>
    <row r="26" spans="1:17" ht="21" customHeight="1">
      <c r="A26" s="19"/>
      <c r="B26" s="426"/>
      <c r="C26" s="736"/>
      <c r="D26" s="736"/>
      <c r="E26" s="736"/>
      <c r="F26" s="736"/>
      <c r="G26" s="296"/>
      <c r="H26" s="296"/>
      <c r="I26" s="296"/>
      <c r="J26" s="426"/>
      <c r="K26" s="296"/>
      <c r="L26" s="426"/>
      <c r="M26" s="426"/>
      <c r="N26" s="296"/>
      <c r="O26" s="426"/>
      <c r="P26" s="426"/>
      <c r="Q26" s="663"/>
    </row>
    <row r="27" spans="1:17" s="15" customFormat="1" ht="17.25" customHeight="1">
      <c r="A27" s="92"/>
      <c r="B27" s="680"/>
      <c r="C27" s="736"/>
      <c r="D27" s="736"/>
      <c r="E27" s="736"/>
      <c r="F27" s="736"/>
      <c r="G27" s="549"/>
      <c r="H27" s="549"/>
      <c r="I27" s="549"/>
      <c r="J27" s="722"/>
      <c r="K27" s="549"/>
      <c r="L27" s="722"/>
      <c r="M27" s="722"/>
      <c r="N27" s="549"/>
      <c r="O27" s="680"/>
      <c r="P27" s="680"/>
      <c r="Q27" s="723"/>
    </row>
    <row r="28" spans="1:17" s="15" customFormat="1" ht="17.25" customHeight="1">
      <c r="A28" s="92"/>
      <c r="B28" s="680"/>
      <c r="C28" s="736"/>
      <c r="D28" s="736"/>
      <c r="E28" s="736"/>
      <c r="F28" s="736"/>
      <c r="G28" s="549"/>
      <c r="H28" s="549"/>
      <c r="I28" s="549"/>
      <c r="J28" s="722"/>
      <c r="K28" s="549"/>
      <c r="L28" s="722"/>
      <c r="M28" s="722"/>
      <c r="N28" s="549"/>
      <c r="O28" s="680"/>
      <c r="P28" s="680"/>
      <c r="Q28" s="723"/>
    </row>
    <row r="29" spans="1:17" s="15" customFormat="1" ht="17.25" customHeight="1">
      <c r="A29" s="92"/>
      <c r="B29" s="680"/>
      <c r="C29" s="549"/>
      <c r="D29" s="549"/>
      <c r="E29" s="549"/>
      <c r="F29" s="722"/>
      <c r="G29" s="549"/>
      <c r="H29" s="549"/>
      <c r="I29" s="549"/>
      <c r="J29" s="722"/>
      <c r="K29" s="549"/>
      <c r="L29" s="722"/>
      <c r="M29" s="722"/>
      <c r="N29" s="549"/>
      <c r="O29" s="680"/>
      <c r="P29" s="680"/>
      <c r="Q29" s="723"/>
    </row>
    <row r="30" spans="1:17" s="15" customFormat="1" ht="17.25" customHeight="1">
      <c r="A30" s="92"/>
      <c r="B30" s="680"/>
      <c r="C30" s="549"/>
      <c r="D30" s="549"/>
      <c r="E30" s="549"/>
      <c r="F30" s="722"/>
      <c r="G30" s="549"/>
      <c r="H30" s="549"/>
      <c r="I30" s="549"/>
      <c r="J30" s="722"/>
      <c r="K30" s="549"/>
      <c r="L30" s="722"/>
      <c r="M30" s="722"/>
      <c r="N30" s="549"/>
      <c r="O30" s="680"/>
      <c r="P30" s="680"/>
      <c r="Q30" s="723"/>
    </row>
    <row r="31" spans="1:17" s="15" customFormat="1" ht="17.25" customHeight="1">
      <c r="A31" s="92"/>
      <c r="B31" s="680"/>
      <c r="C31" s="549"/>
      <c r="D31" s="549"/>
      <c r="E31" s="549"/>
      <c r="F31" s="722"/>
      <c r="G31" s="549"/>
      <c r="H31" s="549"/>
      <c r="I31" s="549"/>
      <c r="J31" s="722"/>
      <c r="K31" s="549"/>
      <c r="L31" s="722"/>
      <c r="M31" s="722"/>
      <c r="N31" s="549"/>
      <c r="O31" s="680"/>
      <c r="P31" s="680"/>
      <c r="Q31" s="723"/>
    </row>
    <row r="32" spans="1:17" ht="49.9" customHeight="1">
      <c r="A32" s="19"/>
      <c r="B32" s="426"/>
      <c r="C32" s="426"/>
      <c r="D32" s="426"/>
      <c r="E32" s="426"/>
      <c r="F32" s="426"/>
      <c r="G32" s="426"/>
      <c r="H32" s="426"/>
      <c r="I32" s="426"/>
      <c r="J32" s="426"/>
      <c r="K32" s="426"/>
      <c r="L32" s="426"/>
      <c r="M32" s="426"/>
      <c r="N32" s="426"/>
      <c r="O32" s="426"/>
      <c r="P32" s="426"/>
      <c r="Q32" s="663"/>
    </row>
    <row r="33" spans="1:17">
      <c r="A33" s="19"/>
      <c r="B33" s="305"/>
      <c r="C33" s="305"/>
      <c r="D33" s="305"/>
      <c r="E33" s="305"/>
      <c r="F33" s="305"/>
      <c r="G33" s="305"/>
      <c r="H33" s="305"/>
      <c r="I33" s="305"/>
      <c r="J33" s="305"/>
      <c r="K33" s="305"/>
      <c r="L33" s="305"/>
      <c r="M33" s="305"/>
      <c r="N33" s="305"/>
      <c r="O33" s="305"/>
      <c r="P33" s="305"/>
      <c r="Q33" s="20"/>
    </row>
    <row r="34" spans="1:17">
      <c r="A34" s="19"/>
      <c r="B34" s="305"/>
      <c r="C34" s="305"/>
      <c r="D34" s="305"/>
      <c r="E34" s="305"/>
      <c r="F34" s="305"/>
      <c r="G34" s="305"/>
      <c r="H34" s="305"/>
      <c r="I34" s="305"/>
      <c r="J34" s="305" t="s">
        <v>38</v>
      </c>
      <c r="K34" s="305"/>
      <c r="L34" s="305"/>
      <c r="M34" s="305"/>
      <c r="N34" s="305"/>
      <c r="O34" s="305"/>
      <c r="P34" s="305"/>
      <c r="Q34" s="20"/>
    </row>
    <row r="35" spans="1:17">
      <c r="A35" s="19"/>
      <c r="B35" s="305"/>
      <c r="C35" s="305"/>
      <c r="D35" s="305"/>
      <c r="E35" s="305"/>
      <c r="F35" s="305"/>
      <c r="G35" s="305"/>
      <c r="H35" s="305"/>
      <c r="I35" s="305"/>
      <c r="J35" s="305"/>
      <c r="K35" s="305"/>
      <c r="L35" s="305"/>
      <c r="M35" s="305"/>
      <c r="N35" s="305"/>
      <c r="O35" s="305"/>
      <c r="P35" s="305"/>
      <c r="Q35" s="20"/>
    </row>
    <row r="36" spans="1:17" ht="15.75" thickBot="1">
      <c r="A36" s="31"/>
      <c r="B36" s="29"/>
      <c r="C36" s="29"/>
      <c r="D36" s="29"/>
      <c r="E36" s="29"/>
      <c r="F36" s="29"/>
      <c r="G36" s="29"/>
      <c r="H36" s="29"/>
      <c r="I36" s="29"/>
      <c r="J36" s="29"/>
      <c r="K36" s="29"/>
      <c r="L36" s="29"/>
      <c r="M36" s="29"/>
      <c r="N36" s="29"/>
      <c r="O36" s="29"/>
      <c r="P36" s="29"/>
      <c r="Q36" s="30"/>
    </row>
    <row r="37" spans="1:17">
      <c r="A37" s="19"/>
      <c r="B37" s="305"/>
      <c r="C37" s="305"/>
      <c r="D37" s="305"/>
      <c r="E37" s="305"/>
      <c r="F37" s="305"/>
      <c r="G37" s="305"/>
      <c r="H37" s="305"/>
      <c r="I37" s="305"/>
      <c r="J37" s="305"/>
      <c r="K37" s="305"/>
      <c r="L37" s="305"/>
      <c r="M37" s="305"/>
      <c r="N37" s="305"/>
      <c r="O37" s="305"/>
      <c r="P37" s="305"/>
      <c r="Q37" s="20"/>
    </row>
    <row r="38" spans="1:17">
      <c r="A38" s="19"/>
      <c r="B38" s="305"/>
      <c r="C38" s="305"/>
      <c r="D38" s="305"/>
      <c r="E38" s="305"/>
      <c r="F38" s="305"/>
      <c r="G38" s="305"/>
      <c r="H38" s="305"/>
      <c r="I38" s="305"/>
      <c r="J38" s="305"/>
      <c r="K38" s="305"/>
      <c r="L38" s="305"/>
      <c r="M38" s="305"/>
      <c r="N38" s="305"/>
      <c r="O38" s="305"/>
      <c r="P38" s="305"/>
      <c r="Q38" s="20"/>
    </row>
    <row r="39" spans="1:17">
      <c r="A39" s="19"/>
      <c r="B39" s="305"/>
      <c r="C39" s="305"/>
      <c r="D39" s="305"/>
      <c r="E39" s="305"/>
      <c r="F39" s="305"/>
      <c r="G39" s="305"/>
      <c r="H39" s="305"/>
      <c r="I39" s="305"/>
      <c r="J39" s="305"/>
      <c r="K39" s="305"/>
      <c r="L39" s="305"/>
      <c r="M39" s="305"/>
      <c r="N39" s="305"/>
      <c r="O39" s="305"/>
      <c r="P39" s="305"/>
      <c r="Q39" s="20"/>
    </row>
    <row r="40" spans="1:17">
      <c r="A40" s="19"/>
      <c r="B40" s="305"/>
      <c r="C40" s="305"/>
      <c r="D40" s="305"/>
      <c r="E40" s="305"/>
      <c r="F40" s="305"/>
      <c r="G40" s="305"/>
      <c r="H40" s="305"/>
      <c r="I40" s="305"/>
      <c r="J40" s="305"/>
      <c r="K40" s="305"/>
      <c r="L40" s="305"/>
      <c r="M40" s="305"/>
      <c r="N40" s="305"/>
      <c r="O40" s="305"/>
      <c r="P40" s="305"/>
      <c r="Q40" s="20"/>
    </row>
    <row r="41" spans="1:17" ht="15.75" thickBot="1">
      <c r="A41" s="19"/>
      <c r="B41" s="305"/>
      <c r="C41" s="305"/>
      <c r="D41" s="305"/>
      <c r="E41" s="305"/>
      <c r="F41" s="305"/>
      <c r="G41" s="305"/>
      <c r="H41" s="305"/>
      <c r="I41" s="305"/>
      <c r="J41" s="305"/>
      <c r="K41" s="305"/>
      <c r="L41" s="305"/>
      <c r="M41" s="305"/>
      <c r="N41" s="305"/>
      <c r="O41" s="305"/>
      <c r="P41" s="305"/>
      <c r="Q41" s="20"/>
    </row>
    <row r="42" spans="1:17">
      <c r="A42" s="19"/>
      <c r="B42" s="813" t="s">
        <v>435</v>
      </c>
      <c r="C42" s="813"/>
      <c r="D42" s="813"/>
      <c r="E42" s="813"/>
      <c r="F42" s="813"/>
      <c r="G42" s="813"/>
      <c r="H42" s="813"/>
      <c r="I42" s="813"/>
      <c r="J42" s="813"/>
      <c r="K42" s="813"/>
      <c r="L42" s="813"/>
      <c r="M42" s="813"/>
      <c r="N42" s="813"/>
      <c r="O42" s="813"/>
      <c r="P42" s="813"/>
      <c r="Q42" s="814"/>
    </row>
    <row r="43" spans="1:17">
      <c r="A43" s="19"/>
      <c r="B43" s="815"/>
      <c r="C43" s="815"/>
      <c r="D43" s="815"/>
      <c r="E43" s="815"/>
      <c r="F43" s="815"/>
      <c r="G43" s="815"/>
      <c r="H43" s="815"/>
      <c r="I43" s="815"/>
      <c r="J43" s="815"/>
      <c r="K43" s="815"/>
      <c r="L43" s="815"/>
      <c r="M43" s="815"/>
      <c r="N43" s="815"/>
      <c r="O43" s="815"/>
      <c r="P43" s="815"/>
      <c r="Q43" s="816"/>
    </row>
    <row r="44" spans="1:17" ht="23.25">
      <c r="A44" s="19"/>
      <c r="B44" s="817" t="s">
        <v>436</v>
      </c>
      <c r="C44" s="818"/>
      <c r="D44" s="818"/>
      <c r="E44" s="818"/>
      <c r="F44" s="818"/>
      <c r="G44" s="818"/>
      <c r="H44" s="818"/>
      <c r="I44" s="818"/>
      <c r="J44" s="818"/>
      <c r="K44" s="818"/>
      <c r="L44" s="818"/>
      <c r="M44" s="818"/>
      <c r="N44" s="818"/>
      <c r="O44" s="818"/>
      <c r="P44" s="818"/>
      <c r="Q44" s="819"/>
    </row>
    <row r="45" spans="1:17">
      <c r="A45" s="19"/>
      <c r="B45" s="820" t="s">
        <v>437</v>
      </c>
      <c r="C45" s="820"/>
      <c r="D45" s="820"/>
      <c r="E45" s="820"/>
      <c r="F45" s="821"/>
      <c r="G45" s="821"/>
      <c r="H45" s="821"/>
      <c r="I45" s="820"/>
      <c r="J45" s="820"/>
      <c r="K45" s="820"/>
      <c r="L45" s="820"/>
      <c r="M45" s="820"/>
      <c r="N45" s="820"/>
      <c r="O45" s="820"/>
      <c r="P45" s="820"/>
      <c r="Q45" s="822"/>
    </row>
    <row r="46" spans="1:17">
      <c r="A46" s="19"/>
      <c r="B46" s="35" t="s">
        <v>192</v>
      </c>
      <c r="C46" s="36"/>
      <c r="D46" s="36"/>
      <c r="E46" s="105" t="str">
        <f>'04-22Master'!F5</f>
        <v>Burgeon IT Services Pvt.Ltd.</v>
      </c>
      <c r="F46" s="44"/>
      <c r="G46" s="44"/>
      <c r="H46" s="44"/>
      <c r="I46" s="44" t="s">
        <v>142</v>
      </c>
      <c r="J46" s="79"/>
      <c r="K46" s="79"/>
      <c r="L46" s="79"/>
      <c r="M46" s="79"/>
      <c r="N46" s="79"/>
      <c r="O46" s="79"/>
      <c r="P46" s="79"/>
      <c r="Q46" s="657"/>
    </row>
    <row r="47" spans="1:17" ht="15.75">
      <c r="A47" s="19"/>
      <c r="B47" s="38"/>
      <c r="C47" s="415"/>
      <c r="D47" s="415"/>
      <c r="E47" s="40" t="str">
        <f>'04-22Master'!F6</f>
        <v>Siri Mansion LIGB 436 Dr.A S Rao Nagar,Hyderabad</v>
      </c>
      <c r="F47" s="425"/>
      <c r="G47" s="425"/>
      <c r="H47" s="425"/>
      <c r="I47" s="658">
        <f>'04-22Master'!B17</f>
        <v>0</v>
      </c>
      <c r="J47" s="425"/>
      <c r="K47" s="425"/>
      <c r="L47" s="425"/>
      <c r="M47" s="425"/>
      <c r="N47" s="425"/>
      <c r="O47" s="425"/>
      <c r="P47" s="425"/>
      <c r="Q47" s="659"/>
    </row>
    <row r="48" spans="1:17">
      <c r="A48" s="19"/>
      <c r="B48" s="41"/>
      <c r="C48" s="42"/>
      <c r="D48" s="42"/>
      <c r="E48" s="43"/>
      <c r="F48" s="80"/>
      <c r="G48" s="80"/>
      <c r="H48" s="80"/>
      <c r="I48" s="80"/>
      <c r="J48" s="80"/>
      <c r="K48" s="80"/>
      <c r="L48" s="80"/>
      <c r="M48" s="80"/>
      <c r="N48" s="80"/>
      <c r="O48" s="80"/>
      <c r="P48" s="80"/>
      <c r="Q48" s="660"/>
    </row>
    <row r="49" spans="1:17">
      <c r="A49" s="19"/>
      <c r="B49" s="106" t="s">
        <v>438</v>
      </c>
      <c r="D49" s="665">
        <f>'04-22Master'!I17</f>
        <v>0</v>
      </c>
    </row>
    <row r="50" spans="1:17">
      <c r="A50" s="19"/>
      <c r="B50" s="76"/>
    </row>
    <row r="51" spans="1:17" ht="15.75" thickBot="1">
      <c r="A51" s="19"/>
      <c r="B51" s="76"/>
    </row>
    <row r="52" spans="1:17" ht="15.75" thickBot="1">
      <c r="A52" s="19"/>
      <c r="B52" s="823" t="s">
        <v>439</v>
      </c>
      <c r="C52" s="824"/>
      <c r="D52" s="824"/>
      <c r="E52" s="824"/>
      <c r="F52" s="825"/>
      <c r="G52" s="826" t="s">
        <v>440</v>
      </c>
      <c r="H52" s="827"/>
      <c r="I52" s="827"/>
      <c r="J52" s="827"/>
      <c r="K52" s="827"/>
      <c r="L52" s="827"/>
      <c r="M52" s="827"/>
      <c r="N52" s="827"/>
      <c r="O52" s="827"/>
      <c r="P52" s="827"/>
      <c r="Q52" s="828"/>
    </row>
    <row r="53" spans="1:17">
      <c r="B53" s="808" t="s">
        <v>441</v>
      </c>
      <c r="C53" s="808" t="s">
        <v>442</v>
      </c>
      <c r="D53" s="808" t="s">
        <v>443</v>
      </c>
      <c r="E53" s="808" t="s">
        <v>444</v>
      </c>
      <c r="F53" s="810" t="s">
        <v>445</v>
      </c>
      <c r="G53" s="810" t="s">
        <v>452</v>
      </c>
      <c r="H53" s="810" t="s">
        <v>451</v>
      </c>
      <c r="I53" s="811" t="s">
        <v>446</v>
      </c>
      <c r="J53" s="811" t="s">
        <v>447</v>
      </c>
      <c r="K53" s="808" t="s">
        <v>448</v>
      </c>
      <c r="L53" s="808" t="s">
        <v>443</v>
      </c>
      <c r="M53" s="808" t="s">
        <v>444</v>
      </c>
      <c r="N53" s="810" t="s">
        <v>445</v>
      </c>
      <c r="O53" s="810" t="s">
        <v>450</v>
      </c>
      <c r="P53" s="808" t="s">
        <v>144</v>
      </c>
      <c r="Q53" s="806" t="s">
        <v>449</v>
      </c>
    </row>
    <row r="54" spans="1:17">
      <c r="B54" s="809"/>
      <c r="C54" s="809"/>
      <c r="D54" s="809"/>
      <c r="E54" s="809"/>
      <c r="F54" s="808"/>
      <c r="G54" s="808"/>
      <c r="H54" s="808"/>
      <c r="I54" s="812"/>
      <c r="J54" s="812"/>
      <c r="K54" s="809"/>
      <c r="L54" s="809"/>
      <c r="M54" s="809"/>
      <c r="N54" s="808"/>
      <c r="O54" s="808"/>
      <c r="P54" s="809"/>
      <c r="Q54" s="807"/>
    </row>
    <row r="55" spans="1:17">
      <c r="B55" s="661">
        <v>1</v>
      </c>
      <c r="C55" s="661">
        <v>2</v>
      </c>
      <c r="D55" s="661">
        <v>3</v>
      </c>
      <c r="E55" s="661">
        <v>4</v>
      </c>
      <c r="F55" s="661">
        <v>5</v>
      </c>
      <c r="G55" s="661"/>
      <c r="H55" s="661"/>
      <c r="I55" s="661">
        <v>6</v>
      </c>
      <c r="J55" s="661">
        <v>7</v>
      </c>
      <c r="K55" s="661">
        <v>8</v>
      </c>
      <c r="L55" s="661">
        <v>9</v>
      </c>
      <c r="M55" s="661">
        <v>10</v>
      </c>
      <c r="N55" s="661">
        <v>11</v>
      </c>
      <c r="O55" s="661"/>
      <c r="P55" s="661">
        <v>12</v>
      </c>
      <c r="Q55" s="662">
        <v>13</v>
      </c>
    </row>
    <row r="56" spans="1:17">
      <c r="B56" s="426"/>
      <c r="C56" s="426"/>
      <c r="D56" s="426"/>
      <c r="E56" s="426"/>
      <c r="F56" s="426"/>
      <c r="G56" s="426"/>
      <c r="H56" s="426"/>
      <c r="I56" s="426"/>
      <c r="J56" s="426"/>
      <c r="K56" s="426"/>
      <c r="L56" s="426"/>
      <c r="M56" s="426"/>
      <c r="N56" s="426"/>
      <c r="O56" s="426"/>
      <c r="P56" s="426"/>
      <c r="Q56" s="663"/>
    </row>
    <row r="57" spans="1:17">
      <c r="A57" s="296"/>
      <c r="B57" s="710"/>
      <c r="C57" s="618"/>
      <c r="D57" s="618"/>
      <c r="E57" s="618"/>
      <c r="F57" s="296"/>
      <c r="G57" s="680"/>
      <c r="H57" s="680"/>
      <c r="I57" s="680"/>
      <c r="J57" s="680"/>
      <c r="K57" s="680"/>
      <c r="L57" s="680"/>
      <c r="M57" s="680"/>
      <c r="N57" s="680"/>
      <c r="O57" s="680"/>
      <c r="P57" s="426"/>
      <c r="Q57" s="663"/>
    </row>
    <row r="58" spans="1:17">
      <c r="B58" s="426"/>
      <c r="C58" s="426"/>
      <c r="D58" s="426"/>
      <c r="E58" s="426"/>
      <c r="F58" s="426"/>
      <c r="G58" s="426"/>
      <c r="H58" s="426"/>
      <c r="I58" s="426"/>
      <c r="J58" s="426"/>
      <c r="K58" s="426"/>
      <c r="L58" s="426"/>
      <c r="M58" s="426"/>
      <c r="N58" s="426"/>
      <c r="O58" s="426"/>
      <c r="P58" s="296"/>
      <c r="Q58" s="426"/>
    </row>
    <row r="59" spans="1:17">
      <c r="B59" s="426"/>
      <c r="C59" s="426"/>
      <c r="D59" s="426"/>
      <c r="E59" s="426"/>
      <c r="F59" s="426"/>
      <c r="G59" s="426"/>
      <c r="H59" s="426"/>
      <c r="I59" s="426"/>
      <c r="J59" s="426"/>
      <c r="K59" s="426"/>
      <c r="L59" s="426"/>
      <c r="M59" s="426"/>
      <c r="N59" s="426"/>
      <c r="O59" s="426"/>
      <c r="P59" s="426"/>
      <c r="Q59" s="663"/>
    </row>
    <row r="60" spans="1:17">
      <c r="B60" s="426"/>
      <c r="C60" s="426"/>
      <c r="D60" s="426"/>
      <c r="E60" s="426"/>
      <c r="F60" s="426"/>
      <c r="G60" s="426"/>
      <c r="H60" s="426"/>
      <c r="I60" s="426"/>
      <c r="J60" s="426"/>
      <c r="K60" s="426"/>
      <c r="L60" s="426"/>
      <c r="M60" s="426"/>
      <c r="N60" s="426"/>
      <c r="O60" s="426"/>
      <c r="P60" s="426"/>
      <c r="Q60" s="663"/>
    </row>
    <row r="61" spans="1:17">
      <c r="B61" s="680"/>
      <c r="C61" s="680"/>
      <c r="D61" s="680"/>
      <c r="E61" s="680"/>
      <c r="F61" s="680"/>
      <c r="G61" s="426"/>
      <c r="H61" s="680"/>
      <c r="I61" s="680"/>
      <c r="J61" s="680"/>
      <c r="K61" s="680"/>
      <c r="L61" s="680"/>
      <c r="M61" s="680"/>
      <c r="N61" s="680"/>
      <c r="O61" s="680"/>
      <c r="P61" s="426"/>
      <c r="Q61" s="663"/>
    </row>
    <row r="62" spans="1:17">
      <c r="B62" s="682"/>
      <c r="C62" s="682"/>
      <c r="D62" s="680"/>
      <c r="E62" s="680"/>
      <c r="F62" s="680"/>
      <c r="G62" s="680"/>
      <c r="H62" s="680"/>
      <c r="I62" s="680"/>
      <c r="J62" s="680"/>
      <c r="K62" s="680"/>
      <c r="L62" s="680"/>
      <c r="M62" s="680"/>
      <c r="N62" s="680"/>
      <c r="O62" s="680"/>
      <c r="P62" s="426"/>
      <c r="Q62" s="663"/>
    </row>
    <row r="63" spans="1:17">
      <c r="B63" s="683"/>
      <c r="C63" s="618"/>
      <c r="D63" s="681"/>
      <c r="E63" s="681"/>
      <c r="F63" s="296"/>
      <c r="G63" s="680"/>
      <c r="H63" s="680"/>
      <c r="I63" s="680"/>
      <c r="J63" s="680"/>
      <c r="K63" s="680"/>
      <c r="L63" s="680"/>
      <c r="M63" s="680"/>
      <c r="N63" s="680"/>
      <c r="O63" s="680"/>
      <c r="P63" s="426"/>
      <c r="Q63" s="663"/>
    </row>
    <row r="64" spans="1:17">
      <c r="B64" s="68"/>
      <c r="G64" s="296"/>
      <c r="H64" s="296"/>
      <c r="I64" s="426"/>
      <c r="J64" s="296"/>
      <c r="K64" s="296"/>
      <c r="L64" s="296"/>
      <c r="M64" s="296"/>
      <c r="N64" s="296"/>
      <c r="O64" s="296"/>
      <c r="P64" s="426"/>
      <c r="Q64" s="663"/>
    </row>
    <row r="65" spans="2:17">
      <c r="B65" s="426"/>
      <c r="C65" s="296"/>
      <c r="D65" s="296"/>
      <c r="E65" s="296"/>
      <c r="F65" s="296"/>
      <c r="G65" s="296"/>
      <c r="H65" s="296"/>
      <c r="I65" s="296"/>
      <c r="J65" s="296"/>
      <c r="K65" s="296"/>
      <c r="L65" s="296"/>
      <c r="M65" s="296"/>
      <c r="N65" s="296"/>
      <c r="O65" s="296"/>
      <c r="P65" s="426"/>
      <c r="Q65" s="663"/>
    </row>
    <row r="66" spans="2:17">
      <c r="B66" s="426"/>
      <c r="C66" s="664"/>
      <c r="D66" s="664"/>
      <c r="E66" s="426"/>
      <c r="F66" s="296"/>
      <c r="G66" s="296"/>
      <c r="H66" s="296"/>
      <c r="I66" s="426"/>
      <c r="J66" s="296"/>
      <c r="K66" s="296"/>
      <c r="L66" s="296"/>
      <c r="M66" s="296"/>
      <c r="N66" s="296"/>
      <c r="O66" s="296"/>
      <c r="P66" s="426"/>
      <c r="Q66" s="663"/>
    </row>
    <row r="67" spans="2:17">
      <c r="B67" s="426"/>
      <c r="C67" s="664"/>
      <c r="D67" s="664"/>
      <c r="E67" s="426"/>
      <c r="F67" s="296"/>
      <c r="G67" s="296"/>
      <c r="H67" s="296"/>
      <c r="I67" s="426"/>
      <c r="J67" s="296"/>
      <c r="K67" s="296"/>
      <c r="L67" s="296"/>
      <c r="M67" s="296"/>
      <c r="N67" s="296"/>
      <c r="O67" s="296"/>
      <c r="P67" s="426"/>
      <c r="Q67" s="663"/>
    </row>
    <row r="68" spans="2:17">
      <c r="B68" s="426"/>
      <c r="C68" s="426"/>
      <c r="D68" s="426"/>
      <c r="E68" s="426"/>
      <c r="F68" s="296"/>
      <c r="G68" s="296"/>
      <c r="H68" s="296"/>
      <c r="I68" s="426"/>
      <c r="J68" s="296"/>
      <c r="K68" s="296"/>
      <c r="L68" s="296"/>
      <c r="M68" s="296"/>
      <c r="N68" s="296"/>
      <c r="O68" s="296"/>
      <c r="P68" s="426"/>
      <c r="Q68" s="663"/>
    </row>
    <row r="69" spans="2:17">
      <c r="B69" s="426"/>
      <c r="C69" s="426"/>
      <c r="D69" s="426"/>
      <c r="E69" s="426"/>
      <c r="F69" s="426"/>
      <c r="G69" s="426"/>
      <c r="H69" s="426"/>
      <c r="I69" s="426"/>
      <c r="J69" s="426"/>
      <c r="K69" s="426"/>
      <c r="L69" s="426"/>
      <c r="M69" s="426"/>
      <c r="N69" s="426"/>
      <c r="O69" s="426"/>
      <c r="P69" s="426"/>
      <c r="Q69" s="663"/>
    </row>
    <row r="70" spans="2:17">
      <c r="B70" s="305"/>
      <c r="C70" s="305"/>
      <c r="D70" s="305"/>
      <c r="E70" s="305"/>
      <c r="F70" s="305"/>
      <c r="G70" s="305"/>
      <c r="H70" s="305"/>
      <c r="I70" s="305"/>
      <c r="J70" s="305"/>
      <c r="K70" s="305"/>
      <c r="L70" s="305"/>
      <c r="M70" s="305"/>
      <c r="N70" s="305"/>
      <c r="O70" s="305"/>
      <c r="P70" s="305"/>
      <c r="Q70" s="20"/>
    </row>
    <row r="71" spans="2:17">
      <c r="B71" s="305"/>
      <c r="C71" s="305"/>
      <c r="D71" s="305"/>
      <c r="E71" s="305"/>
      <c r="F71" s="305"/>
      <c r="G71" s="305"/>
      <c r="H71" s="305"/>
      <c r="I71" s="305"/>
      <c r="J71" s="305" t="s">
        <v>38</v>
      </c>
      <c r="K71" s="305"/>
      <c r="L71" s="305"/>
      <c r="M71" s="305"/>
      <c r="N71" s="305"/>
      <c r="O71" s="305"/>
      <c r="P71" s="305"/>
      <c r="Q71" s="20"/>
    </row>
    <row r="72" spans="2:17">
      <c r="B72" s="305"/>
      <c r="C72" s="305"/>
      <c r="D72" s="305"/>
      <c r="E72" s="305"/>
      <c r="F72" s="305"/>
      <c r="G72" s="305"/>
      <c r="H72" s="305"/>
      <c r="I72" s="305"/>
      <c r="J72" s="305"/>
      <c r="K72" s="305"/>
      <c r="L72" s="305"/>
      <c r="M72" s="305"/>
      <c r="N72" s="305"/>
      <c r="O72" s="305"/>
      <c r="P72" s="305"/>
      <c r="Q72" s="20"/>
    </row>
    <row r="73" spans="2:17" ht="15.75" thickBot="1">
      <c r="B73" s="29"/>
      <c r="C73" s="29"/>
      <c r="D73" s="29"/>
      <c r="E73" s="29"/>
      <c r="F73" s="29"/>
      <c r="G73" s="29"/>
      <c r="H73" s="29"/>
      <c r="I73" s="29"/>
      <c r="J73" s="29"/>
      <c r="K73" s="29"/>
      <c r="L73" s="29"/>
      <c r="M73" s="29"/>
      <c r="N73" s="29"/>
      <c r="O73" s="29"/>
      <c r="P73" s="29"/>
      <c r="Q73" s="30"/>
    </row>
  </sheetData>
  <protectedRanges>
    <protectedRange password="CA4D" sqref="F5:H5 B5:D7 E6:E7 F46:H46 B46:D48 E47:E48" name="Range1_2"/>
    <protectedRange password="CA4D" sqref="J5:Q7 I5 F6:I7 J46:Q48 I46 F47:I48" name="Range1_4"/>
    <protectedRange password="CA4D" sqref="F10:H10 J8:Q11 G11 F8:I8 I9:I10 F51:H51 J49:Q52 G52 F49:I49 I50:I51" name="Range1_5"/>
    <protectedRange password="CA4D" sqref="B8:E11 B49:E52" name="Range1_6"/>
  </protectedRanges>
  <mergeCells count="42">
    <mergeCell ref="B1:Q2"/>
    <mergeCell ref="B3:Q3"/>
    <mergeCell ref="B4:Q4"/>
    <mergeCell ref="B11:F11"/>
    <mergeCell ref="B12:B13"/>
    <mergeCell ref="C12:C13"/>
    <mergeCell ref="D12:D13"/>
    <mergeCell ref="E12:E13"/>
    <mergeCell ref="F12:F13"/>
    <mergeCell ref="G11:Q11"/>
    <mergeCell ref="I12:I13"/>
    <mergeCell ref="J12:J13"/>
    <mergeCell ref="K12:K13"/>
    <mergeCell ref="L12:L13"/>
    <mergeCell ref="M12:M13"/>
    <mergeCell ref="N12:N13"/>
    <mergeCell ref="P12:P13"/>
    <mergeCell ref="Q12:Q13"/>
    <mergeCell ref="O12:O13"/>
    <mergeCell ref="G12:G13"/>
    <mergeCell ref="H12:H13"/>
    <mergeCell ref="B42:Q43"/>
    <mergeCell ref="B44:Q44"/>
    <mergeCell ref="B45:Q45"/>
    <mergeCell ref="B52:F52"/>
    <mergeCell ref="G52:Q52"/>
    <mergeCell ref="B53:B54"/>
    <mergeCell ref="C53:C54"/>
    <mergeCell ref="D53:D54"/>
    <mergeCell ref="E53:E54"/>
    <mergeCell ref="F53:F54"/>
    <mergeCell ref="G53:G54"/>
    <mergeCell ref="H53:H54"/>
    <mergeCell ref="I53:I54"/>
    <mergeCell ref="J53:J54"/>
    <mergeCell ref="K53:K54"/>
    <mergeCell ref="Q53:Q54"/>
    <mergeCell ref="L53:L54"/>
    <mergeCell ref="M53:M54"/>
    <mergeCell ref="N53:N54"/>
    <mergeCell ref="O53:O54"/>
    <mergeCell ref="P53:P54"/>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J21"/>
  <sheetViews>
    <sheetView tabSelected="1" topLeftCell="N4" zoomScale="84" zoomScaleNormal="84" workbookViewId="0">
      <selection activeCell="A15" sqref="A15"/>
    </sheetView>
  </sheetViews>
  <sheetFormatPr defaultRowHeight="15.75"/>
  <cols>
    <col min="1" max="1" width="5.140625" style="8" customWidth="1"/>
    <col min="2" max="2" width="26.140625" customWidth="1"/>
    <col min="3" max="3" width="8.28515625" customWidth="1"/>
    <col min="4" max="4" width="30.5703125" customWidth="1"/>
    <col min="5" max="5" width="7.85546875" customWidth="1"/>
    <col min="6" max="6" width="7.5703125" customWidth="1"/>
    <col min="7" max="7" width="11" style="2" customWidth="1"/>
    <col min="8" max="8" width="9.28515625" customWidth="1"/>
    <col min="9" max="9" width="7.7109375" customWidth="1"/>
    <col min="10" max="10" width="5.5703125" customWidth="1"/>
    <col min="11" max="11" width="10" customWidth="1"/>
    <col min="12" max="12" width="8" customWidth="1"/>
    <col min="13" max="13" width="7.7109375" customWidth="1"/>
    <col min="14" max="14" width="8.5703125" customWidth="1"/>
    <col min="15" max="15" width="9.7109375" customWidth="1"/>
    <col min="16" max="16" width="9.140625" customWidth="1"/>
    <col min="17" max="17" width="10.85546875" customWidth="1"/>
    <col min="18" max="18" width="11.85546875" customWidth="1"/>
    <col min="19" max="19" width="10.140625" customWidth="1"/>
    <col min="20" max="20" width="6.5703125" customWidth="1"/>
    <col min="21" max="21" width="9.5703125" customWidth="1"/>
    <col min="22" max="22" width="6.7109375" style="8" customWidth="1"/>
    <col min="23" max="23" width="7.7109375" style="8" customWidth="1"/>
    <col min="24" max="24" width="8" style="8" customWidth="1"/>
    <col min="25" max="25" width="7.7109375" style="8" customWidth="1"/>
    <col min="26" max="26" width="8.140625" style="8" customWidth="1"/>
    <col min="27" max="27" width="7.42578125" style="311" customWidth="1"/>
    <col min="28" max="28" width="8" style="8" customWidth="1"/>
    <col min="29" max="29" width="8.5703125" customWidth="1"/>
    <col min="30" max="30" width="12.140625" customWidth="1"/>
    <col min="31" max="31" width="9.85546875" customWidth="1"/>
    <col min="32" max="32" width="21.42578125" bestFit="1" customWidth="1"/>
    <col min="33" max="33" width="17.85546875" customWidth="1"/>
  </cols>
  <sheetData>
    <row r="1" spans="1:37">
      <c r="A1" s="481"/>
      <c r="B1" s="82"/>
      <c r="C1" s="82"/>
      <c r="D1" s="82"/>
      <c r="E1" s="82"/>
      <c r="F1" s="82"/>
      <c r="G1" s="482"/>
      <c r="H1" s="82"/>
      <c r="I1" s="82"/>
      <c r="J1" s="82"/>
      <c r="K1" s="82"/>
      <c r="L1" s="82"/>
      <c r="M1" s="82"/>
      <c r="N1" s="82"/>
      <c r="O1" s="82"/>
      <c r="P1" s="82"/>
      <c r="Q1" s="82"/>
      <c r="R1" s="82"/>
      <c r="S1" s="82"/>
      <c r="T1" s="82"/>
      <c r="U1" s="82"/>
      <c r="V1" s="476"/>
      <c r="W1" s="476"/>
      <c r="X1" s="476"/>
      <c r="Y1" s="476"/>
      <c r="Z1" s="476"/>
      <c r="AA1" s="476"/>
      <c r="AB1" s="476"/>
      <c r="AC1" s="82"/>
      <c r="AD1" s="82"/>
      <c r="AE1" s="82"/>
      <c r="AF1" s="82"/>
      <c r="AG1" s="83"/>
    </row>
    <row r="2" spans="1:37">
      <c r="A2" s="477"/>
      <c r="B2" s="305"/>
      <c r="C2" s="305"/>
      <c r="D2" s="305"/>
      <c r="E2" s="305"/>
      <c r="F2" s="305"/>
      <c r="G2" s="483"/>
      <c r="H2" s="305"/>
      <c r="I2" s="305"/>
      <c r="J2" s="305"/>
      <c r="K2" s="305"/>
      <c r="L2" s="305"/>
      <c r="M2" s="305"/>
      <c r="N2" s="305"/>
      <c r="O2" s="305"/>
      <c r="P2" s="305"/>
      <c r="Q2" s="305"/>
      <c r="R2" s="305"/>
      <c r="S2" s="305"/>
      <c r="T2" s="305"/>
      <c r="U2" s="305"/>
      <c r="V2" s="499"/>
      <c r="W2" s="499"/>
      <c r="X2" s="499"/>
      <c r="Y2" s="499"/>
      <c r="Z2" s="499"/>
      <c r="AA2" s="499"/>
      <c r="AB2" s="499"/>
      <c r="AC2" s="305"/>
      <c r="AD2" s="305"/>
      <c r="AE2" s="305"/>
      <c r="AF2" s="305"/>
      <c r="AG2" s="20"/>
    </row>
    <row r="3" spans="1:37" ht="43.5" customHeight="1">
      <c r="A3" s="793" t="s">
        <v>428</v>
      </c>
      <c r="B3" s="794"/>
      <c r="C3" s="794"/>
      <c r="D3" s="794"/>
      <c r="E3" s="794"/>
      <c r="F3" s="794"/>
      <c r="G3" s="794"/>
      <c r="H3" s="794"/>
      <c r="I3" s="794"/>
      <c r="J3" s="794"/>
      <c r="K3" s="794"/>
      <c r="L3" s="794"/>
      <c r="M3" s="794"/>
      <c r="N3" s="794"/>
      <c r="O3" s="794"/>
      <c r="P3" s="794"/>
      <c r="Q3" s="794"/>
      <c r="R3" s="794"/>
      <c r="S3" s="794"/>
      <c r="T3" s="794"/>
      <c r="U3" s="794"/>
      <c r="V3" s="794"/>
      <c r="W3" s="794"/>
      <c r="X3" s="794"/>
      <c r="Y3" s="794"/>
      <c r="Z3" s="794"/>
      <c r="AA3" s="794"/>
      <c r="AB3" s="794"/>
      <c r="AC3" s="794"/>
      <c r="AD3" s="794"/>
      <c r="AE3" s="794"/>
      <c r="AF3" s="794"/>
      <c r="AG3" s="795"/>
    </row>
    <row r="4" spans="1:37">
      <c r="A4" s="477"/>
      <c r="B4" s="305"/>
      <c r="C4" s="305"/>
      <c r="D4" s="305"/>
      <c r="E4" s="305"/>
      <c r="F4" s="305"/>
      <c r="G4" s="483"/>
      <c r="H4" s="305"/>
      <c r="I4" s="305"/>
      <c r="J4" s="305"/>
      <c r="K4" s="305"/>
      <c r="L4" s="305"/>
      <c r="M4" s="305"/>
      <c r="N4" s="305"/>
      <c r="O4" s="305"/>
      <c r="P4" s="305"/>
      <c r="Q4" s="305"/>
      <c r="R4" s="305"/>
      <c r="S4" s="305"/>
      <c r="T4" s="305"/>
      <c r="U4" s="305"/>
      <c r="V4" s="499"/>
      <c r="W4" s="499"/>
      <c r="X4" s="499"/>
      <c r="Y4" s="499"/>
      <c r="Z4" s="499"/>
      <c r="AA4" s="499"/>
      <c r="AB4" s="499"/>
      <c r="AC4" s="305"/>
      <c r="AD4" s="305"/>
      <c r="AE4" s="305"/>
      <c r="AF4" s="305"/>
      <c r="AG4" s="20"/>
    </row>
    <row r="5" spans="1:37" ht="43.5" customHeight="1">
      <c r="A5" s="796" t="s">
        <v>0</v>
      </c>
      <c r="B5" s="797"/>
      <c r="C5" s="797"/>
      <c r="D5" s="484" t="str">
        <f>'04-22Master'!F5</f>
        <v>Burgeon IT Services Pvt.Ltd.</v>
      </c>
      <c r="E5" s="305"/>
      <c r="F5" s="305"/>
      <c r="G5" s="483"/>
      <c r="H5" s="305"/>
      <c r="I5" s="305"/>
      <c r="J5" s="305"/>
      <c r="K5" s="305"/>
      <c r="L5" s="305"/>
      <c r="M5" s="305"/>
      <c r="N5" s="305"/>
      <c r="O5" s="305"/>
      <c r="P5" s="485"/>
      <c r="Q5" s="485"/>
      <c r="R5" s="485"/>
      <c r="S5" s="485"/>
      <c r="T5" s="305"/>
      <c r="U5" s="485" t="s">
        <v>1</v>
      </c>
      <c r="V5" s="485"/>
      <c r="W5" s="485"/>
      <c r="X5" s="485"/>
      <c r="Y5" s="485"/>
      <c r="Z5" s="499"/>
      <c r="AA5" s="499"/>
      <c r="AB5" s="486" t="str">
        <f>'04-22Master'!AJ5</f>
        <v>Burgeon IT Services Pvt.Ltd.</v>
      </c>
      <c r="AC5" s="306"/>
      <c r="AD5" s="306"/>
      <c r="AE5" s="306"/>
      <c r="AF5" s="306"/>
      <c r="AG5" s="88"/>
      <c r="AH5" s="4"/>
      <c r="AI5" s="4"/>
      <c r="AJ5" s="4"/>
      <c r="AK5" s="4"/>
    </row>
    <row r="6" spans="1:37" ht="20.45" customHeight="1">
      <c r="A6" s="488"/>
      <c r="B6" s="305"/>
      <c r="C6" s="305"/>
      <c r="D6" s="489" t="str">
        <f>'04-22Master'!F6</f>
        <v>Siri Mansion LIGB 436 Dr.A S Rao Nagar,Hyderabad</v>
      </c>
      <c r="E6" s="305"/>
      <c r="F6" s="305"/>
      <c r="G6" s="483"/>
      <c r="H6" s="305"/>
      <c r="I6" s="305"/>
      <c r="J6" s="305"/>
      <c r="K6" s="490"/>
      <c r="L6" s="490"/>
      <c r="M6" s="490"/>
      <c r="N6" s="490"/>
      <c r="O6" s="490"/>
      <c r="P6" s="490"/>
      <c r="Q6" s="490"/>
      <c r="R6" s="490"/>
      <c r="S6" s="490"/>
      <c r="T6" s="490"/>
      <c r="U6" s="490"/>
      <c r="V6" s="499"/>
      <c r="W6" s="499"/>
      <c r="X6" s="499"/>
      <c r="Y6" s="305"/>
      <c r="Z6" s="499"/>
      <c r="AA6" s="499"/>
      <c r="AB6" s="489" t="str">
        <f>'04-22Master'!AJ6</f>
        <v>Siri Mansion LIGB 436 Dr.A S Rao Nagar,Hyderabad</v>
      </c>
      <c r="AC6" s="506"/>
      <c r="AD6" s="506"/>
      <c r="AE6" s="506"/>
      <c r="AF6" s="506"/>
      <c r="AG6" s="507"/>
      <c r="AH6" s="9"/>
      <c r="AI6" s="9"/>
      <c r="AJ6" s="9"/>
      <c r="AK6" s="9"/>
    </row>
    <row r="7" spans="1:37">
      <c r="A7" s="796" t="s">
        <v>2</v>
      </c>
      <c r="B7" s="797"/>
      <c r="C7" s="797"/>
      <c r="D7" s="491" t="str">
        <f>'04-22Master'!F8</f>
        <v>IT SUPPORTIVE SERVICES</v>
      </c>
      <c r="E7" s="305"/>
      <c r="F7" s="305"/>
      <c r="G7" s="483"/>
      <c r="H7" s="305"/>
      <c r="I7" s="305"/>
      <c r="J7" s="305"/>
      <c r="K7" s="490"/>
      <c r="L7" s="490"/>
      <c r="M7" s="490"/>
      <c r="N7" s="490"/>
      <c r="O7" s="490"/>
      <c r="P7" s="490"/>
      <c r="Q7" s="490"/>
      <c r="R7" s="490"/>
      <c r="S7" s="490"/>
      <c r="T7" s="490"/>
      <c r="U7" s="490"/>
      <c r="V7" s="499"/>
      <c r="W7" s="499"/>
      <c r="X7" s="492"/>
      <c r="Y7" s="492"/>
      <c r="Z7" s="492"/>
      <c r="AA7" s="492"/>
      <c r="AB7" s="492"/>
      <c r="AC7" s="492"/>
      <c r="AD7" s="492"/>
      <c r="AE7" s="492"/>
      <c r="AF7" s="492"/>
      <c r="AG7" s="508"/>
      <c r="AH7" s="11"/>
      <c r="AI7" s="11"/>
      <c r="AJ7" s="11"/>
      <c r="AK7" s="11"/>
    </row>
    <row r="8" spans="1:37">
      <c r="A8" s="488"/>
      <c r="B8" s="305"/>
      <c r="C8" s="305"/>
      <c r="D8" s="305"/>
      <c r="E8" s="305"/>
      <c r="F8" s="305"/>
      <c r="G8" s="483"/>
      <c r="H8" s="305"/>
      <c r="I8" s="305"/>
      <c r="J8" s="305"/>
      <c r="K8" s="490"/>
      <c r="L8" s="490"/>
      <c r="M8" s="490"/>
      <c r="N8" s="490"/>
      <c r="O8" s="490"/>
      <c r="P8" s="490"/>
      <c r="Q8" s="490"/>
      <c r="R8" s="490"/>
      <c r="S8" s="490"/>
      <c r="T8" s="490"/>
      <c r="U8" s="490"/>
      <c r="V8" s="499"/>
      <c r="W8" s="499"/>
      <c r="X8" s="829"/>
      <c r="Y8" s="829"/>
      <c r="Z8" s="829"/>
      <c r="AA8" s="829"/>
      <c r="AB8" s="829"/>
      <c r="AC8" s="829"/>
      <c r="AD8" s="829"/>
      <c r="AE8" s="829"/>
      <c r="AF8" s="829"/>
      <c r="AG8" s="830"/>
    </row>
    <row r="9" spans="1:37" ht="15" customHeight="1">
      <c r="A9" s="796" t="s">
        <v>3</v>
      </c>
      <c r="B9" s="797"/>
      <c r="C9" s="797"/>
      <c r="D9" s="494">
        <f>'04-22Master'!D10</f>
        <v>44652</v>
      </c>
      <c r="E9" s="305"/>
      <c r="F9" s="305"/>
      <c r="G9" s="483"/>
      <c r="H9" s="305"/>
      <c r="I9" s="305"/>
      <c r="J9" s="305"/>
      <c r="K9" s="475"/>
      <c r="L9" s="475"/>
      <c r="M9" s="475"/>
      <c r="N9" s="475"/>
      <c r="O9" s="475"/>
      <c r="P9" s="495"/>
      <c r="Q9" s="495"/>
      <c r="R9" s="495"/>
      <c r="S9" s="495"/>
      <c r="T9" s="305"/>
      <c r="U9" s="305"/>
      <c r="V9" s="475" t="s">
        <v>4</v>
      </c>
      <c r="W9" s="499"/>
      <c r="X9" s="499"/>
      <c r="Y9" s="306"/>
      <c r="Z9" s="499"/>
      <c r="AA9" s="499"/>
      <c r="AB9" s="475" t="str">
        <f>'04-22Master'!AJ10</f>
        <v xml:space="preserve">INFOSYS  LTD.IL Hyderabad SEZ Unit-3 </v>
      </c>
      <c r="AC9" s="306"/>
      <c r="AD9" s="306"/>
      <c r="AE9" s="306"/>
      <c r="AF9" s="509"/>
      <c r="AG9" s="510"/>
      <c r="AH9" s="4"/>
      <c r="AI9" s="4"/>
    </row>
    <row r="10" spans="1:37" ht="17.45" customHeight="1">
      <c r="A10" s="477"/>
      <c r="B10" s="305"/>
      <c r="C10" s="305"/>
      <c r="D10" s="305"/>
      <c r="E10" s="305"/>
      <c r="F10" s="305"/>
      <c r="G10" s="483"/>
      <c r="H10" s="305"/>
      <c r="I10" s="305"/>
      <c r="J10" s="305"/>
      <c r="K10" s="305"/>
      <c r="L10" s="305"/>
      <c r="M10" s="305"/>
      <c r="N10" s="305"/>
      <c r="O10" s="305"/>
      <c r="P10" s="305"/>
      <c r="Q10" s="305"/>
      <c r="R10" s="305"/>
      <c r="S10" s="305"/>
      <c r="T10" s="305"/>
      <c r="U10" s="305"/>
      <c r="V10" s="499"/>
      <c r="W10" s="499"/>
      <c r="X10" s="499"/>
      <c r="Y10" s="511"/>
      <c r="Z10" s="499"/>
      <c r="AA10" s="499"/>
      <c r="AB10" s="497" t="str">
        <f>'04-22Master'!AJ11</f>
        <v>Sy.No 42,Pocharam Village,Gatkesar Mandal</v>
      </c>
      <c r="AC10" s="506"/>
      <c r="AD10" s="506"/>
      <c r="AE10" s="506"/>
      <c r="AF10" s="506"/>
      <c r="AG10" s="507"/>
      <c r="AH10" s="9"/>
      <c r="AI10" s="9"/>
    </row>
    <row r="11" spans="1:37">
      <c r="A11" s="477"/>
      <c r="B11" s="305"/>
      <c r="C11" s="498"/>
      <c r="D11" s="305"/>
      <c r="E11" s="305"/>
      <c r="F11" s="305"/>
      <c r="G11" s="483"/>
      <c r="H11" s="305"/>
      <c r="I11" s="305"/>
      <c r="J11" s="305"/>
      <c r="K11" s="305"/>
      <c r="L11" s="305"/>
      <c r="M11" s="305"/>
      <c r="N11" s="305"/>
      <c r="O11" s="305"/>
      <c r="P11" s="305"/>
      <c r="Q11" s="305"/>
      <c r="R11" s="305"/>
      <c r="S11" s="305"/>
      <c r="T11" s="305"/>
      <c r="U11" s="305"/>
      <c r="V11" s="499"/>
      <c r="W11" s="499"/>
      <c r="X11" s="499"/>
      <c r="Y11" s="499"/>
      <c r="Z11" s="499"/>
      <c r="AA11" s="499"/>
      <c r="AB11" s="499"/>
      <c r="AC11" s="305"/>
      <c r="AD11" s="305"/>
      <c r="AE11" s="305"/>
      <c r="AF11" s="305"/>
      <c r="AG11" s="20"/>
    </row>
    <row r="12" spans="1:37" ht="16.5" thickBot="1">
      <c r="A12" s="477"/>
      <c r="B12" s="305"/>
      <c r="C12" s="305"/>
      <c r="D12" s="305"/>
      <c r="E12" s="305"/>
      <c r="F12" s="305"/>
      <c r="G12" s="483"/>
      <c r="H12" s="305"/>
      <c r="I12" s="305"/>
      <c r="J12" s="305"/>
      <c r="K12" s="305"/>
      <c r="L12" s="305"/>
      <c r="M12" s="305"/>
      <c r="N12" s="305"/>
      <c r="O12" s="305"/>
      <c r="P12" s="305"/>
      <c r="Q12" s="305"/>
      <c r="R12" s="305"/>
      <c r="S12" s="305"/>
      <c r="T12" s="305"/>
      <c r="U12" s="305"/>
      <c r="V12" s="499"/>
      <c r="W12" s="499"/>
      <c r="X12" s="499"/>
      <c r="Y12" s="499"/>
      <c r="Z12" s="499"/>
      <c r="AA12" s="499"/>
      <c r="AB12" s="499"/>
      <c r="AC12" s="305"/>
      <c r="AD12" s="305"/>
      <c r="AE12" s="305"/>
      <c r="AF12" s="305"/>
      <c r="AG12" s="20"/>
    </row>
    <row r="13" spans="1:37" s="15" customFormat="1" ht="53.25" customHeight="1">
      <c r="A13" s="800" t="s">
        <v>5</v>
      </c>
      <c r="B13" s="751" t="s">
        <v>6</v>
      </c>
      <c r="C13" s="751" t="s">
        <v>7</v>
      </c>
      <c r="D13" s="751" t="s">
        <v>8</v>
      </c>
      <c r="E13" s="751" t="s">
        <v>9</v>
      </c>
      <c r="F13" s="751" t="s">
        <v>10</v>
      </c>
      <c r="G13" s="751" t="s">
        <v>193</v>
      </c>
      <c r="H13" s="751" t="s">
        <v>11</v>
      </c>
      <c r="I13" s="751" t="s">
        <v>12</v>
      </c>
      <c r="J13" s="751" t="s">
        <v>13</v>
      </c>
      <c r="K13" s="751" t="s">
        <v>14</v>
      </c>
      <c r="L13" s="471" t="s">
        <v>15</v>
      </c>
      <c r="M13" s="471" t="s">
        <v>16</v>
      </c>
      <c r="N13" s="471" t="s">
        <v>17</v>
      </c>
      <c r="O13" s="471" t="s">
        <v>18</v>
      </c>
      <c r="P13" s="768" t="s">
        <v>19</v>
      </c>
      <c r="Q13" s="320" t="s">
        <v>20</v>
      </c>
      <c r="R13" s="320" t="s">
        <v>21</v>
      </c>
      <c r="S13" s="320" t="s">
        <v>22</v>
      </c>
      <c r="T13" s="472" t="s">
        <v>23</v>
      </c>
      <c r="U13" s="472" t="s">
        <v>24</v>
      </c>
      <c r="V13" s="770" t="s">
        <v>25</v>
      </c>
      <c r="W13" s="771"/>
      <c r="X13" s="771"/>
      <c r="Y13" s="771"/>
      <c r="Z13" s="771"/>
      <c r="AA13" s="771"/>
      <c r="AB13" s="772"/>
      <c r="AC13" s="751" t="s">
        <v>26</v>
      </c>
      <c r="AD13" s="751" t="s">
        <v>27</v>
      </c>
      <c r="AE13" s="471" t="s">
        <v>28</v>
      </c>
      <c r="AF13" s="751" t="s">
        <v>29</v>
      </c>
      <c r="AG13" s="762" t="s">
        <v>30</v>
      </c>
    </row>
    <row r="14" spans="1:37" ht="75" customHeight="1">
      <c r="A14" s="801"/>
      <c r="B14" s="802"/>
      <c r="C14" s="760"/>
      <c r="D14" s="760"/>
      <c r="E14" s="760"/>
      <c r="F14" s="760"/>
      <c r="G14" s="760"/>
      <c r="H14" s="760"/>
      <c r="I14" s="760"/>
      <c r="J14" s="760"/>
      <c r="K14" s="760"/>
      <c r="L14" s="474"/>
      <c r="M14" s="474"/>
      <c r="N14" s="474"/>
      <c r="O14" s="474"/>
      <c r="P14" s="802"/>
      <c r="Q14" s="473"/>
      <c r="R14" s="473"/>
      <c r="S14" s="473"/>
      <c r="T14" s="473"/>
      <c r="U14" s="473"/>
      <c r="V14" s="512" t="s">
        <v>31</v>
      </c>
      <c r="W14" s="512" t="s">
        <v>32</v>
      </c>
      <c r="X14" s="512" t="s">
        <v>33</v>
      </c>
      <c r="Y14" s="512" t="s">
        <v>34</v>
      </c>
      <c r="Z14" s="512" t="s">
        <v>35</v>
      </c>
      <c r="AA14" s="321" t="s">
        <v>398</v>
      </c>
      <c r="AB14" s="321" t="s">
        <v>36</v>
      </c>
      <c r="AC14" s="760"/>
      <c r="AD14" s="760"/>
      <c r="AE14" s="474"/>
      <c r="AF14" s="760"/>
      <c r="AG14" s="831"/>
    </row>
    <row r="15" spans="1:37" ht="55.15" customHeight="1">
      <c r="A15" s="513">
        <v>1</v>
      </c>
      <c r="B15" s="719" t="str">
        <f>'04-22Master'!P16</f>
        <v>Gaunda Mohammad Arief</v>
      </c>
      <c r="C15" s="429">
        <f>'04-22Master'!A16</f>
        <v>1</v>
      </c>
      <c r="D15" s="515" t="str">
        <f>'04-22Master'!F16</f>
        <v>Senior Consultant</v>
      </c>
      <c r="E15" s="516">
        <f>'04-22Master'!Q16</f>
        <v>30</v>
      </c>
      <c r="F15" s="517">
        <f>'04-22Master'!R16</f>
        <v>29</v>
      </c>
      <c r="G15" s="517">
        <f>'04-22Master'!S16</f>
        <v>80278</v>
      </c>
      <c r="H15" s="518">
        <f>'04-22Master'!T16</f>
        <v>46561.24</v>
      </c>
      <c r="I15" s="429">
        <f>'04-22Master'!U16</f>
        <v>0</v>
      </c>
      <c r="J15" s="429">
        <f>'04-22Master'!V16</f>
        <v>0</v>
      </c>
      <c r="K15" s="322">
        <f>L15+M15+N15+O15</f>
        <v>31153.82666666666</v>
      </c>
      <c r="L15" s="322">
        <f>'04-22Master'!X16</f>
        <v>18624.495999999999</v>
      </c>
      <c r="M15" s="322">
        <f>'04-22Master'!Y16</f>
        <v>2014</v>
      </c>
      <c r="N15" s="322">
        <f>'04-22Master'!Z16</f>
        <v>2014</v>
      </c>
      <c r="O15" s="322">
        <f>'04-22Master'!AA16</f>
        <v>8501.3306666666613</v>
      </c>
      <c r="P15" s="322">
        <f>H15+K15</f>
        <v>77715.066666666651</v>
      </c>
      <c r="Q15" s="429">
        <f>'04-22Master'!AC16</f>
        <v>1555</v>
      </c>
      <c r="R15" s="429">
        <f>'04-22Master'!AD16</f>
        <v>2239.5956439999995</v>
      </c>
      <c r="S15" s="429">
        <f>'04-22Master'!AE16</f>
        <v>3880.103333333333</v>
      </c>
      <c r="T15" s="322">
        <f>'04-22Master'!AF16</f>
        <v>0</v>
      </c>
      <c r="U15" s="322">
        <f>P15+Q15+R15+S15+T15</f>
        <v>85389.765643999985</v>
      </c>
      <c r="V15" s="518">
        <f>'04-22Master'!AH16</f>
        <v>0</v>
      </c>
      <c r="W15" s="322">
        <f>'04-22Master'!AI16</f>
        <v>1800</v>
      </c>
      <c r="X15" s="322">
        <f>'04-22Master'!AJ16</f>
        <v>200</v>
      </c>
      <c r="Y15" s="322">
        <f>'04-22Master'!AK16</f>
        <v>0</v>
      </c>
      <c r="Z15" s="322">
        <f>'04-22Master'!AL16</f>
        <v>440.76132899999999</v>
      </c>
      <c r="AA15" s="322">
        <v>0</v>
      </c>
      <c r="AB15" s="322">
        <f>V15+W15+X15+Y15+Z15+AA15</f>
        <v>2440.7613289999999</v>
      </c>
      <c r="AC15" s="322">
        <f>U15-AB15</f>
        <v>82949.004314999984</v>
      </c>
      <c r="AD15" s="519" t="str">
        <f>'04-22Master'!AO16</f>
        <v>05.05.2022</v>
      </c>
      <c r="AE15" s="519" t="str">
        <f>'04-22Master'!AP16</f>
        <v>Bank of baroda</v>
      </c>
      <c r="AF15" s="520" t="str">
        <f>'04-22Master'!AQ16</f>
        <v>A/C'24218100005896</v>
      </c>
      <c r="AG15" s="521"/>
    </row>
    <row r="16" spans="1:37" s="467" customFormat="1" ht="25.15" customHeight="1">
      <c r="A16" s="513">
        <v>0</v>
      </c>
      <c r="B16" s="514"/>
      <c r="C16" s="429"/>
      <c r="D16" s="515"/>
      <c r="E16" s="516"/>
      <c r="F16" s="517"/>
      <c r="G16" s="517"/>
      <c r="H16" s="518"/>
      <c r="I16" s="429"/>
      <c r="J16" s="429"/>
      <c r="K16" s="322"/>
      <c r="L16" s="322"/>
      <c r="M16" s="322"/>
      <c r="N16" s="322"/>
      <c r="O16" s="322"/>
      <c r="P16" s="322"/>
      <c r="Q16" s="429"/>
      <c r="R16" s="429"/>
      <c r="S16" s="429"/>
      <c r="T16" s="322"/>
      <c r="U16" s="322"/>
      <c r="V16" s="518"/>
      <c r="W16" s="322"/>
      <c r="X16" s="322"/>
      <c r="Y16" s="322"/>
      <c r="Z16" s="322"/>
      <c r="AA16" s="322"/>
      <c r="AB16" s="322"/>
      <c r="AC16" s="322"/>
      <c r="AD16" s="519"/>
      <c r="AE16" s="519"/>
      <c r="AF16" s="520"/>
      <c r="AG16" s="714"/>
    </row>
    <row r="17" spans="1:270" s="734" customFormat="1" ht="25.15" customHeight="1">
      <c r="A17" s="724"/>
      <c r="B17" s="725"/>
      <c r="C17" s="724"/>
      <c r="D17" s="726"/>
      <c r="E17" s="727"/>
      <c r="F17" s="728"/>
      <c r="G17" s="729">
        <f t="shared" ref="G17:AC17" si="0">SUM(G15:G16)</f>
        <v>80278</v>
      </c>
      <c r="H17" s="730">
        <f t="shared" si="0"/>
        <v>46561.24</v>
      </c>
      <c r="I17" s="730">
        <f t="shared" si="0"/>
        <v>0</v>
      </c>
      <c r="J17" s="730">
        <f t="shared" si="0"/>
        <v>0</v>
      </c>
      <c r="K17" s="731">
        <f t="shared" si="0"/>
        <v>31153.82666666666</v>
      </c>
      <c r="L17" s="731">
        <f t="shared" si="0"/>
        <v>18624.495999999999</v>
      </c>
      <c r="M17" s="731">
        <f t="shared" si="0"/>
        <v>2014</v>
      </c>
      <c r="N17" s="731">
        <f t="shared" si="0"/>
        <v>2014</v>
      </c>
      <c r="O17" s="731">
        <f t="shared" si="0"/>
        <v>8501.3306666666613</v>
      </c>
      <c r="P17" s="731">
        <f t="shared" si="0"/>
        <v>77715.066666666651</v>
      </c>
      <c r="Q17" s="731">
        <f t="shared" si="0"/>
        <v>1555</v>
      </c>
      <c r="R17" s="731">
        <f t="shared" si="0"/>
        <v>2239.5956439999995</v>
      </c>
      <c r="S17" s="731">
        <f t="shared" si="0"/>
        <v>3880.103333333333</v>
      </c>
      <c r="T17" s="731">
        <f t="shared" si="0"/>
        <v>0</v>
      </c>
      <c r="U17" s="731">
        <f t="shared" si="0"/>
        <v>85389.765643999985</v>
      </c>
      <c r="V17" s="731">
        <f t="shared" si="0"/>
        <v>0</v>
      </c>
      <c r="W17" s="731">
        <f t="shared" si="0"/>
        <v>1800</v>
      </c>
      <c r="X17" s="731">
        <f t="shared" si="0"/>
        <v>200</v>
      </c>
      <c r="Y17" s="731">
        <f t="shared" si="0"/>
        <v>0</v>
      </c>
      <c r="Z17" s="731">
        <f t="shared" si="0"/>
        <v>440.76132899999999</v>
      </c>
      <c r="AA17" s="731">
        <f t="shared" si="0"/>
        <v>0</v>
      </c>
      <c r="AB17" s="731">
        <f t="shared" si="0"/>
        <v>2440.7613289999999</v>
      </c>
      <c r="AC17" s="731">
        <f t="shared" si="0"/>
        <v>82949.004314999984</v>
      </c>
      <c r="AD17" s="732"/>
      <c r="AE17" s="732"/>
      <c r="AF17" s="733"/>
      <c r="AG17" s="732"/>
    </row>
    <row r="18" spans="1:270" s="467" customFormat="1" ht="25.15" customHeight="1">
      <c r="A18" s="522"/>
      <c r="B18" s="373"/>
      <c r="C18" s="372"/>
      <c r="D18" s="412"/>
      <c r="E18" s="375"/>
      <c r="F18" s="376"/>
      <c r="G18" s="376"/>
      <c r="H18" s="374"/>
      <c r="I18" s="372"/>
      <c r="J18" s="372"/>
      <c r="K18" s="413"/>
      <c r="L18" s="413"/>
      <c r="M18" s="413"/>
      <c r="N18" s="413"/>
      <c r="O18" s="413"/>
      <c r="P18" s="377"/>
      <c r="Q18" s="414"/>
      <c r="R18" s="414"/>
      <c r="S18" s="414"/>
      <c r="T18" s="377"/>
      <c r="U18" s="377"/>
      <c r="V18" s="374"/>
      <c r="W18" s="413"/>
      <c r="X18" s="413"/>
      <c r="Y18" s="413"/>
      <c r="Z18" s="413"/>
      <c r="AA18" s="377"/>
      <c r="AB18" s="413"/>
      <c r="AC18" s="413"/>
      <c r="AD18" s="378"/>
      <c r="AE18" s="378"/>
      <c r="AF18" s="379"/>
      <c r="AG18" s="523"/>
    </row>
    <row r="19" spans="1:270" s="388" customFormat="1" ht="25.15" customHeight="1">
      <c r="A19" s="522"/>
      <c r="B19" s="373"/>
      <c r="C19" s="372"/>
      <c r="D19" s="412"/>
      <c r="E19" s="375"/>
      <c r="F19" s="376"/>
      <c r="G19" s="376"/>
      <c r="H19" s="374"/>
      <c r="I19" s="372"/>
      <c r="J19" s="372"/>
      <c r="K19" s="413"/>
      <c r="L19" s="413"/>
      <c r="M19" s="413"/>
      <c r="N19" s="413"/>
      <c r="O19" s="413"/>
      <c r="P19" s="377"/>
      <c r="Q19" s="414"/>
      <c r="R19" s="414"/>
      <c r="S19" s="414"/>
      <c r="T19" s="377"/>
      <c r="U19" s="377"/>
      <c r="V19" s="374"/>
      <c r="W19" s="413"/>
      <c r="X19" s="413"/>
      <c r="Y19" s="413"/>
      <c r="Z19" s="413"/>
      <c r="AA19" s="377"/>
      <c r="AB19" s="413"/>
      <c r="AC19" s="413"/>
      <c r="AD19" s="378"/>
      <c r="AE19" s="378"/>
      <c r="AF19" s="379"/>
      <c r="AG19" s="523"/>
    </row>
    <row r="20" spans="1:270" s="388" customFormat="1" ht="25.15" customHeight="1">
      <c r="A20" s="522"/>
      <c r="B20" s="373"/>
      <c r="C20" s="372"/>
      <c r="D20" s="412"/>
      <c r="E20" s="375"/>
      <c r="F20" s="376"/>
      <c r="G20" s="376"/>
      <c r="H20" s="374"/>
      <c r="I20" s="372"/>
      <c r="J20" s="372"/>
      <c r="K20" s="413"/>
      <c r="L20" s="413"/>
      <c r="M20" s="413"/>
      <c r="N20" s="413"/>
      <c r="O20" s="413"/>
      <c r="P20" s="377"/>
      <c r="Q20" s="414"/>
      <c r="R20" s="414"/>
      <c r="S20" s="414"/>
      <c r="T20" s="377"/>
      <c r="U20" s="377"/>
      <c r="V20" s="374"/>
      <c r="W20" s="413"/>
      <c r="X20" s="413"/>
      <c r="Y20" s="413"/>
      <c r="Z20" s="413"/>
      <c r="AA20" s="377"/>
      <c r="AB20" s="413"/>
      <c r="AC20" s="413"/>
      <c r="AD20" s="378"/>
      <c r="AE20" s="378"/>
      <c r="AF20" s="379"/>
      <c r="AG20" s="523"/>
    </row>
    <row r="21" spans="1:270" thickBot="1">
      <c r="A21" s="524"/>
      <c r="B21" s="832"/>
      <c r="C21" s="832"/>
      <c r="D21" s="525"/>
      <c r="E21" s="526"/>
      <c r="F21" s="526"/>
      <c r="G21" s="526"/>
      <c r="H21" s="526"/>
      <c r="I21" s="526"/>
      <c r="J21" s="832" t="s">
        <v>418</v>
      </c>
      <c r="K21" s="832"/>
      <c r="L21" s="832"/>
      <c r="M21" s="832"/>
      <c r="N21" s="832"/>
      <c r="O21" s="832"/>
      <c r="P21" s="832"/>
      <c r="Q21" s="832"/>
      <c r="R21" s="832"/>
      <c r="S21" s="832"/>
      <c r="T21" s="832"/>
      <c r="U21" s="832"/>
      <c r="V21" s="832"/>
      <c r="W21" s="832"/>
      <c r="X21" s="832"/>
      <c r="Y21" s="832"/>
      <c r="Z21" s="832"/>
      <c r="AA21" s="832"/>
      <c r="AB21" s="832"/>
      <c r="AC21" s="832"/>
      <c r="AD21" s="832"/>
      <c r="AE21" s="832"/>
      <c r="AF21" s="832"/>
      <c r="AG21" s="52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c r="HD21" s="17"/>
      <c r="HE21" s="17"/>
      <c r="HF21" s="17"/>
      <c r="HG21" s="17"/>
      <c r="HH21" s="17"/>
      <c r="HI21" s="17"/>
      <c r="HJ21" s="17"/>
      <c r="HK21" s="17"/>
      <c r="HL21" s="17"/>
      <c r="HM21" s="17"/>
      <c r="HN21" s="17"/>
      <c r="HO21" s="17"/>
      <c r="HP21" s="17"/>
      <c r="HQ21" s="17"/>
      <c r="HR21" s="17"/>
      <c r="HS21" s="17"/>
      <c r="HT21" s="17"/>
      <c r="HU21" s="17"/>
      <c r="HV21" s="17"/>
      <c r="HW21" s="17"/>
      <c r="HX21" s="17"/>
      <c r="HY21" s="17"/>
      <c r="HZ21" s="17"/>
      <c r="IA21" s="17"/>
      <c r="IB21" s="17"/>
      <c r="IC21" s="17"/>
      <c r="ID21" s="17"/>
      <c r="IE21" s="17"/>
      <c r="IF21" s="17"/>
      <c r="IG21" s="17"/>
      <c r="IH21" s="17"/>
      <c r="II21" s="17"/>
      <c r="IJ21" s="17"/>
      <c r="IK21" s="17"/>
      <c r="IL21" s="17"/>
      <c r="IM21" s="17"/>
      <c r="IN21" s="17"/>
      <c r="IO21" s="17"/>
      <c r="IP21" s="17"/>
      <c r="IQ21" s="17"/>
      <c r="IR21" s="17"/>
      <c r="IS21" s="17"/>
      <c r="IT21" s="17"/>
      <c r="IU21" s="17"/>
      <c r="IV21" s="17"/>
      <c r="IW21" s="17"/>
      <c r="IX21" s="17"/>
      <c r="IY21" s="17"/>
      <c r="IZ21" s="17"/>
      <c r="JA21" s="17"/>
      <c r="JB21" s="17"/>
      <c r="JC21" s="17"/>
      <c r="JD21" s="17"/>
      <c r="JE21" s="17"/>
      <c r="JF21" s="17"/>
      <c r="JG21" s="17"/>
      <c r="JH21" s="17"/>
      <c r="JI21" s="17"/>
      <c r="JJ21" s="17"/>
    </row>
  </sheetData>
  <mergeCells count="24">
    <mergeCell ref="AG13:AG14"/>
    <mergeCell ref="B21:C21"/>
    <mergeCell ref="J21:AF21"/>
    <mergeCell ref="G13:G14"/>
    <mergeCell ref="H13:H14"/>
    <mergeCell ref="I13:I14"/>
    <mergeCell ref="J13:J14"/>
    <mergeCell ref="K13:K14"/>
    <mergeCell ref="P13:P14"/>
    <mergeCell ref="F13:F14"/>
    <mergeCell ref="V13:AB13"/>
    <mergeCell ref="AC13:AC14"/>
    <mergeCell ref="AD13:AD14"/>
    <mergeCell ref="AF13:AF14"/>
    <mergeCell ref="A13:A14"/>
    <mergeCell ref="B13:B14"/>
    <mergeCell ref="C13:C14"/>
    <mergeCell ref="D13:D14"/>
    <mergeCell ref="E13:E14"/>
    <mergeCell ref="A3:AG3"/>
    <mergeCell ref="A5:C5"/>
    <mergeCell ref="A7:C7"/>
    <mergeCell ref="X8:AG8"/>
    <mergeCell ref="A9:C9"/>
  </mergeCells>
  <printOptions horizontalCentered="1" verticalCentered="1"/>
  <pageMargins left="0" right="0" top="0" bottom="0" header="0.31496062992126" footer="0.31496062992126"/>
  <pageSetup paperSize="9" scale="40" orientation="landscape" horizontalDpi="4294967293"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834"/>
  <sheetViews>
    <sheetView topLeftCell="B28" zoomScale="115" zoomScaleNormal="115" workbookViewId="0">
      <selection activeCell="C39" sqref="C39"/>
    </sheetView>
  </sheetViews>
  <sheetFormatPr defaultRowHeight="15"/>
  <cols>
    <col min="2" max="2" width="9.42578125" customWidth="1"/>
    <col min="3" max="3" width="9.7109375" customWidth="1"/>
    <col min="4" max="4" width="9" customWidth="1"/>
    <col min="6" max="6" width="9.140625" customWidth="1"/>
    <col min="7" max="7" width="9" customWidth="1"/>
    <col min="8" max="8" width="9.28515625" customWidth="1"/>
    <col min="10" max="10" width="14.7109375" customWidth="1"/>
    <col min="11" max="11" width="9.42578125" customWidth="1"/>
    <col min="12" max="12" width="17.5703125" customWidth="1"/>
  </cols>
  <sheetData>
    <row r="1" spans="2:12" ht="32.25">
      <c r="B1" s="853" t="s">
        <v>114</v>
      </c>
      <c r="C1" s="854"/>
      <c r="D1" s="854"/>
      <c r="E1" s="854"/>
      <c r="F1" s="854"/>
      <c r="G1" s="854"/>
      <c r="H1" s="854"/>
      <c r="I1" s="854"/>
      <c r="J1" s="854"/>
      <c r="K1" s="854"/>
      <c r="L1" s="855"/>
    </row>
    <row r="2" spans="2:12" ht="23.25">
      <c r="B2" s="856" t="s">
        <v>115</v>
      </c>
      <c r="C2" s="857"/>
      <c r="D2" s="857"/>
      <c r="E2" s="857"/>
      <c r="F2" s="857"/>
      <c r="G2" s="857"/>
      <c r="H2" s="857"/>
      <c r="I2" s="857"/>
      <c r="J2" s="857"/>
      <c r="K2" s="857"/>
      <c r="L2" s="858"/>
    </row>
    <row r="3" spans="2:12" ht="16.5" thickBot="1">
      <c r="B3" s="859" t="s">
        <v>429</v>
      </c>
      <c r="C3" s="860"/>
      <c r="D3" s="860"/>
      <c r="E3" s="860"/>
      <c r="F3" s="860"/>
      <c r="G3" s="860"/>
      <c r="H3" s="860"/>
      <c r="I3" s="860"/>
      <c r="J3" s="860"/>
      <c r="K3" s="860"/>
      <c r="L3" s="861"/>
    </row>
    <row r="4" spans="2:12">
      <c r="B4" s="862" t="s">
        <v>117</v>
      </c>
      <c r="C4" s="863"/>
      <c r="D4" s="863"/>
      <c r="E4" s="863"/>
      <c r="F4" s="863"/>
      <c r="G4" s="305"/>
      <c r="H4" s="866" t="s">
        <v>118</v>
      </c>
      <c r="I4" s="866"/>
      <c r="J4" s="866"/>
      <c r="K4" s="866"/>
      <c r="L4" s="867"/>
    </row>
    <row r="5" spans="2:12" ht="15.75" thickBot="1">
      <c r="B5" s="864"/>
      <c r="C5" s="865"/>
      <c r="D5" s="865"/>
      <c r="E5" s="865"/>
      <c r="F5" s="865"/>
      <c r="G5" s="305"/>
      <c r="H5" s="868"/>
      <c r="I5" s="868"/>
      <c r="J5" s="868"/>
      <c r="K5" s="868"/>
      <c r="L5" s="869"/>
    </row>
    <row r="6" spans="2:12">
      <c r="B6" s="81"/>
      <c r="C6" s="82"/>
      <c r="D6" s="82"/>
      <c r="E6" s="82"/>
      <c r="F6" s="83"/>
      <c r="G6" s="305"/>
      <c r="H6" s="81"/>
      <c r="I6" s="82"/>
      <c r="J6" s="82"/>
      <c r="K6" s="82"/>
      <c r="L6" s="83"/>
    </row>
    <row r="7" spans="2:12">
      <c r="B7" s="84" t="str">
        <f>'04-22Master'!F5</f>
        <v>Burgeon IT Services Pvt.Ltd.</v>
      </c>
      <c r="C7" s="305"/>
      <c r="D7" s="305"/>
      <c r="E7" s="305"/>
      <c r="F7" s="20"/>
      <c r="G7" s="305"/>
      <c r="H7" s="84" t="str">
        <f>'04-22Master'!AJ5</f>
        <v>Burgeon IT Services Pvt.Ltd.</v>
      </c>
      <c r="I7" s="305"/>
      <c r="J7" s="305"/>
      <c r="K7" s="305"/>
      <c r="L7" s="20"/>
    </row>
    <row r="8" spans="2:12">
      <c r="B8" s="19"/>
      <c r="C8" s="305"/>
      <c r="D8" s="305"/>
      <c r="E8" s="305"/>
      <c r="F8" s="20"/>
      <c r="G8" s="305"/>
      <c r="H8" s="19"/>
      <c r="I8" s="305"/>
      <c r="J8" s="305"/>
      <c r="K8" s="305"/>
      <c r="L8" s="20"/>
    </row>
    <row r="9" spans="2:12">
      <c r="B9" s="84" t="str">
        <f>'04-22Master'!F6</f>
        <v>Siri Mansion LIGB 436 Dr.A S Rao Nagar,Hyderabad</v>
      </c>
      <c r="C9" s="305"/>
      <c r="D9" s="305"/>
      <c r="E9" s="305"/>
      <c r="F9" s="20"/>
      <c r="G9" s="305"/>
      <c r="H9" s="84" t="str">
        <f>'04-22Master'!AJ6</f>
        <v>Siri Mansion LIGB 436 Dr.A S Rao Nagar,Hyderabad</v>
      </c>
      <c r="I9" s="305"/>
      <c r="J9" s="305"/>
      <c r="K9" s="305"/>
      <c r="L9" s="20"/>
    </row>
    <row r="10" spans="2:12" ht="15.75" thickBot="1">
      <c r="B10" s="31"/>
      <c r="C10" s="29"/>
      <c r="D10" s="29"/>
      <c r="E10" s="29"/>
      <c r="F10" s="30"/>
      <c r="G10" s="305"/>
      <c r="H10" s="31"/>
      <c r="I10" s="29"/>
      <c r="J10" s="29"/>
      <c r="K10" s="29"/>
      <c r="L10" s="30"/>
    </row>
    <row r="11" spans="2:12">
      <c r="B11" s="19"/>
      <c r="C11" s="305"/>
      <c r="D11" s="305"/>
      <c r="E11" s="305"/>
      <c r="F11" s="305"/>
      <c r="G11" s="305"/>
      <c r="H11" s="305"/>
      <c r="I11" s="305"/>
      <c r="J11" s="305" t="s">
        <v>119</v>
      </c>
      <c r="K11" s="305"/>
      <c r="L11" s="20"/>
    </row>
    <row r="12" spans="2:12">
      <c r="B12" s="796" t="s">
        <v>120</v>
      </c>
      <c r="C12" s="797"/>
      <c r="D12" s="797"/>
      <c r="E12" s="797"/>
      <c r="F12" s="797"/>
      <c r="G12" s="305"/>
      <c r="H12" s="797" t="s">
        <v>4</v>
      </c>
      <c r="I12" s="797"/>
      <c r="J12" s="797"/>
      <c r="K12" s="797"/>
      <c r="L12" s="870"/>
    </row>
    <row r="13" spans="2:12" ht="15.75" thickBot="1">
      <c r="B13" s="19"/>
      <c r="C13" s="305"/>
      <c r="D13" s="305"/>
      <c r="E13" s="305"/>
      <c r="F13" s="305"/>
      <c r="G13" s="305"/>
      <c r="H13" s="305"/>
      <c r="I13" s="305"/>
      <c r="J13" s="305"/>
      <c r="K13" s="305"/>
      <c r="L13" s="20"/>
    </row>
    <row r="14" spans="2:12">
      <c r="B14" s="81"/>
      <c r="C14" s="82"/>
      <c r="D14" s="82"/>
      <c r="E14" s="82"/>
      <c r="F14" s="83"/>
      <c r="G14" s="305"/>
      <c r="H14" s="85"/>
      <c r="I14" s="86"/>
      <c r="J14" s="86"/>
      <c r="K14" s="86"/>
      <c r="L14" s="87"/>
    </row>
    <row r="15" spans="2:12">
      <c r="B15" s="19"/>
      <c r="C15" s="305"/>
      <c r="D15" s="305"/>
      <c r="E15" s="305"/>
      <c r="F15" s="20"/>
      <c r="G15" s="305"/>
      <c r="H15" s="84" t="str">
        <f>'04-22Master'!AJ10</f>
        <v xml:space="preserve">INFOSYS  LTD.IL Hyderabad SEZ Unit-3 </v>
      </c>
      <c r="I15" s="306"/>
      <c r="J15" s="306"/>
      <c r="K15" s="306"/>
      <c r="L15" s="88"/>
    </row>
    <row r="16" spans="2:12">
      <c r="B16" s="84" t="str">
        <f>'04-22Master'!F8</f>
        <v>IT SUPPORTIVE SERVICES</v>
      </c>
      <c r="C16" s="305"/>
      <c r="D16" s="305"/>
      <c r="E16" s="305"/>
      <c r="F16" s="20"/>
      <c r="G16" s="305"/>
      <c r="H16" s="84"/>
      <c r="I16" s="306"/>
      <c r="J16" s="306"/>
      <c r="K16" s="306"/>
      <c r="L16" s="88"/>
    </row>
    <row r="17" spans="2:12">
      <c r="B17" s="19"/>
      <c r="C17" s="305"/>
      <c r="D17" s="305"/>
      <c r="E17" s="305"/>
      <c r="F17" s="20"/>
      <c r="G17" s="305"/>
      <c r="H17" s="84" t="str">
        <f>'04-22Master'!AJ11</f>
        <v>Sy.No 42,Pocharam Village,Gatkesar Mandal</v>
      </c>
      <c r="I17" s="306"/>
      <c r="J17" s="306"/>
      <c r="K17" s="306"/>
      <c r="L17" s="88"/>
    </row>
    <row r="18" spans="2:12" ht="15.75" thickBot="1">
      <c r="B18" s="31"/>
      <c r="C18" s="29"/>
      <c r="D18" s="29"/>
      <c r="E18" s="29"/>
      <c r="F18" s="30"/>
      <c r="G18" s="305"/>
      <c r="H18" s="84"/>
      <c r="I18" s="306"/>
      <c r="J18" s="306"/>
      <c r="K18" s="306"/>
      <c r="L18" s="88"/>
    </row>
    <row r="19" spans="2:12" ht="29.1" customHeight="1">
      <c r="B19" s="837" t="s">
        <v>121</v>
      </c>
      <c r="C19" s="838"/>
      <c r="D19" s="838"/>
      <c r="E19" s="838"/>
      <c r="F19" s="838"/>
      <c r="G19" s="842"/>
      <c r="H19" s="843" t="str">
        <f>'04-22Master'!B16</f>
        <v>Gaunda Mohammad Arief</v>
      </c>
      <c r="I19" s="840"/>
      <c r="J19" s="840"/>
      <c r="K19" s="840"/>
      <c r="L19" s="840"/>
    </row>
    <row r="20" spans="2:12" ht="29.1" customHeight="1">
      <c r="B20" s="844"/>
      <c r="C20" s="845"/>
      <c r="D20" s="845"/>
      <c r="E20" s="845"/>
      <c r="F20" s="845"/>
      <c r="G20" s="845"/>
      <c r="H20" s="887" t="str">
        <f>'04-22Master'!G16</f>
        <v>Flat No 311, vaddegeeri, Chand talkies road, Kurnool, Andhra Pradesh 518001</v>
      </c>
      <c r="I20" s="887"/>
      <c r="J20" s="887"/>
      <c r="K20" s="887"/>
      <c r="L20" s="887"/>
    </row>
    <row r="21" spans="2:12" ht="29.1" customHeight="1">
      <c r="B21" s="847" t="s">
        <v>122</v>
      </c>
      <c r="C21" s="848"/>
      <c r="D21" s="848"/>
      <c r="E21" s="848"/>
      <c r="F21" s="848"/>
      <c r="G21" s="848"/>
      <c r="H21" s="835">
        <f>'04-22Master'!A16</f>
        <v>1</v>
      </c>
      <c r="I21" s="849"/>
      <c r="J21" s="849"/>
      <c r="K21" s="849"/>
      <c r="L21" s="850"/>
    </row>
    <row r="22" spans="2:12" ht="29.1" customHeight="1">
      <c r="B22" s="837" t="s">
        <v>123</v>
      </c>
      <c r="C22" s="838"/>
      <c r="D22" s="838"/>
      <c r="E22" s="838"/>
      <c r="F22" s="838"/>
      <c r="G22" s="838"/>
      <c r="H22" s="843" t="str">
        <f>'04-22Master'!F16</f>
        <v>Senior Consultant</v>
      </c>
      <c r="I22" s="840"/>
      <c r="J22" s="840"/>
      <c r="K22" s="840"/>
      <c r="L22" s="841"/>
    </row>
    <row r="23" spans="2:12" ht="29.1" customHeight="1">
      <c r="B23" s="837" t="s">
        <v>124</v>
      </c>
      <c r="C23" s="838"/>
      <c r="D23" s="838"/>
      <c r="E23" s="838"/>
      <c r="F23" s="838"/>
      <c r="G23" s="838"/>
      <c r="H23" s="851">
        <f>'04-22Master'!I16</f>
        <v>44169</v>
      </c>
      <c r="I23" s="876"/>
      <c r="J23" s="876"/>
      <c r="K23" s="876"/>
      <c r="L23" s="877"/>
    </row>
    <row r="24" spans="2:12" ht="29.1" customHeight="1">
      <c r="B24" s="430" t="s">
        <v>125</v>
      </c>
      <c r="C24" s="307"/>
      <c r="D24" s="307"/>
      <c r="E24" s="307"/>
      <c r="F24" s="307"/>
      <c r="G24" s="307"/>
      <c r="H24" s="308"/>
      <c r="I24" s="309"/>
      <c r="J24" s="300" t="str">
        <f>'04-22Master'!O16</f>
        <v>N/A</v>
      </c>
      <c r="K24" s="419"/>
      <c r="L24" s="420"/>
    </row>
    <row r="25" spans="2:12" ht="29.1" customHeight="1">
      <c r="B25" s="430" t="s">
        <v>126</v>
      </c>
      <c r="C25" s="307"/>
      <c r="D25" s="307"/>
      <c r="E25" s="307"/>
      <c r="F25" s="307"/>
      <c r="G25" s="418"/>
      <c r="H25" s="98"/>
      <c r="I25" s="99"/>
      <c r="J25" s="300">
        <f>'04-22Master'!N16</f>
        <v>101647021660</v>
      </c>
      <c r="K25" s="99"/>
      <c r="L25" s="100"/>
    </row>
    <row r="26" spans="2:12" ht="29.1" customHeight="1">
      <c r="B26" s="833" t="s">
        <v>127</v>
      </c>
      <c r="C26" s="834"/>
      <c r="D26" s="834"/>
      <c r="E26" s="834"/>
      <c r="F26" s="834"/>
      <c r="G26" s="834"/>
      <c r="H26" s="835">
        <f>'04-22Master'!S16</f>
        <v>80278</v>
      </c>
      <c r="I26" s="849"/>
      <c r="J26" s="849"/>
      <c r="K26" s="849"/>
      <c r="L26" s="850"/>
    </row>
    <row r="27" spans="2:12" ht="29.1" customHeight="1">
      <c r="B27" s="837" t="s">
        <v>128</v>
      </c>
      <c r="C27" s="838"/>
      <c r="D27" s="838"/>
      <c r="E27" s="838"/>
      <c r="F27" s="838"/>
      <c r="G27" s="838"/>
      <c r="H27" s="839">
        <f>'04-22Master'!D10</f>
        <v>44652</v>
      </c>
      <c r="I27" s="840"/>
      <c r="J27" s="840"/>
      <c r="K27" s="840"/>
      <c r="L27" s="841"/>
    </row>
    <row r="28" spans="2:12" ht="29.1" customHeight="1">
      <c r="B28" s="837" t="s">
        <v>129</v>
      </c>
      <c r="C28" s="838"/>
      <c r="D28" s="838"/>
      <c r="E28" s="838"/>
      <c r="F28" s="838"/>
      <c r="G28" s="838"/>
      <c r="H28" s="840" t="s">
        <v>130</v>
      </c>
      <c r="I28" s="840"/>
      <c r="J28" s="840"/>
      <c r="K28" s="840"/>
      <c r="L28" s="841"/>
    </row>
    <row r="29" spans="2:12" ht="29.1" customHeight="1">
      <c r="B29" s="430" t="s">
        <v>131</v>
      </c>
      <c r="C29" s="307"/>
      <c r="D29" s="307"/>
      <c r="E29" s="307"/>
      <c r="F29" s="307"/>
      <c r="G29" s="418"/>
      <c r="H29" s="308"/>
      <c r="I29" s="419"/>
      <c r="J29" s="310">
        <f>'04-22Master'!Q16</f>
        <v>30</v>
      </c>
      <c r="K29" s="419"/>
      <c r="L29" s="420"/>
    </row>
    <row r="30" spans="2:12" ht="29.1" customHeight="1">
      <c r="B30" s="430" t="s">
        <v>132</v>
      </c>
      <c r="C30" s="307"/>
      <c r="D30" s="307"/>
      <c r="E30" s="307"/>
      <c r="F30" s="307"/>
      <c r="G30" s="418"/>
      <c r="H30" s="308"/>
      <c r="I30" s="419"/>
      <c r="J30" s="419" t="s">
        <v>37</v>
      </c>
      <c r="K30" s="419"/>
      <c r="L30" s="420"/>
    </row>
    <row r="31" spans="2:12" ht="29.1" customHeight="1">
      <c r="B31" s="430" t="s">
        <v>133</v>
      </c>
      <c r="C31" s="307"/>
      <c r="D31" s="307"/>
      <c r="E31" s="307"/>
      <c r="F31" s="307"/>
      <c r="G31" s="418"/>
      <c r="H31" s="308"/>
      <c r="I31" s="419"/>
      <c r="J31" s="310">
        <v>0</v>
      </c>
      <c r="K31" s="419"/>
      <c r="L31" s="420"/>
    </row>
    <row r="32" spans="2:12" ht="29.1" customHeight="1">
      <c r="B32" s="430" t="s">
        <v>134</v>
      </c>
      <c r="C32" s="307"/>
      <c r="D32" s="307"/>
      <c r="E32" s="307"/>
      <c r="F32" s="307"/>
      <c r="G32" s="418"/>
      <c r="H32" s="308"/>
      <c r="I32" s="419"/>
      <c r="J32" s="419">
        <v>0</v>
      </c>
      <c r="K32" s="419"/>
      <c r="L32" s="420"/>
    </row>
    <row r="33" spans="2:12" ht="29.1" customHeight="1">
      <c r="B33" s="430" t="s">
        <v>135</v>
      </c>
      <c r="C33" s="307"/>
      <c r="D33" s="307"/>
      <c r="E33" s="307"/>
      <c r="F33" s="307"/>
      <c r="G33" s="418"/>
      <c r="H33" s="308"/>
      <c r="I33" s="419"/>
      <c r="J33" s="310">
        <f>'04-22Master'!AG16</f>
        <v>85389.765643999999</v>
      </c>
      <c r="K33" s="419"/>
      <c r="L33" s="420" t="s">
        <v>35</v>
      </c>
    </row>
    <row r="34" spans="2:12" ht="29.1" customHeight="1">
      <c r="B34" s="430" t="s">
        <v>136</v>
      </c>
      <c r="C34" s="307"/>
      <c r="D34" s="417" t="s">
        <v>32</v>
      </c>
      <c r="E34" s="416">
        <f>'04-22Master'!AI16</f>
        <v>1800</v>
      </c>
      <c r="F34" s="417" t="s">
        <v>31</v>
      </c>
      <c r="G34" s="416">
        <f>'04-22Master'!AH16</f>
        <v>0</v>
      </c>
      <c r="H34" s="417" t="s">
        <v>33</v>
      </c>
      <c r="I34" s="416">
        <f>'04-22Master'!AJ16</f>
        <v>200</v>
      </c>
      <c r="J34" s="417" t="s">
        <v>34</v>
      </c>
      <c r="K34" s="416">
        <f>'04-22Master'!AK16</f>
        <v>0</v>
      </c>
      <c r="L34" s="113">
        <f>'04-22Master'!AL16</f>
        <v>440.76132899999999</v>
      </c>
    </row>
    <row r="35" spans="2:12" ht="29.1" customHeight="1">
      <c r="B35" s="430" t="s">
        <v>137</v>
      </c>
      <c r="C35" s="307"/>
      <c r="D35" s="307"/>
      <c r="E35" s="307"/>
      <c r="F35" s="307"/>
      <c r="G35" s="418"/>
      <c r="H35" s="308"/>
      <c r="I35" s="419"/>
      <c r="J35" s="310">
        <f>'04-22Master'!AN16</f>
        <v>82949.004314999998</v>
      </c>
      <c r="K35" s="419"/>
      <c r="L35" s="420"/>
    </row>
    <row r="36" spans="2:12" ht="29.1" customHeight="1">
      <c r="B36" s="431" t="s">
        <v>138</v>
      </c>
      <c r="C36" s="104"/>
      <c r="D36" s="104"/>
      <c r="E36" s="104"/>
      <c r="F36" s="713"/>
      <c r="G36" s="105"/>
      <c r="H36" s="106"/>
      <c r="I36" s="107"/>
      <c r="J36" s="107"/>
      <c r="K36" s="107"/>
      <c r="L36" s="108"/>
    </row>
    <row r="37" spans="2:12" ht="29.1" customHeight="1">
      <c r="B37" s="432" t="s">
        <v>139</v>
      </c>
      <c r="C37" s="109"/>
      <c r="D37" s="109"/>
      <c r="E37" s="109"/>
      <c r="F37" s="109"/>
      <c r="G37" s="110"/>
      <c r="H37" s="77"/>
      <c r="I37" s="23"/>
      <c r="J37" s="23"/>
      <c r="K37" s="23"/>
      <c r="L37" s="111"/>
    </row>
    <row r="38" spans="2:12" ht="29.1" customHeight="1">
      <c r="B38" s="19"/>
      <c r="C38" s="305"/>
      <c r="D38" s="305"/>
      <c r="E38" s="305"/>
      <c r="F38" s="305"/>
      <c r="G38" s="305"/>
      <c r="H38" s="305"/>
      <c r="I38" s="305"/>
      <c r="J38" s="305"/>
      <c r="K38" s="305"/>
      <c r="L38" s="20"/>
    </row>
    <row r="39" spans="2:12" ht="29.1" customHeight="1" thickBot="1">
      <c r="B39" s="31"/>
      <c r="C39" s="29"/>
      <c r="D39" s="29"/>
      <c r="E39" s="29"/>
      <c r="F39" s="29"/>
      <c r="G39" s="29"/>
      <c r="H39" s="29"/>
      <c r="I39" s="29"/>
      <c r="J39" s="29"/>
      <c r="K39" s="29"/>
      <c r="L39" s="30"/>
    </row>
    <row r="45" spans="2:12" s="467" customFormat="1"/>
    <row r="46" spans="2:12" s="467" customFormat="1"/>
    <row r="47" spans="2:12" s="467" customFormat="1"/>
    <row r="48" spans="2:12" s="467" customFormat="1"/>
    <row r="50" spans="2:12" s="467" customFormat="1" ht="15.75" thickBot="1"/>
    <row r="51" spans="2:12" ht="32.25">
      <c r="B51" s="853" t="s">
        <v>114</v>
      </c>
      <c r="C51" s="854"/>
      <c r="D51" s="854"/>
      <c r="E51" s="854"/>
      <c r="F51" s="854"/>
      <c r="G51" s="854"/>
      <c r="H51" s="854"/>
      <c r="I51" s="854"/>
      <c r="J51" s="854"/>
      <c r="K51" s="854"/>
      <c r="L51" s="855"/>
    </row>
    <row r="52" spans="2:12" ht="23.25">
      <c r="B52" s="856" t="s">
        <v>115</v>
      </c>
      <c r="C52" s="857"/>
      <c r="D52" s="857"/>
      <c r="E52" s="857"/>
      <c r="F52" s="857"/>
      <c r="G52" s="857"/>
      <c r="H52" s="857"/>
      <c r="I52" s="857"/>
      <c r="J52" s="857"/>
      <c r="K52" s="857"/>
      <c r="L52" s="858"/>
    </row>
    <row r="53" spans="2:12" ht="16.5" thickBot="1">
      <c r="B53" s="859" t="s">
        <v>429</v>
      </c>
      <c r="C53" s="860"/>
      <c r="D53" s="860"/>
      <c r="E53" s="860"/>
      <c r="F53" s="860"/>
      <c r="G53" s="860"/>
      <c r="H53" s="860"/>
      <c r="I53" s="860"/>
      <c r="J53" s="860"/>
      <c r="K53" s="860"/>
      <c r="L53" s="861"/>
    </row>
    <row r="54" spans="2:12">
      <c r="B54" s="862" t="s">
        <v>117</v>
      </c>
      <c r="C54" s="863"/>
      <c r="D54" s="863"/>
      <c r="E54" s="863"/>
      <c r="F54" s="863"/>
      <c r="G54" s="305"/>
      <c r="H54" s="866" t="s">
        <v>118</v>
      </c>
      <c r="I54" s="866"/>
      <c r="J54" s="866"/>
      <c r="K54" s="866"/>
      <c r="L54" s="867"/>
    </row>
    <row r="55" spans="2:12" ht="15.75" thickBot="1">
      <c r="B55" s="864"/>
      <c r="C55" s="865"/>
      <c r="D55" s="865"/>
      <c r="E55" s="865"/>
      <c r="F55" s="865"/>
      <c r="G55" s="305"/>
      <c r="H55" s="868"/>
      <c r="I55" s="868"/>
      <c r="J55" s="868"/>
      <c r="K55" s="868"/>
      <c r="L55" s="869"/>
    </row>
    <row r="56" spans="2:12">
      <c r="B56" s="81"/>
      <c r="C56" s="82"/>
      <c r="D56" s="82"/>
      <c r="E56" s="82"/>
      <c r="F56" s="83"/>
      <c r="G56" s="305"/>
      <c r="H56" s="81"/>
      <c r="I56" s="82"/>
      <c r="J56" s="82"/>
      <c r="K56" s="82"/>
      <c r="L56" s="83"/>
    </row>
    <row r="57" spans="2:12">
      <c r="B57" s="84" t="str">
        <f>'04-22Master'!F5</f>
        <v>Burgeon IT Services Pvt.Ltd.</v>
      </c>
      <c r="C57" s="305"/>
      <c r="D57" s="305"/>
      <c r="E57" s="305"/>
      <c r="F57" s="20"/>
      <c r="G57" s="305"/>
      <c r="H57" s="84" t="str">
        <f>'04-22Master'!AJ5</f>
        <v>Burgeon IT Services Pvt.Ltd.</v>
      </c>
      <c r="I57" s="305"/>
      <c r="J57" s="305"/>
      <c r="K57" s="305"/>
      <c r="L57" s="20"/>
    </row>
    <row r="58" spans="2:12">
      <c r="B58" s="19"/>
      <c r="C58" s="305"/>
      <c r="D58" s="305"/>
      <c r="E58" s="305"/>
      <c r="F58" s="20"/>
      <c r="G58" s="305"/>
      <c r="H58" s="19"/>
      <c r="I58" s="305"/>
      <c r="J58" s="305"/>
      <c r="K58" s="305"/>
      <c r="L58" s="20"/>
    </row>
    <row r="59" spans="2:12">
      <c r="B59" s="84" t="str">
        <f>'04-22Master'!F6</f>
        <v>Siri Mansion LIGB 436 Dr.A S Rao Nagar,Hyderabad</v>
      </c>
      <c r="C59" s="305"/>
      <c r="D59" s="305"/>
      <c r="E59" s="305"/>
      <c r="F59" s="20"/>
      <c r="G59" s="305"/>
      <c r="H59" s="84" t="str">
        <f>'04-22Master'!AJ6</f>
        <v>Siri Mansion LIGB 436 Dr.A S Rao Nagar,Hyderabad</v>
      </c>
      <c r="I59" s="305"/>
      <c r="J59" s="305"/>
      <c r="K59" s="305"/>
      <c r="L59" s="20"/>
    </row>
    <row r="60" spans="2:12" ht="15.75" thickBot="1">
      <c r="B60" s="31"/>
      <c r="C60" s="29"/>
      <c r="D60" s="29"/>
      <c r="E60" s="29"/>
      <c r="F60" s="30"/>
      <c r="G60" s="305"/>
      <c r="H60" s="31"/>
      <c r="I60" s="29"/>
      <c r="J60" s="29"/>
      <c r="K60" s="29"/>
      <c r="L60" s="30"/>
    </row>
    <row r="61" spans="2:12">
      <c r="B61" s="19"/>
      <c r="C61" s="305"/>
      <c r="D61" s="305"/>
      <c r="E61" s="305"/>
      <c r="F61" s="305"/>
      <c r="G61" s="305"/>
      <c r="H61" s="305"/>
      <c r="I61" s="305"/>
      <c r="J61" s="305" t="s">
        <v>119</v>
      </c>
      <c r="K61" s="305"/>
      <c r="L61" s="20"/>
    </row>
    <row r="62" spans="2:12">
      <c r="B62" s="796" t="s">
        <v>120</v>
      </c>
      <c r="C62" s="797"/>
      <c r="D62" s="797"/>
      <c r="E62" s="797"/>
      <c r="F62" s="797"/>
      <c r="G62" s="305"/>
      <c r="H62" s="797" t="s">
        <v>4</v>
      </c>
      <c r="I62" s="797"/>
      <c r="J62" s="797"/>
      <c r="K62" s="797"/>
      <c r="L62" s="870"/>
    </row>
    <row r="63" spans="2:12" ht="15.75" thickBot="1">
      <c r="B63" s="19"/>
      <c r="C63" s="305"/>
      <c r="D63" s="305"/>
      <c r="E63" s="305"/>
      <c r="F63" s="305"/>
      <c r="G63" s="305"/>
      <c r="H63" s="305"/>
      <c r="I63" s="305"/>
      <c r="J63" s="305"/>
      <c r="K63" s="305"/>
      <c r="L63" s="20"/>
    </row>
    <row r="64" spans="2:12">
      <c r="B64" s="81"/>
      <c r="C64" s="82"/>
      <c r="D64" s="82"/>
      <c r="E64" s="82"/>
      <c r="F64" s="83"/>
      <c r="G64" s="305"/>
      <c r="H64" s="85"/>
      <c r="I64" s="86"/>
      <c r="J64" s="86"/>
      <c r="K64" s="86"/>
      <c r="L64" s="87"/>
    </row>
    <row r="65" spans="2:12">
      <c r="B65" s="19"/>
      <c r="C65" s="305"/>
      <c r="D65" s="305"/>
      <c r="E65" s="305"/>
      <c r="F65" s="20"/>
      <c r="G65" s="305"/>
      <c r="H65" s="84" t="str">
        <f>'04-22Master'!AJ10</f>
        <v xml:space="preserve">INFOSYS  LTD.IL Hyderabad SEZ Unit-3 </v>
      </c>
      <c r="I65" s="306"/>
      <c r="J65" s="306"/>
      <c r="K65" s="306"/>
      <c r="L65" s="88"/>
    </row>
    <row r="66" spans="2:12">
      <c r="B66" s="84" t="str">
        <f>'04-22Master'!F8</f>
        <v>IT SUPPORTIVE SERVICES</v>
      </c>
      <c r="C66" s="305"/>
      <c r="D66" s="305"/>
      <c r="E66" s="305"/>
      <c r="F66" s="20"/>
      <c r="G66" s="305"/>
      <c r="H66" s="84"/>
      <c r="I66" s="306"/>
      <c r="J66" s="306"/>
      <c r="K66" s="306"/>
      <c r="L66" s="88"/>
    </row>
    <row r="67" spans="2:12">
      <c r="B67" s="19"/>
      <c r="C67" s="305"/>
      <c r="D67" s="305"/>
      <c r="E67" s="305"/>
      <c r="F67" s="20"/>
      <c r="G67" s="305"/>
      <c r="H67" s="84" t="str">
        <f>'04-22Master'!AJ11</f>
        <v>Sy.No 42,Pocharam Village,Gatkesar Mandal</v>
      </c>
      <c r="I67" s="306"/>
      <c r="J67" s="306"/>
      <c r="K67" s="306"/>
      <c r="L67" s="88"/>
    </row>
    <row r="68" spans="2:12" ht="15.75" thickBot="1">
      <c r="B68" s="31"/>
      <c r="C68" s="29"/>
      <c r="D68" s="29"/>
      <c r="E68" s="29"/>
      <c r="F68" s="30"/>
      <c r="G68" s="305"/>
      <c r="H68" s="84"/>
      <c r="I68" s="306"/>
      <c r="J68" s="306"/>
      <c r="K68" s="306"/>
      <c r="L68" s="88"/>
    </row>
    <row r="69" spans="2:12" ht="29.1" customHeight="1">
      <c r="B69" s="837" t="s">
        <v>121</v>
      </c>
      <c r="C69" s="838"/>
      <c r="D69" s="838"/>
      <c r="E69" s="838"/>
      <c r="F69" s="838"/>
      <c r="G69" s="842"/>
      <c r="H69" s="878">
        <f>'04-22Master'!B17</f>
        <v>0</v>
      </c>
      <c r="I69" s="879"/>
      <c r="J69" s="879"/>
      <c r="K69" s="879"/>
      <c r="L69" s="880"/>
    </row>
    <row r="70" spans="2:12" ht="29.1" customHeight="1" thickBot="1">
      <c r="B70" s="844"/>
      <c r="C70" s="845"/>
      <c r="D70" s="845"/>
      <c r="E70" s="845"/>
      <c r="F70" s="845"/>
      <c r="G70" s="845"/>
      <c r="H70" s="888">
        <f>'04-22Master'!G17</f>
        <v>0</v>
      </c>
      <c r="I70" s="889"/>
      <c r="J70" s="889"/>
      <c r="K70" s="889"/>
      <c r="L70" s="890"/>
    </row>
    <row r="71" spans="2:12" ht="29.1" customHeight="1">
      <c r="B71" s="847" t="s">
        <v>122</v>
      </c>
      <c r="C71" s="848"/>
      <c r="D71" s="848"/>
      <c r="E71" s="848"/>
      <c r="F71" s="848"/>
      <c r="G71" s="848"/>
      <c r="H71" s="835">
        <f>'04-22Master'!A17</f>
        <v>0</v>
      </c>
      <c r="I71" s="849"/>
      <c r="J71" s="849"/>
      <c r="K71" s="849"/>
      <c r="L71" s="850"/>
    </row>
    <row r="72" spans="2:12" ht="29.1" customHeight="1">
      <c r="B72" s="837" t="s">
        <v>123</v>
      </c>
      <c r="C72" s="838"/>
      <c r="D72" s="838"/>
      <c r="E72" s="838"/>
      <c r="F72" s="838"/>
      <c r="G72" s="838"/>
      <c r="H72" s="843">
        <f>'04-22Master'!F17</f>
        <v>0</v>
      </c>
      <c r="I72" s="840"/>
      <c r="J72" s="840"/>
      <c r="K72" s="840"/>
      <c r="L72" s="841"/>
    </row>
    <row r="73" spans="2:12" ht="29.1" customHeight="1">
      <c r="B73" s="837" t="s">
        <v>124</v>
      </c>
      <c r="C73" s="838"/>
      <c r="D73" s="838"/>
      <c r="E73" s="838"/>
      <c r="F73" s="838"/>
      <c r="G73" s="838"/>
      <c r="H73" s="851">
        <f>'04-22Master'!I17</f>
        <v>0</v>
      </c>
      <c r="I73" s="876"/>
      <c r="J73" s="876"/>
      <c r="K73" s="876"/>
      <c r="L73" s="877"/>
    </row>
    <row r="74" spans="2:12" ht="29.1" customHeight="1">
      <c r="B74" s="430" t="s">
        <v>125</v>
      </c>
      <c r="C74" s="307"/>
      <c r="D74" s="307"/>
      <c r="E74" s="307"/>
      <c r="F74" s="307"/>
      <c r="G74" s="307"/>
      <c r="H74" s="308"/>
      <c r="I74" s="309"/>
      <c r="J74" s="300">
        <f>'04-22Master'!O17</f>
        <v>0</v>
      </c>
      <c r="K74" s="448"/>
      <c r="L74" s="451"/>
    </row>
    <row r="75" spans="2:12" ht="29.1" customHeight="1">
      <c r="B75" s="430" t="s">
        <v>126</v>
      </c>
      <c r="C75" s="307"/>
      <c r="D75" s="307"/>
      <c r="E75" s="307"/>
      <c r="F75" s="307"/>
      <c r="G75" s="427"/>
      <c r="H75" s="98"/>
      <c r="I75" s="99"/>
      <c r="J75" s="300">
        <f>'04-22Master'!N17</f>
        <v>0</v>
      </c>
      <c r="K75" s="99"/>
      <c r="L75" s="100"/>
    </row>
    <row r="76" spans="2:12" ht="29.1" customHeight="1">
      <c r="B76" s="833" t="s">
        <v>127</v>
      </c>
      <c r="C76" s="834"/>
      <c r="D76" s="834"/>
      <c r="E76" s="834"/>
      <c r="F76" s="834"/>
      <c r="G76" s="834"/>
      <c r="H76" s="835">
        <f>'04-22Master'!T17</f>
        <v>0</v>
      </c>
      <c r="I76" s="849"/>
      <c r="J76" s="849"/>
      <c r="K76" s="849"/>
      <c r="L76" s="850"/>
    </row>
    <row r="77" spans="2:12" ht="29.1" customHeight="1">
      <c r="B77" s="837" t="s">
        <v>128</v>
      </c>
      <c r="C77" s="838"/>
      <c r="D77" s="838"/>
      <c r="E77" s="838"/>
      <c r="F77" s="838"/>
      <c r="G77" s="838"/>
      <c r="H77" s="839">
        <f>'04-22Master'!D10</f>
        <v>44652</v>
      </c>
      <c r="I77" s="840"/>
      <c r="J77" s="840"/>
      <c r="K77" s="840"/>
      <c r="L77" s="841"/>
    </row>
    <row r="78" spans="2:12" ht="29.1" customHeight="1">
      <c r="B78" s="837" t="s">
        <v>129</v>
      </c>
      <c r="C78" s="838"/>
      <c r="D78" s="838"/>
      <c r="E78" s="838"/>
      <c r="F78" s="838"/>
      <c r="G78" s="838"/>
      <c r="H78" s="840" t="s">
        <v>130</v>
      </c>
      <c r="I78" s="840"/>
      <c r="J78" s="840"/>
      <c r="K78" s="840"/>
      <c r="L78" s="841"/>
    </row>
    <row r="79" spans="2:12" ht="29.1" customHeight="1">
      <c r="B79" s="430" t="s">
        <v>131</v>
      </c>
      <c r="C79" s="307"/>
      <c r="D79" s="307"/>
      <c r="E79" s="307"/>
      <c r="F79" s="307"/>
      <c r="G79" s="427"/>
      <c r="H79" s="308"/>
      <c r="I79" s="448"/>
      <c r="J79" s="310">
        <f>'04-22Master'!Q17</f>
        <v>0</v>
      </c>
      <c r="K79" s="448"/>
      <c r="L79" s="451"/>
    </row>
    <row r="80" spans="2:12" ht="29.1" customHeight="1">
      <c r="B80" s="430" t="s">
        <v>132</v>
      </c>
      <c r="C80" s="307"/>
      <c r="D80" s="307"/>
      <c r="E80" s="307"/>
      <c r="F80" s="307"/>
      <c r="G80" s="427"/>
      <c r="H80" s="308"/>
      <c r="I80" s="448"/>
      <c r="J80" s="448" t="s">
        <v>37</v>
      </c>
      <c r="K80" s="448"/>
      <c r="L80" s="451"/>
    </row>
    <row r="81" spans="2:12" ht="29.1" customHeight="1">
      <c r="B81" s="430" t="s">
        <v>133</v>
      </c>
      <c r="C81" s="307"/>
      <c r="D81" s="307"/>
      <c r="E81" s="307"/>
      <c r="F81" s="307"/>
      <c r="G81" s="427"/>
      <c r="H81" s="308"/>
      <c r="I81" s="448"/>
      <c r="J81" s="310">
        <v>0</v>
      </c>
      <c r="K81" s="448"/>
      <c r="L81" s="451"/>
    </row>
    <row r="82" spans="2:12" ht="29.1" customHeight="1">
      <c r="B82" s="430" t="s">
        <v>134</v>
      </c>
      <c r="C82" s="307"/>
      <c r="D82" s="307"/>
      <c r="E82" s="307"/>
      <c r="F82" s="307"/>
      <c r="G82" s="427"/>
      <c r="H82" s="308"/>
      <c r="I82" s="448"/>
      <c r="J82" s="448">
        <v>0</v>
      </c>
      <c r="K82" s="448"/>
      <c r="L82" s="451"/>
    </row>
    <row r="83" spans="2:12" ht="29.1" customHeight="1">
      <c r="B83" s="430" t="s">
        <v>135</v>
      </c>
      <c r="C83" s="307"/>
      <c r="D83" s="307"/>
      <c r="E83" s="307"/>
      <c r="F83" s="307"/>
      <c r="G83" s="427"/>
      <c r="H83" s="308"/>
      <c r="I83" s="448"/>
      <c r="J83" s="310">
        <f>'04-22Master'!AG17</f>
        <v>0</v>
      </c>
      <c r="K83" s="448"/>
      <c r="L83" s="451" t="s">
        <v>35</v>
      </c>
    </row>
    <row r="84" spans="2:12" ht="29.1" customHeight="1">
      <c r="B84" s="430" t="s">
        <v>136</v>
      </c>
      <c r="C84" s="307"/>
      <c r="D84" s="447" t="s">
        <v>32</v>
      </c>
      <c r="E84" s="449">
        <f>'04-22Master'!AI17</f>
        <v>0</v>
      </c>
      <c r="F84" s="447" t="s">
        <v>31</v>
      </c>
      <c r="G84" s="449">
        <f>'04-22Master'!AH17</f>
        <v>0</v>
      </c>
      <c r="H84" s="447" t="s">
        <v>33</v>
      </c>
      <c r="I84" s="449">
        <f>'04-22Master'!AJ17</f>
        <v>0</v>
      </c>
      <c r="J84" s="447" t="s">
        <v>34</v>
      </c>
      <c r="K84" s="449">
        <f>'04-22Master'!AK17</f>
        <v>0</v>
      </c>
      <c r="L84" s="113">
        <f>'04-22Master'!AL17</f>
        <v>0</v>
      </c>
    </row>
    <row r="85" spans="2:12" ht="29.1" customHeight="1">
      <c r="B85" s="430" t="s">
        <v>137</v>
      </c>
      <c r="C85" s="307"/>
      <c r="D85" s="307"/>
      <c r="E85" s="307"/>
      <c r="F85" s="307"/>
      <c r="G85" s="427"/>
      <c r="H85" s="308"/>
      <c r="I85" s="448"/>
      <c r="J85" s="310">
        <f>'04-22Master'!AN17</f>
        <v>0</v>
      </c>
      <c r="K85" s="448"/>
      <c r="L85" s="451"/>
    </row>
    <row r="86" spans="2:12" ht="29.1" customHeight="1">
      <c r="B86" s="431" t="s">
        <v>138</v>
      </c>
      <c r="C86" s="104"/>
      <c r="D86" s="104"/>
      <c r="E86" s="104"/>
      <c r="F86" s="104"/>
      <c r="G86" s="105"/>
      <c r="H86" s="106"/>
      <c r="I86" s="107"/>
      <c r="J86" s="107"/>
      <c r="K86" s="107"/>
      <c r="L86" s="108"/>
    </row>
    <row r="87" spans="2:12" ht="29.1" customHeight="1">
      <c r="B87" s="432" t="s">
        <v>139</v>
      </c>
      <c r="C87" s="109"/>
      <c r="D87" s="109"/>
      <c r="E87" s="109"/>
      <c r="F87" s="109"/>
      <c r="G87" s="110"/>
      <c r="H87" s="77"/>
      <c r="I87" s="23"/>
      <c r="J87" s="23"/>
      <c r="K87" s="23"/>
      <c r="L87" s="111"/>
    </row>
    <row r="88" spans="2:12" ht="29.1" customHeight="1">
      <c r="B88" s="19"/>
      <c r="C88" s="305"/>
      <c r="D88" s="305"/>
      <c r="E88" s="305"/>
      <c r="F88" s="305"/>
      <c r="G88" s="305"/>
      <c r="H88" s="305"/>
      <c r="I88" s="305"/>
      <c r="J88" s="305"/>
      <c r="K88" s="305"/>
      <c r="L88" s="20"/>
    </row>
    <row r="89" spans="2:12" ht="29.1" customHeight="1" thickBot="1">
      <c r="B89" s="31"/>
      <c r="C89" s="29"/>
      <c r="D89" s="29"/>
      <c r="E89" s="29"/>
      <c r="F89" s="29"/>
      <c r="G89" s="29"/>
      <c r="H89" s="29"/>
      <c r="I89" s="29"/>
      <c r="J89" s="29"/>
      <c r="K89" s="29"/>
      <c r="L89" s="30"/>
    </row>
    <row r="94" spans="2:12" s="467" customFormat="1"/>
    <row r="95" spans="2:12" s="467" customFormat="1"/>
    <row r="96" spans="2:12" s="467" customFormat="1"/>
    <row r="97" spans="2:12" s="467" customFormat="1"/>
    <row r="98" spans="2:12" s="467" customFormat="1"/>
    <row r="100" spans="2:12" s="467" customFormat="1" ht="15.75" thickBot="1"/>
    <row r="101" spans="2:12" ht="32.25">
      <c r="B101" s="853" t="s">
        <v>114</v>
      </c>
      <c r="C101" s="854"/>
      <c r="D101" s="854"/>
      <c r="E101" s="854"/>
      <c r="F101" s="854"/>
      <c r="G101" s="854"/>
      <c r="H101" s="854"/>
      <c r="I101" s="854"/>
      <c r="J101" s="854"/>
      <c r="K101" s="854"/>
      <c r="L101" s="855"/>
    </row>
    <row r="102" spans="2:12" ht="23.25">
      <c r="B102" s="856" t="s">
        <v>115</v>
      </c>
      <c r="C102" s="857"/>
      <c r="D102" s="857"/>
      <c r="E102" s="857"/>
      <c r="F102" s="857"/>
      <c r="G102" s="857"/>
      <c r="H102" s="857"/>
      <c r="I102" s="857"/>
      <c r="J102" s="857"/>
      <c r="K102" s="857"/>
      <c r="L102" s="858"/>
    </row>
    <row r="103" spans="2:12" ht="16.5" thickBot="1">
      <c r="B103" s="859" t="s">
        <v>429</v>
      </c>
      <c r="C103" s="860"/>
      <c r="D103" s="860"/>
      <c r="E103" s="860"/>
      <c r="F103" s="860"/>
      <c r="G103" s="860"/>
      <c r="H103" s="860"/>
      <c r="I103" s="860"/>
      <c r="J103" s="860"/>
      <c r="K103" s="860"/>
      <c r="L103" s="861"/>
    </row>
    <row r="104" spans="2:12">
      <c r="B104" s="862" t="s">
        <v>117</v>
      </c>
      <c r="C104" s="863"/>
      <c r="D104" s="863"/>
      <c r="E104" s="863"/>
      <c r="F104" s="863"/>
      <c r="G104" s="305"/>
      <c r="H104" s="866" t="s">
        <v>118</v>
      </c>
      <c r="I104" s="866"/>
      <c r="J104" s="866"/>
      <c r="K104" s="866"/>
      <c r="L104" s="867"/>
    </row>
    <row r="105" spans="2:12" ht="15.75" thickBot="1">
      <c r="B105" s="864"/>
      <c r="C105" s="865"/>
      <c r="D105" s="865"/>
      <c r="E105" s="865"/>
      <c r="F105" s="865"/>
      <c r="G105" s="305"/>
      <c r="H105" s="868"/>
      <c r="I105" s="868"/>
      <c r="J105" s="868"/>
      <c r="K105" s="868"/>
      <c r="L105" s="869"/>
    </row>
    <row r="106" spans="2:12">
      <c r="B106" s="81"/>
      <c r="C106" s="82"/>
      <c r="D106" s="82"/>
      <c r="E106" s="82"/>
      <c r="F106" s="83"/>
      <c r="G106" s="305"/>
      <c r="H106" s="81"/>
      <c r="I106" s="82"/>
      <c r="J106" s="82"/>
      <c r="K106" s="82"/>
      <c r="L106" s="83"/>
    </row>
    <row r="107" spans="2:12">
      <c r="B107" s="84" t="str">
        <f>'04-22Master'!F5</f>
        <v>Burgeon IT Services Pvt.Ltd.</v>
      </c>
      <c r="C107" s="305"/>
      <c r="D107" s="305"/>
      <c r="E107" s="305"/>
      <c r="F107" s="20"/>
      <c r="G107" s="305"/>
      <c r="H107" s="84" t="str">
        <f>'04-22Master'!AJ5</f>
        <v>Burgeon IT Services Pvt.Ltd.</v>
      </c>
      <c r="I107" s="305"/>
      <c r="J107" s="305"/>
      <c r="K107" s="305"/>
      <c r="L107" s="20"/>
    </row>
    <row r="108" spans="2:12">
      <c r="B108" s="19"/>
      <c r="C108" s="305"/>
      <c r="D108" s="305"/>
      <c r="E108" s="305"/>
      <c r="F108" s="20"/>
      <c r="G108" s="305"/>
      <c r="H108" s="19"/>
      <c r="I108" s="305"/>
      <c r="J108" s="305"/>
      <c r="K108" s="305"/>
      <c r="L108" s="20"/>
    </row>
    <row r="109" spans="2:12">
      <c r="B109" s="84" t="str">
        <f>'04-22Master'!F6</f>
        <v>Siri Mansion LIGB 436 Dr.A S Rao Nagar,Hyderabad</v>
      </c>
      <c r="C109" s="305"/>
      <c r="D109" s="305"/>
      <c r="E109" s="305"/>
      <c r="F109" s="20"/>
      <c r="G109" s="305"/>
      <c r="H109" s="84" t="str">
        <f>'04-22Master'!AJ6</f>
        <v>Siri Mansion LIGB 436 Dr.A S Rao Nagar,Hyderabad</v>
      </c>
      <c r="I109" s="305"/>
      <c r="J109" s="305"/>
      <c r="K109" s="305"/>
      <c r="L109" s="20"/>
    </row>
    <row r="110" spans="2:12" ht="15.75" thickBot="1">
      <c r="B110" s="31"/>
      <c r="C110" s="29"/>
      <c r="D110" s="29"/>
      <c r="E110" s="29"/>
      <c r="F110" s="30"/>
      <c r="G110" s="305"/>
      <c r="H110" s="31"/>
      <c r="I110" s="29"/>
      <c r="J110" s="29"/>
      <c r="K110" s="29"/>
      <c r="L110" s="30"/>
    </row>
    <row r="111" spans="2:12">
      <c r="B111" s="19"/>
      <c r="C111" s="305"/>
      <c r="D111" s="305"/>
      <c r="E111" s="305"/>
      <c r="F111" s="305"/>
      <c r="G111" s="305"/>
      <c r="H111" s="305"/>
      <c r="I111" s="305"/>
      <c r="J111" s="305" t="s">
        <v>119</v>
      </c>
      <c r="K111" s="305"/>
      <c r="L111" s="20"/>
    </row>
    <row r="112" spans="2:12">
      <c r="B112" s="796" t="s">
        <v>120</v>
      </c>
      <c r="C112" s="797"/>
      <c r="D112" s="797"/>
      <c r="E112" s="797"/>
      <c r="F112" s="797"/>
      <c r="G112" s="305"/>
      <c r="H112" s="797" t="s">
        <v>4</v>
      </c>
      <c r="I112" s="797"/>
      <c r="J112" s="797"/>
      <c r="K112" s="797"/>
      <c r="L112" s="870"/>
    </row>
    <row r="113" spans="2:12" ht="15.75" thickBot="1">
      <c r="B113" s="19"/>
      <c r="C113" s="305"/>
      <c r="D113" s="305"/>
      <c r="E113" s="305"/>
      <c r="F113" s="305"/>
      <c r="G113" s="305"/>
      <c r="H113" s="305"/>
      <c r="I113" s="305"/>
      <c r="J113" s="305"/>
      <c r="K113" s="305"/>
      <c r="L113" s="20"/>
    </row>
    <row r="114" spans="2:12">
      <c r="B114" s="81"/>
      <c r="C114" s="82"/>
      <c r="D114" s="82"/>
      <c r="E114" s="82"/>
      <c r="F114" s="83"/>
      <c r="G114" s="305"/>
      <c r="H114" s="85"/>
      <c r="I114" s="86"/>
      <c r="J114" s="86"/>
      <c r="K114" s="86"/>
      <c r="L114" s="87"/>
    </row>
    <row r="115" spans="2:12">
      <c r="B115" s="19"/>
      <c r="C115" s="305"/>
      <c r="D115" s="305"/>
      <c r="E115" s="305"/>
      <c r="F115" s="20"/>
      <c r="G115" s="305"/>
      <c r="H115" s="84" t="str">
        <f>'04-22Master'!AJ10</f>
        <v xml:space="preserve">INFOSYS  LTD.IL Hyderabad SEZ Unit-3 </v>
      </c>
      <c r="I115" s="306"/>
      <c r="J115" s="306"/>
      <c r="K115" s="306"/>
      <c r="L115" s="88"/>
    </row>
    <row r="116" spans="2:12">
      <c r="B116" s="84" t="str">
        <f>'04-22Master'!F8</f>
        <v>IT SUPPORTIVE SERVICES</v>
      </c>
      <c r="C116" s="305"/>
      <c r="D116" s="305"/>
      <c r="E116" s="305"/>
      <c r="F116" s="20"/>
      <c r="G116" s="305"/>
      <c r="H116" s="84"/>
      <c r="I116" s="306"/>
      <c r="J116" s="306"/>
      <c r="K116" s="306"/>
      <c r="L116" s="88"/>
    </row>
    <row r="117" spans="2:12">
      <c r="B117" s="19"/>
      <c r="C117" s="305"/>
      <c r="D117" s="305"/>
      <c r="E117" s="305"/>
      <c r="F117" s="20"/>
      <c r="G117" s="305"/>
      <c r="H117" s="84" t="str">
        <f>'04-22Master'!AJ11</f>
        <v>Sy.No 42,Pocharam Village,Gatkesar Mandal</v>
      </c>
      <c r="I117" s="306"/>
      <c r="J117" s="306"/>
      <c r="K117" s="306"/>
      <c r="L117" s="88"/>
    </row>
    <row r="118" spans="2:12" ht="15.75" thickBot="1">
      <c r="B118" s="31"/>
      <c r="C118" s="29"/>
      <c r="D118" s="29"/>
      <c r="E118" s="29"/>
      <c r="F118" s="30"/>
      <c r="G118" s="305"/>
      <c r="H118" s="84"/>
      <c r="I118" s="306"/>
      <c r="J118" s="306"/>
      <c r="K118" s="306"/>
      <c r="L118" s="88"/>
    </row>
    <row r="119" spans="2:12" ht="29.1" customHeight="1">
      <c r="B119" s="837" t="s">
        <v>121</v>
      </c>
      <c r="C119" s="838"/>
      <c r="D119" s="838"/>
      <c r="E119" s="838"/>
      <c r="F119" s="838"/>
      <c r="G119" s="842"/>
      <c r="H119" s="878">
        <f>'04-22Master'!B18</f>
        <v>0</v>
      </c>
      <c r="I119" s="879"/>
      <c r="J119" s="879"/>
      <c r="K119" s="879"/>
      <c r="L119" s="880"/>
    </row>
    <row r="120" spans="2:12" ht="29.1" customHeight="1" thickBot="1">
      <c r="B120" s="844"/>
      <c r="C120" s="845"/>
      <c r="D120" s="845"/>
      <c r="E120" s="845"/>
      <c r="F120" s="845"/>
      <c r="G120" s="845"/>
      <c r="H120" s="881">
        <f>'04-22Master'!G18</f>
        <v>0</v>
      </c>
      <c r="I120" s="882"/>
      <c r="J120" s="882"/>
      <c r="K120" s="882"/>
      <c r="L120" s="883"/>
    </row>
    <row r="121" spans="2:12" ht="29.1" customHeight="1">
      <c r="B121" s="847" t="s">
        <v>122</v>
      </c>
      <c r="C121" s="848"/>
      <c r="D121" s="848"/>
      <c r="E121" s="848"/>
      <c r="F121" s="848"/>
      <c r="G121" s="848"/>
      <c r="H121" s="884">
        <f>'04-22Master'!A18</f>
        <v>0</v>
      </c>
      <c r="I121" s="885"/>
      <c r="J121" s="885"/>
      <c r="K121" s="885"/>
      <c r="L121" s="886"/>
    </row>
    <row r="122" spans="2:12" ht="29.1" customHeight="1">
      <c r="B122" s="837" t="s">
        <v>123</v>
      </c>
      <c r="C122" s="838"/>
      <c r="D122" s="838"/>
      <c r="E122" s="838"/>
      <c r="F122" s="838"/>
      <c r="G122" s="838"/>
      <c r="H122" s="843">
        <f>'04-22Master'!E18</f>
        <v>0</v>
      </c>
      <c r="I122" s="840"/>
      <c r="J122" s="840"/>
      <c r="K122" s="840"/>
      <c r="L122" s="841"/>
    </row>
    <row r="123" spans="2:12" ht="29.1" customHeight="1">
      <c r="B123" s="837" t="s">
        <v>124</v>
      </c>
      <c r="C123" s="838"/>
      <c r="D123" s="838"/>
      <c r="E123" s="838"/>
      <c r="F123" s="838"/>
      <c r="G123" s="838"/>
      <c r="H123" s="851">
        <f>'04-22Master'!I18</f>
        <v>0</v>
      </c>
      <c r="I123" s="876"/>
      <c r="J123" s="876"/>
      <c r="K123" s="876"/>
      <c r="L123" s="877"/>
    </row>
    <row r="124" spans="2:12" ht="29.1" customHeight="1">
      <c r="B124" s="430" t="s">
        <v>125</v>
      </c>
      <c r="C124" s="307"/>
      <c r="D124" s="307"/>
      <c r="E124" s="307"/>
      <c r="F124" s="307"/>
      <c r="G124" s="307"/>
      <c r="H124" s="308"/>
      <c r="I124" s="309"/>
      <c r="J124" s="300">
        <f>'04-22Master'!O18</f>
        <v>0</v>
      </c>
      <c r="K124" s="552"/>
      <c r="L124" s="554"/>
    </row>
    <row r="125" spans="2:12" ht="29.1" customHeight="1">
      <c r="B125" s="430" t="s">
        <v>126</v>
      </c>
      <c r="C125" s="307"/>
      <c r="D125" s="307"/>
      <c r="E125" s="307"/>
      <c r="F125" s="307"/>
      <c r="G125" s="427"/>
      <c r="H125" s="98"/>
      <c r="I125" s="99"/>
      <c r="J125" s="300">
        <f>'04-22Master'!N18</f>
        <v>0</v>
      </c>
      <c r="K125" s="99"/>
      <c r="L125" s="100"/>
    </row>
    <row r="126" spans="2:12" ht="29.1" customHeight="1">
      <c r="B126" s="833" t="s">
        <v>127</v>
      </c>
      <c r="C126" s="834"/>
      <c r="D126" s="834"/>
      <c r="E126" s="834"/>
      <c r="F126" s="834"/>
      <c r="G126" s="834"/>
      <c r="H126" s="835">
        <f>'04-22Master'!S18</f>
        <v>0</v>
      </c>
      <c r="I126" s="849"/>
      <c r="J126" s="849"/>
      <c r="K126" s="849"/>
      <c r="L126" s="850"/>
    </row>
    <row r="127" spans="2:12" ht="29.1" customHeight="1">
      <c r="B127" s="837" t="s">
        <v>128</v>
      </c>
      <c r="C127" s="838"/>
      <c r="D127" s="838"/>
      <c r="E127" s="838"/>
      <c r="F127" s="838"/>
      <c r="G127" s="838"/>
      <c r="H127" s="839">
        <f>'04-22Master'!D10</f>
        <v>44652</v>
      </c>
      <c r="I127" s="840"/>
      <c r="J127" s="840"/>
      <c r="K127" s="840"/>
      <c r="L127" s="841"/>
    </row>
    <row r="128" spans="2:12" ht="29.1" customHeight="1">
      <c r="B128" s="837" t="s">
        <v>129</v>
      </c>
      <c r="C128" s="838"/>
      <c r="D128" s="838"/>
      <c r="E128" s="838"/>
      <c r="F128" s="838"/>
      <c r="G128" s="838"/>
      <c r="H128" s="840" t="s">
        <v>130</v>
      </c>
      <c r="I128" s="840"/>
      <c r="J128" s="840"/>
      <c r="K128" s="840"/>
      <c r="L128" s="841"/>
    </row>
    <row r="129" spans="2:12" ht="29.1" customHeight="1">
      <c r="B129" s="430" t="s">
        <v>131</v>
      </c>
      <c r="C129" s="307"/>
      <c r="D129" s="307"/>
      <c r="E129" s="307"/>
      <c r="F129" s="307"/>
      <c r="G129" s="427"/>
      <c r="H129" s="308"/>
      <c r="I129" s="552"/>
      <c r="J129" s="310">
        <f>'04-22Master'!Q18</f>
        <v>0</v>
      </c>
      <c r="K129" s="552"/>
      <c r="L129" s="554"/>
    </row>
    <row r="130" spans="2:12" ht="29.1" customHeight="1">
      <c r="B130" s="430" t="s">
        <v>132</v>
      </c>
      <c r="C130" s="307"/>
      <c r="D130" s="307"/>
      <c r="E130" s="307"/>
      <c r="F130" s="307"/>
      <c r="G130" s="427"/>
      <c r="H130" s="308"/>
      <c r="I130" s="552"/>
      <c r="J130" s="552" t="s">
        <v>37</v>
      </c>
      <c r="K130" s="552"/>
      <c r="L130" s="554"/>
    </row>
    <row r="131" spans="2:12" ht="29.1" customHeight="1">
      <c r="B131" s="430" t="s">
        <v>133</v>
      </c>
      <c r="C131" s="307"/>
      <c r="D131" s="307"/>
      <c r="E131" s="307"/>
      <c r="F131" s="307"/>
      <c r="G131" s="427"/>
      <c r="H131" s="308"/>
      <c r="I131" s="552"/>
      <c r="J131" s="310">
        <v>0</v>
      </c>
      <c r="K131" s="552"/>
      <c r="L131" s="554"/>
    </row>
    <row r="132" spans="2:12" ht="29.1" customHeight="1">
      <c r="B132" s="430" t="s">
        <v>134</v>
      </c>
      <c r="C132" s="307"/>
      <c r="D132" s="307"/>
      <c r="E132" s="307"/>
      <c r="F132" s="307"/>
      <c r="G132" s="427"/>
      <c r="H132" s="308"/>
      <c r="I132" s="552"/>
      <c r="J132" s="552">
        <v>0</v>
      </c>
      <c r="K132" s="552"/>
      <c r="L132" s="554"/>
    </row>
    <row r="133" spans="2:12" ht="29.1" customHeight="1">
      <c r="B133" s="430" t="s">
        <v>135</v>
      </c>
      <c r="C133" s="307"/>
      <c r="D133" s="307"/>
      <c r="E133" s="307"/>
      <c r="F133" s="307"/>
      <c r="G133" s="427"/>
      <c r="H133" s="308"/>
      <c r="I133" s="552"/>
      <c r="J133" s="310">
        <f>'04-22Master'!AG18</f>
        <v>0</v>
      </c>
      <c r="K133" s="552"/>
      <c r="L133" s="554" t="s">
        <v>35</v>
      </c>
    </row>
    <row r="134" spans="2:12" ht="29.1" customHeight="1">
      <c r="B134" s="430" t="s">
        <v>136</v>
      </c>
      <c r="C134" s="307"/>
      <c r="D134" s="551" t="s">
        <v>32</v>
      </c>
      <c r="E134" s="553">
        <f>'04-22Master'!AI18</f>
        <v>0</v>
      </c>
      <c r="F134" s="551" t="s">
        <v>31</v>
      </c>
      <c r="G134" s="553">
        <f>'04-22Master'!AH18</f>
        <v>0</v>
      </c>
      <c r="H134" s="551" t="s">
        <v>33</v>
      </c>
      <c r="I134" s="553">
        <f>'04-22Master'!AJ18</f>
        <v>0</v>
      </c>
      <c r="J134" s="551" t="s">
        <v>34</v>
      </c>
      <c r="K134" s="553">
        <f>'04-22Master'!AK18</f>
        <v>0</v>
      </c>
      <c r="L134" s="113">
        <f>'04-22Master'!AL18</f>
        <v>0</v>
      </c>
    </row>
    <row r="135" spans="2:12" ht="29.1" customHeight="1">
      <c r="B135" s="430" t="s">
        <v>137</v>
      </c>
      <c r="C135" s="307"/>
      <c r="D135" s="307"/>
      <c r="E135" s="307"/>
      <c r="F135" s="307"/>
      <c r="G135" s="427"/>
      <c r="H135" s="308"/>
      <c r="I135" s="552"/>
      <c r="J135" s="310" t="e">
        <f>'04-22Master'!#REF!</f>
        <v>#REF!</v>
      </c>
      <c r="K135" s="552"/>
      <c r="L135" s="554"/>
    </row>
    <row r="136" spans="2:12" ht="29.1" customHeight="1">
      <c r="B136" s="431" t="s">
        <v>138</v>
      </c>
      <c r="C136" s="104"/>
      <c r="D136" s="104"/>
      <c r="E136" s="104"/>
      <c r="F136" s="104"/>
      <c r="G136" s="105"/>
      <c r="H136" s="106"/>
      <c r="I136" s="107"/>
      <c r="J136" s="107"/>
      <c r="K136" s="107"/>
      <c r="L136" s="108"/>
    </row>
    <row r="137" spans="2:12" ht="29.1" customHeight="1">
      <c r="B137" s="432" t="s">
        <v>139</v>
      </c>
      <c r="C137" s="109"/>
      <c r="D137" s="109"/>
      <c r="E137" s="109"/>
      <c r="F137" s="109"/>
      <c r="G137" s="110"/>
      <c r="H137" s="77"/>
      <c r="I137" s="23"/>
      <c r="J137" s="23"/>
      <c r="K137" s="23"/>
      <c r="L137" s="111"/>
    </row>
    <row r="138" spans="2:12" ht="29.1" customHeight="1">
      <c r="B138" s="19"/>
      <c r="C138" s="305"/>
      <c r="D138" s="305"/>
      <c r="E138" s="305"/>
      <c r="F138" s="305"/>
      <c r="G138" s="305"/>
      <c r="H138" s="305"/>
      <c r="I138" s="305"/>
      <c r="J138" s="305"/>
      <c r="K138" s="305"/>
      <c r="L138" s="20"/>
    </row>
    <row r="139" spans="2:12" ht="29.1" customHeight="1" thickBot="1">
      <c r="B139" s="31"/>
      <c r="C139" s="29"/>
      <c r="D139" s="29"/>
      <c r="E139" s="29"/>
      <c r="F139" s="29"/>
      <c r="G139" s="29"/>
      <c r="H139" s="29"/>
      <c r="I139" s="29"/>
      <c r="J139" s="29"/>
      <c r="K139" s="29"/>
      <c r="L139" s="30"/>
    </row>
    <row r="150" spans="2:12" ht="15.75" thickBot="1"/>
    <row r="151" spans="2:12" ht="32.25">
      <c r="B151" s="853" t="s">
        <v>114</v>
      </c>
      <c r="C151" s="854"/>
      <c r="D151" s="854"/>
      <c r="E151" s="854"/>
      <c r="F151" s="854"/>
      <c r="G151" s="854"/>
      <c r="H151" s="854"/>
      <c r="I151" s="854"/>
      <c r="J151" s="854"/>
      <c r="K151" s="854"/>
      <c r="L151" s="855"/>
    </row>
    <row r="152" spans="2:12" ht="23.25">
      <c r="B152" s="856" t="s">
        <v>115</v>
      </c>
      <c r="C152" s="857"/>
      <c r="D152" s="857"/>
      <c r="E152" s="857"/>
      <c r="F152" s="857"/>
      <c r="G152" s="857"/>
      <c r="H152" s="857"/>
      <c r="I152" s="857"/>
      <c r="J152" s="857"/>
      <c r="K152" s="857"/>
      <c r="L152" s="858"/>
    </row>
    <row r="153" spans="2:12" ht="16.5" thickBot="1">
      <c r="B153" s="859" t="s">
        <v>429</v>
      </c>
      <c r="C153" s="860"/>
      <c r="D153" s="860"/>
      <c r="E153" s="860"/>
      <c r="F153" s="860"/>
      <c r="G153" s="860"/>
      <c r="H153" s="860"/>
      <c r="I153" s="860"/>
      <c r="J153" s="860"/>
      <c r="K153" s="860"/>
      <c r="L153" s="861"/>
    </row>
    <row r="154" spans="2:12">
      <c r="B154" s="862" t="s">
        <v>117</v>
      </c>
      <c r="C154" s="863"/>
      <c r="D154" s="863"/>
      <c r="E154" s="863"/>
      <c r="F154" s="863"/>
      <c r="G154" s="305"/>
      <c r="H154" s="866" t="s">
        <v>118</v>
      </c>
      <c r="I154" s="866"/>
      <c r="J154" s="866"/>
      <c r="K154" s="866"/>
      <c r="L154" s="867"/>
    </row>
    <row r="155" spans="2:12" ht="15.75" thickBot="1">
      <c r="B155" s="864"/>
      <c r="C155" s="865"/>
      <c r="D155" s="865"/>
      <c r="E155" s="865"/>
      <c r="F155" s="865"/>
      <c r="G155" s="305"/>
      <c r="H155" s="868"/>
      <c r="I155" s="868"/>
      <c r="J155" s="868"/>
      <c r="K155" s="868"/>
      <c r="L155" s="869"/>
    </row>
    <row r="156" spans="2:12">
      <c r="B156" s="81"/>
      <c r="C156" s="82"/>
      <c r="D156" s="82"/>
      <c r="E156" s="82"/>
      <c r="F156" s="83"/>
      <c r="G156" s="305"/>
      <c r="H156" s="81"/>
      <c r="I156" s="82"/>
      <c r="J156" s="82"/>
      <c r="K156" s="82"/>
      <c r="L156" s="83"/>
    </row>
    <row r="157" spans="2:12">
      <c r="B157" s="84" t="str">
        <f>'04-22Master'!F5</f>
        <v>Burgeon IT Services Pvt.Ltd.</v>
      </c>
      <c r="C157" s="305"/>
      <c r="D157" s="305"/>
      <c r="E157" s="305"/>
      <c r="F157" s="20"/>
      <c r="G157" s="305"/>
      <c r="H157" s="84" t="str">
        <f>'04-22Master'!AJ5</f>
        <v>Burgeon IT Services Pvt.Ltd.</v>
      </c>
      <c r="I157" s="305"/>
      <c r="J157" s="305"/>
      <c r="K157" s="305"/>
      <c r="L157" s="20"/>
    </row>
    <row r="158" spans="2:12">
      <c r="B158" s="19"/>
      <c r="C158" s="305"/>
      <c r="D158" s="305"/>
      <c r="E158" s="305"/>
      <c r="F158" s="20"/>
      <c r="G158" s="305"/>
      <c r="H158" s="19"/>
      <c r="I158" s="305"/>
      <c r="J158" s="305"/>
      <c r="K158" s="305"/>
      <c r="L158" s="20"/>
    </row>
    <row r="159" spans="2:12">
      <c r="B159" s="84" t="str">
        <f>'04-22Master'!F6</f>
        <v>Siri Mansion LIGB 436 Dr.A S Rao Nagar,Hyderabad</v>
      </c>
      <c r="C159" s="305"/>
      <c r="D159" s="305"/>
      <c r="E159" s="305"/>
      <c r="F159" s="20"/>
      <c r="G159" s="305"/>
      <c r="H159" s="84" t="str">
        <f>'04-22Master'!AJ6</f>
        <v>Siri Mansion LIGB 436 Dr.A S Rao Nagar,Hyderabad</v>
      </c>
      <c r="I159" s="305"/>
      <c r="J159" s="305"/>
      <c r="K159" s="305"/>
      <c r="L159" s="20"/>
    </row>
    <row r="160" spans="2:12" ht="15.75" thickBot="1">
      <c r="B160" s="31"/>
      <c r="C160" s="29"/>
      <c r="D160" s="29"/>
      <c r="E160" s="29"/>
      <c r="F160" s="30"/>
      <c r="G160" s="305"/>
      <c r="H160" s="31"/>
      <c r="I160" s="29"/>
      <c r="J160" s="29"/>
      <c r="K160" s="29"/>
      <c r="L160" s="30"/>
    </row>
    <row r="161" spans="2:12">
      <c r="B161" s="19"/>
      <c r="C161" s="305"/>
      <c r="D161" s="305"/>
      <c r="E161" s="305"/>
      <c r="F161" s="305"/>
      <c r="G161" s="305"/>
      <c r="H161" s="305"/>
      <c r="I161" s="305"/>
      <c r="J161" s="305" t="s">
        <v>119</v>
      </c>
      <c r="K161" s="305"/>
      <c r="L161" s="20"/>
    </row>
    <row r="162" spans="2:12">
      <c r="B162" s="796" t="s">
        <v>120</v>
      </c>
      <c r="C162" s="797"/>
      <c r="D162" s="797"/>
      <c r="E162" s="797"/>
      <c r="F162" s="797"/>
      <c r="G162" s="305"/>
      <c r="H162" s="797" t="s">
        <v>4</v>
      </c>
      <c r="I162" s="797"/>
      <c r="J162" s="797"/>
      <c r="K162" s="797"/>
      <c r="L162" s="870"/>
    </row>
    <row r="163" spans="2:12" ht="15.75" thickBot="1">
      <c r="B163" s="19"/>
      <c r="C163" s="305"/>
      <c r="D163" s="305"/>
      <c r="E163" s="305"/>
      <c r="F163" s="305"/>
      <c r="G163" s="305"/>
      <c r="H163" s="305"/>
      <c r="I163" s="305"/>
      <c r="J163" s="305"/>
      <c r="K163" s="305"/>
      <c r="L163" s="20"/>
    </row>
    <row r="164" spans="2:12">
      <c r="B164" s="81"/>
      <c r="C164" s="82"/>
      <c r="D164" s="82"/>
      <c r="E164" s="82"/>
      <c r="F164" s="83"/>
      <c r="G164" s="305"/>
      <c r="H164" s="85"/>
      <c r="I164" s="86"/>
      <c r="J164" s="86"/>
      <c r="K164" s="86"/>
      <c r="L164" s="87"/>
    </row>
    <row r="165" spans="2:12">
      <c r="B165" s="19"/>
      <c r="C165" s="305"/>
      <c r="D165" s="305"/>
      <c r="E165" s="305"/>
      <c r="F165" s="20"/>
      <c r="G165" s="305"/>
      <c r="H165" s="84" t="str">
        <f>'04-22Master'!AJ10</f>
        <v xml:space="preserve">INFOSYS  LTD.IL Hyderabad SEZ Unit-3 </v>
      </c>
      <c r="I165" s="306"/>
      <c r="J165" s="306"/>
      <c r="K165" s="306"/>
      <c r="L165" s="88"/>
    </row>
    <row r="166" spans="2:12">
      <c r="B166" s="84" t="str">
        <f>'04-22Master'!F8</f>
        <v>IT SUPPORTIVE SERVICES</v>
      </c>
      <c r="C166" s="305"/>
      <c r="D166" s="305"/>
      <c r="E166" s="305"/>
      <c r="F166" s="20"/>
      <c r="G166" s="305"/>
      <c r="H166" s="84"/>
      <c r="I166" s="306"/>
      <c r="J166" s="306"/>
      <c r="K166" s="306"/>
      <c r="L166" s="88"/>
    </row>
    <row r="167" spans="2:12">
      <c r="B167" s="19"/>
      <c r="C167" s="305"/>
      <c r="D167" s="305"/>
      <c r="E167" s="305"/>
      <c r="F167" s="20"/>
      <c r="G167" s="305"/>
      <c r="H167" s="84" t="str">
        <f>'04-22Master'!AJ11</f>
        <v>Sy.No 42,Pocharam Village,Gatkesar Mandal</v>
      </c>
      <c r="I167" s="306"/>
      <c r="J167" s="306"/>
      <c r="K167" s="306"/>
      <c r="L167" s="88"/>
    </row>
    <row r="168" spans="2:12" ht="15.75" thickBot="1">
      <c r="B168" s="31"/>
      <c r="C168" s="29"/>
      <c r="D168" s="29"/>
      <c r="E168" s="29"/>
      <c r="F168" s="30"/>
      <c r="G168" s="305"/>
      <c r="H168" s="84"/>
      <c r="I168" s="306"/>
      <c r="J168" s="306"/>
      <c r="K168" s="306"/>
      <c r="L168" s="88"/>
    </row>
    <row r="169" spans="2:12" ht="29.25" customHeight="1">
      <c r="B169" s="837" t="s">
        <v>121</v>
      </c>
      <c r="C169" s="838"/>
      <c r="D169" s="838"/>
      <c r="E169" s="838"/>
      <c r="F169" s="838"/>
      <c r="G169" s="842"/>
      <c r="H169" s="878">
        <f>'04-22Master'!B19</f>
        <v>0</v>
      </c>
      <c r="I169" s="879"/>
      <c r="J169" s="879"/>
      <c r="K169" s="879"/>
      <c r="L169" s="880"/>
    </row>
    <row r="170" spans="2:12" ht="29.25" customHeight="1" thickBot="1">
      <c r="B170" s="844"/>
      <c r="C170" s="845"/>
      <c r="D170" s="845"/>
      <c r="E170" s="845"/>
      <c r="F170" s="845"/>
      <c r="G170" s="845"/>
      <c r="H170" s="881">
        <f>'04-22Master'!G19</f>
        <v>0</v>
      </c>
      <c r="I170" s="882"/>
      <c r="J170" s="882"/>
      <c r="K170" s="882"/>
      <c r="L170" s="883"/>
    </row>
    <row r="171" spans="2:12" ht="29.25" customHeight="1">
      <c r="B171" s="847" t="s">
        <v>122</v>
      </c>
      <c r="C171" s="848"/>
      <c r="D171" s="848"/>
      <c r="E171" s="848"/>
      <c r="F171" s="848"/>
      <c r="G171" s="848"/>
      <c r="H171" s="835">
        <f>'04-22Master'!A19</f>
        <v>0</v>
      </c>
      <c r="I171" s="849"/>
      <c r="J171" s="849"/>
      <c r="K171" s="849"/>
      <c r="L171" s="850"/>
    </row>
    <row r="172" spans="2:12" ht="29.25" customHeight="1">
      <c r="B172" s="837" t="s">
        <v>123</v>
      </c>
      <c r="C172" s="838"/>
      <c r="D172" s="838"/>
      <c r="E172" s="838"/>
      <c r="F172" s="838"/>
      <c r="G172" s="838"/>
      <c r="H172" s="843">
        <f>'04-22Master'!F19</f>
        <v>0</v>
      </c>
      <c r="I172" s="840"/>
      <c r="J172" s="840"/>
      <c r="K172" s="840"/>
      <c r="L172" s="841"/>
    </row>
    <row r="173" spans="2:12" ht="29.25" customHeight="1">
      <c r="B173" s="837" t="s">
        <v>124</v>
      </c>
      <c r="C173" s="838"/>
      <c r="D173" s="838"/>
      <c r="E173" s="838"/>
      <c r="F173" s="838"/>
      <c r="G173" s="838"/>
      <c r="H173" s="851">
        <f>'04-22Master'!I19</f>
        <v>0</v>
      </c>
      <c r="I173" s="876"/>
      <c r="J173" s="876"/>
      <c r="K173" s="876"/>
      <c r="L173" s="877"/>
    </row>
    <row r="174" spans="2:12" ht="29.25" customHeight="1">
      <c r="B174" s="430" t="s">
        <v>125</v>
      </c>
      <c r="C174" s="307"/>
      <c r="D174" s="307"/>
      <c r="E174" s="307"/>
      <c r="F174" s="307"/>
      <c r="G174" s="307"/>
      <c r="H174" s="308"/>
      <c r="I174" s="309"/>
      <c r="J174" s="300">
        <f>'04-22Master'!O19</f>
        <v>0</v>
      </c>
      <c r="K174" s="563"/>
      <c r="L174" s="566"/>
    </row>
    <row r="175" spans="2:12" ht="29.25" customHeight="1">
      <c r="B175" s="430" t="s">
        <v>126</v>
      </c>
      <c r="C175" s="307"/>
      <c r="D175" s="307"/>
      <c r="E175" s="307"/>
      <c r="F175" s="307"/>
      <c r="G175" s="427"/>
      <c r="H175" s="98"/>
      <c r="I175" s="99"/>
      <c r="J175" s="300">
        <f>'04-22Master'!N19</f>
        <v>0</v>
      </c>
      <c r="K175" s="99"/>
      <c r="L175" s="100"/>
    </row>
    <row r="176" spans="2:12" ht="29.25" customHeight="1">
      <c r="B176" s="833" t="s">
        <v>127</v>
      </c>
      <c r="C176" s="834"/>
      <c r="D176" s="834"/>
      <c r="E176" s="834"/>
      <c r="F176" s="834"/>
      <c r="G176" s="834"/>
      <c r="H176" s="835">
        <f>'04-22Master'!S19</f>
        <v>0</v>
      </c>
      <c r="I176" s="849"/>
      <c r="J176" s="849"/>
      <c r="K176" s="849"/>
      <c r="L176" s="850"/>
    </row>
    <row r="177" spans="2:12" ht="29.25" customHeight="1">
      <c r="B177" s="837" t="s">
        <v>128</v>
      </c>
      <c r="C177" s="838"/>
      <c r="D177" s="838"/>
      <c r="E177" s="838"/>
      <c r="F177" s="838"/>
      <c r="G177" s="838"/>
      <c r="H177" s="839">
        <f>'04-22Master'!D10</f>
        <v>44652</v>
      </c>
      <c r="I177" s="840"/>
      <c r="J177" s="840"/>
      <c r="K177" s="840"/>
      <c r="L177" s="841"/>
    </row>
    <row r="178" spans="2:12" ht="29.25" customHeight="1">
      <c r="B178" s="837" t="s">
        <v>129</v>
      </c>
      <c r="C178" s="838"/>
      <c r="D178" s="838"/>
      <c r="E178" s="838"/>
      <c r="F178" s="838"/>
      <c r="G178" s="838"/>
      <c r="H178" s="840" t="s">
        <v>130</v>
      </c>
      <c r="I178" s="840"/>
      <c r="J178" s="840"/>
      <c r="K178" s="840"/>
      <c r="L178" s="841"/>
    </row>
    <row r="179" spans="2:12" ht="29.25" customHeight="1">
      <c r="B179" s="430" t="s">
        <v>131</v>
      </c>
      <c r="C179" s="307"/>
      <c r="D179" s="307"/>
      <c r="E179" s="307"/>
      <c r="F179" s="307"/>
      <c r="G179" s="427"/>
      <c r="H179" s="308"/>
      <c r="I179" s="563"/>
      <c r="J179" s="310">
        <f>'04-22Master'!Q19</f>
        <v>0</v>
      </c>
      <c r="K179" s="563"/>
      <c r="L179" s="566"/>
    </row>
    <row r="180" spans="2:12" ht="29.25" customHeight="1">
      <c r="B180" s="430" t="s">
        <v>132</v>
      </c>
      <c r="C180" s="307"/>
      <c r="D180" s="307"/>
      <c r="E180" s="307"/>
      <c r="F180" s="307"/>
      <c r="G180" s="427"/>
      <c r="H180" s="308"/>
      <c r="I180" s="563"/>
      <c r="J180" s="563" t="s">
        <v>37</v>
      </c>
      <c r="K180" s="563"/>
      <c r="L180" s="566"/>
    </row>
    <row r="181" spans="2:12" ht="29.25" customHeight="1">
      <c r="B181" s="430" t="s">
        <v>133</v>
      </c>
      <c r="C181" s="307"/>
      <c r="D181" s="307"/>
      <c r="E181" s="307"/>
      <c r="F181" s="307"/>
      <c r="G181" s="427"/>
      <c r="H181" s="308"/>
      <c r="I181" s="563"/>
      <c r="J181" s="310">
        <v>0</v>
      </c>
      <c r="K181" s="563"/>
      <c r="L181" s="566"/>
    </row>
    <row r="182" spans="2:12" ht="29.25" customHeight="1">
      <c r="B182" s="430" t="s">
        <v>134</v>
      </c>
      <c r="C182" s="307"/>
      <c r="D182" s="307"/>
      <c r="E182" s="307"/>
      <c r="F182" s="307"/>
      <c r="G182" s="427"/>
      <c r="H182" s="308"/>
      <c r="I182" s="563"/>
      <c r="J182" s="563">
        <v>0</v>
      </c>
      <c r="K182" s="563"/>
      <c r="L182" s="566"/>
    </row>
    <row r="183" spans="2:12" ht="29.25" customHeight="1">
      <c r="B183" s="430" t="s">
        <v>135</v>
      </c>
      <c r="C183" s="307"/>
      <c r="D183" s="307"/>
      <c r="E183" s="307"/>
      <c r="F183" s="307"/>
      <c r="G183" s="427"/>
      <c r="H183" s="308"/>
      <c r="I183" s="563"/>
      <c r="J183" s="310">
        <f>'04-22Master'!AG19</f>
        <v>0</v>
      </c>
      <c r="K183" s="563"/>
      <c r="L183" s="566" t="s">
        <v>35</v>
      </c>
    </row>
    <row r="184" spans="2:12" ht="29.25" customHeight="1">
      <c r="B184" s="430" t="s">
        <v>136</v>
      </c>
      <c r="C184" s="307"/>
      <c r="D184" s="564" t="s">
        <v>32</v>
      </c>
      <c r="E184" s="565">
        <f>'04-22Master'!AI19</f>
        <v>0</v>
      </c>
      <c r="F184" s="564" t="s">
        <v>31</v>
      </c>
      <c r="G184" s="565">
        <f>'04-22Master'!AH19</f>
        <v>0</v>
      </c>
      <c r="H184" s="564" t="s">
        <v>33</v>
      </c>
      <c r="I184" s="565">
        <f>'04-22Master'!AJ19</f>
        <v>0</v>
      </c>
      <c r="J184" s="564" t="s">
        <v>34</v>
      </c>
      <c r="K184" s="565">
        <f>'04-22Master'!AK19</f>
        <v>0</v>
      </c>
      <c r="L184" s="113">
        <f>'04-22Master'!AL19</f>
        <v>0</v>
      </c>
    </row>
    <row r="185" spans="2:12" ht="29.25" customHeight="1">
      <c r="B185" s="430" t="s">
        <v>137</v>
      </c>
      <c r="C185" s="307"/>
      <c r="D185" s="307"/>
      <c r="E185" s="307"/>
      <c r="F185" s="307"/>
      <c r="G185" s="427"/>
      <c r="H185" s="308"/>
      <c r="I185" s="563"/>
      <c r="J185" s="310">
        <f>'04-22Master'!AN19</f>
        <v>0</v>
      </c>
      <c r="K185" s="563"/>
      <c r="L185" s="566"/>
    </row>
    <row r="186" spans="2:12" ht="29.25" customHeight="1">
      <c r="B186" s="431" t="s">
        <v>138</v>
      </c>
      <c r="C186" s="104"/>
      <c r="D186" s="104"/>
      <c r="E186" s="104"/>
      <c r="F186" s="104"/>
      <c r="G186" s="105"/>
      <c r="H186" s="106"/>
      <c r="I186" s="107"/>
      <c r="J186" s="107"/>
      <c r="K186" s="107"/>
      <c r="L186" s="108"/>
    </row>
    <row r="187" spans="2:12" ht="29.25" customHeight="1">
      <c r="B187" s="432" t="s">
        <v>139</v>
      </c>
      <c r="C187" s="109"/>
      <c r="D187" s="109"/>
      <c r="E187" s="109"/>
      <c r="F187" s="109"/>
      <c r="G187" s="110"/>
      <c r="H187" s="77"/>
      <c r="I187" s="23"/>
      <c r="J187" s="23"/>
      <c r="K187" s="23"/>
      <c r="L187" s="111"/>
    </row>
    <row r="188" spans="2:12" ht="29.25" customHeight="1">
      <c r="B188" s="19"/>
      <c r="C188" s="305"/>
      <c r="D188" s="305"/>
      <c r="E188" s="305"/>
      <c r="F188" s="305"/>
      <c r="G188" s="305"/>
      <c r="H188" s="305"/>
      <c r="I188" s="305"/>
      <c r="J188" s="305"/>
      <c r="K188" s="305"/>
      <c r="L188" s="20"/>
    </row>
    <row r="189" spans="2:12" ht="29.25" customHeight="1" thickBot="1">
      <c r="B189" s="31"/>
      <c r="C189" s="29"/>
      <c r="D189" s="29"/>
      <c r="E189" s="29"/>
      <c r="F189" s="29"/>
      <c r="G189" s="29"/>
      <c r="H189" s="29"/>
      <c r="I189" s="29"/>
      <c r="J189" s="29"/>
      <c r="K189" s="29"/>
      <c r="L189" s="30"/>
    </row>
    <row r="190" spans="2:12">
      <c r="B190" s="467"/>
      <c r="C190" s="467"/>
      <c r="D190" s="467"/>
      <c r="E190" s="467"/>
      <c r="F190" s="467"/>
      <c r="G190" s="467"/>
      <c r="H190" s="467"/>
      <c r="I190" s="467"/>
      <c r="J190" s="467"/>
      <c r="K190" s="467"/>
      <c r="L190" s="467"/>
    </row>
    <row r="191" spans="2:12">
      <c r="B191" s="467"/>
      <c r="C191" s="467"/>
      <c r="D191" s="467"/>
      <c r="E191" s="467"/>
      <c r="F191" s="467"/>
      <c r="G191" s="467"/>
      <c r="H191" s="467"/>
      <c r="I191" s="467"/>
      <c r="J191" s="467"/>
      <c r="K191" s="467"/>
      <c r="L191" s="467"/>
    </row>
    <row r="192" spans="2:12">
      <c r="B192" s="467"/>
      <c r="C192" s="467"/>
      <c r="D192" s="467"/>
      <c r="E192" s="467"/>
      <c r="F192" s="467"/>
      <c r="G192" s="467"/>
      <c r="H192" s="467"/>
      <c r="I192" s="467"/>
      <c r="J192" s="467"/>
      <c r="K192" s="467"/>
      <c r="L192" s="467"/>
    </row>
    <row r="193" spans="2:12">
      <c r="B193" s="467"/>
      <c r="C193" s="467"/>
      <c r="D193" s="467"/>
      <c r="E193" s="467"/>
      <c r="F193" s="467"/>
      <c r="G193" s="467"/>
      <c r="H193" s="467"/>
      <c r="I193" s="467"/>
      <c r="J193" s="467"/>
      <c r="K193" s="467"/>
      <c r="L193" s="467"/>
    </row>
    <row r="194" spans="2:12">
      <c r="B194" s="467"/>
      <c r="C194" s="467"/>
      <c r="D194" s="467"/>
      <c r="E194" s="467"/>
      <c r="F194" s="467"/>
      <c r="G194" s="467"/>
      <c r="H194" s="467"/>
      <c r="I194" s="467"/>
      <c r="J194" s="467"/>
      <c r="K194" s="467"/>
      <c r="L194" s="467"/>
    </row>
    <row r="195" spans="2:12">
      <c r="B195" s="467"/>
      <c r="C195" s="467"/>
      <c r="D195" s="467"/>
      <c r="E195" s="467"/>
      <c r="F195" s="467"/>
      <c r="G195" s="467"/>
      <c r="H195" s="467"/>
      <c r="I195" s="467"/>
      <c r="J195" s="467"/>
      <c r="K195" s="467"/>
      <c r="L195" s="467"/>
    </row>
    <row r="196" spans="2:12">
      <c r="B196" s="467"/>
      <c r="C196" s="467"/>
      <c r="D196" s="467"/>
      <c r="E196" s="467"/>
      <c r="F196" s="467"/>
      <c r="G196" s="467"/>
      <c r="H196" s="467"/>
      <c r="I196" s="467"/>
      <c r="J196" s="467"/>
      <c r="K196" s="467"/>
      <c r="L196" s="467"/>
    </row>
    <row r="198" spans="2:12" ht="15.75" thickBot="1"/>
    <row r="199" spans="2:12" ht="32.25">
      <c r="B199" s="853" t="s">
        <v>114</v>
      </c>
      <c r="C199" s="854"/>
      <c r="D199" s="854"/>
      <c r="E199" s="854"/>
      <c r="F199" s="854"/>
      <c r="G199" s="854"/>
      <c r="H199" s="854"/>
      <c r="I199" s="854"/>
      <c r="J199" s="854"/>
      <c r="K199" s="854"/>
      <c r="L199" s="855"/>
    </row>
    <row r="200" spans="2:12" ht="23.25">
      <c r="B200" s="856" t="s">
        <v>115</v>
      </c>
      <c r="C200" s="857"/>
      <c r="D200" s="857"/>
      <c r="E200" s="857"/>
      <c r="F200" s="857"/>
      <c r="G200" s="857"/>
      <c r="H200" s="857"/>
      <c r="I200" s="857"/>
      <c r="J200" s="857"/>
      <c r="K200" s="857"/>
      <c r="L200" s="858"/>
    </row>
    <row r="201" spans="2:12" ht="16.5" thickBot="1">
      <c r="B201" s="859" t="s">
        <v>429</v>
      </c>
      <c r="C201" s="860"/>
      <c r="D201" s="860"/>
      <c r="E201" s="860"/>
      <c r="F201" s="860"/>
      <c r="G201" s="860"/>
      <c r="H201" s="860"/>
      <c r="I201" s="860"/>
      <c r="J201" s="860"/>
      <c r="K201" s="860"/>
      <c r="L201" s="861"/>
    </row>
    <row r="202" spans="2:12">
      <c r="B202" s="862" t="s">
        <v>117</v>
      </c>
      <c r="C202" s="863"/>
      <c r="D202" s="863"/>
      <c r="E202" s="863"/>
      <c r="F202" s="863"/>
      <c r="G202" s="305"/>
      <c r="H202" s="866" t="s">
        <v>118</v>
      </c>
      <c r="I202" s="866"/>
      <c r="J202" s="866"/>
      <c r="K202" s="866"/>
      <c r="L202" s="867"/>
    </row>
    <row r="203" spans="2:12" ht="15.75" thickBot="1">
      <c r="B203" s="864"/>
      <c r="C203" s="865"/>
      <c r="D203" s="865"/>
      <c r="E203" s="865"/>
      <c r="F203" s="865"/>
      <c r="G203" s="305"/>
      <c r="H203" s="868"/>
      <c r="I203" s="868"/>
      <c r="J203" s="868"/>
      <c r="K203" s="868"/>
      <c r="L203" s="869"/>
    </row>
    <row r="204" spans="2:12">
      <c r="B204" s="81"/>
      <c r="C204" s="82"/>
      <c r="D204" s="82"/>
      <c r="E204" s="82"/>
      <c r="F204" s="83"/>
      <c r="G204" s="305"/>
      <c r="H204" s="81"/>
      <c r="I204" s="82"/>
      <c r="J204" s="82"/>
      <c r="K204" s="82"/>
      <c r="L204" s="83"/>
    </row>
    <row r="205" spans="2:12">
      <c r="B205" s="84" t="str">
        <f>'04-22Master'!F5</f>
        <v>Burgeon IT Services Pvt.Ltd.</v>
      </c>
      <c r="C205" s="305"/>
      <c r="D205" s="305"/>
      <c r="E205" s="305"/>
      <c r="F205" s="20"/>
      <c r="G205" s="305"/>
      <c r="H205" s="84" t="str">
        <f>'04-22Master'!AJ5</f>
        <v>Burgeon IT Services Pvt.Ltd.</v>
      </c>
      <c r="I205" s="305"/>
      <c r="J205" s="305"/>
      <c r="K205" s="305"/>
      <c r="L205" s="20"/>
    </row>
    <row r="206" spans="2:12">
      <c r="B206" s="19"/>
      <c r="C206" s="305"/>
      <c r="D206" s="305"/>
      <c r="E206" s="305"/>
      <c r="F206" s="20"/>
      <c r="G206" s="305"/>
      <c r="H206" s="19"/>
      <c r="I206" s="305"/>
      <c r="J206" s="305"/>
      <c r="K206" s="305"/>
      <c r="L206" s="20"/>
    </row>
    <row r="207" spans="2:12">
      <c r="B207" s="84" t="str">
        <f>'04-22Master'!F6</f>
        <v>Siri Mansion LIGB 436 Dr.A S Rao Nagar,Hyderabad</v>
      </c>
      <c r="C207" s="305"/>
      <c r="D207" s="305"/>
      <c r="E207" s="305"/>
      <c r="F207" s="20"/>
      <c r="G207" s="305"/>
      <c r="H207" s="84" t="str">
        <f>'04-22Master'!AJ6</f>
        <v>Siri Mansion LIGB 436 Dr.A S Rao Nagar,Hyderabad</v>
      </c>
      <c r="I207" s="305"/>
      <c r="J207" s="305"/>
      <c r="K207" s="305"/>
      <c r="L207" s="20"/>
    </row>
    <row r="208" spans="2:12" ht="15.75" thickBot="1">
      <c r="B208" s="31"/>
      <c r="C208" s="29"/>
      <c r="D208" s="29"/>
      <c r="E208" s="29"/>
      <c r="F208" s="30"/>
      <c r="G208" s="305"/>
      <c r="H208" s="31"/>
      <c r="I208" s="29"/>
      <c r="J208" s="29"/>
      <c r="K208" s="29"/>
      <c r="L208" s="30"/>
    </row>
    <row r="209" spans="2:12">
      <c r="B209" s="19"/>
      <c r="C209" s="305"/>
      <c r="D209" s="305"/>
      <c r="E209" s="305"/>
      <c r="F209" s="305"/>
      <c r="G209" s="305"/>
      <c r="H209" s="305"/>
      <c r="I209" s="305"/>
      <c r="J209" s="305" t="s">
        <v>119</v>
      </c>
      <c r="K209" s="305"/>
      <c r="L209" s="20"/>
    </row>
    <row r="210" spans="2:12">
      <c r="B210" s="796" t="s">
        <v>120</v>
      </c>
      <c r="C210" s="797"/>
      <c r="D210" s="797"/>
      <c r="E210" s="797"/>
      <c r="F210" s="797"/>
      <c r="G210" s="305"/>
      <c r="H210" s="797" t="s">
        <v>4</v>
      </c>
      <c r="I210" s="797"/>
      <c r="J210" s="797"/>
      <c r="K210" s="797"/>
      <c r="L210" s="870"/>
    </row>
    <row r="211" spans="2:12" ht="15.75" thickBot="1">
      <c r="B211" s="19"/>
      <c r="C211" s="305"/>
      <c r="D211" s="305"/>
      <c r="E211" s="305"/>
      <c r="F211" s="305"/>
      <c r="G211" s="305"/>
      <c r="H211" s="305"/>
      <c r="I211" s="305"/>
      <c r="J211" s="305"/>
      <c r="K211" s="305"/>
      <c r="L211" s="20"/>
    </row>
    <row r="212" spans="2:12">
      <c r="B212" s="81"/>
      <c r="C212" s="82"/>
      <c r="D212" s="82"/>
      <c r="E212" s="82"/>
      <c r="F212" s="83"/>
      <c r="G212" s="305"/>
      <c r="H212" s="85"/>
      <c r="I212" s="86"/>
      <c r="J212" s="86"/>
      <c r="K212" s="86"/>
      <c r="L212" s="87"/>
    </row>
    <row r="213" spans="2:12">
      <c r="B213" s="19"/>
      <c r="C213" s="305"/>
      <c r="D213" s="305"/>
      <c r="E213" s="305"/>
      <c r="F213" s="20"/>
      <c r="G213" s="305"/>
      <c r="H213" s="84" t="str">
        <f>'04-22Master'!AJ10</f>
        <v xml:space="preserve">INFOSYS  LTD.IL Hyderabad SEZ Unit-3 </v>
      </c>
      <c r="I213" s="306"/>
      <c r="J213" s="306"/>
      <c r="K213" s="306"/>
      <c r="L213" s="88"/>
    </row>
    <row r="214" spans="2:12">
      <c r="B214" s="84" t="str">
        <f>'04-22Master'!F8</f>
        <v>IT SUPPORTIVE SERVICES</v>
      </c>
      <c r="C214" s="305"/>
      <c r="D214" s="305"/>
      <c r="E214" s="305"/>
      <c r="F214" s="20"/>
      <c r="G214" s="305"/>
      <c r="H214" s="84"/>
      <c r="I214" s="306"/>
      <c r="J214" s="306"/>
      <c r="K214" s="306"/>
      <c r="L214" s="88"/>
    </row>
    <row r="215" spans="2:12">
      <c r="B215" s="19"/>
      <c r="C215" s="305"/>
      <c r="D215" s="305"/>
      <c r="E215" s="305"/>
      <c r="F215" s="20"/>
      <c r="G215" s="305"/>
      <c r="H215" s="84" t="str">
        <f>'04-22Master'!AJ11</f>
        <v>Sy.No 42,Pocharam Village,Gatkesar Mandal</v>
      </c>
      <c r="I215" s="306"/>
      <c r="J215" s="306"/>
      <c r="K215" s="306"/>
      <c r="L215" s="88"/>
    </row>
    <row r="216" spans="2:12" ht="15.75" thickBot="1">
      <c r="B216" s="31"/>
      <c r="C216" s="29"/>
      <c r="D216" s="29"/>
      <c r="E216" s="29"/>
      <c r="F216" s="30"/>
      <c r="G216" s="305"/>
      <c r="H216" s="84"/>
      <c r="I216" s="306"/>
      <c r="J216" s="306"/>
      <c r="K216" s="306"/>
      <c r="L216" s="88"/>
    </row>
    <row r="217" spans="2:12" ht="29.1" customHeight="1">
      <c r="B217" s="837" t="s">
        <v>121</v>
      </c>
      <c r="C217" s="838"/>
      <c r="D217" s="838"/>
      <c r="E217" s="838"/>
      <c r="F217" s="838"/>
      <c r="G217" s="842"/>
      <c r="H217" s="878">
        <f>'04-22Master'!B20</f>
        <v>0</v>
      </c>
      <c r="I217" s="879"/>
      <c r="J217" s="879"/>
      <c r="K217" s="879"/>
      <c r="L217" s="880"/>
    </row>
    <row r="218" spans="2:12" ht="29.1" customHeight="1" thickBot="1">
      <c r="B218" s="844"/>
      <c r="C218" s="845"/>
      <c r="D218" s="845"/>
      <c r="E218" s="845"/>
      <c r="F218" s="845"/>
      <c r="G218" s="845"/>
      <c r="H218" s="881">
        <f>'04-22Master'!G20</f>
        <v>0</v>
      </c>
      <c r="I218" s="882"/>
      <c r="J218" s="882"/>
      <c r="K218" s="882"/>
      <c r="L218" s="883"/>
    </row>
    <row r="219" spans="2:12" ht="29.1" customHeight="1">
      <c r="B219" s="847" t="s">
        <v>122</v>
      </c>
      <c r="C219" s="848"/>
      <c r="D219" s="848"/>
      <c r="E219" s="848"/>
      <c r="F219" s="848"/>
      <c r="G219" s="848"/>
      <c r="H219" s="835">
        <f>'04-22Master'!A20</f>
        <v>0</v>
      </c>
      <c r="I219" s="849"/>
      <c r="J219" s="849"/>
      <c r="K219" s="849"/>
      <c r="L219" s="850"/>
    </row>
    <row r="220" spans="2:12" ht="29.1" customHeight="1">
      <c r="B220" s="837" t="s">
        <v>123</v>
      </c>
      <c r="C220" s="838"/>
      <c r="D220" s="838"/>
      <c r="E220" s="838"/>
      <c r="F220" s="838"/>
      <c r="G220" s="838"/>
      <c r="H220" s="843">
        <f>'04-22Master'!F20</f>
        <v>0</v>
      </c>
      <c r="I220" s="840"/>
      <c r="J220" s="840"/>
      <c r="K220" s="840"/>
      <c r="L220" s="841"/>
    </row>
    <row r="221" spans="2:12" ht="29.1" customHeight="1">
      <c r="B221" s="837" t="s">
        <v>124</v>
      </c>
      <c r="C221" s="838"/>
      <c r="D221" s="838"/>
      <c r="E221" s="838"/>
      <c r="F221" s="838"/>
      <c r="G221" s="838"/>
      <c r="H221" s="851">
        <f>'04-22Master'!I20</f>
        <v>0</v>
      </c>
      <c r="I221" s="876"/>
      <c r="J221" s="876"/>
      <c r="K221" s="876"/>
      <c r="L221" s="877"/>
    </row>
    <row r="222" spans="2:12" ht="29.1" customHeight="1">
      <c r="B222" s="430" t="s">
        <v>125</v>
      </c>
      <c r="C222" s="307"/>
      <c r="D222" s="307"/>
      <c r="E222" s="307"/>
      <c r="F222" s="307"/>
      <c r="G222" s="307"/>
      <c r="H222" s="308"/>
      <c r="I222" s="309"/>
      <c r="J222" s="300">
        <f>'04-22Master'!O20</f>
        <v>0</v>
      </c>
      <c r="K222" s="583"/>
      <c r="L222" s="585"/>
    </row>
    <row r="223" spans="2:12" ht="29.1" customHeight="1">
      <c r="B223" s="430" t="s">
        <v>126</v>
      </c>
      <c r="C223" s="307"/>
      <c r="D223" s="307"/>
      <c r="E223" s="307"/>
      <c r="F223" s="307"/>
      <c r="G223" s="427"/>
      <c r="H223" s="98"/>
      <c r="I223" s="99"/>
      <c r="J223" s="300">
        <f>'04-22Master'!N20</f>
        <v>0</v>
      </c>
      <c r="K223" s="99"/>
      <c r="L223" s="100"/>
    </row>
    <row r="224" spans="2:12" ht="29.1" customHeight="1">
      <c r="B224" s="833" t="s">
        <v>127</v>
      </c>
      <c r="C224" s="834"/>
      <c r="D224" s="834"/>
      <c r="E224" s="834"/>
      <c r="F224" s="834"/>
      <c r="G224" s="834"/>
      <c r="H224" s="835">
        <f>'04-22Master'!S20</f>
        <v>0</v>
      </c>
      <c r="I224" s="849"/>
      <c r="J224" s="849"/>
      <c r="K224" s="849"/>
      <c r="L224" s="850"/>
    </row>
    <row r="225" spans="2:12" ht="29.1" customHeight="1">
      <c r="B225" s="837" t="s">
        <v>128</v>
      </c>
      <c r="C225" s="838"/>
      <c r="D225" s="838"/>
      <c r="E225" s="838"/>
      <c r="F225" s="838"/>
      <c r="G225" s="838"/>
      <c r="H225" s="839">
        <f>'04-22Master'!D10</f>
        <v>44652</v>
      </c>
      <c r="I225" s="840"/>
      <c r="J225" s="840"/>
      <c r="K225" s="840"/>
      <c r="L225" s="841"/>
    </row>
    <row r="226" spans="2:12" ht="29.1" customHeight="1">
      <c r="B226" s="837" t="s">
        <v>129</v>
      </c>
      <c r="C226" s="838"/>
      <c r="D226" s="838"/>
      <c r="E226" s="838"/>
      <c r="F226" s="838"/>
      <c r="G226" s="838"/>
      <c r="H226" s="840" t="s">
        <v>130</v>
      </c>
      <c r="I226" s="840"/>
      <c r="J226" s="840"/>
      <c r="K226" s="840"/>
      <c r="L226" s="841"/>
    </row>
    <row r="227" spans="2:12" ht="29.1" customHeight="1">
      <c r="B227" s="430" t="s">
        <v>131</v>
      </c>
      <c r="C227" s="307"/>
      <c r="D227" s="307"/>
      <c r="E227" s="307"/>
      <c r="F227" s="307"/>
      <c r="G227" s="427"/>
      <c r="H227" s="308"/>
      <c r="I227" s="583"/>
      <c r="J227" s="310">
        <f>'04-22Master'!Q20</f>
        <v>0</v>
      </c>
      <c r="K227" s="583"/>
      <c r="L227" s="585"/>
    </row>
    <row r="228" spans="2:12" ht="29.1" customHeight="1">
      <c r="B228" s="430" t="s">
        <v>132</v>
      </c>
      <c r="C228" s="307"/>
      <c r="D228" s="307"/>
      <c r="E228" s="307"/>
      <c r="F228" s="307"/>
      <c r="G228" s="427"/>
      <c r="H228" s="308"/>
      <c r="I228" s="583"/>
      <c r="J228" s="583" t="s">
        <v>37</v>
      </c>
      <c r="K228" s="583"/>
      <c r="L228" s="585"/>
    </row>
    <row r="229" spans="2:12" ht="29.1" customHeight="1">
      <c r="B229" s="430" t="s">
        <v>133</v>
      </c>
      <c r="C229" s="307"/>
      <c r="D229" s="307"/>
      <c r="E229" s="307"/>
      <c r="F229" s="307"/>
      <c r="G229" s="427"/>
      <c r="H229" s="308"/>
      <c r="I229" s="583"/>
      <c r="J229" s="310">
        <v>0</v>
      </c>
      <c r="K229" s="583"/>
      <c r="L229" s="585"/>
    </row>
    <row r="230" spans="2:12" ht="29.1" customHeight="1">
      <c r="B230" s="430" t="s">
        <v>134</v>
      </c>
      <c r="C230" s="307"/>
      <c r="D230" s="307"/>
      <c r="E230" s="307"/>
      <c r="F230" s="307"/>
      <c r="G230" s="427"/>
      <c r="H230" s="308"/>
      <c r="I230" s="583"/>
      <c r="J230" s="583">
        <v>0</v>
      </c>
      <c r="K230" s="583"/>
      <c r="L230" s="585"/>
    </row>
    <row r="231" spans="2:12" ht="29.1" customHeight="1">
      <c r="B231" s="430" t="s">
        <v>135</v>
      </c>
      <c r="C231" s="307"/>
      <c r="D231" s="307"/>
      <c r="E231" s="307"/>
      <c r="F231" s="307"/>
      <c r="G231" s="427"/>
      <c r="H231" s="308"/>
      <c r="I231" s="583"/>
      <c r="J231" s="310">
        <f>'04-22Master'!AG20</f>
        <v>0</v>
      </c>
      <c r="K231" s="583"/>
      <c r="L231" s="585" t="s">
        <v>35</v>
      </c>
    </row>
    <row r="232" spans="2:12" ht="29.1" customHeight="1">
      <c r="B232" s="430" t="s">
        <v>136</v>
      </c>
      <c r="C232" s="307"/>
      <c r="D232" s="582" t="s">
        <v>32</v>
      </c>
      <c r="E232" s="584">
        <f>'04-22Master'!AI20</f>
        <v>0</v>
      </c>
      <c r="F232" s="582" t="s">
        <v>31</v>
      </c>
      <c r="G232" s="584">
        <f>'04-22Master'!AH20</f>
        <v>0</v>
      </c>
      <c r="H232" s="582" t="s">
        <v>33</v>
      </c>
      <c r="I232" s="584">
        <f>'04-22Master'!AJ20</f>
        <v>0</v>
      </c>
      <c r="J232" s="582" t="s">
        <v>34</v>
      </c>
      <c r="K232" s="584">
        <f>'04-22Master'!AK20</f>
        <v>0</v>
      </c>
      <c r="L232" s="113">
        <f>'04-22Master'!AL20</f>
        <v>0</v>
      </c>
    </row>
    <row r="233" spans="2:12" ht="29.1" customHeight="1">
      <c r="B233" s="430" t="s">
        <v>137</v>
      </c>
      <c r="C233" s="307"/>
      <c r="D233" s="307"/>
      <c r="E233" s="307"/>
      <c r="F233" s="307"/>
      <c r="G233" s="427"/>
      <c r="H233" s="308"/>
      <c r="I233" s="583"/>
      <c r="J233" s="310">
        <f>'04-22Master'!AN20</f>
        <v>0</v>
      </c>
      <c r="K233" s="583"/>
      <c r="L233" s="585"/>
    </row>
    <row r="234" spans="2:12" ht="29.1" customHeight="1">
      <c r="B234" s="431" t="s">
        <v>138</v>
      </c>
      <c r="C234" s="104"/>
      <c r="D234" s="104"/>
      <c r="E234" s="104"/>
      <c r="F234" s="104"/>
      <c r="G234" s="105"/>
      <c r="H234" s="106"/>
      <c r="I234" s="107"/>
      <c r="J234" s="107"/>
      <c r="K234" s="107"/>
      <c r="L234" s="108"/>
    </row>
    <row r="235" spans="2:12" ht="29.1" customHeight="1">
      <c r="B235" s="432" t="s">
        <v>139</v>
      </c>
      <c r="C235" s="109"/>
      <c r="D235" s="109"/>
      <c r="E235" s="109"/>
      <c r="F235" s="109"/>
      <c r="G235" s="110"/>
      <c r="H235" s="77"/>
      <c r="I235" s="23"/>
      <c r="J235" s="23"/>
      <c r="K235" s="23"/>
      <c r="L235" s="111"/>
    </row>
    <row r="236" spans="2:12">
      <c r="B236" s="19"/>
      <c r="C236" s="305"/>
      <c r="D236" s="305"/>
      <c r="E236" s="305"/>
      <c r="F236" s="305"/>
      <c r="G236" s="305"/>
      <c r="H236" s="305"/>
      <c r="I236" s="305"/>
      <c r="J236" s="305"/>
      <c r="K236" s="305"/>
      <c r="L236" s="20"/>
    </row>
    <row r="237" spans="2:12" ht="15.75" thickBot="1">
      <c r="B237" s="31"/>
      <c r="C237" s="29"/>
      <c r="D237" s="29"/>
      <c r="E237" s="29"/>
      <c r="F237" s="29"/>
      <c r="G237" s="29"/>
      <c r="H237" s="29"/>
      <c r="I237" s="29"/>
      <c r="J237" s="29"/>
      <c r="K237" s="29"/>
      <c r="L237" s="30"/>
    </row>
    <row r="238" spans="2:12">
      <c r="B238" s="467"/>
      <c r="C238" s="467"/>
      <c r="D238" s="467"/>
      <c r="E238" s="467"/>
      <c r="F238" s="467"/>
      <c r="G238" s="467"/>
      <c r="H238" s="467"/>
      <c r="I238" s="467"/>
      <c r="J238" s="467"/>
      <c r="K238" s="467"/>
      <c r="L238" s="467"/>
    </row>
    <row r="239" spans="2:12">
      <c r="B239" s="467"/>
      <c r="C239" s="467"/>
      <c r="D239" s="467"/>
      <c r="E239" s="467"/>
      <c r="F239" s="467"/>
      <c r="G239" s="467"/>
      <c r="H239" s="467"/>
      <c r="I239" s="467"/>
      <c r="J239" s="467"/>
      <c r="K239" s="467"/>
      <c r="L239" s="467"/>
    </row>
    <row r="240" spans="2:12">
      <c r="B240" s="467"/>
      <c r="C240" s="467"/>
      <c r="D240" s="467"/>
      <c r="E240" s="467"/>
      <c r="F240" s="467"/>
      <c r="G240" s="467"/>
      <c r="H240" s="467"/>
      <c r="I240" s="467"/>
      <c r="J240" s="467"/>
      <c r="K240" s="467"/>
      <c r="L240" s="467"/>
    </row>
    <row r="241" spans="2:12">
      <c r="B241" s="467"/>
      <c r="C241" s="467"/>
      <c r="D241" s="467"/>
      <c r="E241" s="467"/>
      <c r="F241" s="467"/>
      <c r="G241" s="467"/>
      <c r="H241" s="467"/>
      <c r="I241" s="467"/>
      <c r="J241" s="467"/>
      <c r="K241" s="467"/>
      <c r="L241" s="467"/>
    </row>
    <row r="242" spans="2:12">
      <c r="B242" s="467"/>
      <c r="C242" s="467"/>
      <c r="D242" s="467"/>
      <c r="E242" s="467"/>
      <c r="F242" s="467"/>
      <c r="G242" s="467"/>
      <c r="H242" s="467"/>
      <c r="I242" s="467"/>
      <c r="J242" s="467"/>
      <c r="K242" s="467"/>
      <c r="L242" s="467"/>
    </row>
    <row r="243" spans="2:12">
      <c r="B243" s="467"/>
      <c r="C243" s="467"/>
      <c r="D243" s="467"/>
      <c r="E243" s="467"/>
      <c r="F243" s="467"/>
      <c r="G243" s="467"/>
      <c r="H243" s="467"/>
      <c r="I243" s="467"/>
      <c r="J243" s="467"/>
      <c r="K243" s="467"/>
      <c r="L243" s="467"/>
    </row>
    <row r="244" spans="2:12">
      <c r="B244" s="467"/>
      <c r="C244" s="467"/>
      <c r="D244" s="467"/>
      <c r="E244" s="467"/>
      <c r="F244" s="467"/>
      <c r="G244" s="467"/>
      <c r="H244" s="467"/>
      <c r="I244" s="467"/>
      <c r="J244" s="467"/>
      <c r="K244" s="467"/>
      <c r="L244" s="467"/>
    </row>
    <row r="249" spans="2:12" ht="15.75" thickBot="1"/>
    <row r="250" spans="2:12" ht="32.25">
      <c r="B250" s="853" t="s">
        <v>114</v>
      </c>
      <c r="C250" s="854"/>
      <c r="D250" s="854"/>
      <c r="E250" s="854"/>
      <c r="F250" s="854"/>
      <c r="G250" s="854"/>
      <c r="H250" s="854"/>
      <c r="I250" s="854"/>
      <c r="J250" s="854"/>
      <c r="K250" s="854"/>
      <c r="L250" s="855"/>
    </row>
    <row r="251" spans="2:12" ht="23.25">
      <c r="B251" s="856" t="s">
        <v>115</v>
      </c>
      <c r="C251" s="857"/>
      <c r="D251" s="857"/>
      <c r="E251" s="857"/>
      <c r="F251" s="857"/>
      <c r="G251" s="857"/>
      <c r="H251" s="857"/>
      <c r="I251" s="857"/>
      <c r="J251" s="857"/>
      <c r="K251" s="857"/>
      <c r="L251" s="858"/>
    </row>
    <row r="252" spans="2:12" ht="16.5" thickBot="1">
      <c r="B252" s="859" t="s">
        <v>429</v>
      </c>
      <c r="C252" s="860"/>
      <c r="D252" s="860"/>
      <c r="E252" s="860"/>
      <c r="F252" s="860"/>
      <c r="G252" s="860"/>
      <c r="H252" s="860"/>
      <c r="I252" s="860"/>
      <c r="J252" s="860"/>
      <c r="K252" s="860"/>
      <c r="L252" s="861"/>
    </row>
    <row r="253" spans="2:12">
      <c r="B253" s="862" t="s">
        <v>117</v>
      </c>
      <c r="C253" s="863"/>
      <c r="D253" s="863"/>
      <c r="E253" s="863"/>
      <c r="F253" s="863"/>
      <c r="G253" s="305"/>
      <c r="H253" s="866" t="s">
        <v>118</v>
      </c>
      <c r="I253" s="866"/>
      <c r="J253" s="866"/>
      <c r="K253" s="866"/>
      <c r="L253" s="867"/>
    </row>
    <row r="254" spans="2:12" ht="15.75" thickBot="1">
      <c r="B254" s="864"/>
      <c r="C254" s="865"/>
      <c r="D254" s="865"/>
      <c r="E254" s="865"/>
      <c r="F254" s="865"/>
      <c r="G254" s="305"/>
      <c r="H254" s="868"/>
      <c r="I254" s="868"/>
      <c r="J254" s="868"/>
      <c r="K254" s="868"/>
      <c r="L254" s="869"/>
    </row>
    <row r="255" spans="2:12">
      <c r="B255" s="81"/>
      <c r="C255" s="82"/>
      <c r="D255" s="82"/>
      <c r="E255" s="82"/>
      <c r="F255" s="83"/>
      <c r="G255" s="305"/>
      <c r="H255" s="81"/>
      <c r="I255" s="82"/>
      <c r="J255" s="82"/>
      <c r="K255" s="82"/>
      <c r="L255" s="83"/>
    </row>
    <row r="256" spans="2:12">
      <c r="B256" s="84" t="str">
        <f>'04-22Master'!F5</f>
        <v>Burgeon IT Services Pvt.Ltd.</v>
      </c>
      <c r="C256" s="305"/>
      <c r="D256" s="305"/>
      <c r="E256" s="305"/>
      <c r="F256" s="20"/>
      <c r="G256" s="305"/>
      <c r="H256" s="84" t="str">
        <f>'04-22Master'!AJ5</f>
        <v>Burgeon IT Services Pvt.Ltd.</v>
      </c>
      <c r="I256" s="305"/>
      <c r="J256" s="305"/>
      <c r="K256" s="305"/>
      <c r="L256" s="20"/>
    </row>
    <row r="257" spans="2:12">
      <c r="B257" s="19"/>
      <c r="C257" s="305"/>
      <c r="D257" s="305"/>
      <c r="E257" s="305"/>
      <c r="F257" s="20"/>
      <c r="G257" s="305"/>
      <c r="H257" s="19"/>
      <c r="I257" s="305"/>
      <c r="J257" s="305"/>
      <c r="K257" s="305"/>
      <c r="L257" s="20"/>
    </row>
    <row r="258" spans="2:12">
      <c r="B258" s="84" t="str">
        <f>'04-22Master'!F6</f>
        <v>Siri Mansion LIGB 436 Dr.A S Rao Nagar,Hyderabad</v>
      </c>
      <c r="C258" s="305"/>
      <c r="D258" s="305"/>
      <c r="E258" s="305"/>
      <c r="F258" s="20"/>
      <c r="G258" s="305"/>
      <c r="H258" s="84" t="str">
        <f>'04-22Master'!AJ6</f>
        <v>Siri Mansion LIGB 436 Dr.A S Rao Nagar,Hyderabad</v>
      </c>
      <c r="I258" s="305"/>
      <c r="J258" s="305"/>
      <c r="K258" s="305"/>
      <c r="L258" s="20"/>
    </row>
    <row r="259" spans="2:12" ht="15.75" thickBot="1">
      <c r="B259" s="31"/>
      <c r="C259" s="29"/>
      <c r="D259" s="29"/>
      <c r="E259" s="29"/>
      <c r="F259" s="30"/>
      <c r="G259" s="305"/>
      <c r="H259" s="31"/>
      <c r="I259" s="29"/>
      <c r="J259" s="29"/>
      <c r="K259" s="29"/>
      <c r="L259" s="30"/>
    </row>
    <row r="260" spans="2:12">
      <c r="B260" s="19"/>
      <c r="C260" s="305"/>
      <c r="D260" s="305"/>
      <c r="E260" s="305"/>
      <c r="F260" s="305"/>
      <c r="G260" s="305"/>
      <c r="H260" s="305"/>
      <c r="I260" s="305"/>
      <c r="J260" s="305" t="s">
        <v>119</v>
      </c>
      <c r="K260" s="305"/>
      <c r="L260" s="20"/>
    </row>
    <row r="261" spans="2:12">
      <c r="B261" s="796" t="s">
        <v>120</v>
      </c>
      <c r="C261" s="797"/>
      <c r="D261" s="797"/>
      <c r="E261" s="797"/>
      <c r="F261" s="797"/>
      <c r="G261" s="305"/>
      <c r="H261" s="797" t="s">
        <v>4</v>
      </c>
      <c r="I261" s="797"/>
      <c r="J261" s="797"/>
      <c r="K261" s="797"/>
      <c r="L261" s="870"/>
    </row>
    <row r="262" spans="2:12" ht="15.75" thickBot="1">
      <c r="B262" s="19"/>
      <c r="C262" s="305"/>
      <c r="D262" s="305"/>
      <c r="E262" s="305"/>
      <c r="F262" s="305"/>
      <c r="G262" s="305"/>
      <c r="H262" s="305"/>
      <c r="I262" s="305"/>
      <c r="J262" s="305"/>
      <c r="K262" s="305"/>
      <c r="L262" s="20"/>
    </row>
    <row r="263" spans="2:12">
      <c r="B263" s="81"/>
      <c r="C263" s="82"/>
      <c r="D263" s="82"/>
      <c r="E263" s="82"/>
      <c r="F263" s="83"/>
      <c r="G263" s="305"/>
      <c r="H263" s="85"/>
      <c r="I263" s="86"/>
      <c r="J263" s="86"/>
      <c r="K263" s="86"/>
      <c r="L263" s="87"/>
    </row>
    <row r="264" spans="2:12">
      <c r="B264" s="19"/>
      <c r="C264" s="305"/>
      <c r="D264" s="305"/>
      <c r="E264" s="305"/>
      <c r="F264" s="20"/>
      <c r="G264" s="305"/>
      <c r="H264" s="84" t="str">
        <f>'04-22Master'!AJ10</f>
        <v xml:space="preserve">INFOSYS  LTD.IL Hyderabad SEZ Unit-3 </v>
      </c>
      <c r="I264" s="306"/>
      <c r="J264" s="306"/>
      <c r="K264" s="306"/>
      <c r="L264" s="88"/>
    </row>
    <row r="265" spans="2:12">
      <c r="B265" s="84" t="str">
        <f>'04-22Master'!F8</f>
        <v>IT SUPPORTIVE SERVICES</v>
      </c>
      <c r="C265" s="305"/>
      <c r="D265" s="305"/>
      <c r="E265" s="305"/>
      <c r="F265" s="20"/>
      <c r="G265" s="305"/>
      <c r="H265" s="84"/>
      <c r="I265" s="306"/>
      <c r="J265" s="306"/>
      <c r="K265" s="306"/>
      <c r="L265" s="88"/>
    </row>
    <row r="266" spans="2:12">
      <c r="B266" s="19"/>
      <c r="C266" s="305"/>
      <c r="D266" s="305"/>
      <c r="E266" s="305"/>
      <c r="F266" s="20"/>
      <c r="G266" s="305"/>
      <c r="H266" s="84" t="str">
        <f>'04-22Master'!AJ11</f>
        <v>Sy.No 42,Pocharam Village,Gatkesar Mandal</v>
      </c>
      <c r="I266" s="306"/>
      <c r="J266" s="306"/>
      <c r="K266" s="306"/>
      <c r="L266" s="88"/>
    </row>
    <row r="267" spans="2:12" ht="15.75" thickBot="1">
      <c r="B267" s="31"/>
      <c r="C267" s="29"/>
      <c r="D267" s="29"/>
      <c r="E267" s="29"/>
      <c r="F267" s="30"/>
      <c r="G267" s="305"/>
      <c r="H267" s="84"/>
      <c r="I267" s="306"/>
      <c r="J267" s="306"/>
      <c r="K267" s="306"/>
      <c r="L267" s="88"/>
    </row>
    <row r="268" spans="2:12" ht="29.1" customHeight="1">
      <c r="B268" s="837" t="s">
        <v>121</v>
      </c>
      <c r="C268" s="838"/>
      <c r="D268" s="838"/>
      <c r="E268" s="838"/>
      <c r="F268" s="838"/>
      <c r="G268" s="842"/>
      <c r="H268" s="878">
        <f>'04-22Master'!B21</f>
        <v>0</v>
      </c>
      <c r="I268" s="879"/>
      <c r="J268" s="879"/>
      <c r="K268" s="879"/>
      <c r="L268" s="880"/>
    </row>
    <row r="269" spans="2:12" ht="29.1" customHeight="1" thickBot="1">
      <c r="B269" s="844"/>
      <c r="C269" s="845"/>
      <c r="D269" s="845"/>
      <c r="E269" s="845"/>
      <c r="F269" s="845"/>
      <c r="G269" s="845"/>
      <c r="H269" s="881">
        <f>'04-22Master'!G21</f>
        <v>0</v>
      </c>
      <c r="I269" s="882"/>
      <c r="J269" s="882"/>
      <c r="K269" s="882"/>
      <c r="L269" s="883"/>
    </row>
    <row r="270" spans="2:12" ht="29.1" customHeight="1">
      <c r="B270" s="847" t="s">
        <v>122</v>
      </c>
      <c r="C270" s="848"/>
      <c r="D270" s="848"/>
      <c r="E270" s="848"/>
      <c r="F270" s="848"/>
      <c r="G270" s="848"/>
      <c r="H270" s="835">
        <f>'04-22Master'!A21</f>
        <v>0</v>
      </c>
      <c r="I270" s="849"/>
      <c r="J270" s="849"/>
      <c r="K270" s="849"/>
      <c r="L270" s="850"/>
    </row>
    <row r="271" spans="2:12" ht="29.1" customHeight="1">
      <c r="B271" s="837" t="s">
        <v>123</v>
      </c>
      <c r="C271" s="838"/>
      <c r="D271" s="838"/>
      <c r="E271" s="838"/>
      <c r="F271" s="838"/>
      <c r="G271" s="838"/>
      <c r="H271" s="843">
        <f>'04-22Master'!F21</f>
        <v>0</v>
      </c>
      <c r="I271" s="840"/>
      <c r="J271" s="840"/>
      <c r="K271" s="840"/>
      <c r="L271" s="841"/>
    </row>
    <row r="272" spans="2:12" ht="29.1" customHeight="1">
      <c r="B272" s="837" t="s">
        <v>124</v>
      </c>
      <c r="C272" s="838"/>
      <c r="D272" s="838"/>
      <c r="E272" s="838"/>
      <c r="F272" s="838"/>
      <c r="G272" s="838"/>
      <c r="H272" s="851">
        <f>'04-22Master'!I21</f>
        <v>0</v>
      </c>
      <c r="I272" s="876"/>
      <c r="J272" s="876"/>
      <c r="K272" s="876"/>
      <c r="L272" s="877"/>
    </row>
    <row r="273" spans="2:12" ht="29.1" customHeight="1">
      <c r="B273" s="430" t="s">
        <v>125</v>
      </c>
      <c r="C273" s="307"/>
      <c r="D273" s="307"/>
      <c r="E273" s="307"/>
      <c r="F273" s="307"/>
      <c r="G273" s="307"/>
      <c r="H273" s="308"/>
      <c r="I273" s="309"/>
      <c r="J273" s="300">
        <f>'04-22Master'!O21</f>
        <v>0</v>
      </c>
      <c r="K273" s="587"/>
      <c r="L273" s="589"/>
    </row>
    <row r="274" spans="2:12" ht="29.1" customHeight="1">
      <c r="B274" s="430" t="s">
        <v>126</v>
      </c>
      <c r="C274" s="307"/>
      <c r="D274" s="307"/>
      <c r="E274" s="307"/>
      <c r="F274" s="307"/>
      <c r="G274" s="427"/>
      <c r="H274" s="98"/>
      <c r="I274" s="99"/>
      <c r="J274" s="300">
        <f>'04-22Master'!N21</f>
        <v>0</v>
      </c>
      <c r="K274" s="99"/>
      <c r="L274" s="100"/>
    </row>
    <row r="275" spans="2:12" ht="29.1" customHeight="1">
      <c r="B275" s="833" t="s">
        <v>127</v>
      </c>
      <c r="C275" s="834"/>
      <c r="D275" s="834"/>
      <c r="E275" s="834"/>
      <c r="F275" s="834"/>
      <c r="G275" s="834"/>
      <c r="H275" s="835">
        <f>'04-22Master'!S21</f>
        <v>0</v>
      </c>
      <c r="I275" s="849"/>
      <c r="J275" s="849"/>
      <c r="K275" s="849"/>
      <c r="L275" s="850"/>
    </row>
    <row r="276" spans="2:12" ht="29.1" customHeight="1">
      <c r="B276" s="837" t="s">
        <v>128</v>
      </c>
      <c r="C276" s="838"/>
      <c r="D276" s="838"/>
      <c r="E276" s="838"/>
      <c r="F276" s="838"/>
      <c r="G276" s="838"/>
      <c r="H276" s="839">
        <f>'04-22Master'!D10</f>
        <v>44652</v>
      </c>
      <c r="I276" s="840"/>
      <c r="J276" s="840"/>
      <c r="K276" s="840"/>
      <c r="L276" s="841"/>
    </row>
    <row r="277" spans="2:12" ht="29.1" customHeight="1">
      <c r="B277" s="837" t="s">
        <v>129</v>
      </c>
      <c r="C277" s="838"/>
      <c r="D277" s="838"/>
      <c r="E277" s="838"/>
      <c r="F277" s="838"/>
      <c r="G277" s="838"/>
      <c r="H277" s="840" t="s">
        <v>130</v>
      </c>
      <c r="I277" s="840"/>
      <c r="J277" s="840"/>
      <c r="K277" s="840"/>
      <c r="L277" s="841"/>
    </row>
    <row r="278" spans="2:12" ht="29.1" customHeight="1">
      <c r="B278" s="430" t="s">
        <v>131</v>
      </c>
      <c r="C278" s="307"/>
      <c r="D278" s="307"/>
      <c r="E278" s="307"/>
      <c r="F278" s="307"/>
      <c r="G278" s="427"/>
      <c r="H278" s="308"/>
      <c r="I278" s="587"/>
      <c r="J278" s="310">
        <f>'04-22Master'!Q21</f>
        <v>0</v>
      </c>
      <c r="K278" s="587"/>
      <c r="L278" s="589"/>
    </row>
    <row r="279" spans="2:12" ht="29.1" customHeight="1">
      <c r="B279" s="430" t="s">
        <v>132</v>
      </c>
      <c r="C279" s="307"/>
      <c r="D279" s="307"/>
      <c r="E279" s="307"/>
      <c r="F279" s="307"/>
      <c r="G279" s="427"/>
      <c r="H279" s="308"/>
      <c r="I279" s="587"/>
      <c r="J279" s="587" t="s">
        <v>37</v>
      </c>
      <c r="K279" s="587"/>
      <c r="L279" s="589"/>
    </row>
    <row r="280" spans="2:12" ht="29.1" customHeight="1">
      <c r="B280" s="430" t="s">
        <v>133</v>
      </c>
      <c r="C280" s="307"/>
      <c r="D280" s="307"/>
      <c r="E280" s="307"/>
      <c r="F280" s="307"/>
      <c r="G280" s="427"/>
      <c r="H280" s="308"/>
      <c r="I280" s="587"/>
      <c r="J280" s="310">
        <v>0</v>
      </c>
      <c r="K280" s="587"/>
      <c r="L280" s="589"/>
    </row>
    <row r="281" spans="2:12" ht="29.1" customHeight="1">
      <c r="B281" s="430" t="s">
        <v>134</v>
      </c>
      <c r="C281" s="307"/>
      <c r="D281" s="307"/>
      <c r="E281" s="307"/>
      <c r="F281" s="307"/>
      <c r="G281" s="427"/>
      <c r="H281" s="308"/>
      <c r="I281" s="587"/>
      <c r="J281" s="587">
        <v>0</v>
      </c>
      <c r="K281" s="587"/>
      <c r="L281" s="589"/>
    </row>
    <row r="282" spans="2:12" ht="29.1" customHeight="1">
      <c r="B282" s="430" t="s">
        <v>135</v>
      </c>
      <c r="C282" s="307"/>
      <c r="D282" s="307"/>
      <c r="E282" s="307"/>
      <c r="F282" s="307"/>
      <c r="G282" s="427"/>
      <c r="H282" s="308"/>
      <c r="I282" s="587"/>
      <c r="J282" s="310">
        <f>'04-22Master'!AG21</f>
        <v>0</v>
      </c>
      <c r="K282" s="587"/>
      <c r="L282" s="589" t="s">
        <v>35</v>
      </c>
    </row>
    <row r="283" spans="2:12" ht="29.1" customHeight="1">
      <c r="B283" s="430" t="s">
        <v>136</v>
      </c>
      <c r="C283" s="307"/>
      <c r="D283" s="586" t="s">
        <v>32</v>
      </c>
      <c r="E283" s="588">
        <f>'04-22Master'!AI21</f>
        <v>0</v>
      </c>
      <c r="F283" s="586" t="s">
        <v>31</v>
      </c>
      <c r="G283" s="588">
        <f>'04-22Master'!AH21</f>
        <v>0</v>
      </c>
      <c r="H283" s="586" t="s">
        <v>33</v>
      </c>
      <c r="I283" s="588">
        <f>'04-22Master'!AJ21</f>
        <v>0</v>
      </c>
      <c r="J283" s="586" t="s">
        <v>34</v>
      </c>
      <c r="K283" s="588">
        <f>'04-22Master'!AK21</f>
        <v>0</v>
      </c>
      <c r="L283" s="113">
        <f>'04-22Master'!AL21</f>
        <v>0</v>
      </c>
    </row>
    <row r="284" spans="2:12" ht="29.1" customHeight="1">
      <c r="B284" s="430" t="s">
        <v>137</v>
      </c>
      <c r="C284" s="307"/>
      <c r="D284" s="307"/>
      <c r="E284" s="307"/>
      <c r="F284" s="307"/>
      <c r="G284" s="427"/>
      <c r="H284" s="308"/>
      <c r="I284" s="587"/>
      <c r="J284" s="310">
        <f>'04-22Master'!AN21</f>
        <v>0</v>
      </c>
      <c r="K284" s="587"/>
      <c r="L284" s="589"/>
    </row>
    <row r="285" spans="2:12" ht="29.1" customHeight="1">
      <c r="B285" s="431" t="s">
        <v>138</v>
      </c>
      <c r="C285" s="104"/>
      <c r="D285" s="104"/>
      <c r="E285" s="104"/>
      <c r="F285" s="104"/>
      <c r="G285" s="105"/>
      <c r="H285" s="106"/>
      <c r="I285" s="107"/>
      <c r="J285" s="107"/>
      <c r="K285" s="107"/>
      <c r="L285" s="108"/>
    </row>
    <row r="286" spans="2:12" ht="29.1" customHeight="1">
      <c r="B286" s="432" t="s">
        <v>139</v>
      </c>
      <c r="C286" s="109"/>
      <c r="D286" s="109"/>
      <c r="E286" s="109"/>
      <c r="F286" s="109"/>
      <c r="G286" s="110"/>
      <c r="H286" s="77"/>
      <c r="I286" s="23"/>
      <c r="J286" s="23"/>
      <c r="K286" s="23"/>
      <c r="L286" s="111"/>
    </row>
    <row r="287" spans="2:12">
      <c r="B287" s="19"/>
      <c r="C287" s="305"/>
      <c r="D287" s="305"/>
      <c r="E287" s="305"/>
      <c r="F287" s="305"/>
      <c r="G287" s="305"/>
      <c r="H287" s="305"/>
      <c r="I287" s="305"/>
      <c r="J287" s="305"/>
      <c r="K287" s="305"/>
      <c r="L287" s="20"/>
    </row>
    <row r="288" spans="2:12" ht="15.75" thickBot="1">
      <c r="B288" s="31"/>
      <c r="C288" s="29"/>
      <c r="D288" s="29"/>
      <c r="E288" s="29"/>
      <c r="F288" s="29"/>
      <c r="G288" s="29"/>
      <c r="H288" s="29"/>
      <c r="I288" s="29"/>
      <c r="J288" s="29"/>
      <c r="K288" s="29"/>
      <c r="L288" s="30"/>
    </row>
    <row r="289" spans="2:12">
      <c r="B289" s="467"/>
      <c r="C289" s="467"/>
      <c r="D289" s="467"/>
      <c r="E289" s="467"/>
      <c r="F289" s="467"/>
      <c r="G289" s="467"/>
      <c r="H289" s="467"/>
      <c r="I289" s="467"/>
      <c r="J289" s="467"/>
      <c r="K289" s="467"/>
      <c r="L289" s="467"/>
    </row>
    <row r="290" spans="2:12">
      <c r="B290" s="467"/>
      <c r="C290" s="467"/>
      <c r="D290" s="467"/>
      <c r="E290" s="467"/>
      <c r="F290" s="467"/>
      <c r="G290" s="467"/>
      <c r="H290" s="467"/>
      <c r="I290" s="467"/>
      <c r="J290" s="467"/>
      <c r="K290" s="467"/>
      <c r="L290" s="467"/>
    </row>
    <row r="291" spans="2:12">
      <c r="B291" s="467"/>
      <c r="C291" s="467"/>
      <c r="D291" s="467"/>
      <c r="E291" s="467"/>
      <c r="F291" s="467"/>
      <c r="G291" s="467"/>
      <c r="H291" s="467"/>
      <c r="I291" s="467"/>
      <c r="J291" s="467"/>
      <c r="K291" s="467"/>
      <c r="L291" s="467"/>
    </row>
    <row r="292" spans="2:12">
      <c r="B292" s="467"/>
      <c r="C292" s="467"/>
      <c r="D292" s="467"/>
      <c r="E292" s="467"/>
      <c r="F292" s="467"/>
      <c r="G292" s="467"/>
      <c r="H292" s="467"/>
      <c r="I292" s="467"/>
      <c r="J292" s="467"/>
      <c r="K292" s="467"/>
      <c r="L292" s="467"/>
    </row>
    <row r="293" spans="2:12">
      <c r="B293" s="467"/>
      <c r="C293" s="467"/>
      <c r="D293" s="467"/>
      <c r="E293" s="467"/>
      <c r="F293" s="467"/>
      <c r="G293" s="467"/>
      <c r="H293" s="467"/>
      <c r="I293" s="467"/>
      <c r="J293" s="467"/>
      <c r="K293" s="467"/>
      <c r="L293" s="467"/>
    </row>
    <row r="294" spans="2:12">
      <c r="B294" s="467"/>
      <c r="C294" s="467"/>
      <c r="D294" s="467"/>
      <c r="E294" s="467"/>
      <c r="F294" s="467"/>
      <c r="G294" s="467"/>
      <c r="H294" s="467"/>
      <c r="I294" s="467"/>
      <c r="J294" s="467"/>
      <c r="K294" s="467"/>
      <c r="L294" s="467"/>
    </row>
    <row r="295" spans="2:12">
      <c r="B295" s="467"/>
      <c r="C295" s="467"/>
      <c r="D295" s="467"/>
      <c r="E295" s="467"/>
      <c r="F295" s="467"/>
      <c r="G295" s="467"/>
      <c r="H295" s="467"/>
      <c r="I295" s="467"/>
      <c r="J295" s="467"/>
      <c r="K295" s="467"/>
      <c r="L295" s="467"/>
    </row>
    <row r="300" spans="2:12" ht="15.75" thickBot="1"/>
    <row r="301" spans="2:12" ht="32.25">
      <c r="B301" s="853" t="s">
        <v>114</v>
      </c>
      <c r="C301" s="854"/>
      <c r="D301" s="854"/>
      <c r="E301" s="854"/>
      <c r="F301" s="854"/>
      <c r="G301" s="854"/>
      <c r="H301" s="854"/>
      <c r="I301" s="854"/>
      <c r="J301" s="854"/>
      <c r="K301" s="854"/>
      <c r="L301" s="855"/>
    </row>
    <row r="302" spans="2:12" ht="23.25">
      <c r="B302" s="856" t="s">
        <v>115</v>
      </c>
      <c r="C302" s="857"/>
      <c r="D302" s="857"/>
      <c r="E302" s="857"/>
      <c r="F302" s="857"/>
      <c r="G302" s="857"/>
      <c r="H302" s="857"/>
      <c r="I302" s="857"/>
      <c r="J302" s="857"/>
      <c r="K302" s="857"/>
      <c r="L302" s="858"/>
    </row>
    <row r="303" spans="2:12" ht="16.5" thickBot="1">
      <c r="B303" s="859" t="s">
        <v>429</v>
      </c>
      <c r="C303" s="860"/>
      <c r="D303" s="860"/>
      <c r="E303" s="860"/>
      <c r="F303" s="860"/>
      <c r="G303" s="860"/>
      <c r="H303" s="860"/>
      <c r="I303" s="860"/>
      <c r="J303" s="860"/>
      <c r="K303" s="860"/>
      <c r="L303" s="861"/>
    </row>
    <row r="304" spans="2:12">
      <c r="B304" s="862" t="s">
        <v>117</v>
      </c>
      <c r="C304" s="863"/>
      <c r="D304" s="863"/>
      <c r="E304" s="863"/>
      <c r="F304" s="863"/>
      <c r="G304" s="305"/>
      <c r="H304" s="866" t="s">
        <v>118</v>
      </c>
      <c r="I304" s="866"/>
      <c r="J304" s="866"/>
      <c r="K304" s="866"/>
      <c r="L304" s="867"/>
    </row>
    <row r="305" spans="2:12" ht="15.75" thickBot="1">
      <c r="B305" s="864"/>
      <c r="C305" s="865"/>
      <c r="D305" s="865"/>
      <c r="E305" s="865"/>
      <c r="F305" s="865"/>
      <c r="G305" s="305"/>
      <c r="H305" s="868"/>
      <c r="I305" s="868"/>
      <c r="J305" s="868"/>
      <c r="K305" s="868"/>
      <c r="L305" s="869"/>
    </row>
    <row r="306" spans="2:12">
      <c r="B306" s="81"/>
      <c r="C306" s="82"/>
      <c r="D306" s="82"/>
      <c r="E306" s="82"/>
      <c r="F306" s="83"/>
      <c r="G306" s="305"/>
      <c r="H306" s="81"/>
      <c r="I306" s="82"/>
      <c r="J306" s="82"/>
      <c r="K306" s="82"/>
      <c r="L306" s="83"/>
    </row>
    <row r="307" spans="2:12">
      <c r="B307" s="84" t="str">
        <f>'04-22Master'!F5</f>
        <v>Burgeon IT Services Pvt.Ltd.</v>
      </c>
      <c r="C307" s="305"/>
      <c r="D307" s="305"/>
      <c r="E307" s="305"/>
      <c r="F307" s="20"/>
      <c r="G307" s="305"/>
      <c r="H307" s="84" t="str">
        <f>'04-22Master'!AJ5</f>
        <v>Burgeon IT Services Pvt.Ltd.</v>
      </c>
      <c r="I307" s="305"/>
      <c r="J307" s="305"/>
      <c r="K307" s="305"/>
      <c r="L307" s="20"/>
    </row>
    <row r="308" spans="2:12">
      <c r="B308" s="19"/>
      <c r="C308" s="305"/>
      <c r="D308" s="305"/>
      <c r="E308" s="305"/>
      <c r="F308" s="20"/>
      <c r="G308" s="305"/>
      <c r="H308" s="19"/>
      <c r="I308" s="305"/>
      <c r="J308" s="305"/>
      <c r="K308" s="305"/>
      <c r="L308" s="20"/>
    </row>
    <row r="309" spans="2:12">
      <c r="B309" s="84" t="str">
        <f>'04-22Master'!F6</f>
        <v>Siri Mansion LIGB 436 Dr.A S Rao Nagar,Hyderabad</v>
      </c>
      <c r="C309" s="305"/>
      <c r="D309" s="305"/>
      <c r="E309" s="305"/>
      <c r="F309" s="20"/>
      <c r="G309" s="305"/>
      <c r="H309" s="84" t="str">
        <f>'04-22Master'!AJ6</f>
        <v>Siri Mansion LIGB 436 Dr.A S Rao Nagar,Hyderabad</v>
      </c>
      <c r="I309" s="305"/>
      <c r="J309" s="305"/>
      <c r="K309" s="305"/>
      <c r="L309" s="20"/>
    </row>
    <row r="310" spans="2:12" ht="15.75" thickBot="1">
      <c r="B310" s="31"/>
      <c r="C310" s="29"/>
      <c r="D310" s="29"/>
      <c r="E310" s="29"/>
      <c r="F310" s="30"/>
      <c r="G310" s="305"/>
      <c r="H310" s="31"/>
      <c r="I310" s="29"/>
      <c r="J310" s="29"/>
      <c r="K310" s="29"/>
      <c r="L310" s="30"/>
    </row>
    <row r="311" spans="2:12">
      <c r="B311" s="19"/>
      <c r="C311" s="305"/>
      <c r="D311" s="305"/>
      <c r="E311" s="305"/>
      <c r="F311" s="305"/>
      <c r="G311" s="305"/>
      <c r="H311" s="305"/>
      <c r="I311" s="305"/>
      <c r="J311" s="305" t="s">
        <v>119</v>
      </c>
      <c r="K311" s="305"/>
      <c r="L311" s="20"/>
    </row>
    <row r="312" spans="2:12">
      <c r="B312" s="796" t="s">
        <v>120</v>
      </c>
      <c r="C312" s="797"/>
      <c r="D312" s="797"/>
      <c r="E312" s="797"/>
      <c r="F312" s="797"/>
      <c r="G312" s="305"/>
      <c r="H312" s="797" t="s">
        <v>4</v>
      </c>
      <c r="I312" s="797"/>
      <c r="J312" s="797"/>
      <c r="K312" s="797"/>
      <c r="L312" s="870"/>
    </row>
    <row r="313" spans="2:12" ht="15.75" thickBot="1">
      <c r="B313" s="19"/>
      <c r="C313" s="305"/>
      <c r="D313" s="305"/>
      <c r="E313" s="305"/>
      <c r="F313" s="305"/>
      <c r="G313" s="305"/>
      <c r="H313" s="305"/>
      <c r="I313" s="305"/>
      <c r="J313" s="305"/>
      <c r="K313" s="305"/>
      <c r="L313" s="20"/>
    </row>
    <row r="314" spans="2:12">
      <c r="B314" s="81"/>
      <c r="C314" s="82"/>
      <c r="D314" s="82"/>
      <c r="E314" s="82"/>
      <c r="F314" s="83"/>
      <c r="G314" s="305"/>
      <c r="H314" s="85"/>
      <c r="I314" s="86"/>
      <c r="J314" s="86"/>
      <c r="K314" s="86"/>
      <c r="L314" s="87"/>
    </row>
    <row r="315" spans="2:12">
      <c r="B315" s="19"/>
      <c r="C315" s="305"/>
      <c r="D315" s="305"/>
      <c r="E315" s="305"/>
      <c r="F315" s="20"/>
      <c r="G315" s="305"/>
      <c r="H315" s="84" t="str">
        <f>'04-22Master'!AJ10</f>
        <v xml:space="preserve">INFOSYS  LTD.IL Hyderabad SEZ Unit-3 </v>
      </c>
      <c r="I315" s="306"/>
      <c r="J315" s="306"/>
      <c r="K315" s="306"/>
      <c r="L315" s="88"/>
    </row>
    <row r="316" spans="2:12">
      <c r="B316" s="84" t="str">
        <f>'04-22Master'!F8</f>
        <v>IT SUPPORTIVE SERVICES</v>
      </c>
      <c r="C316" s="305"/>
      <c r="D316" s="305"/>
      <c r="E316" s="305"/>
      <c r="F316" s="20"/>
      <c r="G316" s="305"/>
      <c r="H316" s="84"/>
      <c r="I316" s="306"/>
      <c r="J316" s="306"/>
      <c r="K316" s="306"/>
      <c r="L316" s="88"/>
    </row>
    <row r="317" spans="2:12">
      <c r="B317" s="19"/>
      <c r="C317" s="305"/>
      <c r="D317" s="305"/>
      <c r="E317" s="305"/>
      <c r="F317" s="20"/>
      <c r="G317" s="305"/>
      <c r="H317" s="84" t="str">
        <f>'04-22Master'!AJ11</f>
        <v>Sy.No 42,Pocharam Village,Gatkesar Mandal</v>
      </c>
      <c r="I317" s="306"/>
      <c r="J317" s="306"/>
      <c r="K317" s="306"/>
      <c r="L317" s="88"/>
    </row>
    <row r="318" spans="2:12" ht="15.75" thickBot="1">
      <c r="B318" s="31"/>
      <c r="C318" s="29"/>
      <c r="D318" s="29"/>
      <c r="E318" s="29"/>
      <c r="F318" s="30"/>
      <c r="G318" s="305"/>
      <c r="H318" s="84"/>
      <c r="I318" s="306"/>
      <c r="J318" s="306"/>
      <c r="K318" s="306"/>
      <c r="L318" s="88"/>
    </row>
    <row r="319" spans="2:12" ht="29.1" customHeight="1">
      <c r="B319" s="837" t="s">
        <v>121</v>
      </c>
      <c r="C319" s="838"/>
      <c r="D319" s="838"/>
      <c r="E319" s="838"/>
      <c r="F319" s="838"/>
      <c r="G319" s="842"/>
      <c r="H319" s="878">
        <f>'04-22Master'!B22</f>
        <v>0</v>
      </c>
      <c r="I319" s="879"/>
      <c r="J319" s="879"/>
      <c r="K319" s="879"/>
      <c r="L319" s="880"/>
    </row>
    <row r="320" spans="2:12" ht="29.1" customHeight="1" thickBot="1">
      <c r="B320" s="844"/>
      <c r="C320" s="845"/>
      <c r="D320" s="845"/>
      <c r="E320" s="845"/>
      <c r="F320" s="845"/>
      <c r="G320" s="845"/>
      <c r="H320" s="881">
        <f>'04-22Master'!G22</f>
        <v>0</v>
      </c>
      <c r="I320" s="882"/>
      <c r="J320" s="882"/>
      <c r="K320" s="882"/>
      <c r="L320" s="883"/>
    </row>
    <row r="321" spans="2:12" ht="29.1" customHeight="1">
      <c r="B321" s="847" t="s">
        <v>122</v>
      </c>
      <c r="C321" s="848"/>
      <c r="D321" s="848"/>
      <c r="E321" s="848"/>
      <c r="F321" s="848"/>
      <c r="G321" s="848"/>
      <c r="H321" s="835">
        <f>'04-22Master'!A22</f>
        <v>0</v>
      </c>
      <c r="I321" s="849"/>
      <c r="J321" s="849"/>
      <c r="K321" s="849"/>
      <c r="L321" s="850"/>
    </row>
    <row r="322" spans="2:12" ht="29.1" customHeight="1">
      <c r="B322" s="837" t="s">
        <v>123</v>
      </c>
      <c r="C322" s="838"/>
      <c r="D322" s="838"/>
      <c r="E322" s="838"/>
      <c r="F322" s="838"/>
      <c r="G322" s="838"/>
      <c r="H322" s="843">
        <f>'04-22Master'!F22</f>
        <v>0</v>
      </c>
      <c r="I322" s="840"/>
      <c r="J322" s="840"/>
      <c r="K322" s="840"/>
      <c r="L322" s="841"/>
    </row>
    <row r="323" spans="2:12" ht="29.1" customHeight="1">
      <c r="B323" s="837" t="s">
        <v>124</v>
      </c>
      <c r="C323" s="838"/>
      <c r="D323" s="838"/>
      <c r="E323" s="838"/>
      <c r="F323" s="838"/>
      <c r="G323" s="838"/>
      <c r="H323" s="851">
        <f>'04-22Master'!I22</f>
        <v>0</v>
      </c>
      <c r="I323" s="876"/>
      <c r="J323" s="876"/>
      <c r="K323" s="876"/>
      <c r="L323" s="877"/>
    </row>
    <row r="324" spans="2:12" ht="29.1" customHeight="1">
      <c r="B324" s="430" t="s">
        <v>125</v>
      </c>
      <c r="C324" s="307"/>
      <c r="D324" s="307"/>
      <c r="E324" s="307"/>
      <c r="F324" s="307"/>
      <c r="G324" s="307"/>
      <c r="H324" s="308"/>
      <c r="I324" s="309"/>
      <c r="J324" s="300">
        <f>'04-22Master'!O22</f>
        <v>0</v>
      </c>
      <c r="K324" s="587"/>
      <c r="L324" s="589"/>
    </row>
    <row r="325" spans="2:12" ht="29.1" customHeight="1">
      <c r="B325" s="430" t="s">
        <v>126</v>
      </c>
      <c r="C325" s="307"/>
      <c r="D325" s="307"/>
      <c r="E325" s="307"/>
      <c r="F325" s="307"/>
      <c r="G325" s="427"/>
      <c r="H325" s="98"/>
      <c r="I325" s="99"/>
      <c r="J325" s="300">
        <f>'04-22Master'!N22</f>
        <v>0</v>
      </c>
      <c r="K325" s="99"/>
      <c r="L325" s="100"/>
    </row>
    <row r="326" spans="2:12" ht="29.1" customHeight="1">
      <c r="B326" s="833" t="s">
        <v>127</v>
      </c>
      <c r="C326" s="834"/>
      <c r="D326" s="834"/>
      <c r="E326" s="834"/>
      <c r="F326" s="834"/>
      <c r="G326" s="834"/>
      <c r="H326" s="835">
        <f>'04-22Master'!S22</f>
        <v>0</v>
      </c>
      <c r="I326" s="849"/>
      <c r="J326" s="849"/>
      <c r="K326" s="849"/>
      <c r="L326" s="850"/>
    </row>
    <row r="327" spans="2:12" ht="29.1" customHeight="1">
      <c r="B327" s="837" t="s">
        <v>128</v>
      </c>
      <c r="C327" s="838"/>
      <c r="D327" s="838"/>
      <c r="E327" s="838"/>
      <c r="F327" s="838"/>
      <c r="G327" s="838"/>
      <c r="H327" s="839">
        <f>'04-22Master'!D10</f>
        <v>44652</v>
      </c>
      <c r="I327" s="840"/>
      <c r="J327" s="840"/>
      <c r="K327" s="840"/>
      <c r="L327" s="841"/>
    </row>
    <row r="328" spans="2:12" ht="29.1" customHeight="1">
      <c r="B328" s="837" t="s">
        <v>129</v>
      </c>
      <c r="C328" s="838"/>
      <c r="D328" s="838"/>
      <c r="E328" s="838"/>
      <c r="F328" s="838"/>
      <c r="G328" s="838"/>
      <c r="H328" s="840" t="s">
        <v>130</v>
      </c>
      <c r="I328" s="840"/>
      <c r="J328" s="840"/>
      <c r="K328" s="840"/>
      <c r="L328" s="841"/>
    </row>
    <row r="329" spans="2:12" ht="29.1" customHeight="1">
      <c r="B329" s="430" t="s">
        <v>131</v>
      </c>
      <c r="C329" s="307"/>
      <c r="D329" s="307"/>
      <c r="E329" s="307"/>
      <c r="F329" s="307"/>
      <c r="G329" s="427"/>
      <c r="H329" s="308"/>
      <c r="I329" s="587"/>
      <c r="J329" s="310">
        <f>'04-22Master'!Q22</f>
        <v>0</v>
      </c>
      <c r="K329" s="587"/>
      <c r="L329" s="589"/>
    </row>
    <row r="330" spans="2:12" ht="29.1" customHeight="1">
      <c r="B330" s="430" t="s">
        <v>132</v>
      </c>
      <c r="C330" s="307"/>
      <c r="D330" s="307"/>
      <c r="E330" s="307"/>
      <c r="F330" s="307"/>
      <c r="G330" s="427"/>
      <c r="H330" s="308"/>
      <c r="I330" s="587"/>
      <c r="J330" s="587" t="s">
        <v>37</v>
      </c>
      <c r="K330" s="587"/>
      <c r="L330" s="589"/>
    </row>
    <row r="331" spans="2:12" ht="29.1" customHeight="1">
      <c r="B331" s="430" t="s">
        <v>133</v>
      </c>
      <c r="C331" s="307"/>
      <c r="D331" s="307"/>
      <c r="E331" s="307"/>
      <c r="F331" s="307"/>
      <c r="G331" s="427"/>
      <c r="H331" s="308"/>
      <c r="I331" s="587"/>
      <c r="J331" s="310">
        <v>0</v>
      </c>
      <c r="K331" s="587"/>
      <c r="L331" s="589"/>
    </row>
    <row r="332" spans="2:12" ht="29.1" customHeight="1">
      <c r="B332" s="430" t="s">
        <v>134</v>
      </c>
      <c r="C332" s="307"/>
      <c r="D332" s="307"/>
      <c r="E332" s="307"/>
      <c r="F332" s="307"/>
      <c r="G332" s="427"/>
      <c r="H332" s="308"/>
      <c r="I332" s="587"/>
      <c r="J332" s="587">
        <v>0</v>
      </c>
      <c r="K332" s="587"/>
      <c r="L332" s="589"/>
    </row>
    <row r="333" spans="2:12" ht="29.1" customHeight="1">
      <c r="B333" s="430" t="s">
        <v>135</v>
      </c>
      <c r="C333" s="307"/>
      <c r="D333" s="307"/>
      <c r="E333" s="307"/>
      <c r="F333" s="307"/>
      <c r="G333" s="427"/>
      <c r="H333" s="308"/>
      <c r="I333" s="587"/>
      <c r="J333" s="310">
        <f>'04-22Master'!AG22</f>
        <v>0</v>
      </c>
      <c r="K333" s="587"/>
      <c r="L333" s="589" t="s">
        <v>35</v>
      </c>
    </row>
    <row r="334" spans="2:12" ht="29.1" customHeight="1">
      <c r="B334" s="430" t="s">
        <v>136</v>
      </c>
      <c r="C334" s="307"/>
      <c r="D334" s="586" t="s">
        <v>32</v>
      </c>
      <c r="E334" s="588">
        <f>'04-22Master'!AI22</f>
        <v>0</v>
      </c>
      <c r="F334" s="586" t="s">
        <v>31</v>
      </c>
      <c r="G334" s="588">
        <f>'04-22Master'!AH22</f>
        <v>0</v>
      </c>
      <c r="H334" s="586" t="s">
        <v>33</v>
      </c>
      <c r="I334" s="588">
        <f>'04-22Master'!AJ22</f>
        <v>0</v>
      </c>
      <c r="J334" s="586" t="s">
        <v>34</v>
      </c>
      <c r="K334" s="588">
        <f>'04-22Master'!AK22</f>
        <v>0</v>
      </c>
      <c r="L334" s="113">
        <f>'04-22Master'!AL22</f>
        <v>0</v>
      </c>
    </row>
    <row r="335" spans="2:12" ht="29.1" customHeight="1">
      <c r="B335" s="430" t="s">
        <v>137</v>
      </c>
      <c r="C335" s="307"/>
      <c r="D335" s="307"/>
      <c r="E335" s="307"/>
      <c r="F335" s="307"/>
      <c r="G335" s="427"/>
      <c r="H335" s="308"/>
      <c r="I335" s="587"/>
      <c r="J335" s="310">
        <f>'04-22Master'!AN22</f>
        <v>0</v>
      </c>
      <c r="K335" s="587"/>
      <c r="L335" s="589"/>
    </row>
    <row r="336" spans="2:12" ht="29.1" customHeight="1">
      <c r="B336" s="431" t="s">
        <v>138</v>
      </c>
      <c r="C336" s="104"/>
      <c r="D336" s="104"/>
      <c r="E336" s="104"/>
      <c r="F336" s="104"/>
      <c r="G336" s="105"/>
      <c r="H336" s="106"/>
      <c r="I336" s="107"/>
      <c r="J336" s="107"/>
      <c r="K336" s="107"/>
      <c r="L336" s="108"/>
    </row>
    <row r="337" spans="2:12" ht="29.1" customHeight="1">
      <c r="B337" s="432" t="s">
        <v>139</v>
      </c>
      <c r="C337" s="109"/>
      <c r="D337" s="109"/>
      <c r="E337" s="109"/>
      <c r="F337" s="109"/>
      <c r="G337" s="110"/>
      <c r="H337" s="77"/>
      <c r="I337" s="23"/>
      <c r="J337" s="23"/>
      <c r="K337" s="23"/>
      <c r="L337" s="111"/>
    </row>
    <row r="338" spans="2:12">
      <c r="B338" s="19"/>
      <c r="C338" s="305"/>
      <c r="D338" s="305"/>
      <c r="E338" s="305"/>
      <c r="F338" s="305"/>
      <c r="G338" s="305"/>
      <c r="H338" s="305"/>
      <c r="I338" s="305"/>
      <c r="J338" s="305"/>
      <c r="K338" s="305"/>
      <c r="L338" s="20"/>
    </row>
    <row r="339" spans="2:12" ht="15.75" thickBot="1">
      <c r="B339" s="31"/>
      <c r="C339" s="29"/>
      <c r="D339" s="29"/>
      <c r="E339" s="29"/>
      <c r="F339" s="29"/>
      <c r="G339" s="29"/>
      <c r="H339" s="29"/>
      <c r="I339" s="29"/>
      <c r="J339" s="29"/>
      <c r="K339" s="29"/>
      <c r="L339" s="30"/>
    </row>
    <row r="340" spans="2:12">
      <c r="B340" s="467"/>
      <c r="C340" s="467"/>
      <c r="D340" s="467"/>
      <c r="E340" s="467"/>
      <c r="F340" s="467"/>
      <c r="G340" s="467"/>
      <c r="H340" s="467"/>
      <c r="I340" s="467"/>
      <c r="J340" s="467"/>
      <c r="K340" s="467"/>
      <c r="L340" s="467"/>
    </row>
    <row r="341" spans="2:12">
      <c r="B341" s="467"/>
      <c r="C341" s="467"/>
      <c r="D341" s="467"/>
      <c r="E341" s="467"/>
      <c r="F341" s="467"/>
      <c r="G341" s="467"/>
      <c r="H341" s="467"/>
      <c r="I341" s="467"/>
      <c r="J341" s="467"/>
      <c r="K341" s="467"/>
      <c r="L341" s="467"/>
    </row>
    <row r="342" spans="2:12">
      <c r="B342" s="467"/>
      <c r="C342" s="467"/>
      <c r="D342" s="467"/>
      <c r="E342" s="467"/>
      <c r="F342" s="467"/>
      <c r="G342" s="467"/>
      <c r="H342" s="467"/>
      <c r="I342" s="467"/>
      <c r="J342" s="467"/>
      <c r="K342" s="467"/>
      <c r="L342" s="467"/>
    </row>
    <row r="343" spans="2:12">
      <c r="B343" s="467"/>
      <c r="C343" s="467"/>
      <c r="D343" s="467"/>
      <c r="E343" s="467"/>
      <c r="F343" s="467"/>
      <c r="G343" s="467"/>
      <c r="H343" s="467"/>
      <c r="I343" s="467"/>
      <c r="J343" s="467"/>
      <c r="K343" s="467"/>
      <c r="L343" s="467"/>
    </row>
    <row r="344" spans="2:12">
      <c r="B344" s="467"/>
      <c r="C344" s="467"/>
      <c r="D344" s="467"/>
      <c r="E344" s="467"/>
      <c r="F344" s="467"/>
      <c r="G344" s="467"/>
      <c r="H344" s="467"/>
      <c r="I344" s="467"/>
      <c r="J344" s="467"/>
      <c r="K344" s="467"/>
      <c r="L344" s="467"/>
    </row>
    <row r="345" spans="2:12">
      <c r="B345" s="467"/>
      <c r="C345" s="467"/>
      <c r="D345" s="467"/>
      <c r="E345" s="467"/>
      <c r="F345" s="467"/>
      <c r="G345" s="467"/>
      <c r="H345" s="467"/>
      <c r="I345" s="467"/>
      <c r="J345" s="467"/>
      <c r="K345" s="467"/>
      <c r="L345" s="467"/>
    </row>
    <row r="346" spans="2:12">
      <c r="B346" s="467"/>
      <c r="C346" s="467"/>
      <c r="D346" s="467"/>
      <c r="E346" s="467"/>
      <c r="F346" s="467"/>
      <c r="G346" s="467"/>
      <c r="H346" s="467"/>
      <c r="I346" s="467"/>
      <c r="J346" s="467"/>
      <c r="K346" s="467"/>
      <c r="L346" s="467"/>
    </row>
    <row r="350" spans="2:12" ht="15.75" thickBot="1"/>
    <row r="351" spans="2:12" ht="32.25">
      <c r="B351" s="853" t="s">
        <v>114</v>
      </c>
      <c r="C351" s="854"/>
      <c r="D351" s="854"/>
      <c r="E351" s="854"/>
      <c r="F351" s="854"/>
      <c r="G351" s="854"/>
      <c r="H351" s="854"/>
      <c r="I351" s="854"/>
      <c r="J351" s="854"/>
      <c r="K351" s="854"/>
      <c r="L351" s="855"/>
    </row>
    <row r="352" spans="2:12" ht="23.25">
      <c r="B352" s="856" t="s">
        <v>115</v>
      </c>
      <c r="C352" s="857"/>
      <c r="D352" s="857"/>
      <c r="E352" s="857"/>
      <c r="F352" s="857"/>
      <c r="G352" s="857"/>
      <c r="H352" s="857"/>
      <c r="I352" s="857"/>
      <c r="J352" s="857"/>
      <c r="K352" s="857"/>
      <c r="L352" s="858"/>
    </row>
    <row r="353" spans="2:12" ht="16.5" thickBot="1">
      <c r="B353" s="859" t="s">
        <v>429</v>
      </c>
      <c r="C353" s="860"/>
      <c r="D353" s="860"/>
      <c r="E353" s="860"/>
      <c r="F353" s="860"/>
      <c r="G353" s="860"/>
      <c r="H353" s="860"/>
      <c r="I353" s="860"/>
      <c r="J353" s="860"/>
      <c r="K353" s="860"/>
      <c r="L353" s="861"/>
    </row>
    <row r="354" spans="2:12">
      <c r="B354" s="862" t="s">
        <v>117</v>
      </c>
      <c r="C354" s="863"/>
      <c r="D354" s="863"/>
      <c r="E354" s="863"/>
      <c r="F354" s="863"/>
      <c r="G354" s="305"/>
      <c r="H354" s="866" t="s">
        <v>118</v>
      </c>
      <c r="I354" s="866"/>
      <c r="J354" s="866"/>
      <c r="K354" s="866"/>
      <c r="L354" s="867"/>
    </row>
    <row r="355" spans="2:12" ht="15.75" thickBot="1">
      <c r="B355" s="864"/>
      <c r="C355" s="865"/>
      <c r="D355" s="865"/>
      <c r="E355" s="865"/>
      <c r="F355" s="865"/>
      <c r="G355" s="305"/>
      <c r="H355" s="868"/>
      <c r="I355" s="868"/>
      <c r="J355" s="868"/>
      <c r="K355" s="868"/>
      <c r="L355" s="869"/>
    </row>
    <row r="356" spans="2:12">
      <c r="B356" s="81"/>
      <c r="C356" s="82"/>
      <c r="D356" s="82"/>
      <c r="E356" s="82"/>
      <c r="F356" s="83"/>
      <c r="G356" s="305"/>
      <c r="H356" s="81"/>
      <c r="I356" s="82"/>
      <c r="J356" s="82"/>
      <c r="K356" s="82"/>
      <c r="L356" s="83"/>
    </row>
    <row r="357" spans="2:12">
      <c r="B357" s="84" t="str">
        <f>'04-22Master'!F5</f>
        <v>Burgeon IT Services Pvt.Ltd.</v>
      </c>
      <c r="C357" s="305"/>
      <c r="D357" s="305"/>
      <c r="E357" s="305"/>
      <c r="F357" s="20"/>
      <c r="G357" s="305"/>
      <c r="H357" s="84" t="str">
        <f>'04-22Master'!AJ5</f>
        <v>Burgeon IT Services Pvt.Ltd.</v>
      </c>
      <c r="I357" s="305"/>
      <c r="J357" s="305"/>
      <c r="K357" s="305"/>
      <c r="L357" s="20"/>
    </row>
    <row r="358" spans="2:12">
      <c r="B358" s="19"/>
      <c r="C358" s="305"/>
      <c r="D358" s="305"/>
      <c r="E358" s="305"/>
      <c r="F358" s="20"/>
      <c r="G358" s="305"/>
      <c r="H358" s="19"/>
      <c r="I358" s="305"/>
      <c r="J358" s="305"/>
      <c r="K358" s="305"/>
      <c r="L358" s="20"/>
    </row>
    <row r="359" spans="2:12">
      <c r="B359" s="84" t="str">
        <f>'04-22Master'!F6</f>
        <v>Siri Mansion LIGB 436 Dr.A S Rao Nagar,Hyderabad</v>
      </c>
      <c r="C359" s="305"/>
      <c r="D359" s="305"/>
      <c r="E359" s="305"/>
      <c r="F359" s="20"/>
      <c r="G359" s="305"/>
      <c r="H359" s="84" t="str">
        <f>'04-22Master'!AJ6</f>
        <v>Siri Mansion LIGB 436 Dr.A S Rao Nagar,Hyderabad</v>
      </c>
      <c r="I359" s="305"/>
      <c r="J359" s="305"/>
      <c r="K359" s="305"/>
      <c r="L359" s="20"/>
    </row>
    <row r="360" spans="2:12" ht="15.75" thickBot="1">
      <c r="B360" s="31"/>
      <c r="C360" s="29"/>
      <c r="D360" s="29"/>
      <c r="E360" s="29"/>
      <c r="F360" s="30"/>
      <c r="G360" s="305"/>
      <c r="H360" s="31"/>
      <c r="I360" s="29"/>
      <c r="J360" s="29"/>
      <c r="K360" s="29"/>
      <c r="L360" s="30"/>
    </row>
    <row r="361" spans="2:12">
      <c r="B361" s="19"/>
      <c r="C361" s="305"/>
      <c r="D361" s="305"/>
      <c r="E361" s="305"/>
      <c r="F361" s="305"/>
      <c r="G361" s="305"/>
      <c r="H361" s="305"/>
      <c r="I361" s="305"/>
      <c r="J361" s="305" t="s">
        <v>119</v>
      </c>
      <c r="K361" s="305"/>
      <c r="L361" s="20"/>
    </row>
    <row r="362" spans="2:12">
      <c r="B362" s="796" t="s">
        <v>120</v>
      </c>
      <c r="C362" s="797"/>
      <c r="D362" s="797"/>
      <c r="E362" s="797"/>
      <c r="F362" s="797"/>
      <c r="G362" s="305"/>
      <c r="H362" s="797" t="s">
        <v>4</v>
      </c>
      <c r="I362" s="797"/>
      <c r="J362" s="797"/>
      <c r="K362" s="797"/>
      <c r="L362" s="870"/>
    </row>
    <row r="363" spans="2:12" ht="15.75" thickBot="1">
      <c r="B363" s="19"/>
      <c r="C363" s="305"/>
      <c r="D363" s="305"/>
      <c r="E363" s="305"/>
      <c r="F363" s="305"/>
      <c r="G363" s="305"/>
      <c r="H363" s="305"/>
      <c r="I363" s="305"/>
      <c r="J363" s="305"/>
      <c r="K363" s="305"/>
      <c r="L363" s="20"/>
    </row>
    <row r="364" spans="2:12">
      <c r="B364" s="81"/>
      <c r="C364" s="82"/>
      <c r="D364" s="82"/>
      <c r="E364" s="82"/>
      <c r="F364" s="83"/>
      <c r="G364" s="305"/>
      <c r="H364" s="85"/>
      <c r="I364" s="86"/>
      <c r="J364" s="86"/>
      <c r="K364" s="86"/>
      <c r="L364" s="87"/>
    </row>
    <row r="365" spans="2:12">
      <c r="B365" s="19"/>
      <c r="C365" s="305"/>
      <c r="D365" s="305"/>
      <c r="E365" s="305"/>
      <c r="F365" s="20"/>
      <c r="G365" s="305"/>
      <c r="H365" s="84" t="str">
        <f>'04-22Master'!AJ10</f>
        <v xml:space="preserve">INFOSYS  LTD.IL Hyderabad SEZ Unit-3 </v>
      </c>
      <c r="I365" s="306"/>
      <c r="J365" s="306"/>
      <c r="K365" s="306"/>
      <c r="L365" s="88"/>
    </row>
    <row r="366" spans="2:12">
      <c r="B366" s="84" t="str">
        <f>'04-22Master'!F8</f>
        <v>IT SUPPORTIVE SERVICES</v>
      </c>
      <c r="C366" s="305"/>
      <c r="D366" s="305"/>
      <c r="E366" s="305"/>
      <c r="F366" s="20"/>
      <c r="G366" s="305"/>
      <c r="H366" s="84"/>
      <c r="I366" s="306"/>
      <c r="J366" s="306"/>
      <c r="K366" s="306"/>
      <c r="L366" s="88"/>
    </row>
    <row r="367" spans="2:12">
      <c r="B367" s="19"/>
      <c r="C367" s="305"/>
      <c r="D367" s="305"/>
      <c r="E367" s="305"/>
      <c r="F367" s="20"/>
      <c r="G367" s="305"/>
      <c r="H367" s="84" t="str">
        <f>'04-22Master'!AJ11</f>
        <v>Sy.No 42,Pocharam Village,Gatkesar Mandal</v>
      </c>
      <c r="I367" s="306"/>
      <c r="J367" s="306"/>
      <c r="K367" s="306"/>
      <c r="L367" s="88"/>
    </row>
    <row r="368" spans="2:12" ht="15.75" thickBot="1">
      <c r="B368" s="31"/>
      <c r="C368" s="29"/>
      <c r="D368" s="29"/>
      <c r="E368" s="29"/>
      <c r="F368" s="30"/>
      <c r="G368" s="305"/>
      <c r="H368" s="84"/>
      <c r="I368" s="306"/>
      <c r="J368" s="306"/>
      <c r="K368" s="306"/>
      <c r="L368" s="88"/>
    </row>
    <row r="369" spans="2:12" ht="29.1" customHeight="1">
      <c r="B369" s="837" t="s">
        <v>121</v>
      </c>
      <c r="C369" s="838"/>
      <c r="D369" s="838"/>
      <c r="E369" s="838"/>
      <c r="F369" s="838"/>
      <c r="G369" s="842"/>
      <c r="H369" s="878">
        <f>'04-22Master'!B23</f>
        <v>0</v>
      </c>
      <c r="I369" s="879"/>
      <c r="J369" s="879"/>
      <c r="K369" s="879"/>
      <c r="L369" s="880"/>
    </row>
    <row r="370" spans="2:12" ht="29.1" customHeight="1" thickBot="1">
      <c r="B370" s="844"/>
      <c r="C370" s="845"/>
      <c r="D370" s="845"/>
      <c r="E370" s="845"/>
      <c r="F370" s="845"/>
      <c r="G370" s="845"/>
      <c r="H370" s="881">
        <f>'04-22Master'!G23</f>
        <v>0</v>
      </c>
      <c r="I370" s="882"/>
      <c r="J370" s="882"/>
      <c r="K370" s="882"/>
      <c r="L370" s="883"/>
    </row>
    <row r="371" spans="2:12" ht="29.1" customHeight="1">
      <c r="B371" s="847" t="s">
        <v>122</v>
      </c>
      <c r="C371" s="848"/>
      <c r="D371" s="848"/>
      <c r="E371" s="848"/>
      <c r="F371" s="848"/>
      <c r="G371" s="848"/>
      <c r="H371" s="835">
        <f>'04-22Master'!A23</f>
        <v>0</v>
      </c>
      <c r="I371" s="849"/>
      <c r="J371" s="849"/>
      <c r="K371" s="849"/>
      <c r="L371" s="850"/>
    </row>
    <row r="372" spans="2:12" ht="29.1" customHeight="1">
      <c r="B372" s="837" t="s">
        <v>123</v>
      </c>
      <c r="C372" s="838"/>
      <c r="D372" s="838"/>
      <c r="E372" s="838"/>
      <c r="F372" s="838"/>
      <c r="G372" s="838"/>
      <c r="H372" s="843">
        <f>'04-22Master'!F23</f>
        <v>0</v>
      </c>
      <c r="I372" s="840"/>
      <c r="J372" s="840"/>
      <c r="K372" s="840"/>
      <c r="L372" s="841"/>
    </row>
    <row r="373" spans="2:12" ht="29.1" customHeight="1">
      <c r="B373" s="837" t="s">
        <v>124</v>
      </c>
      <c r="C373" s="838"/>
      <c r="D373" s="838"/>
      <c r="E373" s="838"/>
      <c r="F373" s="838"/>
      <c r="G373" s="838"/>
      <c r="H373" s="851">
        <f>'04-22Master'!I23</f>
        <v>0</v>
      </c>
      <c r="I373" s="876"/>
      <c r="J373" s="876"/>
      <c r="K373" s="876"/>
      <c r="L373" s="877"/>
    </row>
    <row r="374" spans="2:12" ht="29.1" customHeight="1">
      <c r="B374" s="430" t="s">
        <v>125</v>
      </c>
      <c r="C374" s="307"/>
      <c r="D374" s="307"/>
      <c r="E374" s="307"/>
      <c r="F374" s="307"/>
      <c r="G374" s="307"/>
      <c r="H374" s="308"/>
      <c r="I374" s="309"/>
      <c r="J374" s="300">
        <f>'04-22Master'!O23</f>
        <v>0</v>
      </c>
      <c r="K374" s="599"/>
      <c r="L374" s="600"/>
    </row>
    <row r="375" spans="2:12" ht="29.1" customHeight="1">
      <c r="B375" s="430" t="s">
        <v>126</v>
      </c>
      <c r="C375" s="307"/>
      <c r="D375" s="307"/>
      <c r="E375" s="307"/>
      <c r="F375" s="307"/>
      <c r="G375" s="427"/>
      <c r="H375" s="98"/>
      <c r="I375" s="99"/>
      <c r="J375" s="300">
        <f>'04-22Master'!N23</f>
        <v>0</v>
      </c>
      <c r="K375" s="99"/>
      <c r="L375" s="100"/>
    </row>
    <row r="376" spans="2:12" ht="29.1" customHeight="1">
      <c r="B376" s="833" t="s">
        <v>127</v>
      </c>
      <c r="C376" s="834"/>
      <c r="D376" s="834"/>
      <c r="E376" s="834"/>
      <c r="F376" s="834"/>
      <c r="G376" s="834"/>
      <c r="H376" s="835">
        <f>'04-22Master'!S23</f>
        <v>0</v>
      </c>
      <c r="I376" s="849"/>
      <c r="J376" s="849"/>
      <c r="K376" s="849"/>
      <c r="L376" s="850"/>
    </row>
    <row r="377" spans="2:12" ht="29.1" customHeight="1">
      <c r="B377" s="837" t="s">
        <v>128</v>
      </c>
      <c r="C377" s="838"/>
      <c r="D377" s="838"/>
      <c r="E377" s="838"/>
      <c r="F377" s="838"/>
      <c r="G377" s="838"/>
      <c r="H377" s="839">
        <f>'04-22Master'!D10</f>
        <v>44652</v>
      </c>
      <c r="I377" s="840"/>
      <c r="J377" s="840"/>
      <c r="K377" s="840"/>
      <c r="L377" s="841"/>
    </row>
    <row r="378" spans="2:12" ht="29.1" customHeight="1">
      <c r="B378" s="837" t="s">
        <v>129</v>
      </c>
      <c r="C378" s="838"/>
      <c r="D378" s="838"/>
      <c r="E378" s="838"/>
      <c r="F378" s="838"/>
      <c r="G378" s="838"/>
      <c r="H378" s="840" t="s">
        <v>130</v>
      </c>
      <c r="I378" s="840"/>
      <c r="J378" s="840"/>
      <c r="K378" s="840"/>
      <c r="L378" s="841"/>
    </row>
    <row r="379" spans="2:12" ht="29.1" customHeight="1">
      <c r="B379" s="430" t="s">
        <v>131</v>
      </c>
      <c r="C379" s="307"/>
      <c r="D379" s="307"/>
      <c r="E379" s="307"/>
      <c r="F379" s="307"/>
      <c r="G379" s="427"/>
      <c r="H379" s="308"/>
      <c r="I379" s="599"/>
      <c r="J379" s="310">
        <f>'04-22Master'!Q23</f>
        <v>0</v>
      </c>
      <c r="K379" s="599"/>
      <c r="L379" s="600"/>
    </row>
    <row r="380" spans="2:12" ht="29.1" customHeight="1">
      <c r="B380" s="430" t="s">
        <v>132</v>
      </c>
      <c r="C380" s="307"/>
      <c r="D380" s="307"/>
      <c r="E380" s="307"/>
      <c r="F380" s="307"/>
      <c r="G380" s="427"/>
      <c r="H380" s="308"/>
      <c r="I380" s="599"/>
      <c r="J380" s="599" t="s">
        <v>37</v>
      </c>
      <c r="K380" s="599"/>
      <c r="L380" s="600"/>
    </row>
    <row r="381" spans="2:12" ht="29.1" customHeight="1">
      <c r="B381" s="430" t="s">
        <v>133</v>
      </c>
      <c r="C381" s="307"/>
      <c r="D381" s="307"/>
      <c r="E381" s="307"/>
      <c r="F381" s="307"/>
      <c r="G381" s="427"/>
      <c r="H381" s="308"/>
      <c r="I381" s="599"/>
      <c r="J381" s="310">
        <v>0</v>
      </c>
      <c r="K381" s="599"/>
      <c r="L381" s="600"/>
    </row>
    <row r="382" spans="2:12" ht="29.1" customHeight="1">
      <c r="B382" s="430" t="s">
        <v>134</v>
      </c>
      <c r="C382" s="307"/>
      <c r="D382" s="307"/>
      <c r="E382" s="307"/>
      <c r="F382" s="307"/>
      <c r="G382" s="427"/>
      <c r="H382" s="308"/>
      <c r="I382" s="599"/>
      <c r="J382" s="599">
        <v>0</v>
      </c>
      <c r="K382" s="599"/>
      <c r="L382" s="600"/>
    </row>
    <row r="383" spans="2:12" ht="29.1" customHeight="1">
      <c r="B383" s="430" t="s">
        <v>135</v>
      </c>
      <c r="C383" s="307"/>
      <c r="D383" s="307"/>
      <c r="E383" s="307"/>
      <c r="F383" s="307"/>
      <c r="G383" s="427"/>
      <c r="H383" s="308"/>
      <c r="I383" s="599"/>
      <c r="J383" s="310">
        <f>'04-22Master'!AG23</f>
        <v>0</v>
      </c>
      <c r="K383" s="599"/>
      <c r="L383" s="600" t="s">
        <v>35</v>
      </c>
    </row>
    <row r="384" spans="2:12" ht="29.1" customHeight="1">
      <c r="B384" s="430" t="s">
        <v>136</v>
      </c>
      <c r="C384" s="307"/>
      <c r="D384" s="597" t="s">
        <v>32</v>
      </c>
      <c r="E384" s="598">
        <f>'04-22Master'!AI23</f>
        <v>0</v>
      </c>
      <c r="F384" s="597" t="s">
        <v>31</v>
      </c>
      <c r="G384" s="598">
        <f>'04-22Master'!AH23</f>
        <v>0</v>
      </c>
      <c r="H384" s="597" t="s">
        <v>33</v>
      </c>
      <c r="I384" s="598">
        <f>'04-22Master'!AJ23</f>
        <v>0</v>
      </c>
      <c r="J384" s="597" t="s">
        <v>34</v>
      </c>
      <c r="K384" s="598">
        <f>'04-22Master'!AK23</f>
        <v>0</v>
      </c>
      <c r="L384" s="113">
        <f>'04-22Master'!AL23</f>
        <v>0</v>
      </c>
    </row>
    <row r="385" spans="2:12" ht="29.1" customHeight="1">
      <c r="B385" s="430" t="s">
        <v>137</v>
      </c>
      <c r="C385" s="307"/>
      <c r="D385" s="307"/>
      <c r="E385" s="307"/>
      <c r="F385" s="307"/>
      <c r="G385" s="427"/>
      <c r="H385" s="308"/>
      <c r="I385" s="599"/>
      <c r="J385" s="310">
        <f>'04-22Master'!AN23</f>
        <v>0</v>
      </c>
      <c r="K385" s="599"/>
      <c r="L385" s="600"/>
    </row>
    <row r="386" spans="2:12" ht="29.1" customHeight="1">
      <c r="B386" s="431" t="s">
        <v>138</v>
      </c>
      <c r="C386" s="104"/>
      <c r="D386" s="104"/>
      <c r="E386" s="104"/>
      <c r="F386" s="104"/>
      <c r="G386" s="105"/>
      <c r="H386" s="106"/>
      <c r="I386" s="107"/>
      <c r="J386" s="107"/>
      <c r="K386" s="107"/>
      <c r="L386" s="108"/>
    </row>
    <row r="387" spans="2:12" ht="29.1" customHeight="1">
      <c r="B387" s="432" t="s">
        <v>139</v>
      </c>
      <c r="C387" s="109"/>
      <c r="D387" s="109"/>
      <c r="E387" s="109"/>
      <c r="F387" s="109"/>
      <c r="G387" s="110"/>
      <c r="H387" s="77"/>
      <c r="I387" s="23"/>
      <c r="J387" s="23"/>
      <c r="K387" s="23"/>
      <c r="L387" s="111"/>
    </row>
    <row r="388" spans="2:12">
      <c r="B388" s="19"/>
      <c r="C388" s="305"/>
      <c r="D388" s="305"/>
      <c r="E388" s="305"/>
      <c r="F388" s="305"/>
      <c r="G388" s="305"/>
      <c r="H388" s="305"/>
      <c r="I388" s="305"/>
      <c r="J388" s="305"/>
      <c r="K388" s="305"/>
      <c r="L388" s="20"/>
    </row>
    <row r="389" spans="2:12" ht="15.75" thickBot="1">
      <c r="B389" s="31"/>
      <c r="C389" s="29"/>
      <c r="D389" s="29"/>
      <c r="E389" s="29"/>
      <c r="F389" s="29"/>
      <c r="G389" s="29"/>
      <c r="H389" s="29"/>
      <c r="I389" s="29"/>
      <c r="J389" s="29"/>
      <c r="K389" s="29"/>
      <c r="L389" s="30"/>
    </row>
    <row r="390" spans="2:12">
      <c r="B390" s="467"/>
      <c r="C390" s="467"/>
      <c r="D390" s="467"/>
      <c r="E390" s="467"/>
      <c r="F390" s="467"/>
      <c r="G390" s="467"/>
      <c r="H390" s="467"/>
      <c r="I390" s="467"/>
      <c r="J390" s="467"/>
      <c r="K390" s="467"/>
      <c r="L390" s="467"/>
    </row>
    <row r="391" spans="2:12">
      <c r="B391" s="467"/>
      <c r="C391" s="467"/>
      <c r="D391" s="467"/>
      <c r="E391" s="467"/>
      <c r="F391" s="467"/>
      <c r="G391" s="467"/>
      <c r="H391" s="467"/>
      <c r="I391" s="467"/>
      <c r="J391" s="467"/>
      <c r="K391" s="467"/>
      <c r="L391" s="467"/>
    </row>
    <row r="392" spans="2:12">
      <c r="B392" s="467"/>
      <c r="C392" s="467"/>
      <c r="D392" s="467"/>
      <c r="E392" s="467"/>
      <c r="F392" s="467"/>
      <c r="G392" s="467"/>
      <c r="H392" s="467"/>
      <c r="I392" s="467"/>
      <c r="J392" s="467"/>
      <c r="K392" s="467"/>
      <c r="L392" s="467"/>
    </row>
    <row r="393" spans="2:12">
      <c r="B393" s="467"/>
      <c r="C393" s="467"/>
      <c r="D393" s="467"/>
      <c r="E393" s="467"/>
      <c r="F393" s="467"/>
      <c r="G393" s="467"/>
      <c r="H393" s="467"/>
      <c r="I393" s="467"/>
      <c r="J393" s="467"/>
      <c r="K393" s="467"/>
      <c r="L393" s="467"/>
    </row>
    <row r="394" spans="2:12">
      <c r="B394" s="467"/>
      <c r="C394" s="467"/>
      <c r="D394" s="467"/>
      <c r="E394" s="467"/>
      <c r="F394" s="467"/>
      <c r="G394" s="467"/>
      <c r="H394" s="467"/>
      <c r="I394" s="467"/>
      <c r="J394" s="467"/>
      <c r="K394" s="467"/>
      <c r="L394" s="467"/>
    </row>
    <row r="395" spans="2:12">
      <c r="B395" s="467"/>
      <c r="C395" s="467"/>
      <c r="D395" s="467"/>
      <c r="E395" s="467"/>
      <c r="F395" s="467"/>
      <c r="G395" s="467"/>
      <c r="H395" s="467"/>
      <c r="I395" s="467"/>
      <c r="J395" s="467"/>
      <c r="K395" s="467"/>
      <c r="L395" s="467"/>
    </row>
    <row r="396" spans="2:12">
      <c r="B396" s="467"/>
      <c r="C396" s="467"/>
      <c r="D396" s="467"/>
      <c r="E396" s="467"/>
      <c r="F396" s="467"/>
      <c r="G396" s="467"/>
      <c r="H396" s="467"/>
      <c r="I396" s="467"/>
      <c r="J396" s="467"/>
      <c r="K396" s="467"/>
      <c r="L396" s="467"/>
    </row>
    <row r="400" spans="2:12" ht="15.75" thickBot="1"/>
    <row r="401" spans="2:12" ht="32.25">
      <c r="B401" s="853" t="s">
        <v>114</v>
      </c>
      <c r="C401" s="854"/>
      <c r="D401" s="854"/>
      <c r="E401" s="854"/>
      <c r="F401" s="854"/>
      <c r="G401" s="854"/>
      <c r="H401" s="854"/>
      <c r="I401" s="854"/>
      <c r="J401" s="854"/>
      <c r="K401" s="854"/>
      <c r="L401" s="855"/>
    </row>
    <row r="402" spans="2:12" ht="23.25">
      <c r="B402" s="856" t="s">
        <v>115</v>
      </c>
      <c r="C402" s="857"/>
      <c r="D402" s="857"/>
      <c r="E402" s="857"/>
      <c r="F402" s="857"/>
      <c r="G402" s="857"/>
      <c r="H402" s="857"/>
      <c r="I402" s="857"/>
      <c r="J402" s="857"/>
      <c r="K402" s="857"/>
      <c r="L402" s="858"/>
    </row>
    <row r="403" spans="2:12" ht="16.5" thickBot="1">
      <c r="B403" s="859" t="s">
        <v>429</v>
      </c>
      <c r="C403" s="860"/>
      <c r="D403" s="860"/>
      <c r="E403" s="860"/>
      <c r="F403" s="860"/>
      <c r="G403" s="860"/>
      <c r="H403" s="860"/>
      <c r="I403" s="860"/>
      <c r="J403" s="860"/>
      <c r="K403" s="860"/>
      <c r="L403" s="861"/>
    </row>
    <row r="404" spans="2:12">
      <c r="B404" s="862" t="s">
        <v>117</v>
      </c>
      <c r="C404" s="863"/>
      <c r="D404" s="863"/>
      <c r="E404" s="863"/>
      <c r="F404" s="863"/>
      <c r="G404" s="305"/>
      <c r="H404" s="866" t="s">
        <v>118</v>
      </c>
      <c r="I404" s="866"/>
      <c r="J404" s="866"/>
      <c r="K404" s="866"/>
      <c r="L404" s="867"/>
    </row>
    <row r="405" spans="2:12" ht="15.75" thickBot="1">
      <c r="B405" s="864"/>
      <c r="C405" s="865"/>
      <c r="D405" s="865"/>
      <c r="E405" s="865"/>
      <c r="F405" s="865"/>
      <c r="G405" s="305"/>
      <c r="H405" s="868"/>
      <c r="I405" s="868"/>
      <c r="J405" s="868"/>
      <c r="K405" s="868"/>
      <c r="L405" s="869"/>
    </row>
    <row r="406" spans="2:12">
      <c r="B406" s="81"/>
      <c r="C406" s="82"/>
      <c r="D406" s="82"/>
      <c r="E406" s="82"/>
      <c r="F406" s="83"/>
      <c r="G406" s="305"/>
      <c r="H406" s="81"/>
      <c r="I406" s="82"/>
      <c r="J406" s="82"/>
      <c r="K406" s="82"/>
      <c r="L406" s="83"/>
    </row>
    <row r="407" spans="2:12">
      <c r="B407" s="84" t="str">
        <f>'04-22Master'!F5</f>
        <v>Burgeon IT Services Pvt.Ltd.</v>
      </c>
      <c r="C407" s="305"/>
      <c r="D407" s="305"/>
      <c r="E407" s="305"/>
      <c r="F407" s="20"/>
      <c r="G407" s="305"/>
      <c r="H407" s="84" t="str">
        <f>'04-22Master'!AJ5</f>
        <v>Burgeon IT Services Pvt.Ltd.</v>
      </c>
      <c r="I407" s="305"/>
      <c r="J407" s="305"/>
      <c r="K407" s="305"/>
      <c r="L407" s="20"/>
    </row>
    <row r="408" spans="2:12">
      <c r="B408" s="19"/>
      <c r="C408" s="305"/>
      <c r="D408" s="305"/>
      <c r="E408" s="305"/>
      <c r="F408" s="20"/>
      <c r="G408" s="305"/>
      <c r="H408" s="19"/>
      <c r="I408" s="305"/>
      <c r="J408" s="305"/>
      <c r="K408" s="305"/>
      <c r="L408" s="20"/>
    </row>
    <row r="409" spans="2:12">
      <c r="B409" s="84" t="str">
        <f>'04-22Master'!F6</f>
        <v>Siri Mansion LIGB 436 Dr.A S Rao Nagar,Hyderabad</v>
      </c>
      <c r="C409" s="305"/>
      <c r="D409" s="305"/>
      <c r="E409" s="305"/>
      <c r="F409" s="20"/>
      <c r="G409" s="305"/>
      <c r="H409" s="84" t="str">
        <f>'04-22Master'!AJ6</f>
        <v>Siri Mansion LIGB 436 Dr.A S Rao Nagar,Hyderabad</v>
      </c>
      <c r="I409" s="305"/>
      <c r="J409" s="305"/>
      <c r="K409" s="305"/>
      <c r="L409" s="20"/>
    </row>
    <row r="410" spans="2:12" ht="15.75" thickBot="1">
      <c r="B410" s="31"/>
      <c r="C410" s="29"/>
      <c r="D410" s="29"/>
      <c r="E410" s="29"/>
      <c r="F410" s="30"/>
      <c r="G410" s="305"/>
      <c r="H410" s="31"/>
      <c r="I410" s="29"/>
      <c r="J410" s="29"/>
      <c r="K410" s="29"/>
      <c r="L410" s="30"/>
    </row>
    <row r="411" spans="2:12">
      <c r="B411" s="19"/>
      <c r="C411" s="305"/>
      <c r="D411" s="305"/>
      <c r="E411" s="305"/>
      <c r="F411" s="305"/>
      <c r="G411" s="305"/>
      <c r="H411" s="305"/>
      <c r="I411" s="305"/>
      <c r="J411" s="305" t="s">
        <v>119</v>
      </c>
      <c r="K411" s="305"/>
      <c r="L411" s="20"/>
    </row>
    <row r="412" spans="2:12">
      <c r="B412" s="796" t="s">
        <v>120</v>
      </c>
      <c r="C412" s="797"/>
      <c r="D412" s="797"/>
      <c r="E412" s="797"/>
      <c r="F412" s="797"/>
      <c r="G412" s="305"/>
      <c r="H412" s="797" t="s">
        <v>4</v>
      </c>
      <c r="I412" s="797"/>
      <c r="J412" s="797"/>
      <c r="K412" s="797"/>
      <c r="L412" s="870"/>
    </row>
    <row r="413" spans="2:12" ht="15.75" thickBot="1">
      <c r="B413" s="19"/>
      <c r="C413" s="305"/>
      <c r="D413" s="305"/>
      <c r="E413" s="305"/>
      <c r="F413" s="305"/>
      <c r="G413" s="305"/>
      <c r="H413" s="305"/>
      <c r="I413" s="305"/>
      <c r="J413" s="305"/>
      <c r="K413" s="305"/>
      <c r="L413" s="20"/>
    </row>
    <row r="414" spans="2:12">
      <c r="B414" s="81"/>
      <c r="C414" s="82"/>
      <c r="D414" s="82"/>
      <c r="E414" s="82"/>
      <c r="F414" s="83"/>
      <c r="G414" s="305"/>
      <c r="H414" s="85"/>
      <c r="I414" s="86"/>
      <c r="J414" s="86"/>
      <c r="K414" s="86"/>
      <c r="L414" s="87"/>
    </row>
    <row r="415" spans="2:12">
      <c r="B415" s="19"/>
      <c r="C415" s="305"/>
      <c r="D415" s="305"/>
      <c r="E415" s="305"/>
      <c r="F415" s="20"/>
      <c r="G415" s="305"/>
      <c r="H415" s="84" t="str">
        <f>'04-22Master'!AJ10</f>
        <v xml:space="preserve">INFOSYS  LTD.IL Hyderabad SEZ Unit-3 </v>
      </c>
      <c r="I415" s="306"/>
      <c r="J415" s="306"/>
      <c r="K415" s="306"/>
      <c r="L415" s="88"/>
    </row>
    <row r="416" spans="2:12">
      <c r="B416" s="84" t="str">
        <f>'04-22Master'!F8</f>
        <v>IT SUPPORTIVE SERVICES</v>
      </c>
      <c r="C416" s="305"/>
      <c r="D416" s="305"/>
      <c r="E416" s="305"/>
      <c r="F416" s="20"/>
      <c r="G416" s="305"/>
      <c r="H416" s="84"/>
      <c r="I416" s="306"/>
      <c r="J416" s="306"/>
      <c r="K416" s="306"/>
      <c r="L416" s="88"/>
    </row>
    <row r="417" spans="2:12">
      <c r="B417" s="19"/>
      <c r="C417" s="305"/>
      <c r="D417" s="305"/>
      <c r="E417" s="305"/>
      <c r="F417" s="20"/>
      <c r="G417" s="305"/>
      <c r="H417" s="84" t="str">
        <f>'04-22Master'!AJ11</f>
        <v>Sy.No 42,Pocharam Village,Gatkesar Mandal</v>
      </c>
      <c r="I417" s="306"/>
      <c r="J417" s="306"/>
      <c r="K417" s="306"/>
      <c r="L417" s="88"/>
    </row>
    <row r="418" spans="2:12" ht="15.75" thickBot="1">
      <c r="B418" s="31"/>
      <c r="C418" s="29"/>
      <c r="D418" s="29"/>
      <c r="E418" s="29"/>
      <c r="F418" s="30"/>
      <c r="G418" s="305"/>
      <c r="H418" s="84"/>
      <c r="I418" s="306"/>
      <c r="J418" s="306"/>
      <c r="K418" s="306"/>
      <c r="L418" s="88"/>
    </row>
    <row r="419" spans="2:12" ht="29.1" customHeight="1">
      <c r="B419" s="837" t="s">
        <v>121</v>
      </c>
      <c r="C419" s="838"/>
      <c r="D419" s="838"/>
      <c r="E419" s="838"/>
      <c r="F419" s="838"/>
      <c r="G419" s="842"/>
      <c r="H419" s="878">
        <f>'04-22Master'!B24</f>
        <v>0</v>
      </c>
      <c r="I419" s="879"/>
      <c r="J419" s="879"/>
      <c r="K419" s="879"/>
      <c r="L419" s="880"/>
    </row>
    <row r="420" spans="2:12" ht="29.1" customHeight="1" thickBot="1">
      <c r="B420" s="844"/>
      <c r="C420" s="845"/>
      <c r="D420" s="845"/>
      <c r="E420" s="845"/>
      <c r="F420" s="845"/>
      <c r="G420" s="845"/>
      <c r="H420" s="881">
        <f>'04-22Master'!G24</f>
        <v>0</v>
      </c>
      <c r="I420" s="882"/>
      <c r="J420" s="882"/>
      <c r="K420" s="882"/>
      <c r="L420" s="883"/>
    </row>
    <row r="421" spans="2:12" ht="29.1" customHeight="1">
      <c r="B421" s="847" t="s">
        <v>122</v>
      </c>
      <c r="C421" s="848"/>
      <c r="D421" s="848"/>
      <c r="E421" s="848"/>
      <c r="F421" s="848"/>
      <c r="G421" s="848"/>
      <c r="H421" s="835">
        <f>'04-22Master'!A24</f>
        <v>0</v>
      </c>
      <c r="I421" s="849"/>
      <c r="J421" s="849"/>
      <c r="K421" s="849"/>
      <c r="L421" s="850"/>
    </row>
    <row r="422" spans="2:12" ht="29.1" customHeight="1">
      <c r="B422" s="837" t="s">
        <v>123</v>
      </c>
      <c r="C422" s="838"/>
      <c r="D422" s="838"/>
      <c r="E422" s="838"/>
      <c r="F422" s="838"/>
      <c r="G422" s="838"/>
      <c r="H422" s="843">
        <f>'04-22Master'!F24</f>
        <v>0</v>
      </c>
      <c r="I422" s="840"/>
      <c r="J422" s="840"/>
      <c r="K422" s="840"/>
      <c r="L422" s="841"/>
    </row>
    <row r="423" spans="2:12" ht="29.1" customHeight="1">
      <c r="B423" s="837" t="s">
        <v>124</v>
      </c>
      <c r="C423" s="838"/>
      <c r="D423" s="838"/>
      <c r="E423" s="838"/>
      <c r="F423" s="838"/>
      <c r="G423" s="838"/>
      <c r="H423" s="851">
        <f>'04-22Master'!I24</f>
        <v>0</v>
      </c>
      <c r="I423" s="876"/>
      <c r="J423" s="876"/>
      <c r="K423" s="876"/>
      <c r="L423" s="877"/>
    </row>
    <row r="424" spans="2:12" ht="29.1" customHeight="1">
      <c r="B424" s="430" t="s">
        <v>125</v>
      </c>
      <c r="C424" s="307"/>
      <c r="D424" s="307"/>
      <c r="E424" s="307"/>
      <c r="F424" s="307"/>
      <c r="G424" s="307"/>
      <c r="H424" s="308"/>
      <c r="I424" s="309"/>
      <c r="J424" s="300">
        <f>'04-22Master'!O24</f>
        <v>0</v>
      </c>
      <c r="K424" s="599"/>
      <c r="L424" s="600"/>
    </row>
    <row r="425" spans="2:12" ht="29.1" customHeight="1">
      <c r="B425" s="430" t="s">
        <v>126</v>
      </c>
      <c r="C425" s="307"/>
      <c r="D425" s="307"/>
      <c r="E425" s="307"/>
      <c r="F425" s="307"/>
      <c r="G425" s="427"/>
      <c r="H425" s="98"/>
      <c r="I425" s="99"/>
      <c r="J425" s="300">
        <f>'04-22Master'!N24</f>
        <v>0</v>
      </c>
      <c r="K425" s="99"/>
      <c r="L425" s="100"/>
    </row>
    <row r="426" spans="2:12" ht="29.1" customHeight="1">
      <c r="B426" s="833" t="s">
        <v>127</v>
      </c>
      <c r="C426" s="834"/>
      <c r="D426" s="834"/>
      <c r="E426" s="834"/>
      <c r="F426" s="834"/>
      <c r="G426" s="834"/>
      <c r="H426" s="835">
        <f>'04-22Master'!S24</f>
        <v>0</v>
      </c>
      <c r="I426" s="849"/>
      <c r="J426" s="849"/>
      <c r="K426" s="849"/>
      <c r="L426" s="850"/>
    </row>
    <row r="427" spans="2:12" ht="29.1" customHeight="1">
      <c r="B427" s="837" t="s">
        <v>128</v>
      </c>
      <c r="C427" s="838"/>
      <c r="D427" s="838"/>
      <c r="E427" s="838"/>
      <c r="F427" s="838"/>
      <c r="G427" s="838"/>
      <c r="H427" s="839">
        <f>'04-22Master'!D10</f>
        <v>44652</v>
      </c>
      <c r="I427" s="840"/>
      <c r="J427" s="840"/>
      <c r="K427" s="840"/>
      <c r="L427" s="841"/>
    </row>
    <row r="428" spans="2:12" ht="29.1" customHeight="1">
      <c r="B428" s="837" t="s">
        <v>129</v>
      </c>
      <c r="C428" s="838"/>
      <c r="D428" s="838"/>
      <c r="E428" s="838"/>
      <c r="F428" s="838"/>
      <c r="G428" s="838"/>
      <c r="H428" s="840" t="s">
        <v>130</v>
      </c>
      <c r="I428" s="840"/>
      <c r="J428" s="840"/>
      <c r="K428" s="840"/>
      <c r="L428" s="841"/>
    </row>
    <row r="429" spans="2:12" ht="29.1" customHeight="1">
      <c r="B429" s="430" t="s">
        <v>131</v>
      </c>
      <c r="C429" s="307"/>
      <c r="D429" s="307"/>
      <c r="E429" s="307"/>
      <c r="F429" s="307"/>
      <c r="G429" s="427"/>
      <c r="H429" s="308"/>
      <c r="I429" s="599"/>
      <c r="J429" s="310">
        <f>'04-22Master'!Q24</f>
        <v>0</v>
      </c>
      <c r="K429" s="599"/>
      <c r="L429" s="600"/>
    </row>
    <row r="430" spans="2:12" ht="29.1" customHeight="1">
      <c r="B430" s="430" t="s">
        <v>132</v>
      </c>
      <c r="C430" s="307"/>
      <c r="D430" s="307"/>
      <c r="E430" s="307"/>
      <c r="F430" s="307"/>
      <c r="G430" s="427"/>
      <c r="H430" s="308"/>
      <c r="I430" s="599"/>
      <c r="J430" s="599" t="s">
        <v>37</v>
      </c>
      <c r="K430" s="599"/>
      <c r="L430" s="600"/>
    </row>
    <row r="431" spans="2:12" ht="29.1" customHeight="1">
      <c r="B431" s="430" t="s">
        <v>133</v>
      </c>
      <c r="C431" s="307"/>
      <c r="D431" s="307"/>
      <c r="E431" s="307"/>
      <c r="F431" s="307"/>
      <c r="G431" s="427"/>
      <c r="H431" s="308"/>
      <c r="I431" s="599"/>
      <c r="J431" s="310">
        <v>0</v>
      </c>
      <c r="K431" s="599"/>
      <c r="L431" s="600"/>
    </row>
    <row r="432" spans="2:12" ht="29.1" customHeight="1">
      <c r="B432" s="430" t="s">
        <v>134</v>
      </c>
      <c r="C432" s="307"/>
      <c r="D432" s="307"/>
      <c r="E432" s="307"/>
      <c r="F432" s="307"/>
      <c r="G432" s="427"/>
      <c r="H432" s="308"/>
      <c r="I432" s="599"/>
      <c r="J432" s="599">
        <v>0</v>
      </c>
      <c r="K432" s="599"/>
      <c r="L432" s="600"/>
    </row>
    <row r="433" spans="2:12" ht="29.1" customHeight="1">
      <c r="B433" s="430" t="s">
        <v>135</v>
      </c>
      <c r="C433" s="307"/>
      <c r="D433" s="307"/>
      <c r="E433" s="307"/>
      <c r="F433" s="307"/>
      <c r="G433" s="427"/>
      <c r="H433" s="308"/>
      <c r="I433" s="599"/>
      <c r="J433" s="310">
        <f>'04-22Master'!AG24</f>
        <v>0</v>
      </c>
      <c r="K433" s="599"/>
      <c r="L433" s="600" t="s">
        <v>35</v>
      </c>
    </row>
    <row r="434" spans="2:12" ht="29.1" customHeight="1">
      <c r="B434" s="430" t="s">
        <v>136</v>
      </c>
      <c r="C434" s="307"/>
      <c r="D434" s="597" t="s">
        <v>32</v>
      </c>
      <c r="E434" s="598">
        <f>'04-22Master'!AI24</f>
        <v>0</v>
      </c>
      <c r="F434" s="597" t="s">
        <v>31</v>
      </c>
      <c r="G434" s="598">
        <f>'04-22Master'!AH24</f>
        <v>0</v>
      </c>
      <c r="H434" s="597" t="s">
        <v>33</v>
      </c>
      <c r="I434" s="598">
        <f>'04-22Master'!AJ24</f>
        <v>0</v>
      </c>
      <c r="J434" s="597" t="s">
        <v>34</v>
      </c>
      <c r="K434" s="598">
        <f>'04-22Master'!AK24</f>
        <v>0</v>
      </c>
      <c r="L434" s="113">
        <f>'04-22Master'!AL24</f>
        <v>0</v>
      </c>
    </row>
    <row r="435" spans="2:12" ht="29.1" customHeight="1">
      <c r="B435" s="430" t="s">
        <v>137</v>
      </c>
      <c r="C435" s="307"/>
      <c r="D435" s="307"/>
      <c r="E435" s="307"/>
      <c r="F435" s="307"/>
      <c r="G435" s="427"/>
      <c r="H435" s="308"/>
      <c r="I435" s="599"/>
      <c r="J435" s="310">
        <f>'04-22Master'!AN24</f>
        <v>0</v>
      </c>
      <c r="K435" s="599"/>
      <c r="L435" s="600"/>
    </row>
    <row r="436" spans="2:12" ht="29.1" customHeight="1">
      <c r="B436" s="431" t="s">
        <v>138</v>
      </c>
      <c r="C436" s="104"/>
      <c r="D436" s="104"/>
      <c r="E436" s="104"/>
      <c r="F436" s="104"/>
      <c r="G436" s="105"/>
      <c r="H436" s="106"/>
      <c r="I436" s="107"/>
      <c r="J436" s="107"/>
      <c r="K436" s="107"/>
      <c r="L436" s="108"/>
    </row>
    <row r="437" spans="2:12" ht="29.1" customHeight="1">
      <c r="B437" s="432" t="s">
        <v>139</v>
      </c>
      <c r="C437" s="109"/>
      <c r="D437" s="109"/>
      <c r="E437" s="109"/>
      <c r="F437" s="109"/>
      <c r="G437" s="110"/>
      <c r="H437" s="77"/>
      <c r="I437" s="23"/>
      <c r="J437" s="23"/>
      <c r="K437" s="23"/>
      <c r="L437" s="111"/>
    </row>
    <row r="438" spans="2:12">
      <c r="B438" s="19"/>
      <c r="C438" s="305"/>
      <c r="D438" s="305"/>
      <c r="E438" s="305"/>
      <c r="F438" s="305"/>
      <c r="G438" s="305"/>
      <c r="H438" s="305"/>
      <c r="I438" s="305"/>
      <c r="J438" s="305"/>
      <c r="K438" s="305"/>
      <c r="L438" s="20"/>
    </row>
    <row r="439" spans="2:12" ht="15.75" thickBot="1">
      <c r="B439" s="31"/>
      <c r="C439" s="29"/>
      <c r="D439" s="29"/>
      <c r="E439" s="29"/>
      <c r="F439" s="29"/>
      <c r="G439" s="29"/>
      <c r="H439" s="29"/>
      <c r="I439" s="29"/>
      <c r="J439" s="29"/>
      <c r="K439" s="29"/>
      <c r="L439" s="30"/>
    </row>
    <row r="440" spans="2:12">
      <c r="B440" s="467"/>
      <c r="C440" s="467"/>
      <c r="D440" s="467"/>
      <c r="E440" s="467"/>
      <c r="F440" s="467"/>
      <c r="G440" s="467"/>
      <c r="H440" s="467"/>
      <c r="I440" s="467"/>
      <c r="J440" s="467"/>
      <c r="K440" s="467"/>
      <c r="L440" s="467"/>
    </row>
    <row r="441" spans="2:12">
      <c r="B441" s="467"/>
      <c r="C441" s="467"/>
      <c r="D441" s="467"/>
      <c r="E441" s="467"/>
      <c r="F441" s="467"/>
      <c r="G441" s="467"/>
      <c r="H441" s="467"/>
      <c r="I441" s="467"/>
      <c r="J441" s="467"/>
      <c r="K441" s="467"/>
      <c r="L441" s="467"/>
    </row>
    <row r="442" spans="2:12">
      <c r="B442" s="467"/>
      <c r="C442" s="467"/>
      <c r="D442" s="467"/>
      <c r="E442" s="467"/>
      <c r="F442" s="467"/>
      <c r="G442" s="467"/>
      <c r="H442" s="467"/>
      <c r="I442" s="467"/>
      <c r="J442" s="467"/>
      <c r="K442" s="467"/>
      <c r="L442" s="467"/>
    </row>
    <row r="443" spans="2:12">
      <c r="B443" s="467"/>
      <c r="C443" s="467"/>
      <c r="D443" s="467"/>
      <c r="E443" s="467"/>
      <c r="F443" s="467"/>
      <c r="G443" s="467"/>
      <c r="H443" s="467"/>
      <c r="I443" s="467"/>
      <c r="J443" s="467"/>
      <c r="K443" s="467"/>
      <c r="L443" s="467"/>
    </row>
    <row r="444" spans="2:12">
      <c r="B444" s="467"/>
      <c r="C444" s="467"/>
      <c r="D444" s="467"/>
      <c r="E444" s="467"/>
      <c r="F444" s="467"/>
      <c r="G444" s="467"/>
      <c r="H444" s="467"/>
      <c r="I444" s="467"/>
      <c r="J444" s="467"/>
      <c r="K444" s="467"/>
      <c r="L444" s="467"/>
    </row>
    <row r="445" spans="2:12">
      <c r="B445" s="467"/>
      <c r="C445" s="467"/>
      <c r="D445" s="467"/>
      <c r="E445" s="467"/>
      <c r="F445" s="467"/>
      <c r="G445" s="467"/>
      <c r="H445" s="467"/>
      <c r="I445" s="467"/>
      <c r="J445" s="467"/>
      <c r="K445" s="467"/>
      <c r="L445" s="467"/>
    </row>
    <row r="446" spans="2:12">
      <c r="B446" s="467"/>
      <c r="C446" s="467"/>
      <c r="D446" s="467"/>
      <c r="E446" s="467"/>
      <c r="F446" s="467"/>
      <c r="G446" s="467"/>
      <c r="H446" s="467"/>
      <c r="I446" s="467"/>
      <c r="J446" s="467"/>
      <c r="K446" s="467"/>
      <c r="L446" s="467"/>
    </row>
    <row r="449" spans="2:12" ht="15.75" thickBot="1"/>
    <row r="450" spans="2:12" ht="32.25">
      <c r="B450" s="853" t="s">
        <v>114</v>
      </c>
      <c r="C450" s="854"/>
      <c r="D450" s="854"/>
      <c r="E450" s="854"/>
      <c r="F450" s="854"/>
      <c r="G450" s="854"/>
      <c r="H450" s="854"/>
      <c r="I450" s="854"/>
      <c r="J450" s="854"/>
      <c r="K450" s="854"/>
      <c r="L450" s="855"/>
    </row>
    <row r="451" spans="2:12" ht="23.25">
      <c r="B451" s="856" t="s">
        <v>115</v>
      </c>
      <c r="C451" s="857"/>
      <c r="D451" s="857"/>
      <c r="E451" s="857"/>
      <c r="F451" s="857"/>
      <c r="G451" s="857"/>
      <c r="H451" s="857"/>
      <c r="I451" s="857"/>
      <c r="J451" s="857"/>
      <c r="K451" s="857"/>
      <c r="L451" s="858"/>
    </row>
    <row r="452" spans="2:12" ht="16.5" thickBot="1">
      <c r="B452" s="859" t="s">
        <v>116</v>
      </c>
      <c r="C452" s="860"/>
      <c r="D452" s="860"/>
      <c r="E452" s="860"/>
      <c r="F452" s="860"/>
      <c r="G452" s="860"/>
      <c r="H452" s="860"/>
      <c r="I452" s="860"/>
      <c r="J452" s="860"/>
      <c r="K452" s="860"/>
      <c r="L452" s="861"/>
    </row>
    <row r="453" spans="2:12">
      <c r="B453" s="862" t="s">
        <v>117</v>
      </c>
      <c r="C453" s="863"/>
      <c r="D453" s="863"/>
      <c r="E453" s="863"/>
      <c r="F453" s="863"/>
      <c r="G453" s="305"/>
      <c r="H453" s="866" t="s">
        <v>118</v>
      </c>
      <c r="I453" s="866"/>
      <c r="J453" s="866"/>
      <c r="K453" s="866"/>
      <c r="L453" s="867"/>
    </row>
    <row r="454" spans="2:12" ht="15.75" thickBot="1">
      <c r="B454" s="864"/>
      <c r="C454" s="865"/>
      <c r="D454" s="865"/>
      <c r="E454" s="865"/>
      <c r="F454" s="865"/>
      <c r="G454" s="305"/>
      <c r="H454" s="868"/>
      <c r="I454" s="868"/>
      <c r="J454" s="868"/>
      <c r="K454" s="868"/>
      <c r="L454" s="869"/>
    </row>
    <row r="455" spans="2:12">
      <c r="B455" s="81"/>
      <c r="C455" s="82"/>
      <c r="D455" s="82"/>
      <c r="E455" s="82"/>
      <c r="F455" s="83"/>
      <c r="G455" s="305"/>
      <c r="H455" s="81"/>
      <c r="I455" s="82"/>
      <c r="J455" s="82"/>
      <c r="K455" s="82"/>
      <c r="L455" s="83"/>
    </row>
    <row r="456" spans="2:12">
      <c r="B456" s="84" t="str">
        <f>'04-22Master'!F5</f>
        <v>Burgeon IT Services Pvt.Ltd.</v>
      </c>
      <c r="C456" s="305"/>
      <c r="D456" s="305"/>
      <c r="E456" s="305"/>
      <c r="F456" s="20"/>
      <c r="G456" s="305"/>
      <c r="H456" s="84" t="str">
        <f>'04-22Master'!AJ5</f>
        <v>Burgeon IT Services Pvt.Ltd.</v>
      </c>
      <c r="I456" s="305"/>
      <c r="J456" s="305"/>
      <c r="K456" s="305"/>
      <c r="L456" s="20"/>
    </row>
    <row r="457" spans="2:12">
      <c r="B457" s="19"/>
      <c r="C457" s="305"/>
      <c r="D457" s="305"/>
      <c r="E457" s="305"/>
      <c r="F457" s="20"/>
      <c r="G457" s="305"/>
      <c r="H457" s="19"/>
      <c r="I457" s="305"/>
      <c r="J457" s="305"/>
      <c r="K457" s="305"/>
      <c r="L457" s="20"/>
    </row>
    <row r="458" spans="2:12">
      <c r="B458" s="84" t="str">
        <f>'04-22Master'!F6</f>
        <v>Siri Mansion LIGB 436 Dr.A S Rao Nagar,Hyderabad</v>
      </c>
      <c r="C458" s="305"/>
      <c r="D458" s="305"/>
      <c r="E458" s="305"/>
      <c r="F458" s="20"/>
      <c r="G458" s="305"/>
      <c r="H458" s="84" t="str">
        <f>'04-22Master'!AJ6</f>
        <v>Siri Mansion LIGB 436 Dr.A S Rao Nagar,Hyderabad</v>
      </c>
      <c r="I458" s="305"/>
      <c r="J458" s="305"/>
      <c r="K458" s="305"/>
      <c r="L458" s="20"/>
    </row>
    <row r="459" spans="2:12" ht="15.75" thickBot="1">
      <c r="B459" s="31"/>
      <c r="C459" s="29"/>
      <c r="D459" s="29"/>
      <c r="E459" s="29"/>
      <c r="F459" s="30"/>
      <c r="G459" s="305"/>
      <c r="H459" s="31"/>
      <c r="I459" s="29"/>
      <c r="J459" s="29"/>
      <c r="K459" s="29"/>
      <c r="L459" s="30"/>
    </row>
    <row r="460" spans="2:12">
      <c r="B460" s="19"/>
      <c r="C460" s="305"/>
      <c r="D460" s="305"/>
      <c r="E460" s="305"/>
      <c r="F460" s="305"/>
      <c r="G460" s="305"/>
      <c r="H460" s="305"/>
      <c r="I460" s="305"/>
      <c r="J460" s="305" t="s">
        <v>119</v>
      </c>
      <c r="K460" s="305"/>
      <c r="L460" s="20"/>
    </row>
    <row r="461" spans="2:12">
      <c r="B461" s="796" t="s">
        <v>120</v>
      </c>
      <c r="C461" s="797"/>
      <c r="D461" s="797"/>
      <c r="E461" s="797"/>
      <c r="F461" s="797"/>
      <c r="G461" s="305"/>
      <c r="H461" s="797" t="s">
        <v>4</v>
      </c>
      <c r="I461" s="797"/>
      <c r="J461" s="797"/>
      <c r="K461" s="797"/>
      <c r="L461" s="870"/>
    </row>
    <row r="462" spans="2:12" ht="15.75" thickBot="1">
      <c r="B462" s="19"/>
      <c r="C462" s="305"/>
      <c r="D462" s="305"/>
      <c r="E462" s="305"/>
      <c r="F462" s="305"/>
      <c r="G462" s="305"/>
      <c r="H462" s="305"/>
      <c r="I462" s="305"/>
      <c r="J462" s="305"/>
      <c r="K462" s="305"/>
      <c r="L462" s="20"/>
    </row>
    <row r="463" spans="2:12">
      <c r="B463" s="81"/>
      <c r="C463" s="82"/>
      <c r="D463" s="82"/>
      <c r="E463" s="82"/>
      <c r="F463" s="83"/>
      <c r="G463" s="305"/>
      <c r="H463" s="85"/>
      <c r="I463" s="86"/>
      <c r="J463" s="86"/>
      <c r="K463" s="86"/>
      <c r="L463" s="87"/>
    </row>
    <row r="464" spans="2:12">
      <c r="B464" s="19"/>
      <c r="C464" s="305"/>
      <c r="D464" s="305"/>
      <c r="E464" s="305"/>
      <c r="F464" s="20"/>
      <c r="G464" s="305"/>
      <c r="H464" s="84" t="str">
        <f>'04-22Master'!AJ10</f>
        <v xml:space="preserve">INFOSYS  LTD.IL Hyderabad SEZ Unit-3 </v>
      </c>
      <c r="I464" s="306"/>
      <c r="J464" s="306"/>
      <c r="K464" s="306"/>
      <c r="L464" s="88"/>
    </row>
    <row r="465" spans="2:12">
      <c r="B465" s="84" t="str">
        <f>'04-22Master'!F8</f>
        <v>IT SUPPORTIVE SERVICES</v>
      </c>
      <c r="C465" s="305"/>
      <c r="D465" s="305"/>
      <c r="E465" s="305"/>
      <c r="F465" s="20"/>
      <c r="G465" s="305"/>
      <c r="H465" s="84"/>
      <c r="I465" s="306"/>
      <c r="J465" s="306"/>
      <c r="K465" s="306"/>
      <c r="L465" s="88"/>
    </row>
    <row r="466" spans="2:12">
      <c r="B466" s="19"/>
      <c r="C466" s="305"/>
      <c r="D466" s="305"/>
      <c r="E466" s="305"/>
      <c r="F466" s="20"/>
      <c r="G466" s="305"/>
      <c r="H466" s="84" t="str">
        <f>'04-22Master'!AJ11</f>
        <v>Sy.No 42,Pocharam Village,Gatkesar Mandal</v>
      </c>
      <c r="I466" s="306"/>
      <c r="J466" s="306"/>
      <c r="K466" s="306"/>
      <c r="L466" s="88"/>
    </row>
    <row r="467" spans="2:12" ht="15.75" thickBot="1">
      <c r="B467" s="31"/>
      <c r="C467" s="29"/>
      <c r="D467" s="29"/>
      <c r="E467" s="29"/>
      <c r="F467" s="30"/>
      <c r="G467" s="305"/>
      <c r="H467" s="84"/>
      <c r="I467" s="306"/>
      <c r="J467" s="306"/>
      <c r="K467" s="306"/>
      <c r="L467" s="88"/>
    </row>
    <row r="468" spans="2:12" ht="30" customHeight="1">
      <c r="B468" s="837" t="s">
        <v>121</v>
      </c>
      <c r="C468" s="838"/>
      <c r="D468" s="838"/>
      <c r="E468" s="838"/>
      <c r="F468" s="838"/>
      <c r="G468" s="842"/>
      <c r="H468" s="843">
        <f>'04-22Master'!B25</f>
        <v>0</v>
      </c>
      <c r="I468" s="840"/>
      <c r="J468" s="840"/>
      <c r="K468" s="840"/>
      <c r="L468" s="840"/>
    </row>
    <row r="469" spans="2:12" ht="30" customHeight="1">
      <c r="B469" s="844"/>
      <c r="C469" s="845"/>
      <c r="D469" s="845"/>
      <c r="E469" s="845"/>
      <c r="F469" s="845"/>
      <c r="G469" s="845"/>
      <c r="H469" s="846">
        <f>'04-22Master'!G25</f>
        <v>0</v>
      </c>
      <c r="I469" s="846"/>
      <c r="J469" s="846"/>
      <c r="K469" s="846"/>
      <c r="L469" s="846"/>
    </row>
    <row r="470" spans="2:12" ht="27" customHeight="1">
      <c r="B470" s="847" t="s">
        <v>122</v>
      </c>
      <c r="C470" s="848"/>
      <c r="D470" s="848"/>
      <c r="E470" s="848"/>
      <c r="F470" s="848"/>
      <c r="G470" s="848"/>
      <c r="H470" s="835">
        <f>'04-22Master'!A25</f>
        <v>0</v>
      </c>
      <c r="I470" s="849"/>
      <c r="J470" s="849"/>
      <c r="K470" s="849"/>
      <c r="L470" s="850"/>
    </row>
    <row r="471" spans="2:12" ht="39" customHeight="1">
      <c r="B471" s="837" t="s">
        <v>123</v>
      </c>
      <c r="C471" s="838"/>
      <c r="D471" s="838"/>
      <c r="E471" s="838"/>
      <c r="F471" s="838"/>
      <c r="G471" s="838"/>
      <c r="H471" s="843">
        <f>'04-22Master'!F25</f>
        <v>0</v>
      </c>
      <c r="I471" s="840"/>
      <c r="J471" s="840"/>
      <c r="K471" s="840"/>
      <c r="L471" s="841"/>
    </row>
    <row r="472" spans="2:12" ht="25.5" customHeight="1">
      <c r="B472" s="837" t="s">
        <v>124</v>
      </c>
      <c r="C472" s="838"/>
      <c r="D472" s="838"/>
      <c r="E472" s="838"/>
      <c r="F472" s="838"/>
      <c r="G472" s="838"/>
      <c r="H472" s="851">
        <f>'04-22Master'!I25</f>
        <v>0</v>
      </c>
      <c r="I472" s="876"/>
      <c r="J472" s="876"/>
      <c r="K472" s="876"/>
      <c r="L472" s="877"/>
    </row>
    <row r="473" spans="2:12" ht="30.75" customHeight="1">
      <c r="B473" s="430" t="s">
        <v>125</v>
      </c>
      <c r="C473" s="307"/>
      <c r="D473" s="307"/>
      <c r="E473" s="307"/>
      <c r="F473" s="307"/>
      <c r="G473" s="307"/>
      <c r="H473" s="308"/>
      <c r="I473" s="309"/>
      <c r="J473" s="300">
        <f>'04-22Master'!O25</f>
        <v>0</v>
      </c>
      <c r="K473" s="614"/>
      <c r="L473" s="616"/>
    </row>
    <row r="474" spans="2:12" ht="29.25" customHeight="1">
      <c r="B474" s="430" t="s">
        <v>126</v>
      </c>
      <c r="C474" s="307"/>
      <c r="D474" s="307"/>
      <c r="E474" s="307"/>
      <c r="F474" s="307"/>
      <c r="G474" s="427"/>
      <c r="H474" s="98"/>
      <c r="I474" s="99"/>
      <c r="J474" s="300">
        <f>'04-22Master'!N25</f>
        <v>0</v>
      </c>
      <c r="K474" s="99"/>
      <c r="L474" s="100"/>
    </row>
    <row r="475" spans="2:12" ht="29.25" customHeight="1">
      <c r="B475" s="833" t="s">
        <v>127</v>
      </c>
      <c r="C475" s="834"/>
      <c r="D475" s="834"/>
      <c r="E475" s="834"/>
      <c r="F475" s="834"/>
      <c r="G475" s="834"/>
      <c r="H475" s="835">
        <f>'04-22Master'!S25</f>
        <v>0</v>
      </c>
      <c r="I475" s="849"/>
      <c r="J475" s="849"/>
      <c r="K475" s="849"/>
      <c r="L475" s="850"/>
    </row>
    <row r="476" spans="2:12" ht="28.5" customHeight="1">
      <c r="B476" s="837" t="s">
        <v>128</v>
      </c>
      <c r="C476" s="838"/>
      <c r="D476" s="838"/>
      <c r="E476" s="838"/>
      <c r="F476" s="838"/>
      <c r="G476" s="838"/>
      <c r="H476" s="839">
        <f>'04-22Master'!D10</f>
        <v>44652</v>
      </c>
      <c r="I476" s="840"/>
      <c r="J476" s="840"/>
      <c r="K476" s="840"/>
      <c r="L476" s="841"/>
    </row>
    <row r="477" spans="2:12" ht="26.25" customHeight="1">
      <c r="B477" s="837" t="s">
        <v>129</v>
      </c>
      <c r="C477" s="838"/>
      <c r="D477" s="838"/>
      <c r="E477" s="838"/>
      <c r="F477" s="838"/>
      <c r="G477" s="838"/>
      <c r="H477" s="840" t="s">
        <v>130</v>
      </c>
      <c r="I477" s="840"/>
      <c r="J477" s="840"/>
      <c r="K477" s="840"/>
      <c r="L477" s="841"/>
    </row>
    <row r="478" spans="2:12" ht="27.75" customHeight="1">
      <c r="B478" s="430" t="s">
        <v>131</v>
      </c>
      <c r="C478" s="307"/>
      <c r="D478" s="307"/>
      <c r="E478" s="307"/>
      <c r="F478" s="307"/>
      <c r="G478" s="427"/>
      <c r="H478" s="308"/>
      <c r="I478" s="614"/>
      <c r="J478" s="310">
        <f>'04-22Master'!Q25</f>
        <v>0</v>
      </c>
      <c r="K478" s="614"/>
      <c r="L478" s="616"/>
    </row>
    <row r="479" spans="2:12" ht="23.25" customHeight="1">
      <c r="B479" s="430" t="s">
        <v>132</v>
      </c>
      <c r="C479" s="307"/>
      <c r="D479" s="307"/>
      <c r="E479" s="307"/>
      <c r="F479" s="307"/>
      <c r="G479" s="427"/>
      <c r="H479" s="308"/>
      <c r="I479" s="614"/>
      <c r="J479" s="614" t="s">
        <v>37</v>
      </c>
      <c r="K479" s="614"/>
      <c r="L479" s="616"/>
    </row>
    <row r="480" spans="2:12" ht="22.5" customHeight="1">
      <c r="B480" s="430" t="s">
        <v>133</v>
      </c>
      <c r="C480" s="307"/>
      <c r="D480" s="307"/>
      <c r="E480" s="307"/>
      <c r="F480" s="307"/>
      <c r="G480" s="427"/>
      <c r="H480" s="308"/>
      <c r="I480" s="614"/>
      <c r="J480" s="310">
        <v>0</v>
      </c>
      <c r="K480" s="614"/>
      <c r="L480" s="616"/>
    </row>
    <row r="481" spans="2:12" ht="23.25" customHeight="1">
      <c r="B481" s="430" t="s">
        <v>134</v>
      </c>
      <c r="C481" s="307"/>
      <c r="D481" s="307"/>
      <c r="E481" s="307"/>
      <c r="F481" s="307"/>
      <c r="G481" s="427"/>
      <c r="H481" s="308"/>
      <c r="I481" s="614"/>
      <c r="J481" s="614">
        <v>0</v>
      </c>
      <c r="K481" s="614"/>
      <c r="L481" s="616"/>
    </row>
    <row r="482" spans="2:12" ht="21.75" customHeight="1">
      <c r="B482" s="430" t="s">
        <v>135</v>
      </c>
      <c r="C482" s="307"/>
      <c r="D482" s="307"/>
      <c r="E482" s="307"/>
      <c r="F482" s="307"/>
      <c r="G482" s="427"/>
      <c r="H482" s="308"/>
      <c r="I482" s="614"/>
      <c r="J482" s="310">
        <f>'04-22Master'!AG25</f>
        <v>0</v>
      </c>
      <c r="K482" s="614"/>
      <c r="L482" s="616" t="s">
        <v>35</v>
      </c>
    </row>
    <row r="483" spans="2:12" ht="23.25" customHeight="1">
      <c r="B483" s="430" t="s">
        <v>136</v>
      </c>
      <c r="C483" s="307"/>
      <c r="D483" s="613" t="s">
        <v>32</v>
      </c>
      <c r="E483" s="615">
        <f>'04-22Master'!AI25</f>
        <v>0</v>
      </c>
      <c r="F483" s="613" t="s">
        <v>31</v>
      </c>
      <c r="G483" s="615">
        <f>'04-22Master'!AH78</f>
        <v>0</v>
      </c>
      <c r="H483" s="613" t="s">
        <v>33</v>
      </c>
      <c r="I483" s="615">
        <f>'04-22Master'!AJ25</f>
        <v>0</v>
      </c>
      <c r="J483" s="613" t="s">
        <v>34</v>
      </c>
      <c r="K483" s="615">
        <f>'04-22Master'!AK78</f>
        <v>0</v>
      </c>
      <c r="L483" s="113">
        <f>'04-22Master'!AL78</f>
        <v>0</v>
      </c>
    </row>
    <row r="484" spans="2:12" ht="28.5" customHeight="1">
      <c r="B484" s="430" t="s">
        <v>137</v>
      </c>
      <c r="C484" s="307"/>
      <c r="D484" s="307"/>
      <c r="E484" s="307"/>
      <c r="F484" s="307"/>
      <c r="G484" s="427"/>
      <c r="H484" s="308"/>
      <c r="I484" s="614"/>
      <c r="J484" s="310">
        <f>J482-(E483+G483+I483+K483+L483)</f>
        <v>0</v>
      </c>
      <c r="K484" s="614"/>
      <c r="L484" s="616"/>
    </row>
    <row r="485" spans="2:12">
      <c r="B485" s="431" t="s">
        <v>138</v>
      </c>
      <c r="C485" s="104"/>
      <c r="D485" s="104"/>
      <c r="E485" s="104"/>
      <c r="F485" s="104"/>
      <c r="G485" s="105"/>
      <c r="H485" s="106"/>
      <c r="I485" s="107"/>
      <c r="J485" s="107"/>
      <c r="K485" s="107"/>
      <c r="L485" s="108"/>
    </row>
    <row r="486" spans="2:12">
      <c r="B486" s="432" t="s">
        <v>139</v>
      </c>
      <c r="C486" s="109"/>
      <c r="D486" s="109"/>
      <c r="E486" s="109"/>
      <c r="F486" s="109"/>
      <c r="G486" s="110"/>
      <c r="H486" s="77"/>
      <c r="I486" s="23"/>
      <c r="J486" s="23"/>
      <c r="K486" s="23"/>
      <c r="L486" s="111"/>
    </row>
    <row r="487" spans="2:12">
      <c r="B487" s="19"/>
      <c r="C487" s="305"/>
      <c r="D487" s="305"/>
      <c r="E487" s="305"/>
      <c r="F487" s="305"/>
      <c r="G487" s="305"/>
      <c r="H487" s="305"/>
      <c r="I487" s="305"/>
      <c r="J487" s="305"/>
      <c r="K487" s="305"/>
      <c r="L487" s="20"/>
    </row>
    <row r="488" spans="2:12" ht="15.75" thickBot="1">
      <c r="B488" s="31"/>
      <c r="C488" s="29"/>
      <c r="D488" s="29"/>
      <c r="E488" s="29"/>
      <c r="F488" s="29"/>
      <c r="G488" s="29"/>
      <c r="H488" s="29"/>
      <c r="I488" s="29"/>
      <c r="J488" s="29"/>
      <c r="K488" s="29"/>
      <c r="L488" s="30"/>
    </row>
    <row r="489" spans="2:12">
      <c r="B489" s="467"/>
      <c r="C489" s="467"/>
      <c r="D489" s="467"/>
      <c r="E489" s="467"/>
      <c r="F489" s="467"/>
      <c r="G489" s="467"/>
      <c r="H489" s="467"/>
      <c r="I489" s="467"/>
      <c r="J489" s="467"/>
      <c r="K489" s="467"/>
      <c r="L489" s="467"/>
    </row>
    <row r="490" spans="2:12">
      <c r="B490" s="467"/>
      <c r="C490" s="467"/>
      <c r="D490" s="467"/>
      <c r="E490" s="467"/>
      <c r="F490" s="467"/>
      <c r="G490" s="467"/>
      <c r="H490" s="467"/>
      <c r="I490" s="467"/>
      <c r="J490" s="467"/>
      <c r="K490" s="467"/>
      <c r="L490" s="467"/>
    </row>
    <row r="491" spans="2:12">
      <c r="B491" s="467"/>
      <c r="C491" s="467"/>
      <c r="D491" s="467"/>
      <c r="E491" s="467"/>
      <c r="F491" s="467"/>
      <c r="G491" s="467"/>
      <c r="H491" s="467"/>
      <c r="I491" s="467"/>
      <c r="J491" s="467"/>
      <c r="K491" s="467"/>
      <c r="L491" s="467"/>
    </row>
    <row r="492" spans="2:12">
      <c r="B492" s="467"/>
      <c r="C492" s="467"/>
      <c r="D492" s="467"/>
      <c r="E492" s="467"/>
      <c r="F492" s="467"/>
      <c r="G492" s="467"/>
      <c r="H492" s="467"/>
      <c r="I492" s="467"/>
      <c r="J492" s="467"/>
      <c r="K492" s="467"/>
      <c r="L492" s="467"/>
    </row>
    <row r="493" spans="2:12">
      <c r="B493" s="467"/>
      <c r="C493" s="467"/>
      <c r="D493" s="467"/>
      <c r="E493" s="467"/>
      <c r="F493" s="467"/>
      <c r="G493" s="467"/>
      <c r="H493" s="467"/>
      <c r="I493" s="467"/>
      <c r="J493" s="467"/>
      <c r="K493" s="467"/>
      <c r="L493" s="467"/>
    </row>
    <row r="494" spans="2:12">
      <c r="B494" s="467"/>
      <c r="C494" s="467"/>
      <c r="D494" s="467"/>
      <c r="E494" s="467"/>
      <c r="F494" s="467"/>
      <c r="G494" s="467"/>
      <c r="H494" s="467"/>
      <c r="I494" s="467"/>
      <c r="J494" s="467"/>
      <c r="K494" s="467"/>
      <c r="L494" s="467"/>
    </row>
    <row r="495" spans="2:12">
      <c r="B495" s="467"/>
      <c r="C495" s="467"/>
      <c r="D495" s="467"/>
      <c r="E495" s="467"/>
      <c r="F495" s="467"/>
      <c r="G495" s="467"/>
      <c r="H495" s="467"/>
      <c r="I495" s="467"/>
      <c r="J495" s="467"/>
      <c r="K495" s="467"/>
      <c r="L495" s="467"/>
    </row>
    <row r="497" spans="2:12" ht="15.75" thickBot="1"/>
    <row r="498" spans="2:12" ht="32.25">
      <c r="B498" s="853" t="s">
        <v>114</v>
      </c>
      <c r="C498" s="854"/>
      <c r="D498" s="854"/>
      <c r="E498" s="854"/>
      <c r="F498" s="854"/>
      <c r="G498" s="854"/>
      <c r="H498" s="854"/>
      <c r="I498" s="854"/>
      <c r="J498" s="854"/>
      <c r="K498" s="854"/>
      <c r="L498" s="855"/>
    </row>
    <row r="499" spans="2:12" ht="23.25">
      <c r="B499" s="856" t="s">
        <v>115</v>
      </c>
      <c r="C499" s="857"/>
      <c r="D499" s="857"/>
      <c r="E499" s="857"/>
      <c r="F499" s="857"/>
      <c r="G499" s="857"/>
      <c r="H499" s="857"/>
      <c r="I499" s="857"/>
      <c r="J499" s="857"/>
      <c r="K499" s="857"/>
      <c r="L499" s="858"/>
    </row>
    <row r="500" spans="2:12" ht="16.5" thickBot="1">
      <c r="B500" s="859" t="s">
        <v>116</v>
      </c>
      <c r="C500" s="860"/>
      <c r="D500" s="860"/>
      <c r="E500" s="860"/>
      <c r="F500" s="860"/>
      <c r="G500" s="860"/>
      <c r="H500" s="860"/>
      <c r="I500" s="860"/>
      <c r="J500" s="860"/>
      <c r="K500" s="860"/>
      <c r="L500" s="861"/>
    </row>
    <row r="501" spans="2:12">
      <c r="B501" s="862" t="s">
        <v>117</v>
      </c>
      <c r="C501" s="863"/>
      <c r="D501" s="863"/>
      <c r="E501" s="863"/>
      <c r="F501" s="863"/>
      <c r="G501" s="305"/>
      <c r="H501" s="866" t="s">
        <v>118</v>
      </c>
      <c r="I501" s="866"/>
      <c r="J501" s="866"/>
      <c r="K501" s="866"/>
      <c r="L501" s="867"/>
    </row>
    <row r="502" spans="2:12" ht="15.75" thickBot="1">
      <c r="B502" s="864"/>
      <c r="C502" s="865"/>
      <c r="D502" s="865"/>
      <c r="E502" s="865"/>
      <c r="F502" s="865"/>
      <c r="G502" s="305"/>
      <c r="H502" s="868"/>
      <c r="I502" s="868"/>
      <c r="J502" s="868"/>
      <c r="K502" s="868"/>
      <c r="L502" s="869"/>
    </row>
    <row r="503" spans="2:12">
      <c r="B503" s="81"/>
      <c r="C503" s="82"/>
      <c r="D503" s="82"/>
      <c r="E503" s="82"/>
      <c r="F503" s="83"/>
      <c r="G503" s="305"/>
      <c r="H503" s="81"/>
      <c r="I503" s="82"/>
      <c r="J503" s="82"/>
      <c r="K503" s="82"/>
      <c r="L503" s="83"/>
    </row>
    <row r="504" spans="2:12">
      <c r="B504" s="84" t="str">
        <f>'04-22Master'!F5</f>
        <v>Burgeon IT Services Pvt.Ltd.</v>
      </c>
      <c r="C504" s="305"/>
      <c r="D504" s="305"/>
      <c r="E504" s="305"/>
      <c r="F504" s="20"/>
      <c r="G504" s="305"/>
      <c r="H504" s="84" t="str">
        <f>'04-22Master'!AJ5</f>
        <v>Burgeon IT Services Pvt.Ltd.</v>
      </c>
      <c r="I504" s="305"/>
      <c r="J504" s="305"/>
      <c r="K504" s="305"/>
      <c r="L504" s="20"/>
    </row>
    <row r="505" spans="2:12">
      <c r="B505" s="19"/>
      <c r="C505" s="305"/>
      <c r="D505" s="305"/>
      <c r="E505" s="305"/>
      <c r="F505" s="20"/>
      <c r="G505" s="305"/>
      <c r="H505" s="19"/>
      <c r="I505" s="305"/>
      <c r="J505" s="305"/>
      <c r="K505" s="305"/>
      <c r="L505" s="20"/>
    </row>
    <row r="506" spans="2:12">
      <c r="B506" s="84" t="str">
        <f>'04-22Master'!F6</f>
        <v>Siri Mansion LIGB 436 Dr.A S Rao Nagar,Hyderabad</v>
      </c>
      <c r="C506" s="305"/>
      <c r="D506" s="305"/>
      <c r="E506" s="305"/>
      <c r="F506" s="20"/>
      <c r="G506" s="305"/>
      <c r="H506" s="84" t="str">
        <f>'04-22Master'!AJ6</f>
        <v>Siri Mansion LIGB 436 Dr.A S Rao Nagar,Hyderabad</v>
      </c>
      <c r="I506" s="305"/>
      <c r="J506" s="305"/>
      <c r="K506" s="305"/>
      <c r="L506" s="20"/>
    </row>
    <row r="507" spans="2:12" ht="15.75" thickBot="1">
      <c r="B507" s="31"/>
      <c r="C507" s="29"/>
      <c r="D507" s="29"/>
      <c r="E507" s="29"/>
      <c r="F507" s="30"/>
      <c r="G507" s="305"/>
      <c r="H507" s="31"/>
      <c r="I507" s="29"/>
      <c r="J507" s="29"/>
      <c r="K507" s="29"/>
      <c r="L507" s="30"/>
    </row>
    <row r="508" spans="2:12">
      <c r="B508" s="19"/>
      <c r="C508" s="305"/>
      <c r="D508" s="305"/>
      <c r="E508" s="305"/>
      <c r="F508" s="305"/>
      <c r="G508" s="305"/>
      <c r="H508" s="305"/>
      <c r="I508" s="305"/>
      <c r="J508" s="305" t="s">
        <v>119</v>
      </c>
      <c r="K508" s="305"/>
      <c r="L508" s="20"/>
    </row>
    <row r="509" spans="2:12">
      <c r="B509" s="796" t="s">
        <v>120</v>
      </c>
      <c r="C509" s="797"/>
      <c r="D509" s="797"/>
      <c r="E509" s="797"/>
      <c r="F509" s="797"/>
      <c r="G509" s="305"/>
      <c r="H509" s="797" t="s">
        <v>4</v>
      </c>
      <c r="I509" s="797"/>
      <c r="J509" s="797"/>
      <c r="K509" s="797"/>
      <c r="L509" s="870"/>
    </row>
    <row r="510" spans="2:12" ht="15.75" thickBot="1">
      <c r="B510" s="19"/>
      <c r="C510" s="305"/>
      <c r="D510" s="305"/>
      <c r="E510" s="305"/>
      <c r="F510" s="305"/>
      <c r="G510" s="305"/>
      <c r="H510" s="305"/>
      <c r="I510" s="305"/>
      <c r="J510" s="305"/>
      <c r="K510" s="305"/>
      <c r="L510" s="20"/>
    </row>
    <row r="511" spans="2:12">
      <c r="B511" s="81"/>
      <c r="C511" s="82"/>
      <c r="D511" s="82"/>
      <c r="E511" s="82"/>
      <c r="F511" s="83"/>
      <c r="G511" s="305"/>
      <c r="H511" s="85"/>
      <c r="I511" s="86"/>
      <c r="J511" s="86"/>
      <c r="K511" s="86"/>
      <c r="L511" s="87"/>
    </row>
    <row r="512" spans="2:12">
      <c r="B512" s="19"/>
      <c r="C512" s="305"/>
      <c r="D512" s="305"/>
      <c r="E512" s="305"/>
      <c r="F512" s="20"/>
      <c r="G512" s="305"/>
      <c r="H512" s="84" t="str">
        <f>'04-22Master'!AJ10</f>
        <v xml:space="preserve">INFOSYS  LTD.IL Hyderabad SEZ Unit-3 </v>
      </c>
      <c r="I512" s="306"/>
      <c r="J512" s="306"/>
      <c r="K512" s="306"/>
      <c r="L512" s="88"/>
    </row>
    <row r="513" spans="2:12">
      <c r="B513" s="84" t="str">
        <f>'04-22Master'!F8</f>
        <v>IT SUPPORTIVE SERVICES</v>
      </c>
      <c r="C513" s="305"/>
      <c r="D513" s="305"/>
      <c r="E513" s="305"/>
      <c r="F513" s="20"/>
      <c r="G513" s="305"/>
      <c r="H513" s="84"/>
      <c r="I513" s="306"/>
      <c r="J513" s="306"/>
      <c r="K513" s="306"/>
      <c r="L513" s="88"/>
    </row>
    <row r="514" spans="2:12">
      <c r="B514" s="19"/>
      <c r="C514" s="305"/>
      <c r="D514" s="305"/>
      <c r="E514" s="305"/>
      <c r="F514" s="20"/>
      <c r="G514" s="305"/>
      <c r="H514" s="84" t="str">
        <f>'04-22Master'!AJ11</f>
        <v>Sy.No 42,Pocharam Village,Gatkesar Mandal</v>
      </c>
      <c r="I514" s="306"/>
      <c r="J514" s="306"/>
      <c r="K514" s="306"/>
      <c r="L514" s="88"/>
    </row>
    <row r="515" spans="2:12" ht="15.75" thickBot="1">
      <c r="B515" s="31"/>
      <c r="C515" s="29"/>
      <c r="D515" s="29"/>
      <c r="E515" s="29"/>
      <c r="F515" s="30"/>
      <c r="G515" s="305"/>
      <c r="H515" s="84"/>
      <c r="I515" s="306"/>
      <c r="J515" s="306"/>
      <c r="K515" s="306"/>
      <c r="L515" s="88"/>
    </row>
    <row r="516" spans="2:12" ht="27.75" customHeight="1">
      <c r="B516" s="837" t="s">
        <v>121</v>
      </c>
      <c r="C516" s="838"/>
      <c r="D516" s="838"/>
      <c r="E516" s="838"/>
      <c r="F516" s="838"/>
      <c r="G516" s="842"/>
      <c r="H516" s="843">
        <f>'04-22Master'!B26</f>
        <v>0</v>
      </c>
      <c r="I516" s="840"/>
      <c r="J516" s="840"/>
      <c r="K516" s="840"/>
      <c r="L516" s="840"/>
    </row>
    <row r="517" spans="2:12" s="467" customFormat="1" ht="27.75" customHeight="1">
      <c r="B517" s="837"/>
      <c r="C517" s="838"/>
      <c r="D517" s="838"/>
      <c r="E517" s="838"/>
      <c r="F517" s="838"/>
      <c r="G517" s="842"/>
      <c r="H517" s="843">
        <f>'04-22Master'!G26</f>
        <v>0</v>
      </c>
      <c r="I517" s="840"/>
      <c r="J517" s="840"/>
      <c r="K517" s="840"/>
      <c r="L517" s="840"/>
    </row>
    <row r="518" spans="2:12" s="467" customFormat="1" ht="27.75" customHeight="1">
      <c r="B518" s="837" t="s">
        <v>122</v>
      </c>
      <c r="C518" s="838"/>
      <c r="D518" s="838"/>
      <c r="E518" s="838"/>
      <c r="F518" s="838"/>
      <c r="G518" s="842"/>
      <c r="H518" s="843">
        <f>'04-22Master'!A25</f>
        <v>0</v>
      </c>
      <c r="I518" s="840"/>
      <c r="J518" s="840"/>
      <c r="K518" s="840"/>
      <c r="L518" s="840"/>
    </row>
    <row r="519" spans="2:12" s="467" customFormat="1" ht="27.75" customHeight="1">
      <c r="B519" s="837" t="s">
        <v>123</v>
      </c>
      <c r="C519" s="838"/>
      <c r="D519" s="838"/>
      <c r="E519" s="838"/>
      <c r="F519" s="838"/>
      <c r="G519" s="842"/>
      <c r="H519" s="843">
        <f>'04-22Master'!F26</f>
        <v>0</v>
      </c>
      <c r="I519" s="840"/>
      <c r="J519" s="840"/>
      <c r="K519" s="840"/>
      <c r="L519" s="840"/>
    </row>
    <row r="520" spans="2:12" s="467" customFormat="1" ht="27.75" customHeight="1">
      <c r="B520" s="837" t="s">
        <v>124</v>
      </c>
      <c r="C520" s="838"/>
      <c r="D520" s="838"/>
      <c r="E520" s="838"/>
      <c r="F520" s="838"/>
      <c r="G520" s="842"/>
      <c r="H520" s="843">
        <f>'04-22Master'!I26</f>
        <v>0</v>
      </c>
      <c r="I520" s="840"/>
      <c r="J520" s="840"/>
      <c r="K520" s="840"/>
      <c r="L520" s="840"/>
    </row>
    <row r="521" spans="2:12" s="467" customFormat="1" ht="27.75" customHeight="1">
      <c r="B521" s="837" t="s">
        <v>125</v>
      </c>
      <c r="C521" s="838"/>
      <c r="D521" s="838"/>
      <c r="E521" s="838"/>
      <c r="F521" s="838"/>
      <c r="G521" s="842"/>
      <c r="H521" s="843">
        <f>'04-22Master'!O26</f>
        <v>0</v>
      </c>
      <c r="I521" s="840"/>
      <c r="J521" s="840">
        <f>'04-22Master'!O126</f>
        <v>0</v>
      </c>
      <c r="K521" s="840"/>
      <c r="L521" s="840"/>
    </row>
    <row r="522" spans="2:12" s="467" customFormat="1" ht="27.75" customHeight="1">
      <c r="B522" s="837" t="s">
        <v>126</v>
      </c>
      <c r="C522" s="838"/>
      <c r="D522" s="838"/>
      <c r="E522" s="838"/>
      <c r="F522" s="838"/>
      <c r="G522" s="842"/>
      <c r="H522" s="843">
        <f>'04-22Master'!N26</f>
        <v>0</v>
      </c>
      <c r="I522" s="840"/>
      <c r="J522" s="840">
        <f>'04-22Master'!N126</f>
        <v>0</v>
      </c>
      <c r="K522" s="840"/>
      <c r="L522" s="840"/>
    </row>
    <row r="523" spans="2:12" s="467" customFormat="1" ht="27.75" customHeight="1">
      <c r="B523" s="837" t="s">
        <v>127</v>
      </c>
      <c r="C523" s="838"/>
      <c r="D523" s="838"/>
      <c r="E523" s="838"/>
      <c r="F523" s="838"/>
      <c r="G523" s="842"/>
      <c r="H523" s="843">
        <f>'04-22Master'!S26</f>
        <v>0</v>
      </c>
      <c r="I523" s="840"/>
      <c r="J523" s="840"/>
      <c r="K523" s="840"/>
      <c r="L523" s="840"/>
    </row>
    <row r="524" spans="2:12" s="467" customFormat="1" ht="27.75" customHeight="1">
      <c r="B524" s="837" t="s">
        <v>128</v>
      </c>
      <c r="C524" s="838"/>
      <c r="D524" s="838"/>
      <c r="E524" s="838"/>
      <c r="F524" s="838"/>
      <c r="G524" s="842"/>
      <c r="H524" s="873">
        <f>'04-22Master'!D10</f>
        <v>44652</v>
      </c>
      <c r="I524" s="873"/>
      <c r="J524" s="873"/>
      <c r="K524" s="873"/>
      <c r="L524" s="873"/>
    </row>
    <row r="525" spans="2:12" ht="30.75" customHeight="1">
      <c r="B525" s="837" t="s">
        <v>129</v>
      </c>
      <c r="C525" s="838"/>
      <c r="D525" s="838"/>
      <c r="E525" s="838"/>
      <c r="F525" s="838"/>
      <c r="G525" s="838"/>
      <c r="H525" s="840" t="s">
        <v>130</v>
      </c>
      <c r="I525" s="840"/>
      <c r="J525" s="840"/>
      <c r="K525" s="840"/>
      <c r="L525" s="841"/>
    </row>
    <row r="526" spans="2:12" ht="32.25" customHeight="1">
      <c r="B526" s="430" t="s">
        <v>131</v>
      </c>
      <c r="C526" s="307"/>
      <c r="D526" s="307"/>
      <c r="E526" s="307"/>
      <c r="F526" s="307"/>
      <c r="G526" s="427"/>
      <c r="H526" s="308"/>
      <c r="I526" s="614"/>
      <c r="J526" s="310">
        <f>'04-22Master'!Q26</f>
        <v>0</v>
      </c>
      <c r="K526" s="614"/>
      <c r="L526" s="616"/>
    </row>
    <row r="527" spans="2:12" ht="27.75" customHeight="1">
      <c r="B527" s="430" t="s">
        <v>132</v>
      </c>
      <c r="C527" s="307"/>
      <c r="D527" s="307"/>
      <c r="E527" s="307"/>
      <c r="F527" s="307"/>
      <c r="G527" s="427"/>
      <c r="H527" s="308"/>
      <c r="I527" s="614"/>
      <c r="J527" s="614" t="s">
        <v>37</v>
      </c>
      <c r="K527" s="614"/>
      <c r="L527" s="616"/>
    </row>
    <row r="528" spans="2:12" ht="29.25" customHeight="1">
      <c r="B528" s="430" t="s">
        <v>133</v>
      </c>
      <c r="C528" s="307"/>
      <c r="D528" s="307"/>
      <c r="E528" s="307"/>
      <c r="F528" s="307"/>
      <c r="G528" s="427"/>
      <c r="H528" s="308"/>
      <c r="I528" s="614"/>
      <c r="J528" s="310">
        <v>0</v>
      </c>
      <c r="K528" s="614"/>
      <c r="L528" s="616"/>
    </row>
    <row r="529" spans="2:12" ht="27.75" customHeight="1">
      <c r="B529" s="430" t="s">
        <v>134</v>
      </c>
      <c r="C529" s="307"/>
      <c r="D529" s="307"/>
      <c r="E529" s="307"/>
      <c r="F529" s="307"/>
      <c r="G529" s="427"/>
      <c r="H529" s="308"/>
      <c r="I529" s="614"/>
      <c r="J529" s="614">
        <v>0</v>
      </c>
      <c r="K529" s="614"/>
      <c r="L529" s="616"/>
    </row>
    <row r="530" spans="2:12" ht="27.75" customHeight="1">
      <c r="B530" s="430" t="s">
        <v>135</v>
      </c>
      <c r="C530" s="307"/>
      <c r="D530" s="307"/>
      <c r="E530" s="307"/>
      <c r="F530" s="307"/>
      <c r="G530" s="427"/>
      <c r="H530" s="308"/>
      <c r="I530" s="614"/>
      <c r="J530" s="310">
        <f>'04-22Master'!AG26</f>
        <v>0</v>
      </c>
      <c r="K530" s="614"/>
      <c r="L530" s="616" t="s">
        <v>35</v>
      </c>
    </row>
    <row r="531" spans="2:12" ht="27.75" customHeight="1">
      <c r="B531" s="430" t="s">
        <v>136</v>
      </c>
      <c r="C531" s="307"/>
      <c r="D531" s="613" t="s">
        <v>32</v>
      </c>
      <c r="E531" s="615">
        <f>'04-22Master'!AI26</f>
        <v>0</v>
      </c>
      <c r="F531" s="613" t="s">
        <v>31</v>
      </c>
      <c r="G531" s="615">
        <f>'04-22Master'!AH126</f>
        <v>0</v>
      </c>
      <c r="H531" s="613" t="s">
        <v>33</v>
      </c>
      <c r="I531" s="615">
        <f>'04-22Master'!AJ26</f>
        <v>0</v>
      </c>
      <c r="J531" s="613" t="s">
        <v>34</v>
      </c>
      <c r="K531" s="615">
        <f>'04-22Master'!AK126</f>
        <v>0</v>
      </c>
      <c r="L531" s="113">
        <f>'04-22Master'!AL126</f>
        <v>0</v>
      </c>
    </row>
    <row r="532" spans="2:12" ht="30" customHeight="1">
      <c r="B532" s="430" t="s">
        <v>137</v>
      </c>
      <c r="C532" s="307"/>
      <c r="D532" s="307"/>
      <c r="E532" s="307"/>
      <c r="F532" s="307"/>
      <c r="G532" s="427"/>
      <c r="H532" s="308"/>
      <c r="I532" s="614"/>
      <c r="J532" s="310">
        <f>J530-(E531+G531+I531+K531+L531)</f>
        <v>0</v>
      </c>
      <c r="K532" s="614"/>
      <c r="L532" s="616"/>
    </row>
    <row r="533" spans="2:12">
      <c r="B533" s="431" t="s">
        <v>138</v>
      </c>
      <c r="C533" s="104"/>
      <c r="D533" s="104"/>
      <c r="E533" s="104"/>
      <c r="F533" s="104"/>
      <c r="G533" s="105"/>
      <c r="H533" s="106"/>
      <c r="I533" s="107"/>
      <c r="J533" s="107"/>
      <c r="K533" s="107"/>
      <c r="L533" s="108"/>
    </row>
    <row r="534" spans="2:12">
      <c r="B534" s="432" t="s">
        <v>139</v>
      </c>
      <c r="C534" s="109"/>
      <c r="D534" s="109"/>
      <c r="E534" s="109"/>
      <c r="F534" s="109"/>
      <c r="G534" s="110"/>
      <c r="H534" s="77"/>
      <c r="I534" s="23"/>
      <c r="J534" s="23"/>
      <c r="K534" s="23"/>
      <c r="L534" s="111"/>
    </row>
    <row r="535" spans="2:12">
      <c r="B535" s="19"/>
      <c r="C535" s="305"/>
      <c r="D535" s="305"/>
      <c r="E535" s="305"/>
      <c r="F535" s="305"/>
      <c r="G535" s="305"/>
      <c r="H535" s="305"/>
      <c r="I535" s="305"/>
      <c r="J535" s="305"/>
      <c r="K535" s="305"/>
      <c r="L535" s="20"/>
    </row>
    <row r="536" spans="2:12" ht="15.75" thickBot="1">
      <c r="B536" s="31"/>
      <c r="C536" s="29"/>
      <c r="D536" s="29"/>
      <c r="E536" s="29"/>
      <c r="F536" s="29"/>
      <c r="G536" s="29"/>
      <c r="H536" s="29"/>
      <c r="I536" s="29"/>
      <c r="J536" s="29"/>
      <c r="K536" s="29"/>
      <c r="L536" s="30"/>
    </row>
    <row r="537" spans="2:12">
      <c r="B537" s="467"/>
      <c r="C537" s="467"/>
      <c r="D537" s="467"/>
      <c r="E537" s="467"/>
      <c r="F537" s="467"/>
      <c r="G537" s="467"/>
      <c r="H537" s="467"/>
      <c r="I537" s="467"/>
      <c r="J537" s="467"/>
      <c r="K537" s="467"/>
      <c r="L537" s="467"/>
    </row>
    <row r="538" spans="2:12">
      <c r="B538" s="467"/>
      <c r="C538" s="467"/>
      <c r="D538" s="467"/>
      <c r="E538" s="467"/>
      <c r="F538" s="467"/>
      <c r="G538" s="467"/>
      <c r="H538" s="467"/>
      <c r="I538" s="467"/>
      <c r="J538" s="467"/>
      <c r="K538" s="467"/>
      <c r="L538" s="467"/>
    </row>
    <row r="539" spans="2:12">
      <c r="B539" s="467"/>
      <c r="C539" s="467"/>
      <c r="D539" s="467"/>
      <c r="E539" s="467"/>
      <c r="F539" s="467"/>
      <c r="G539" s="467"/>
      <c r="H539" s="467"/>
      <c r="I539" s="467"/>
      <c r="J539" s="467"/>
      <c r="K539" s="467"/>
      <c r="L539" s="467"/>
    </row>
    <row r="540" spans="2:12">
      <c r="B540" s="467"/>
      <c r="C540" s="467"/>
      <c r="D540" s="467"/>
      <c r="E540" s="467"/>
      <c r="F540" s="467"/>
      <c r="G540" s="467"/>
      <c r="H540" s="467"/>
      <c r="I540" s="467"/>
      <c r="J540" s="467"/>
      <c r="K540" s="467"/>
      <c r="L540" s="467"/>
    </row>
    <row r="541" spans="2:12">
      <c r="B541" s="467"/>
      <c r="C541" s="467"/>
      <c r="D541" s="467"/>
      <c r="E541" s="467"/>
      <c r="F541" s="467"/>
      <c r="G541" s="467"/>
      <c r="H541" s="467"/>
      <c r="I541" s="467"/>
      <c r="J541" s="467"/>
      <c r="K541" s="467"/>
      <c r="L541" s="467"/>
    </row>
    <row r="542" spans="2:12">
      <c r="B542" s="467"/>
      <c r="C542" s="467"/>
      <c r="D542" s="467"/>
      <c r="E542" s="467"/>
      <c r="F542" s="467"/>
      <c r="G542" s="467"/>
      <c r="H542" s="467"/>
      <c r="I542" s="467"/>
      <c r="J542" s="467"/>
      <c r="K542" s="467"/>
      <c r="L542" s="467"/>
    </row>
    <row r="543" spans="2:12">
      <c r="B543" s="467"/>
      <c r="C543" s="467"/>
      <c r="D543" s="467"/>
      <c r="E543" s="467"/>
      <c r="F543" s="467"/>
      <c r="G543" s="467"/>
      <c r="H543" s="467"/>
      <c r="I543" s="467"/>
      <c r="J543" s="467"/>
      <c r="K543" s="467"/>
      <c r="L543" s="467"/>
    </row>
    <row r="545" spans="2:12" ht="15.75" thickBot="1"/>
    <row r="546" spans="2:12" ht="32.25">
      <c r="B546" s="853" t="s">
        <v>114</v>
      </c>
      <c r="C546" s="854"/>
      <c r="D546" s="854"/>
      <c r="E546" s="854"/>
      <c r="F546" s="854"/>
      <c r="G546" s="854"/>
      <c r="H546" s="854"/>
      <c r="I546" s="854"/>
      <c r="J546" s="854"/>
      <c r="K546" s="854"/>
      <c r="L546" s="855"/>
    </row>
    <row r="547" spans="2:12" ht="23.25">
      <c r="B547" s="856" t="s">
        <v>115</v>
      </c>
      <c r="C547" s="857"/>
      <c r="D547" s="857"/>
      <c r="E547" s="857"/>
      <c r="F547" s="857"/>
      <c r="G547" s="857"/>
      <c r="H547" s="857"/>
      <c r="I547" s="857"/>
      <c r="J547" s="857"/>
      <c r="K547" s="857"/>
      <c r="L547" s="858"/>
    </row>
    <row r="548" spans="2:12" ht="16.5" thickBot="1">
      <c r="B548" s="859" t="s">
        <v>116</v>
      </c>
      <c r="C548" s="860"/>
      <c r="D548" s="860"/>
      <c r="E548" s="860"/>
      <c r="F548" s="860"/>
      <c r="G548" s="860"/>
      <c r="H548" s="860"/>
      <c r="I548" s="860"/>
      <c r="J548" s="860"/>
      <c r="K548" s="860"/>
      <c r="L548" s="861"/>
    </row>
    <row r="549" spans="2:12">
      <c r="B549" s="862" t="s">
        <v>117</v>
      </c>
      <c r="C549" s="863"/>
      <c r="D549" s="863"/>
      <c r="E549" s="863"/>
      <c r="F549" s="863"/>
      <c r="G549" s="305"/>
      <c r="H549" s="866" t="s">
        <v>118</v>
      </c>
      <c r="I549" s="866"/>
      <c r="J549" s="866"/>
      <c r="K549" s="866"/>
      <c r="L549" s="867"/>
    </row>
    <row r="550" spans="2:12" ht="15.75" thickBot="1">
      <c r="B550" s="864"/>
      <c r="C550" s="865"/>
      <c r="D550" s="865"/>
      <c r="E550" s="865"/>
      <c r="F550" s="865"/>
      <c r="G550" s="305"/>
      <c r="H550" s="868"/>
      <c r="I550" s="868"/>
      <c r="J550" s="868"/>
      <c r="K550" s="868"/>
      <c r="L550" s="869"/>
    </row>
    <row r="551" spans="2:12">
      <c r="B551" s="81"/>
      <c r="C551" s="82"/>
      <c r="D551" s="82"/>
      <c r="E551" s="82"/>
      <c r="F551" s="83"/>
      <c r="G551" s="305"/>
      <c r="H551" s="81"/>
      <c r="I551" s="82"/>
      <c r="J551" s="82"/>
      <c r="K551" s="82"/>
      <c r="L551" s="83"/>
    </row>
    <row r="552" spans="2:12">
      <c r="B552" s="84" t="str">
        <f>'04-22Master'!F5</f>
        <v>Burgeon IT Services Pvt.Ltd.</v>
      </c>
      <c r="C552" s="305"/>
      <c r="D552" s="305"/>
      <c r="E552" s="305"/>
      <c r="F552" s="20"/>
      <c r="G552" s="305"/>
      <c r="H552" s="84" t="str">
        <f>'04-22Master'!AJ5</f>
        <v>Burgeon IT Services Pvt.Ltd.</v>
      </c>
      <c r="I552" s="305"/>
      <c r="J552" s="305"/>
      <c r="K552" s="305"/>
      <c r="L552" s="20"/>
    </row>
    <row r="553" spans="2:12">
      <c r="B553" s="19"/>
      <c r="C553" s="305"/>
      <c r="D553" s="305"/>
      <c r="E553" s="305"/>
      <c r="F553" s="20"/>
      <c r="G553" s="305"/>
      <c r="H553" s="19"/>
      <c r="I553" s="305"/>
      <c r="J553" s="305"/>
      <c r="K553" s="305"/>
      <c r="L553" s="20"/>
    </row>
    <row r="554" spans="2:12">
      <c r="B554" s="84" t="str">
        <f>'04-22Master'!F6</f>
        <v>Siri Mansion LIGB 436 Dr.A S Rao Nagar,Hyderabad</v>
      </c>
      <c r="C554" s="305"/>
      <c r="D554" s="305"/>
      <c r="E554" s="305"/>
      <c r="F554" s="20"/>
      <c r="G554" s="305"/>
      <c r="H554" s="84" t="str">
        <f>'04-22Master'!AJ6</f>
        <v>Siri Mansion LIGB 436 Dr.A S Rao Nagar,Hyderabad</v>
      </c>
      <c r="I554" s="305"/>
      <c r="J554" s="305"/>
      <c r="K554" s="305"/>
      <c r="L554" s="20"/>
    </row>
    <row r="555" spans="2:12" ht="15.75" thickBot="1">
      <c r="B555" s="31"/>
      <c r="C555" s="29"/>
      <c r="D555" s="29"/>
      <c r="E555" s="29"/>
      <c r="F555" s="30"/>
      <c r="G555" s="305"/>
      <c r="H555" s="31"/>
      <c r="I555" s="29"/>
      <c r="J555" s="29"/>
      <c r="K555" s="29"/>
      <c r="L555" s="30"/>
    </row>
    <row r="556" spans="2:12">
      <c r="B556" s="19"/>
      <c r="C556" s="305"/>
      <c r="D556" s="305"/>
      <c r="E556" s="305"/>
      <c r="F556" s="305"/>
      <c r="G556" s="305"/>
      <c r="H556" s="305"/>
      <c r="I556" s="305"/>
      <c r="J556" s="305" t="s">
        <v>119</v>
      </c>
      <c r="K556" s="305"/>
      <c r="L556" s="20"/>
    </row>
    <row r="557" spans="2:12">
      <c r="B557" s="796" t="s">
        <v>120</v>
      </c>
      <c r="C557" s="797"/>
      <c r="D557" s="797"/>
      <c r="E557" s="797"/>
      <c r="F557" s="797"/>
      <c r="G557" s="305"/>
      <c r="H557" s="797" t="s">
        <v>4</v>
      </c>
      <c r="I557" s="797"/>
      <c r="J557" s="797"/>
      <c r="K557" s="797"/>
      <c r="L557" s="870"/>
    </row>
    <row r="558" spans="2:12" ht="15.75" thickBot="1">
      <c r="B558" s="19"/>
      <c r="C558" s="305"/>
      <c r="D558" s="305"/>
      <c r="E558" s="305"/>
      <c r="F558" s="305"/>
      <c r="G558" s="305"/>
      <c r="H558" s="305"/>
      <c r="I558" s="305"/>
      <c r="J558" s="305"/>
      <c r="K558" s="305"/>
      <c r="L558" s="20"/>
    </row>
    <row r="559" spans="2:12">
      <c r="B559" s="81"/>
      <c r="C559" s="82"/>
      <c r="D559" s="82"/>
      <c r="E559" s="82"/>
      <c r="F559" s="83"/>
      <c r="G559" s="305"/>
      <c r="H559" s="85"/>
      <c r="I559" s="86"/>
      <c r="J559" s="86"/>
      <c r="K559" s="86"/>
      <c r="L559" s="87"/>
    </row>
    <row r="560" spans="2:12">
      <c r="B560" s="19"/>
      <c r="C560" s="305"/>
      <c r="D560" s="305"/>
      <c r="E560" s="305"/>
      <c r="F560" s="20"/>
      <c r="G560" s="305"/>
      <c r="H560" s="84" t="str">
        <f>'04-22Master'!AJ10</f>
        <v xml:space="preserve">INFOSYS  LTD.IL Hyderabad SEZ Unit-3 </v>
      </c>
      <c r="I560" s="306"/>
      <c r="J560" s="306"/>
      <c r="K560" s="306"/>
      <c r="L560" s="88"/>
    </row>
    <row r="561" spans="2:12">
      <c r="B561" s="84" t="str">
        <f>'04-22Master'!F8</f>
        <v>IT SUPPORTIVE SERVICES</v>
      </c>
      <c r="C561" s="305"/>
      <c r="D561" s="305"/>
      <c r="E561" s="305"/>
      <c r="F561" s="20"/>
      <c r="G561" s="305"/>
      <c r="H561" s="84"/>
      <c r="I561" s="306"/>
      <c r="J561" s="306"/>
      <c r="K561" s="306"/>
      <c r="L561" s="88"/>
    </row>
    <row r="562" spans="2:12">
      <c r="B562" s="19"/>
      <c r="C562" s="305"/>
      <c r="D562" s="305"/>
      <c r="E562" s="305"/>
      <c r="F562" s="20"/>
      <c r="G562" s="305"/>
      <c r="H562" s="84" t="str">
        <f>'04-22Master'!AJ11</f>
        <v>Sy.No 42,Pocharam Village,Gatkesar Mandal</v>
      </c>
      <c r="I562" s="306"/>
      <c r="J562" s="306"/>
      <c r="K562" s="306"/>
      <c r="L562" s="88"/>
    </row>
    <row r="563" spans="2:12" ht="15.75" thickBot="1">
      <c r="B563" s="31"/>
      <c r="C563" s="29"/>
      <c r="D563" s="29"/>
      <c r="E563" s="29"/>
      <c r="F563" s="30"/>
      <c r="G563" s="305"/>
      <c r="H563" s="84"/>
      <c r="I563" s="306"/>
      <c r="J563" s="306"/>
      <c r="K563" s="306"/>
      <c r="L563" s="88"/>
    </row>
    <row r="564" spans="2:12" ht="34.5" customHeight="1">
      <c r="B564" s="837" t="s">
        <v>121</v>
      </c>
      <c r="C564" s="838"/>
      <c r="D564" s="838"/>
      <c r="E564" s="838"/>
      <c r="F564" s="838"/>
      <c r="G564" s="842"/>
      <c r="H564" s="843">
        <f>'04-22Master'!B27</f>
        <v>0</v>
      </c>
      <c r="I564" s="840"/>
      <c r="J564" s="840"/>
      <c r="K564" s="840"/>
      <c r="L564" s="840"/>
    </row>
    <row r="565" spans="2:12" ht="32.25" customHeight="1">
      <c r="B565" s="844"/>
      <c r="C565" s="845"/>
      <c r="D565" s="845"/>
      <c r="E565" s="845"/>
      <c r="F565" s="845"/>
      <c r="G565" s="845"/>
      <c r="H565" s="846">
        <f>'04-22Master'!G27</f>
        <v>0</v>
      </c>
      <c r="I565" s="846"/>
      <c r="J565" s="846"/>
      <c r="K565" s="846"/>
      <c r="L565" s="846"/>
    </row>
    <row r="566" spans="2:12" ht="31.5" customHeight="1">
      <c r="B566" s="847" t="s">
        <v>122</v>
      </c>
      <c r="C566" s="848"/>
      <c r="D566" s="848"/>
      <c r="E566" s="848"/>
      <c r="F566" s="848"/>
      <c r="G566" s="848"/>
      <c r="H566" s="835">
        <f>'04-22Master'!A27</f>
        <v>0</v>
      </c>
      <c r="I566" s="849"/>
      <c r="J566" s="849"/>
      <c r="K566" s="849"/>
      <c r="L566" s="850"/>
    </row>
    <row r="567" spans="2:12" ht="26.25" customHeight="1">
      <c r="B567" s="837" t="s">
        <v>123</v>
      </c>
      <c r="C567" s="838"/>
      <c r="D567" s="838"/>
      <c r="E567" s="838"/>
      <c r="F567" s="838"/>
      <c r="G567" s="838"/>
      <c r="H567" s="843">
        <f>'04-22Master'!F27</f>
        <v>0</v>
      </c>
      <c r="I567" s="840"/>
      <c r="J567" s="840"/>
      <c r="K567" s="840"/>
      <c r="L567" s="841"/>
    </row>
    <row r="568" spans="2:12" ht="27.75" customHeight="1">
      <c r="B568" s="837" t="s">
        <v>124</v>
      </c>
      <c r="C568" s="838"/>
      <c r="D568" s="838"/>
      <c r="E568" s="838"/>
      <c r="F568" s="838"/>
      <c r="G568" s="838"/>
      <c r="H568" s="851">
        <f>'04-22Master'!I27</f>
        <v>0</v>
      </c>
      <c r="I568" s="876"/>
      <c r="J568" s="876"/>
      <c r="K568" s="876"/>
      <c r="L568" s="877"/>
    </row>
    <row r="569" spans="2:12" ht="26.25" customHeight="1">
      <c r="B569" s="430" t="s">
        <v>125</v>
      </c>
      <c r="C569" s="307"/>
      <c r="D569" s="307"/>
      <c r="E569" s="307"/>
      <c r="F569" s="307"/>
      <c r="G569" s="307"/>
      <c r="H569" s="851">
        <f>'04-22Master'!O27</f>
        <v>0</v>
      </c>
      <c r="I569" s="876"/>
      <c r="J569" s="876">
        <f>'04-22Master'!O174</f>
        <v>0</v>
      </c>
      <c r="K569" s="876"/>
      <c r="L569" s="877"/>
    </row>
    <row r="570" spans="2:12" ht="30.75" customHeight="1">
      <c r="B570" s="430" t="s">
        <v>126</v>
      </c>
      <c r="C570" s="307"/>
      <c r="D570" s="307"/>
      <c r="E570" s="307"/>
      <c r="F570" s="307"/>
      <c r="G570" s="427"/>
      <c r="H570" s="843">
        <f>'04-22Master'!N27</f>
        <v>0</v>
      </c>
      <c r="I570" s="843"/>
      <c r="J570" s="843"/>
      <c r="K570" s="843"/>
      <c r="L570" s="843"/>
    </row>
    <row r="571" spans="2:12" ht="33" customHeight="1">
      <c r="B571" s="833" t="s">
        <v>127</v>
      </c>
      <c r="C571" s="834"/>
      <c r="D571" s="834"/>
      <c r="E571" s="834"/>
      <c r="F571" s="834"/>
      <c r="G571" s="834"/>
      <c r="H571" s="843">
        <f>'04-22Master'!S27</f>
        <v>0</v>
      </c>
      <c r="I571" s="840"/>
      <c r="J571" s="840"/>
      <c r="K571" s="840"/>
      <c r="L571" s="840"/>
    </row>
    <row r="572" spans="2:12" ht="34.5" customHeight="1">
      <c r="B572" s="837" t="s">
        <v>128</v>
      </c>
      <c r="C572" s="838"/>
      <c r="D572" s="838"/>
      <c r="E572" s="838"/>
      <c r="F572" s="838"/>
      <c r="G572" s="838"/>
      <c r="H572" s="839">
        <f>'04-22Master'!D10</f>
        <v>44652</v>
      </c>
      <c r="I572" s="840"/>
      <c r="J572" s="840"/>
      <c r="K572" s="840"/>
      <c r="L572" s="841"/>
    </row>
    <row r="573" spans="2:12" ht="27.75" customHeight="1">
      <c r="B573" s="837" t="s">
        <v>129</v>
      </c>
      <c r="C573" s="838"/>
      <c r="D573" s="838"/>
      <c r="E573" s="838"/>
      <c r="F573" s="838"/>
      <c r="G573" s="838"/>
      <c r="H573" s="840" t="s">
        <v>130</v>
      </c>
      <c r="I573" s="840"/>
      <c r="J573" s="840"/>
      <c r="K573" s="840"/>
      <c r="L573" s="841"/>
    </row>
    <row r="574" spans="2:12" ht="30" customHeight="1">
      <c r="B574" s="430" t="s">
        <v>131</v>
      </c>
      <c r="C574" s="307"/>
      <c r="D574" s="307"/>
      <c r="E574" s="307"/>
      <c r="F574" s="307"/>
      <c r="G574" s="427"/>
      <c r="H574" s="308"/>
      <c r="I574" s="614"/>
      <c r="J574" s="310">
        <f>'04-22Master'!Q27</f>
        <v>0</v>
      </c>
      <c r="K574" s="614"/>
      <c r="L574" s="616"/>
    </row>
    <row r="575" spans="2:12" ht="27.75" customHeight="1">
      <c r="B575" s="430" t="s">
        <v>132</v>
      </c>
      <c r="C575" s="307"/>
      <c r="D575" s="307"/>
      <c r="E575" s="307"/>
      <c r="F575" s="307"/>
      <c r="G575" s="427"/>
      <c r="H575" s="308"/>
      <c r="I575" s="614"/>
      <c r="J575" s="614" t="s">
        <v>37</v>
      </c>
      <c r="K575" s="614"/>
      <c r="L575" s="616"/>
    </row>
    <row r="576" spans="2:12" ht="27.75" customHeight="1">
      <c r="B576" s="430" t="s">
        <v>133</v>
      </c>
      <c r="C576" s="307"/>
      <c r="D576" s="307"/>
      <c r="E576" s="307"/>
      <c r="F576" s="307"/>
      <c r="G576" s="427"/>
      <c r="H576" s="308"/>
      <c r="I576" s="614"/>
      <c r="J576" s="310">
        <v>0</v>
      </c>
      <c r="K576" s="614"/>
      <c r="L576" s="616"/>
    </row>
    <row r="577" spans="2:12" ht="27.75" customHeight="1">
      <c r="B577" s="430" t="s">
        <v>134</v>
      </c>
      <c r="C577" s="307"/>
      <c r="D577" s="307"/>
      <c r="E577" s="307"/>
      <c r="F577" s="307"/>
      <c r="G577" s="427"/>
      <c r="H577" s="308"/>
      <c r="I577" s="614"/>
      <c r="J577" s="614">
        <v>0</v>
      </c>
      <c r="K577" s="614"/>
      <c r="L577" s="616"/>
    </row>
    <row r="578" spans="2:12" ht="27.75" customHeight="1">
      <c r="B578" s="430" t="s">
        <v>135</v>
      </c>
      <c r="C578" s="307"/>
      <c r="D578" s="307"/>
      <c r="E578" s="307"/>
      <c r="F578" s="307"/>
      <c r="G578" s="427"/>
      <c r="H578" s="308"/>
      <c r="I578" s="614"/>
      <c r="J578" s="310">
        <f>'04-22Master'!AG27</f>
        <v>0</v>
      </c>
      <c r="K578" s="614"/>
      <c r="L578" s="616" t="s">
        <v>35</v>
      </c>
    </row>
    <row r="579" spans="2:12" ht="23.25" customHeight="1">
      <c r="B579" s="430" t="s">
        <v>136</v>
      </c>
      <c r="C579" s="307"/>
      <c r="D579" s="613" t="s">
        <v>32</v>
      </c>
      <c r="E579" s="615">
        <f>'04-22Master'!AI27</f>
        <v>0</v>
      </c>
      <c r="F579" s="613" t="s">
        <v>31</v>
      </c>
      <c r="G579" s="615">
        <f>'04-22Master'!AH174</f>
        <v>0</v>
      </c>
      <c r="H579" s="613" t="s">
        <v>33</v>
      </c>
      <c r="I579" s="615">
        <f>'04-22Master'!AJ27</f>
        <v>0</v>
      </c>
      <c r="J579" s="613" t="s">
        <v>34</v>
      </c>
      <c r="K579" s="615">
        <f>'04-22Master'!AK174</f>
        <v>0</v>
      </c>
      <c r="L579" s="113">
        <f>'04-22Master'!AL174</f>
        <v>0</v>
      </c>
    </row>
    <row r="580" spans="2:12" ht="26.25" customHeight="1">
      <c r="B580" s="430" t="s">
        <v>137</v>
      </c>
      <c r="C580" s="307"/>
      <c r="D580" s="307"/>
      <c r="E580" s="307"/>
      <c r="F580" s="307"/>
      <c r="G580" s="427"/>
      <c r="H580" s="308"/>
      <c r="I580" s="614"/>
      <c r="J580" s="310">
        <f>J578-(E579+G579+I579+K579+L579)</f>
        <v>0</v>
      </c>
      <c r="K580" s="614"/>
      <c r="L580" s="616"/>
    </row>
    <row r="581" spans="2:12">
      <c r="B581" s="431" t="s">
        <v>138</v>
      </c>
      <c r="C581" s="104"/>
      <c r="D581" s="104"/>
      <c r="E581" s="104"/>
      <c r="F581" s="104"/>
      <c r="G581" s="105"/>
      <c r="H581" s="106"/>
      <c r="I581" s="107"/>
      <c r="J581" s="107"/>
      <c r="K581" s="107"/>
      <c r="L581" s="108"/>
    </row>
    <row r="582" spans="2:12">
      <c r="B582" s="432" t="s">
        <v>139</v>
      </c>
      <c r="C582" s="109"/>
      <c r="D582" s="109"/>
      <c r="E582" s="109"/>
      <c r="F582" s="109"/>
      <c r="G582" s="110"/>
      <c r="H582" s="77"/>
      <c r="I582" s="23"/>
      <c r="J582" s="23"/>
      <c r="K582" s="23"/>
      <c r="L582" s="111"/>
    </row>
    <row r="583" spans="2:12">
      <c r="B583" s="19"/>
      <c r="C583" s="305"/>
      <c r="D583" s="305"/>
      <c r="E583" s="305"/>
      <c r="F583" s="305"/>
      <c r="G583" s="305"/>
      <c r="H583" s="305"/>
      <c r="I583" s="305"/>
      <c r="J583" s="305"/>
      <c r="K583" s="305"/>
      <c r="L583" s="20"/>
    </row>
    <row r="584" spans="2:12" ht="15.75" thickBot="1">
      <c r="B584" s="31"/>
      <c r="C584" s="29"/>
      <c r="D584" s="29"/>
      <c r="E584" s="29"/>
      <c r="F584" s="29"/>
      <c r="G584" s="29"/>
      <c r="H584" s="29"/>
      <c r="I584" s="29"/>
      <c r="J584" s="29"/>
      <c r="K584" s="29"/>
      <c r="L584" s="30"/>
    </row>
    <row r="585" spans="2:12">
      <c r="B585" s="467"/>
      <c r="C585" s="467"/>
      <c r="D585" s="467"/>
      <c r="E585" s="467"/>
      <c r="F585" s="467"/>
      <c r="G585" s="467"/>
      <c r="H585" s="467"/>
      <c r="I585" s="467"/>
      <c r="J585" s="467"/>
      <c r="K585" s="467"/>
      <c r="L585" s="467"/>
    </row>
    <row r="586" spans="2:12">
      <c r="B586" s="467"/>
      <c r="C586" s="467"/>
      <c r="D586" s="467"/>
      <c r="E586" s="467"/>
      <c r="F586" s="467"/>
      <c r="G586" s="467"/>
      <c r="H586" s="467"/>
      <c r="I586" s="467"/>
      <c r="J586" s="467"/>
      <c r="K586" s="467"/>
      <c r="L586" s="467"/>
    </row>
    <row r="587" spans="2:12">
      <c r="B587" s="467"/>
      <c r="C587" s="467"/>
      <c r="D587" s="467"/>
      <c r="E587" s="467"/>
      <c r="F587" s="467"/>
      <c r="G587" s="467"/>
      <c r="H587" s="467"/>
      <c r="I587" s="467"/>
      <c r="J587" s="467"/>
      <c r="K587" s="467"/>
      <c r="L587" s="467"/>
    </row>
    <row r="588" spans="2:12">
      <c r="B588" s="467"/>
      <c r="C588" s="467"/>
      <c r="D588" s="467"/>
      <c r="E588" s="467"/>
      <c r="F588" s="467"/>
      <c r="G588" s="467"/>
      <c r="H588" s="467"/>
      <c r="I588" s="467"/>
      <c r="J588" s="467"/>
      <c r="K588" s="467"/>
      <c r="L588" s="467"/>
    </row>
    <row r="589" spans="2:12">
      <c r="B589" s="467"/>
      <c r="C589" s="467"/>
      <c r="D589" s="467"/>
      <c r="E589" s="467"/>
      <c r="F589" s="467"/>
      <c r="G589" s="467"/>
      <c r="H589" s="467"/>
      <c r="I589" s="467"/>
      <c r="J589" s="467"/>
      <c r="K589" s="467"/>
      <c r="L589" s="467"/>
    </row>
    <row r="590" spans="2:12">
      <c r="B590" s="467"/>
      <c r="C590" s="467"/>
      <c r="D590" s="467"/>
      <c r="E590" s="467"/>
      <c r="F590" s="467"/>
      <c r="G590" s="467"/>
      <c r="H590" s="467"/>
      <c r="I590" s="467"/>
      <c r="J590" s="467"/>
      <c r="K590" s="467"/>
      <c r="L590" s="467"/>
    </row>
    <row r="591" spans="2:12">
      <c r="B591" s="467"/>
      <c r="C591" s="467"/>
      <c r="D591" s="467"/>
      <c r="E591" s="467"/>
      <c r="F591" s="467"/>
      <c r="G591" s="467"/>
      <c r="H591" s="467"/>
      <c r="I591" s="467"/>
      <c r="J591" s="467"/>
      <c r="K591" s="467"/>
      <c r="L591" s="467"/>
    </row>
    <row r="592" spans="2:12" ht="15.75" thickBot="1"/>
    <row r="593" spans="2:12" ht="32.25">
      <c r="B593" s="853" t="s">
        <v>114</v>
      </c>
      <c r="C593" s="854"/>
      <c r="D593" s="854"/>
      <c r="E593" s="854"/>
      <c r="F593" s="854"/>
      <c r="G593" s="854"/>
      <c r="H593" s="854"/>
      <c r="I593" s="854"/>
      <c r="J593" s="854"/>
      <c r="K593" s="854"/>
      <c r="L593" s="855"/>
    </row>
    <row r="594" spans="2:12" ht="23.25">
      <c r="B594" s="856" t="s">
        <v>115</v>
      </c>
      <c r="C594" s="857"/>
      <c r="D594" s="857"/>
      <c r="E594" s="857"/>
      <c r="F594" s="857"/>
      <c r="G594" s="857"/>
      <c r="H594" s="857"/>
      <c r="I594" s="857"/>
      <c r="J594" s="857"/>
      <c r="K594" s="857"/>
      <c r="L594" s="858"/>
    </row>
    <row r="595" spans="2:12" ht="16.5" thickBot="1">
      <c r="B595" s="859" t="s">
        <v>116</v>
      </c>
      <c r="C595" s="860"/>
      <c r="D595" s="860"/>
      <c r="E595" s="860"/>
      <c r="F595" s="860"/>
      <c r="G595" s="860"/>
      <c r="H595" s="860"/>
      <c r="I595" s="860"/>
      <c r="J595" s="860"/>
      <c r="K595" s="860"/>
      <c r="L595" s="861"/>
    </row>
    <row r="596" spans="2:12">
      <c r="B596" s="862" t="s">
        <v>117</v>
      </c>
      <c r="C596" s="863"/>
      <c r="D596" s="863"/>
      <c r="E596" s="863"/>
      <c r="F596" s="863"/>
      <c r="G596" s="305"/>
      <c r="H596" s="866" t="s">
        <v>118</v>
      </c>
      <c r="I596" s="866"/>
      <c r="J596" s="866"/>
      <c r="K596" s="866"/>
      <c r="L596" s="867"/>
    </row>
    <row r="597" spans="2:12" ht="15.75" thickBot="1">
      <c r="B597" s="864"/>
      <c r="C597" s="865"/>
      <c r="D597" s="865"/>
      <c r="E597" s="865"/>
      <c r="F597" s="865"/>
      <c r="G597" s="305"/>
      <c r="H597" s="868"/>
      <c r="I597" s="868"/>
      <c r="J597" s="868"/>
      <c r="K597" s="868"/>
      <c r="L597" s="869"/>
    </row>
    <row r="598" spans="2:12">
      <c r="B598" s="81"/>
      <c r="C598" s="82"/>
      <c r="D598" s="82"/>
      <c r="E598" s="82"/>
      <c r="F598" s="83"/>
      <c r="G598" s="305"/>
      <c r="H598" s="81"/>
      <c r="I598" s="82"/>
      <c r="J598" s="82"/>
      <c r="K598" s="82"/>
      <c r="L598" s="83"/>
    </row>
    <row r="599" spans="2:12">
      <c r="B599" s="84" t="str">
        <f>'04-22Master'!F5</f>
        <v>Burgeon IT Services Pvt.Ltd.</v>
      </c>
      <c r="C599" s="305"/>
      <c r="D599" s="305"/>
      <c r="E599" s="305"/>
      <c r="F599" s="20"/>
      <c r="G599" s="305"/>
      <c r="H599" s="84" t="str">
        <f>'04-22Master'!AJ5</f>
        <v>Burgeon IT Services Pvt.Ltd.</v>
      </c>
      <c r="I599" s="305"/>
      <c r="J599" s="305"/>
      <c r="K599" s="305"/>
      <c r="L599" s="20"/>
    </row>
    <row r="600" spans="2:12">
      <c r="B600" s="19"/>
      <c r="C600" s="305"/>
      <c r="D600" s="305"/>
      <c r="E600" s="305"/>
      <c r="F600" s="20"/>
      <c r="G600" s="305"/>
      <c r="H600" s="19"/>
      <c r="I600" s="305"/>
      <c r="J600" s="305"/>
      <c r="K600" s="305"/>
      <c r="L600" s="20"/>
    </row>
    <row r="601" spans="2:12">
      <c r="B601" s="84" t="str">
        <f>'04-22Master'!F6</f>
        <v>Siri Mansion LIGB 436 Dr.A S Rao Nagar,Hyderabad</v>
      </c>
      <c r="C601" s="305"/>
      <c r="D601" s="305"/>
      <c r="E601" s="305"/>
      <c r="F601" s="20"/>
      <c r="G601" s="305"/>
      <c r="H601" s="84" t="str">
        <f>'04-22Master'!AJ6</f>
        <v>Siri Mansion LIGB 436 Dr.A S Rao Nagar,Hyderabad</v>
      </c>
      <c r="I601" s="305"/>
      <c r="J601" s="305"/>
      <c r="K601" s="305"/>
      <c r="L601" s="20"/>
    </row>
    <row r="602" spans="2:12" ht="15.75" thickBot="1">
      <c r="B602" s="31"/>
      <c r="C602" s="29"/>
      <c r="D602" s="29"/>
      <c r="E602" s="29"/>
      <c r="F602" s="30"/>
      <c r="G602" s="305"/>
      <c r="H602" s="31"/>
      <c r="I602" s="29"/>
      <c r="J602" s="29"/>
      <c r="K602" s="29"/>
      <c r="L602" s="30"/>
    </row>
    <row r="603" spans="2:12">
      <c r="B603" s="19"/>
      <c r="C603" s="305"/>
      <c r="D603" s="305"/>
      <c r="E603" s="305"/>
      <c r="F603" s="305"/>
      <c r="G603" s="305"/>
      <c r="H603" s="305"/>
      <c r="I603" s="305"/>
      <c r="J603" s="305" t="s">
        <v>119</v>
      </c>
      <c r="K603" s="305"/>
      <c r="L603" s="20"/>
    </row>
    <row r="604" spans="2:12">
      <c r="B604" s="796" t="s">
        <v>120</v>
      </c>
      <c r="C604" s="797"/>
      <c r="D604" s="797"/>
      <c r="E604" s="797"/>
      <c r="F604" s="797"/>
      <c r="G604" s="305"/>
      <c r="H604" s="797" t="s">
        <v>4</v>
      </c>
      <c r="I604" s="797"/>
      <c r="J604" s="797"/>
      <c r="K604" s="797"/>
      <c r="L604" s="870"/>
    </row>
    <row r="605" spans="2:12" ht="15.75" thickBot="1">
      <c r="B605" s="19"/>
      <c r="C605" s="305"/>
      <c r="D605" s="305"/>
      <c r="E605" s="305"/>
      <c r="F605" s="305"/>
      <c r="G605" s="305"/>
      <c r="H605" s="305"/>
      <c r="I605" s="305"/>
      <c r="J605" s="305"/>
      <c r="K605" s="305"/>
      <c r="L605" s="20"/>
    </row>
    <row r="606" spans="2:12">
      <c r="B606" s="81"/>
      <c r="C606" s="82"/>
      <c r="D606" s="82"/>
      <c r="E606" s="82"/>
      <c r="F606" s="83"/>
      <c r="G606" s="305"/>
      <c r="H606" s="85"/>
      <c r="I606" s="86"/>
      <c r="J606" s="86"/>
      <c r="K606" s="86"/>
      <c r="L606" s="87"/>
    </row>
    <row r="607" spans="2:12">
      <c r="B607" s="19"/>
      <c r="C607" s="305"/>
      <c r="D607" s="305"/>
      <c r="E607" s="305"/>
      <c r="F607" s="20"/>
      <c r="G607" s="305"/>
      <c r="H607" s="84" t="str">
        <f>'04-22Master'!AJ10</f>
        <v xml:space="preserve">INFOSYS  LTD.IL Hyderabad SEZ Unit-3 </v>
      </c>
      <c r="I607" s="306"/>
      <c r="J607" s="306"/>
      <c r="K607" s="306"/>
      <c r="L607" s="88"/>
    </row>
    <row r="608" spans="2:12">
      <c r="B608" s="84" t="str">
        <f>'04-22Master'!F8</f>
        <v>IT SUPPORTIVE SERVICES</v>
      </c>
      <c r="C608" s="305"/>
      <c r="D608" s="305"/>
      <c r="E608" s="305"/>
      <c r="F608" s="20"/>
      <c r="G608" s="305"/>
      <c r="H608" s="84"/>
      <c r="I608" s="306"/>
      <c r="J608" s="306"/>
      <c r="K608" s="306"/>
      <c r="L608" s="88"/>
    </row>
    <row r="609" spans="2:12">
      <c r="B609" s="19"/>
      <c r="C609" s="305"/>
      <c r="D609" s="305"/>
      <c r="E609" s="305"/>
      <c r="F609" s="20"/>
      <c r="G609" s="305"/>
      <c r="H609" s="84" t="str">
        <f>'04-22Master'!AJ11</f>
        <v>Sy.No 42,Pocharam Village,Gatkesar Mandal</v>
      </c>
      <c r="I609" s="306"/>
      <c r="J609" s="306"/>
      <c r="K609" s="306"/>
      <c r="L609" s="88"/>
    </row>
    <row r="610" spans="2:12" ht="15.75" thickBot="1">
      <c r="B610" s="31"/>
      <c r="C610" s="29"/>
      <c r="D610" s="29"/>
      <c r="E610" s="29"/>
      <c r="F610" s="30"/>
      <c r="G610" s="305"/>
      <c r="H610" s="84"/>
      <c r="I610" s="306"/>
      <c r="J610" s="306"/>
      <c r="K610" s="306"/>
      <c r="L610" s="88"/>
    </row>
    <row r="611" spans="2:12" ht="38.25" customHeight="1">
      <c r="B611" s="837" t="s">
        <v>121</v>
      </c>
      <c r="C611" s="838"/>
      <c r="D611" s="838"/>
      <c r="E611" s="838"/>
      <c r="F611" s="838"/>
      <c r="G611" s="842"/>
      <c r="H611" s="843">
        <f>'04-22Master'!B28</f>
        <v>0</v>
      </c>
      <c r="I611" s="840"/>
      <c r="J611" s="840"/>
      <c r="K611" s="840"/>
      <c r="L611" s="840"/>
    </row>
    <row r="612" spans="2:12" ht="33" customHeight="1">
      <c r="B612" s="844"/>
      <c r="C612" s="845"/>
      <c r="D612" s="845"/>
      <c r="E612" s="845"/>
      <c r="F612" s="845"/>
      <c r="G612" s="845"/>
      <c r="H612" s="846">
        <f>'04-22Master'!G28</f>
        <v>0</v>
      </c>
      <c r="I612" s="846"/>
      <c r="J612" s="846"/>
      <c r="K612" s="846"/>
      <c r="L612" s="846"/>
    </row>
    <row r="613" spans="2:12" ht="29.25" customHeight="1">
      <c r="B613" s="847" t="s">
        <v>122</v>
      </c>
      <c r="C613" s="848"/>
      <c r="D613" s="848"/>
      <c r="E613" s="848"/>
      <c r="F613" s="848"/>
      <c r="G613" s="848"/>
      <c r="H613" s="835">
        <f>'04-22Master'!A28</f>
        <v>0</v>
      </c>
      <c r="I613" s="849"/>
      <c r="J613" s="849"/>
      <c r="K613" s="849"/>
      <c r="L613" s="850"/>
    </row>
    <row r="614" spans="2:12" ht="28.5" customHeight="1">
      <c r="B614" s="837" t="s">
        <v>123</v>
      </c>
      <c r="C614" s="838"/>
      <c r="D614" s="838"/>
      <c r="E614" s="838"/>
      <c r="F614" s="838"/>
      <c r="G614" s="838"/>
      <c r="H614" s="843">
        <f>'04-22Master'!F28</f>
        <v>0</v>
      </c>
      <c r="I614" s="840"/>
      <c r="J614" s="840"/>
      <c r="K614" s="840"/>
      <c r="L614" s="841"/>
    </row>
    <row r="615" spans="2:12" ht="27.75" customHeight="1">
      <c r="B615" s="837" t="s">
        <v>124</v>
      </c>
      <c r="C615" s="838"/>
      <c r="D615" s="838"/>
      <c r="E615" s="838"/>
      <c r="F615" s="838"/>
      <c r="G615" s="838"/>
      <c r="H615" s="851">
        <f>'04-22Master'!I28</f>
        <v>0</v>
      </c>
      <c r="I615" s="851"/>
      <c r="J615" s="851"/>
      <c r="K615" s="851"/>
      <c r="L615" s="852"/>
    </row>
    <row r="616" spans="2:12" ht="32.25" customHeight="1">
      <c r="B616" s="430" t="s">
        <v>125</v>
      </c>
      <c r="C616" s="307"/>
      <c r="D616" s="307"/>
      <c r="E616" s="307"/>
      <c r="F616" s="307"/>
      <c r="G616" s="307"/>
      <c r="H616" s="308"/>
      <c r="I616" s="309"/>
      <c r="J616" s="300">
        <f>'04-22Master'!O28</f>
        <v>0</v>
      </c>
      <c r="K616" s="614"/>
      <c r="L616" s="616"/>
    </row>
    <row r="617" spans="2:12" ht="32.25" customHeight="1">
      <c r="B617" s="430" t="s">
        <v>126</v>
      </c>
      <c r="C617" s="307"/>
      <c r="D617" s="307"/>
      <c r="E617" s="307"/>
      <c r="F617" s="307"/>
      <c r="G617" s="427"/>
      <c r="H617" s="98"/>
      <c r="I617" s="99"/>
      <c r="J617" s="300">
        <f>'04-22Master'!N28</f>
        <v>0</v>
      </c>
      <c r="K617" s="99"/>
      <c r="L617" s="100"/>
    </row>
    <row r="618" spans="2:12" ht="28.5" customHeight="1">
      <c r="B618" s="833" t="s">
        <v>127</v>
      </c>
      <c r="C618" s="834"/>
      <c r="D618" s="834"/>
      <c r="E618" s="834"/>
      <c r="F618" s="834"/>
      <c r="G618" s="834"/>
      <c r="H618" s="835">
        <f>'04-22Master'!S28</f>
        <v>0</v>
      </c>
      <c r="I618" s="849"/>
      <c r="J618" s="849"/>
      <c r="K618" s="849"/>
      <c r="L618" s="850"/>
    </row>
    <row r="619" spans="2:12" ht="32.25" customHeight="1">
      <c r="B619" s="837" t="s">
        <v>128</v>
      </c>
      <c r="C619" s="838"/>
      <c r="D619" s="838"/>
      <c r="E619" s="838"/>
      <c r="F619" s="838"/>
      <c r="G619" s="838"/>
      <c r="H619" s="839">
        <f>'04-22Master'!D10</f>
        <v>44652</v>
      </c>
      <c r="I619" s="840"/>
      <c r="J619" s="840"/>
      <c r="K619" s="840"/>
      <c r="L619" s="841"/>
    </row>
    <row r="620" spans="2:12" ht="37.5" customHeight="1">
      <c r="B620" s="837" t="s">
        <v>129</v>
      </c>
      <c r="C620" s="838"/>
      <c r="D620" s="838"/>
      <c r="E620" s="838"/>
      <c r="F620" s="838"/>
      <c r="G620" s="838"/>
      <c r="H620" s="840" t="s">
        <v>130</v>
      </c>
      <c r="I620" s="840"/>
      <c r="J620" s="840"/>
      <c r="K620" s="840"/>
      <c r="L620" s="841"/>
    </row>
    <row r="621" spans="2:12" ht="26.25" customHeight="1">
      <c r="B621" s="430" t="s">
        <v>131</v>
      </c>
      <c r="C621" s="307"/>
      <c r="D621" s="307"/>
      <c r="E621" s="307"/>
      <c r="F621" s="307"/>
      <c r="G621" s="427"/>
      <c r="H621" s="308"/>
      <c r="I621" s="614"/>
      <c r="J621" s="310">
        <f>'04-22Master'!Q28</f>
        <v>0</v>
      </c>
      <c r="K621" s="614"/>
      <c r="L621" s="616"/>
    </row>
    <row r="622" spans="2:12" ht="27.75" customHeight="1">
      <c r="B622" s="430" t="s">
        <v>132</v>
      </c>
      <c r="C622" s="307"/>
      <c r="D622" s="307"/>
      <c r="E622" s="307"/>
      <c r="F622" s="307"/>
      <c r="G622" s="427"/>
      <c r="H622" s="308"/>
      <c r="I622" s="614"/>
      <c r="J622" s="614" t="s">
        <v>37</v>
      </c>
      <c r="K622" s="614"/>
      <c r="L622" s="616"/>
    </row>
    <row r="623" spans="2:12" ht="27.75" customHeight="1">
      <c r="B623" s="430" t="s">
        <v>133</v>
      </c>
      <c r="C623" s="307"/>
      <c r="D623" s="307"/>
      <c r="E623" s="307"/>
      <c r="F623" s="307"/>
      <c r="G623" s="427"/>
      <c r="H623" s="308"/>
      <c r="I623" s="614"/>
      <c r="J623" s="310">
        <v>0</v>
      </c>
      <c r="K623" s="614"/>
      <c r="L623" s="616"/>
    </row>
    <row r="624" spans="2:12" ht="29.25" customHeight="1">
      <c r="B624" s="430" t="s">
        <v>134</v>
      </c>
      <c r="C624" s="307"/>
      <c r="D624" s="307"/>
      <c r="E624" s="307"/>
      <c r="F624" s="307"/>
      <c r="G624" s="427"/>
      <c r="H624" s="308"/>
      <c r="I624" s="614"/>
      <c r="J624" s="614">
        <v>0</v>
      </c>
      <c r="K624" s="614"/>
      <c r="L624" s="616"/>
    </row>
    <row r="625" spans="2:12" ht="28.5" customHeight="1">
      <c r="B625" s="430" t="s">
        <v>135</v>
      </c>
      <c r="C625" s="307"/>
      <c r="D625" s="307"/>
      <c r="E625" s="307"/>
      <c r="F625" s="307"/>
      <c r="G625" s="427"/>
      <c r="H625" s="308"/>
      <c r="I625" s="614"/>
      <c r="J625" s="310">
        <f>'04-22Master'!AG28</f>
        <v>0</v>
      </c>
      <c r="K625" s="614"/>
      <c r="L625" s="616" t="s">
        <v>35</v>
      </c>
    </row>
    <row r="626" spans="2:12" ht="22.5" customHeight="1">
      <c r="B626" s="430" t="s">
        <v>136</v>
      </c>
      <c r="C626" s="307"/>
      <c r="D626" s="613" t="s">
        <v>32</v>
      </c>
      <c r="E626" s="615">
        <f>'04-22Master'!AI28</f>
        <v>0</v>
      </c>
      <c r="F626" s="613" t="s">
        <v>31</v>
      </c>
      <c r="G626" s="615">
        <f>'04-22Master'!AH221</f>
        <v>0</v>
      </c>
      <c r="H626" s="613" t="s">
        <v>33</v>
      </c>
      <c r="I626" s="615">
        <f>'04-22Master'!AJ28</f>
        <v>0</v>
      </c>
      <c r="J626" s="613" t="s">
        <v>34</v>
      </c>
      <c r="K626" s="615">
        <f>'04-22Master'!AK221</f>
        <v>0</v>
      </c>
      <c r="L626" s="113">
        <f>'04-22Master'!AL221</f>
        <v>0</v>
      </c>
    </row>
    <row r="627" spans="2:12" ht="26.25" customHeight="1">
      <c r="B627" s="430" t="s">
        <v>137</v>
      </c>
      <c r="C627" s="307"/>
      <c r="D627" s="307"/>
      <c r="E627" s="307"/>
      <c r="F627" s="307"/>
      <c r="G627" s="427"/>
      <c r="H627" s="308"/>
      <c r="I627" s="614"/>
      <c r="J627" s="310">
        <f>J625-(E626+G626+I626+K626+L626)</f>
        <v>0</v>
      </c>
      <c r="K627" s="614"/>
      <c r="L627" s="616"/>
    </row>
    <row r="628" spans="2:12">
      <c r="B628" s="431" t="s">
        <v>138</v>
      </c>
      <c r="C628" s="104"/>
      <c r="D628" s="104"/>
      <c r="E628" s="104"/>
      <c r="F628" s="104"/>
      <c r="G628" s="105"/>
      <c r="H628" s="106"/>
      <c r="I628" s="107"/>
      <c r="J628" s="107"/>
      <c r="K628" s="107"/>
      <c r="L628" s="108"/>
    </row>
    <row r="629" spans="2:12">
      <c r="B629" s="432" t="s">
        <v>139</v>
      </c>
      <c r="C629" s="109"/>
      <c r="D629" s="109"/>
      <c r="E629" s="109"/>
      <c r="F629" s="109"/>
      <c r="G629" s="110"/>
      <c r="H629" s="77"/>
      <c r="I629" s="23"/>
      <c r="J629" s="23"/>
      <c r="K629" s="23"/>
      <c r="L629" s="111"/>
    </row>
    <row r="630" spans="2:12">
      <c r="B630" s="19"/>
      <c r="C630" s="305"/>
      <c r="D630" s="305"/>
      <c r="E630" s="305"/>
      <c r="F630" s="305"/>
      <c r="G630" s="305"/>
      <c r="H630" s="305"/>
      <c r="I630" s="305"/>
      <c r="J630" s="305"/>
      <c r="K630" s="305"/>
      <c r="L630" s="20"/>
    </row>
    <row r="631" spans="2:12" ht="15.75" thickBot="1">
      <c r="B631" s="31"/>
      <c r="C631" s="29"/>
      <c r="D631" s="29"/>
      <c r="E631" s="29"/>
      <c r="F631" s="29"/>
      <c r="G631" s="29"/>
      <c r="H631" s="29"/>
      <c r="I631" s="29"/>
      <c r="J631" s="29"/>
      <c r="K631" s="29"/>
      <c r="L631" s="30"/>
    </row>
    <row r="632" spans="2:12">
      <c r="B632" s="467"/>
      <c r="C632" s="467"/>
      <c r="D632" s="467"/>
      <c r="E632" s="467"/>
      <c r="F632" s="467"/>
      <c r="G632" s="467"/>
      <c r="H632" s="467"/>
      <c r="I632" s="467"/>
      <c r="J632" s="467"/>
      <c r="K632" s="467"/>
      <c r="L632" s="467"/>
    </row>
    <row r="633" spans="2:12">
      <c r="B633" s="467"/>
      <c r="C633" s="467"/>
      <c r="D633" s="467"/>
      <c r="E633" s="467"/>
      <c r="F633" s="467"/>
      <c r="G633" s="467"/>
      <c r="H633" s="467"/>
      <c r="I633" s="467"/>
      <c r="J633" s="467"/>
      <c r="K633" s="467"/>
      <c r="L633" s="467"/>
    </row>
    <row r="634" spans="2:12">
      <c r="B634" s="467"/>
      <c r="C634" s="467"/>
      <c r="D634" s="467"/>
      <c r="E634" s="467"/>
      <c r="F634" s="467"/>
      <c r="G634" s="467"/>
      <c r="H634" s="467"/>
      <c r="I634" s="467"/>
      <c r="J634" s="467"/>
      <c r="K634" s="467"/>
      <c r="L634" s="467"/>
    </row>
    <row r="635" spans="2:12">
      <c r="B635" s="467"/>
      <c r="C635" s="467"/>
      <c r="D635" s="467"/>
      <c r="E635" s="467"/>
      <c r="F635" s="467"/>
      <c r="G635" s="467"/>
      <c r="H635" s="467"/>
      <c r="I635" s="467"/>
      <c r="J635" s="467"/>
      <c r="K635" s="467"/>
      <c r="L635" s="467"/>
    </row>
    <row r="636" spans="2:12">
      <c r="B636" s="467"/>
      <c r="C636" s="467"/>
      <c r="D636" s="467"/>
      <c r="E636" s="467"/>
      <c r="F636" s="467"/>
      <c r="G636" s="467"/>
      <c r="H636" s="467"/>
      <c r="I636" s="467"/>
      <c r="J636" s="467"/>
      <c r="K636" s="467"/>
      <c r="L636" s="467"/>
    </row>
    <row r="637" spans="2:12">
      <c r="B637" s="467"/>
      <c r="C637" s="467"/>
      <c r="D637" s="467"/>
      <c r="E637" s="467"/>
      <c r="F637" s="467"/>
      <c r="G637" s="467"/>
      <c r="H637" s="467"/>
      <c r="I637" s="467"/>
      <c r="J637" s="467"/>
      <c r="K637" s="467"/>
      <c r="L637" s="467"/>
    </row>
    <row r="638" spans="2:12">
      <c r="B638" s="467"/>
      <c r="C638" s="467"/>
      <c r="D638" s="467"/>
      <c r="E638" s="467"/>
      <c r="F638" s="467"/>
      <c r="G638" s="467"/>
      <c r="H638" s="467"/>
      <c r="I638" s="467"/>
      <c r="J638" s="467"/>
      <c r="K638" s="467"/>
      <c r="L638" s="467"/>
    </row>
    <row r="640" spans="2:12" ht="15.75" thickBot="1"/>
    <row r="641" spans="2:12" ht="32.25">
      <c r="B641" s="853" t="s">
        <v>114</v>
      </c>
      <c r="C641" s="854"/>
      <c r="D641" s="854"/>
      <c r="E641" s="854"/>
      <c r="F641" s="854"/>
      <c r="G641" s="854"/>
      <c r="H641" s="854"/>
      <c r="I641" s="854"/>
      <c r="J641" s="854"/>
      <c r="K641" s="854"/>
      <c r="L641" s="855"/>
    </row>
    <row r="642" spans="2:12" ht="23.25">
      <c r="B642" s="856" t="s">
        <v>115</v>
      </c>
      <c r="C642" s="857"/>
      <c r="D642" s="857"/>
      <c r="E642" s="857"/>
      <c r="F642" s="857"/>
      <c r="G642" s="857"/>
      <c r="H642" s="857"/>
      <c r="I642" s="857"/>
      <c r="J642" s="857"/>
      <c r="K642" s="857"/>
      <c r="L642" s="858"/>
    </row>
    <row r="643" spans="2:12" ht="16.5" thickBot="1">
      <c r="B643" s="859" t="s">
        <v>116</v>
      </c>
      <c r="C643" s="860"/>
      <c r="D643" s="860"/>
      <c r="E643" s="860"/>
      <c r="F643" s="860"/>
      <c r="G643" s="860"/>
      <c r="H643" s="860"/>
      <c r="I643" s="860"/>
      <c r="J643" s="860"/>
      <c r="K643" s="860"/>
      <c r="L643" s="861"/>
    </row>
    <row r="644" spans="2:12">
      <c r="B644" s="862" t="s">
        <v>117</v>
      </c>
      <c r="C644" s="863"/>
      <c r="D644" s="863"/>
      <c r="E644" s="863"/>
      <c r="F644" s="863"/>
      <c r="G644" s="305"/>
      <c r="H644" s="866" t="s">
        <v>118</v>
      </c>
      <c r="I644" s="866"/>
      <c r="J644" s="866"/>
      <c r="K644" s="866"/>
      <c r="L644" s="867"/>
    </row>
    <row r="645" spans="2:12" ht="15.75" thickBot="1">
      <c r="B645" s="864"/>
      <c r="C645" s="865"/>
      <c r="D645" s="865"/>
      <c r="E645" s="865"/>
      <c r="F645" s="865"/>
      <c r="G645" s="305"/>
      <c r="H645" s="868"/>
      <c r="I645" s="868"/>
      <c r="J645" s="868"/>
      <c r="K645" s="868"/>
      <c r="L645" s="869"/>
    </row>
    <row r="646" spans="2:12">
      <c r="B646" s="81"/>
      <c r="C646" s="82"/>
      <c r="D646" s="82"/>
      <c r="E646" s="82"/>
      <c r="F646" s="83"/>
      <c r="G646" s="305"/>
      <c r="H646" s="81"/>
      <c r="I646" s="82"/>
      <c r="J646" s="82"/>
      <c r="K646" s="82"/>
      <c r="L646" s="83"/>
    </row>
    <row r="647" spans="2:12">
      <c r="B647" s="84" t="str">
        <f>'04-22Master'!F5</f>
        <v>Burgeon IT Services Pvt.Ltd.</v>
      </c>
      <c r="C647" s="305"/>
      <c r="D647" s="305"/>
      <c r="E647" s="305"/>
      <c r="F647" s="20"/>
      <c r="G647" s="305"/>
      <c r="H647" s="84" t="str">
        <f>'04-22Master'!AJ5</f>
        <v>Burgeon IT Services Pvt.Ltd.</v>
      </c>
      <c r="I647" s="305"/>
      <c r="J647" s="305"/>
      <c r="K647" s="305"/>
      <c r="L647" s="20"/>
    </row>
    <row r="648" spans="2:12">
      <c r="B648" s="19"/>
      <c r="C648" s="305"/>
      <c r="D648" s="305"/>
      <c r="E648" s="305"/>
      <c r="F648" s="20"/>
      <c r="G648" s="305"/>
      <c r="H648" s="19"/>
      <c r="I648" s="305"/>
      <c r="J648" s="305"/>
      <c r="K648" s="305"/>
      <c r="L648" s="20"/>
    </row>
    <row r="649" spans="2:12">
      <c r="B649" s="84" t="str">
        <f>'04-22Master'!F6</f>
        <v>Siri Mansion LIGB 436 Dr.A S Rao Nagar,Hyderabad</v>
      </c>
      <c r="C649" s="305"/>
      <c r="D649" s="305"/>
      <c r="E649" s="305"/>
      <c r="F649" s="20"/>
      <c r="G649" s="305"/>
      <c r="H649" s="84" t="str">
        <f>'04-22Master'!AJ6</f>
        <v>Siri Mansion LIGB 436 Dr.A S Rao Nagar,Hyderabad</v>
      </c>
      <c r="I649" s="305"/>
      <c r="J649" s="305"/>
      <c r="K649" s="305"/>
      <c r="L649" s="20"/>
    </row>
    <row r="650" spans="2:12" ht="15.75" thickBot="1">
      <c r="B650" s="31"/>
      <c r="C650" s="29"/>
      <c r="D650" s="29"/>
      <c r="E650" s="29"/>
      <c r="F650" s="30"/>
      <c r="G650" s="305"/>
      <c r="H650" s="31"/>
      <c r="I650" s="29"/>
      <c r="J650" s="29"/>
      <c r="K650" s="29"/>
      <c r="L650" s="30"/>
    </row>
    <row r="651" spans="2:12">
      <c r="B651" s="19"/>
      <c r="C651" s="305"/>
      <c r="D651" s="305"/>
      <c r="E651" s="305"/>
      <c r="F651" s="305"/>
      <c r="G651" s="305"/>
      <c r="H651" s="305"/>
      <c r="I651" s="305"/>
      <c r="J651" s="305" t="s">
        <v>119</v>
      </c>
      <c r="K651" s="305"/>
      <c r="L651" s="20"/>
    </row>
    <row r="652" spans="2:12">
      <c r="B652" s="796" t="s">
        <v>120</v>
      </c>
      <c r="C652" s="797"/>
      <c r="D652" s="797"/>
      <c r="E652" s="797"/>
      <c r="F652" s="797"/>
      <c r="G652" s="305"/>
      <c r="H652" s="797" t="s">
        <v>4</v>
      </c>
      <c r="I652" s="797"/>
      <c r="J652" s="797"/>
      <c r="K652" s="797"/>
      <c r="L652" s="870"/>
    </row>
    <row r="653" spans="2:12" ht="15.75" thickBot="1">
      <c r="B653" s="19"/>
      <c r="C653" s="305"/>
      <c r="D653" s="305"/>
      <c r="E653" s="305"/>
      <c r="F653" s="305"/>
      <c r="G653" s="305"/>
      <c r="H653" s="305"/>
      <c r="I653" s="305"/>
      <c r="J653" s="305"/>
      <c r="K653" s="305"/>
      <c r="L653" s="20"/>
    </row>
    <row r="654" spans="2:12">
      <c r="B654" s="81"/>
      <c r="C654" s="82"/>
      <c r="D654" s="82"/>
      <c r="E654" s="82"/>
      <c r="F654" s="83"/>
      <c r="G654" s="305"/>
      <c r="H654" s="85"/>
      <c r="I654" s="86"/>
      <c r="J654" s="86"/>
      <c r="K654" s="86"/>
      <c r="L654" s="87"/>
    </row>
    <row r="655" spans="2:12">
      <c r="B655" s="19"/>
      <c r="C655" s="305"/>
      <c r="D655" s="305"/>
      <c r="E655" s="305"/>
      <c r="F655" s="20"/>
      <c r="G655" s="305"/>
      <c r="H655" s="84" t="str">
        <f>'04-22Master'!AJ10</f>
        <v xml:space="preserve">INFOSYS  LTD.IL Hyderabad SEZ Unit-3 </v>
      </c>
      <c r="I655" s="306"/>
      <c r="J655" s="306"/>
      <c r="K655" s="306"/>
      <c r="L655" s="88"/>
    </row>
    <row r="656" spans="2:12">
      <c r="B656" s="84" t="str">
        <f>'04-22Master'!F8</f>
        <v>IT SUPPORTIVE SERVICES</v>
      </c>
      <c r="C656" s="305"/>
      <c r="D656" s="305"/>
      <c r="E656" s="305"/>
      <c r="F656" s="20"/>
      <c r="G656" s="305"/>
      <c r="H656" s="84"/>
      <c r="I656" s="306"/>
      <c r="J656" s="306"/>
      <c r="K656" s="306"/>
      <c r="L656" s="88"/>
    </row>
    <row r="657" spans="2:12">
      <c r="B657" s="19"/>
      <c r="C657" s="305"/>
      <c r="D657" s="305"/>
      <c r="E657" s="305"/>
      <c r="F657" s="20"/>
      <c r="G657" s="305"/>
      <c r="H657" s="84" t="str">
        <f>'04-22Master'!AJ11</f>
        <v>Sy.No 42,Pocharam Village,Gatkesar Mandal</v>
      </c>
      <c r="I657" s="306"/>
      <c r="J657" s="306"/>
      <c r="K657" s="306"/>
      <c r="L657" s="88"/>
    </row>
    <row r="658" spans="2:12" ht="15.75" thickBot="1">
      <c r="B658" s="31"/>
      <c r="C658" s="29"/>
      <c r="D658" s="29"/>
      <c r="E658" s="29"/>
      <c r="F658" s="30"/>
      <c r="G658" s="305"/>
      <c r="H658" s="84"/>
      <c r="I658" s="306"/>
      <c r="J658" s="306"/>
      <c r="K658" s="306"/>
      <c r="L658" s="88"/>
    </row>
    <row r="659" spans="2:12" ht="26.25" customHeight="1">
      <c r="B659" s="837" t="s">
        <v>121</v>
      </c>
      <c r="C659" s="838"/>
      <c r="D659" s="838"/>
      <c r="E659" s="838"/>
      <c r="F659" s="838"/>
      <c r="G659" s="842"/>
      <c r="H659" s="843">
        <f>'04-22Master'!B29</f>
        <v>0</v>
      </c>
      <c r="I659" s="840"/>
      <c r="J659" s="840"/>
      <c r="K659" s="840"/>
      <c r="L659" s="840"/>
    </row>
    <row r="660" spans="2:12" s="467" customFormat="1" ht="26.25" customHeight="1">
      <c r="B660" s="837"/>
      <c r="C660" s="838"/>
      <c r="D660" s="838"/>
      <c r="E660" s="838"/>
      <c r="F660" s="838"/>
      <c r="G660" s="842"/>
      <c r="H660" s="843">
        <f>'04-22Master'!G76</f>
        <v>0</v>
      </c>
      <c r="I660" s="840"/>
      <c r="J660" s="840"/>
      <c r="K660" s="840"/>
      <c r="L660" s="840"/>
    </row>
    <row r="661" spans="2:12" s="467" customFormat="1" ht="26.25" customHeight="1">
      <c r="B661" s="837" t="s">
        <v>122</v>
      </c>
      <c r="C661" s="838"/>
      <c r="D661" s="838"/>
      <c r="E661" s="838"/>
      <c r="F661" s="838"/>
      <c r="G661" s="842"/>
      <c r="H661" s="843">
        <f>'04-22Master'!A29</f>
        <v>0</v>
      </c>
      <c r="I661" s="840"/>
      <c r="J661" s="840"/>
      <c r="K661" s="840"/>
      <c r="L661" s="840"/>
    </row>
    <row r="662" spans="2:12" s="467" customFormat="1" ht="26.25" customHeight="1">
      <c r="B662" s="837" t="s">
        <v>123</v>
      </c>
      <c r="C662" s="838"/>
      <c r="D662" s="838"/>
      <c r="E662" s="838"/>
      <c r="F662" s="838"/>
      <c r="G662" s="842"/>
      <c r="H662" s="843">
        <f>'04-22Master'!F29</f>
        <v>0</v>
      </c>
      <c r="I662" s="840"/>
      <c r="J662" s="840"/>
      <c r="K662" s="840"/>
      <c r="L662" s="840"/>
    </row>
    <row r="663" spans="2:12" s="467" customFormat="1" ht="26.25" customHeight="1">
      <c r="B663" s="837" t="s">
        <v>124</v>
      </c>
      <c r="C663" s="838"/>
      <c r="D663" s="838"/>
      <c r="E663" s="838"/>
      <c r="F663" s="838"/>
      <c r="G663" s="842"/>
      <c r="H663" s="873">
        <f>'04-22Master'!I29</f>
        <v>0</v>
      </c>
      <c r="I663" s="873"/>
      <c r="J663" s="873"/>
      <c r="K663" s="873"/>
      <c r="L663" s="873"/>
    </row>
    <row r="664" spans="2:12" s="467" customFormat="1" ht="26.25" customHeight="1">
      <c r="B664" s="837" t="s">
        <v>125</v>
      </c>
      <c r="C664" s="838"/>
      <c r="D664" s="838"/>
      <c r="E664" s="838"/>
      <c r="F664" s="838"/>
      <c r="G664" s="842"/>
      <c r="H664" s="843">
        <f>'04-22Master'!O29</f>
        <v>0</v>
      </c>
      <c r="I664" s="840"/>
      <c r="J664" s="840">
        <f>'04-22Master'!O269</f>
        <v>0</v>
      </c>
      <c r="K664" s="840"/>
      <c r="L664" s="840"/>
    </row>
    <row r="665" spans="2:12" s="467" customFormat="1" ht="26.25" customHeight="1">
      <c r="B665" s="837" t="s">
        <v>126</v>
      </c>
      <c r="C665" s="838"/>
      <c r="D665" s="838"/>
      <c r="E665" s="838"/>
      <c r="F665" s="838"/>
      <c r="G665" s="842"/>
      <c r="H665" s="843">
        <f>'04-22Master'!N29</f>
        <v>0</v>
      </c>
      <c r="I665" s="840"/>
      <c r="J665" s="840">
        <f>'04-22Master'!N269</f>
        <v>0</v>
      </c>
      <c r="K665" s="840"/>
      <c r="L665" s="840"/>
    </row>
    <row r="666" spans="2:12" s="467" customFormat="1" ht="26.25" customHeight="1">
      <c r="B666" s="837" t="s">
        <v>127</v>
      </c>
      <c r="C666" s="838"/>
      <c r="D666" s="838"/>
      <c r="E666" s="838"/>
      <c r="F666" s="838"/>
      <c r="G666" s="842"/>
      <c r="H666" s="843">
        <f>'04-22Master'!S29</f>
        <v>0</v>
      </c>
      <c r="I666" s="840"/>
      <c r="J666" s="840"/>
      <c r="K666" s="840"/>
      <c r="L666" s="840"/>
    </row>
    <row r="667" spans="2:12" s="467" customFormat="1" ht="26.25" customHeight="1">
      <c r="B667" s="837" t="s">
        <v>128</v>
      </c>
      <c r="C667" s="838"/>
      <c r="D667" s="838"/>
      <c r="E667" s="838"/>
      <c r="F667" s="838"/>
      <c r="G667" s="842"/>
      <c r="H667" s="873">
        <f>'04-22Master'!D10</f>
        <v>44652</v>
      </c>
      <c r="I667" s="873"/>
      <c r="J667" s="873"/>
      <c r="K667" s="873"/>
      <c r="L667" s="873"/>
    </row>
    <row r="668" spans="2:12" s="467" customFormat="1" ht="26.25" customHeight="1">
      <c r="B668" s="837" t="s">
        <v>129</v>
      </c>
      <c r="C668" s="838"/>
      <c r="D668" s="838"/>
      <c r="E668" s="838"/>
      <c r="F668" s="838"/>
      <c r="G668" s="842"/>
      <c r="H668" s="843" t="s">
        <v>130</v>
      </c>
      <c r="I668" s="840"/>
      <c r="J668" s="840"/>
      <c r="K668" s="840"/>
      <c r="L668" s="840"/>
    </row>
    <row r="669" spans="2:12" s="467" customFormat="1" ht="26.25" customHeight="1">
      <c r="B669" s="837" t="s">
        <v>131</v>
      </c>
      <c r="C669" s="838"/>
      <c r="D669" s="838"/>
      <c r="E669" s="838"/>
      <c r="F669" s="838"/>
      <c r="G669" s="842"/>
      <c r="H669" s="843">
        <f>'04-22Master'!Q29</f>
        <v>0</v>
      </c>
      <c r="I669" s="840"/>
      <c r="J669" s="840">
        <f>'04-22Master'!Q76</f>
        <v>0</v>
      </c>
      <c r="K669" s="840"/>
      <c r="L669" s="840"/>
    </row>
    <row r="670" spans="2:12" s="467" customFormat="1" ht="26.25" customHeight="1">
      <c r="B670" s="837" t="s">
        <v>132</v>
      </c>
      <c r="C670" s="838"/>
      <c r="D670" s="838"/>
      <c r="E670" s="838"/>
      <c r="F670" s="838"/>
      <c r="G670" s="842"/>
      <c r="H670" s="843">
        <v>0</v>
      </c>
      <c r="I670" s="840"/>
      <c r="J670" s="840" t="s">
        <v>37</v>
      </c>
      <c r="K670" s="840"/>
      <c r="L670" s="840"/>
    </row>
    <row r="671" spans="2:12" s="467" customFormat="1" ht="26.25" customHeight="1">
      <c r="B671" s="837" t="s">
        <v>133</v>
      </c>
      <c r="C671" s="838"/>
      <c r="D671" s="838"/>
      <c r="E671" s="838"/>
      <c r="F671" s="838"/>
      <c r="G671" s="842"/>
      <c r="H671" s="843">
        <v>0</v>
      </c>
      <c r="I671" s="840"/>
      <c r="J671" s="840">
        <v>0</v>
      </c>
      <c r="K671" s="840"/>
      <c r="L671" s="840"/>
    </row>
    <row r="672" spans="2:12" ht="39" customHeight="1">
      <c r="B672" s="430" t="s">
        <v>134</v>
      </c>
      <c r="C672" s="307"/>
      <c r="D672" s="307"/>
      <c r="E672" s="307"/>
      <c r="F672" s="307"/>
      <c r="G672" s="427"/>
      <c r="H672" s="874">
        <v>0</v>
      </c>
      <c r="I672" s="845"/>
      <c r="J672" s="845"/>
      <c r="K672" s="845"/>
      <c r="L672" s="875"/>
    </row>
    <row r="673" spans="2:12" ht="23.25" customHeight="1">
      <c r="B673" s="430" t="s">
        <v>135</v>
      </c>
      <c r="C673" s="307"/>
      <c r="D673" s="307"/>
      <c r="E673" s="307"/>
      <c r="F673" s="307"/>
      <c r="G673" s="427"/>
      <c r="H673" s="308"/>
      <c r="I673" s="644"/>
      <c r="J673" s="310">
        <f>'04-22Master'!AG29</f>
        <v>0</v>
      </c>
      <c r="K673" s="644"/>
      <c r="L673" s="645" t="s">
        <v>35</v>
      </c>
    </row>
    <row r="674" spans="2:12" ht="27.75" customHeight="1">
      <c r="B674" s="430" t="s">
        <v>136</v>
      </c>
      <c r="C674" s="307"/>
      <c r="D674" s="642" t="s">
        <v>32</v>
      </c>
      <c r="E674" s="643">
        <f>'04-22Master'!AI29</f>
        <v>0</v>
      </c>
      <c r="F674" s="642" t="s">
        <v>31</v>
      </c>
      <c r="G674" s="643">
        <f>'04-22Master'!AH269</f>
        <v>0</v>
      </c>
      <c r="H674" s="642" t="s">
        <v>33</v>
      </c>
      <c r="I674" s="643">
        <f>'04-22Master'!AJ29</f>
        <v>0</v>
      </c>
      <c r="J674" s="642" t="s">
        <v>34</v>
      </c>
      <c r="K674" s="643">
        <f>'04-22Master'!AK269</f>
        <v>0</v>
      </c>
      <c r="L674" s="113">
        <f>'04-22Master'!AL269</f>
        <v>0</v>
      </c>
    </row>
    <row r="675" spans="2:12" ht="28.5" customHeight="1">
      <c r="B675" s="430" t="s">
        <v>137</v>
      </c>
      <c r="C675" s="307"/>
      <c r="D675" s="307"/>
      <c r="E675" s="307"/>
      <c r="F675" s="307"/>
      <c r="G675" s="427"/>
      <c r="H675" s="308"/>
      <c r="I675" s="644"/>
      <c r="J675" s="310">
        <f>J673-(E674+G674+I674+K674+L674)</f>
        <v>0</v>
      </c>
      <c r="K675" s="644"/>
      <c r="L675" s="645"/>
    </row>
    <row r="676" spans="2:12">
      <c r="B676" s="431" t="s">
        <v>138</v>
      </c>
      <c r="C676" s="104"/>
      <c r="D676" s="104"/>
      <c r="E676" s="104"/>
      <c r="F676" s="104"/>
      <c r="G676" s="105"/>
      <c r="H676" s="106"/>
      <c r="I676" s="107"/>
      <c r="J676" s="107"/>
      <c r="K676" s="107"/>
      <c r="L676" s="108"/>
    </row>
    <row r="677" spans="2:12">
      <c r="B677" s="432" t="s">
        <v>139</v>
      </c>
      <c r="C677" s="109"/>
      <c r="D677" s="109"/>
      <c r="E677" s="109"/>
      <c r="F677" s="109"/>
      <c r="G677" s="110"/>
      <c r="H677" s="77"/>
      <c r="I677" s="23"/>
      <c r="J677" s="23"/>
      <c r="K677" s="23"/>
      <c r="L677" s="111"/>
    </row>
    <row r="678" spans="2:12">
      <c r="B678" s="19"/>
      <c r="C678" s="305"/>
      <c r="D678" s="305"/>
      <c r="E678" s="305"/>
      <c r="F678" s="305"/>
      <c r="G678" s="305"/>
      <c r="H678" s="305"/>
      <c r="I678" s="305"/>
      <c r="J678" s="305"/>
      <c r="K678" s="305"/>
      <c r="L678" s="20"/>
    </row>
    <row r="679" spans="2:12" ht="15.75" thickBot="1">
      <c r="B679" s="31"/>
      <c r="C679" s="29"/>
      <c r="D679" s="29"/>
      <c r="E679" s="29"/>
      <c r="F679" s="29"/>
      <c r="G679" s="29"/>
      <c r="H679" s="29"/>
      <c r="I679" s="29"/>
      <c r="J679" s="29"/>
      <c r="K679" s="29"/>
      <c r="L679" s="30"/>
    </row>
    <row r="680" spans="2:12">
      <c r="B680" s="467"/>
      <c r="C680" s="467"/>
      <c r="D680" s="467"/>
      <c r="E680" s="467"/>
      <c r="F680" s="467"/>
      <c r="G680" s="467"/>
      <c r="H680" s="467"/>
      <c r="I680" s="467"/>
      <c r="J680" s="467"/>
      <c r="K680" s="467"/>
      <c r="L680" s="467"/>
    </row>
    <row r="681" spans="2:12">
      <c r="B681" s="467"/>
      <c r="C681" s="467"/>
      <c r="D681" s="467"/>
      <c r="E681" s="467"/>
      <c r="F681" s="467"/>
      <c r="G681" s="467"/>
      <c r="H681" s="467"/>
      <c r="I681" s="467"/>
      <c r="J681" s="467"/>
      <c r="K681" s="467"/>
      <c r="L681" s="467"/>
    </row>
    <row r="682" spans="2:12">
      <c r="B682" s="467"/>
      <c r="C682" s="467"/>
      <c r="D682" s="467"/>
      <c r="E682" s="467"/>
      <c r="F682" s="467"/>
      <c r="G682" s="467"/>
      <c r="H682" s="467"/>
      <c r="I682" s="467"/>
      <c r="J682" s="467"/>
      <c r="K682" s="467"/>
      <c r="L682" s="467"/>
    </row>
    <row r="683" spans="2:12">
      <c r="B683" s="467"/>
      <c r="C683" s="467"/>
      <c r="D683" s="467"/>
      <c r="E683" s="467"/>
      <c r="F683" s="467"/>
      <c r="G683" s="467"/>
      <c r="H683" s="467"/>
      <c r="I683" s="467"/>
      <c r="J683" s="467"/>
      <c r="K683" s="467"/>
      <c r="L683" s="467"/>
    </row>
    <row r="684" spans="2:12">
      <c r="B684" s="467"/>
      <c r="C684" s="467"/>
      <c r="D684" s="467"/>
      <c r="E684" s="467"/>
      <c r="F684" s="467"/>
      <c r="G684" s="467"/>
      <c r="H684" s="467"/>
      <c r="I684" s="467"/>
      <c r="J684" s="467"/>
      <c r="K684" s="467"/>
      <c r="L684" s="467"/>
    </row>
    <row r="685" spans="2:12">
      <c r="B685" s="467"/>
      <c r="C685" s="467"/>
      <c r="D685" s="467"/>
      <c r="E685" s="467"/>
      <c r="F685" s="467"/>
      <c r="G685" s="467"/>
      <c r="H685" s="467"/>
      <c r="I685" s="467"/>
      <c r="J685" s="467"/>
      <c r="K685" s="467"/>
      <c r="L685" s="467"/>
    </row>
    <row r="686" spans="2:12">
      <c r="B686" s="467"/>
      <c r="C686" s="467"/>
      <c r="D686" s="467"/>
      <c r="E686" s="467"/>
      <c r="F686" s="467"/>
      <c r="G686" s="467"/>
      <c r="H686" s="467"/>
      <c r="I686" s="467"/>
      <c r="J686" s="467"/>
      <c r="K686" s="467"/>
      <c r="L686" s="467"/>
    </row>
    <row r="687" spans="2:12" ht="15.75" thickBot="1"/>
    <row r="688" spans="2:12" ht="32.25">
      <c r="B688" s="853" t="s">
        <v>114</v>
      </c>
      <c r="C688" s="854"/>
      <c r="D688" s="854"/>
      <c r="E688" s="854"/>
      <c r="F688" s="854"/>
      <c r="G688" s="854"/>
      <c r="H688" s="854"/>
      <c r="I688" s="854"/>
      <c r="J688" s="854"/>
      <c r="K688" s="854"/>
      <c r="L688" s="855"/>
    </row>
    <row r="689" spans="2:12" ht="23.25">
      <c r="B689" s="856" t="s">
        <v>115</v>
      </c>
      <c r="C689" s="857"/>
      <c r="D689" s="857"/>
      <c r="E689" s="857"/>
      <c r="F689" s="857"/>
      <c r="G689" s="857"/>
      <c r="H689" s="857"/>
      <c r="I689" s="857"/>
      <c r="J689" s="857"/>
      <c r="K689" s="857"/>
      <c r="L689" s="858"/>
    </row>
    <row r="690" spans="2:12" ht="16.5" thickBot="1">
      <c r="B690" s="859" t="s">
        <v>116</v>
      </c>
      <c r="C690" s="860"/>
      <c r="D690" s="860"/>
      <c r="E690" s="860"/>
      <c r="F690" s="860"/>
      <c r="G690" s="860"/>
      <c r="H690" s="860"/>
      <c r="I690" s="860"/>
      <c r="J690" s="860"/>
      <c r="K690" s="860"/>
      <c r="L690" s="861"/>
    </row>
    <row r="691" spans="2:12">
      <c r="B691" s="862" t="s">
        <v>117</v>
      </c>
      <c r="C691" s="863"/>
      <c r="D691" s="863"/>
      <c r="E691" s="863"/>
      <c r="F691" s="863"/>
      <c r="G691" s="305"/>
      <c r="H691" s="866" t="s">
        <v>118</v>
      </c>
      <c r="I691" s="866"/>
      <c r="J691" s="866"/>
      <c r="K691" s="866"/>
      <c r="L691" s="867"/>
    </row>
    <row r="692" spans="2:12" ht="15.75" thickBot="1">
      <c r="B692" s="864"/>
      <c r="C692" s="865"/>
      <c r="D692" s="865"/>
      <c r="E692" s="865"/>
      <c r="F692" s="865"/>
      <c r="G692" s="305"/>
      <c r="H692" s="868"/>
      <c r="I692" s="868"/>
      <c r="J692" s="868"/>
      <c r="K692" s="868"/>
      <c r="L692" s="869"/>
    </row>
    <row r="693" spans="2:12">
      <c r="B693" s="81"/>
      <c r="C693" s="82"/>
      <c r="D693" s="82"/>
      <c r="E693" s="82"/>
      <c r="F693" s="83"/>
      <c r="G693" s="305"/>
      <c r="H693" s="81"/>
      <c r="I693" s="82"/>
      <c r="J693" s="82"/>
      <c r="K693" s="82"/>
      <c r="L693" s="83"/>
    </row>
    <row r="694" spans="2:12">
      <c r="B694" s="84" t="str">
        <f>'04-22Master'!F5</f>
        <v>Burgeon IT Services Pvt.Ltd.</v>
      </c>
      <c r="C694" s="305"/>
      <c r="D694" s="305"/>
      <c r="E694" s="305"/>
      <c r="F694" s="20"/>
      <c r="G694" s="305"/>
      <c r="H694" s="84" t="str">
        <f>'04-22Master'!AJ5</f>
        <v>Burgeon IT Services Pvt.Ltd.</v>
      </c>
      <c r="I694" s="305"/>
      <c r="J694" s="305"/>
      <c r="K694" s="305"/>
      <c r="L694" s="20"/>
    </row>
    <row r="695" spans="2:12">
      <c r="B695" s="19"/>
      <c r="C695" s="305"/>
      <c r="D695" s="305"/>
      <c r="E695" s="305"/>
      <c r="F695" s="20"/>
      <c r="G695" s="305"/>
      <c r="H695" s="19"/>
      <c r="I695" s="305"/>
      <c r="J695" s="305"/>
      <c r="K695" s="305"/>
      <c r="L695" s="20"/>
    </row>
    <row r="696" spans="2:12">
      <c r="B696" s="84" t="str">
        <f>'04-22Master'!F6</f>
        <v>Siri Mansion LIGB 436 Dr.A S Rao Nagar,Hyderabad</v>
      </c>
      <c r="C696" s="305"/>
      <c r="D696" s="305"/>
      <c r="E696" s="305"/>
      <c r="F696" s="20"/>
      <c r="G696" s="305"/>
      <c r="H696" s="84" t="str">
        <f>'04-22Master'!AJ6</f>
        <v>Siri Mansion LIGB 436 Dr.A S Rao Nagar,Hyderabad</v>
      </c>
      <c r="I696" s="305"/>
      <c r="J696" s="305"/>
      <c r="K696" s="305"/>
      <c r="L696" s="20"/>
    </row>
    <row r="697" spans="2:12" ht="15.75" thickBot="1">
      <c r="B697" s="31"/>
      <c r="C697" s="29"/>
      <c r="D697" s="29"/>
      <c r="E697" s="29"/>
      <c r="F697" s="30"/>
      <c r="G697" s="305"/>
      <c r="H697" s="31"/>
      <c r="I697" s="29"/>
      <c r="J697" s="29"/>
      <c r="K697" s="29"/>
      <c r="L697" s="30"/>
    </row>
    <row r="698" spans="2:12">
      <c r="B698" s="19"/>
      <c r="C698" s="305"/>
      <c r="D698" s="305"/>
      <c r="E698" s="305"/>
      <c r="F698" s="305"/>
      <c r="G698" s="305"/>
      <c r="H698" s="305"/>
      <c r="I698" s="305"/>
      <c r="J698" s="305" t="s">
        <v>119</v>
      </c>
      <c r="K698" s="305"/>
      <c r="L698" s="20"/>
    </row>
    <row r="699" spans="2:12">
      <c r="B699" s="796" t="s">
        <v>120</v>
      </c>
      <c r="C699" s="797"/>
      <c r="D699" s="797"/>
      <c r="E699" s="797"/>
      <c r="F699" s="797"/>
      <c r="G699" s="305"/>
      <c r="H699" s="797" t="s">
        <v>4</v>
      </c>
      <c r="I699" s="797"/>
      <c r="J699" s="797"/>
      <c r="K699" s="797"/>
      <c r="L699" s="870"/>
    </row>
    <row r="700" spans="2:12" ht="15.75" thickBot="1">
      <c r="B700" s="19"/>
      <c r="C700" s="305"/>
      <c r="D700" s="305"/>
      <c r="E700" s="305"/>
      <c r="F700" s="305"/>
      <c r="G700" s="305"/>
      <c r="H700" s="305"/>
      <c r="I700" s="305"/>
      <c r="J700" s="305"/>
      <c r="K700" s="305"/>
      <c r="L700" s="20"/>
    </row>
    <row r="701" spans="2:12">
      <c r="B701" s="81"/>
      <c r="C701" s="82"/>
      <c r="D701" s="82"/>
      <c r="E701" s="82"/>
      <c r="F701" s="83"/>
      <c r="G701" s="305"/>
      <c r="H701" s="85"/>
      <c r="I701" s="86"/>
      <c r="J701" s="86"/>
      <c r="K701" s="86"/>
      <c r="L701" s="87"/>
    </row>
    <row r="702" spans="2:12">
      <c r="B702" s="19"/>
      <c r="C702" s="305"/>
      <c r="D702" s="305"/>
      <c r="E702" s="305"/>
      <c r="F702" s="20"/>
      <c r="G702" s="305"/>
      <c r="H702" s="84" t="str">
        <f>'04-22Master'!AJ10</f>
        <v xml:space="preserve">INFOSYS  LTD.IL Hyderabad SEZ Unit-3 </v>
      </c>
      <c r="I702" s="306"/>
      <c r="J702" s="306"/>
      <c r="K702" s="306"/>
      <c r="L702" s="88"/>
    </row>
    <row r="703" spans="2:12">
      <c r="B703" s="84" t="str">
        <f>'04-22Master'!F8</f>
        <v>IT SUPPORTIVE SERVICES</v>
      </c>
      <c r="C703" s="305"/>
      <c r="D703" s="305"/>
      <c r="E703" s="305"/>
      <c r="F703" s="20"/>
      <c r="G703" s="305"/>
      <c r="H703" s="84"/>
      <c r="I703" s="306"/>
      <c r="J703" s="306"/>
      <c r="K703" s="306"/>
      <c r="L703" s="88"/>
    </row>
    <row r="704" spans="2:12">
      <c r="B704" s="19"/>
      <c r="C704" s="305"/>
      <c r="D704" s="305"/>
      <c r="E704" s="305"/>
      <c r="F704" s="20"/>
      <c r="G704" s="305"/>
      <c r="H704" s="84" t="str">
        <f>'04-22Master'!AJ11</f>
        <v>Sy.No 42,Pocharam Village,Gatkesar Mandal</v>
      </c>
      <c r="I704" s="306"/>
      <c r="J704" s="306"/>
      <c r="K704" s="306"/>
      <c r="L704" s="88"/>
    </row>
    <row r="705" spans="2:12" ht="15.75" thickBot="1">
      <c r="B705" s="31"/>
      <c r="C705" s="29"/>
      <c r="D705" s="29"/>
      <c r="E705" s="29"/>
      <c r="F705" s="30"/>
      <c r="G705" s="305"/>
      <c r="H705" s="84"/>
      <c r="I705" s="306"/>
      <c r="J705" s="306"/>
      <c r="K705" s="306"/>
      <c r="L705" s="88"/>
    </row>
    <row r="706" spans="2:12" ht="32.25" customHeight="1">
      <c r="B706" s="837" t="s">
        <v>121</v>
      </c>
      <c r="C706" s="838"/>
      <c r="D706" s="838"/>
      <c r="E706" s="838"/>
      <c r="F706" s="838"/>
      <c r="G706" s="842"/>
      <c r="H706" s="843">
        <f>'04-22Master'!B30</f>
        <v>0</v>
      </c>
      <c r="I706" s="840"/>
      <c r="J706" s="840"/>
      <c r="K706" s="840"/>
      <c r="L706" s="840"/>
    </row>
    <row r="707" spans="2:12" s="467" customFormat="1" ht="32.25" customHeight="1">
      <c r="B707" s="837"/>
      <c r="C707" s="838"/>
      <c r="D707" s="838"/>
      <c r="E707" s="838"/>
      <c r="F707" s="838"/>
      <c r="G707" s="842"/>
      <c r="H707" s="843">
        <f>'04-22Master'!G123</f>
        <v>0</v>
      </c>
      <c r="I707" s="840"/>
      <c r="J707" s="840"/>
      <c r="K707" s="840"/>
      <c r="L707" s="840"/>
    </row>
    <row r="708" spans="2:12" s="467" customFormat="1" ht="32.25" customHeight="1">
      <c r="B708" s="837" t="s">
        <v>122</v>
      </c>
      <c r="C708" s="838"/>
      <c r="D708" s="838"/>
      <c r="E708" s="838"/>
      <c r="F708" s="838"/>
      <c r="G708" s="842"/>
      <c r="H708" s="843">
        <f>'04-22Master'!Q30</f>
        <v>0</v>
      </c>
      <c r="I708" s="840"/>
      <c r="J708" s="840"/>
      <c r="K708" s="840"/>
      <c r="L708" s="840"/>
    </row>
    <row r="709" spans="2:12" s="467" customFormat="1" ht="32.25" customHeight="1">
      <c r="B709" s="837" t="s">
        <v>123</v>
      </c>
      <c r="C709" s="838"/>
      <c r="D709" s="838"/>
      <c r="E709" s="838"/>
      <c r="F709" s="838"/>
      <c r="G709" s="842"/>
      <c r="H709" s="843">
        <f>'04-22Master'!F30</f>
        <v>0</v>
      </c>
      <c r="I709" s="840"/>
      <c r="J709" s="840"/>
      <c r="K709" s="840"/>
      <c r="L709" s="840"/>
    </row>
    <row r="710" spans="2:12" s="467" customFormat="1" ht="32.25" customHeight="1">
      <c r="B710" s="837" t="s">
        <v>124</v>
      </c>
      <c r="C710" s="838"/>
      <c r="D710" s="838"/>
      <c r="E710" s="838"/>
      <c r="F710" s="838"/>
      <c r="G710" s="842"/>
      <c r="H710" s="873">
        <f>'04-22Master'!I30</f>
        <v>0</v>
      </c>
      <c r="I710" s="873"/>
      <c r="J710" s="873"/>
      <c r="K710" s="873"/>
      <c r="L710" s="873"/>
    </row>
    <row r="711" spans="2:12" s="467" customFormat="1" ht="32.25" customHeight="1">
      <c r="B711" s="837" t="s">
        <v>125</v>
      </c>
      <c r="C711" s="838"/>
      <c r="D711" s="838"/>
      <c r="E711" s="838"/>
      <c r="F711" s="838"/>
      <c r="G711" s="842"/>
      <c r="H711" s="843">
        <f>'04-22Master'!O30</f>
        <v>0</v>
      </c>
      <c r="I711" s="840"/>
      <c r="J711" s="840">
        <f>'04-22Master'!O316</f>
        <v>0</v>
      </c>
      <c r="K711" s="840"/>
      <c r="L711" s="840"/>
    </row>
    <row r="712" spans="2:12" s="467" customFormat="1" ht="32.25" customHeight="1">
      <c r="B712" s="837" t="s">
        <v>126</v>
      </c>
      <c r="C712" s="838"/>
      <c r="D712" s="838"/>
      <c r="E712" s="838"/>
      <c r="F712" s="838"/>
      <c r="G712" s="842"/>
      <c r="H712" s="843">
        <f>'04-22Master'!N30</f>
        <v>0</v>
      </c>
      <c r="I712" s="840"/>
      <c r="J712" s="840">
        <f>'04-22Master'!N316</f>
        <v>0</v>
      </c>
      <c r="K712" s="840"/>
      <c r="L712" s="840"/>
    </row>
    <row r="713" spans="2:12" s="467" customFormat="1" ht="32.25" customHeight="1">
      <c r="B713" s="837" t="s">
        <v>127</v>
      </c>
      <c r="C713" s="838"/>
      <c r="D713" s="838"/>
      <c r="E713" s="838"/>
      <c r="F713" s="838"/>
      <c r="G713" s="842"/>
      <c r="H713" s="843">
        <f>'04-22Master'!S30</f>
        <v>0</v>
      </c>
      <c r="I713" s="840"/>
      <c r="J713" s="840"/>
      <c r="K713" s="840"/>
      <c r="L713" s="840"/>
    </row>
    <row r="714" spans="2:12" s="467" customFormat="1" ht="32.25" customHeight="1">
      <c r="B714" s="837" t="s">
        <v>128</v>
      </c>
      <c r="C714" s="838"/>
      <c r="D714" s="838"/>
      <c r="E714" s="838"/>
      <c r="F714" s="838"/>
      <c r="G714" s="842"/>
      <c r="H714" s="873">
        <f>'04-22Master'!D10</f>
        <v>44652</v>
      </c>
      <c r="I714" s="873"/>
      <c r="J714" s="873"/>
      <c r="K714" s="873"/>
      <c r="L714" s="873"/>
    </row>
    <row r="715" spans="2:12" s="467" customFormat="1" ht="32.25" customHeight="1">
      <c r="B715" s="837" t="s">
        <v>129</v>
      </c>
      <c r="C715" s="838"/>
      <c r="D715" s="838"/>
      <c r="E715" s="838"/>
      <c r="F715" s="838"/>
      <c r="G715" s="842"/>
      <c r="H715" s="843" t="s">
        <v>130</v>
      </c>
      <c r="I715" s="840"/>
      <c r="J715" s="840"/>
      <c r="K715" s="840"/>
      <c r="L715" s="840"/>
    </row>
    <row r="716" spans="2:12" s="467" customFormat="1" ht="32.25" customHeight="1">
      <c r="B716" s="837" t="s">
        <v>131</v>
      </c>
      <c r="C716" s="838"/>
      <c r="D716" s="838"/>
      <c r="E716" s="838"/>
      <c r="F716" s="838"/>
      <c r="G716" s="842"/>
      <c r="H716" s="843">
        <f>'04-22Master'!Q30</f>
        <v>0</v>
      </c>
      <c r="I716" s="840"/>
      <c r="J716" s="840">
        <f>'04-22Master'!Q123</f>
        <v>0</v>
      </c>
      <c r="K716" s="840"/>
      <c r="L716" s="840"/>
    </row>
    <row r="717" spans="2:12" s="467" customFormat="1" ht="32.25" customHeight="1">
      <c r="B717" s="837" t="s">
        <v>132</v>
      </c>
      <c r="C717" s="838"/>
      <c r="D717" s="838"/>
      <c r="E717" s="838"/>
      <c r="F717" s="838"/>
      <c r="G717" s="842"/>
      <c r="H717" s="843">
        <v>0</v>
      </c>
      <c r="I717" s="840"/>
      <c r="J717" s="840" t="s">
        <v>37</v>
      </c>
      <c r="K717" s="840"/>
      <c r="L717" s="840"/>
    </row>
    <row r="718" spans="2:12" s="467" customFormat="1" ht="32.25" customHeight="1">
      <c r="B718" s="837" t="s">
        <v>133</v>
      </c>
      <c r="C718" s="838"/>
      <c r="D718" s="838"/>
      <c r="E718" s="838"/>
      <c r="F718" s="838"/>
      <c r="G718" s="842"/>
      <c r="H718" s="843">
        <v>0</v>
      </c>
      <c r="I718" s="840"/>
      <c r="J718" s="840">
        <v>0</v>
      </c>
      <c r="K718" s="840"/>
      <c r="L718" s="840"/>
    </row>
    <row r="719" spans="2:12" s="467" customFormat="1" ht="32.25" customHeight="1">
      <c r="B719" s="837" t="s">
        <v>134</v>
      </c>
      <c r="C719" s="838"/>
      <c r="D719" s="838"/>
      <c r="E719" s="838"/>
      <c r="F719" s="838"/>
      <c r="G719" s="842"/>
      <c r="H719" s="843">
        <v>0</v>
      </c>
      <c r="I719" s="840"/>
      <c r="J719" s="840">
        <v>0</v>
      </c>
      <c r="K719" s="840"/>
      <c r="L719" s="840"/>
    </row>
    <row r="720" spans="2:12" s="467" customFormat="1" ht="32.25" customHeight="1">
      <c r="B720" s="837" t="s">
        <v>135</v>
      </c>
      <c r="C720" s="838"/>
      <c r="D720" s="838"/>
      <c r="E720" s="838"/>
      <c r="F720" s="838"/>
      <c r="G720" s="842"/>
      <c r="H720" s="843">
        <f>'04-22Master'!AG30</f>
        <v>0</v>
      </c>
      <c r="I720" s="840"/>
      <c r="J720" s="840">
        <f>'04-22Master'!AG123</f>
        <v>0</v>
      </c>
      <c r="K720" s="840"/>
      <c r="L720" s="840" t="s">
        <v>35</v>
      </c>
    </row>
    <row r="721" spans="2:12" ht="32.25" customHeight="1">
      <c r="B721" s="430" t="s">
        <v>136</v>
      </c>
      <c r="C721" s="307"/>
      <c r="D721" s="642" t="s">
        <v>32</v>
      </c>
      <c r="E721" s="643">
        <f>'04-22Master'!AI30</f>
        <v>0</v>
      </c>
      <c r="F721" s="642" t="s">
        <v>31</v>
      </c>
      <c r="G721" s="643">
        <f>'04-22Master'!AH316</f>
        <v>0</v>
      </c>
      <c r="H721" s="642" t="s">
        <v>33</v>
      </c>
      <c r="I721" s="643">
        <f>'04-22Master'!AJ30</f>
        <v>0</v>
      </c>
      <c r="J721" s="642" t="s">
        <v>34</v>
      </c>
      <c r="K721" s="643">
        <f>'04-22Master'!AK316</f>
        <v>0</v>
      </c>
      <c r="L721" s="113">
        <f>'04-22Master'!AL316</f>
        <v>0</v>
      </c>
    </row>
    <row r="722" spans="2:12" ht="28.5" customHeight="1">
      <c r="B722" s="430" t="s">
        <v>137</v>
      </c>
      <c r="C722" s="307"/>
      <c r="D722" s="307"/>
      <c r="E722" s="307"/>
      <c r="F722" s="307"/>
      <c r="G722" s="427"/>
      <c r="H722" s="308"/>
      <c r="I722" s="644"/>
      <c r="J722" s="310">
        <f>H720-(E721+G721+I721+K721+L721)</f>
        <v>0</v>
      </c>
      <c r="K722" s="644"/>
      <c r="L722" s="645"/>
    </row>
    <row r="723" spans="2:12">
      <c r="B723" s="431" t="s">
        <v>138</v>
      </c>
      <c r="C723" s="104"/>
      <c r="D723" s="104"/>
      <c r="E723" s="104"/>
      <c r="F723" s="104"/>
      <c r="G723" s="105"/>
      <c r="H723" s="106"/>
      <c r="I723" s="107"/>
      <c r="J723" s="107"/>
      <c r="K723" s="107"/>
      <c r="L723" s="108"/>
    </row>
    <row r="724" spans="2:12">
      <c r="B724" s="432" t="s">
        <v>139</v>
      </c>
      <c r="C724" s="109"/>
      <c r="D724" s="109"/>
      <c r="E724" s="109"/>
      <c r="F724" s="109"/>
      <c r="G724" s="110"/>
      <c r="H724" s="77"/>
      <c r="I724" s="23"/>
      <c r="J724" s="23"/>
      <c r="K724" s="23"/>
      <c r="L724" s="111"/>
    </row>
    <row r="725" spans="2:12">
      <c r="B725" s="19"/>
      <c r="C725" s="305"/>
      <c r="D725" s="305"/>
      <c r="E725" s="305"/>
      <c r="F725" s="305"/>
      <c r="G725" s="305"/>
      <c r="H725" s="305"/>
      <c r="I725" s="305"/>
      <c r="J725" s="305"/>
      <c r="K725" s="305"/>
      <c r="L725" s="20"/>
    </row>
    <row r="726" spans="2:12" ht="15.75" thickBot="1">
      <c r="B726" s="31"/>
      <c r="C726" s="29"/>
      <c r="D726" s="29"/>
      <c r="E726" s="29"/>
      <c r="F726" s="29"/>
      <c r="G726" s="29"/>
      <c r="H726" s="29"/>
      <c r="I726" s="29"/>
      <c r="J726" s="29"/>
      <c r="K726" s="29"/>
      <c r="L726" s="30"/>
    </row>
    <row r="727" spans="2:12">
      <c r="B727" s="467"/>
      <c r="C727" s="467"/>
      <c r="D727" s="467"/>
      <c r="E727" s="467"/>
      <c r="F727" s="467"/>
      <c r="G727" s="467"/>
      <c r="H727" s="467"/>
      <c r="I727" s="467"/>
      <c r="J727" s="467"/>
      <c r="K727" s="467"/>
      <c r="L727" s="467"/>
    </row>
    <row r="728" spans="2:12">
      <c r="B728" s="467"/>
      <c r="C728" s="467"/>
      <c r="D728" s="467"/>
      <c r="E728" s="467"/>
      <c r="F728" s="467"/>
      <c r="G728" s="467"/>
      <c r="H728" s="467"/>
      <c r="I728" s="467"/>
      <c r="J728" s="467"/>
      <c r="K728" s="467"/>
      <c r="L728" s="467"/>
    </row>
    <row r="729" spans="2:12">
      <c r="B729" s="467"/>
      <c r="C729" s="467"/>
      <c r="D729" s="467"/>
      <c r="E729" s="467"/>
      <c r="F729" s="467"/>
      <c r="G729" s="467"/>
      <c r="H729" s="467"/>
      <c r="I729" s="467"/>
      <c r="J729" s="467"/>
      <c r="K729" s="467"/>
      <c r="L729" s="467"/>
    </row>
    <row r="730" spans="2:12">
      <c r="B730" s="467"/>
      <c r="C730" s="467"/>
      <c r="D730" s="467"/>
      <c r="E730" s="467"/>
      <c r="F730" s="467"/>
      <c r="G730" s="467"/>
      <c r="H730" s="467"/>
      <c r="I730" s="467"/>
      <c r="J730" s="467"/>
      <c r="K730" s="467"/>
      <c r="L730" s="467"/>
    </row>
    <row r="731" spans="2:12">
      <c r="B731" s="467"/>
      <c r="C731" s="467"/>
      <c r="D731" s="467"/>
      <c r="E731" s="467"/>
      <c r="F731" s="467"/>
      <c r="G731" s="467"/>
      <c r="H731" s="467"/>
      <c r="I731" s="467"/>
      <c r="J731" s="467"/>
      <c r="K731" s="467"/>
      <c r="L731" s="467"/>
    </row>
    <row r="732" spans="2:12">
      <c r="B732" s="467"/>
      <c r="C732" s="467"/>
      <c r="D732" s="467"/>
      <c r="E732" s="467"/>
      <c r="F732" s="467"/>
      <c r="G732" s="467"/>
      <c r="H732" s="467"/>
      <c r="I732" s="467"/>
      <c r="J732" s="467"/>
      <c r="K732" s="467"/>
      <c r="L732" s="467"/>
    </row>
    <row r="733" spans="2:12">
      <c r="B733" s="467"/>
      <c r="C733" s="467"/>
      <c r="D733" s="467"/>
      <c r="E733" s="467"/>
      <c r="F733" s="467"/>
      <c r="G733" s="467"/>
      <c r="H733" s="467"/>
      <c r="I733" s="467"/>
      <c r="J733" s="467"/>
      <c r="K733" s="467"/>
      <c r="L733" s="467"/>
    </row>
    <row r="735" spans="2:12" ht="15.75" thickBot="1"/>
    <row r="736" spans="2:12" ht="32.25">
      <c r="B736" s="853" t="s">
        <v>114</v>
      </c>
      <c r="C736" s="854"/>
      <c r="D736" s="854"/>
      <c r="E736" s="854"/>
      <c r="F736" s="854"/>
      <c r="G736" s="854"/>
      <c r="H736" s="854"/>
      <c r="I736" s="854"/>
      <c r="J736" s="854"/>
      <c r="K736" s="854"/>
      <c r="L736" s="855"/>
    </row>
    <row r="737" spans="2:12" ht="23.25">
      <c r="B737" s="856" t="s">
        <v>115</v>
      </c>
      <c r="C737" s="857"/>
      <c r="D737" s="857"/>
      <c r="E737" s="857"/>
      <c r="F737" s="857"/>
      <c r="G737" s="857"/>
      <c r="H737" s="857"/>
      <c r="I737" s="857"/>
      <c r="J737" s="857"/>
      <c r="K737" s="857"/>
      <c r="L737" s="858"/>
    </row>
    <row r="738" spans="2:12" ht="16.5" thickBot="1">
      <c r="B738" s="859" t="s">
        <v>116</v>
      </c>
      <c r="C738" s="860"/>
      <c r="D738" s="860"/>
      <c r="E738" s="860"/>
      <c r="F738" s="860"/>
      <c r="G738" s="860"/>
      <c r="H738" s="860"/>
      <c r="I738" s="860"/>
      <c r="J738" s="860"/>
      <c r="K738" s="860"/>
      <c r="L738" s="861"/>
    </row>
    <row r="739" spans="2:12">
      <c r="B739" s="862" t="s">
        <v>117</v>
      </c>
      <c r="C739" s="863"/>
      <c r="D739" s="863"/>
      <c r="E739" s="863"/>
      <c r="F739" s="863"/>
      <c r="G739" s="305"/>
      <c r="H739" s="866" t="s">
        <v>118</v>
      </c>
      <c r="I739" s="866"/>
      <c r="J739" s="866"/>
      <c r="K739" s="866"/>
      <c r="L739" s="867"/>
    </row>
    <row r="740" spans="2:12" ht="15.75" thickBot="1">
      <c r="B740" s="864"/>
      <c r="C740" s="865"/>
      <c r="D740" s="865"/>
      <c r="E740" s="865"/>
      <c r="F740" s="865"/>
      <c r="G740" s="305"/>
      <c r="H740" s="868"/>
      <c r="I740" s="868"/>
      <c r="J740" s="868"/>
      <c r="K740" s="868"/>
      <c r="L740" s="869"/>
    </row>
    <row r="741" spans="2:12">
      <c r="B741" s="81"/>
      <c r="C741" s="82"/>
      <c r="D741" s="82"/>
      <c r="E741" s="82"/>
      <c r="F741" s="83"/>
      <c r="G741" s="305"/>
      <c r="H741" s="81"/>
      <c r="I741" s="82"/>
      <c r="J741" s="82"/>
      <c r="K741" s="82"/>
      <c r="L741" s="83"/>
    </row>
    <row r="742" spans="2:12">
      <c r="B742" s="84" t="str">
        <f>'04-22Master'!F5</f>
        <v>Burgeon IT Services Pvt.Ltd.</v>
      </c>
      <c r="C742" s="305"/>
      <c r="D742" s="305"/>
      <c r="E742" s="305"/>
      <c r="F742" s="20"/>
      <c r="G742" s="305"/>
      <c r="H742" s="84" t="str">
        <f>'04-22Master'!AJ5</f>
        <v>Burgeon IT Services Pvt.Ltd.</v>
      </c>
      <c r="I742" s="305"/>
      <c r="J742" s="305"/>
      <c r="K742" s="305"/>
      <c r="L742" s="20"/>
    </row>
    <row r="743" spans="2:12">
      <c r="B743" s="19"/>
      <c r="C743" s="305"/>
      <c r="D743" s="305"/>
      <c r="E743" s="305"/>
      <c r="F743" s="20"/>
      <c r="G743" s="305"/>
      <c r="H743" s="19"/>
      <c r="I743" s="305"/>
      <c r="J743" s="305"/>
      <c r="K743" s="305"/>
      <c r="L743" s="20"/>
    </row>
    <row r="744" spans="2:12">
      <c r="B744" s="84" t="str">
        <f>'04-22Master'!F6</f>
        <v>Siri Mansion LIGB 436 Dr.A S Rao Nagar,Hyderabad</v>
      </c>
      <c r="C744" s="305"/>
      <c r="D744" s="305"/>
      <c r="E744" s="305"/>
      <c r="F744" s="20"/>
      <c r="G744" s="305"/>
      <c r="H744" s="84" t="str">
        <f>'04-22Master'!AJ6</f>
        <v>Siri Mansion LIGB 436 Dr.A S Rao Nagar,Hyderabad</v>
      </c>
      <c r="I744" s="305"/>
      <c r="J744" s="305"/>
      <c r="K744" s="305"/>
      <c r="L744" s="20"/>
    </row>
    <row r="745" spans="2:12" ht="15.75" thickBot="1">
      <c r="B745" s="31"/>
      <c r="C745" s="29"/>
      <c r="D745" s="29"/>
      <c r="E745" s="29"/>
      <c r="F745" s="30"/>
      <c r="G745" s="305"/>
      <c r="H745" s="31"/>
      <c r="I745" s="29"/>
      <c r="J745" s="29"/>
      <c r="K745" s="29"/>
      <c r="L745" s="30"/>
    </row>
    <row r="746" spans="2:12">
      <c r="B746" s="19"/>
      <c r="C746" s="305"/>
      <c r="D746" s="305"/>
      <c r="E746" s="305"/>
      <c r="F746" s="305"/>
      <c r="G746" s="305"/>
      <c r="H746" s="305"/>
      <c r="I746" s="305"/>
      <c r="J746" s="305" t="s">
        <v>119</v>
      </c>
      <c r="K746" s="305"/>
      <c r="L746" s="20"/>
    </row>
    <row r="747" spans="2:12">
      <c r="B747" s="796" t="s">
        <v>120</v>
      </c>
      <c r="C747" s="797"/>
      <c r="D747" s="797"/>
      <c r="E747" s="797"/>
      <c r="F747" s="797"/>
      <c r="G747" s="305"/>
      <c r="H747" s="797" t="s">
        <v>4</v>
      </c>
      <c r="I747" s="797"/>
      <c r="J747" s="797"/>
      <c r="K747" s="797"/>
      <c r="L747" s="870"/>
    </row>
    <row r="748" spans="2:12" ht="15.75" thickBot="1">
      <c r="B748" s="19"/>
      <c r="C748" s="305"/>
      <c r="D748" s="305"/>
      <c r="E748" s="305"/>
      <c r="F748" s="305"/>
      <c r="G748" s="305"/>
      <c r="H748" s="305"/>
      <c r="I748" s="305"/>
      <c r="J748" s="305"/>
      <c r="K748" s="305"/>
      <c r="L748" s="20"/>
    </row>
    <row r="749" spans="2:12">
      <c r="B749" s="81"/>
      <c r="C749" s="82"/>
      <c r="D749" s="82"/>
      <c r="E749" s="82"/>
      <c r="F749" s="83"/>
      <c r="G749" s="305"/>
      <c r="H749" s="85"/>
      <c r="I749" s="86"/>
      <c r="J749" s="86"/>
      <c r="K749" s="86"/>
      <c r="L749" s="87"/>
    </row>
    <row r="750" spans="2:12">
      <c r="B750" s="19"/>
      <c r="C750" s="305"/>
      <c r="D750" s="305"/>
      <c r="E750" s="305"/>
      <c r="F750" s="20"/>
      <c r="G750" s="305"/>
      <c r="H750" s="84" t="str">
        <f>'04-22Master'!AJ10</f>
        <v xml:space="preserve">INFOSYS  LTD.IL Hyderabad SEZ Unit-3 </v>
      </c>
      <c r="I750" s="306"/>
      <c r="J750" s="306"/>
      <c r="K750" s="306"/>
      <c r="L750" s="88"/>
    </row>
    <row r="751" spans="2:12">
      <c r="B751" s="84" t="str">
        <f>'04-22Master'!F8</f>
        <v>IT SUPPORTIVE SERVICES</v>
      </c>
      <c r="C751" s="305"/>
      <c r="D751" s="305"/>
      <c r="E751" s="305"/>
      <c r="F751" s="20"/>
      <c r="G751" s="305"/>
      <c r="H751" s="84"/>
      <c r="I751" s="306"/>
      <c r="J751" s="306"/>
      <c r="K751" s="306"/>
      <c r="L751" s="88"/>
    </row>
    <row r="752" spans="2:12">
      <c r="B752" s="19"/>
      <c r="C752" s="305"/>
      <c r="D752" s="305"/>
      <c r="E752" s="305"/>
      <c r="F752" s="20"/>
      <c r="G752" s="305"/>
      <c r="H752" s="84" t="str">
        <f>'04-22Master'!AJ11</f>
        <v>Sy.No 42,Pocharam Village,Gatkesar Mandal</v>
      </c>
      <c r="I752" s="306"/>
      <c r="J752" s="306"/>
      <c r="K752" s="306"/>
      <c r="L752" s="88"/>
    </row>
    <row r="753" spans="2:12" ht="15.75" thickBot="1">
      <c r="B753" s="31"/>
      <c r="C753" s="29"/>
      <c r="D753" s="29"/>
      <c r="E753" s="29"/>
      <c r="F753" s="30"/>
      <c r="G753" s="305"/>
      <c r="H753" s="84"/>
      <c r="I753" s="306"/>
      <c r="J753" s="306"/>
      <c r="K753" s="306"/>
      <c r="L753" s="88"/>
    </row>
    <row r="754" spans="2:12" ht="27.75" customHeight="1">
      <c r="B754" s="837" t="s">
        <v>121</v>
      </c>
      <c r="C754" s="838"/>
      <c r="D754" s="838"/>
      <c r="E754" s="838"/>
      <c r="F754" s="838"/>
      <c r="G754" s="842"/>
      <c r="H754" s="843">
        <f>'04-22Master'!B31</f>
        <v>0</v>
      </c>
      <c r="I754" s="840"/>
      <c r="J754" s="840"/>
      <c r="K754" s="840"/>
      <c r="L754" s="840"/>
    </row>
    <row r="755" spans="2:12" s="467" customFormat="1" ht="27.75" customHeight="1">
      <c r="B755" s="837"/>
      <c r="C755" s="838"/>
      <c r="D755" s="838"/>
      <c r="E755" s="838"/>
      <c r="F755" s="838"/>
      <c r="G755" s="842"/>
      <c r="H755" s="843">
        <f>'04-22Master'!G171</f>
        <v>0</v>
      </c>
      <c r="I755" s="840"/>
      <c r="J755" s="840"/>
      <c r="K755" s="840"/>
      <c r="L755" s="840"/>
    </row>
    <row r="756" spans="2:12" s="467" customFormat="1" ht="27.75" customHeight="1">
      <c r="B756" s="837" t="s">
        <v>122</v>
      </c>
      <c r="C756" s="838"/>
      <c r="D756" s="838"/>
      <c r="E756" s="838"/>
      <c r="F756" s="838"/>
      <c r="G756" s="842"/>
      <c r="H756" s="843">
        <f>'04-22Master'!A31</f>
        <v>0</v>
      </c>
      <c r="I756" s="840"/>
      <c r="J756" s="840"/>
      <c r="K756" s="840"/>
      <c r="L756" s="840"/>
    </row>
    <row r="757" spans="2:12" s="467" customFormat="1" ht="27.75" customHeight="1">
      <c r="B757" s="837" t="s">
        <v>123</v>
      </c>
      <c r="C757" s="838"/>
      <c r="D757" s="838"/>
      <c r="E757" s="838"/>
      <c r="F757" s="838"/>
      <c r="G757" s="842"/>
      <c r="H757" s="843">
        <f>'04-22Master'!F31</f>
        <v>0</v>
      </c>
      <c r="I757" s="840"/>
      <c r="J757" s="840"/>
      <c r="K757" s="840"/>
      <c r="L757" s="840"/>
    </row>
    <row r="758" spans="2:12" s="467" customFormat="1" ht="27.75" customHeight="1">
      <c r="B758" s="837" t="s">
        <v>124</v>
      </c>
      <c r="C758" s="838"/>
      <c r="D758" s="838"/>
      <c r="E758" s="838"/>
      <c r="F758" s="838"/>
      <c r="G758" s="842"/>
      <c r="H758" s="873">
        <f>'04-22Master'!I31</f>
        <v>0</v>
      </c>
      <c r="I758" s="873"/>
      <c r="J758" s="873"/>
      <c r="K758" s="873"/>
      <c r="L758" s="873"/>
    </row>
    <row r="759" spans="2:12" s="467" customFormat="1" ht="27.75" customHeight="1">
      <c r="B759" s="837" t="s">
        <v>125</v>
      </c>
      <c r="C759" s="838"/>
      <c r="D759" s="838"/>
      <c r="E759" s="838"/>
      <c r="F759" s="838"/>
      <c r="G759" s="842"/>
      <c r="H759" s="843">
        <f>'04-22Master'!O32</f>
        <v>0</v>
      </c>
      <c r="I759" s="840"/>
      <c r="J759" s="840">
        <f>'04-22Master'!O364</f>
        <v>0</v>
      </c>
      <c r="K759" s="840"/>
      <c r="L759" s="840"/>
    </row>
    <row r="760" spans="2:12" s="467" customFormat="1" ht="27.75" customHeight="1">
      <c r="B760" s="837" t="s">
        <v>126</v>
      </c>
      <c r="C760" s="838"/>
      <c r="D760" s="838"/>
      <c r="E760" s="838"/>
      <c r="F760" s="838"/>
      <c r="G760" s="842"/>
      <c r="H760" s="843">
        <f>'04-22Master'!N32</f>
        <v>0</v>
      </c>
      <c r="I760" s="840"/>
      <c r="J760" s="840">
        <f>'04-22Master'!N364</f>
        <v>0</v>
      </c>
      <c r="K760" s="840"/>
      <c r="L760" s="840"/>
    </row>
    <row r="761" spans="2:12" s="467" customFormat="1" ht="27.75" customHeight="1">
      <c r="B761" s="837" t="s">
        <v>127</v>
      </c>
      <c r="C761" s="838"/>
      <c r="D761" s="838"/>
      <c r="E761" s="838"/>
      <c r="F761" s="838"/>
      <c r="G761" s="842"/>
      <c r="H761" s="843">
        <f>'04-22Master'!S31</f>
        <v>0</v>
      </c>
      <c r="I761" s="840"/>
      <c r="J761" s="840"/>
      <c r="K761" s="840"/>
      <c r="L761" s="840"/>
    </row>
    <row r="762" spans="2:12" s="467" customFormat="1" ht="27.75" customHeight="1">
      <c r="B762" s="837" t="s">
        <v>128</v>
      </c>
      <c r="C762" s="838"/>
      <c r="D762" s="838"/>
      <c r="E762" s="838"/>
      <c r="F762" s="838"/>
      <c r="G762" s="842"/>
      <c r="H762" s="873">
        <f>'04-22Master'!D10</f>
        <v>44652</v>
      </c>
      <c r="I762" s="873"/>
      <c r="J762" s="873"/>
      <c r="K762" s="873"/>
      <c r="L762" s="873"/>
    </row>
    <row r="763" spans="2:12" ht="30.75" customHeight="1">
      <c r="B763" s="837" t="s">
        <v>129</v>
      </c>
      <c r="C763" s="838"/>
      <c r="D763" s="838"/>
      <c r="E763" s="838"/>
      <c r="F763" s="838"/>
      <c r="G763" s="838"/>
      <c r="H763" s="840" t="s">
        <v>130</v>
      </c>
      <c r="I763" s="840"/>
      <c r="J763" s="840"/>
      <c r="K763" s="840"/>
      <c r="L763" s="841"/>
    </row>
    <row r="764" spans="2:12" s="467" customFormat="1" ht="27.75" customHeight="1">
      <c r="B764" s="837" t="s">
        <v>131</v>
      </c>
      <c r="C764" s="838"/>
      <c r="D764" s="838"/>
      <c r="E764" s="838"/>
      <c r="F764" s="838"/>
      <c r="G764" s="838"/>
      <c r="H764" s="843">
        <f>'04-22Master'!Q31</f>
        <v>0</v>
      </c>
      <c r="I764" s="871"/>
      <c r="J764" s="871">
        <f>'04-22Master'!Q171</f>
        <v>0</v>
      </c>
      <c r="K764" s="871"/>
      <c r="L764" s="872"/>
    </row>
    <row r="765" spans="2:12" s="467" customFormat="1" ht="25.5" customHeight="1">
      <c r="B765" s="837" t="s">
        <v>132</v>
      </c>
      <c r="C765" s="838"/>
      <c r="D765" s="838"/>
      <c r="E765" s="838"/>
      <c r="F765" s="838"/>
      <c r="G765" s="838"/>
      <c r="H765" s="840">
        <v>0</v>
      </c>
      <c r="I765" s="840"/>
      <c r="J765" s="840" t="s">
        <v>37</v>
      </c>
      <c r="K765" s="840"/>
      <c r="L765" s="841"/>
    </row>
    <row r="766" spans="2:12" s="467" customFormat="1" ht="23.25" customHeight="1">
      <c r="B766" s="837" t="s">
        <v>133</v>
      </c>
      <c r="C766" s="838"/>
      <c r="D766" s="838"/>
      <c r="E766" s="838"/>
      <c r="F766" s="838"/>
      <c r="G766" s="838"/>
      <c r="H766" s="840">
        <v>0</v>
      </c>
      <c r="I766" s="840"/>
      <c r="J766" s="840">
        <v>0</v>
      </c>
      <c r="K766" s="840"/>
      <c r="L766" s="841"/>
    </row>
    <row r="767" spans="2:12" s="467" customFormat="1" ht="26.25" customHeight="1">
      <c r="B767" s="837" t="s">
        <v>134</v>
      </c>
      <c r="C767" s="838"/>
      <c r="D767" s="838"/>
      <c r="E767" s="838"/>
      <c r="F767" s="838"/>
      <c r="G767" s="838"/>
      <c r="H767" s="840">
        <v>0</v>
      </c>
      <c r="I767" s="840"/>
      <c r="J767" s="840">
        <v>0</v>
      </c>
      <c r="K767" s="840"/>
      <c r="L767" s="841"/>
    </row>
    <row r="768" spans="2:12" s="467" customFormat="1" ht="24" customHeight="1">
      <c r="B768" s="837" t="s">
        <v>135</v>
      </c>
      <c r="C768" s="838"/>
      <c r="D768" s="838"/>
      <c r="E768" s="838"/>
      <c r="F768" s="838"/>
      <c r="G768" s="838"/>
      <c r="H768" s="843">
        <f>'04-22Master'!AG31</f>
        <v>0</v>
      </c>
      <c r="I768" s="840"/>
      <c r="J768" s="840">
        <f>'04-22Master'!AG171</f>
        <v>0</v>
      </c>
      <c r="K768" s="840"/>
      <c r="L768" s="841" t="s">
        <v>35</v>
      </c>
    </row>
    <row r="769" spans="2:12" ht="34.5" customHeight="1">
      <c r="B769" s="430" t="s">
        <v>136</v>
      </c>
      <c r="C769" s="307"/>
      <c r="D769" s="642" t="s">
        <v>32</v>
      </c>
      <c r="E769" s="643">
        <f>'04-22Master'!AI31</f>
        <v>0</v>
      </c>
      <c r="F769" s="642" t="s">
        <v>31</v>
      </c>
      <c r="G769" s="643">
        <f>'04-22Master'!AH364</f>
        <v>0</v>
      </c>
      <c r="H769" s="642" t="s">
        <v>33</v>
      </c>
      <c r="I769" s="643">
        <f>'04-22Master'!AJ31</f>
        <v>0</v>
      </c>
      <c r="J769" s="642" t="s">
        <v>34</v>
      </c>
      <c r="K769" s="643">
        <f>'04-22Master'!AK364</f>
        <v>0</v>
      </c>
      <c r="L769" s="113">
        <f>'04-22Master'!AL364</f>
        <v>0</v>
      </c>
    </row>
    <row r="770" spans="2:12" ht="26.25" customHeight="1">
      <c r="B770" s="430" t="s">
        <v>137</v>
      </c>
      <c r="C770" s="307"/>
      <c r="D770" s="307"/>
      <c r="E770" s="307"/>
      <c r="F770" s="307"/>
      <c r="G770" s="427"/>
      <c r="H770" s="308"/>
      <c r="I770" s="644"/>
      <c r="J770" s="310">
        <f>H768-(E769+G769+I769+K769+L769)</f>
        <v>0</v>
      </c>
      <c r="K770" s="644"/>
      <c r="L770" s="645"/>
    </row>
    <row r="771" spans="2:12">
      <c r="B771" s="431" t="s">
        <v>138</v>
      </c>
      <c r="C771" s="104"/>
      <c r="D771" s="104"/>
      <c r="E771" s="104"/>
      <c r="F771" s="104"/>
      <c r="G771" s="105"/>
      <c r="H771" s="106"/>
      <c r="I771" s="107"/>
      <c r="J771" s="107"/>
      <c r="K771" s="107"/>
      <c r="L771" s="108"/>
    </row>
    <row r="772" spans="2:12">
      <c r="B772" s="432" t="s">
        <v>139</v>
      </c>
      <c r="C772" s="109"/>
      <c r="D772" s="109"/>
      <c r="E772" s="109"/>
      <c r="F772" s="109"/>
      <c r="G772" s="110"/>
      <c r="H772" s="77"/>
      <c r="I772" s="23"/>
      <c r="J772" s="23"/>
      <c r="K772" s="23"/>
      <c r="L772" s="111"/>
    </row>
    <row r="773" spans="2:12">
      <c r="B773" s="19"/>
      <c r="C773" s="305"/>
      <c r="D773" s="305"/>
      <c r="E773" s="305"/>
      <c r="F773" s="305"/>
      <c r="G773" s="305"/>
      <c r="H773" s="305"/>
      <c r="I773" s="305"/>
      <c r="J773" s="305"/>
      <c r="K773" s="305"/>
      <c r="L773" s="20"/>
    </row>
    <row r="774" spans="2:12" ht="15.75" thickBot="1">
      <c r="B774" s="31"/>
      <c r="C774" s="29"/>
      <c r="D774" s="29"/>
      <c r="E774" s="29"/>
      <c r="F774" s="29"/>
      <c r="G774" s="29"/>
      <c r="H774" s="29"/>
      <c r="I774" s="29"/>
      <c r="J774" s="29"/>
      <c r="K774" s="29"/>
      <c r="L774" s="30"/>
    </row>
    <row r="775" spans="2:12">
      <c r="B775" s="467"/>
      <c r="C775" s="467"/>
      <c r="D775" s="467"/>
      <c r="E775" s="467"/>
      <c r="F775" s="467"/>
      <c r="G775" s="467"/>
      <c r="H775" s="467"/>
      <c r="I775" s="467"/>
      <c r="J775" s="467"/>
      <c r="K775" s="467"/>
      <c r="L775" s="467"/>
    </row>
    <row r="776" spans="2:12">
      <c r="B776" s="467"/>
      <c r="C776" s="467"/>
      <c r="D776" s="467"/>
      <c r="E776" s="467"/>
      <c r="F776" s="467"/>
      <c r="G776" s="467"/>
      <c r="H776" s="467"/>
      <c r="I776" s="467"/>
      <c r="J776" s="467"/>
      <c r="K776" s="467"/>
      <c r="L776" s="467"/>
    </row>
    <row r="777" spans="2:12">
      <c r="B777" s="467"/>
      <c r="C777" s="467"/>
      <c r="D777" s="467"/>
      <c r="E777" s="467"/>
      <c r="F777" s="467"/>
      <c r="G777" s="467"/>
      <c r="H777" s="467"/>
      <c r="I777" s="467"/>
      <c r="J777" s="467"/>
      <c r="K777" s="467"/>
      <c r="L777" s="467"/>
    </row>
    <row r="778" spans="2:12">
      <c r="B778" s="467"/>
      <c r="C778" s="467"/>
      <c r="D778" s="467"/>
      <c r="E778" s="467"/>
      <c r="F778" s="467"/>
      <c r="G778" s="467"/>
      <c r="H778" s="467"/>
      <c r="I778" s="467"/>
      <c r="J778" s="467"/>
      <c r="K778" s="467"/>
      <c r="L778" s="467"/>
    </row>
    <row r="779" spans="2:12">
      <c r="B779" s="467"/>
      <c r="C779" s="467"/>
      <c r="D779" s="467"/>
      <c r="E779" s="467"/>
      <c r="F779" s="467"/>
      <c r="G779" s="467"/>
      <c r="H779" s="467"/>
      <c r="I779" s="467"/>
      <c r="J779" s="467"/>
      <c r="K779" s="467"/>
      <c r="L779" s="467"/>
    </row>
    <row r="780" spans="2:12">
      <c r="B780" s="467"/>
      <c r="C780" s="467"/>
      <c r="D780" s="467"/>
      <c r="E780" s="467"/>
      <c r="F780" s="467"/>
      <c r="G780" s="467"/>
      <c r="H780" s="467"/>
      <c r="I780" s="467"/>
      <c r="J780" s="467"/>
      <c r="K780" s="467"/>
      <c r="L780" s="467"/>
    </row>
    <row r="781" spans="2:12">
      <c r="B781" s="467"/>
      <c r="C781" s="467"/>
      <c r="D781" s="467"/>
      <c r="E781" s="467"/>
      <c r="F781" s="467"/>
      <c r="G781" s="467"/>
      <c r="H781" s="467"/>
      <c r="I781" s="467"/>
      <c r="J781" s="467"/>
      <c r="K781" s="467"/>
      <c r="L781" s="467"/>
    </row>
    <row r="782" spans="2:12" ht="15.75" thickBot="1"/>
    <row r="783" spans="2:12" ht="32.25">
      <c r="B783" s="853" t="s">
        <v>114</v>
      </c>
      <c r="C783" s="854"/>
      <c r="D783" s="854"/>
      <c r="E783" s="854"/>
      <c r="F783" s="854"/>
      <c r="G783" s="854"/>
      <c r="H783" s="854"/>
      <c r="I783" s="854"/>
      <c r="J783" s="854"/>
      <c r="K783" s="854"/>
      <c r="L783" s="855"/>
    </row>
    <row r="784" spans="2:12" ht="23.25">
      <c r="B784" s="856" t="s">
        <v>115</v>
      </c>
      <c r="C784" s="857"/>
      <c r="D784" s="857"/>
      <c r="E784" s="857"/>
      <c r="F784" s="857"/>
      <c r="G784" s="857"/>
      <c r="H784" s="857"/>
      <c r="I784" s="857"/>
      <c r="J784" s="857"/>
      <c r="K784" s="857"/>
      <c r="L784" s="858"/>
    </row>
    <row r="785" spans="2:12" ht="16.5" thickBot="1">
      <c r="B785" s="859" t="s">
        <v>116</v>
      </c>
      <c r="C785" s="860"/>
      <c r="D785" s="860"/>
      <c r="E785" s="860"/>
      <c r="F785" s="860"/>
      <c r="G785" s="860"/>
      <c r="H785" s="860"/>
      <c r="I785" s="860"/>
      <c r="J785" s="860"/>
      <c r="K785" s="860"/>
      <c r="L785" s="861"/>
    </row>
    <row r="786" spans="2:12">
      <c r="B786" s="862" t="s">
        <v>117</v>
      </c>
      <c r="C786" s="863"/>
      <c r="D786" s="863"/>
      <c r="E786" s="863"/>
      <c r="F786" s="863"/>
      <c r="G786" s="305"/>
      <c r="H786" s="866" t="s">
        <v>118</v>
      </c>
      <c r="I786" s="866"/>
      <c r="J786" s="866"/>
      <c r="K786" s="866"/>
      <c r="L786" s="867"/>
    </row>
    <row r="787" spans="2:12" ht="15.75" thickBot="1">
      <c r="B787" s="864"/>
      <c r="C787" s="865"/>
      <c r="D787" s="865"/>
      <c r="E787" s="865"/>
      <c r="F787" s="865"/>
      <c r="G787" s="305"/>
      <c r="H787" s="868"/>
      <c r="I787" s="868"/>
      <c r="J787" s="868"/>
      <c r="K787" s="868"/>
      <c r="L787" s="869"/>
    </row>
    <row r="788" spans="2:12">
      <c r="B788" s="81"/>
      <c r="C788" s="82"/>
      <c r="D788" s="82"/>
      <c r="E788" s="82"/>
      <c r="F788" s="83"/>
      <c r="G788" s="305"/>
      <c r="H788" s="81"/>
      <c r="I788" s="82"/>
      <c r="J788" s="82"/>
      <c r="K788" s="82"/>
      <c r="L788" s="83"/>
    </row>
    <row r="789" spans="2:12">
      <c r="B789" s="84" t="str">
        <f>'04-22Master'!F5</f>
        <v>Burgeon IT Services Pvt.Ltd.</v>
      </c>
      <c r="C789" s="305"/>
      <c r="D789" s="305"/>
      <c r="E789" s="305"/>
      <c r="F789" s="20"/>
      <c r="G789" s="305"/>
      <c r="H789" s="84" t="str">
        <f>'04-22Master'!AJ5</f>
        <v>Burgeon IT Services Pvt.Ltd.</v>
      </c>
      <c r="I789" s="305"/>
      <c r="J789" s="305"/>
      <c r="K789" s="305"/>
      <c r="L789" s="20"/>
    </row>
    <row r="790" spans="2:12">
      <c r="B790" s="19"/>
      <c r="C790" s="305"/>
      <c r="D790" s="305"/>
      <c r="E790" s="305"/>
      <c r="F790" s="20"/>
      <c r="G790" s="305"/>
      <c r="H790" s="19"/>
      <c r="I790" s="305"/>
      <c r="J790" s="305"/>
      <c r="K790" s="305"/>
      <c r="L790" s="20"/>
    </row>
    <row r="791" spans="2:12">
      <c r="B791" s="84" t="str">
        <f>'04-22Master'!F6</f>
        <v>Siri Mansion LIGB 436 Dr.A S Rao Nagar,Hyderabad</v>
      </c>
      <c r="C791" s="305"/>
      <c r="D791" s="305"/>
      <c r="E791" s="305"/>
      <c r="F791" s="20"/>
      <c r="G791" s="305"/>
      <c r="H791" s="84" t="str">
        <f>'04-22Master'!AJ6</f>
        <v>Siri Mansion LIGB 436 Dr.A S Rao Nagar,Hyderabad</v>
      </c>
      <c r="I791" s="305"/>
      <c r="J791" s="305"/>
      <c r="K791" s="305"/>
      <c r="L791" s="20"/>
    </row>
    <row r="792" spans="2:12" ht="15.75" thickBot="1">
      <c r="B792" s="31"/>
      <c r="C792" s="29"/>
      <c r="D792" s="29"/>
      <c r="E792" s="29"/>
      <c r="F792" s="30"/>
      <c r="G792" s="305"/>
      <c r="H792" s="31"/>
      <c r="I792" s="29"/>
      <c r="J792" s="29"/>
      <c r="K792" s="29"/>
      <c r="L792" s="30"/>
    </row>
    <row r="793" spans="2:12">
      <c r="B793" s="19"/>
      <c r="C793" s="305"/>
      <c r="D793" s="305"/>
      <c r="E793" s="305"/>
      <c r="F793" s="305"/>
      <c r="G793" s="305"/>
      <c r="H793" s="305"/>
      <c r="I793" s="305"/>
      <c r="J793" s="305" t="s">
        <v>119</v>
      </c>
      <c r="K793" s="305"/>
      <c r="L793" s="20"/>
    </row>
    <row r="794" spans="2:12">
      <c r="B794" s="796" t="s">
        <v>120</v>
      </c>
      <c r="C794" s="797"/>
      <c r="D794" s="797"/>
      <c r="E794" s="797"/>
      <c r="F794" s="797"/>
      <c r="G794" s="305"/>
      <c r="H794" s="797" t="s">
        <v>4</v>
      </c>
      <c r="I794" s="797"/>
      <c r="J794" s="797"/>
      <c r="K794" s="797"/>
      <c r="L794" s="870"/>
    </row>
    <row r="795" spans="2:12" ht="15.75" thickBot="1">
      <c r="B795" s="19"/>
      <c r="C795" s="305"/>
      <c r="D795" s="305"/>
      <c r="E795" s="305"/>
      <c r="F795" s="305"/>
      <c r="G795" s="305"/>
      <c r="H795" s="305"/>
      <c r="I795" s="305"/>
      <c r="J795" s="305"/>
      <c r="K795" s="305"/>
      <c r="L795" s="20"/>
    </row>
    <row r="796" spans="2:12">
      <c r="B796" s="81"/>
      <c r="C796" s="82"/>
      <c r="D796" s="82"/>
      <c r="E796" s="82"/>
      <c r="F796" s="83"/>
      <c r="G796" s="305"/>
      <c r="H796" s="85"/>
      <c r="I796" s="86"/>
      <c r="J796" s="86"/>
      <c r="K796" s="86"/>
      <c r="L796" s="87"/>
    </row>
    <row r="797" spans="2:12">
      <c r="B797" s="19"/>
      <c r="C797" s="305"/>
      <c r="D797" s="305"/>
      <c r="E797" s="305"/>
      <c r="F797" s="20"/>
      <c r="G797" s="305"/>
      <c r="H797" s="84" t="str">
        <f>'04-22Master'!AJ10</f>
        <v xml:space="preserve">INFOSYS  LTD.IL Hyderabad SEZ Unit-3 </v>
      </c>
      <c r="I797" s="306"/>
      <c r="J797" s="306"/>
      <c r="K797" s="306"/>
      <c r="L797" s="88"/>
    </row>
    <row r="798" spans="2:12">
      <c r="B798" s="84" t="str">
        <f>'04-22Master'!F8</f>
        <v>IT SUPPORTIVE SERVICES</v>
      </c>
      <c r="C798" s="305"/>
      <c r="D798" s="305"/>
      <c r="E798" s="305"/>
      <c r="F798" s="20"/>
      <c r="G798" s="305"/>
      <c r="H798" s="84"/>
      <c r="I798" s="306"/>
      <c r="J798" s="306"/>
      <c r="K798" s="306"/>
      <c r="L798" s="88"/>
    </row>
    <row r="799" spans="2:12">
      <c r="B799" s="19"/>
      <c r="C799" s="305"/>
      <c r="D799" s="305"/>
      <c r="E799" s="305"/>
      <c r="F799" s="20"/>
      <c r="G799" s="305"/>
      <c r="H799" s="84" t="str">
        <f>'04-22Master'!AJ11</f>
        <v>Sy.No 42,Pocharam Village,Gatkesar Mandal</v>
      </c>
      <c r="I799" s="306"/>
      <c r="J799" s="306"/>
      <c r="K799" s="306"/>
      <c r="L799" s="88"/>
    </row>
    <row r="800" spans="2:12" ht="15.75" thickBot="1">
      <c r="B800" s="31"/>
      <c r="C800" s="29"/>
      <c r="D800" s="29"/>
      <c r="E800" s="29"/>
      <c r="F800" s="30"/>
      <c r="G800" s="305"/>
      <c r="H800" s="84"/>
      <c r="I800" s="306"/>
      <c r="J800" s="306"/>
      <c r="K800" s="306"/>
      <c r="L800" s="88"/>
    </row>
    <row r="801" spans="2:12" ht="30" customHeight="1">
      <c r="B801" s="837" t="s">
        <v>121</v>
      </c>
      <c r="C801" s="838"/>
      <c r="D801" s="838"/>
      <c r="E801" s="838"/>
      <c r="F801" s="838"/>
      <c r="G801" s="842"/>
      <c r="H801" s="843">
        <f>'04-22Master'!B32</f>
        <v>0</v>
      </c>
      <c r="I801" s="840"/>
      <c r="J801" s="840"/>
      <c r="K801" s="840"/>
      <c r="L801" s="840"/>
    </row>
    <row r="802" spans="2:12" ht="30" customHeight="1">
      <c r="B802" s="844"/>
      <c r="C802" s="845"/>
      <c r="D802" s="845"/>
      <c r="E802" s="845"/>
      <c r="F802" s="845"/>
      <c r="G802" s="845"/>
      <c r="H802" s="846">
        <f>'04-22Master'!G218</f>
        <v>0</v>
      </c>
      <c r="I802" s="846"/>
      <c r="J802" s="846"/>
      <c r="K802" s="846"/>
      <c r="L802" s="846"/>
    </row>
    <row r="803" spans="2:12" ht="30" customHeight="1">
      <c r="B803" s="847" t="s">
        <v>122</v>
      </c>
      <c r="C803" s="848"/>
      <c r="D803" s="848"/>
      <c r="E803" s="848"/>
      <c r="F803" s="848"/>
      <c r="G803" s="848"/>
      <c r="H803" s="835">
        <f>'GUREGOAN APRIL 22WM Reg'!A71</f>
        <v>0</v>
      </c>
      <c r="I803" s="849"/>
      <c r="J803" s="849"/>
      <c r="K803" s="849"/>
      <c r="L803" s="850"/>
    </row>
    <row r="804" spans="2:12" ht="30" customHeight="1">
      <c r="B804" s="837" t="s">
        <v>123</v>
      </c>
      <c r="C804" s="838"/>
      <c r="D804" s="838"/>
      <c r="E804" s="838"/>
      <c r="F804" s="838"/>
      <c r="G804" s="838"/>
      <c r="H804" s="843">
        <f>'04-22Master'!F32</f>
        <v>0</v>
      </c>
      <c r="I804" s="840"/>
      <c r="J804" s="840"/>
      <c r="K804" s="840"/>
      <c r="L804" s="841"/>
    </row>
    <row r="805" spans="2:12" ht="30" customHeight="1">
      <c r="B805" s="837" t="s">
        <v>124</v>
      </c>
      <c r="C805" s="838"/>
      <c r="D805" s="838"/>
      <c r="E805" s="838"/>
      <c r="F805" s="838"/>
      <c r="G805" s="838"/>
      <c r="H805" s="851">
        <f>'04-22Master'!I32</f>
        <v>0</v>
      </c>
      <c r="I805" s="851"/>
      <c r="J805" s="851"/>
      <c r="K805" s="851"/>
      <c r="L805" s="852"/>
    </row>
    <row r="806" spans="2:12" ht="30" customHeight="1">
      <c r="B806" s="430" t="s">
        <v>125</v>
      </c>
      <c r="C806" s="307"/>
      <c r="D806" s="307"/>
      <c r="E806" s="307"/>
      <c r="F806" s="307"/>
      <c r="G806" s="307"/>
      <c r="H806" s="308"/>
      <c r="I806" s="309"/>
      <c r="J806" s="300">
        <f>'04-22Master'!O32</f>
        <v>0</v>
      </c>
      <c r="K806" s="644"/>
      <c r="L806" s="645"/>
    </row>
    <row r="807" spans="2:12" ht="30" customHeight="1">
      <c r="B807" s="430" t="s">
        <v>126</v>
      </c>
      <c r="C807" s="307"/>
      <c r="D807" s="307"/>
      <c r="E807" s="307"/>
      <c r="F807" s="307"/>
      <c r="G807" s="427"/>
      <c r="H807" s="98"/>
      <c r="I807" s="99"/>
      <c r="J807" s="300">
        <f>'04-22Master'!N32</f>
        <v>0</v>
      </c>
      <c r="K807" s="99"/>
      <c r="L807" s="100"/>
    </row>
    <row r="808" spans="2:12" ht="30" customHeight="1">
      <c r="B808" s="833" t="s">
        <v>127</v>
      </c>
      <c r="C808" s="834"/>
      <c r="D808" s="834"/>
      <c r="E808" s="834"/>
      <c r="F808" s="834"/>
      <c r="G808" s="834"/>
      <c r="H808" s="835">
        <f>'04-22Master'!S32</f>
        <v>0</v>
      </c>
      <c r="I808" s="835"/>
      <c r="J808" s="835"/>
      <c r="K808" s="835"/>
      <c r="L808" s="836"/>
    </row>
    <row r="809" spans="2:12" ht="30" customHeight="1">
      <c r="B809" s="837" t="s">
        <v>128</v>
      </c>
      <c r="C809" s="838"/>
      <c r="D809" s="838"/>
      <c r="E809" s="838"/>
      <c r="F809" s="838"/>
      <c r="G809" s="838"/>
      <c r="H809" s="839">
        <f>'04-22Master'!D10</f>
        <v>44652</v>
      </c>
      <c r="I809" s="840"/>
      <c r="J809" s="840"/>
      <c r="K809" s="840"/>
      <c r="L809" s="841"/>
    </row>
    <row r="810" spans="2:12" ht="30" customHeight="1">
      <c r="B810" s="837" t="s">
        <v>129</v>
      </c>
      <c r="C810" s="838"/>
      <c r="D810" s="838"/>
      <c r="E810" s="838"/>
      <c r="F810" s="838"/>
      <c r="G810" s="838"/>
      <c r="H810" s="840" t="s">
        <v>130</v>
      </c>
      <c r="I810" s="840"/>
      <c r="J810" s="840"/>
      <c r="K810" s="840"/>
      <c r="L810" s="841"/>
    </row>
    <row r="811" spans="2:12" ht="30" customHeight="1">
      <c r="B811" s="430" t="s">
        <v>131</v>
      </c>
      <c r="C811" s="307"/>
      <c r="D811" s="307"/>
      <c r="E811" s="307"/>
      <c r="F811" s="307"/>
      <c r="G811" s="427"/>
      <c r="H811" s="308"/>
      <c r="I811" s="644"/>
      <c r="J811" s="310">
        <f>'04-22Master'!Q32</f>
        <v>0</v>
      </c>
      <c r="K811" s="644"/>
      <c r="L811" s="645"/>
    </row>
    <row r="812" spans="2:12" ht="30" customHeight="1">
      <c r="B812" s="430" t="s">
        <v>132</v>
      </c>
      <c r="C812" s="307"/>
      <c r="D812" s="307"/>
      <c r="E812" s="307"/>
      <c r="F812" s="307"/>
      <c r="G812" s="427"/>
      <c r="H812" s="308"/>
      <c r="I812" s="644"/>
      <c r="J812" s="644" t="s">
        <v>37</v>
      </c>
      <c r="K812" s="644"/>
      <c r="L812" s="645"/>
    </row>
    <row r="813" spans="2:12" ht="30" customHeight="1">
      <c r="B813" s="430" t="s">
        <v>133</v>
      </c>
      <c r="C813" s="307"/>
      <c r="D813" s="307"/>
      <c r="E813" s="307"/>
      <c r="F813" s="307"/>
      <c r="G813" s="427"/>
      <c r="H813" s="308"/>
      <c r="I813" s="644"/>
      <c r="J813" s="310">
        <v>0</v>
      </c>
      <c r="K813" s="644"/>
      <c r="L813" s="645"/>
    </row>
    <row r="814" spans="2:12" ht="30" customHeight="1">
      <c r="B814" s="430" t="s">
        <v>134</v>
      </c>
      <c r="C814" s="307"/>
      <c r="D814" s="307"/>
      <c r="E814" s="307"/>
      <c r="F814" s="307"/>
      <c r="G814" s="427"/>
      <c r="H814" s="308"/>
      <c r="I814" s="644"/>
      <c r="J814" s="644">
        <v>0</v>
      </c>
      <c r="K814" s="644"/>
      <c r="L814" s="645"/>
    </row>
    <row r="815" spans="2:12" ht="30" customHeight="1">
      <c r="B815" s="430" t="s">
        <v>135</v>
      </c>
      <c r="C815" s="307"/>
      <c r="D815" s="307"/>
      <c r="E815" s="307"/>
      <c r="F815" s="307"/>
      <c r="G815" s="427"/>
      <c r="H815" s="308"/>
      <c r="I815" s="644"/>
      <c r="J815" s="310">
        <f>'04-22Master'!AG32</f>
        <v>0</v>
      </c>
      <c r="K815" s="644"/>
      <c r="L815" s="645" t="s">
        <v>35</v>
      </c>
    </row>
    <row r="816" spans="2:12" ht="30" customHeight="1">
      <c r="B816" s="430" t="s">
        <v>136</v>
      </c>
      <c r="C816" s="307"/>
      <c r="D816" s="642" t="s">
        <v>32</v>
      </c>
      <c r="E816" s="643">
        <f>'04-22Master'!AI32</f>
        <v>0</v>
      </c>
      <c r="F816" s="642" t="s">
        <v>31</v>
      </c>
      <c r="G816" s="643">
        <f>'04-22Master'!AH411</f>
        <v>0</v>
      </c>
      <c r="H816" s="642" t="s">
        <v>33</v>
      </c>
      <c r="I816" s="643">
        <f>'04-22Master'!AJ32</f>
        <v>0</v>
      </c>
      <c r="J816" s="642" t="s">
        <v>34</v>
      </c>
      <c r="K816" s="643">
        <f>'04-22Master'!AK411</f>
        <v>0</v>
      </c>
      <c r="L816" s="113">
        <f>'04-22Master'!AL411</f>
        <v>0</v>
      </c>
    </row>
    <row r="817" spans="2:12" ht="30" customHeight="1">
      <c r="B817" s="430" t="s">
        <v>137</v>
      </c>
      <c r="C817" s="307"/>
      <c r="D817" s="307"/>
      <c r="E817" s="307"/>
      <c r="F817" s="307"/>
      <c r="G817" s="427"/>
      <c r="H817" s="308"/>
      <c r="I817" s="644"/>
      <c r="J817" s="310">
        <f>J815-(E816+G816+I816+K816+L816)</f>
        <v>0</v>
      </c>
      <c r="K817" s="644"/>
      <c r="L817" s="645"/>
    </row>
    <row r="818" spans="2:12" ht="30" customHeight="1">
      <c r="B818" s="431" t="s">
        <v>138</v>
      </c>
      <c r="C818" s="104"/>
      <c r="D818" s="104"/>
      <c r="E818" s="104"/>
      <c r="F818" s="104"/>
      <c r="G818" s="105"/>
      <c r="H818" s="106"/>
      <c r="I818" s="107"/>
      <c r="J818" s="107"/>
      <c r="K818" s="107"/>
      <c r="L818" s="108"/>
    </row>
    <row r="819" spans="2:12" ht="30" customHeight="1">
      <c r="B819" s="432" t="s">
        <v>139</v>
      </c>
      <c r="C819" s="109"/>
      <c r="D819" s="109"/>
      <c r="E819" s="109"/>
      <c r="F819" s="109"/>
      <c r="G819" s="110"/>
      <c r="H819" s="77"/>
      <c r="I819" s="23"/>
      <c r="J819" s="23"/>
      <c r="K819" s="23"/>
      <c r="L819" s="111"/>
    </row>
    <row r="820" spans="2:12" ht="30" customHeight="1">
      <c r="B820" s="19"/>
      <c r="C820" s="305"/>
      <c r="D820" s="305"/>
      <c r="E820" s="305"/>
      <c r="F820" s="305"/>
      <c r="G820" s="305"/>
      <c r="H820" s="305"/>
      <c r="I820" s="305"/>
      <c r="J820" s="305"/>
      <c r="K820" s="305"/>
      <c r="L820" s="20"/>
    </row>
    <row r="821" spans="2:12" ht="30" customHeight="1" thickBot="1">
      <c r="B821" s="31"/>
      <c r="C821" s="29"/>
      <c r="D821" s="29"/>
      <c r="E821" s="29"/>
      <c r="F821" s="29"/>
      <c r="G821" s="29"/>
      <c r="H821" s="29"/>
      <c r="I821" s="29"/>
      <c r="J821" s="29"/>
      <c r="K821" s="29"/>
      <c r="L821" s="30"/>
    </row>
    <row r="822" spans="2:12" ht="30" customHeight="1">
      <c r="B822" s="467"/>
      <c r="C822" s="467"/>
      <c r="D822" s="467"/>
      <c r="E822" s="467"/>
      <c r="F822" s="467"/>
      <c r="G822" s="467"/>
      <c r="H822" s="467"/>
      <c r="I822" s="467"/>
      <c r="J822" s="467"/>
      <c r="K822" s="467"/>
      <c r="L822" s="467"/>
    </row>
    <row r="823" spans="2:12" ht="30" customHeight="1">
      <c r="B823" s="467"/>
      <c r="C823" s="467"/>
      <c r="D823" s="467"/>
      <c r="E823" s="467"/>
      <c r="F823" s="467"/>
      <c r="G823" s="467"/>
      <c r="H823" s="467"/>
      <c r="I823" s="467"/>
      <c r="J823" s="467"/>
      <c r="K823" s="467"/>
      <c r="L823" s="467"/>
    </row>
    <row r="824" spans="2:12" ht="30" customHeight="1">
      <c r="B824" s="467"/>
      <c r="C824" s="467"/>
      <c r="D824" s="467"/>
      <c r="E824" s="467"/>
      <c r="F824" s="467"/>
      <c r="G824" s="467"/>
      <c r="H824" s="467"/>
      <c r="I824" s="467"/>
      <c r="J824" s="467"/>
      <c r="K824" s="467"/>
      <c r="L824" s="467"/>
    </row>
    <row r="825" spans="2:12" ht="30" customHeight="1">
      <c r="B825" s="467"/>
      <c r="C825" s="467"/>
      <c r="D825" s="467"/>
      <c r="E825" s="467"/>
      <c r="F825" s="467"/>
      <c r="G825" s="467"/>
      <c r="H825" s="467"/>
      <c r="I825" s="467"/>
      <c r="J825" s="467"/>
      <c r="K825" s="467"/>
      <c r="L825" s="467"/>
    </row>
    <row r="826" spans="2:12" ht="30" customHeight="1">
      <c r="B826" s="467"/>
      <c r="C826" s="467"/>
      <c r="D826" s="467"/>
      <c r="E826" s="467"/>
      <c r="F826" s="467"/>
      <c r="G826" s="467"/>
      <c r="H826" s="467"/>
      <c r="I826" s="467"/>
      <c r="J826" s="467"/>
      <c r="K826" s="467"/>
      <c r="L826" s="467"/>
    </row>
    <row r="827" spans="2:12" ht="30" customHeight="1">
      <c r="B827" s="467"/>
      <c r="C827" s="467"/>
      <c r="D827" s="467"/>
      <c r="E827" s="467"/>
      <c r="F827" s="467"/>
      <c r="G827" s="467"/>
      <c r="H827" s="467"/>
      <c r="I827" s="467"/>
      <c r="J827" s="467"/>
      <c r="K827" s="467"/>
      <c r="L827" s="467"/>
    </row>
    <row r="828" spans="2:12" ht="30" customHeight="1">
      <c r="B828" s="467"/>
      <c r="C828" s="467"/>
      <c r="D828" s="467"/>
      <c r="E828" s="467"/>
      <c r="F828" s="467"/>
      <c r="G828" s="467"/>
      <c r="H828" s="467"/>
      <c r="I828" s="467"/>
      <c r="J828" s="467"/>
      <c r="K828" s="467"/>
      <c r="L828" s="467"/>
    </row>
    <row r="829" spans="2:12" ht="30" customHeight="1"/>
    <row r="830" spans="2:12" ht="30" customHeight="1"/>
    <row r="831" spans="2:12" ht="30" customHeight="1"/>
    <row r="832" spans="2:12" ht="30" customHeight="1"/>
    <row r="833" ht="30" customHeight="1"/>
    <row r="834" ht="30" customHeight="1"/>
  </sheetData>
  <mergeCells count="436">
    <mergeCell ref="B312:F312"/>
    <mergeCell ref="H312:L312"/>
    <mergeCell ref="B319:G319"/>
    <mergeCell ref="H319:L319"/>
    <mergeCell ref="B320:G320"/>
    <mergeCell ref="H320:L320"/>
    <mergeCell ref="B328:G328"/>
    <mergeCell ref="H328:L328"/>
    <mergeCell ref="B321:G321"/>
    <mergeCell ref="H321:L321"/>
    <mergeCell ref="B322:G322"/>
    <mergeCell ref="H322:L322"/>
    <mergeCell ref="B323:G323"/>
    <mergeCell ref="H323:L323"/>
    <mergeCell ref="B326:G326"/>
    <mergeCell ref="H326:L326"/>
    <mergeCell ref="B327:G327"/>
    <mergeCell ref="H327:L327"/>
    <mergeCell ref="B276:G276"/>
    <mergeCell ref="H276:L276"/>
    <mergeCell ref="B277:G277"/>
    <mergeCell ref="H277:L277"/>
    <mergeCell ref="B301:L301"/>
    <mergeCell ref="B302:L302"/>
    <mergeCell ref="B303:L303"/>
    <mergeCell ref="B304:F305"/>
    <mergeCell ref="H304:L305"/>
    <mergeCell ref="B269:G269"/>
    <mergeCell ref="H269:L269"/>
    <mergeCell ref="B270:G270"/>
    <mergeCell ref="H270:L270"/>
    <mergeCell ref="B271:G271"/>
    <mergeCell ref="H271:L271"/>
    <mergeCell ref="B272:G272"/>
    <mergeCell ref="H272:L272"/>
    <mergeCell ref="B275:G275"/>
    <mergeCell ref="H275:L275"/>
    <mergeCell ref="B250:L250"/>
    <mergeCell ref="B251:L251"/>
    <mergeCell ref="B252:L252"/>
    <mergeCell ref="B253:F254"/>
    <mergeCell ref="H253:L254"/>
    <mergeCell ref="B261:F261"/>
    <mergeCell ref="H261:L261"/>
    <mergeCell ref="B268:G268"/>
    <mergeCell ref="H268:L268"/>
    <mergeCell ref="B177:G177"/>
    <mergeCell ref="H177:L177"/>
    <mergeCell ref="B178:G178"/>
    <mergeCell ref="H178:L178"/>
    <mergeCell ref="B162:F162"/>
    <mergeCell ref="H162:L162"/>
    <mergeCell ref="B169:G169"/>
    <mergeCell ref="H169:L169"/>
    <mergeCell ref="B170:G170"/>
    <mergeCell ref="H170:L170"/>
    <mergeCell ref="B171:G171"/>
    <mergeCell ref="H171:L171"/>
    <mergeCell ref="B172:G172"/>
    <mergeCell ref="H172:L172"/>
    <mergeCell ref="B70:G70"/>
    <mergeCell ref="H70:L70"/>
    <mergeCell ref="B78:G78"/>
    <mergeCell ref="H78:L78"/>
    <mergeCell ref="B71:G71"/>
    <mergeCell ref="H71:L71"/>
    <mergeCell ref="B72:G72"/>
    <mergeCell ref="H72:L72"/>
    <mergeCell ref="B73:G73"/>
    <mergeCell ref="H73:L73"/>
    <mergeCell ref="B76:G76"/>
    <mergeCell ref="H76:L76"/>
    <mergeCell ref="B77:G77"/>
    <mergeCell ref="H77:L77"/>
    <mergeCell ref="B51:L51"/>
    <mergeCell ref="B52:L52"/>
    <mergeCell ref="B53:L53"/>
    <mergeCell ref="B54:F55"/>
    <mergeCell ref="H54:L55"/>
    <mergeCell ref="B62:F62"/>
    <mergeCell ref="H62:L62"/>
    <mergeCell ref="B69:G69"/>
    <mergeCell ref="H69:L69"/>
    <mergeCell ref="B26:G26"/>
    <mergeCell ref="H26:L26"/>
    <mergeCell ref="B27:G27"/>
    <mergeCell ref="H27:L27"/>
    <mergeCell ref="B28:G28"/>
    <mergeCell ref="H28:L28"/>
    <mergeCell ref="B21:G21"/>
    <mergeCell ref="H21:L21"/>
    <mergeCell ref="B22:G22"/>
    <mergeCell ref="H22:L22"/>
    <mergeCell ref="B23:G23"/>
    <mergeCell ref="H23:L23"/>
    <mergeCell ref="B12:F12"/>
    <mergeCell ref="H12:L12"/>
    <mergeCell ref="B19:G19"/>
    <mergeCell ref="H19:L19"/>
    <mergeCell ref="B20:G20"/>
    <mergeCell ref="H20:L20"/>
    <mergeCell ref="B1:L1"/>
    <mergeCell ref="B2:L2"/>
    <mergeCell ref="B3:L3"/>
    <mergeCell ref="B4:F5"/>
    <mergeCell ref="H4:L5"/>
    <mergeCell ref="B101:L101"/>
    <mergeCell ref="B102:L102"/>
    <mergeCell ref="B103:L103"/>
    <mergeCell ref="B104:F105"/>
    <mergeCell ref="H104:L105"/>
    <mergeCell ref="B112:F112"/>
    <mergeCell ref="H112:L112"/>
    <mergeCell ref="B119:G119"/>
    <mergeCell ref="H119:L119"/>
    <mergeCell ref="B199:L199"/>
    <mergeCell ref="B127:G127"/>
    <mergeCell ref="H127:L127"/>
    <mergeCell ref="B128:G128"/>
    <mergeCell ref="H128:L128"/>
    <mergeCell ref="B120:G120"/>
    <mergeCell ref="H120:L120"/>
    <mergeCell ref="B121:G121"/>
    <mergeCell ref="H121:L121"/>
    <mergeCell ref="B122:G122"/>
    <mergeCell ref="H122:L122"/>
    <mergeCell ref="B123:G123"/>
    <mergeCell ref="H123:L123"/>
    <mergeCell ref="B126:G126"/>
    <mergeCell ref="H126:L126"/>
    <mergeCell ref="B151:L151"/>
    <mergeCell ref="B152:L152"/>
    <mergeCell ref="B153:L153"/>
    <mergeCell ref="B154:F155"/>
    <mergeCell ref="H154:L155"/>
    <mergeCell ref="B173:G173"/>
    <mergeCell ref="H173:L173"/>
    <mergeCell ref="B176:G176"/>
    <mergeCell ref="H176:L176"/>
    <mergeCell ref="B200:L200"/>
    <mergeCell ref="B201:L201"/>
    <mergeCell ref="B202:F203"/>
    <mergeCell ref="H202:L203"/>
    <mergeCell ref="B210:F210"/>
    <mergeCell ref="H210:L210"/>
    <mergeCell ref="B217:G217"/>
    <mergeCell ref="H217:L217"/>
    <mergeCell ref="B218:G218"/>
    <mergeCell ref="H218:L218"/>
    <mergeCell ref="B226:G226"/>
    <mergeCell ref="H226:L226"/>
    <mergeCell ref="B219:G219"/>
    <mergeCell ref="H219:L219"/>
    <mergeCell ref="B220:G220"/>
    <mergeCell ref="H220:L220"/>
    <mergeCell ref="B221:G221"/>
    <mergeCell ref="H221:L221"/>
    <mergeCell ref="B224:G224"/>
    <mergeCell ref="H224:L224"/>
    <mergeCell ref="B225:G225"/>
    <mergeCell ref="H225:L225"/>
    <mergeCell ref="B351:L351"/>
    <mergeCell ref="B352:L352"/>
    <mergeCell ref="B353:L353"/>
    <mergeCell ref="B354:F355"/>
    <mergeCell ref="H354:L355"/>
    <mergeCell ref="B362:F362"/>
    <mergeCell ref="H362:L362"/>
    <mergeCell ref="B369:G369"/>
    <mergeCell ref="H369:L369"/>
    <mergeCell ref="B370:G370"/>
    <mergeCell ref="H370:L370"/>
    <mergeCell ref="B371:G371"/>
    <mergeCell ref="H371:L371"/>
    <mergeCell ref="B372:G372"/>
    <mergeCell ref="H372:L372"/>
    <mergeCell ref="B373:G373"/>
    <mergeCell ref="H373:L373"/>
    <mergeCell ref="B376:G376"/>
    <mergeCell ref="H376:L376"/>
    <mergeCell ref="B377:G377"/>
    <mergeCell ref="H377:L377"/>
    <mergeCell ref="B378:G378"/>
    <mergeCell ref="H378:L378"/>
    <mergeCell ref="B401:L401"/>
    <mergeCell ref="B402:L402"/>
    <mergeCell ref="B403:L403"/>
    <mergeCell ref="B404:F405"/>
    <mergeCell ref="H404:L405"/>
    <mergeCell ref="B423:G423"/>
    <mergeCell ref="H423:L423"/>
    <mergeCell ref="B426:G426"/>
    <mergeCell ref="H426:L426"/>
    <mergeCell ref="B427:G427"/>
    <mergeCell ref="H427:L427"/>
    <mergeCell ref="B428:G428"/>
    <mergeCell ref="H428:L428"/>
    <mergeCell ref="B412:F412"/>
    <mergeCell ref="H412:L412"/>
    <mergeCell ref="B419:G419"/>
    <mergeCell ref="H419:L419"/>
    <mergeCell ref="B420:G420"/>
    <mergeCell ref="H420:L420"/>
    <mergeCell ref="B421:G421"/>
    <mergeCell ref="H421:L421"/>
    <mergeCell ref="B422:G422"/>
    <mergeCell ref="H422:L422"/>
    <mergeCell ref="B450:L450"/>
    <mergeCell ref="B451:L451"/>
    <mergeCell ref="B452:L452"/>
    <mergeCell ref="B453:F454"/>
    <mergeCell ref="H453:L454"/>
    <mergeCell ref="B461:F461"/>
    <mergeCell ref="H461:L461"/>
    <mergeCell ref="B468:G468"/>
    <mergeCell ref="H468:L468"/>
    <mergeCell ref="B469:G469"/>
    <mergeCell ref="H469:L469"/>
    <mergeCell ref="B470:G470"/>
    <mergeCell ref="H470:L470"/>
    <mergeCell ref="B471:G471"/>
    <mergeCell ref="H471:L471"/>
    <mergeCell ref="B472:G472"/>
    <mergeCell ref="H472:L472"/>
    <mergeCell ref="B475:G475"/>
    <mergeCell ref="H475:L475"/>
    <mergeCell ref="B476:G476"/>
    <mergeCell ref="H476:L476"/>
    <mergeCell ref="B477:G477"/>
    <mergeCell ref="H477:L477"/>
    <mergeCell ref="B498:L498"/>
    <mergeCell ref="B499:L499"/>
    <mergeCell ref="B500:L500"/>
    <mergeCell ref="B501:F502"/>
    <mergeCell ref="H501:L502"/>
    <mergeCell ref="B509:F509"/>
    <mergeCell ref="H509:L509"/>
    <mergeCell ref="B516:G516"/>
    <mergeCell ref="H516:L516"/>
    <mergeCell ref="B517:G517"/>
    <mergeCell ref="H517:L517"/>
    <mergeCell ref="B518:G518"/>
    <mergeCell ref="H518:L518"/>
    <mergeCell ref="B519:G519"/>
    <mergeCell ref="H519:L519"/>
    <mergeCell ref="B520:G520"/>
    <mergeCell ref="H520:L520"/>
    <mergeCell ref="B523:G523"/>
    <mergeCell ref="H523:L523"/>
    <mergeCell ref="B524:G524"/>
    <mergeCell ref="H524:L524"/>
    <mergeCell ref="B525:G525"/>
    <mergeCell ref="H525:L525"/>
    <mergeCell ref="B546:L546"/>
    <mergeCell ref="B547:L547"/>
    <mergeCell ref="B548:L548"/>
    <mergeCell ref="B549:F550"/>
    <mergeCell ref="H549:L550"/>
    <mergeCell ref="B557:F557"/>
    <mergeCell ref="H557:L557"/>
    <mergeCell ref="B564:G564"/>
    <mergeCell ref="H564:L564"/>
    <mergeCell ref="B565:G565"/>
    <mergeCell ref="H565:L565"/>
    <mergeCell ref="B593:L593"/>
    <mergeCell ref="B594:L594"/>
    <mergeCell ref="B595:L595"/>
    <mergeCell ref="B596:F597"/>
    <mergeCell ref="H596:L597"/>
    <mergeCell ref="B604:F604"/>
    <mergeCell ref="H604:L604"/>
    <mergeCell ref="B566:G566"/>
    <mergeCell ref="H566:L566"/>
    <mergeCell ref="B567:G567"/>
    <mergeCell ref="H567:L567"/>
    <mergeCell ref="B568:G568"/>
    <mergeCell ref="H568:L568"/>
    <mergeCell ref="B571:G571"/>
    <mergeCell ref="H571:L571"/>
    <mergeCell ref="B572:G572"/>
    <mergeCell ref="H572:L572"/>
    <mergeCell ref="B618:G618"/>
    <mergeCell ref="H618:L618"/>
    <mergeCell ref="B619:G619"/>
    <mergeCell ref="H619:L619"/>
    <mergeCell ref="B620:G620"/>
    <mergeCell ref="H620:L620"/>
    <mergeCell ref="H521:L521"/>
    <mergeCell ref="H522:L522"/>
    <mergeCell ref="B521:G521"/>
    <mergeCell ref="B522:G522"/>
    <mergeCell ref="H569:L569"/>
    <mergeCell ref="H570:L570"/>
    <mergeCell ref="B611:G611"/>
    <mergeCell ref="H611:L611"/>
    <mergeCell ref="B612:G612"/>
    <mergeCell ref="H612:L612"/>
    <mergeCell ref="B613:G613"/>
    <mergeCell ref="H613:L613"/>
    <mergeCell ref="B614:G614"/>
    <mergeCell ref="H614:L614"/>
    <mergeCell ref="B615:G615"/>
    <mergeCell ref="H615:L615"/>
    <mergeCell ref="B573:G573"/>
    <mergeCell ref="H573:L573"/>
    <mergeCell ref="B641:L641"/>
    <mergeCell ref="B642:L642"/>
    <mergeCell ref="B643:L643"/>
    <mergeCell ref="B644:F645"/>
    <mergeCell ref="H644:L645"/>
    <mergeCell ref="B652:F652"/>
    <mergeCell ref="H652:L652"/>
    <mergeCell ref="B659:G659"/>
    <mergeCell ref="H659:L659"/>
    <mergeCell ref="B660:G660"/>
    <mergeCell ref="H660:L660"/>
    <mergeCell ref="B661:G661"/>
    <mergeCell ref="H661:L661"/>
    <mergeCell ref="B662:G662"/>
    <mergeCell ref="H662:L662"/>
    <mergeCell ref="B663:G663"/>
    <mergeCell ref="H663:L663"/>
    <mergeCell ref="B666:G666"/>
    <mergeCell ref="H666:L666"/>
    <mergeCell ref="B667:G667"/>
    <mergeCell ref="H667:L667"/>
    <mergeCell ref="B668:G668"/>
    <mergeCell ref="H668:L668"/>
    <mergeCell ref="B688:L688"/>
    <mergeCell ref="B689:L689"/>
    <mergeCell ref="B690:L690"/>
    <mergeCell ref="B691:F692"/>
    <mergeCell ref="H691:L692"/>
    <mergeCell ref="H672:L672"/>
    <mergeCell ref="B699:F699"/>
    <mergeCell ref="H699:L699"/>
    <mergeCell ref="B706:G706"/>
    <mergeCell ref="H706:L706"/>
    <mergeCell ref="B707:G707"/>
    <mergeCell ref="H707:L707"/>
    <mergeCell ref="B708:G708"/>
    <mergeCell ref="H708:L708"/>
    <mergeCell ref="B709:G709"/>
    <mergeCell ref="H709:L709"/>
    <mergeCell ref="B710:G710"/>
    <mergeCell ref="H710:L710"/>
    <mergeCell ref="B713:G713"/>
    <mergeCell ref="H713:L713"/>
    <mergeCell ref="B714:G714"/>
    <mergeCell ref="H714:L714"/>
    <mergeCell ref="B715:G715"/>
    <mergeCell ref="H715:L715"/>
    <mergeCell ref="B736:L736"/>
    <mergeCell ref="B718:G718"/>
    <mergeCell ref="H718:L718"/>
    <mergeCell ref="B719:G719"/>
    <mergeCell ref="H719:L719"/>
    <mergeCell ref="B720:G720"/>
    <mergeCell ref="H720:L720"/>
    <mergeCell ref="B737:L737"/>
    <mergeCell ref="B738:L738"/>
    <mergeCell ref="B739:F740"/>
    <mergeCell ref="H739:L740"/>
    <mergeCell ref="B747:F747"/>
    <mergeCell ref="H747:L747"/>
    <mergeCell ref="B754:G754"/>
    <mergeCell ref="H754:L754"/>
    <mergeCell ref="B755:G755"/>
    <mergeCell ref="H755:L755"/>
    <mergeCell ref="B756:G756"/>
    <mergeCell ref="H756:L756"/>
    <mergeCell ref="B757:G757"/>
    <mergeCell ref="H757:L757"/>
    <mergeCell ref="B758:G758"/>
    <mergeCell ref="H758:L758"/>
    <mergeCell ref="B761:G761"/>
    <mergeCell ref="H761:L761"/>
    <mergeCell ref="B762:G762"/>
    <mergeCell ref="H762:L762"/>
    <mergeCell ref="B759:G759"/>
    <mergeCell ref="H759:L759"/>
    <mergeCell ref="B760:G760"/>
    <mergeCell ref="H760:L760"/>
    <mergeCell ref="B763:G763"/>
    <mergeCell ref="H763:L763"/>
    <mergeCell ref="B783:L783"/>
    <mergeCell ref="B784:L784"/>
    <mergeCell ref="B785:L785"/>
    <mergeCell ref="B786:F787"/>
    <mergeCell ref="H786:L787"/>
    <mergeCell ref="B794:F794"/>
    <mergeCell ref="H794:L794"/>
    <mergeCell ref="B764:G764"/>
    <mergeCell ref="H764:L764"/>
    <mergeCell ref="B765:G765"/>
    <mergeCell ref="H765:L765"/>
    <mergeCell ref="B766:G766"/>
    <mergeCell ref="H766:L766"/>
    <mergeCell ref="B767:G767"/>
    <mergeCell ref="H767:L767"/>
    <mergeCell ref="B768:G768"/>
    <mergeCell ref="H768:L768"/>
    <mergeCell ref="B801:G801"/>
    <mergeCell ref="H801:L801"/>
    <mergeCell ref="B802:G802"/>
    <mergeCell ref="H802:L802"/>
    <mergeCell ref="B803:G803"/>
    <mergeCell ref="H803:L803"/>
    <mergeCell ref="B804:G804"/>
    <mergeCell ref="H804:L804"/>
    <mergeCell ref="B805:G805"/>
    <mergeCell ref="H805:L805"/>
    <mergeCell ref="B808:G808"/>
    <mergeCell ref="H808:L808"/>
    <mergeCell ref="B809:G809"/>
    <mergeCell ref="H809:L809"/>
    <mergeCell ref="B810:G810"/>
    <mergeCell ref="H810:L810"/>
    <mergeCell ref="B664:G664"/>
    <mergeCell ref="H664:L664"/>
    <mergeCell ref="B665:G665"/>
    <mergeCell ref="H665:L665"/>
    <mergeCell ref="B669:G669"/>
    <mergeCell ref="H669:L669"/>
    <mergeCell ref="B670:G670"/>
    <mergeCell ref="H670:L670"/>
    <mergeCell ref="B671:G671"/>
    <mergeCell ref="H671:L671"/>
    <mergeCell ref="B711:G711"/>
    <mergeCell ref="H711:L711"/>
    <mergeCell ref="B712:G712"/>
    <mergeCell ref="H712:L712"/>
    <mergeCell ref="B716:G716"/>
    <mergeCell ref="H716:L716"/>
    <mergeCell ref="B717:G717"/>
    <mergeCell ref="H717:L717"/>
  </mergeCells>
  <pageMargins left="0.88" right="0.53" top="0.74803149606299213" bottom="0.74803149606299213" header="0.31496062992125984" footer="0.31496062992125984"/>
  <pageSetup scale="65"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9"/>
  <sheetViews>
    <sheetView topLeftCell="A19" workbookViewId="0">
      <selection activeCell="A7" sqref="A7:D8"/>
    </sheetView>
  </sheetViews>
  <sheetFormatPr defaultRowHeight="15"/>
  <cols>
    <col min="1" max="1" width="3.5703125" customWidth="1"/>
    <col min="2" max="2" width="21.7109375" customWidth="1"/>
    <col min="9" max="9" width="11.85546875" customWidth="1"/>
    <col min="10" max="10" width="2.5703125" customWidth="1"/>
    <col min="19" max="19" width="12.5703125" customWidth="1"/>
  </cols>
  <sheetData>
    <row r="1" spans="1:19" ht="26.25">
      <c r="A1" s="891" t="s">
        <v>52</v>
      </c>
      <c r="B1" s="892"/>
      <c r="C1" s="892"/>
      <c r="D1" s="892"/>
      <c r="E1" s="892"/>
      <c r="F1" s="892"/>
      <c r="G1" s="892"/>
      <c r="H1" s="892"/>
      <c r="I1" s="893"/>
      <c r="J1" s="388"/>
      <c r="K1" s="891" t="s">
        <v>52</v>
      </c>
      <c r="L1" s="892"/>
      <c r="M1" s="892"/>
      <c r="N1" s="892"/>
      <c r="O1" s="892"/>
      <c r="P1" s="892"/>
      <c r="Q1" s="892"/>
      <c r="R1" s="892"/>
      <c r="S1" s="893"/>
    </row>
    <row r="2" spans="1:19">
      <c r="A2" s="894" t="s">
        <v>430</v>
      </c>
      <c r="B2" s="757"/>
      <c r="C2" s="757"/>
      <c r="D2" s="757"/>
      <c r="E2" s="757"/>
      <c r="F2" s="757"/>
      <c r="G2" s="757"/>
      <c r="H2" s="757"/>
      <c r="I2" s="795"/>
      <c r="J2" s="388"/>
      <c r="K2" s="894" t="s">
        <v>430</v>
      </c>
      <c r="L2" s="757"/>
      <c r="M2" s="757"/>
      <c r="N2" s="757"/>
      <c r="O2" s="757"/>
      <c r="P2" s="757"/>
      <c r="Q2" s="757"/>
      <c r="R2" s="757"/>
      <c r="S2" s="795"/>
    </row>
    <row r="3" spans="1:19">
      <c r="A3" s="19"/>
      <c r="B3" s="388"/>
      <c r="C3" s="388"/>
      <c r="D3" s="388"/>
      <c r="E3" s="388"/>
      <c r="F3" s="388"/>
      <c r="G3" s="388"/>
      <c r="H3" s="388"/>
      <c r="I3" s="20"/>
      <c r="J3" s="388"/>
      <c r="K3" s="19"/>
      <c r="L3" s="388"/>
      <c r="M3" s="388"/>
      <c r="N3" s="388"/>
      <c r="O3" s="388"/>
      <c r="P3" s="388"/>
      <c r="Q3" s="388"/>
      <c r="R3" s="388"/>
      <c r="S3" s="20"/>
    </row>
    <row r="4" spans="1:19">
      <c r="A4" s="21" t="s">
        <v>53</v>
      </c>
      <c r="B4" s="6"/>
      <c r="C4" s="6"/>
      <c r="D4" s="10" t="str">
        <f>'04-22Master'!F5</f>
        <v>Burgeon IT Services Pvt.Ltd.</v>
      </c>
      <c r="E4" s="388"/>
      <c r="F4" s="388"/>
      <c r="G4" s="388"/>
      <c r="H4" s="388"/>
      <c r="I4" s="20"/>
      <c r="J4" s="388"/>
      <c r="K4" s="21" t="s">
        <v>53</v>
      </c>
      <c r="L4" s="6"/>
      <c r="M4" s="6"/>
      <c r="N4" s="10"/>
      <c r="O4" s="433" t="str">
        <f>D4</f>
        <v>Burgeon IT Services Pvt.Ltd.</v>
      </c>
      <c r="P4" s="388"/>
      <c r="Q4" s="388"/>
      <c r="R4" s="388"/>
      <c r="S4" s="20"/>
    </row>
    <row r="5" spans="1:19">
      <c r="A5" s="21"/>
      <c r="B5" s="6" t="str">
        <f>'04-22Master'!F6</f>
        <v>Siri Mansion LIGB 436 Dr.A S Rao Nagar,Hyderabad</v>
      </c>
      <c r="C5" s="6"/>
      <c r="D5" s="6"/>
      <c r="E5" s="388"/>
      <c r="F5" s="388"/>
      <c r="G5" s="388"/>
      <c r="H5" s="388"/>
      <c r="I5" s="20"/>
      <c r="J5" s="388"/>
      <c r="K5" s="21"/>
      <c r="L5" s="6" t="str">
        <f>B5</f>
        <v>Siri Mansion LIGB 436 Dr.A S Rao Nagar,Hyderabad</v>
      </c>
      <c r="M5" s="6"/>
      <c r="N5" s="6"/>
      <c r="O5" s="388"/>
      <c r="P5" s="388"/>
      <c r="Q5" s="388"/>
      <c r="R5" s="388"/>
      <c r="S5" s="20"/>
    </row>
    <row r="6" spans="1:19">
      <c r="A6" s="21"/>
      <c r="B6" s="6"/>
      <c r="C6" s="6"/>
      <c r="D6" s="6"/>
      <c r="E6" s="6"/>
      <c r="F6" s="388"/>
      <c r="G6" s="388"/>
      <c r="H6" s="388"/>
      <c r="I6" s="20"/>
      <c r="J6" s="388"/>
      <c r="K6" s="21"/>
      <c r="L6" s="6"/>
      <c r="M6" s="6"/>
      <c r="N6" s="6"/>
      <c r="O6" s="6"/>
      <c r="P6" s="388"/>
      <c r="Q6" s="388"/>
      <c r="R6" s="388"/>
      <c r="S6" s="20"/>
    </row>
    <row r="7" spans="1:19" ht="14.45" customHeight="1">
      <c r="A7" s="899" t="s">
        <v>54</v>
      </c>
      <c r="B7" s="898"/>
      <c r="C7" s="898"/>
      <c r="D7" s="898"/>
      <c r="E7" s="6"/>
      <c r="F7" s="388"/>
      <c r="G7" s="388"/>
      <c r="H7" s="388"/>
      <c r="I7" s="20"/>
      <c r="J7" s="388"/>
      <c r="K7" s="899" t="s">
        <v>54</v>
      </c>
      <c r="L7" s="898"/>
      <c r="M7" s="898"/>
      <c r="N7" s="898"/>
      <c r="O7" s="6"/>
      <c r="P7" s="388"/>
      <c r="Q7" s="388"/>
      <c r="R7" s="388"/>
      <c r="S7" s="20"/>
    </row>
    <row r="8" spans="1:19">
      <c r="A8" s="899"/>
      <c r="B8" s="898"/>
      <c r="C8" s="898"/>
      <c r="D8" s="898"/>
      <c r="E8" s="22" t="str">
        <f>'04-22Master'!B16</f>
        <v>Gaunda Mohammad Arief</v>
      </c>
      <c r="F8" s="23"/>
      <c r="G8" s="23"/>
      <c r="H8" s="23" t="str">
        <f>'04-22Master'!E16</f>
        <v>abdul hameed</v>
      </c>
      <c r="I8" s="20"/>
      <c r="J8" s="388"/>
      <c r="K8" s="899"/>
      <c r="L8" s="898"/>
      <c r="M8" s="898"/>
      <c r="N8" s="898"/>
      <c r="O8" s="22" t="str">
        <f>E8</f>
        <v>Gaunda Mohammad Arief</v>
      </c>
      <c r="P8" s="23"/>
      <c r="Q8" s="23"/>
      <c r="R8" s="23" t="str">
        <f>H8</f>
        <v>abdul hameed</v>
      </c>
      <c r="S8" s="20"/>
    </row>
    <row r="9" spans="1:19">
      <c r="A9" s="21"/>
      <c r="B9" s="6"/>
      <c r="C9" s="6"/>
      <c r="D9" s="6"/>
      <c r="E9" s="6"/>
      <c r="F9" s="388"/>
      <c r="G9" s="388"/>
      <c r="H9" s="388"/>
      <c r="I9" s="20"/>
      <c r="J9" s="388"/>
      <c r="K9" s="21"/>
      <c r="L9" s="6"/>
      <c r="M9" s="6"/>
      <c r="N9" s="6"/>
      <c r="O9" s="6"/>
      <c r="P9" s="388"/>
      <c r="Q9" s="388"/>
      <c r="R9" s="388"/>
      <c r="S9" s="20"/>
    </row>
    <row r="10" spans="1:19">
      <c r="A10" s="900" t="s">
        <v>55</v>
      </c>
      <c r="B10" s="897"/>
      <c r="C10" s="897"/>
      <c r="D10" s="897"/>
      <c r="E10" s="22" t="str">
        <f>'04-22Master'!F8</f>
        <v>IT SUPPORTIVE SERVICES</v>
      </c>
      <c r="F10" s="23"/>
      <c r="G10" s="23"/>
      <c r="H10" s="23"/>
      <c r="I10" s="20"/>
      <c r="J10" s="388"/>
      <c r="K10" s="900" t="s">
        <v>55</v>
      </c>
      <c r="L10" s="897"/>
      <c r="M10" s="897"/>
      <c r="N10" s="897"/>
      <c r="O10" s="22" t="str">
        <f>E10</f>
        <v>IT SUPPORTIVE SERVICES</v>
      </c>
      <c r="P10" s="23"/>
      <c r="Q10" s="23"/>
      <c r="R10" s="23"/>
      <c r="S10" s="20"/>
    </row>
    <row r="11" spans="1:19">
      <c r="A11" s="21"/>
      <c r="B11" s="6"/>
      <c r="C11" s="6"/>
      <c r="D11" s="6"/>
      <c r="E11" s="6"/>
      <c r="F11" s="388"/>
      <c r="G11" s="388"/>
      <c r="H11" s="388"/>
      <c r="I11" s="20"/>
      <c r="J11" s="388"/>
      <c r="K11" s="21"/>
      <c r="L11" s="6"/>
      <c r="M11" s="6"/>
      <c r="N11" s="6"/>
      <c r="O11" s="6"/>
      <c r="P11" s="388"/>
      <c r="Q11" s="388"/>
      <c r="R11" s="388"/>
      <c r="S11" s="20"/>
    </row>
    <row r="12" spans="1:19">
      <c r="A12" s="900" t="s">
        <v>56</v>
      </c>
      <c r="B12" s="897"/>
      <c r="C12" s="897"/>
      <c r="D12" s="897"/>
      <c r="E12" s="24">
        <f>'04-22Master'!D10</f>
        <v>44652</v>
      </c>
      <c r="F12" s="23"/>
      <c r="G12" s="23"/>
      <c r="H12" s="23"/>
      <c r="I12" s="20"/>
      <c r="J12" s="388"/>
      <c r="K12" s="900" t="s">
        <v>56</v>
      </c>
      <c r="L12" s="897"/>
      <c r="M12" s="897"/>
      <c r="N12" s="897"/>
      <c r="O12" s="24">
        <f>E12</f>
        <v>44652</v>
      </c>
      <c r="P12" s="23"/>
      <c r="Q12" s="23"/>
      <c r="R12" s="23"/>
      <c r="S12" s="20"/>
    </row>
    <row r="13" spans="1:19">
      <c r="A13" s="21"/>
      <c r="B13" s="6"/>
      <c r="C13" s="6"/>
      <c r="D13" s="6"/>
      <c r="E13" s="6"/>
      <c r="F13" s="388"/>
      <c r="G13" s="388"/>
      <c r="H13" s="388"/>
      <c r="I13" s="20"/>
      <c r="J13" s="388"/>
      <c r="K13" s="21"/>
      <c r="L13" s="6"/>
      <c r="M13" s="6"/>
      <c r="N13" s="6"/>
      <c r="O13" s="6"/>
      <c r="P13" s="388"/>
      <c r="Q13" s="388"/>
      <c r="R13" s="388"/>
      <c r="S13" s="20"/>
    </row>
    <row r="14" spans="1:19">
      <c r="A14" s="25">
        <v>1</v>
      </c>
      <c r="B14" s="897" t="s">
        <v>57</v>
      </c>
      <c r="C14" s="897"/>
      <c r="D14" s="897"/>
      <c r="E14" s="26">
        <f>'04-22Master'!Q16</f>
        <v>30</v>
      </c>
      <c r="F14" s="23"/>
      <c r="G14" s="23"/>
      <c r="H14" s="23"/>
      <c r="I14" s="20"/>
      <c r="J14" s="388"/>
      <c r="K14" s="25">
        <v>1</v>
      </c>
      <c r="L14" s="897" t="s">
        <v>57</v>
      </c>
      <c r="M14" s="897"/>
      <c r="N14" s="897"/>
      <c r="O14" s="26">
        <f>E14</f>
        <v>30</v>
      </c>
      <c r="P14" s="23"/>
      <c r="Q14" s="23"/>
      <c r="R14" s="23"/>
      <c r="S14" s="20"/>
    </row>
    <row r="15" spans="1:19">
      <c r="A15" s="25"/>
      <c r="B15" s="6"/>
      <c r="C15" s="6"/>
      <c r="D15" s="6"/>
      <c r="E15" s="6"/>
      <c r="F15" s="388"/>
      <c r="G15" s="388"/>
      <c r="H15" s="388"/>
      <c r="I15" s="20"/>
      <c r="J15" s="388"/>
      <c r="K15" s="25"/>
      <c r="L15" s="6"/>
      <c r="M15" s="6"/>
      <c r="N15" s="6"/>
      <c r="O15" s="6"/>
      <c r="P15" s="388"/>
      <c r="Q15" s="388"/>
      <c r="R15" s="388"/>
      <c r="S15" s="20"/>
    </row>
    <row r="16" spans="1:19" ht="14.45" customHeight="1">
      <c r="A16" s="25">
        <v>2</v>
      </c>
      <c r="B16" s="898" t="s">
        <v>58</v>
      </c>
      <c r="C16" s="898"/>
      <c r="D16" s="898"/>
      <c r="E16" s="6"/>
      <c r="F16" s="388"/>
      <c r="G16" s="388"/>
      <c r="H16" s="388"/>
      <c r="I16" s="20"/>
      <c r="J16" s="388"/>
      <c r="K16" s="25">
        <v>2</v>
      </c>
      <c r="L16" s="898" t="s">
        <v>58</v>
      </c>
      <c r="M16" s="898"/>
      <c r="N16" s="898"/>
      <c r="O16" s="6"/>
      <c r="P16" s="388"/>
      <c r="Q16" s="388"/>
      <c r="R16" s="388"/>
      <c r="S16" s="20"/>
    </row>
    <row r="17" spans="1:19">
      <c r="A17" s="25"/>
      <c r="B17" s="898"/>
      <c r="C17" s="898"/>
      <c r="D17" s="898"/>
      <c r="E17" s="27" t="s">
        <v>37</v>
      </c>
      <c r="F17" s="23"/>
      <c r="G17" s="23"/>
      <c r="H17" s="23"/>
      <c r="I17" s="20"/>
      <c r="J17" s="388"/>
      <c r="K17" s="25"/>
      <c r="L17" s="898"/>
      <c r="M17" s="898"/>
      <c r="N17" s="898"/>
      <c r="O17" s="27" t="s">
        <v>37</v>
      </c>
      <c r="P17" s="23"/>
      <c r="Q17" s="23"/>
      <c r="R17" s="23"/>
      <c r="S17" s="20"/>
    </row>
    <row r="18" spans="1:19">
      <c r="A18" s="25"/>
      <c r="B18" s="6"/>
      <c r="C18" s="6"/>
      <c r="D18" s="6"/>
      <c r="E18" s="6"/>
      <c r="F18" s="388"/>
      <c r="G18" s="388"/>
      <c r="H18" s="388"/>
      <c r="I18" s="20"/>
      <c r="J18" s="388"/>
      <c r="K18" s="25"/>
      <c r="L18" s="6"/>
      <c r="M18" s="6"/>
      <c r="N18" s="6"/>
      <c r="O18" s="6"/>
      <c r="P18" s="388"/>
      <c r="Q18" s="388"/>
      <c r="R18" s="388"/>
      <c r="S18" s="20"/>
    </row>
    <row r="19" spans="1:19">
      <c r="A19" s="25">
        <v>3</v>
      </c>
      <c r="B19" s="897" t="s">
        <v>59</v>
      </c>
      <c r="C19" s="897"/>
      <c r="D19" s="897"/>
      <c r="E19" s="27" t="s">
        <v>37</v>
      </c>
      <c r="F19" s="23"/>
      <c r="G19" s="23"/>
      <c r="H19" s="23"/>
      <c r="I19" s="20"/>
      <c r="J19" s="388"/>
      <c r="K19" s="25">
        <v>3</v>
      </c>
      <c r="L19" s="897" t="s">
        <v>59</v>
      </c>
      <c r="M19" s="897"/>
      <c r="N19" s="897"/>
      <c r="O19" s="22" t="str">
        <f>E19</f>
        <v>N/A</v>
      </c>
      <c r="P19" s="23"/>
      <c r="Q19" s="23"/>
      <c r="R19" s="23"/>
      <c r="S19" s="20"/>
    </row>
    <row r="20" spans="1:19">
      <c r="A20" s="25"/>
      <c r="B20" s="6"/>
      <c r="C20" s="6"/>
      <c r="D20" s="6"/>
      <c r="E20" s="6"/>
      <c r="F20" s="388"/>
      <c r="G20" s="388"/>
      <c r="H20" s="388"/>
      <c r="I20" s="20"/>
      <c r="J20" s="388"/>
      <c r="K20" s="25"/>
      <c r="L20" s="6"/>
      <c r="M20" s="6"/>
      <c r="N20" s="6"/>
      <c r="O20" s="6"/>
      <c r="P20" s="388"/>
      <c r="Q20" s="388"/>
      <c r="R20" s="388"/>
      <c r="S20" s="20"/>
    </row>
    <row r="21" spans="1:19">
      <c r="A21" s="25">
        <v>4</v>
      </c>
      <c r="B21" s="897" t="s">
        <v>60</v>
      </c>
      <c r="C21" s="897"/>
      <c r="D21" s="897"/>
      <c r="E21" s="27" t="s">
        <v>61</v>
      </c>
      <c r="F21" s="23"/>
      <c r="G21" s="23"/>
      <c r="H21" s="23"/>
      <c r="I21" s="20"/>
      <c r="J21" s="388"/>
      <c r="K21" s="25">
        <v>4</v>
      </c>
      <c r="L21" s="897" t="s">
        <v>60</v>
      </c>
      <c r="M21" s="897"/>
      <c r="N21" s="897"/>
      <c r="O21" s="27" t="s">
        <v>61</v>
      </c>
      <c r="P21" s="23"/>
      <c r="Q21" s="23"/>
      <c r="R21" s="23"/>
      <c r="S21" s="20"/>
    </row>
    <row r="22" spans="1:19">
      <c r="A22" s="25"/>
      <c r="B22" s="6"/>
      <c r="C22" s="6"/>
      <c r="D22" s="6"/>
      <c r="E22" s="6"/>
      <c r="F22" s="388"/>
      <c r="G22" s="388"/>
      <c r="H22" s="388"/>
      <c r="I22" s="20"/>
      <c r="J22" s="388"/>
      <c r="K22" s="25"/>
      <c r="L22" s="6"/>
      <c r="M22" s="6"/>
      <c r="N22" s="6"/>
      <c r="O22" s="6"/>
      <c r="P22" s="388"/>
      <c r="Q22" s="388"/>
      <c r="R22" s="388"/>
      <c r="S22" s="20"/>
    </row>
    <row r="23" spans="1:19">
      <c r="A23" s="25">
        <v>5</v>
      </c>
      <c r="B23" s="897" t="s">
        <v>62</v>
      </c>
      <c r="C23" s="897"/>
      <c r="D23" s="897"/>
      <c r="E23" s="297">
        <f>'04-22Master'!AG16</f>
        <v>85389.765643999999</v>
      </c>
      <c r="F23" s="388"/>
      <c r="G23" s="388"/>
      <c r="H23" s="388"/>
      <c r="I23" s="20"/>
      <c r="J23" s="388"/>
      <c r="K23" s="25">
        <v>5</v>
      </c>
      <c r="L23" s="897" t="s">
        <v>62</v>
      </c>
      <c r="M23" s="897"/>
      <c r="N23" s="897"/>
      <c r="O23" s="297">
        <f>E23</f>
        <v>85389.765643999999</v>
      </c>
      <c r="P23" s="388"/>
      <c r="Q23" s="388"/>
      <c r="R23" s="388"/>
      <c r="S23" s="20"/>
    </row>
    <row r="24" spans="1:19">
      <c r="A24" s="25"/>
      <c r="B24" s="6"/>
      <c r="C24" s="6"/>
      <c r="D24" s="298" t="s">
        <v>63</v>
      </c>
      <c r="E24" s="298" t="s">
        <v>31</v>
      </c>
      <c r="F24" s="298" t="s">
        <v>33</v>
      </c>
      <c r="G24" s="298" t="s">
        <v>34</v>
      </c>
      <c r="H24" s="298" t="s">
        <v>391</v>
      </c>
      <c r="I24" s="296" t="s">
        <v>392</v>
      </c>
      <c r="J24" s="388"/>
      <c r="K24" s="25"/>
      <c r="L24" s="6"/>
      <c r="M24" s="6"/>
      <c r="N24" s="298" t="s">
        <v>63</v>
      </c>
      <c r="O24" s="298" t="s">
        <v>31</v>
      </c>
      <c r="P24" s="298" t="s">
        <v>33</v>
      </c>
      <c r="Q24" s="298" t="s">
        <v>34</v>
      </c>
      <c r="R24" s="298" t="s">
        <v>391</v>
      </c>
      <c r="S24" s="296" t="s">
        <v>392</v>
      </c>
    </row>
    <row r="25" spans="1:19">
      <c r="A25" s="25">
        <v>6</v>
      </c>
      <c r="B25" s="428" t="s">
        <v>64</v>
      </c>
      <c r="C25" s="428"/>
      <c r="D25" s="299">
        <f>'04-22Master'!AI16</f>
        <v>1800</v>
      </c>
      <c r="E25" s="299">
        <f>'04-22Master'!AH16</f>
        <v>0</v>
      </c>
      <c r="F25" s="300">
        <f>'04-22Master'!AJ16</f>
        <v>200</v>
      </c>
      <c r="G25" s="299">
        <f>'04-22Master'!AK16</f>
        <v>0</v>
      </c>
      <c r="H25" s="300">
        <f>'04-22Master'!AL16</f>
        <v>440.76132899999999</v>
      </c>
      <c r="I25" s="300">
        <f>D25+E25+F25+G25+H25</f>
        <v>2440.7613289999999</v>
      </c>
      <c r="J25" s="388"/>
      <c r="K25" s="25">
        <v>6</v>
      </c>
      <c r="L25" s="428" t="s">
        <v>64</v>
      </c>
      <c r="M25" s="428"/>
      <c r="N25" s="299">
        <f t="shared" ref="N25:S25" si="0">D25</f>
        <v>1800</v>
      </c>
      <c r="O25" s="299">
        <f t="shared" si="0"/>
        <v>0</v>
      </c>
      <c r="P25" s="300">
        <f t="shared" si="0"/>
        <v>200</v>
      </c>
      <c r="Q25" s="299">
        <f t="shared" si="0"/>
        <v>0</v>
      </c>
      <c r="R25" s="300">
        <f t="shared" si="0"/>
        <v>440.76132899999999</v>
      </c>
      <c r="S25" s="300">
        <f t="shared" si="0"/>
        <v>2440.7613289999999</v>
      </c>
    </row>
    <row r="26" spans="1:19">
      <c r="A26" s="25"/>
      <c r="B26" s="6"/>
      <c r="C26" s="6"/>
      <c r="D26" s="6"/>
      <c r="E26" s="6"/>
      <c r="F26" s="388"/>
      <c r="G26" s="388"/>
      <c r="H26" s="388"/>
      <c r="I26" s="20"/>
      <c r="J26" s="388"/>
      <c r="K26" s="25"/>
      <c r="L26" s="6"/>
      <c r="M26" s="6"/>
      <c r="N26" s="6"/>
      <c r="O26" s="6"/>
      <c r="P26" s="388"/>
      <c r="Q26" s="388"/>
      <c r="R26" s="388"/>
      <c r="S26" s="20"/>
    </row>
    <row r="27" spans="1:19">
      <c r="A27" s="25">
        <v>7</v>
      </c>
      <c r="B27" s="897" t="s">
        <v>65</v>
      </c>
      <c r="C27" s="897"/>
      <c r="D27" s="897"/>
      <c r="E27" s="28">
        <f>E23-I25</f>
        <v>82949.004314999998</v>
      </c>
      <c r="F27" s="23"/>
      <c r="G27" s="23"/>
      <c r="H27" s="23"/>
      <c r="I27" s="20"/>
      <c r="J27" s="388"/>
      <c r="K27" s="25">
        <v>7</v>
      </c>
      <c r="L27" s="897" t="s">
        <v>65</v>
      </c>
      <c r="M27" s="897"/>
      <c r="N27" s="897"/>
      <c r="O27" s="28">
        <f>E27</f>
        <v>82949.004314999998</v>
      </c>
      <c r="P27" s="23"/>
      <c r="Q27" s="23"/>
      <c r="R27" s="23"/>
      <c r="S27" s="20"/>
    </row>
    <row r="28" spans="1:19">
      <c r="A28" s="19"/>
      <c r="B28" s="388"/>
      <c r="C28" s="388"/>
      <c r="D28" s="388"/>
      <c r="E28" s="388"/>
      <c r="F28" s="388"/>
      <c r="G28" s="388"/>
      <c r="H28" s="388"/>
      <c r="I28" s="20"/>
      <c r="J28" s="388"/>
      <c r="K28" s="19"/>
      <c r="L28" s="388"/>
      <c r="M28" s="388"/>
      <c r="N28" s="388"/>
      <c r="O28" s="388"/>
      <c r="P28" s="388"/>
      <c r="Q28" s="388"/>
      <c r="R28" s="388"/>
      <c r="S28" s="20"/>
    </row>
    <row r="29" spans="1:19">
      <c r="A29" s="19"/>
      <c r="B29" s="388"/>
      <c r="C29" s="388"/>
      <c r="D29" s="388"/>
      <c r="E29" s="388"/>
      <c r="F29" s="388"/>
      <c r="G29" s="388"/>
      <c r="H29" s="388"/>
      <c r="I29" s="20"/>
      <c r="J29" s="388"/>
      <c r="K29" s="19"/>
      <c r="L29" s="388"/>
      <c r="M29" s="388"/>
      <c r="N29" s="388"/>
      <c r="O29" s="388"/>
      <c r="P29" s="388"/>
      <c r="Q29" s="388"/>
      <c r="R29" s="388"/>
      <c r="S29" s="20"/>
    </row>
    <row r="30" spans="1:19" ht="15.75" thickBot="1">
      <c r="A30" s="19"/>
      <c r="B30" s="388"/>
      <c r="C30" s="388"/>
      <c r="D30" s="388"/>
      <c r="E30" s="388"/>
      <c r="F30" s="29"/>
      <c r="G30" s="29"/>
      <c r="H30" s="29"/>
      <c r="I30" s="30"/>
      <c r="J30" s="388"/>
      <c r="K30" s="19"/>
      <c r="L30" s="388"/>
      <c r="M30" s="388"/>
      <c r="N30" s="388"/>
      <c r="O30" s="388"/>
      <c r="P30" s="29"/>
      <c r="Q30" s="29"/>
      <c r="R30" s="29"/>
      <c r="S30" s="30"/>
    </row>
    <row r="31" spans="1:19" ht="15.75" thickBot="1">
      <c r="A31" s="31"/>
      <c r="B31" s="29"/>
      <c r="C31" s="29"/>
      <c r="D31" s="29"/>
      <c r="E31" s="29"/>
      <c r="F31" s="895" t="s">
        <v>66</v>
      </c>
      <c r="G31" s="895"/>
      <c r="H31" s="895"/>
      <c r="I31" s="896"/>
      <c r="J31" s="388"/>
      <c r="K31" s="31"/>
      <c r="L31" s="29"/>
      <c r="M31" s="29"/>
      <c r="N31" s="29"/>
      <c r="O31" s="29"/>
      <c r="P31" s="895" t="s">
        <v>66</v>
      </c>
      <c r="Q31" s="895"/>
      <c r="R31" s="895"/>
      <c r="S31" s="896"/>
    </row>
    <row r="48" ht="15.75" thickBot="1"/>
    <row r="49" spans="1:19" ht="26.25">
      <c r="A49" s="891" t="s">
        <v>52</v>
      </c>
      <c r="B49" s="892"/>
      <c r="C49" s="892"/>
      <c r="D49" s="892"/>
      <c r="E49" s="892"/>
      <c r="F49" s="892"/>
      <c r="G49" s="892"/>
      <c r="H49" s="892"/>
      <c r="I49" s="893"/>
      <c r="J49" s="434"/>
      <c r="K49" s="891" t="s">
        <v>52</v>
      </c>
      <c r="L49" s="892"/>
      <c r="M49" s="892"/>
      <c r="N49" s="892"/>
      <c r="O49" s="892"/>
      <c r="P49" s="892"/>
      <c r="Q49" s="892"/>
      <c r="R49" s="892"/>
      <c r="S49" s="893"/>
    </row>
    <row r="50" spans="1:19">
      <c r="A50" s="894" t="s">
        <v>430</v>
      </c>
      <c r="B50" s="757"/>
      <c r="C50" s="757"/>
      <c r="D50" s="757"/>
      <c r="E50" s="757"/>
      <c r="F50" s="757"/>
      <c r="G50" s="757"/>
      <c r="H50" s="757"/>
      <c r="I50" s="795"/>
      <c r="J50" s="467"/>
      <c r="K50" s="894" t="s">
        <v>430</v>
      </c>
      <c r="L50" s="757"/>
      <c r="M50" s="757"/>
      <c r="N50" s="757"/>
      <c r="O50" s="757"/>
      <c r="P50" s="757"/>
      <c r="Q50" s="757"/>
      <c r="R50" s="757"/>
      <c r="S50" s="795"/>
    </row>
    <row r="51" spans="1:19">
      <c r="A51" s="19"/>
      <c r="B51" s="434"/>
      <c r="C51" s="434"/>
      <c r="D51" s="434"/>
      <c r="E51" s="434"/>
      <c r="F51" s="434"/>
      <c r="G51" s="434"/>
      <c r="H51" s="434"/>
      <c r="I51" s="20"/>
      <c r="J51" s="434"/>
      <c r="K51" s="19"/>
      <c r="L51" s="434"/>
      <c r="M51" s="434"/>
      <c r="N51" s="434"/>
      <c r="O51" s="434"/>
      <c r="P51" s="434"/>
      <c r="Q51" s="434"/>
      <c r="R51" s="434"/>
      <c r="S51" s="20"/>
    </row>
    <row r="52" spans="1:19">
      <c r="A52" s="21" t="s">
        <v>53</v>
      </c>
      <c r="B52" s="6"/>
      <c r="C52" s="6"/>
      <c r="D52" s="10" t="str">
        <f>'04-22Master'!F5</f>
        <v>Burgeon IT Services Pvt.Ltd.</v>
      </c>
      <c r="E52" s="434"/>
      <c r="F52" s="434"/>
      <c r="G52" s="434"/>
      <c r="H52" s="434"/>
      <c r="I52" s="20"/>
      <c r="J52" s="434"/>
      <c r="K52" s="21" t="s">
        <v>53</v>
      </c>
      <c r="L52" s="6"/>
      <c r="M52" s="6"/>
      <c r="N52" s="10"/>
      <c r="O52" s="433" t="str">
        <f>D52</f>
        <v>Burgeon IT Services Pvt.Ltd.</v>
      </c>
      <c r="P52" s="434"/>
      <c r="Q52" s="434"/>
      <c r="R52" s="434"/>
      <c r="S52" s="20"/>
    </row>
    <row r="53" spans="1:19">
      <c r="A53" s="21"/>
      <c r="B53" s="6" t="str">
        <f>'04-22Master'!F6</f>
        <v>Siri Mansion LIGB 436 Dr.A S Rao Nagar,Hyderabad</v>
      </c>
      <c r="C53" s="6"/>
      <c r="D53" s="6"/>
      <c r="E53" s="434"/>
      <c r="F53" s="434"/>
      <c r="G53" s="434"/>
      <c r="H53" s="434"/>
      <c r="I53" s="20"/>
      <c r="J53" s="434"/>
      <c r="K53" s="21"/>
      <c r="L53" s="6" t="str">
        <f>B53</f>
        <v>Siri Mansion LIGB 436 Dr.A S Rao Nagar,Hyderabad</v>
      </c>
      <c r="M53" s="6"/>
      <c r="N53" s="6"/>
      <c r="O53" s="434"/>
      <c r="P53" s="434"/>
      <c r="Q53" s="434"/>
      <c r="R53" s="434"/>
      <c r="S53" s="20"/>
    </row>
    <row r="54" spans="1:19">
      <c r="A54" s="21"/>
      <c r="B54" s="6"/>
      <c r="C54" s="6"/>
      <c r="D54" s="6"/>
      <c r="E54" s="6"/>
      <c r="F54" s="434"/>
      <c r="G54" s="434"/>
      <c r="H54" s="434"/>
      <c r="I54" s="20"/>
      <c r="J54" s="434"/>
      <c r="K54" s="21"/>
      <c r="L54" s="6"/>
      <c r="M54" s="6"/>
      <c r="N54" s="6"/>
      <c r="O54" s="6"/>
      <c r="P54" s="434"/>
      <c r="Q54" s="434"/>
      <c r="R54" s="434"/>
      <c r="S54" s="20"/>
    </row>
    <row r="55" spans="1:19">
      <c r="A55" s="899" t="s">
        <v>54</v>
      </c>
      <c r="B55" s="898"/>
      <c r="C55" s="898"/>
      <c r="D55" s="898"/>
      <c r="E55" s="6"/>
      <c r="F55" s="434"/>
      <c r="G55" s="434"/>
      <c r="H55" s="434"/>
      <c r="I55" s="20"/>
      <c r="J55" s="434"/>
      <c r="K55" s="899" t="s">
        <v>54</v>
      </c>
      <c r="L55" s="898"/>
      <c r="M55" s="898"/>
      <c r="N55" s="898"/>
      <c r="O55" s="6"/>
      <c r="P55" s="434"/>
      <c r="Q55" s="434"/>
      <c r="R55" s="434"/>
      <c r="S55" s="20"/>
    </row>
    <row r="56" spans="1:19">
      <c r="A56" s="899"/>
      <c r="B56" s="898"/>
      <c r="C56" s="898"/>
      <c r="D56" s="898"/>
      <c r="E56" s="22">
        <f>'04-22Master'!B17</f>
        <v>0</v>
      </c>
      <c r="F56" s="23"/>
      <c r="G56" s="23"/>
      <c r="H56" s="23"/>
      <c r="I56" s="20"/>
      <c r="J56" s="434"/>
      <c r="K56" s="899"/>
      <c r="L56" s="898"/>
      <c r="M56" s="898"/>
      <c r="N56" s="898"/>
      <c r="O56" s="22">
        <f>E56</f>
        <v>0</v>
      </c>
      <c r="P56" s="23"/>
      <c r="Q56" s="23"/>
      <c r="R56" s="23"/>
      <c r="S56" s="20"/>
    </row>
    <row r="57" spans="1:19">
      <c r="A57" s="21"/>
      <c r="B57" s="6"/>
      <c r="C57" s="6"/>
      <c r="D57" s="6"/>
      <c r="E57" s="6"/>
      <c r="F57" s="434"/>
      <c r="G57" s="434"/>
      <c r="H57" s="434"/>
      <c r="I57" s="20"/>
      <c r="J57" s="434"/>
      <c r="K57" s="21"/>
      <c r="L57" s="6"/>
      <c r="M57" s="6"/>
      <c r="N57" s="6"/>
      <c r="O57" s="6"/>
      <c r="P57" s="434"/>
      <c r="Q57" s="434"/>
      <c r="R57" s="434"/>
      <c r="S57" s="20"/>
    </row>
    <row r="58" spans="1:19">
      <c r="A58" s="900" t="s">
        <v>55</v>
      </c>
      <c r="B58" s="897"/>
      <c r="C58" s="897"/>
      <c r="D58" s="897"/>
      <c r="E58" s="22" t="str">
        <f>'04-22Master'!F8</f>
        <v>IT SUPPORTIVE SERVICES</v>
      </c>
      <c r="F58" s="23"/>
      <c r="G58" s="23"/>
      <c r="H58" s="23"/>
      <c r="I58" s="20"/>
      <c r="J58" s="434"/>
      <c r="K58" s="900" t="s">
        <v>55</v>
      </c>
      <c r="L58" s="897"/>
      <c r="M58" s="897"/>
      <c r="N58" s="897"/>
      <c r="O58" s="22" t="str">
        <f>E58</f>
        <v>IT SUPPORTIVE SERVICES</v>
      </c>
      <c r="P58" s="23"/>
      <c r="Q58" s="23"/>
      <c r="R58" s="23"/>
      <c r="S58" s="20"/>
    </row>
    <row r="59" spans="1:19">
      <c r="A59" s="21"/>
      <c r="B59" s="6"/>
      <c r="C59" s="6"/>
      <c r="D59" s="6"/>
      <c r="E59" s="6"/>
      <c r="F59" s="434"/>
      <c r="G59" s="434"/>
      <c r="H59" s="434"/>
      <c r="I59" s="20"/>
      <c r="J59" s="434"/>
      <c r="K59" s="21"/>
      <c r="L59" s="6"/>
      <c r="M59" s="6"/>
      <c r="N59" s="6"/>
      <c r="O59" s="6"/>
      <c r="P59" s="434"/>
      <c r="Q59" s="434"/>
      <c r="R59" s="434"/>
      <c r="S59" s="20"/>
    </row>
    <row r="60" spans="1:19">
      <c r="A60" s="900" t="s">
        <v>56</v>
      </c>
      <c r="B60" s="897"/>
      <c r="C60" s="897"/>
      <c r="D60" s="897"/>
      <c r="E60" s="24">
        <f>'04-22Master'!D10</f>
        <v>44652</v>
      </c>
      <c r="F60" s="23"/>
      <c r="G60" s="23"/>
      <c r="H60" s="23"/>
      <c r="I60" s="20"/>
      <c r="J60" s="434"/>
      <c r="K60" s="900" t="s">
        <v>56</v>
      </c>
      <c r="L60" s="897"/>
      <c r="M60" s="897"/>
      <c r="N60" s="897"/>
      <c r="O60" s="24">
        <f>E60</f>
        <v>44652</v>
      </c>
      <c r="P60" s="23"/>
      <c r="Q60" s="23"/>
      <c r="R60" s="23"/>
      <c r="S60" s="20"/>
    </row>
    <row r="61" spans="1:19">
      <c r="A61" s="21"/>
      <c r="B61" s="6"/>
      <c r="C61" s="6"/>
      <c r="D61" s="6"/>
      <c r="E61" s="6"/>
      <c r="F61" s="434"/>
      <c r="G61" s="434"/>
      <c r="H61" s="434"/>
      <c r="I61" s="20"/>
      <c r="J61" s="434"/>
      <c r="K61" s="21"/>
      <c r="L61" s="6"/>
      <c r="M61" s="6"/>
      <c r="N61" s="6"/>
      <c r="O61" s="6"/>
      <c r="P61" s="434"/>
      <c r="Q61" s="434"/>
      <c r="R61" s="434"/>
      <c r="S61" s="20"/>
    </row>
    <row r="62" spans="1:19">
      <c r="A62" s="25">
        <v>1</v>
      </c>
      <c r="B62" s="897" t="s">
        <v>57</v>
      </c>
      <c r="C62" s="897"/>
      <c r="D62" s="897"/>
      <c r="E62" s="26">
        <f>'04-22Master'!Q17</f>
        <v>0</v>
      </c>
      <c r="F62" s="23"/>
      <c r="G62" s="23"/>
      <c r="H62" s="23"/>
      <c r="I62" s="20"/>
      <c r="J62" s="434"/>
      <c r="K62" s="25">
        <v>1</v>
      </c>
      <c r="L62" s="897" t="s">
        <v>57</v>
      </c>
      <c r="M62" s="897"/>
      <c r="N62" s="897"/>
      <c r="O62" s="26">
        <f>E62</f>
        <v>0</v>
      </c>
      <c r="P62" s="23"/>
      <c r="Q62" s="23"/>
      <c r="R62" s="23"/>
      <c r="S62" s="20"/>
    </row>
    <row r="63" spans="1:19">
      <c r="A63" s="25"/>
      <c r="B63" s="6"/>
      <c r="C63" s="6"/>
      <c r="D63" s="6"/>
      <c r="E63" s="6"/>
      <c r="F63" s="434"/>
      <c r="G63" s="434"/>
      <c r="H63" s="434"/>
      <c r="I63" s="20"/>
      <c r="J63" s="434"/>
      <c r="K63" s="25"/>
      <c r="L63" s="6"/>
      <c r="M63" s="6"/>
      <c r="N63" s="6"/>
      <c r="O63" s="6"/>
      <c r="P63" s="434"/>
      <c r="Q63" s="434"/>
      <c r="R63" s="434"/>
      <c r="S63" s="20"/>
    </row>
    <row r="64" spans="1:19">
      <c r="A64" s="25">
        <v>2</v>
      </c>
      <c r="B64" s="898" t="s">
        <v>58</v>
      </c>
      <c r="C64" s="898"/>
      <c r="D64" s="898"/>
      <c r="E64" s="6"/>
      <c r="F64" s="434"/>
      <c r="G64" s="434"/>
      <c r="H64" s="434"/>
      <c r="I64" s="20"/>
      <c r="J64" s="434"/>
      <c r="K64" s="25">
        <v>2</v>
      </c>
      <c r="L64" s="898" t="s">
        <v>58</v>
      </c>
      <c r="M64" s="898"/>
      <c r="N64" s="898"/>
      <c r="O64" s="6"/>
      <c r="P64" s="434"/>
      <c r="Q64" s="434"/>
      <c r="R64" s="434"/>
      <c r="S64" s="20"/>
    </row>
    <row r="65" spans="1:19">
      <c r="A65" s="25"/>
      <c r="B65" s="898"/>
      <c r="C65" s="898"/>
      <c r="D65" s="898"/>
      <c r="E65" s="27" t="s">
        <v>37</v>
      </c>
      <c r="F65" s="23"/>
      <c r="G65" s="23"/>
      <c r="H65" s="23"/>
      <c r="I65" s="20"/>
      <c r="J65" s="434"/>
      <c r="K65" s="25"/>
      <c r="L65" s="898"/>
      <c r="M65" s="898"/>
      <c r="N65" s="898"/>
      <c r="O65" s="27" t="s">
        <v>37</v>
      </c>
      <c r="P65" s="23"/>
      <c r="Q65" s="23"/>
      <c r="R65" s="23"/>
      <c r="S65" s="20"/>
    </row>
    <row r="66" spans="1:19">
      <c r="A66" s="25"/>
      <c r="B66" s="6"/>
      <c r="C66" s="6"/>
      <c r="D66" s="6"/>
      <c r="E66" s="6"/>
      <c r="F66" s="434"/>
      <c r="G66" s="434"/>
      <c r="H66" s="434"/>
      <c r="I66" s="20"/>
      <c r="J66" s="434"/>
      <c r="K66" s="25"/>
      <c r="L66" s="6"/>
      <c r="M66" s="6"/>
      <c r="N66" s="6"/>
      <c r="O66" s="6"/>
      <c r="P66" s="434"/>
      <c r="Q66" s="434"/>
      <c r="R66" s="434"/>
      <c r="S66" s="20"/>
    </row>
    <row r="67" spans="1:19">
      <c r="A67" s="25">
        <v>3</v>
      </c>
      <c r="B67" s="897" t="s">
        <v>59</v>
      </c>
      <c r="C67" s="897"/>
      <c r="D67" s="897"/>
      <c r="E67" s="27" t="s">
        <v>37</v>
      </c>
      <c r="F67" s="23"/>
      <c r="G67" s="23"/>
      <c r="H67" s="23"/>
      <c r="I67" s="20"/>
      <c r="J67" s="434"/>
      <c r="K67" s="25">
        <v>3</v>
      </c>
      <c r="L67" s="897" t="s">
        <v>59</v>
      </c>
      <c r="M67" s="897"/>
      <c r="N67" s="897"/>
      <c r="O67" s="22" t="str">
        <f>E67</f>
        <v>N/A</v>
      </c>
      <c r="P67" s="23"/>
      <c r="Q67" s="23"/>
      <c r="R67" s="23"/>
      <c r="S67" s="20"/>
    </row>
    <row r="68" spans="1:19">
      <c r="A68" s="25"/>
      <c r="B68" s="6"/>
      <c r="C68" s="6"/>
      <c r="D68" s="6"/>
      <c r="E68" s="6"/>
      <c r="F68" s="434"/>
      <c r="G68" s="434"/>
      <c r="H68" s="434"/>
      <c r="I68" s="20"/>
      <c r="J68" s="434"/>
      <c r="K68" s="25"/>
      <c r="L68" s="6"/>
      <c r="M68" s="6"/>
      <c r="N68" s="6"/>
      <c r="O68" s="6"/>
      <c r="P68" s="434"/>
      <c r="Q68" s="434"/>
      <c r="R68" s="434"/>
      <c r="S68" s="20"/>
    </row>
    <row r="69" spans="1:19">
      <c r="A69" s="25">
        <v>4</v>
      </c>
      <c r="B69" s="897" t="s">
        <v>60</v>
      </c>
      <c r="C69" s="897"/>
      <c r="D69" s="897"/>
      <c r="E69" s="27" t="s">
        <v>61</v>
      </c>
      <c r="F69" s="23"/>
      <c r="G69" s="23"/>
      <c r="H69" s="23"/>
      <c r="I69" s="20"/>
      <c r="J69" s="434"/>
      <c r="K69" s="25">
        <v>4</v>
      </c>
      <c r="L69" s="897" t="s">
        <v>60</v>
      </c>
      <c r="M69" s="897"/>
      <c r="N69" s="897"/>
      <c r="O69" s="27" t="s">
        <v>61</v>
      </c>
      <c r="P69" s="23"/>
      <c r="Q69" s="23"/>
      <c r="R69" s="23"/>
      <c r="S69" s="20"/>
    </row>
    <row r="70" spans="1:19">
      <c r="A70" s="25"/>
      <c r="B70" s="6"/>
      <c r="C70" s="6"/>
      <c r="D70" s="6"/>
      <c r="E70" s="6"/>
      <c r="F70" s="434"/>
      <c r="G70" s="434"/>
      <c r="H70" s="434"/>
      <c r="I70" s="20"/>
      <c r="J70" s="434"/>
      <c r="K70" s="25"/>
      <c r="L70" s="6"/>
      <c r="M70" s="6"/>
      <c r="N70" s="6"/>
      <c r="O70" s="6"/>
      <c r="P70" s="434"/>
      <c r="Q70" s="434"/>
      <c r="R70" s="434"/>
      <c r="S70" s="20"/>
    </row>
    <row r="71" spans="1:19">
      <c r="A71" s="25">
        <v>5</v>
      </c>
      <c r="B71" s="897" t="s">
        <v>62</v>
      </c>
      <c r="C71" s="897"/>
      <c r="D71" s="897"/>
      <c r="E71" s="297">
        <f>'04-22Master'!AG17</f>
        <v>0</v>
      </c>
      <c r="F71" s="434"/>
      <c r="G71" s="434"/>
      <c r="H71" s="434"/>
      <c r="I71" s="20"/>
      <c r="J71" s="434"/>
      <c r="K71" s="25">
        <v>5</v>
      </c>
      <c r="L71" s="897" t="s">
        <v>62</v>
      </c>
      <c r="M71" s="897"/>
      <c r="N71" s="897"/>
      <c r="O71" s="297">
        <f>E71</f>
        <v>0</v>
      </c>
      <c r="P71" s="434"/>
      <c r="Q71" s="434"/>
      <c r="R71" s="434"/>
      <c r="S71" s="20"/>
    </row>
    <row r="72" spans="1:19">
      <c r="A72" s="25"/>
      <c r="B72" s="6"/>
      <c r="C72" s="6"/>
      <c r="D72" s="298" t="s">
        <v>63</v>
      </c>
      <c r="E72" s="298" t="s">
        <v>31</v>
      </c>
      <c r="F72" s="298" t="s">
        <v>33</v>
      </c>
      <c r="G72" s="298" t="s">
        <v>34</v>
      </c>
      <c r="H72" s="298" t="s">
        <v>391</v>
      </c>
      <c r="I72" s="296" t="s">
        <v>392</v>
      </c>
      <c r="J72" s="434"/>
      <c r="K72" s="25"/>
      <c r="L72" s="6"/>
      <c r="M72" s="6"/>
      <c r="N72" s="298" t="s">
        <v>63</v>
      </c>
      <c r="O72" s="298" t="s">
        <v>31</v>
      </c>
      <c r="P72" s="298" t="s">
        <v>33</v>
      </c>
      <c r="Q72" s="298" t="s">
        <v>34</v>
      </c>
      <c r="R72" s="298" t="s">
        <v>391</v>
      </c>
      <c r="S72" s="296" t="s">
        <v>392</v>
      </c>
    </row>
    <row r="73" spans="1:19">
      <c r="A73" s="25">
        <v>6</v>
      </c>
      <c r="B73" s="450" t="s">
        <v>64</v>
      </c>
      <c r="C73" s="450"/>
      <c r="D73" s="299">
        <f>'04-22Master'!AI17</f>
        <v>0</v>
      </c>
      <c r="E73" s="299">
        <f>'04-22Master'!AH17</f>
        <v>0</v>
      </c>
      <c r="F73" s="300">
        <f>'04-22Master'!AJ17</f>
        <v>0</v>
      </c>
      <c r="G73" s="299">
        <f>'04-22Master'!AK17</f>
        <v>0</v>
      </c>
      <c r="H73" s="300">
        <f>'04-22Master'!AL17</f>
        <v>0</v>
      </c>
      <c r="I73" s="300">
        <f>D73+E73+F73+G73+H73</f>
        <v>0</v>
      </c>
      <c r="J73" s="434"/>
      <c r="K73" s="25">
        <v>6</v>
      </c>
      <c r="L73" s="450" t="s">
        <v>64</v>
      </c>
      <c r="M73" s="450"/>
      <c r="N73" s="299">
        <f t="shared" ref="N73:S73" si="1">D73</f>
        <v>0</v>
      </c>
      <c r="O73" s="299">
        <f t="shared" si="1"/>
        <v>0</v>
      </c>
      <c r="P73" s="300">
        <f t="shared" si="1"/>
        <v>0</v>
      </c>
      <c r="Q73" s="299">
        <f t="shared" si="1"/>
        <v>0</v>
      </c>
      <c r="R73" s="300">
        <f t="shared" si="1"/>
        <v>0</v>
      </c>
      <c r="S73" s="300">
        <f t="shared" si="1"/>
        <v>0</v>
      </c>
    </row>
    <row r="74" spans="1:19">
      <c r="A74" s="25"/>
      <c r="B74" s="6"/>
      <c r="C74" s="6"/>
      <c r="D74" s="6"/>
      <c r="E74" s="6"/>
      <c r="F74" s="434"/>
      <c r="G74" s="434"/>
      <c r="H74" s="434"/>
      <c r="I74" s="20"/>
      <c r="J74" s="434"/>
      <c r="K74" s="25"/>
      <c r="L74" s="6"/>
      <c r="M74" s="6"/>
      <c r="N74" s="6"/>
      <c r="O74" s="6"/>
      <c r="P74" s="434"/>
      <c r="Q74" s="434"/>
      <c r="R74" s="434"/>
      <c r="S74" s="20"/>
    </row>
    <row r="75" spans="1:19">
      <c r="A75" s="25">
        <v>7</v>
      </c>
      <c r="B75" s="897" t="s">
        <v>65</v>
      </c>
      <c r="C75" s="897"/>
      <c r="D75" s="897"/>
      <c r="E75" s="28">
        <f>E71-I73</f>
        <v>0</v>
      </c>
      <c r="F75" s="23"/>
      <c r="G75" s="23"/>
      <c r="H75" s="23"/>
      <c r="I75" s="20"/>
      <c r="J75" s="434"/>
      <c r="K75" s="25">
        <v>7</v>
      </c>
      <c r="L75" s="897" t="s">
        <v>65</v>
      </c>
      <c r="M75" s="897"/>
      <c r="N75" s="897"/>
      <c r="O75" s="28">
        <f>E75</f>
        <v>0</v>
      </c>
      <c r="P75" s="23"/>
      <c r="Q75" s="23"/>
      <c r="R75" s="23"/>
      <c r="S75" s="20"/>
    </row>
    <row r="76" spans="1:19">
      <c r="A76" s="19"/>
      <c r="B76" s="434"/>
      <c r="C76" s="434"/>
      <c r="D76" s="434"/>
      <c r="E76" s="434"/>
      <c r="F76" s="434"/>
      <c r="G76" s="434"/>
      <c r="H76" s="434"/>
      <c r="I76" s="20"/>
      <c r="J76" s="434"/>
      <c r="K76" s="19"/>
      <c r="L76" s="434"/>
      <c r="M76" s="434"/>
      <c r="N76" s="434"/>
      <c r="O76" s="434"/>
      <c r="P76" s="434"/>
      <c r="Q76" s="434"/>
      <c r="R76" s="434"/>
      <c r="S76" s="20"/>
    </row>
    <row r="77" spans="1:19">
      <c r="A77" s="19"/>
      <c r="B77" s="434"/>
      <c r="C77" s="434"/>
      <c r="D77" s="434"/>
      <c r="E77" s="434"/>
      <c r="F77" s="434"/>
      <c r="G77" s="434"/>
      <c r="H77" s="434"/>
      <c r="I77" s="20"/>
      <c r="J77" s="434"/>
      <c r="K77" s="19"/>
      <c r="L77" s="434"/>
      <c r="M77" s="434"/>
      <c r="N77" s="434"/>
      <c r="O77" s="434"/>
      <c r="P77" s="434"/>
      <c r="Q77" s="434"/>
      <c r="R77" s="434"/>
      <c r="S77" s="20"/>
    </row>
    <row r="78" spans="1:19" ht="15.75" thickBot="1">
      <c r="A78" s="19"/>
      <c r="B78" s="434"/>
      <c r="C78" s="434"/>
      <c r="D78" s="434"/>
      <c r="E78" s="434"/>
      <c r="F78" s="29"/>
      <c r="G78" s="29"/>
      <c r="H78" s="29"/>
      <c r="I78" s="30"/>
      <c r="J78" s="434"/>
      <c r="K78" s="19"/>
      <c r="L78" s="434"/>
      <c r="M78" s="434"/>
      <c r="N78" s="434"/>
      <c r="O78" s="434"/>
      <c r="P78" s="29"/>
      <c r="Q78" s="29"/>
      <c r="R78" s="29"/>
      <c r="S78" s="30"/>
    </row>
    <row r="79" spans="1:19" ht="15.75" thickBot="1">
      <c r="A79" s="31"/>
      <c r="B79" s="29"/>
      <c r="C79" s="29"/>
      <c r="D79" s="29"/>
      <c r="E79" s="29"/>
      <c r="F79" s="895" t="s">
        <v>66</v>
      </c>
      <c r="G79" s="895"/>
      <c r="H79" s="895"/>
      <c r="I79" s="896"/>
      <c r="J79" s="434"/>
      <c r="K79" s="31"/>
      <c r="L79" s="29"/>
      <c r="M79" s="29"/>
      <c r="N79" s="29"/>
      <c r="O79" s="29"/>
      <c r="P79" s="895" t="s">
        <v>66</v>
      </c>
      <c r="Q79" s="895"/>
      <c r="R79" s="895"/>
      <c r="S79" s="896"/>
    </row>
  </sheetData>
  <mergeCells count="48">
    <mergeCell ref="P79:S79"/>
    <mergeCell ref="B64:D65"/>
    <mergeCell ref="L64:N65"/>
    <mergeCell ref="B67:D67"/>
    <mergeCell ref="L67:N67"/>
    <mergeCell ref="B69:D69"/>
    <mergeCell ref="L69:N69"/>
    <mergeCell ref="B71:D71"/>
    <mergeCell ref="L71:N71"/>
    <mergeCell ref="B75:D75"/>
    <mergeCell ref="L75:N75"/>
    <mergeCell ref="A55:D56"/>
    <mergeCell ref="K55:N56"/>
    <mergeCell ref="B62:D62"/>
    <mergeCell ref="L62:N62"/>
    <mergeCell ref="F79:I79"/>
    <mergeCell ref="A58:D58"/>
    <mergeCell ref="K58:N58"/>
    <mergeCell ref="A60:D60"/>
    <mergeCell ref="K60:N60"/>
    <mergeCell ref="A7:D8"/>
    <mergeCell ref="K7:N8"/>
    <mergeCell ref="A10:D10"/>
    <mergeCell ref="K10:N10"/>
    <mergeCell ref="A12:D12"/>
    <mergeCell ref="K12:N12"/>
    <mergeCell ref="B19:D19"/>
    <mergeCell ref="L19:N19"/>
    <mergeCell ref="A49:I49"/>
    <mergeCell ref="K49:S49"/>
    <mergeCell ref="A50:I50"/>
    <mergeCell ref="K50:S50"/>
    <mergeCell ref="A1:I1"/>
    <mergeCell ref="K1:S1"/>
    <mergeCell ref="A2:I2"/>
    <mergeCell ref="K2:S2"/>
    <mergeCell ref="F31:I31"/>
    <mergeCell ref="P31:S31"/>
    <mergeCell ref="B21:D21"/>
    <mergeCell ref="L21:N21"/>
    <mergeCell ref="B23:D23"/>
    <mergeCell ref="L23:N23"/>
    <mergeCell ref="B27:D27"/>
    <mergeCell ref="L27:N27"/>
    <mergeCell ref="B14:D14"/>
    <mergeCell ref="L14:N14"/>
    <mergeCell ref="B16:D17"/>
    <mergeCell ref="L16:N17"/>
  </mergeCells>
  <pageMargins left="0.48" right="0.46" top="0.75" bottom="0.75" header="0.31" footer="0.3"/>
  <pageSetup scale="70"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1"/>
  <sheetViews>
    <sheetView workbookViewId="0">
      <selection activeCell="E7" sqref="E7:E8"/>
    </sheetView>
  </sheetViews>
  <sheetFormatPr defaultRowHeight="15"/>
  <cols>
    <col min="1" max="1" width="7" customWidth="1"/>
    <col min="2" max="2" width="26" customWidth="1"/>
    <col min="3" max="3" width="18.5703125" customWidth="1"/>
    <col min="5" max="5" width="25.140625" customWidth="1"/>
    <col min="6" max="6" width="6.5703125" customWidth="1"/>
    <col min="14" max="14" width="7.28515625" customWidth="1"/>
    <col min="15" max="15" width="10.28515625" customWidth="1"/>
    <col min="16" max="16" width="7" customWidth="1"/>
    <col min="17" max="17" width="22.5703125" bestFit="1" customWidth="1"/>
  </cols>
  <sheetData>
    <row r="1" spans="1:18" ht="18.75">
      <c r="A1" s="903" t="s">
        <v>145</v>
      </c>
      <c r="B1" s="903"/>
      <c r="C1" s="903"/>
      <c r="D1" s="903"/>
      <c r="E1" s="903"/>
      <c r="F1" s="903"/>
      <c r="G1" s="903"/>
      <c r="H1" s="903"/>
      <c r="I1" s="903"/>
      <c r="J1" s="903"/>
      <c r="K1" s="903"/>
      <c r="L1" s="903"/>
      <c r="M1" s="903"/>
      <c r="N1" s="903"/>
      <c r="O1" s="903"/>
      <c r="P1" s="903"/>
      <c r="Q1" s="114"/>
    </row>
    <row r="2" spans="1:18">
      <c r="A2" s="8"/>
      <c r="B2" s="18"/>
      <c r="E2" s="8"/>
      <c r="F2" s="8"/>
      <c r="G2" s="8"/>
    </row>
    <row r="3" spans="1:18" ht="15.75">
      <c r="A3" s="904" t="s">
        <v>146</v>
      </c>
      <c r="B3" s="904"/>
      <c r="C3" s="904"/>
      <c r="D3" s="904"/>
      <c r="E3" s="904"/>
      <c r="F3" s="904"/>
      <c r="G3" s="904"/>
      <c r="H3" s="904"/>
      <c r="I3" s="904"/>
      <c r="J3" s="904"/>
      <c r="K3" s="904"/>
      <c r="L3" s="904"/>
      <c r="M3" s="904"/>
      <c r="N3" s="904"/>
      <c r="O3" s="904"/>
      <c r="P3" s="904"/>
      <c r="Q3" s="115"/>
    </row>
    <row r="4" spans="1:18">
      <c r="A4" s="8"/>
      <c r="B4" s="18"/>
      <c r="E4" s="8"/>
      <c r="F4" s="8"/>
      <c r="G4" s="8"/>
      <c r="K4" s="3" t="s">
        <v>397</v>
      </c>
      <c r="L4" s="12">
        <f>'04-22Master'!D10</f>
        <v>44652</v>
      </c>
    </row>
    <row r="5" spans="1:18" ht="15.75">
      <c r="A5" s="116" t="s">
        <v>147</v>
      </c>
      <c r="B5" s="117"/>
      <c r="D5" t="str">
        <f>'04-22Master'!F5</f>
        <v>Burgeon IT Services Pvt.Ltd.</v>
      </c>
      <c r="E5" s="118"/>
      <c r="F5" s="118"/>
      <c r="G5" s="118"/>
      <c r="H5" s="118"/>
      <c r="I5" s="118"/>
      <c r="J5" s="118"/>
      <c r="K5" s="116" t="s">
        <v>148</v>
      </c>
      <c r="L5" s="118"/>
      <c r="M5" s="118" t="s">
        <v>463</v>
      </c>
      <c r="N5" s="118"/>
      <c r="O5" s="118"/>
      <c r="P5" s="118"/>
      <c r="Q5" s="118"/>
      <c r="R5" s="118"/>
    </row>
    <row r="6" spans="1:18">
      <c r="A6" s="119"/>
      <c r="B6" s="120"/>
      <c r="C6" s="121"/>
      <c r="D6" s="121"/>
      <c r="E6" s="119"/>
      <c r="F6" s="119"/>
      <c r="G6" s="119"/>
      <c r="H6" s="121"/>
      <c r="I6" s="121"/>
      <c r="J6" s="121"/>
      <c r="K6" s="121"/>
      <c r="L6" s="121"/>
      <c r="M6" s="121"/>
      <c r="N6" s="121"/>
      <c r="O6" s="121"/>
      <c r="P6" s="121"/>
      <c r="Q6" s="121"/>
      <c r="R6" s="121"/>
    </row>
    <row r="7" spans="1:18">
      <c r="A7" s="905" t="s">
        <v>149</v>
      </c>
      <c r="B7" s="907" t="s">
        <v>150</v>
      </c>
      <c r="C7" s="907" t="s">
        <v>151</v>
      </c>
      <c r="D7" s="908" t="s">
        <v>152</v>
      </c>
      <c r="E7" s="908" t="s">
        <v>153</v>
      </c>
      <c r="F7" s="908" t="s">
        <v>154</v>
      </c>
      <c r="G7" s="909" t="s">
        <v>155</v>
      </c>
      <c r="H7" s="908" t="s">
        <v>156</v>
      </c>
      <c r="I7" s="911" t="s">
        <v>157</v>
      </c>
      <c r="J7" s="911"/>
      <c r="K7" s="911"/>
      <c r="L7" s="912" t="s">
        <v>158</v>
      </c>
      <c r="M7" s="912" t="s">
        <v>159</v>
      </c>
      <c r="N7" s="901" t="s">
        <v>160</v>
      </c>
      <c r="O7" s="901" t="s">
        <v>161</v>
      </c>
      <c r="P7" s="901" t="s">
        <v>162</v>
      </c>
      <c r="Q7" s="122"/>
      <c r="R7" s="123"/>
    </row>
    <row r="8" spans="1:18" ht="96">
      <c r="A8" s="906"/>
      <c r="B8" s="907"/>
      <c r="C8" s="907"/>
      <c r="D8" s="908"/>
      <c r="E8" s="908"/>
      <c r="F8" s="908"/>
      <c r="G8" s="910"/>
      <c r="H8" s="908"/>
      <c r="I8" s="124" t="s">
        <v>163</v>
      </c>
      <c r="J8" s="124" t="s">
        <v>164</v>
      </c>
      <c r="K8" s="124" t="s">
        <v>165</v>
      </c>
      <c r="L8" s="912"/>
      <c r="M8" s="912"/>
      <c r="N8" s="902"/>
      <c r="O8" s="902"/>
      <c r="P8" s="902"/>
      <c r="Q8" s="125" t="s">
        <v>166</v>
      </c>
      <c r="R8" s="126"/>
    </row>
    <row r="9" spans="1:18">
      <c r="A9" s="127">
        <v>1</v>
      </c>
      <c r="B9" s="128">
        <v>2</v>
      </c>
      <c r="C9" s="127">
        <v>3</v>
      </c>
      <c r="D9" s="127">
        <v>4</v>
      </c>
      <c r="E9" s="127">
        <v>5</v>
      </c>
      <c r="F9" s="127">
        <v>6</v>
      </c>
      <c r="G9" s="127"/>
      <c r="H9" s="127">
        <v>8</v>
      </c>
      <c r="I9" s="127">
        <v>9</v>
      </c>
      <c r="J9" s="127">
        <v>10</v>
      </c>
      <c r="K9" s="127">
        <v>11</v>
      </c>
      <c r="L9" s="127">
        <v>12</v>
      </c>
      <c r="M9" s="127">
        <v>13</v>
      </c>
      <c r="N9" s="127">
        <v>14</v>
      </c>
      <c r="O9" s="127">
        <v>15</v>
      </c>
      <c r="P9" s="127">
        <v>16</v>
      </c>
      <c r="Q9" s="129"/>
      <c r="R9" s="8"/>
    </row>
    <row r="10" spans="1:18" ht="15.75">
      <c r="A10" s="130">
        <v>1</v>
      </c>
      <c r="B10" s="133" t="str">
        <f>'04-22Master'!P16</f>
        <v>Gaunda Mohammad Arief</v>
      </c>
      <c r="C10" s="131" t="str">
        <f>'04-22Master'!E16</f>
        <v>abdul hameed</v>
      </c>
      <c r="D10" s="130" t="s">
        <v>167</v>
      </c>
      <c r="E10" s="386" t="str">
        <f>'04-22Master'!F16</f>
        <v>Senior Consultant</v>
      </c>
      <c r="F10" s="132">
        <f>'04-22Master'!Q16</f>
        <v>30</v>
      </c>
      <c r="G10" s="132">
        <f>'04-22Master'!AG16</f>
        <v>85389.765643999999</v>
      </c>
      <c r="H10" s="132">
        <f>'04-22Master'!AC16</f>
        <v>1555</v>
      </c>
      <c r="I10" s="130" t="s">
        <v>37</v>
      </c>
      <c r="J10" s="130" t="s">
        <v>37</v>
      </c>
      <c r="K10" s="130" t="s">
        <v>37</v>
      </c>
      <c r="L10" s="130" t="s">
        <v>37</v>
      </c>
      <c r="M10" s="132">
        <f t="shared" ref="M10" si="0">H10</f>
        <v>1555</v>
      </c>
      <c r="N10" s="132">
        <f t="shared" ref="N10" si="1">M10</f>
        <v>1555</v>
      </c>
      <c r="O10" s="312" t="str">
        <f>'04-22Master'!AO16</f>
        <v>05.05.2022</v>
      </c>
      <c r="P10" s="133" t="str">
        <f>'04-22Master'!AP16</f>
        <v>Bank of baroda</v>
      </c>
      <c r="Q10" s="302" t="str">
        <f>'04-22Master'!AQ16</f>
        <v>A/C'24218100005896</v>
      </c>
    </row>
    <row r="11" spans="1:18" s="467" customFormat="1" ht="15.75">
      <c r="A11" s="715">
        <v>2</v>
      </c>
      <c r="B11" s="133"/>
      <c r="C11" s="131"/>
      <c r="D11" s="130"/>
      <c r="E11" s="386"/>
      <c r="F11" s="132"/>
      <c r="G11" s="132"/>
      <c r="H11" s="132"/>
      <c r="I11" s="130"/>
      <c r="J11" s="130"/>
      <c r="K11" s="130"/>
      <c r="L11" s="130"/>
      <c r="M11" s="132"/>
      <c r="N11" s="132"/>
      <c r="O11" s="312"/>
      <c r="P11" s="133"/>
      <c r="Q11" s="302"/>
    </row>
    <row r="12" spans="1:18" s="467" customFormat="1" ht="15.75">
      <c r="A12" s="365"/>
      <c r="B12" s="366"/>
      <c r="C12" s="367"/>
      <c r="D12" s="365"/>
      <c r="E12" s="656"/>
      <c r="F12" s="369"/>
      <c r="G12" s="369"/>
      <c r="H12" s="369"/>
      <c r="I12" s="365"/>
      <c r="J12" s="365"/>
      <c r="K12" s="365"/>
      <c r="L12" s="365"/>
      <c r="M12" s="369"/>
      <c r="N12" s="369"/>
      <c r="O12" s="370"/>
      <c r="P12" s="366"/>
      <c r="Q12" s="371"/>
    </row>
    <row r="13" spans="1:18" s="467" customFormat="1" ht="15.75">
      <c r="A13" s="365"/>
      <c r="B13" s="366"/>
      <c r="C13" s="367"/>
      <c r="D13" s="365"/>
      <c r="E13" s="656"/>
      <c r="F13" s="369"/>
      <c r="G13" s="369"/>
      <c r="H13" s="369"/>
      <c r="I13" s="365"/>
      <c r="J13" s="365"/>
      <c r="K13" s="365"/>
      <c r="L13" s="365"/>
      <c r="M13" s="369"/>
      <c r="N13" s="369"/>
      <c r="O13" s="370"/>
      <c r="P13" s="366"/>
      <c r="Q13" s="371"/>
    </row>
    <row r="14" spans="1:18" s="467" customFormat="1" ht="15.75">
      <c r="A14" s="365"/>
      <c r="B14" s="366"/>
      <c r="C14" s="367"/>
      <c r="D14" s="365"/>
      <c r="E14" s="656"/>
      <c r="F14" s="369"/>
      <c r="G14" s="369"/>
      <c r="H14" s="369"/>
      <c r="I14" s="365"/>
      <c r="J14" s="365"/>
      <c r="K14" s="365"/>
      <c r="L14" s="365"/>
      <c r="M14" s="369"/>
      <c r="N14" s="369"/>
      <c r="O14" s="370"/>
      <c r="P14" s="366"/>
      <c r="Q14" s="371"/>
    </row>
    <row r="15" spans="1:18" s="467" customFormat="1" ht="15.75">
      <c r="A15" s="365"/>
      <c r="B15" s="366"/>
      <c r="C15" s="367"/>
      <c r="D15" s="365"/>
      <c r="E15" s="656"/>
      <c r="F15" s="369"/>
      <c r="G15" s="369"/>
      <c r="H15" s="369"/>
      <c r="I15" s="365"/>
      <c r="J15" s="365"/>
      <c r="K15" s="365"/>
      <c r="L15" s="365"/>
      <c r="M15" s="369"/>
      <c r="N15" s="369"/>
      <c r="O15" s="370"/>
      <c r="P15" s="366"/>
      <c r="Q15" s="371"/>
    </row>
    <row r="16" spans="1:18" s="467" customFormat="1" ht="15.75">
      <c r="A16" s="365"/>
      <c r="B16" s="366"/>
      <c r="C16" s="367"/>
      <c r="D16" s="365"/>
      <c r="E16" s="656"/>
      <c r="F16" s="369"/>
      <c r="G16" s="369"/>
      <c r="H16" s="369"/>
      <c r="I16" s="365"/>
      <c r="J16" s="365"/>
      <c r="K16" s="365"/>
      <c r="L16" s="365"/>
      <c r="M16" s="369"/>
      <c r="N16" s="369"/>
      <c r="O16" s="370"/>
      <c r="P16" s="366"/>
      <c r="Q16" s="371"/>
    </row>
    <row r="17" spans="1:17" s="467" customFormat="1" ht="15.75">
      <c r="A17" s="365"/>
      <c r="B17" s="366"/>
      <c r="C17" s="367"/>
      <c r="D17" s="365"/>
      <c r="E17" s="656"/>
      <c r="F17" s="369"/>
      <c r="G17" s="369"/>
      <c r="H17" s="369"/>
      <c r="I17" s="365"/>
      <c r="J17" s="365"/>
      <c r="K17" s="365"/>
      <c r="L17" s="365"/>
      <c r="M17" s="369"/>
      <c r="N17" s="369"/>
      <c r="O17" s="370"/>
      <c r="P17" s="366"/>
      <c r="Q17" s="371"/>
    </row>
    <row r="18" spans="1:17" s="467" customFormat="1" ht="15.75">
      <c r="A18" s="365"/>
      <c r="B18" s="366"/>
      <c r="C18" s="367"/>
      <c r="D18" s="365"/>
      <c r="E18" s="656"/>
      <c r="F18" s="369"/>
      <c r="G18" s="369"/>
      <c r="H18" s="369"/>
      <c r="I18" s="365"/>
      <c r="J18" s="365"/>
      <c r="K18" s="365"/>
      <c r="L18" s="365"/>
      <c r="M18" s="369"/>
      <c r="N18" s="369"/>
      <c r="O18" s="370"/>
      <c r="P18" s="366"/>
      <c r="Q18" s="371"/>
    </row>
    <row r="19" spans="1:17" s="467" customFormat="1" ht="15.75">
      <c r="A19" s="365"/>
      <c r="B19" s="366"/>
      <c r="C19" s="367"/>
      <c r="D19" s="365"/>
      <c r="E19" s="656"/>
      <c r="F19" s="369"/>
      <c r="G19" s="369"/>
      <c r="H19" s="369"/>
      <c r="I19" s="365"/>
      <c r="J19" s="365"/>
      <c r="K19" s="365"/>
      <c r="L19" s="365"/>
      <c r="M19" s="369"/>
      <c r="N19" s="369"/>
      <c r="O19" s="370"/>
      <c r="P19" s="366"/>
      <c r="Q19" s="371"/>
    </row>
    <row r="20" spans="1:17" s="467" customFormat="1" ht="15.75">
      <c r="A20" s="365"/>
      <c r="B20" s="366"/>
      <c r="C20" s="367"/>
      <c r="D20" s="365"/>
      <c r="E20" s="656"/>
      <c r="F20" s="369"/>
      <c r="G20" s="369"/>
      <c r="H20" s="369"/>
      <c r="I20" s="365"/>
      <c r="J20" s="365"/>
      <c r="K20" s="365"/>
      <c r="L20" s="365"/>
      <c r="M20" s="369"/>
      <c r="N20" s="369"/>
      <c r="O20" s="370"/>
      <c r="P20" s="366"/>
      <c r="Q20" s="371"/>
    </row>
    <row r="21" spans="1:17" s="467" customFormat="1" ht="15.75">
      <c r="A21" s="365"/>
      <c r="B21" s="366"/>
      <c r="C21" s="367"/>
      <c r="D21" s="365"/>
      <c r="E21" s="656"/>
      <c r="F21" s="369"/>
      <c r="G21" s="369"/>
      <c r="H21" s="369"/>
      <c r="I21" s="365"/>
      <c r="J21" s="365"/>
      <c r="K21" s="365"/>
      <c r="L21" s="365"/>
      <c r="M21" s="369"/>
      <c r="N21" s="369"/>
      <c r="O21" s="370"/>
      <c r="P21" s="366"/>
      <c r="Q21" s="371"/>
    </row>
    <row r="22" spans="1:17" s="467" customFormat="1" ht="15.75">
      <c r="A22" s="365"/>
      <c r="B22" s="366"/>
      <c r="C22" s="367"/>
      <c r="D22" s="365"/>
      <c r="E22" s="656"/>
      <c r="F22" s="369"/>
      <c r="G22" s="369"/>
      <c r="H22" s="369"/>
      <c r="I22" s="365"/>
      <c r="J22" s="365"/>
      <c r="K22" s="365"/>
      <c r="L22" s="365"/>
      <c r="M22" s="369"/>
      <c r="N22" s="369"/>
      <c r="O22" s="370"/>
      <c r="P22" s="366"/>
      <c r="Q22" s="371"/>
    </row>
    <row r="23" spans="1:17" s="467" customFormat="1" ht="15.75">
      <c r="A23" s="365"/>
      <c r="B23" s="366"/>
      <c r="C23" s="367"/>
      <c r="D23" s="365"/>
      <c r="E23" s="656"/>
      <c r="F23" s="369"/>
      <c r="G23" s="369"/>
      <c r="H23" s="369"/>
      <c r="I23" s="365"/>
      <c r="J23" s="365"/>
      <c r="K23" s="365"/>
      <c r="L23" s="365"/>
      <c r="M23" s="369"/>
      <c r="N23" s="369"/>
      <c r="O23" s="370"/>
      <c r="P23" s="366"/>
      <c r="Q23" s="371"/>
    </row>
    <row r="24" spans="1:17" s="467" customFormat="1" ht="15.75">
      <c r="A24" s="365"/>
      <c r="B24" s="366"/>
      <c r="C24" s="367"/>
      <c r="D24" s="365"/>
      <c r="E24" s="656"/>
      <c r="F24" s="369"/>
      <c r="G24" s="369"/>
      <c r="H24" s="369"/>
      <c r="I24" s="365"/>
      <c r="J24" s="365"/>
      <c r="K24" s="365"/>
      <c r="L24" s="365"/>
      <c r="M24" s="369"/>
      <c r="N24" s="369"/>
      <c r="O24" s="370"/>
      <c r="P24" s="366"/>
      <c r="Q24" s="371"/>
    </row>
    <row r="25" spans="1:17" s="467" customFormat="1" ht="15.75">
      <c r="A25" s="365"/>
      <c r="B25" s="366"/>
      <c r="C25" s="367"/>
      <c r="D25" s="365"/>
      <c r="E25" s="656"/>
      <c r="F25" s="369"/>
      <c r="G25" s="369"/>
      <c r="H25" s="369"/>
      <c r="I25" s="365"/>
      <c r="J25" s="365"/>
      <c r="K25" s="365"/>
      <c r="L25" s="365"/>
      <c r="M25" s="369"/>
      <c r="N25" s="369"/>
      <c r="O25" s="370"/>
      <c r="P25" s="366"/>
      <c r="Q25" s="371"/>
    </row>
    <row r="26" spans="1:17" s="467" customFormat="1" ht="15.75">
      <c r="A26" s="365"/>
      <c r="B26" s="366"/>
      <c r="C26" s="367"/>
      <c r="D26" s="365"/>
      <c r="E26" s="656"/>
      <c r="F26" s="369"/>
      <c r="G26" s="369"/>
      <c r="H26" s="369"/>
      <c r="I26" s="365"/>
      <c r="J26" s="365"/>
      <c r="K26" s="365"/>
      <c r="L26" s="365"/>
      <c r="M26" s="369"/>
      <c r="N26" s="369"/>
      <c r="O26" s="370"/>
      <c r="P26" s="366"/>
      <c r="Q26" s="371"/>
    </row>
    <row r="27" spans="1:17" s="467" customFormat="1" ht="15.75">
      <c r="A27" s="365"/>
      <c r="B27" s="366"/>
      <c r="C27" s="367"/>
      <c r="D27" s="365"/>
      <c r="E27" s="656"/>
      <c r="F27" s="369"/>
      <c r="G27" s="369"/>
      <c r="H27" s="369"/>
      <c r="I27" s="365"/>
      <c r="J27" s="365"/>
      <c r="K27" s="365"/>
      <c r="L27" s="365"/>
      <c r="M27" s="369"/>
      <c r="N27" s="369"/>
      <c r="O27" s="370"/>
      <c r="P27" s="366"/>
      <c r="Q27" s="371"/>
    </row>
    <row r="28" spans="1:17" s="467" customFormat="1" ht="15.75">
      <c r="A28" s="365"/>
      <c r="B28" s="366"/>
      <c r="C28" s="367"/>
      <c r="D28" s="365"/>
      <c r="E28" s="656"/>
      <c r="F28" s="369"/>
      <c r="G28" s="369"/>
      <c r="H28" s="369"/>
      <c r="I28" s="365"/>
      <c r="J28" s="365"/>
      <c r="K28" s="365"/>
      <c r="L28" s="365"/>
      <c r="M28" s="369"/>
      <c r="N28" s="369"/>
      <c r="O28" s="370"/>
      <c r="P28" s="366"/>
      <c r="Q28" s="371"/>
    </row>
    <row r="29" spans="1:17" s="467" customFormat="1" ht="15.75">
      <c r="A29" s="365"/>
      <c r="B29" s="366"/>
      <c r="C29" s="367"/>
      <c r="D29" s="365"/>
      <c r="E29" s="656"/>
      <c r="F29" s="369"/>
      <c r="G29" s="369"/>
      <c r="H29" s="369"/>
      <c r="I29" s="365"/>
      <c r="J29" s="365"/>
      <c r="K29" s="365"/>
      <c r="L29" s="365"/>
      <c r="M29" s="369"/>
      <c r="N29" s="369"/>
      <c r="O29" s="370"/>
      <c r="P29" s="366"/>
      <c r="Q29" s="371"/>
    </row>
    <row r="30" spans="1:17" s="467" customFormat="1" ht="15.75">
      <c r="A30" s="365"/>
      <c r="B30" s="366"/>
      <c r="C30" s="367"/>
      <c r="D30" s="365"/>
      <c r="E30" s="656"/>
      <c r="F30" s="369"/>
      <c r="G30" s="369"/>
      <c r="H30" s="369"/>
      <c r="I30" s="365"/>
      <c r="J30" s="365"/>
      <c r="K30" s="365"/>
      <c r="L30" s="365"/>
      <c r="M30" s="369"/>
      <c r="N30" s="369"/>
      <c r="O30" s="370"/>
      <c r="P30" s="366"/>
      <c r="Q30" s="371"/>
    </row>
    <row r="31" spans="1:17" s="467" customFormat="1" ht="15.75">
      <c r="A31" s="365"/>
      <c r="B31" s="366"/>
      <c r="C31" s="367"/>
      <c r="D31" s="365"/>
      <c r="E31" s="656"/>
      <c r="F31" s="369"/>
      <c r="G31" s="369"/>
      <c r="H31" s="369"/>
      <c r="I31" s="365"/>
      <c r="J31" s="365"/>
      <c r="K31" s="365"/>
      <c r="L31" s="365"/>
      <c r="M31" s="369"/>
      <c r="N31" s="369"/>
      <c r="O31" s="370"/>
      <c r="P31" s="366"/>
      <c r="Q31" s="371"/>
    </row>
    <row r="32" spans="1:17" s="467" customFormat="1" ht="15.75">
      <c r="A32" s="365"/>
      <c r="B32" s="366"/>
      <c r="C32" s="367"/>
      <c r="D32" s="365"/>
      <c r="E32" s="656"/>
      <c r="F32" s="369"/>
      <c r="G32" s="369"/>
      <c r="H32" s="369"/>
      <c r="I32" s="365"/>
      <c r="J32" s="365"/>
      <c r="K32" s="365"/>
      <c r="L32" s="365"/>
      <c r="M32" s="369"/>
      <c r="N32" s="369"/>
      <c r="O32" s="370"/>
      <c r="P32" s="366"/>
      <c r="Q32" s="371"/>
    </row>
    <row r="33" spans="1:17" s="467" customFormat="1" ht="15.75">
      <c r="A33" s="365"/>
      <c r="B33" s="366"/>
      <c r="C33" s="367"/>
      <c r="D33" s="365"/>
      <c r="E33" s="656"/>
      <c r="F33" s="369"/>
      <c r="G33" s="369"/>
      <c r="H33" s="369"/>
      <c r="I33" s="365"/>
      <c r="J33" s="365"/>
      <c r="K33" s="365"/>
      <c r="L33" s="365"/>
      <c r="M33" s="369"/>
      <c r="N33" s="369"/>
      <c r="O33" s="370"/>
      <c r="P33" s="366"/>
      <c r="Q33" s="371"/>
    </row>
    <row r="34" spans="1:17" s="467" customFormat="1" ht="15.75">
      <c r="A34" s="365"/>
      <c r="B34" s="366"/>
      <c r="C34" s="367"/>
      <c r="D34" s="365"/>
      <c r="E34" s="368"/>
      <c r="F34" s="369"/>
      <c r="G34" s="369"/>
      <c r="H34" s="369"/>
      <c r="I34" s="365"/>
      <c r="J34" s="365"/>
      <c r="K34" s="365"/>
      <c r="L34" s="365"/>
      <c r="M34" s="369"/>
      <c r="N34" s="369"/>
      <c r="O34" s="370"/>
      <c r="P34" s="366"/>
      <c r="Q34" s="371"/>
    </row>
    <row r="35" spans="1:17" s="388" customFormat="1">
      <c r="A35" s="8"/>
      <c r="B35" s="18"/>
      <c r="C35"/>
      <c r="D35"/>
      <c r="E35" s="8"/>
      <c r="F35" s="8"/>
      <c r="G35" s="8"/>
      <c r="H35"/>
      <c r="I35"/>
      <c r="J35"/>
      <c r="K35"/>
      <c r="L35" t="s">
        <v>38</v>
      </c>
      <c r="M35"/>
      <c r="N35"/>
      <c r="O35"/>
      <c r="P35"/>
      <c r="Q35"/>
    </row>
    <row r="36" spans="1:17">
      <c r="A36" s="8"/>
      <c r="B36" s="18"/>
      <c r="E36" s="8"/>
      <c r="F36" s="8"/>
      <c r="G36" s="8"/>
    </row>
    <row r="37" spans="1:17">
      <c r="A37" s="8"/>
      <c r="B37" s="18"/>
      <c r="E37" s="8"/>
      <c r="F37" s="8"/>
      <c r="G37" s="8"/>
    </row>
    <row r="38" spans="1:17">
      <c r="A38" s="8"/>
      <c r="B38" s="18"/>
      <c r="E38" s="8"/>
      <c r="F38" s="8"/>
      <c r="G38" s="8"/>
    </row>
    <row r="39" spans="1:17">
      <c r="A39" s="8"/>
      <c r="B39" s="18"/>
      <c r="E39" s="8"/>
      <c r="F39" s="8"/>
      <c r="G39" s="8"/>
    </row>
    <row r="40" spans="1:17">
      <c r="A40" s="8"/>
      <c r="B40" s="18"/>
      <c r="E40" s="8"/>
      <c r="F40" s="8"/>
      <c r="G40" s="8"/>
    </row>
    <row r="41" spans="1:17">
      <c r="A41" s="8"/>
      <c r="B41" s="18"/>
      <c r="E41" s="8"/>
      <c r="F41" s="8"/>
      <c r="G41" s="8"/>
    </row>
    <row r="42" spans="1:17">
      <c r="A42" s="8"/>
      <c r="B42" s="18"/>
      <c r="E42" s="8"/>
      <c r="F42" s="8"/>
      <c r="G42" s="8"/>
    </row>
    <row r="43" spans="1:17">
      <c r="A43" s="8"/>
      <c r="B43" s="18"/>
      <c r="E43" s="8"/>
      <c r="F43" s="8"/>
      <c r="G43" s="8"/>
    </row>
    <row r="44" spans="1:17">
      <c r="A44" s="8"/>
      <c r="B44" s="18"/>
      <c r="E44" s="8"/>
      <c r="F44" s="8"/>
      <c r="G44" s="8"/>
    </row>
    <row r="45" spans="1:17">
      <c r="A45" s="8"/>
      <c r="B45" s="18"/>
      <c r="E45" s="8"/>
      <c r="F45" s="8"/>
      <c r="G45" s="8"/>
    </row>
    <row r="46" spans="1:17">
      <c r="A46" s="8"/>
      <c r="B46" s="18"/>
      <c r="E46" s="8"/>
      <c r="F46" s="8"/>
      <c r="G46" s="8"/>
    </row>
    <row r="47" spans="1:17">
      <c r="A47" s="8"/>
      <c r="B47" s="18"/>
      <c r="E47" s="8"/>
      <c r="F47" s="8"/>
      <c r="G47" s="8"/>
    </row>
    <row r="48" spans="1:17">
      <c r="A48" s="8"/>
      <c r="B48" s="18"/>
      <c r="E48" s="8"/>
      <c r="F48" s="8"/>
      <c r="G48" s="8"/>
    </row>
    <row r="49" spans="1:7">
      <c r="A49" s="8"/>
      <c r="B49" s="18"/>
      <c r="E49" s="8"/>
      <c r="F49" s="8"/>
      <c r="G49" s="8"/>
    </row>
    <row r="50" spans="1:7">
      <c r="A50" s="8"/>
      <c r="B50" s="18"/>
      <c r="E50" s="8"/>
      <c r="F50" s="8"/>
      <c r="G50" s="8"/>
    </row>
    <row r="51" spans="1:7">
      <c r="A51" s="8"/>
      <c r="B51" s="18"/>
      <c r="E51" s="8"/>
      <c r="F51" s="8"/>
      <c r="G51" s="8"/>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6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56"/>
  <sheetViews>
    <sheetView topLeftCell="A13" workbookViewId="0">
      <selection activeCell="J57" sqref="J57"/>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81"/>
      <c r="B4" s="892" t="s">
        <v>359</v>
      </c>
      <c r="C4" s="892"/>
      <c r="D4" s="892"/>
      <c r="E4" s="892"/>
      <c r="F4" s="892"/>
      <c r="G4" s="892"/>
      <c r="H4" s="892"/>
      <c r="I4" s="892"/>
      <c r="J4" s="892"/>
      <c r="K4" s="83"/>
    </row>
    <row r="5" spans="1:11">
      <c r="A5" s="19"/>
      <c r="B5" s="757" t="s">
        <v>360</v>
      </c>
      <c r="C5" s="757"/>
      <c r="D5" s="757"/>
      <c r="E5" s="757"/>
      <c r="F5" s="757"/>
      <c r="G5" s="757"/>
      <c r="H5" s="757"/>
      <c r="I5" s="757"/>
      <c r="J5" s="757"/>
      <c r="K5" s="20"/>
    </row>
    <row r="6" spans="1:11">
      <c r="A6" s="19"/>
      <c r="B6" s="8"/>
      <c r="C6" s="8"/>
      <c r="D6" s="8"/>
      <c r="E6" s="8"/>
      <c r="F6" s="8"/>
      <c r="G6" s="8"/>
      <c r="H6" s="8"/>
      <c r="I6" s="8"/>
      <c r="J6" s="8"/>
      <c r="K6" s="20"/>
    </row>
    <row r="7" spans="1:11" ht="23.25">
      <c r="A7" s="19"/>
      <c r="B7" s="915" t="s">
        <v>361</v>
      </c>
      <c r="C7" s="915"/>
      <c r="D7" s="915"/>
      <c r="E7" s="915"/>
      <c r="F7" s="915"/>
      <c r="G7" s="915"/>
      <c r="H7" s="915"/>
      <c r="I7" s="915"/>
      <c r="J7" s="915"/>
      <c r="K7" s="20"/>
    </row>
    <row r="8" spans="1:11">
      <c r="A8" s="19"/>
      <c r="B8" s="757"/>
      <c r="C8" s="757"/>
      <c r="D8" s="757"/>
      <c r="E8" s="757"/>
      <c r="F8" s="757"/>
      <c r="G8" s="757"/>
      <c r="H8" s="757"/>
      <c r="I8" s="757"/>
      <c r="J8" s="757"/>
      <c r="K8" s="20"/>
    </row>
    <row r="9" spans="1:11" ht="15.75" thickBot="1">
      <c r="A9" s="19"/>
      <c r="B9" s="913" t="s">
        <v>171</v>
      </c>
      <c r="C9" s="913"/>
      <c r="D9" s="913"/>
      <c r="E9" s="913"/>
      <c r="F9" s="279"/>
      <c r="G9" s="914" t="s">
        <v>362</v>
      </c>
      <c r="H9" s="914"/>
      <c r="I9" s="914"/>
      <c r="J9" s="914"/>
      <c r="K9" s="20"/>
    </row>
    <row r="10" spans="1:11">
      <c r="A10" s="19"/>
      <c r="B10" s="81"/>
      <c r="C10" s="82"/>
      <c r="D10" s="82"/>
      <c r="E10" s="83"/>
      <c r="F10" s="8"/>
      <c r="G10" s="81"/>
      <c r="H10" s="82"/>
      <c r="I10" s="82"/>
      <c r="J10" s="83"/>
      <c r="K10" s="20"/>
    </row>
    <row r="11" spans="1:11">
      <c r="A11" s="19"/>
      <c r="B11" s="19" t="str">
        <f>'04-22Master'!F5</f>
        <v>Burgeon IT Services Pvt.Ltd.</v>
      </c>
      <c r="E11" s="20"/>
      <c r="F11" s="8"/>
      <c r="G11" s="19" t="str">
        <f>'04-22Master'!AJ5</f>
        <v>Burgeon IT Services Pvt.Ltd.</v>
      </c>
      <c r="J11" s="20"/>
      <c r="K11" s="20"/>
    </row>
    <row r="12" spans="1:11">
      <c r="A12" s="19"/>
      <c r="B12" s="19"/>
      <c r="E12" s="20"/>
      <c r="F12" s="8"/>
      <c r="G12" s="19"/>
      <c r="J12" s="20"/>
      <c r="K12" s="20"/>
    </row>
    <row r="13" spans="1:11">
      <c r="A13" s="19"/>
      <c r="B13" s="19" t="str">
        <f>'04-22Master'!F6</f>
        <v>Siri Mansion LIGB 436 Dr.A S Rao Nagar,Hyderabad</v>
      </c>
      <c r="E13" s="20"/>
      <c r="F13" s="8"/>
      <c r="G13" s="19" t="str">
        <f>'04-22Master'!AJ6</f>
        <v>Siri Mansion LIGB 436 Dr.A S Rao Nagar,Hyderabad</v>
      </c>
      <c r="J13" s="20"/>
      <c r="K13" s="20"/>
    </row>
    <row r="14" spans="1:11">
      <c r="A14" s="19"/>
      <c r="B14" s="19"/>
      <c r="E14" s="20"/>
      <c r="F14" s="8"/>
      <c r="G14" s="19"/>
      <c r="J14" s="20"/>
      <c r="K14" s="20"/>
    </row>
    <row r="15" spans="1:11" ht="15.75" thickBot="1">
      <c r="A15" s="19"/>
      <c r="B15" s="31"/>
      <c r="C15" s="29"/>
      <c r="D15" s="29"/>
      <c r="E15" s="30"/>
      <c r="F15" s="8"/>
      <c r="G15" s="31"/>
      <c r="H15" s="29"/>
      <c r="I15" s="29"/>
      <c r="J15" s="30"/>
      <c r="K15" s="20"/>
    </row>
    <row r="16" spans="1:11">
      <c r="A16" s="19"/>
      <c r="K16" s="20"/>
    </row>
    <row r="17" spans="1:11" ht="15.75" thickBot="1">
      <c r="A17" s="19"/>
      <c r="B17" s="913" t="s">
        <v>363</v>
      </c>
      <c r="C17" s="913"/>
      <c r="D17" s="913"/>
      <c r="E17" s="913"/>
      <c r="F17" s="279"/>
      <c r="G17" s="914" t="s">
        <v>364</v>
      </c>
      <c r="H17" s="914"/>
      <c r="I17" s="914"/>
      <c r="J17" s="914"/>
      <c r="K17" s="20"/>
    </row>
    <row r="18" spans="1:11">
      <c r="A18" s="19"/>
      <c r="B18" s="81"/>
      <c r="C18" s="82"/>
      <c r="D18" s="82"/>
      <c r="E18" s="83"/>
      <c r="F18" s="8"/>
      <c r="G18" s="81"/>
      <c r="H18" s="82"/>
      <c r="I18" s="82"/>
      <c r="J18" s="83"/>
      <c r="K18" s="20"/>
    </row>
    <row r="19" spans="1:11">
      <c r="A19" s="19"/>
      <c r="B19" s="19"/>
      <c r="E19" s="20"/>
      <c r="F19" s="8"/>
      <c r="G19" s="19" t="str">
        <f>'04-22Master'!AJ10</f>
        <v xml:space="preserve">INFOSYS  LTD.IL Hyderabad SEZ Unit-3 </v>
      </c>
      <c r="J19" s="20"/>
      <c r="K19" s="20"/>
    </row>
    <row r="20" spans="1:11">
      <c r="A20" s="19"/>
      <c r="B20" s="19"/>
      <c r="E20" s="20"/>
      <c r="F20" s="8"/>
      <c r="G20" s="19"/>
      <c r="J20" s="20"/>
      <c r="K20" s="20"/>
    </row>
    <row r="21" spans="1:11">
      <c r="A21" s="19"/>
      <c r="B21" s="19" t="str">
        <f>'04-22Master'!F8</f>
        <v>IT SUPPORTIVE SERVICES</v>
      </c>
      <c r="E21" s="20"/>
      <c r="F21" s="8"/>
      <c r="G21" s="19" t="str">
        <f>'04-22Master'!AJ11</f>
        <v>Sy.No 42,Pocharam Village,Gatkesar Mandal</v>
      </c>
      <c r="J21" s="20"/>
      <c r="K21" s="20"/>
    </row>
    <row r="22" spans="1:11">
      <c r="A22" s="19"/>
      <c r="B22" s="19"/>
      <c r="E22" s="20"/>
      <c r="F22" s="8"/>
      <c r="G22" s="19"/>
      <c r="J22" s="20"/>
      <c r="K22" s="20"/>
    </row>
    <row r="23" spans="1:11" ht="15.75" thickBot="1">
      <c r="A23" s="19"/>
      <c r="B23" s="31"/>
      <c r="C23" s="29"/>
      <c r="D23" s="29"/>
      <c r="E23" s="30"/>
      <c r="F23" s="8"/>
      <c r="G23" s="31"/>
      <c r="H23" s="29"/>
      <c r="I23" s="29"/>
      <c r="J23" s="30"/>
      <c r="K23" s="20"/>
    </row>
    <row r="24" spans="1:11">
      <c r="A24" s="19"/>
      <c r="K24" s="20"/>
    </row>
    <row r="25" spans="1:11">
      <c r="A25" s="19"/>
      <c r="K25" s="20"/>
    </row>
    <row r="26" spans="1:11">
      <c r="A26" s="19"/>
      <c r="B26" s="916" t="s">
        <v>365</v>
      </c>
      <c r="C26" s="916"/>
      <c r="D26" s="916"/>
      <c r="E26" s="916"/>
      <c r="F26" s="23"/>
      <c r="G26" s="23"/>
      <c r="H26" s="23"/>
      <c r="I26" s="23"/>
      <c r="J26" s="23"/>
      <c r="K26" s="20"/>
    </row>
    <row r="27" spans="1:11">
      <c r="A27" s="19"/>
      <c r="B27" s="280"/>
      <c r="C27" s="280"/>
      <c r="D27" s="280"/>
      <c r="E27" s="280"/>
      <c r="F27" s="69"/>
      <c r="G27" s="69"/>
      <c r="H27" s="69"/>
      <c r="I27" s="69"/>
      <c r="J27" s="69"/>
      <c r="K27" s="20"/>
    </row>
    <row r="28" spans="1:11">
      <c r="A28" s="19"/>
      <c r="B28" s="280"/>
      <c r="C28" s="280"/>
      <c r="D28" s="280"/>
      <c r="E28" s="280"/>
      <c r="F28" s="23"/>
      <c r="G28" s="23"/>
      <c r="H28" s="23"/>
      <c r="I28" s="23"/>
      <c r="J28" s="23"/>
      <c r="K28" s="20"/>
    </row>
    <row r="29" spans="1:11">
      <c r="A29" s="19"/>
      <c r="B29" s="280"/>
      <c r="C29" s="280"/>
      <c r="D29" s="280"/>
      <c r="E29" s="280"/>
      <c r="F29" s="69"/>
      <c r="G29" s="69"/>
      <c r="H29" s="69"/>
      <c r="I29" s="69"/>
      <c r="J29" s="69"/>
      <c r="K29" s="20"/>
    </row>
    <row r="30" spans="1:11">
      <c r="A30" s="19"/>
      <c r="B30" s="280"/>
      <c r="C30" s="280"/>
      <c r="D30" s="280"/>
      <c r="E30" s="280"/>
      <c r="K30" s="20"/>
    </row>
    <row r="31" spans="1:11">
      <c r="A31" s="19"/>
      <c r="B31" s="916" t="s">
        <v>366</v>
      </c>
      <c r="C31" s="916"/>
      <c r="D31" s="916"/>
      <c r="E31" s="916"/>
      <c r="F31" s="23"/>
      <c r="G31" s="23"/>
      <c r="H31" s="23"/>
      <c r="I31" s="23"/>
      <c r="J31" s="23"/>
      <c r="K31" s="20"/>
    </row>
    <row r="32" spans="1:11">
      <c r="A32" s="19"/>
      <c r="B32" s="280"/>
      <c r="C32" s="280"/>
      <c r="D32" s="280"/>
      <c r="E32" s="280"/>
      <c r="K32" s="20"/>
    </row>
    <row r="33" spans="1:11">
      <c r="A33" s="19"/>
      <c r="B33" s="916" t="s">
        <v>367</v>
      </c>
      <c r="C33" s="916"/>
      <c r="D33" s="916"/>
      <c r="E33" s="916"/>
      <c r="F33" s="23"/>
      <c r="G33" s="23"/>
      <c r="H33" s="23"/>
      <c r="I33" s="23"/>
      <c r="J33" s="23"/>
      <c r="K33" s="20"/>
    </row>
    <row r="34" spans="1:11">
      <c r="A34" s="19"/>
      <c r="B34" s="280"/>
      <c r="C34" s="280"/>
      <c r="D34" s="280"/>
      <c r="E34" s="280"/>
      <c r="K34" s="20"/>
    </row>
    <row r="35" spans="1:11">
      <c r="A35" s="19"/>
      <c r="B35" s="916" t="s">
        <v>368</v>
      </c>
      <c r="C35" s="916"/>
      <c r="D35" s="916"/>
      <c r="E35" s="916"/>
      <c r="F35" s="23"/>
      <c r="G35" s="23"/>
      <c r="H35" s="23"/>
      <c r="I35" s="23"/>
      <c r="J35" s="23"/>
      <c r="K35" s="20"/>
    </row>
    <row r="36" spans="1:11">
      <c r="A36" s="19"/>
      <c r="B36" s="280"/>
      <c r="C36" s="280"/>
      <c r="D36" s="280"/>
      <c r="E36" s="280"/>
      <c r="K36" s="20"/>
    </row>
    <row r="37" spans="1:11" ht="15.75" thickBot="1">
      <c r="A37" s="19"/>
      <c r="K37" s="20"/>
    </row>
    <row r="38" spans="1:11">
      <c r="A38" s="19"/>
      <c r="B38" s="917" t="s">
        <v>369</v>
      </c>
      <c r="C38" s="919" t="s">
        <v>370</v>
      </c>
      <c r="D38" s="919"/>
      <c r="E38" s="919" t="s">
        <v>371</v>
      </c>
      <c r="F38" s="919"/>
      <c r="G38" s="919" t="s">
        <v>372</v>
      </c>
      <c r="H38" s="919"/>
      <c r="I38" s="919"/>
      <c r="J38" s="921" t="s">
        <v>41</v>
      </c>
      <c r="K38" s="20"/>
    </row>
    <row r="39" spans="1:11">
      <c r="A39" s="19"/>
      <c r="B39" s="918"/>
      <c r="C39" s="920"/>
      <c r="D39" s="920"/>
      <c r="E39" s="920"/>
      <c r="F39" s="920"/>
      <c r="G39" s="920"/>
      <c r="H39" s="920"/>
      <c r="I39" s="920"/>
      <c r="J39" s="922"/>
      <c r="K39" s="20"/>
    </row>
    <row r="40" spans="1:11">
      <c r="A40" s="19"/>
      <c r="B40" s="918"/>
      <c r="C40" s="281" t="s">
        <v>373</v>
      </c>
      <c r="D40" s="281" t="s">
        <v>143</v>
      </c>
      <c r="E40" s="920"/>
      <c r="F40" s="920"/>
      <c r="G40" s="920"/>
      <c r="H40" s="920"/>
      <c r="I40" s="920"/>
      <c r="J40" s="922"/>
      <c r="K40" s="20"/>
    </row>
    <row r="41" spans="1:11">
      <c r="A41" s="19"/>
      <c r="B41" s="282">
        <v>1</v>
      </c>
      <c r="C41" s="283">
        <v>2</v>
      </c>
      <c r="D41" s="283">
        <v>3</v>
      </c>
      <c r="E41" s="923">
        <v>4</v>
      </c>
      <c r="F41" s="923"/>
      <c r="G41" s="923">
        <v>5</v>
      </c>
      <c r="H41" s="923"/>
      <c r="I41" s="923"/>
      <c r="J41" s="284">
        <v>6</v>
      </c>
      <c r="K41" s="20"/>
    </row>
    <row r="42" spans="1:11">
      <c r="A42" s="19"/>
      <c r="B42" s="283"/>
      <c r="C42" s="283"/>
      <c r="D42" s="283"/>
      <c r="E42" s="924"/>
      <c r="F42" s="924"/>
      <c r="G42" s="924"/>
      <c r="H42" s="924"/>
      <c r="I42" s="924"/>
      <c r="J42" s="283"/>
      <c r="K42" s="20"/>
    </row>
    <row r="43" spans="1:11">
      <c r="A43" s="19"/>
      <c r="B43" s="283"/>
      <c r="C43" s="283"/>
      <c r="D43" s="283"/>
      <c r="E43" s="924"/>
      <c r="F43" s="924"/>
      <c r="G43" s="924"/>
      <c r="H43" s="924"/>
      <c r="I43" s="924"/>
      <c r="J43" s="283"/>
      <c r="K43" s="20"/>
    </row>
    <row r="44" spans="1:11">
      <c r="A44" s="19"/>
      <c r="B44" s="283"/>
      <c r="C44" s="283"/>
      <c r="D44" s="283"/>
      <c r="E44" s="924"/>
      <c r="F44" s="924"/>
      <c r="G44" s="924"/>
      <c r="H44" s="924"/>
      <c r="I44" s="924"/>
      <c r="J44" s="283"/>
      <c r="K44" s="20"/>
    </row>
    <row r="45" spans="1:11">
      <c r="A45" s="19"/>
      <c r="B45" s="16"/>
      <c r="C45" s="16"/>
      <c r="D45" s="16"/>
      <c r="E45" s="924"/>
      <c r="F45" s="924"/>
      <c r="G45" s="924"/>
      <c r="H45" s="924"/>
      <c r="I45" s="924"/>
      <c r="J45" s="16"/>
      <c r="K45" s="20"/>
    </row>
    <row r="46" spans="1:11">
      <c r="A46" s="19"/>
      <c r="B46" s="16"/>
      <c r="C46" s="16"/>
      <c r="D46" s="16"/>
      <c r="E46" s="924"/>
      <c r="F46" s="924"/>
      <c r="G46" s="924"/>
      <c r="H46" s="924"/>
      <c r="I46" s="924"/>
      <c r="J46" s="16"/>
      <c r="K46" s="20"/>
    </row>
    <row r="47" spans="1:11">
      <c r="A47" s="19"/>
      <c r="B47" s="16"/>
      <c r="C47" s="16"/>
      <c r="D47" s="16"/>
      <c r="E47" s="924"/>
      <c r="F47" s="924"/>
      <c r="G47" s="924"/>
      <c r="H47" s="924"/>
      <c r="I47" s="924"/>
      <c r="J47" s="16"/>
      <c r="K47" s="20"/>
    </row>
    <row r="48" spans="1:11">
      <c r="A48" s="19"/>
      <c r="B48" s="16"/>
      <c r="C48" s="16"/>
      <c r="D48" s="16"/>
      <c r="E48" s="924"/>
      <c r="F48" s="924"/>
      <c r="G48" s="924"/>
      <c r="H48" s="924"/>
      <c r="I48" s="924"/>
      <c r="J48" s="16"/>
      <c r="K48" s="20"/>
    </row>
    <row r="49" spans="1:11">
      <c r="A49" s="19"/>
      <c r="B49" s="16"/>
      <c r="C49" s="16"/>
      <c r="D49" s="16"/>
      <c r="E49" s="924"/>
      <c r="F49" s="924"/>
      <c r="G49" s="924"/>
      <c r="H49" s="924"/>
      <c r="I49" s="924"/>
      <c r="J49" s="16"/>
      <c r="K49" s="20"/>
    </row>
    <row r="50" spans="1:11">
      <c r="A50" s="19"/>
      <c r="B50" s="16"/>
      <c r="C50" s="16"/>
      <c r="D50" s="16"/>
      <c r="E50" s="924"/>
      <c r="F50" s="924"/>
      <c r="G50" s="924"/>
      <c r="H50" s="924"/>
      <c r="I50" s="924"/>
      <c r="J50" s="16"/>
      <c r="K50" s="20"/>
    </row>
    <row r="51" spans="1:11">
      <c r="A51" s="19"/>
      <c r="B51" s="16"/>
      <c r="C51" s="16"/>
      <c r="D51" s="16"/>
      <c r="E51" s="924"/>
      <c r="F51" s="924"/>
      <c r="G51" s="924"/>
      <c r="H51" s="924"/>
      <c r="I51" s="924"/>
      <c r="J51" s="16"/>
      <c r="K51" s="20"/>
    </row>
    <row r="52" spans="1:11">
      <c r="A52" s="19"/>
      <c r="B52" s="16"/>
      <c r="C52" s="16"/>
      <c r="D52" s="16"/>
      <c r="E52" s="924"/>
      <c r="F52" s="924"/>
      <c r="G52" s="924"/>
      <c r="H52" s="924"/>
      <c r="I52" s="924"/>
      <c r="J52" s="16"/>
      <c r="K52" s="20"/>
    </row>
    <row r="53" spans="1:11">
      <c r="A53" s="19"/>
      <c r="K53" s="20"/>
    </row>
    <row r="54" spans="1:11">
      <c r="A54" s="19"/>
      <c r="K54" s="20"/>
    </row>
    <row r="55" spans="1:11" ht="15.75" thickBot="1">
      <c r="A55" s="19"/>
      <c r="H55" s="895"/>
      <c r="I55" s="895"/>
      <c r="J55" s="895"/>
      <c r="K55" s="20"/>
    </row>
    <row r="56" spans="1:11" ht="15.75" thickBot="1">
      <c r="A56" s="31"/>
      <c r="B56" s="29"/>
      <c r="C56" s="29"/>
      <c r="D56" s="29"/>
      <c r="E56" s="29"/>
      <c r="F56" s="29"/>
      <c r="G56" s="29"/>
      <c r="H56" s="285" t="s">
        <v>374</v>
      </c>
      <c r="I56" s="33"/>
      <c r="J56" s="33"/>
      <c r="K56" s="30"/>
    </row>
  </sheetData>
  <mergeCells count="42">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 ref="G46:I46"/>
    <mergeCell ref="E47:F47"/>
    <mergeCell ref="G47:I47"/>
    <mergeCell ref="E48:F48"/>
    <mergeCell ref="G48:I48"/>
    <mergeCell ref="G38:I40"/>
    <mergeCell ref="J38:J40"/>
    <mergeCell ref="E41:F41"/>
    <mergeCell ref="G41:I41"/>
    <mergeCell ref="E45:F45"/>
    <mergeCell ref="G45:I45"/>
    <mergeCell ref="B26:E26"/>
    <mergeCell ref="B31:E31"/>
    <mergeCell ref="B33:E33"/>
    <mergeCell ref="B35:E35"/>
    <mergeCell ref="B38:B40"/>
    <mergeCell ref="C38:D39"/>
    <mergeCell ref="E38:F40"/>
    <mergeCell ref="B17:E17"/>
    <mergeCell ref="G17:J17"/>
    <mergeCell ref="B4:J4"/>
    <mergeCell ref="B5:J5"/>
    <mergeCell ref="B7:J7"/>
    <mergeCell ref="B8:J8"/>
    <mergeCell ref="B9:E9"/>
    <mergeCell ref="G9:J9"/>
  </mergeCells>
  <pageMargins left="0.94488188976377963" right="0.70866141732283472" top="0.74803149606299213" bottom="0.74803149606299213" header="0.31496062992125984" footer="0.31496062992125984"/>
  <pageSetup scale="6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1"/>
  <sheetViews>
    <sheetView view="pageBreakPreview" zoomScaleSheetLayoutView="100" workbookViewId="0">
      <selection activeCell="H30" sqref="H30"/>
    </sheetView>
  </sheetViews>
  <sheetFormatPr defaultRowHeight="15"/>
  <cols>
    <col min="1" max="1" width="5.28515625" customWidth="1"/>
    <col min="3" max="3" width="12.5703125" customWidth="1"/>
    <col min="4" max="4" width="44.28515625" customWidth="1"/>
    <col min="13" max="13" width="16.7109375" customWidth="1"/>
  </cols>
  <sheetData>
    <row r="1" spans="1:13">
      <c r="A1" s="927" t="s">
        <v>67</v>
      </c>
      <c r="B1" s="927"/>
      <c r="C1" s="927"/>
      <c r="D1" s="927"/>
      <c r="E1" s="927"/>
      <c r="F1" s="927"/>
      <c r="G1" s="927"/>
      <c r="H1" s="927"/>
      <c r="I1" s="927"/>
      <c r="J1" s="927"/>
      <c r="K1" s="927"/>
      <c r="L1" s="927"/>
      <c r="M1" s="927"/>
    </row>
    <row r="2" spans="1:13">
      <c r="A2" s="927"/>
      <c r="B2" s="927"/>
      <c r="C2" s="927"/>
      <c r="D2" s="927"/>
      <c r="E2" s="927"/>
      <c r="F2" s="927"/>
      <c r="G2" s="927"/>
      <c r="H2" s="927"/>
      <c r="I2" s="927"/>
      <c r="J2" s="927"/>
      <c r="K2" s="927"/>
      <c r="L2" s="927"/>
      <c r="M2" s="927"/>
    </row>
    <row r="3" spans="1:13">
      <c r="A3" s="928" t="s">
        <v>431</v>
      </c>
      <c r="B3" s="928"/>
      <c r="C3" s="928"/>
      <c r="D3" s="928"/>
      <c r="E3" s="928"/>
      <c r="F3" s="928"/>
      <c r="G3" s="928"/>
      <c r="H3" s="928"/>
      <c r="I3" s="928"/>
      <c r="J3" s="928"/>
      <c r="K3" s="928"/>
      <c r="L3" s="928"/>
      <c r="M3" s="928"/>
    </row>
    <row r="4" spans="1:13" ht="15" customHeight="1">
      <c r="A4" s="35" t="s">
        <v>389</v>
      </c>
      <c r="B4" s="36"/>
      <c r="C4" s="36"/>
      <c r="D4" s="37" t="str">
        <f>'04-22Master'!F5</f>
        <v>Burgeon IT Services Pvt.Ltd.</v>
      </c>
      <c r="E4" s="71" t="s">
        <v>83</v>
      </c>
      <c r="F4" s="72"/>
      <c r="G4" s="72"/>
      <c r="H4" s="72"/>
      <c r="I4" s="72"/>
      <c r="J4" s="72"/>
      <c r="K4" s="72"/>
      <c r="L4" s="72"/>
      <c r="M4" s="70"/>
    </row>
    <row r="5" spans="1:13">
      <c r="A5" s="38"/>
      <c r="B5" s="39" t="str">
        <f>'04-22Master'!F6</f>
        <v>Siri Mansion LIGB 436 Dr.A S Rao Nagar,Hyderabad</v>
      </c>
      <c r="C5" s="39"/>
      <c r="D5" s="40"/>
      <c r="E5" s="53"/>
      <c r="F5" s="69"/>
      <c r="G5" s="69"/>
      <c r="H5" s="69"/>
      <c r="I5" s="69"/>
      <c r="J5" s="69"/>
      <c r="K5" s="69"/>
      <c r="L5" s="69"/>
      <c r="M5" s="70"/>
    </row>
    <row r="6" spans="1:13">
      <c r="A6" s="41"/>
      <c r="B6" s="42">
        <f>'04-22Master'!F7</f>
        <v>0</v>
      </c>
      <c r="C6" s="42"/>
      <c r="D6" s="43"/>
      <c r="E6" s="40"/>
      <c r="F6" s="42"/>
      <c r="G6" s="42"/>
      <c r="H6" s="42"/>
      <c r="I6" s="42"/>
      <c r="J6" s="42"/>
      <c r="K6" s="42"/>
      <c r="L6" s="42"/>
      <c r="M6" s="43"/>
    </row>
    <row r="7" spans="1:13">
      <c r="A7" s="44" t="s">
        <v>82</v>
      </c>
      <c r="B7" s="36"/>
      <c r="C7" s="36"/>
      <c r="D7" s="37" t="str">
        <f>'04-22Master'!F8</f>
        <v>IT SUPPORTIVE SERVICES</v>
      </c>
      <c r="E7" s="44" t="s">
        <v>68</v>
      </c>
      <c r="F7" s="36"/>
      <c r="G7" s="36"/>
      <c r="H7" s="36"/>
      <c r="I7" s="36"/>
      <c r="J7" s="36"/>
      <c r="K7" s="36"/>
      <c r="L7" s="36"/>
      <c r="M7" s="37"/>
    </row>
    <row r="8" spans="1:13">
      <c r="A8" s="38"/>
      <c r="B8" s="39"/>
      <c r="C8" s="39"/>
      <c r="D8" s="40"/>
      <c r="E8" s="45" t="str">
        <f>'04-22Master'!AJ10</f>
        <v xml:space="preserve">INFOSYS  LTD.IL Hyderabad SEZ Unit-3 </v>
      </c>
      <c r="F8" s="39"/>
      <c r="G8" s="39"/>
      <c r="H8" s="39"/>
      <c r="I8" s="39"/>
      <c r="J8" s="39"/>
      <c r="K8" s="39"/>
      <c r="L8" s="39"/>
      <c r="M8" s="40"/>
    </row>
    <row r="9" spans="1:13">
      <c r="A9" s="38"/>
      <c r="B9" s="39"/>
      <c r="C9" s="39"/>
      <c r="D9" s="40"/>
      <c r="E9" s="38" t="str">
        <f>'04-22Master'!AJ11</f>
        <v>Sy.No 42,Pocharam Village,Gatkesar Mandal</v>
      </c>
      <c r="F9" s="39"/>
      <c r="G9" s="39"/>
      <c r="H9" s="39"/>
      <c r="I9" s="39"/>
      <c r="J9" s="39"/>
      <c r="K9" s="39"/>
      <c r="L9" s="39"/>
      <c r="M9" s="40"/>
    </row>
    <row r="10" spans="1:13">
      <c r="A10" s="41"/>
      <c r="B10" s="42"/>
      <c r="C10" s="42"/>
      <c r="D10" s="43"/>
      <c r="E10" s="41"/>
      <c r="F10" s="42"/>
      <c r="G10" s="42"/>
      <c r="H10" s="42"/>
      <c r="I10" s="42"/>
      <c r="J10" s="42"/>
      <c r="K10" s="42"/>
      <c r="L10" s="42"/>
      <c r="M10" s="43"/>
    </row>
    <row r="11" spans="1:13" ht="38.25">
      <c r="A11" s="926" t="s">
        <v>5</v>
      </c>
      <c r="B11" s="926" t="s">
        <v>69</v>
      </c>
      <c r="C11" s="46" t="s">
        <v>70</v>
      </c>
      <c r="D11" s="925" t="s">
        <v>71</v>
      </c>
      <c r="E11" s="925" t="s">
        <v>72</v>
      </c>
      <c r="F11" s="925" t="s">
        <v>73</v>
      </c>
      <c r="G11" s="925" t="s">
        <v>74</v>
      </c>
      <c r="H11" s="925" t="s">
        <v>75</v>
      </c>
      <c r="I11" s="925" t="s">
        <v>76</v>
      </c>
      <c r="J11" s="926" t="s">
        <v>77</v>
      </c>
      <c r="K11" s="926"/>
      <c r="L11" s="926"/>
      <c r="M11" s="47" t="s">
        <v>41</v>
      </c>
    </row>
    <row r="12" spans="1:13" ht="38.25">
      <c r="A12" s="926"/>
      <c r="B12" s="926"/>
      <c r="C12" s="48"/>
      <c r="D12" s="925"/>
      <c r="E12" s="925"/>
      <c r="F12" s="925"/>
      <c r="G12" s="925"/>
      <c r="H12" s="925"/>
      <c r="I12" s="925"/>
      <c r="J12" s="49" t="s">
        <v>78</v>
      </c>
      <c r="K12" s="49" t="s">
        <v>79</v>
      </c>
      <c r="L12" s="49" t="s">
        <v>80</v>
      </c>
      <c r="M12" s="50"/>
    </row>
    <row r="13" spans="1:13">
      <c r="A13" s="51">
        <v>1</v>
      </c>
      <c r="B13" s="51">
        <v>2</v>
      </c>
      <c r="C13" s="51">
        <v>3</v>
      </c>
      <c r="D13" s="51">
        <v>4</v>
      </c>
      <c r="E13" s="51">
        <v>5</v>
      </c>
      <c r="F13" s="51">
        <v>6</v>
      </c>
      <c r="G13" s="51">
        <v>7</v>
      </c>
      <c r="H13" s="51">
        <v>8</v>
      </c>
      <c r="I13" s="51">
        <v>9</v>
      </c>
      <c r="J13" s="51">
        <v>10</v>
      </c>
      <c r="K13" s="51">
        <v>11</v>
      </c>
      <c r="L13" s="51">
        <v>12</v>
      </c>
      <c r="M13" s="51">
        <v>13</v>
      </c>
    </row>
    <row r="14" spans="1:13">
      <c r="A14" s="52"/>
      <c r="B14" s="52"/>
      <c r="C14" s="52"/>
      <c r="D14" s="52"/>
      <c r="E14" s="52"/>
      <c r="F14" s="52"/>
      <c r="G14" s="52"/>
      <c r="H14" s="52"/>
      <c r="I14" s="52"/>
      <c r="J14" s="52"/>
      <c r="K14" s="52"/>
      <c r="L14" s="52"/>
      <c r="M14" s="52"/>
    </row>
    <row r="15" spans="1:13" ht="15.75" thickBot="1">
      <c r="A15" s="52"/>
      <c r="B15" s="55"/>
      <c r="C15" s="55"/>
      <c r="D15" s="55"/>
      <c r="E15" s="55"/>
      <c r="F15" s="55"/>
      <c r="G15" s="55"/>
      <c r="H15" s="55"/>
      <c r="I15" s="55"/>
      <c r="J15" s="55"/>
      <c r="K15" s="55"/>
      <c r="L15" s="55"/>
      <c r="M15" s="55"/>
    </row>
    <row r="16" spans="1:13" ht="15.75" thickBot="1">
      <c r="A16" s="54"/>
      <c r="B16" s="57" t="s">
        <v>390</v>
      </c>
      <c r="C16" s="442"/>
      <c r="D16" s="442"/>
      <c r="E16" s="442"/>
      <c r="F16" s="442"/>
      <c r="G16" s="443"/>
      <c r="H16" s="444">
        <f>'04-22Master'!D10</f>
        <v>44652</v>
      </c>
      <c r="I16" s="52"/>
      <c r="J16" s="52"/>
      <c r="K16" s="52"/>
      <c r="L16" s="52"/>
      <c r="M16" s="52"/>
    </row>
    <row r="17" spans="1:13">
      <c r="A17" s="52"/>
      <c r="B17" s="68"/>
      <c r="C17" s="68"/>
      <c r="D17" s="68"/>
      <c r="E17" s="68"/>
      <c r="F17" s="68"/>
      <c r="G17" s="68"/>
      <c r="H17" s="68"/>
      <c r="I17" s="56"/>
      <c r="J17" s="56"/>
      <c r="K17" s="56"/>
      <c r="L17" s="56"/>
      <c r="M17" s="56"/>
    </row>
    <row r="18" spans="1:13" ht="15.75" thickBot="1">
      <c r="A18" s="52"/>
      <c r="B18" s="426"/>
      <c r="C18" s="426"/>
      <c r="D18" s="426"/>
      <c r="E18" s="426"/>
      <c r="F18" s="426"/>
      <c r="G18" s="426"/>
      <c r="H18" s="426"/>
      <c r="I18" s="52"/>
      <c r="J18" s="52"/>
      <c r="K18" s="52"/>
      <c r="L18" s="52"/>
      <c r="M18" s="52"/>
    </row>
    <row r="19" spans="1:13" ht="15.75" thickBot="1">
      <c r="A19" s="52"/>
      <c r="B19" s="426"/>
      <c r="C19" s="442"/>
      <c r="D19" s="426"/>
      <c r="E19" s="426"/>
      <c r="F19" s="426"/>
      <c r="G19" s="426"/>
      <c r="H19" s="426"/>
      <c r="I19" s="52"/>
      <c r="J19" s="52"/>
      <c r="K19" s="52"/>
      <c r="L19" s="52"/>
      <c r="M19" s="52"/>
    </row>
    <row r="20" spans="1:13">
      <c r="A20" s="52"/>
      <c r="B20" s="445"/>
      <c r="C20" s="426"/>
      <c r="D20" s="426"/>
      <c r="E20" s="426"/>
      <c r="F20" s="426"/>
      <c r="G20" s="426"/>
      <c r="H20" s="426"/>
      <c r="I20" s="52"/>
      <c r="J20" s="52"/>
      <c r="K20" s="52"/>
      <c r="L20" s="52"/>
      <c r="M20" s="52"/>
    </row>
    <row r="21" spans="1:13">
      <c r="A21" s="52"/>
      <c r="B21" s="426"/>
      <c r="C21" s="426"/>
      <c r="D21" s="426"/>
      <c r="E21" s="426"/>
      <c r="F21" s="426"/>
      <c r="G21" s="426"/>
      <c r="H21" s="426"/>
      <c r="I21" s="52"/>
      <c r="J21" s="52"/>
      <c r="K21" s="52"/>
      <c r="L21" s="52"/>
      <c r="M21" s="52"/>
    </row>
    <row r="22" spans="1:13">
      <c r="A22" s="52"/>
      <c r="B22" s="426" t="s">
        <v>81</v>
      </c>
      <c r="C22" s="426"/>
      <c r="D22" s="426"/>
      <c r="E22" s="426"/>
      <c r="F22" s="426"/>
      <c r="G22" s="426"/>
      <c r="H22" s="426"/>
      <c r="I22" s="52"/>
      <c r="J22" s="52"/>
      <c r="K22" s="52"/>
      <c r="L22" s="52"/>
      <c r="M22" s="52"/>
    </row>
    <row r="23" spans="1:13">
      <c r="A23" s="52"/>
      <c r="B23" s="559"/>
      <c r="C23" s="559"/>
      <c r="D23" s="559"/>
      <c r="E23" s="559"/>
      <c r="F23" s="559"/>
      <c r="G23" s="296"/>
      <c r="H23" s="296"/>
      <c r="I23" s="296"/>
      <c r="J23" s="296"/>
      <c r="K23" s="296"/>
      <c r="L23" s="296"/>
      <c r="M23" s="296"/>
    </row>
    <row r="24" spans="1:13">
      <c r="A24" s="52"/>
      <c r="B24" s="559"/>
      <c r="C24" s="559"/>
      <c r="D24" s="559"/>
      <c r="E24" s="559"/>
      <c r="F24" s="559"/>
      <c r="G24" s="296"/>
      <c r="H24" s="296"/>
      <c r="I24" s="296"/>
      <c r="J24" s="296"/>
      <c r="K24" s="296"/>
      <c r="L24" s="296"/>
      <c r="M24" s="296"/>
    </row>
    <row r="25" spans="1:13">
      <c r="A25" s="52"/>
      <c r="B25" s="559"/>
      <c r="C25" s="559"/>
      <c r="D25" s="559"/>
      <c r="E25" s="559"/>
      <c r="F25" s="559"/>
      <c r="G25" s="296"/>
      <c r="H25" s="296"/>
      <c r="I25" s="296"/>
      <c r="J25" s="296"/>
      <c r="K25" s="296"/>
      <c r="L25" s="296"/>
      <c r="M25" s="296"/>
    </row>
    <row r="26" spans="1:13">
      <c r="A26" s="52"/>
      <c r="B26" s="559"/>
      <c r="C26" s="559"/>
      <c r="D26" s="559"/>
      <c r="E26" s="559"/>
      <c r="F26" s="559"/>
      <c r="G26" s="296"/>
      <c r="H26" s="296"/>
      <c r="I26" s="296"/>
      <c r="J26" s="296"/>
      <c r="K26" s="296"/>
      <c r="L26" s="296"/>
      <c r="M26" s="296"/>
    </row>
    <row r="27" spans="1:13">
      <c r="A27" s="52"/>
      <c r="B27" s="559"/>
      <c r="C27" s="559"/>
      <c r="D27" s="559"/>
      <c r="E27" s="559"/>
      <c r="F27" s="559"/>
      <c r="G27" s="296"/>
      <c r="H27" s="296"/>
      <c r="I27" s="296"/>
      <c r="J27" s="296"/>
      <c r="K27" s="296"/>
      <c r="L27" s="296"/>
      <c r="M27" s="296"/>
    </row>
    <row r="28" spans="1:13">
      <c r="A28" s="52"/>
      <c r="B28" s="559"/>
      <c r="C28" s="559"/>
      <c r="D28" s="559"/>
      <c r="E28" s="559"/>
      <c r="F28" s="559"/>
      <c r="G28" s="296"/>
      <c r="H28" s="296"/>
      <c r="I28" s="296"/>
      <c r="J28" s="296"/>
      <c r="K28" s="296"/>
      <c r="L28" s="296"/>
      <c r="M28" s="296"/>
    </row>
    <row r="29" spans="1:13">
      <c r="A29" s="52"/>
      <c r="B29" s="559"/>
      <c r="C29" s="559"/>
      <c r="D29" s="559"/>
      <c r="E29" s="559"/>
      <c r="F29" s="559"/>
      <c r="G29" s="296"/>
      <c r="H29" s="296"/>
      <c r="I29" s="296"/>
      <c r="J29" s="296"/>
      <c r="K29" s="296"/>
      <c r="L29" s="296"/>
      <c r="M29" s="296"/>
    </row>
    <row r="30" spans="1:13">
      <c r="A30" s="52"/>
      <c r="B30" s="559"/>
      <c r="C30" s="559"/>
      <c r="D30" s="559"/>
      <c r="E30" s="559"/>
      <c r="F30" s="559"/>
      <c r="G30" s="296"/>
      <c r="H30" s="296"/>
      <c r="I30" s="296"/>
      <c r="J30" s="296"/>
      <c r="K30" s="296"/>
      <c r="L30" s="296"/>
      <c r="M30" s="296"/>
    </row>
    <row r="31" spans="1:13">
      <c r="A31" s="52"/>
      <c r="B31" s="559"/>
      <c r="C31" s="559"/>
      <c r="D31" s="559"/>
      <c r="E31" s="559"/>
      <c r="F31" s="559"/>
      <c r="G31" s="296"/>
      <c r="H31" s="296"/>
      <c r="I31" s="296"/>
      <c r="J31" s="296"/>
      <c r="K31" s="296"/>
      <c r="L31" s="296"/>
      <c r="M31" s="296"/>
    </row>
    <row r="32" spans="1:13">
      <c r="A32" s="52"/>
      <c r="B32" s="559"/>
      <c r="C32" s="559"/>
      <c r="D32" s="559"/>
      <c r="E32" s="559"/>
      <c r="F32" s="559"/>
      <c r="G32" s="296"/>
      <c r="H32" s="296"/>
      <c r="I32" s="296"/>
      <c r="J32" s="296"/>
      <c r="K32" s="296"/>
      <c r="L32" s="296"/>
      <c r="M32" s="296"/>
    </row>
    <row r="33" spans="1:13">
      <c r="A33" s="52"/>
      <c r="B33" s="52"/>
      <c r="C33" s="52"/>
      <c r="D33" s="52"/>
      <c r="E33" s="52"/>
      <c r="F33" s="52"/>
      <c r="G33" s="52"/>
      <c r="H33" s="52"/>
      <c r="I33" s="52"/>
      <c r="J33" s="52"/>
      <c r="K33" s="52"/>
      <c r="L33" s="52"/>
      <c r="M33" s="52"/>
    </row>
    <row r="34" spans="1:13">
      <c r="A34" s="52"/>
      <c r="B34" s="52"/>
      <c r="C34" s="52"/>
      <c r="D34" s="52"/>
      <c r="E34" s="52"/>
      <c r="F34" s="52"/>
      <c r="G34" s="52"/>
      <c r="H34" s="52"/>
      <c r="I34" s="52"/>
      <c r="J34" s="52"/>
      <c r="K34" s="52"/>
      <c r="L34" s="52"/>
      <c r="M34" s="52"/>
    </row>
    <row r="35" spans="1:13">
      <c r="A35" s="52"/>
      <c r="B35" s="52"/>
      <c r="C35" s="52"/>
      <c r="D35" s="52"/>
      <c r="E35" s="52"/>
      <c r="F35" s="52"/>
      <c r="G35" s="52"/>
      <c r="H35" s="52"/>
      <c r="I35" s="52"/>
      <c r="J35" s="52"/>
      <c r="K35" s="52"/>
      <c r="L35" s="52"/>
      <c r="M35" s="52"/>
    </row>
    <row r="37" spans="1:13" s="388" customFormat="1"/>
    <row r="38" spans="1:13" s="388" customFormat="1"/>
    <row r="39" spans="1:13" s="388" customFormat="1"/>
    <row r="40" spans="1:13" s="388" customFormat="1"/>
    <row r="41" spans="1:13">
      <c r="J41"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0"/>
  <sheetViews>
    <sheetView view="pageBreakPreview" zoomScaleSheetLayoutView="100" workbookViewId="0">
      <selection activeCell="J21" sqref="J21"/>
    </sheetView>
  </sheetViews>
  <sheetFormatPr defaultRowHeight="15"/>
  <cols>
    <col min="1" max="1" width="7" customWidth="1"/>
    <col min="4" max="4" width="47.85546875" customWidth="1"/>
    <col min="10" max="10" width="12.140625" customWidth="1"/>
    <col min="11" max="11" width="11.28515625" customWidth="1"/>
    <col min="12" max="12" width="14.5703125" customWidth="1"/>
  </cols>
  <sheetData>
    <row r="1" spans="1:12">
      <c r="A1" s="934" t="s">
        <v>84</v>
      </c>
      <c r="B1" s="934"/>
      <c r="C1" s="934"/>
      <c r="D1" s="934"/>
      <c r="E1" s="934"/>
      <c r="F1" s="934"/>
      <c r="G1" s="934"/>
      <c r="H1" s="934"/>
      <c r="I1" s="934"/>
      <c r="J1" s="934"/>
      <c r="K1" s="934"/>
      <c r="L1" s="934"/>
    </row>
    <row r="2" spans="1:12">
      <c r="A2" s="934"/>
      <c r="B2" s="934"/>
      <c r="C2" s="934"/>
      <c r="D2" s="934"/>
      <c r="E2" s="934"/>
      <c r="F2" s="934"/>
      <c r="G2" s="934"/>
      <c r="H2" s="934"/>
      <c r="I2" s="934"/>
      <c r="J2" s="934"/>
      <c r="K2" s="934"/>
      <c r="L2" s="934"/>
    </row>
    <row r="3" spans="1:12">
      <c r="A3" s="928" t="s">
        <v>432</v>
      </c>
      <c r="B3" s="928"/>
      <c r="C3" s="928"/>
      <c r="D3" s="928"/>
      <c r="E3" s="928"/>
      <c r="F3" s="928"/>
      <c r="G3" s="928"/>
      <c r="H3" s="928"/>
      <c r="I3" s="928"/>
      <c r="J3" s="928"/>
      <c r="K3" s="928"/>
      <c r="L3" s="928"/>
    </row>
    <row r="4" spans="1:12" ht="15" customHeight="1">
      <c r="A4" s="35" t="s">
        <v>389</v>
      </c>
      <c r="B4" s="36"/>
      <c r="C4" s="36"/>
      <c r="D4" s="37" t="str">
        <f>'04-22Master'!F5</f>
        <v>Burgeon IT Services Pvt.Ltd.</v>
      </c>
      <c r="E4" s="44" t="s">
        <v>83</v>
      </c>
      <c r="F4" s="36"/>
      <c r="G4" s="36"/>
      <c r="H4" s="36"/>
      <c r="I4" s="36"/>
      <c r="J4" s="36"/>
      <c r="K4" s="36"/>
      <c r="L4" s="65"/>
    </row>
    <row r="5" spans="1:12">
      <c r="A5" s="38"/>
      <c r="B5" s="39" t="str">
        <f>'04-22Master'!F6</f>
        <v>Siri Mansion LIGB 436 Dr.A S Rao Nagar,Hyderabad</v>
      </c>
      <c r="C5" s="39"/>
      <c r="D5" s="40"/>
      <c r="E5" s="53"/>
      <c r="F5" s="69"/>
      <c r="G5" s="69"/>
      <c r="H5" s="69"/>
      <c r="I5" s="69"/>
      <c r="J5" s="69"/>
      <c r="K5" s="69"/>
      <c r="L5" s="70"/>
    </row>
    <row r="6" spans="1:12">
      <c r="A6" s="41"/>
      <c r="B6" s="42">
        <f>'04-22Master'!F7</f>
        <v>0</v>
      </c>
      <c r="C6" s="42"/>
      <c r="D6" s="43"/>
      <c r="E6" s="68"/>
      <c r="F6" s="42"/>
      <c r="G6" s="42"/>
      <c r="H6" s="42"/>
      <c r="I6" s="42"/>
      <c r="J6" s="42"/>
      <c r="K6" s="42"/>
      <c r="L6" s="43"/>
    </row>
    <row r="7" spans="1:12">
      <c r="A7" s="44" t="s">
        <v>82</v>
      </c>
      <c r="B7" s="36"/>
      <c r="C7" s="36"/>
      <c r="D7" s="37" t="str">
        <f>'04-22Master'!F8</f>
        <v>IT SUPPORTIVE SERVICES</v>
      </c>
      <c r="E7" s="44" t="s">
        <v>68</v>
      </c>
      <c r="F7" s="36"/>
      <c r="G7" s="36"/>
      <c r="H7" s="36"/>
      <c r="I7" s="36"/>
      <c r="J7" s="36"/>
      <c r="K7" s="36"/>
      <c r="L7" s="37"/>
    </row>
    <row r="8" spans="1:12">
      <c r="A8" s="38"/>
      <c r="B8" s="39"/>
      <c r="C8" s="39"/>
      <c r="D8" s="40"/>
      <c r="E8" s="45" t="str">
        <f>'04-22Master'!AJ10</f>
        <v xml:space="preserve">INFOSYS  LTD.IL Hyderabad SEZ Unit-3 </v>
      </c>
      <c r="F8" s="39"/>
      <c r="G8" s="39"/>
      <c r="H8" s="39"/>
      <c r="I8" s="39"/>
      <c r="J8" s="39"/>
      <c r="K8" s="39"/>
      <c r="L8" s="40"/>
    </row>
    <row r="9" spans="1:12">
      <c r="A9" s="38"/>
      <c r="B9" s="39"/>
      <c r="C9" s="39"/>
      <c r="D9" s="40"/>
      <c r="E9" s="38" t="str">
        <f>'04-22Master'!AJ11</f>
        <v>Sy.No 42,Pocharam Village,Gatkesar Mandal</v>
      </c>
      <c r="F9" s="39"/>
      <c r="G9" s="39"/>
      <c r="H9" s="39"/>
      <c r="I9" s="39"/>
      <c r="J9" s="39"/>
      <c r="K9" s="39"/>
      <c r="L9" s="40"/>
    </row>
    <row r="10" spans="1:12" ht="15.75" thickBot="1">
      <c r="A10" s="38"/>
      <c r="B10" s="39"/>
      <c r="C10" s="39"/>
      <c r="D10" s="40"/>
      <c r="E10" s="38"/>
      <c r="F10" s="39"/>
      <c r="G10" s="39"/>
      <c r="H10" s="39"/>
      <c r="I10" s="39"/>
      <c r="J10" s="39"/>
      <c r="K10" s="39"/>
      <c r="L10" s="40"/>
    </row>
    <row r="11" spans="1:12" ht="51" customHeight="1">
      <c r="A11" s="932" t="s">
        <v>5</v>
      </c>
      <c r="B11" s="932" t="s">
        <v>69</v>
      </c>
      <c r="C11" s="60" t="s">
        <v>70</v>
      </c>
      <c r="D11" s="935" t="s">
        <v>71</v>
      </c>
      <c r="E11" s="935" t="s">
        <v>85</v>
      </c>
      <c r="F11" s="935" t="s">
        <v>86</v>
      </c>
      <c r="G11" s="935" t="s">
        <v>87</v>
      </c>
      <c r="H11" s="935" t="s">
        <v>75</v>
      </c>
      <c r="I11" s="935" t="s">
        <v>88</v>
      </c>
      <c r="J11" s="60" t="s">
        <v>89</v>
      </c>
      <c r="K11" s="932" t="s">
        <v>90</v>
      </c>
      <c r="L11" s="932" t="s">
        <v>41</v>
      </c>
    </row>
    <row r="12" spans="1:12" ht="15" customHeight="1" thickBot="1">
      <c r="A12" s="933"/>
      <c r="B12" s="933"/>
      <c r="C12" s="64"/>
      <c r="D12" s="936"/>
      <c r="E12" s="936"/>
      <c r="F12" s="936"/>
      <c r="G12" s="936"/>
      <c r="H12" s="936"/>
      <c r="I12" s="936"/>
      <c r="J12" s="59"/>
      <c r="K12" s="933"/>
      <c r="L12" s="933"/>
    </row>
    <row r="13" spans="1:12" ht="15" customHeight="1">
      <c r="A13" s="58">
        <v>1</v>
      </c>
      <c r="B13" s="58">
        <v>2</v>
      </c>
      <c r="C13" s="58">
        <v>3</v>
      </c>
      <c r="D13" s="58">
        <v>4</v>
      </c>
      <c r="E13" s="58">
        <v>5</v>
      </c>
      <c r="F13" s="58">
        <v>6</v>
      </c>
      <c r="G13" s="58">
        <v>7</v>
      </c>
      <c r="H13" s="58">
        <v>8</v>
      </c>
      <c r="I13" s="58">
        <v>9</v>
      </c>
      <c r="J13" s="61">
        <v>10</v>
      </c>
      <c r="K13" s="62">
        <v>11</v>
      </c>
      <c r="L13" s="63">
        <v>12</v>
      </c>
    </row>
    <row r="14" spans="1:12">
      <c r="A14" s="52"/>
      <c r="B14" s="52"/>
      <c r="C14" s="52"/>
      <c r="D14" s="52"/>
      <c r="E14" s="52"/>
      <c r="F14" s="52"/>
      <c r="G14" s="52"/>
      <c r="H14" s="52"/>
      <c r="I14" s="52"/>
      <c r="J14" s="52"/>
      <c r="K14" s="56"/>
      <c r="L14" s="52"/>
    </row>
    <row r="15" spans="1:12" ht="15.75" thickBot="1">
      <c r="A15" s="52"/>
      <c r="B15" s="55"/>
      <c r="C15" s="55"/>
      <c r="D15" s="55"/>
      <c r="E15" s="55"/>
      <c r="F15" s="55"/>
      <c r="G15" s="55"/>
      <c r="H15" s="55"/>
      <c r="I15" s="55"/>
      <c r="J15" s="55"/>
      <c r="K15" s="55"/>
      <c r="L15" s="55"/>
    </row>
    <row r="16" spans="1:12" ht="15.75" thickBot="1">
      <c r="A16" s="54"/>
      <c r="B16" s="929" t="s">
        <v>91</v>
      </c>
      <c r="C16" s="930"/>
      <c r="D16" s="930"/>
      <c r="E16" s="930"/>
      <c r="F16" s="930"/>
      <c r="G16" s="931"/>
      <c r="H16" s="444">
        <f>'04-22Master'!D10</f>
        <v>44652</v>
      </c>
      <c r="I16" s="52"/>
      <c r="J16" s="52"/>
      <c r="K16" s="52"/>
      <c r="L16" s="52"/>
    </row>
    <row r="17" spans="1:12">
      <c r="A17" s="52"/>
      <c r="B17" s="68"/>
      <c r="C17" s="68"/>
      <c r="D17" s="68"/>
      <c r="E17" s="68"/>
      <c r="F17" s="68"/>
      <c r="G17" s="68"/>
      <c r="H17" s="68"/>
      <c r="I17" s="56"/>
      <c r="J17" s="56"/>
      <c r="K17" s="56"/>
      <c r="L17" s="56"/>
    </row>
    <row r="18" spans="1:12">
      <c r="A18" s="52"/>
      <c r="B18" s="426"/>
      <c r="C18" s="426"/>
      <c r="D18" s="426"/>
      <c r="E18" s="426"/>
      <c r="F18" s="426"/>
      <c r="G18" s="426"/>
      <c r="H18" s="426"/>
      <c r="I18" s="52"/>
      <c r="J18" s="52"/>
      <c r="K18" s="52"/>
      <c r="L18" s="52"/>
    </row>
    <row r="19" spans="1:12">
      <c r="A19" s="52"/>
      <c r="B19" s="426"/>
      <c r="C19" s="426"/>
      <c r="D19" s="426"/>
      <c r="E19" s="426"/>
      <c r="F19" s="426"/>
      <c r="G19" s="426"/>
      <c r="H19" s="426"/>
      <c r="I19" s="52"/>
      <c r="J19" s="52"/>
      <c r="K19" s="52"/>
      <c r="L19" s="52"/>
    </row>
    <row r="20" spans="1:12">
      <c r="A20" s="52"/>
      <c r="B20" s="445"/>
      <c r="C20" s="426"/>
      <c r="D20" s="426"/>
      <c r="E20" s="426"/>
      <c r="F20" s="426"/>
      <c r="G20" s="426"/>
      <c r="H20" s="426"/>
      <c r="I20" s="52"/>
      <c r="J20" s="52"/>
      <c r="K20" s="52"/>
      <c r="L20" s="52"/>
    </row>
    <row r="21" spans="1:12">
      <c r="A21" s="464"/>
      <c r="B21" s="426"/>
      <c r="C21" s="426"/>
      <c r="D21" s="426"/>
      <c r="E21" s="426"/>
      <c r="F21" s="426"/>
      <c r="G21" s="426"/>
      <c r="H21" s="465"/>
      <c r="I21" s="52"/>
      <c r="J21" s="52"/>
      <c r="K21" s="52"/>
      <c r="L21" s="52"/>
    </row>
    <row r="22" spans="1:12">
      <c r="A22" s="464"/>
      <c r="B22" s="559"/>
      <c r="C22" s="559"/>
      <c r="D22" s="559"/>
      <c r="E22" s="559"/>
      <c r="F22" s="296"/>
      <c r="G22" s="296"/>
      <c r="H22" s="296"/>
      <c r="I22" s="296"/>
      <c r="J22" s="296"/>
      <c r="K22" s="296"/>
      <c r="L22" s="296"/>
    </row>
    <row r="23" spans="1:12">
      <c r="A23" s="464"/>
      <c r="B23" s="559"/>
      <c r="C23" s="559"/>
      <c r="D23" s="559"/>
      <c r="E23" s="559"/>
      <c r="F23" s="296"/>
      <c r="G23" s="296"/>
      <c r="H23" s="296"/>
      <c r="I23" s="296"/>
      <c r="J23" s="296"/>
      <c r="K23" s="296"/>
      <c r="L23" s="296"/>
    </row>
    <row r="24" spans="1:12">
      <c r="A24" s="464"/>
      <c r="B24" s="559"/>
      <c r="C24" s="559"/>
      <c r="D24" s="559"/>
      <c r="E24" s="559"/>
      <c r="F24" s="296"/>
      <c r="G24" s="296"/>
      <c r="H24" s="296"/>
      <c r="I24" s="296"/>
      <c r="J24" s="296"/>
      <c r="K24" s="296"/>
      <c r="L24" s="296"/>
    </row>
    <row r="25" spans="1:12">
      <c r="A25" s="464"/>
      <c r="B25" s="559"/>
      <c r="C25" s="559"/>
      <c r="D25" s="559"/>
      <c r="E25" s="559"/>
      <c r="F25" s="296"/>
      <c r="G25" s="296"/>
      <c r="H25" s="296"/>
      <c r="I25" s="296"/>
      <c r="J25" s="296"/>
      <c r="K25" s="296"/>
      <c r="L25" s="296"/>
    </row>
    <row r="26" spans="1:12">
      <c r="A26" s="464"/>
      <c r="B26" s="559"/>
      <c r="C26" s="559"/>
      <c r="D26" s="559"/>
      <c r="E26" s="559"/>
      <c r="F26" s="296"/>
      <c r="G26" s="296"/>
      <c r="H26" s="296"/>
      <c r="I26" s="296"/>
      <c r="J26" s="296"/>
      <c r="K26" s="296"/>
      <c r="L26" s="296"/>
    </row>
    <row r="27" spans="1:12">
      <c r="A27" s="464"/>
      <c r="B27" s="559"/>
      <c r="C27" s="559"/>
      <c r="D27" s="559"/>
      <c r="E27" s="559"/>
      <c r="F27" s="296"/>
      <c r="G27" s="296"/>
      <c r="H27" s="296"/>
      <c r="I27" s="296"/>
      <c r="J27" s="296"/>
      <c r="K27" s="296"/>
      <c r="L27" s="296"/>
    </row>
    <row r="28" spans="1:12">
      <c r="A28" s="464"/>
      <c r="B28" s="559"/>
      <c r="C28" s="559"/>
      <c r="D28" s="559"/>
      <c r="E28" s="559"/>
      <c r="F28" s="296"/>
      <c r="G28" s="296"/>
      <c r="H28" s="296"/>
      <c r="I28" s="296"/>
      <c r="J28" s="296"/>
      <c r="K28" s="296"/>
      <c r="L28" s="296"/>
    </row>
    <row r="29" spans="1:12">
      <c r="A29" s="52"/>
      <c r="B29" s="559"/>
      <c r="C29" s="559"/>
      <c r="D29" s="559"/>
      <c r="E29" s="559"/>
      <c r="F29" s="296"/>
      <c r="G29" s="296"/>
      <c r="H29" s="296"/>
      <c r="I29" s="296"/>
      <c r="J29" s="296"/>
      <c r="K29" s="296"/>
      <c r="L29" s="296"/>
    </row>
    <row r="30" spans="1:12">
      <c r="A30" s="52"/>
      <c r="B30" s="559"/>
      <c r="C30" s="559"/>
      <c r="D30" s="559"/>
      <c r="E30" s="559"/>
      <c r="F30" s="296"/>
      <c r="G30" s="296"/>
      <c r="H30" s="296"/>
      <c r="I30" s="296"/>
      <c r="J30" s="296"/>
      <c r="K30" s="296"/>
      <c r="L30" s="296"/>
    </row>
    <row r="31" spans="1:12">
      <c r="A31" s="52"/>
      <c r="B31" s="52"/>
      <c r="C31" s="52"/>
      <c r="D31" s="52"/>
      <c r="E31" s="52"/>
      <c r="F31" s="52"/>
      <c r="G31" s="52"/>
      <c r="H31" s="52"/>
      <c r="I31" s="52"/>
      <c r="J31" s="52"/>
      <c r="K31" s="52"/>
      <c r="L31" s="52"/>
    </row>
    <row r="32" spans="1:12">
      <c r="A32" s="559"/>
      <c r="B32" s="559"/>
      <c r="C32" s="559"/>
      <c r="D32" s="559"/>
      <c r="E32" s="559"/>
      <c r="F32" s="559"/>
      <c r="G32" s="559"/>
      <c r="H32" s="559"/>
      <c r="I32" s="559"/>
      <c r="J32" s="559"/>
      <c r="K32" s="559"/>
      <c r="L32" s="559"/>
    </row>
    <row r="33" spans="1:12">
      <c r="A33" s="558"/>
      <c r="B33" s="558"/>
      <c r="C33" s="558"/>
      <c r="D33" s="558"/>
      <c r="E33" s="558"/>
      <c r="F33" s="558"/>
      <c r="G33" s="558"/>
      <c r="H33" s="558"/>
      <c r="I33" s="558"/>
      <c r="J33" s="558"/>
      <c r="K33" s="558"/>
      <c r="L33" s="558"/>
    </row>
    <row r="34" spans="1:12">
      <c r="A34" s="558"/>
      <c r="B34" s="558"/>
      <c r="C34" s="558"/>
      <c r="D34" s="558"/>
      <c r="E34" s="558"/>
      <c r="F34" s="558"/>
      <c r="G34" s="558"/>
      <c r="H34" s="558"/>
      <c r="I34" s="558"/>
      <c r="J34" s="558"/>
      <c r="K34" s="558"/>
      <c r="L34" s="558"/>
    </row>
    <row r="35" spans="1:12">
      <c r="A35" s="558"/>
      <c r="B35" s="558"/>
      <c r="C35" s="558"/>
      <c r="D35" s="558"/>
      <c r="E35" s="558"/>
      <c r="F35" s="558"/>
      <c r="G35" s="558"/>
      <c r="H35" s="558"/>
      <c r="I35" s="558"/>
      <c r="J35" s="558"/>
      <c r="K35" s="558"/>
      <c r="L35" s="558"/>
    </row>
    <row r="37" spans="1:12" s="388" customFormat="1"/>
    <row r="38" spans="1:12" s="388" customFormat="1"/>
    <row r="39" spans="1:12" s="388" customFormat="1"/>
    <row r="40" spans="1:12">
      <c r="F40" t="s">
        <v>38</v>
      </c>
    </row>
  </sheetData>
  <protectedRanges>
    <protectedRange password="CA4D" sqref="E5 A1:D13 E6:L10 E1:L3 L11:L13 E13:J13" name="Range1"/>
  </protectedRanges>
  <mergeCells count="13">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 right="0.7" top="0.75" bottom="0.75" header="0.3" footer="0.3"/>
  <pageSetup scale="7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7"/>
  <sheetViews>
    <sheetView view="pageBreakPreview" zoomScaleSheetLayoutView="100" workbookViewId="0">
      <selection activeCell="J23" sqref="J23"/>
    </sheetView>
  </sheetViews>
  <sheetFormatPr defaultRowHeight="15"/>
  <cols>
    <col min="3" max="3" width="9.85546875" customWidth="1"/>
    <col min="4" max="4" width="44.7109375" customWidth="1"/>
    <col min="10" max="10" width="26" customWidth="1"/>
    <col min="11" max="11" width="14.7109375" customWidth="1"/>
  </cols>
  <sheetData>
    <row r="1" spans="1:11">
      <c r="A1" s="927" t="s">
        <v>92</v>
      </c>
      <c r="B1" s="927"/>
      <c r="C1" s="927"/>
      <c r="D1" s="927"/>
      <c r="E1" s="927"/>
      <c r="F1" s="927"/>
      <c r="G1" s="927"/>
      <c r="H1" s="927"/>
      <c r="I1" s="927"/>
      <c r="J1" s="927"/>
      <c r="K1" s="927"/>
    </row>
    <row r="2" spans="1:11">
      <c r="A2" s="927"/>
      <c r="B2" s="927"/>
      <c r="C2" s="927"/>
      <c r="D2" s="927"/>
      <c r="E2" s="927"/>
      <c r="F2" s="927"/>
      <c r="G2" s="927"/>
      <c r="H2" s="927"/>
      <c r="I2" s="927"/>
      <c r="J2" s="927"/>
      <c r="K2" s="927"/>
    </row>
    <row r="3" spans="1:11">
      <c r="A3" s="928" t="s">
        <v>433</v>
      </c>
      <c r="B3" s="928"/>
      <c r="C3" s="928"/>
      <c r="D3" s="928"/>
      <c r="E3" s="937"/>
      <c r="F3" s="937"/>
      <c r="G3" s="937"/>
      <c r="H3" s="937"/>
      <c r="I3" s="937"/>
      <c r="J3" s="937"/>
      <c r="K3" s="937"/>
    </row>
    <row r="4" spans="1:11" ht="15" customHeight="1">
      <c r="A4" s="35" t="s">
        <v>388</v>
      </c>
      <c r="B4" s="36"/>
      <c r="C4" s="36"/>
      <c r="D4" s="37" t="str">
        <f>'04-22Master'!F5</f>
        <v>Burgeon IT Services Pvt.Ltd.</v>
      </c>
      <c r="E4" s="71" t="s">
        <v>83</v>
      </c>
      <c r="F4" s="72"/>
      <c r="G4" s="72"/>
      <c r="H4" s="72"/>
      <c r="I4" s="72"/>
      <c r="J4" s="72"/>
      <c r="K4" s="73"/>
    </row>
    <row r="5" spans="1:11">
      <c r="A5" s="38"/>
      <c r="B5" s="39" t="str">
        <f>'04-22Master'!F6</f>
        <v>Siri Mansion LIGB 436 Dr.A S Rao Nagar,Hyderabad</v>
      </c>
      <c r="C5" s="39"/>
      <c r="D5" s="40"/>
      <c r="E5" s="53"/>
      <c r="F5" s="69"/>
      <c r="G5" s="69"/>
      <c r="H5" s="69"/>
      <c r="I5" s="69"/>
      <c r="J5" s="69"/>
      <c r="K5" s="70"/>
    </row>
    <row r="6" spans="1:11">
      <c r="A6" s="41"/>
      <c r="B6" s="42">
        <f>'04-22Master'!F7</f>
        <v>0</v>
      </c>
      <c r="C6" s="42"/>
      <c r="D6" s="43"/>
      <c r="E6" s="53"/>
      <c r="F6" s="72"/>
      <c r="G6" s="72"/>
      <c r="H6" s="72"/>
      <c r="I6" s="72"/>
      <c r="J6" s="72"/>
      <c r="K6" s="73"/>
    </row>
    <row r="7" spans="1:11">
      <c r="A7" s="44" t="s">
        <v>82</v>
      </c>
      <c r="B7" s="36"/>
      <c r="C7" s="36"/>
      <c r="D7" s="37" t="str">
        <f>'04-22Master'!F8</f>
        <v>IT SUPPORTIVE SERVICES</v>
      </c>
      <c r="E7" s="44" t="s">
        <v>68</v>
      </c>
      <c r="F7" s="36"/>
      <c r="G7" s="36"/>
      <c r="H7" s="36"/>
      <c r="I7" s="36"/>
      <c r="J7" s="36"/>
      <c r="K7" s="37"/>
    </row>
    <row r="8" spans="1:11">
      <c r="A8" s="38"/>
      <c r="B8" s="39"/>
      <c r="C8" s="39"/>
      <c r="D8" s="40"/>
      <c r="E8" s="45" t="str">
        <f>'04-22Master'!AJ10</f>
        <v xml:space="preserve">INFOSYS  LTD.IL Hyderabad SEZ Unit-3 </v>
      </c>
      <c r="F8" s="39"/>
      <c r="G8" s="39"/>
      <c r="H8" s="39"/>
      <c r="I8" s="39"/>
      <c r="J8" s="39"/>
      <c r="K8" s="40"/>
    </row>
    <row r="9" spans="1:11">
      <c r="A9" s="38"/>
      <c r="B9" s="39"/>
      <c r="C9" s="39"/>
      <c r="D9" s="40"/>
      <c r="E9" s="38" t="str">
        <f>'04-22Master'!AJ11</f>
        <v>Sy.No 42,Pocharam Village,Gatkesar Mandal</v>
      </c>
      <c r="F9" s="39"/>
      <c r="G9" s="39"/>
      <c r="H9" s="39"/>
      <c r="I9" s="39"/>
      <c r="J9" s="39"/>
      <c r="K9" s="40"/>
    </row>
    <row r="10" spans="1:11">
      <c r="A10" s="38"/>
      <c r="B10" s="39"/>
      <c r="C10" s="39"/>
      <c r="D10" s="40"/>
      <c r="E10" s="41"/>
      <c r="F10" s="42"/>
      <c r="G10" s="42"/>
      <c r="H10" s="42"/>
      <c r="I10" s="42"/>
      <c r="J10" s="42"/>
      <c r="K10" s="43"/>
    </row>
    <row r="11" spans="1:11">
      <c r="A11" s="926" t="s">
        <v>5</v>
      </c>
      <c r="B11" s="926" t="s">
        <v>69</v>
      </c>
      <c r="C11" s="926" t="s">
        <v>70</v>
      </c>
      <c r="D11" s="925" t="s">
        <v>71</v>
      </c>
      <c r="E11" s="811" t="s">
        <v>93</v>
      </c>
      <c r="F11" s="811" t="s">
        <v>94</v>
      </c>
      <c r="G11" s="811" t="s">
        <v>95</v>
      </c>
      <c r="H11" s="811" t="s">
        <v>96</v>
      </c>
      <c r="I11" s="811" t="s">
        <v>97</v>
      </c>
      <c r="J11" s="808" t="s">
        <v>98</v>
      </c>
      <c r="K11" s="810" t="s">
        <v>41</v>
      </c>
    </row>
    <row r="12" spans="1:11" ht="65.25" customHeight="1">
      <c r="A12" s="926"/>
      <c r="B12" s="926"/>
      <c r="C12" s="926"/>
      <c r="D12" s="925"/>
      <c r="E12" s="925"/>
      <c r="F12" s="925"/>
      <c r="G12" s="925"/>
      <c r="H12" s="925"/>
      <c r="I12" s="925"/>
      <c r="J12" s="926"/>
      <c r="K12" s="808"/>
    </row>
    <row r="13" spans="1:11">
      <c r="A13" s="51">
        <v>1</v>
      </c>
      <c r="B13" s="51">
        <v>2</v>
      </c>
      <c r="C13" s="51">
        <v>3</v>
      </c>
      <c r="D13" s="51">
        <v>4</v>
      </c>
      <c r="E13" s="51">
        <v>5</v>
      </c>
      <c r="F13" s="51">
        <v>6</v>
      </c>
      <c r="G13" s="51">
        <v>7</v>
      </c>
      <c r="H13" s="51">
        <v>8</v>
      </c>
      <c r="I13" s="51">
        <v>9</v>
      </c>
      <c r="J13" s="51">
        <v>10</v>
      </c>
      <c r="K13" s="51">
        <v>11</v>
      </c>
    </row>
    <row r="14" spans="1:11">
      <c r="A14" s="53"/>
      <c r="B14" s="53"/>
      <c r="C14" s="53"/>
      <c r="D14" s="53"/>
      <c r="E14" s="53"/>
      <c r="F14" s="53"/>
      <c r="G14" s="53"/>
      <c r="H14" s="53"/>
      <c r="I14" s="53"/>
      <c r="J14" s="53"/>
      <c r="K14" s="53"/>
    </row>
    <row r="15" spans="1:11">
      <c r="A15" s="53"/>
      <c r="B15" s="66"/>
      <c r="C15" s="66"/>
      <c r="D15" s="66"/>
      <c r="E15" s="66"/>
      <c r="F15" s="53"/>
      <c r="G15" s="53"/>
      <c r="H15" s="53"/>
      <c r="I15" s="53"/>
      <c r="J15" s="53"/>
      <c r="K15" s="53"/>
    </row>
    <row r="16" spans="1:11">
      <c r="A16" s="71"/>
      <c r="B16" s="939" t="s">
        <v>99</v>
      </c>
      <c r="C16" s="940"/>
      <c r="D16" s="940"/>
      <c r="E16" s="941"/>
      <c r="F16" s="444">
        <f>'04-22Master'!D10</f>
        <v>44652</v>
      </c>
      <c r="G16" s="53"/>
      <c r="H16" s="53"/>
      <c r="I16" s="53"/>
      <c r="J16" s="53"/>
      <c r="K16" s="53"/>
    </row>
    <row r="17" spans="1:11">
      <c r="A17" s="53"/>
      <c r="B17" s="68"/>
      <c r="C17" s="68"/>
      <c r="D17" s="68"/>
      <c r="E17" s="68"/>
      <c r="F17" s="426"/>
      <c r="G17" s="53"/>
      <c r="H17" s="53"/>
      <c r="I17" s="53"/>
      <c r="J17" s="53"/>
      <c r="K17" s="53"/>
    </row>
    <row r="18" spans="1:11">
      <c r="A18" s="74"/>
      <c r="B18" s="426"/>
      <c r="C18" s="426"/>
      <c r="D18" s="426"/>
      <c r="E18" s="426"/>
      <c r="F18" s="426"/>
      <c r="G18" s="53"/>
      <c r="H18" s="53"/>
      <c r="I18" s="53"/>
      <c r="J18" s="53"/>
      <c r="K18" s="53"/>
    </row>
    <row r="19" spans="1:11">
      <c r="A19" s="53"/>
      <c r="B19" s="426"/>
      <c r="C19" s="426"/>
      <c r="D19" s="426"/>
      <c r="E19" s="426"/>
      <c r="F19" s="426"/>
      <c r="G19" s="53"/>
      <c r="H19" s="53"/>
      <c r="I19" s="53"/>
      <c r="J19" s="53"/>
      <c r="K19" s="53"/>
    </row>
    <row r="20" spans="1:11">
      <c r="A20" s="53"/>
      <c r="B20" s="426"/>
      <c r="C20" s="426"/>
      <c r="D20" s="426"/>
      <c r="E20" s="426"/>
      <c r="F20" s="426"/>
      <c r="G20" s="53"/>
      <c r="H20" s="53"/>
      <c r="I20" s="53"/>
      <c r="J20" s="53"/>
      <c r="K20" s="53"/>
    </row>
    <row r="21" spans="1:11">
      <c r="A21" s="53"/>
      <c r="B21" s="426"/>
      <c r="C21" s="426"/>
      <c r="D21" s="426"/>
      <c r="E21" s="426"/>
      <c r="F21" s="426"/>
      <c r="G21" s="53"/>
      <c r="H21" s="53"/>
      <c r="I21" s="53"/>
      <c r="J21" s="53"/>
      <c r="K21" s="53"/>
    </row>
    <row r="22" spans="1:11">
      <c r="A22" s="53"/>
      <c r="B22" s="426"/>
      <c r="C22" s="426"/>
      <c r="D22" s="426"/>
      <c r="E22" s="426"/>
      <c r="F22" s="426"/>
      <c r="G22" s="53"/>
      <c r="H22" s="53"/>
      <c r="I22" s="53"/>
      <c r="J22" s="53"/>
      <c r="K22" s="53"/>
    </row>
    <row r="23" spans="1:11">
      <c r="A23" s="53"/>
      <c r="B23" s="939"/>
      <c r="C23" s="940"/>
      <c r="D23" s="940"/>
      <c r="E23" s="941"/>
      <c r="F23" s="466"/>
      <c r="G23" s="53"/>
      <c r="H23" s="53"/>
      <c r="I23" s="53"/>
      <c r="J23" s="53"/>
      <c r="K23" s="53"/>
    </row>
    <row r="24" spans="1:11">
      <c r="A24" s="53"/>
      <c r="B24" s="426"/>
      <c r="C24" s="426"/>
      <c r="D24" s="426"/>
      <c r="E24" s="426"/>
      <c r="F24" s="426"/>
      <c r="G24" s="53"/>
      <c r="H24" s="53"/>
      <c r="I24" s="53"/>
      <c r="J24" s="53"/>
      <c r="K24" s="53"/>
    </row>
    <row r="25" spans="1:11">
      <c r="A25" s="53"/>
      <c r="B25" s="426"/>
      <c r="C25" s="426"/>
      <c r="D25" s="426"/>
      <c r="E25" s="426"/>
      <c r="F25" s="426"/>
      <c r="G25" s="53"/>
      <c r="H25" s="53"/>
      <c r="I25" s="53"/>
      <c r="J25" s="53"/>
      <c r="K25" s="53"/>
    </row>
    <row r="26" spans="1:11">
      <c r="A26" s="53"/>
      <c r="B26" s="426"/>
      <c r="C26" s="426"/>
      <c r="D26" s="426"/>
      <c r="E26" s="426"/>
      <c r="F26" s="426"/>
      <c r="G26" s="53"/>
      <c r="H26" s="53"/>
      <c r="I26" s="53"/>
      <c r="J26" s="53"/>
      <c r="K26" s="53"/>
    </row>
    <row r="27" spans="1:11">
      <c r="A27" s="53"/>
      <c r="B27" s="426"/>
      <c r="C27" s="426"/>
      <c r="D27" s="426"/>
      <c r="E27" s="426"/>
      <c r="F27" s="426"/>
      <c r="G27" s="53"/>
      <c r="H27" s="53"/>
      <c r="I27" s="53"/>
      <c r="J27" s="53"/>
      <c r="K27" s="53"/>
    </row>
    <row r="28" spans="1:11" s="388" customFormat="1">
      <c r="A28" s="426"/>
      <c r="B28" s="938"/>
      <c r="C28" s="938"/>
      <c r="D28" s="938"/>
      <c r="E28" s="938"/>
      <c r="F28" s="466"/>
      <c r="G28" s="426"/>
      <c r="H28" s="426"/>
      <c r="I28" s="426"/>
      <c r="J28" s="426"/>
      <c r="K28" s="426"/>
    </row>
    <row r="29" spans="1:11" s="388" customFormat="1">
      <c r="A29" s="426"/>
      <c r="B29" s="426"/>
      <c r="C29" s="426"/>
      <c r="D29" s="426"/>
      <c r="E29" s="426"/>
      <c r="F29" s="426"/>
      <c r="G29" s="426"/>
      <c r="H29" s="426"/>
      <c r="I29" s="426"/>
      <c r="J29" s="426"/>
      <c r="K29" s="426"/>
    </row>
    <row r="30" spans="1:11" s="388" customFormat="1">
      <c r="A30" s="426"/>
      <c r="B30" s="938"/>
      <c r="C30" s="938"/>
      <c r="D30" s="938"/>
      <c r="E30" s="938"/>
      <c r="F30" s="466"/>
      <c r="G30" s="426"/>
      <c r="H30" s="426"/>
      <c r="I30" s="426"/>
      <c r="J30" s="426"/>
      <c r="K30" s="426"/>
    </row>
    <row r="31" spans="1:11" s="467" customFormat="1">
      <c r="A31" s="415"/>
      <c r="B31" s="560"/>
      <c r="C31" s="560"/>
      <c r="D31" s="560"/>
      <c r="E31" s="560"/>
      <c r="F31" s="561"/>
      <c r="G31" s="415"/>
      <c r="H31" s="415"/>
      <c r="I31" s="415"/>
      <c r="J31" s="415"/>
      <c r="K31" s="415"/>
    </row>
    <row r="32" spans="1:11" s="467" customFormat="1">
      <c r="A32" s="415"/>
      <c r="B32" s="560"/>
      <c r="C32" s="560"/>
      <c r="D32" s="560"/>
      <c r="E32" s="560"/>
      <c r="F32" s="561"/>
      <c r="G32" s="415"/>
      <c r="H32" s="415"/>
      <c r="I32" s="415"/>
      <c r="J32" s="415"/>
      <c r="K32" s="415"/>
    </row>
    <row r="33" spans="1:11" s="467" customFormat="1">
      <c r="A33" s="415"/>
      <c r="B33" s="560"/>
      <c r="C33" s="560"/>
      <c r="D33" s="560"/>
      <c r="E33" s="560"/>
      <c r="F33" s="561"/>
      <c r="G33" s="415"/>
      <c r="H33" s="415"/>
      <c r="I33" s="415"/>
      <c r="J33" s="415"/>
      <c r="K33" s="415"/>
    </row>
    <row r="34" spans="1:11" s="467" customFormat="1">
      <c r="A34" s="415"/>
      <c r="B34" s="560"/>
      <c r="C34" s="560"/>
      <c r="D34" s="560"/>
      <c r="E34" s="560"/>
      <c r="F34" s="561"/>
      <c r="G34" s="415"/>
      <c r="H34" s="415"/>
      <c r="I34" s="415"/>
      <c r="J34" s="415"/>
      <c r="K34" s="415"/>
    </row>
    <row r="35" spans="1:11" s="467" customFormat="1">
      <c r="A35" s="415"/>
      <c r="B35" s="560"/>
      <c r="C35" s="560"/>
      <c r="D35" s="560"/>
      <c r="E35" s="560"/>
      <c r="F35" s="561"/>
      <c r="G35" s="415"/>
      <c r="H35" s="415"/>
      <c r="I35" s="415"/>
      <c r="J35" s="415"/>
      <c r="K35" s="415"/>
    </row>
    <row r="36" spans="1:11" s="388" customFormat="1">
      <c r="A36" s="415"/>
      <c r="B36" s="415"/>
      <c r="C36" s="415"/>
      <c r="D36" s="415"/>
      <c r="E36" s="415"/>
      <c r="F36" s="415"/>
      <c r="G36" s="415"/>
      <c r="H36" s="415"/>
      <c r="I36" s="415"/>
      <c r="J36" s="415"/>
      <c r="K36" s="415"/>
    </row>
    <row r="37" spans="1:11">
      <c r="G37" t="s">
        <v>38</v>
      </c>
    </row>
  </sheetData>
  <protectedRanges>
    <protectedRange password="CA4D" sqref="A1:K3 A11:K13" name="Range1"/>
    <protectedRange password="CA4D" sqref="E5 A4:D10 E6:K10" name="Range1_5"/>
  </protectedRanges>
  <mergeCells count="17">
    <mergeCell ref="B28:E28"/>
    <mergeCell ref="B23:E23"/>
    <mergeCell ref="B30:E30"/>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8"/>
  <sheetViews>
    <sheetView zoomScaleSheetLayoutView="100" workbookViewId="0">
      <selection activeCell="A3" sqref="A3:L3"/>
    </sheetView>
  </sheetViews>
  <sheetFormatPr defaultRowHeight="15"/>
  <cols>
    <col min="5" max="5" width="34.42578125" customWidth="1"/>
    <col min="11" max="11" width="14.140625" customWidth="1"/>
    <col min="12" max="12" width="10.140625" customWidth="1"/>
  </cols>
  <sheetData>
    <row r="1" spans="1:12">
      <c r="A1" s="927" t="s">
        <v>100</v>
      </c>
      <c r="B1" s="927"/>
      <c r="C1" s="927"/>
      <c r="D1" s="927"/>
      <c r="E1" s="927"/>
      <c r="F1" s="927"/>
      <c r="G1" s="927"/>
      <c r="H1" s="927"/>
      <c r="I1" s="927"/>
      <c r="J1" s="927"/>
      <c r="K1" s="927"/>
      <c r="L1" s="927"/>
    </row>
    <row r="2" spans="1:12">
      <c r="A2" s="927"/>
      <c r="B2" s="927"/>
      <c r="C2" s="927"/>
      <c r="D2" s="927"/>
      <c r="E2" s="927"/>
      <c r="F2" s="927"/>
      <c r="G2" s="927"/>
      <c r="H2" s="927"/>
      <c r="I2" s="927"/>
      <c r="J2" s="927"/>
      <c r="K2" s="927"/>
      <c r="L2" s="927"/>
    </row>
    <row r="3" spans="1:12">
      <c r="A3" s="928" t="s">
        <v>434</v>
      </c>
      <c r="B3" s="928"/>
      <c r="C3" s="928"/>
      <c r="D3" s="928"/>
      <c r="E3" s="928"/>
      <c r="F3" s="928"/>
      <c r="G3" s="928"/>
      <c r="H3" s="928"/>
      <c r="I3" s="928"/>
      <c r="J3" s="928"/>
      <c r="K3" s="928"/>
      <c r="L3" s="928"/>
    </row>
    <row r="4" spans="1:12" ht="15" customHeight="1">
      <c r="A4" s="44" t="s">
        <v>399</v>
      </c>
      <c r="B4" s="36"/>
      <c r="C4" s="36"/>
      <c r="D4" s="36" t="str">
        <f>'04-22Master'!F5</f>
        <v>Burgeon IT Services Pvt.Ltd.</v>
      </c>
      <c r="E4" s="37"/>
      <c r="F4" s="44" t="s">
        <v>108</v>
      </c>
      <c r="G4" s="36"/>
      <c r="H4" s="36"/>
      <c r="I4" s="36"/>
      <c r="J4" s="36"/>
      <c r="K4" s="36"/>
      <c r="L4" s="37"/>
    </row>
    <row r="5" spans="1:12">
      <c r="A5" s="38"/>
      <c r="B5" s="39" t="str">
        <f>'04-22Master'!F6</f>
        <v>Siri Mansion LIGB 436 Dr.A S Rao Nagar,Hyderabad</v>
      </c>
      <c r="C5" s="39"/>
      <c r="D5" s="39"/>
      <c r="E5" s="40"/>
      <c r="F5" s="38"/>
      <c r="G5" s="39"/>
      <c r="H5" s="39"/>
      <c r="I5" s="39"/>
      <c r="J5" s="39"/>
      <c r="K5" s="39"/>
      <c r="L5" s="40"/>
    </row>
    <row r="6" spans="1:12">
      <c r="A6" s="41"/>
      <c r="B6" s="42">
        <f>'04-22Master'!F7</f>
        <v>0</v>
      </c>
      <c r="C6" s="42"/>
      <c r="D6" s="42"/>
      <c r="E6" s="43"/>
      <c r="F6" s="41"/>
      <c r="G6" s="42"/>
      <c r="H6" s="42"/>
      <c r="I6" s="42"/>
      <c r="J6" s="42"/>
      <c r="K6" s="42"/>
      <c r="L6" s="43"/>
    </row>
    <row r="7" spans="1:12">
      <c r="A7" s="44" t="s">
        <v>82</v>
      </c>
      <c r="B7" s="36"/>
      <c r="C7" s="36"/>
      <c r="D7" s="36" t="str">
        <f>'04-22Master'!F8</f>
        <v>IT SUPPORTIVE SERVICES</v>
      </c>
      <c r="E7" s="37"/>
      <c r="F7" s="44" t="s">
        <v>68</v>
      </c>
      <c r="G7" s="36"/>
      <c r="H7" s="36"/>
      <c r="I7" s="36"/>
      <c r="J7" s="36"/>
      <c r="K7" s="36"/>
      <c r="L7" s="37"/>
    </row>
    <row r="8" spans="1:12">
      <c r="A8" s="38"/>
      <c r="B8" s="39"/>
      <c r="C8" s="39"/>
      <c r="D8" s="39"/>
      <c r="E8" s="40"/>
      <c r="F8" s="45" t="str">
        <f>'04-22Master'!AJ10</f>
        <v xml:space="preserve">INFOSYS  LTD.IL Hyderabad SEZ Unit-3 </v>
      </c>
      <c r="G8" s="39"/>
      <c r="H8" s="39"/>
      <c r="I8" s="39"/>
      <c r="J8" s="39"/>
      <c r="K8" s="39"/>
      <c r="L8" s="40"/>
    </row>
    <row r="9" spans="1:12">
      <c r="A9" s="38"/>
      <c r="B9" s="39"/>
      <c r="C9" s="39"/>
      <c r="D9" s="39"/>
      <c r="E9" s="40"/>
      <c r="F9" s="38" t="str">
        <f>'04-22Master'!AJ11</f>
        <v>Sy.No 42,Pocharam Village,Gatkesar Mandal</v>
      </c>
      <c r="G9" s="39"/>
      <c r="H9" s="39"/>
      <c r="I9" s="39"/>
      <c r="J9" s="39"/>
      <c r="K9" s="39"/>
      <c r="L9" s="40"/>
    </row>
    <row r="10" spans="1:12">
      <c r="A10" s="41"/>
      <c r="B10" s="42"/>
      <c r="C10" s="42"/>
      <c r="D10" s="42"/>
      <c r="E10" s="43"/>
      <c r="F10" s="41"/>
      <c r="G10" s="42"/>
      <c r="H10" s="42"/>
      <c r="I10" s="42"/>
      <c r="J10" s="42"/>
      <c r="K10" s="42"/>
      <c r="L10" s="43"/>
    </row>
    <row r="11" spans="1:12">
      <c r="A11" s="926" t="s">
        <v>5</v>
      </c>
      <c r="B11" s="926" t="s">
        <v>69</v>
      </c>
      <c r="C11" s="945" t="s">
        <v>70</v>
      </c>
      <c r="D11" s="46" t="s">
        <v>40</v>
      </c>
      <c r="E11" s="946" t="s">
        <v>71</v>
      </c>
      <c r="F11" s="925" t="s">
        <v>101</v>
      </c>
      <c r="G11" s="925" t="s">
        <v>102</v>
      </c>
      <c r="H11" s="925" t="s">
        <v>103</v>
      </c>
      <c r="I11" s="925" t="s">
        <v>104</v>
      </c>
      <c r="J11" s="925" t="s">
        <v>105</v>
      </c>
      <c r="K11" s="926" t="s">
        <v>106</v>
      </c>
      <c r="L11" s="947" t="s">
        <v>41</v>
      </c>
    </row>
    <row r="12" spans="1:12" ht="42.6" customHeight="1">
      <c r="A12" s="926"/>
      <c r="B12" s="926"/>
      <c r="C12" s="945"/>
      <c r="D12" s="75"/>
      <c r="E12" s="946"/>
      <c r="F12" s="925"/>
      <c r="G12" s="925"/>
      <c r="H12" s="925"/>
      <c r="I12" s="925"/>
      <c r="J12" s="925"/>
      <c r="K12" s="926"/>
      <c r="L12" s="808"/>
    </row>
    <row r="13" spans="1:12">
      <c r="A13" s="51">
        <v>1</v>
      </c>
      <c r="B13" s="51">
        <v>2</v>
      </c>
      <c r="C13" s="51">
        <v>3</v>
      </c>
      <c r="D13" s="58">
        <v>4</v>
      </c>
      <c r="E13" s="51">
        <v>5</v>
      </c>
      <c r="F13" s="51">
        <v>6</v>
      </c>
      <c r="G13" s="51">
        <v>7</v>
      </c>
      <c r="H13" s="51">
        <v>8</v>
      </c>
      <c r="I13" s="51">
        <v>9</v>
      </c>
      <c r="J13" s="51">
        <v>10</v>
      </c>
      <c r="K13" s="51">
        <v>11</v>
      </c>
      <c r="L13" s="51">
        <v>12</v>
      </c>
    </row>
    <row r="14" spans="1:12">
      <c r="A14" s="53"/>
      <c r="B14" s="53"/>
      <c r="C14" s="53"/>
      <c r="D14" s="53"/>
      <c r="E14" s="53"/>
      <c r="F14" s="53"/>
      <c r="G14" s="53"/>
      <c r="H14" s="53"/>
      <c r="I14" s="53"/>
      <c r="J14" s="53"/>
      <c r="K14" s="53"/>
      <c r="L14" s="53"/>
    </row>
    <row r="15" spans="1:12">
      <c r="A15" s="53"/>
      <c r="B15" s="66"/>
      <c r="C15" s="66"/>
      <c r="D15" s="66"/>
      <c r="E15" s="66"/>
      <c r="F15" s="53"/>
      <c r="G15" s="53"/>
      <c r="H15" s="53"/>
      <c r="I15" s="53"/>
      <c r="J15" s="53"/>
      <c r="K15" s="53"/>
      <c r="L15" s="53"/>
    </row>
    <row r="16" spans="1:12">
      <c r="A16" s="71"/>
      <c r="B16" s="942" t="s">
        <v>107</v>
      </c>
      <c r="C16" s="943"/>
      <c r="D16" s="943"/>
      <c r="E16" s="944"/>
      <c r="F16" s="444">
        <f>'04-22Master'!D10</f>
        <v>44652</v>
      </c>
      <c r="G16" s="53"/>
      <c r="H16" s="53"/>
      <c r="I16" s="53"/>
      <c r="J16" s="53"/>
      <c r="K16" s="53"/>
      <c r="L16" s="53"/>
    </row>
    <row r="17" spans="1:12">
      <c r="A17" s="53"/>
      <c r="B17" s="68"/>
      <c r="C17" s="68"/>
      <c r="D17" s="68"/>
      <c r="E17" s="68"/>
      <c r="F17" s="426"/>
      <c r="G17" s="53"/>
      <c r="H17" s="53"/>
      <c r="I17" s="53"/>
      <c r="J17" s="53"/>
      <c r="K17" s="53"/>
      <c r="L17" s="53"/>
    </row>
    <row r="18" spans="1:12">
      <c r="A18" s="53"/>
      <c r="B18" s="426"/>
      <c r="C18" s="426"/>
      <c r="D18" s="426"/>
      <c r="E18" s="426"/>
      <c r="F18" s="426"/>
      <c r="G18" s="53"/>
      <c r="H18" s="53"/>
      <c r="I18" s="53"/>
      <c r="J18" s="53"/>
      <c r="K18" s="53"/>
      <c r="L18" s="53"/>
    </row>
    <row r="19" spans="1:12">
      <c r="A19" s="53"/>
      <c r="B19" s="426"/>
      <c r="C19" s="426"/>
      <c r="D19" s="426"/>
      <c r="E19" s="426"/>
      <c r="F19" s="426"/>
      <c r="G19" s="53"/>
      <c r="H19" s="53"/>
      <c r="I19" s="53"/>
      <c r="J19" s="53"/>
      <c r="K19" s="53"/>
      <c r="L19" s="53"/>
    </row>
    <row r="20" spans="1:12">
      <c r="A20" s="53"/>
      <c r="B20" s="426"/>
      <c r="C20" s="426"/>
      <c r="D20" s="426"/>
      <c r="E20" s="426"/>
      <c r="F20" s="426"/>
      <c r="G20" s="53"/>
      <c r="H20" s="53"/>
      <c r="I20" s="53"/>
      <c r="J20" s="53"/>
      <c r="K20" s="53"/>
      <c r="L20" s="53"/>
    </row>
    <row r="21" spans="1:12">
      <c r="A21" s="53"/>
      <c r="B21" s="426"/>
      <c r="C21" s="426"/>
      <c r="D21" s="426"/>
      <c r="E21" s="426"/>
      <c r="F21" s="426"/>
      <c r="G21" s="53"/>
      <c r="H21" s="53"/>
      <c r="I21" s="53"/>
      <c r="J21" s="53"/>
      <c r="K21" s="53"/>
      <c r="L21" s="53"/>
    </row>
    <row r="22" spans="1:12">
      <c r="A22" s="53"/>
      <c r="B22" s="942"/>
      <c r="C22" s="943"/>
      <c r="D22" s="943"/>
      <c r="E22" s="944"/>
      <c r="F22" s="466"/>
      <c r="G22" s="53"/>
      <c r="H22" s="53"/>
      <c r="I22" s="53"/>
      <c r="J22" s="53"/>
      <c r="K22" s="53"/>
      <c r="L22" s="53"/>
    </row>
    <row r="23" spans="1:12">
      <c r="A23" s="53"/>
      <c r="B23" s="426"/>
      <c r="C23" s="426"/>
      <c r="D23" s="426"/>
      <c r="E23" s="426"/>
      <c r="F23" s="426"/>
      <c r="G23" s="53"/>
      <c r="H23" s="53"/>
      <c r="I23" s="53"/>
      <c r="J23" s="53"/>
      <c r="K23" s="53"/>
      <c r="L23" s="53"/>
    </row>
    <row r="24" spans="1:12">
      <c r="A24" s="53"/>
      <c r="B24" s="426"/>
      <c r="C24" s="426"/>
      <c r="D24" s="426"/>
      <c r="E24" s="426"/>
      <c r="F24" s="426"/>
      <c r="G24" s="53"/>
      <c r="H24" s="53"/>
      <c r="I24" s="53"/>
      <c r="J24" s="53"/>
      <c r="K24" s="53"/>
      <c r="L24" s="53"/>
    </row>
    <row r="25" spans="1:12">
      <c r="A25" s="53"/>
      <c r="B25" s="426"/>
      <c r="C25" s="426"/>
      <c r="D25" s="426"/>
      <c r="E25" s="426"/>
      <c r="F25" s="426"/>
      <c r="G25" s="53"/>
      <c r="H25" s="53"/>
      <c r="I25" s="53"/>
      <c r="J25" s="53"/>
      <c r="K25" s="53"/>
      <c r="L25" s="53"/>
    </row>
    <row r="26" spans="1:12">
      <c r="A26" s="53"/>
      <c r="B26" s="426"/>
      <c r="C26" s="426"/>
      <c r="D26" s="426"/>
      <c r="E26" s="426"/>
      <c r="F26" s="426"/>
      <c r="G26" s="53"/>
      <c r="H26" s="53"/>
      <c r="I26" s="53"/>
      <c r="J26" s="53"/>
      <c r="K26" s="53"/>
      <c r="L26" s="53"/>
    </row>
    <row r="27" spans="1:12">
      <c r="A27" s="53"/>
      <c r="B27" s="426"/>
      <c r="C27" s="426"/>
      <c r="D27" s="426"/>
      <c r="E27" s="426"/>
      <c r="F27" s="426"/>
      <c r="G27" s="53"/>
      <c r="H27" s="53"/>
      <c r="I27" s="53"/>
      <c r="J27" s="53"/>
      <c r="K27" s="53"/>
      <c r="L27" s="53"/>
    </row>
    <row r="28" spans="1:12">
      <c r="A28" s="53"/>
      <c r="B28" s="426"/>
      <c r="C28" s="426"/>
      <c r="D28" s="426"/>
      <c r="E28" s="426"/>
      <c r="F28" s="426"/>
      <c r="G28" s="53"/>
      <c r="H28" s="53"/>
      <c r="I28" s="53"/>
      <c r="J28" s="53"/>
      <c r="K28" s="53"/>
      <c r="L28" s="53"/>
    </row>
    <row r="29" spans="1:12">
      <c r="A29" s="53"/>
      <c r="B29" s="942"/>
      <c r="C29" s="943"/>
      <c r="D29" s="943"/>
      <c r="E29" s="944"/>
      <c r="F29" s="466"/>
      <c r="G29" s="53"/>
      <c r="H29" s="53"/>
      <c r="I29" s="53"/>
      <c r="J29" s="53"/>
      <c r="K29" s="53"/>
      <c r="L29" s="53"/>
    </row>
    <row r="30" spans="1:12">
      <c r="A30" s="53"/>
      <c r="B30" s="53"/>
      <c r="C30" s="53"/>
      <c r="D30" s="53"/>
      <c r="E30" s="53"/>
      <c r="F30" s="53"/>
      <c r="G30" s="53"/>
      <c r="H30" s="53"/>
      <c r="I30" s="53"/>
      <c r="J30" s="53"/>
      <c r="K30" s="53"/>
      <c r="L30" s="53"/>
    </row>
    <row r="31" spans="1:12">
      <c r="A31" s="53"/>
      <c r="B31" s="53"/>
      <c r="C31" s="53"/>
      <c r="D31" s="53"/>
      <c r="E31" s="53"/>
      <c r="F31" s="53"/>
      <c r="G31" s="53"/>
      <c r="H31" s="53"/>
      <c r="I31" s="53"/>
      <c r="J31" s="53"/>
      <c r="K31" s="53"/>
      <c r="L31" s="53"/>
    </row>
    <row r="32" spans="1:12">
      <c r="A32" s="53"/>
      <c r="B32" s="53"/>
      <c r="C32" s="53"/>
      <c r="D32" s="53"/>
      <c r="E32" s="53"/>
      <c r="F32" s="53"/>
      <c r="G32" s="53"/>
      <c r="H32" s="53"/>
      <c r="I32" s="53"/>
      <c r="J32" s="53"/>
      <c r="K32" s="53"/>
      <c r="L32" s="53"/>
    </row>
    <row r="33" spans="1:12">
      <c r="A33" s="38"/>
      <c r="B33" s="39"/>
      <c r="C33" s="39"/>
      <c r="D33" s="39"/>
      <c r="E33" s="39"/>
      <c r="F33" s="39"/>
      <c r="G33" s="39"/>
      <c r="H33" s="39"/>
      <c r="I33" s="39"/>
      <c r="J33" s="39"/>
      <c r="K33" s="39"/>
      <c r="L33" s="40"/>
    </row>
    <row r="34" spans="1:12">
      <c r="A34" s="38"/>
      <c r="B34" s="39"/>
      <c r="C34" s="39"/>
      <c r="D34" s="39"/>
      <c r="E34" s="39"/>
      <c r="F34" s="39"/>
      <c r="G34" s="39"/>
      <c r="H34" s="39"/>
      <c r="I34" s="39"/>
      <c r="J34" s="39"/>
      <c r="K34" s="39"/>
      <c r="L34" s="40"/>
    </row>
    <row r="35" spans="1:12">
      <c r="A35" s="76"/>
      <c r="L35" s="67"/>
    </row>
    <row r="36" spans="1:12">
      <c r="A36" s="76"/>
      <c r="L36" s="67"/>
    </row>
    <row r="37" spans="1:12">
      <c r="A37" s="76"/>
      <c r="L37" s="67"/>
    </row>
    <row r="38" spans="1:12">
      <c r="A38" s="77"/>
      <c r="B38" s="23"/>
      <c r="C38" s="23"/>
      <c r="D38" s="23"/>
      <c r="E38" s="23"/>
      <c r="F38" s="23"/>
      <c r="G38" s="23"/>
      <c r="H38" s="23"/>
      <c r="I38" s="467" t="s">
        <v>38</v>
      </c>
      <c r="J38" s="467"/>
      <c r="K38" s="467"/>
      <c r="L38" s="78"/>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6">
    <mergeCell ref="B22:E22"/>
    <mergeCell ref="B29:E29"/>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4488188976377963" right="0.70866141732283472" top="0.74803149606299213" bottom="0.74803149606299213" header="0.31496062992125984" footer="0.31496062992125984"/>
  <pageSetup scale="80"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7"/>
  <sheetViews>
    <sheetView topLeftCell="A7" zoomScaleSheetLayoutView="100" workbookViewId="0">
      <selection activeCell="A14" sqref="A14"/>
    </sheetView>
  </sheetViews>
  <sheetFormatPr defaultRowHeight="15"/>
  <cols>
    <col min="1" max="1" width="7" customWidth="1"/>
    <col min="2" max="2" width="7.140625" customWidth="1"/>
    <col min="3" max="3" width="8.85546875" customWidth="1"/>
    <col min="4" max="4" width="13.85546875" customWidth="1"/>
    <col min="5" max="5" width="21" customWidth="1"/>
    <col min="7" max="7" width="7.85546875" customWidth="1"/>
    <col min="8" max="8" width="7.140625" customWidth="1"/>
    <col min="9" max="9" width="7.5703125" customWidth="1"/>
    <col min="10" max="10" width="5.85546875" customWidth="1"/>
    <col min="11" max="11" width="6.42578125" customWidth="1"/>
    <col min="12" max="13" width="7.85546875" customWidth="1"/>
    <col min="14" max="14" width="8.28515625" customWidth="1"/>
  </cols>
  <sheetData>
    <row r="1" spans="1:18" ht="14.45" customHeight="1">
      <c r="A1" s="957" t="s">
        <v>401</v>
      </c>
      <c r="B1" s="958"/>
      <c r="C1" s="958"/>
      <c r="D1" s="958"/>
      <c r="E1" s="958"/>
      <c r="F1" s="958"/>
      <c r="G1" s="958"/>
      <c r="H1" s="958"/>
      <c r="I1" s="958"/>
      <c r="J1" s="958"/>
      <c r="K1" s="958"/>
      <c r="L1" s="958"/>
      <c r="M1" s="958"/>
      <c r="N1" s="958"/>
      <c r="O1" s="958"/>
      <c r="P1" s="958"/>
      <c r="Q1" s="958"/>
      <c r="R1" s="959"/>
    </row>
    <row r="2" spans="1:18" ht="14.45" customHeight="1">
      <c r="A2" s="960"/>
      <c r="B2" s="961"/>
      <c r="C2" s="961"/>
      <c r="D2" s="961"/>
      <c r="E2" s="961"/>
      <c r="F2" s="961"/>
      <c r="G2" s="961"/>
      <c r="H2" s="961"/>
      <c r="I2" s="961"/>
      <c r="J2" s="961"/>
      <c r="K2" s="961"/>
      <c r="L2" s="961"/>
      <c r="M2" s="961"/>
      <c r="N2" s="961"/>
      <c r="O2" s="961"/>
      <c r="P2" s="961"/>
      <c r="Q2" s="961"/>
      <c r="R2" s="962"/>
    </row>
    <row r="3" spans="1:18">
      <c r="A3" s="963" t="s">
        <v>402</v>
      </c>
      <c r="B3" s="963"/>
      <c r="C3" s="963"/>
      <c r="D3" s="963"/>
      <c r="E3" s="963"/>
      <c r="F3" s="963"/>
      <c r="G3" s="963"/>
      <c r="H3" s="963"/>
      <c r="I3" s="963"/>
      <c r="J3" s="963"/>
      <c r="K3" s="963"/>
      <c r="L3" s="963"/>
      <c r="M3" s="963"/>
      <c r="N3" s="963"/>
      <c r="O3" s="963"/>
      <c r="P3" s="963"/>
      <c r="Q3" s="963"/>
      <c r="R3" s="963"/>
    </row>
    <row r="4" spans="1:18" ht="15" customHeight="1">
      <c r="A4" s="963" t="s">
        <v>403</v>
      </c>
      <c r="B4" s="963"/>
      <c r="C4" s="963"/>
      <c r="D4" s="963"/>
      <c r="E4" s="963"/>
      <c r="F4" s="963"/>
      <c r="G4" s="963"/>
      <c r="H4" s="963"/>
      <c r="I4" s="963"/>
      <c r="J4" s="963"/>
      <c r="K4" s="963"/>
      <c r="L4" s="963"/>
      <c r="M4" s="963"/>
      <c r="N4" s="963"/>
      <c r="O4" s="963"/>
      <c r="P4" s="963"/>
      <c r="Q4" s="963"/>
      <c r="R4" s="963"/>
    </row>
    <row r="5" spans="1:18">
      <c r="A5" s="389"/>
      <c r="B5" s="963" t="s">
        <v>404</v>
      </c>
      <c r="C5" s="963"/>
      <c r="D5" s="963"/>
      <c r="E5" s="963"/>
      <c r="F5" s="963"/>
      <c r="G5" s="963"/>
      <c r="H5" s="963"/>
      <c r="I5" s="963"/>
      <c r="J5" s="963"/>
      <c r="K5" s="963"/>
      <c r="L5" s="963"/>
      <c r="M5" s="963"/>
      <c r="N5" s="963"/>
      <c r="O5" s="963"/>
      <c r="P5" s="963"/>
      <c r="Q5" s="963"/>
      <c r="R5" s="963"/>
    </row>
    <row r="6" spans="1:18">
      <c r="A6" s="964"/>
      <c r="B6" s="964"/>
      <c r="C6" s="964"/>
      <c r="D6" s="965"/>
      <c r="E6" s="964"/>
      <c r="F6" s="390"/>
      <c r="G6" s="391"/>
      <c r="H6" s="391"/>
      <c r="I6" s="392"/>
      <c r="J6" s="392"/>
      <c r="K6" s="392"/>
      <c r="L6" s="392"/>
      <c r="M6" s="392"/>
      <c r="N6" s="392"/>
      <c r="O6" s="392"/>
      <c r="P6" s="391"/>
      <c r="Q6" s="391"/>
      <c r="R6" s="393"/>
    </row>
    <row r="7" spans="1:18">
      <c r="A7" s="954" t="s">
        <v>5</v>
      </c>
      <c r="B7" s="948" t="s">
        <v>405</v>
      </c>
      <c r="C7" s="948" t="s">
        <v>406</v>
      </c>
      <c r="D7" s="951" t="s">
        <v>407</v>
      </c>
      <c r="E7" s="948" t="s">
        <v>40</v>
      </c>
      <c r="F7" s="948" t="s">
        <v>109</v>
      </c>
      <c r="G7" s="394"/>
      <c r="H7" s="951" t="s">
        <v>111</v>
      </c>
      <c r="I7" s="966" t="s">
        <v>408</v>
      </c>
      <c r="J7" s="967"/>
      <c r="K7" s="967"/>
      <c r="L7" s="967"/>
      <c r="M7" s="395"/>
      <c r="N7" s="395"/>
      <c r="O7" s="395"/>
      <c r="P7" s="970" t="s">
        <v>409</v>
      </c>
      <c r="Q7" s="971" t="s">
        <v>112</v>
      </c>
      <c r="R7" s="951" t="s">
        <v>410</v>
      </c>
    </row>
    <row r="8" spans="1:18" ht="171.75">
      <c r="A8" s="955"/>
      <c r="B8" s="949"/>
      <c r="C8" s="949"/>
      <c r="D8" s="952"/>
      <c r="E8" s="949"/>
      <c r="F8" s="949"/>
      <c r="G8" s="949" t="s">
        <v>110</v>
      </c>
      <c r="H8" s="952"/>
      <c r="I8" s="968"/>
      <c r="J8" s="969"/>
      <c r="K8" s="969"/>
      <c r="L8" s="969"/>
      <c r="M8" s="396"/>
      <c r="N8" s="397" t="s">
        <v>411</v>
      </c>
      <c r="O8" s="397" t="s">
        <v>412</v>
      </c>
      <c r="P8" s="970"/>
      <c r="Q8" s="971"/>
      <c r="R8" s="953"/>
    </row>
    <row r="9" spans="1:18" ht="34.5">
      <c r="A9" s="956"/>
      <c r="B9" s="950"/>
      <c r="C9" s="950"/>
      <c r="D9" s="953"/>
      <c r="E9" s="950"/>
      <c r="F9" s="950"/>
      <c r="G9" s="950"/>
      <c r="H9" s="953"/>
      <c r="I9" s="398" t="s">
        <v>413</v>
      </c>
      <c r="J9" s="399" t="s">
        <v>414</v>
      </c>
      <c r="K9" s="400" t="s">
        <v>415</v>
      </c>
      <c r="L9" s="400" t="s">
        <v>416</v>
      </c>
      <c r="M9" s="400" t="s">
        <v>211</v>
      </c>
      <c r="N9" s="400"/>
      <c r="O9" s="400"/>
      <c r="P9" s="401"/>
      <c r="Q9" s="401"/>
      <c r="R9" s="401"/>
    </row>
    <row r="10" spans="1:18" ht="12.6" customHeight="1">
      <c r="A10" s="402">
        <v>1</v>
      </c>
      <c r="B10" s="402">
        <v>2</v>
      </c>
      <c r="C10" s="402">
        <v>3</v>
      </c>
      <c r="D10" s="402">
        <v>4</v>
      </c>
      <c r="E10" s="402">
        <v>5</v>
      </c>
      <c r="F10" s="402">
        <v>6</v>
      </c>
      <c r="G10" s="403">
        <v>7</v>
      </c>
      <c r="H10" s="403">
        <v>8</v>
      </c>
      <c r="I10" s="402">
        <v>9</v>
      </c>
      <c r="J10" s="402">
        <v>10</v>
      </c>
      <c r="K10" s="402">
        <v>11</v>
      </c>
      <c r="L10" s="402">
        <v>12</v>
      </c>
      <c r="M10" s="402">
        <v>13</v>
      </c>
      <c r="N10" s="402">
        <v>14</v>
      </c>
      <c r="O10" s="402">
        <v>15</v>
      </c>
      <c r="P10" s="402">
        <v>16</v>
      </c>
      <c r="Q10" s="402">
        <v>17</v>
      </c>
      <c r="R10" s="402">
        <v>18</v>
      </c>
    </row>
    <row r="11" spans="1:18" ht="15" customHeight="1" thickBot="1">
      <c r="A11" s="404"/>
      <c r="B11" s="405"/>
      <c r="C11" s="405"/>
      <c r="D11" s="405"/>
      <c r="E11" s="405"/>
      <c r="F11" s="404"/>
      <c r="G11" s="404"/>
      <c r="H11" s="404"/>
      <c r="I11" s="404"/>
      <c r="J11" s="404"/>
      <c r="K11" s="404"/>
      <c r="L11" s="404"/>
      <c r="M11" s="404"/>
      <c r="N11" s="404"/>
      <c r="O11" s="404"/>
      <c r="P11" s="404"/>
      <c r="Q11" s="404"/>
      <c r="R11" s="404"/>
    </row>
    <row r="12" spans="1:18" ht="20.100000000000001" customHeight="1" thickBot="1">
      <c r="A12" s="406"/>
      <c r="B12" s="407" t="s">
        <v>113</v>
      </c>
      <c r="C12" s="408"/>
      <c r="D12" s="408"/>
      <c r="E12" s="409"/>
      <c r="F12" s="444">
        <f>'04-22Master'!D10</f>
        <v>44652</v>
      </c>
      <c r="G12" s="410"/>
      <c r="H12" s="404"/>
      <c r="I12" s="404"/>
      <c r="J12" s="404"/>
      <c r="K12" s="404"/>
      <c r="L12" s="404"/>
      <c r="M12" s="404"/>
      <c r="N12" s="404"/>
      <c r="O12" s="404"/>
      <c r="P12" s="404"/>
      <c r="Q12" s="404"/>
      <c r="R12" s="404"/>
    </row>
    <row r="13" spans="1:18">
      <c r="A13" s="404"/>
      <c r="B13" s="411"/>
      <c r="C13" s="411"/>
      <c r="D13" s="411"/>
      <c r="E13" s="411"/>
      <c r="F13" s="404"/>
      <c r="G13" s="404"/>
      <c r="H13" s="404"/>
      <c r="I13" s="404"/>
      <c r="J13" s="404"/>
      <c r="K13" s="404"/>
      <c r="L13" s="404"/>
      <c r="M13" s="404"/>
      <c r="N13" s="404"/>
      <c r="O13" s="404"/>
      <c r="P13" s="404"/>
      <c r="Q13" s="404"/>
      <c r="R13" s="404"/>
    </row>
    <row r="14" spans="1:18">
      <c r="A14" s="405"/>
      <c r="B14" s="405"/>
      <c r="C14" s="405"/>
      <c r="D14" s="404"/>
      <c r="E14" s="404"/>
      <c r="F14" s="404"/>
      <c r="G14" s="404"/>
      <c r="H14" s="404"/>
      <c r="I14" s="404"/>
      <c r="J14" s="404"/>
      <c r="K14" s="404"/>
      <c r="L14" s="404"/>
      <c r="M14" s="404"/>
      <c r="N14" s="404"/>
      <c r="O14" s="404"/>
      <c r="P14" s="404"/>
      <c r="Q14" s="404"/>
      <c r="R14" s="404"/>
    </row>
    <row r="15" spans="1:18" ht="15.75" thickBot="1">
      <c r="A15" s="404"/>
      <c r="B15" s="404"/>
      <c r="C15" s="404"/>
      <c r="D15" s="404"/>
      <c r="E15" s="404"/>
      <c r="F15" s="410"/>
      <c r="G15" s="404"/>
      <c r="H15" s="404"/>
      <c r="I15" s="404"/>
      <c r="J15" s="404"/>
      <c r="K15" s="404"/>
      <c r="L15" s="404"/>
      <c r="M15" s="404"/>
      <c r="N15" s="404"/>
      <c r="O15" s="404"/>
      <c r="P15" s="404"/>
      <c r="Q15" s="404"/>
      <c r="R15" s="404"/>
    </row>
    <row r="16" spans="1:18" ht="15.75" thickBot="1">
      <c r="A16" s="404"/>
      <c r="B16" s="407"/>
      <c r="C16" s="404"/>
      <c r="D16" s="404"/>
      <c r="E16" s="404"/>
      <c r="F16" s="444"/>
      <c r="G16" s="404"/>
      <c r="H16" s="404"/>
      <c r="I16" s="404"/>
      <c r="J16" s="404"/>
      <c r="K16" s="404"/>
      <c r="L16" s="404"/>
      <c r="M16" s="404"/>
      <c r="N16" s="404"/>
      <c r="O16" s="404"/>
      <c r="P16" s="404"/>
      <c r="Q16" s="404"/>
      <c r="R16" s="404"/>
    </row>
    <row r="17" spans="1:18">
      <c r="A17" s="404"/>
      <c r="B17" s="404"/>
      <c r="C17" s="404"/>
      <c r="D17" s="404"/>
      <c r="E17" s="404"/>
      <c r="F17" s="404"/>
      <c r="G17" s="404"/>
      <c r="H17" s="404"/>
      <c r="I17" s="404"/>
      <c r="J17" s="404"/>
      <c r="K17" s="404"/>
      <c r="L17" s="404"/>
      <c r="M17" s="404"/>
      <c r="N17" s="404"/>
      <c r="O17" s="404"/>
      <c r="P17" s="404"/>
      <c r="Q17" s="404"/>
      <c r="R17" s="404"/>
    </row>
    <row r="18" spans="1:18">
      <c r="A18" s="404"/>
      <c r="B18" s="404"/>
      <c r="C18" s="404"/>
      <c r="D18" s="404"/>
      <c r="E18" s="404"/>
      <c r="F18" s="410"/>
      <c r="G18" s="404"/>
      <c r="H18" s="404"/>
      <c r="I18" s="404"/>
      <c r="J18" s="404"/>
      <c r="K18" s="404"/>
      <c r="L18" s="404"/>
      <c r="M18" s="404"/>
      <c r="N18" s="404"/>
      <c r="O18" s="404"/>
      <c r="P18" s="404"/>
      <c r="Q18" s="404"/>
      <c r="R18" s="404"/>
    </row>
    <row r="19" spans="1:18" ht="15.75" thickBot="1">
      <c r="A19" s="411"/>
      <c r="B19" s="411"/>
      <c r="C19" s="411"/>
      <c r="D19" s="404"/>
      <c r="E19" s="404"/>
      <c r="F19" s="404"/>
      <c r="G19" s="404"/>
      <c r="H19" s="404"/>
      <c r="I19" s="404"/>
      <c r="J19" s="404"/>
      <c r="K19" s="404"/>
      <c r="L19" s="404"/>
      <c r="M19" s="404"/>
      <c r="N19" s="404"/>
      <c r="O19" s="404"/>
      <c r="P19" s="404"/>
      <c r="Q19" s="404"/>
      <c r="R19" s="404"/>
    </row>
    <row r="20" spans="1:18" ht="15.75" thickBot="1">
      <c r="A20" s="404"/>
      <c r="B20" s="407"/>
      <c r="C20" s="404"/>
      <c r="D20" s="404"/>
      <c r="E20" s="404"/>
      <c r="F20" s="444"/>
      <c r="G20" s="404"/>
      <c r="H20" s="404"/>
      <c r="I20" s="404"/>
      <c r="J20" s="404"/>
      <c r="K20" s="404"/>
      <c r="L20" s="404"/>
      <c r="M20" s="404"/>
      <c r="N20" s="404"/>
      <c r="O20" s="404"/>
      <c r="P20" s="404"/>
      <c r="Q20" s="404"/>
      <c r="R20" s="404"/>
    </row>
    <row r="21" spans="1:18">
      <c r="A21" s="404"/>
      <c r="B21" s="404"/>
      <c r="C21" s="404"/>
      <c r="D21" s="404"/>
      <c r="E21" s="404"/>
      <c r="F21" s="404"/>
      <c r="G21" s="404"/>
      <c r="H21" s="404"/>
      <c r="I21" s="404"/>
      <c r="J21" s="404"/>
      <c r="K21" s="404"/>
      <c r="L21" s="404"/>
      <c r="M21" s="404"/>
      <c r="N21" s="404"/>
      <c r="O21" s="404"/>
      <c r="P21" s="404"/>
      <c r="Q21" s="404"/>
      <c r="R21" s="404"/>
    </row>
    <row r="23" spans="1:18" s="467" customFormat="1"/>
    <row r="24" spans="1:18" s="467" customFormat="1"/>
    <row r="25" spans="1:18" s="467" customFormat="1"/>
    <row r="26" spans="1:18" s="388" customFormat="1"/>
    <row r="27" spans="1:18">
      <c r="J27" t="s">
        <v>38</v>
      </c>
    </row>
  </sheetData>
  <protectedRanges>
    <protectedRange password="CA4D" sqref="A1:O3 A4:E4 A6:E10 A5 E5 A13:O13 A11:A12 C11:O11 F15 F18 C12:E12 G12:O12" name="Range1"/>
    <protectedRange password="CA4D" sqref="F4:O6" name="Range1_2"/>
    <protectedRange password="CA4D" sqref="F7:O10" name="Range1_4"/>
    <protectedRange password="CA4D" sqref="B5:D5" name="Range1_1"/>
    <protectedRange password="CA4D" sqref="B11:B12 B18 B15:B16 B20" name="Range1_3"/>
  </protectedRanges>
  <mergeCells count="17">
    <mergeCell ref="I7:L8"/>
    <mergeCell ref="P7:P8"/>
    <mergeCell ref="Q7:Q8"/>
    <mergeCell ref="R7:R8"/>
    <mergeCell ref="G8:G9"/>
    <mergeCell ref="A1:R2"/>
    <mergeCell ref="A3:R3"/>
    <mergeCell ref="A4:R4"/>
    <mergeCell ref="B5:R5"/>
    <mergeCell ref="A6:E6"/>
    <mergeCell ref="F7:F9"/>
    <mergeCell ref="H7:H9"/>
    <mergeCell ref="A7:A9"/>
    <mergeCell ref="B7:B9"/>
    <mergeCell ref="C7:C9"/>
    <mergeCell ref="D7:D9"/>
    <mergeCell ref="E7:E9"/>
  </mergeCells>
  <pageMargins left="0.7" right="0.7" top="0.75" bottom="0.75" header="0.3" footer="0.3"/>
  <pageSetup scale="75" orientation="landscape"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22"/>
  <sheetViews>
    <sheetView workbookViewId="0">
      <selection activeCell="E14" sqref="E14"/>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3" t="str">
        <f>'04-22Master'!F5</f>
        <v>Burgeon IT Services Pvt.Ltd.</v>
      </c>
      <c r="E1" s="3" t="s">
        <v>190</v>
      </c>
    </row>
    <row r="2" spans="2:7">
      <c r="B2" s="154" t="s">
        <v>5</v>
      </c>
      <c r="C2" s="154" t="s">
        <v>150</v>
      </c>
      <c r="D2" s="154" t="s">
        <v>141</v>
      </c>
      <c r="E2" s="154" t="s">
        <v>188</v>
      </c>
      <c r="F2" s="154" t="s">
        <v>189</v>
      </c>
      <c r="G2" s="154" t="s">
        <v>41</v>
      </c>
    </row>
    <row r="3" spans="2:7">
      <c r="B3" s="16">
        <v>1</v>
      </c>
      <c r="C3" s="32" t="e">
        <f>'04-22Master'!#REF!</f>
        <v>#REF!</v>
      </c>
      <c r="D3" s="32" t="e">
        <f>'04-22Master'!#REF!</f>
        <v>#REF!</v>
      </c>
      <c r="E3" s="16"/>
      <c r="F3" s="16"/>
      <c r="G3" s="16"/>
    </row>
    <row r="4" spans="2:7">
      <c r="B4" s="16">
        <v>2</v>
      </c>
      <c r="C4" s="32" t="e">
        <f>'04-22Master'!#REF!</f>
        <v>#REF!</v>
      </c>
      <c r="D4" s="32" t="e">
        <f>'04-22Master'!#REF!</f>
        <v>#REF!</v>
      </c>
      <c r="E4" s="16"/>
      <c r="F4" s="16"/>
      <c r="G4" s="16"/>
    </row>
    <row r="5" spans="2:7">
      <c r="B5" s="16">
        <v>3</v>
      </c>
      <c r="C5" s="32" t="e">
        <f>'04-22Master'!#REF!</f>
        <v>#REF!</v>
      </c>
      <c r="D5" s="32" t="e">
        <f>'04-22Master'!#REF!</f>
        <v>#REF!</v>
      </c>
      <c r="E5" s="16"/>
      <c r="F5" s="16"/>
      <c r="G5" s="16"/>
    </row>
    <row r="6" spans="2:7">
      <c r="B6" s="16">
        <v>4</v>
      </c>
      <c r="C6" s="32" t="e">
        <f>'04-22Master'!#REF!</f>
        <v>#REF!</v>
      </c>
      <c r="D6" s="32" t="e">
        <f>'04-22Master'!#REF!</f>
        <v>#REF!</v>
      </c>
      <c r="E6" s="16"/>
      <c r="F6" s="16"/>
      <c r="G6" s="16"/>
    </row>
    <row r="7" spans="2:7">
      <c r="B7" s="16">
        <v>5</v>
      </c>
      <c r="C7" s="32" t="e">
        <f>'04-22Master'!#REF!</f>
        <v>#REF!</v>
      </c>
      <c r="D7" s="32" t="e">
        <f>'04-22Master'!#REF!</f>
        <v>#REF!</v>
      </c>
      <c r="E7" s="16"/>
      <c r="F7" s="16"/>
      <c r="G7" s="16"/>
    </row>
    <row r="8" spans="2:7">
      <c r="B8" s="16">
        <v>6</v>
      </c>
      <c r="C8" s="32" t="e">
        <f>'04-22Master'!#REF!</f>
        <v>#REF!</v>
      </c>
      <c r="D8" s="32" t="e">
        <f>'04-22Master'!#REF!</f>
        <v>#REF!</v>
      </c>
      <c r="E8" s="16"/>
      <c r="F8" s="16"/>
      <c r="G8" s="16"/>
    </row>
    <row r="9" spans="2:7">
      <c r="B9" s="16">
        <v>7</v>
      </c>
      <c r="C9" s="32" t="e">
        <f>'04-22Master'!#REF!</f>
        <v>#REF!</v>
      </c>
      <c r="D9" s="32" t="e">
        <f>'04-22Master'!#REF!</f>
        <v>#REF!</v>
      </c>
      <c r="E9" s="16"/>
      <c r="F9" s="16"/>
      <c r="G9" s="16"/>
    </row>
    <row r="10" spans="2:7">
      <c r="B10" s="16">
        <v>8</v>
      </c>
      <c r="C10" s="32" t="e">
        <f>'04-22Master'!#REF!</f>
        <v>#REF!</v>
      </c>
      <c r="D10" s="32" t="e">
        <f>'04-22Master'!#REF!</f>
        <v>#REF!</v>
      </c>
      <c r="E10" s="16"/>
      <c r="F10" s="16"/>
      <c r="G10" s="16"/>
    </row>
    <row r="11" spans="2:7">
      <c r="B11" s="16">
        <v>9</v>
      </c>
      <c r="C11" s="32" t="e">
        <f>'04-22Master'!#REF!</f>
        <v>#REF!</v>
      </c>
      <c r="D11" s="32" t="e">
        <f>'04-22Master'!#REF!</f>
        <v>#REF!</v>
      </c>
      <c r="E11" s="16"/>
      <c r="F11" s="16"/>
      <c r="G11" s="16"/>
    </row>
    <row r="12" spans="2:7">
      <c r="B12" s="16">
        <v>10</v>
      </c>
      <c r="C12" s="32" t="e">
        <f>'04-22Master'!#REF!</f>
        <v>#REF!</v>
      </c>
      <c r="D12" s="32" t="e">
        <f>'04-22Master'!#REF!</f>
        <v>#REF!</v>
      </c>
      <c r="E12" s="16"/>
      <c r="F12" s="16"/>
      <c r="G12" s="16"/>
    </row>
    <row r="13" spans="2:7">
      <c r="B13" s="16">
        <v>11</v>
      </c>
      <c r="C13" s="32" t="e">
        <f>'04-22Master'!#REF!</f>
        <v>#REF!</v>
      </c>
      <c r="D13" s="32" t="e">
        <f>'04-22Master'!#REF!</f>
        <v>#REF!</v>
      </c>
      <c r="E13" s="16"/>
      <c r="F13" s="16"/>
      <c r="G13" s="16"/>
    </row>
    <row r="14" spans="2:7">
      <c r="B14" s="16">
        <v>12</v>
      </c>
      <c r="C14" s="32" t="e">
        <f>'04-22Master'!#REF!</f>
        <v>#REF!</v>
      </c>
      <c r="D14" s="32" t="e">
        <f>'04-22Master'!#REF!</f>
        <v>#REF!</v>
      </c>
      <c r="E14" s="16"/>
      <c r="F14" s="16"/>
      <c r="G14" s="16"/>
    </row>
    <row r="15" spans="2:7">
      <c r="B15" s="16">
        <v>13</v>
      </c>
      <c r="C15" s="32" t="str">
        <f>[1]LEFT!U3</f>
        <v xml:space="preserve">Bharath Dommaraju </v>
      </c>
      <c r="D15" s="32" t="str">
        <f>[1]LEFT!T3</f>
        <v>N/A</v>
      </c>
      <c r="E15" s="16"/>
      <c r="F15" s="16"/>
      <c r="G15" s="16"/>
    </row>
    <row r="16" spans="2:7">
      <c r="B16" s="16">
        <v>14</v>
      </c>
      <c r="C16" s="32" t="e">
        <f>[1]LEFT!U4</f>
        <v>#REF!</v>
      </c>
      <c r="D16" s="32" t="e">
        <f>[1]LEFT!T4</f>
        <v>#REF!</v>
      </c>
      <c r="E16" s="16"/>
      <c r="F16" s="16"/>
      <c r="G16" s="16"/>
    </row>
    <row r="17" spans="2:7">
      <c r="B17" s="16">
        <v>15</v>
      </c>
      <c r="C17" s="32" t="e">
        <f>[1]LEFT!U5</f>
        <v>#REF!</v>
      </c>
      <c r="D17" s="32" t="e">
        <f>[1]LEFT!T5</f>
        <v>#REF!</v>
      </c>
      <c r="E17" s="16"/>
      <c r="F17" s="16"/>
      <c r="G17" s="16"/>
    </row>
    <row r="18" spans="2:7">
      <c r="B18" s="16">
        <v>16</v>
      </c>
      <c r="C18" s="32" t="e">
        <f>[1]LEFT!U6</f>
        <v>#REF!</v>
      </c>
      <c r="D18" s="32" t="e">
        <f>[1]LEFT!T6</f>
        <v>#REF!</v>
      </c>
      <c r="E18" s="16"/>
      <c r="F18" s="16"/>
      <c r="G18" s="16"/>
    </row>
    <row r="19" spans="2:7">
      <c r="B19" s="16">
        <v>17</v>
      </c>
      <c r="C19" s="32" t="e">
        <f>[1]LEFT!U7</f>
        <v>#REF!</v>
      </c>
      <c r="D19" s="32" t="e">
        <f>[1]LEFT!T7</f>
        <v>#REF!</v>
      </c>
      <c r="E19" s="16"/>
      <c r="F19" s="16"/>
      <c r="G19" s="16"/>
    </row>
    <row r="20" spans="2:7">
      <c r="B20" s="16">
        <v>18</v>
      </c>
      <c r="C20" s="32" t="e">
        <f>[1]LEFT!U8</f>
        <v>#REF!</v>
      </c>
      <c r="D20" s="32" t="e">
        <f>[1]LEFT!T8</f>
        <v>#REF!</v>
      </c>
      <c r="E20" s="16"/>
      <c r="F20" s="16"/>
      <c r="G20" s="16"/>
    </row>
    <row r="21" spans="2:7">
      <c r="B21" s="16">
        <v>19</v>
      </c>
      <c r="C21" s="32" t="e">
        <f>[1]LEFT!U9</f>
        <v>#REF!</v>
      </c>
      <c r="D21" s="32" t="e">
        <f>[1]LEFT!T9</f>
        <v>#REF!</v>
      </c>
      <c r="E21" s="16"/>
      <c r="F21" s="16"/>
      <c r="G21" s="16"/>
    </row>
    <row r="22" spans="2:7">
      <c r="B22" s="16">
        <v>20</v>
      </c>
      <c r="C22" s="32" t="e">
        <f>[1]LEFT!U10</f>
        <v>#REF!</v>
      </c>
      <c r="D22" s="32" t="e">
        <f>[1]LEFT!T10</f>
        <v>#REF!</v>
      </c>
      <c r="E22" s="16"/>
      <c r="F22" s="16"/>
      <c r="G22" s="16"/>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63"/>
  <sheetViews>
    <sheetView topLeftCell="A22" workbookViewId="0">
      <selection activeCell="M13" sqref="M13"/>
    </sheetView>
  </sheetViews>
  <sheetFormatPr defaultRowHeight="15"/>
  <cols>
    <col min="6" max="6" width="16.85546875" customWidth="1"/>
    <col min="10" max="10" width="14.5703125" customWidth="1"/>
    <col min="12" max="12" width="22.7109375" customWidth="1"/>
  </cols>
  <sheetData>
    <row r="1" spans="1:12" ht="29.25" customHeight="1">
      <c r="A1" s="81"/>
      <c r="B1" s="854" t="s">
        <v>194</v>
      </c>
      <c r="C1" s="973"/>
      <c r="D1" s="973"/>
      <c r="E1" s="973"/>
      <c r="F1" s="973"/>
      <c r="G1" s="973"/>
      <c r="H1" s="973"/>
      <c r="I1" s="973"/>
      <c r="J1" s="973"/>
      <c r="K1" s="973"/>
      <c r="L1" s="974"/>
    </row>
    <row r="2" spans="1:12" ht="23.25">
      <c r="A2" s="19"/>
      <c r="B2" s="982" t="s">
        <v>195</v>
      </c>
      <c r="C2" s="982"/>
      <c r="D2" s="982"/>
      <c r="E2" s="982"/>
      <c r="F2" s="982"/>
      <c r="G2" s="982"/>
      <c r="H2" s="982"/>
      <c r="I2" s="982"/>
      <c r="J2" s="982"/>
      <c r="K2" s="982"/>
      <c r="L2" s="858"/>
    </row>
    <row r="3" spans="1:12" ht="12.75" customHeight="1" thickBot="1">
      <c r="A3" s="305"/>
      <c r="B3" s="860" t="s">
        <v>196</v>
      </c>
      <c r="C3" s="860"/>
      <c r="D3" s="860"/>
      <c r="E3" s="860"/>
      <c r="F3" s="860"/>
      <c r="G3" s="860"/>
      <c r="H3" s="860"/>
      <c r="I3" s="860"/>
      <c r="J3" s="860"/>
      <c r="K3" s="860"/>
      <c r="L3" s="861"/>
    </row>
    <row r="4" spans="1:12">
      <c r="A4" s="305"/>
      <c r="B4" s="983" t="s">
        <v>117</v>
      </c>
      <c r="C4" s="983"/>
      <c r="D4" s="983"/>
      <c r="E4" s="983"/>
      <c r="F4" s="983"/>
      <c r="H4" s="984" t="s">
        <v>118</v>
      </c>
      <c r="I4" s="984"/>
      <c r="J4" s="984"/>
      <c r="K4" s="984"/>
      <c r="L4" s="985"/>
    </row>
    <row r="5" spans="1:12" ht="15.75" thickBot="1">
      <c r="A5" s="19"/>
      <c r="B5" s="983"/>
      <c r="C5" s="983"/>
      <c r="D5" s="983"/>
      <c r="E5" s="983"/>
      <c r="F5" s="983"/>
      <c r="H5" s="984"/>
      <c r="I5" s="984"/>
      <c r="J5" s="984"/>
      <c r="K5" s="984"/>
      <c r="L5" s="985"/>
    </row>
    <row r="6" spans="1:12">
      <c r="A6" s="19"/>
      <c r="B6" s="81"/>
      <c r="C6" s="82"/>
      <c r="D6" s="82"/>
      <c r="E6" s="82"/>
      <c r="F6" s="83"/>
      <c r="H6" s="81"/>
      <c r="I6" s="82"/>
      <c r="J6" s="82"/>
      <c r="K6" s="82"/>
      <c r="L6" s="83"/>
    </row>
    <row r="7" spans="1:12">
      <c r="A7" s="19"/>
      <c r="B7" s="84" t="str">
        <f>'04-22 Muster Roll'!D5</f>
        <v>Burgeon IT Services Pvt.Ltd.</v>
      </c>
      <c r="F7" s="20"/>
      <c r="H7" s="84" t="str">
        <f>'04-22 Muster Roll'!Z5</f>
        <v>Burgeon IT Services Pvt.Ltd.</v>
      </c>
      <c r="L7" s="20"/>
    </row>
    <row r="8" spans="1:12">
      <c r="A8" s="19"/>
      <c r="B8" s="19"/>
      <c r="F8" s="20"/>
      <c r="H8" s="19"/>
      <c r="L8" s="20"/>
    </row>
    <row r="9" spans="1:12">
      <c r="A9" s="19"/>
      <c r="B9" s="84" t="str">
        <f>'04-22 Muster Roll'!D6</f>
        <v>Siri Mansion LIGB 436 Dr.A S Rao Nagar,Hyderabad</v>
      </c>
      <c r="F9" s="20"/>
      <c r="H9" s="84" t="str">
        <f>'04-22 Muster Roll'!Z6</f>
        <v>Siri Mansion LIGB 436 Dr.A S Rao Nagar,Hyderabad</v>
      </c>
      <c r="L9" s="20"/>
    </row>
    <row r="10" spans="1:12" ht="15.75" thickBot="1">
      <c r="A10" s="19"/>
      <c r="B10" s="31"/>
      <c r="C10" s="29"/>
      <c r="D10" s="29"/>
      <c r="E10" s="29"/>
      <c r="F10" s="30"/>
      <c r="H10" s="31"/>
      <c r="I10" s="29"/>
      <c r="J10" s="29"/>
      <c r="K10" s="29"/>
      <c r="L10" s="30"/>
    </row>
    <row r="11" spans="1:12">
      <c r="A11" s="19"/>
      <c r="J11" t="s">
        <v>119</v>
      </c>
      <c r="L11" s="20"/>
    </row>
    <row r="12" spans="1:12">
      <c r="A12" s="19"/>
      <c r="B12" s="750" t="s">
        <v>120</v>
      </c>
      <c r="C12" s="750"/>
      <c r="D12" s="750"/>
      <c r="E12" s="750"/>
      <c r="F12" s="750"/>
      <c r="H12" s="750" t="s">
        <v>4</v>
      </c>
      <c r="I12" s="750"/>
      <c r="J12" s="750"/>
      <c r="K12" s="750"/>
      <c r="L12" s="870"/>
    </row>
    <row r="13" spans="1:12" ht="15.75" thickBot="1">
      <c r="A13" s="19"/>
      <c r="L13" s="20"/>
    </row>
    <row r="14" spans="1:12">
      <c r="A14" s="19"/>
      <c r="B14" s="81"/>
      <c r="C14" s="82"/>
      <c r="D14" s="82"/>
      <c r="E14" s="82"/>
      <c r="F14" s="83"/>
      <c r="H14" s="85"/>
      <c r="I14" s="86"/>
      <c r="J14" s="86"/>
      <c r="K14" s="86"/>
      <c r="L14" s="87"/>
    </row>
    <row r="15" spans="1:12">
      <c r="A15" s="19"/>
      <c r="B15" s="19"/>
      <c r="F15" s="20"/>
      <c r="H15" s="84" t="str">
        <f>'04-22 Muster Roll'!Z9</f>
        <v xml:space="preserve">INFOSYS  LTD.IL Hyderabad SEZ Unit-3 </v>
      </c>
      <c r="I15" s="3"/>
      <c r="J15" s="3"/>
      <c r="K15" s="3"/>
      <c r="L15" s="88"/>
    </row>
    <row r="16" spans="1:12">
      <c r="A16" s="19"/>
      <c r="B16" s="84" t="str">
        <f>'04-22 Muster Roll'!D7</f>
        <v>IT SUPPORTIVE SERVICES</v>
      </c>
      <c r="F16" s="20"/>
      <c r="H16" s="84"/>
      <c r="I16" s="3"/>
      <c r="J16" s="3"/>
      <c r="K16" s="3"/>
      <c r="L16" s="88"/>
    </row>
    <row r="17" spans="1:12">
      <c r="A17" s="19"/>
      <c r="B17" s="19"/>
      <c r="F17" s="20"/>
      <c r="H17" s="84" t="str">
        <f>'04-22 Muster Roll'!Z10</f>
        <v>Sy.No 42,Pocharam Village,Gatkesar Mandal</v>
      </c>
      <c r="I17" s="3"/>
      <c r="J17" s="3"/>
      <c r="K17" s="3"/>
      <c r="L17" s="88"/>
    </row>
    <row r="18" spans="1:12" ht="15.75" thickBot="1">
      <c r="A18" s="19"/>
      <c r="B18" s="31"/>
      <c r="C18" s="29"/>
      <c r="D18" s="29"/>
      <c r="E18" s="29"/>
      <c r="F18" s="30"/>
      <c r="H18" s="89"/>
      <c r="I18" s="90"/>
      <c r="J18" s="90"/>
      <c r="K18" s="90"/>
      <c r="L18" s="91"/>
    </row>
    <row r="19" spans="1:12" ht="27.95" customHeight="1">
      <c r="A19" s="92"/>
      <c r="B19" s="972" t="s">
        <v>197</v>
      </c>
      <c r="C19" s="972"/>
      <c r="D19" s="972"/>
      <c r="E19" s="972"/>
      <c r="F19" s="972"/>
      <c r="G19" s="972"/>
      <c r="H19" s="992" t="e">
        <f>'04-22Master'!#REF!</f>
        <v>#REF!</v>
      </c>
      <c r="I19" s="987"/>
      <c r="J19" s="987"/>
      <c r="K19" s="987"/>
      <c r="L19" s="841"/>
    </row>
    <row r="20" spans="1:12" ht="27.95" customHeight="1">
      <c r="A20" s="92"/>
      <c r="B20" s="993" t="s">
        <v>198</v>
      </c>
      <c r="C20" s="993"/>
      <c r="D20" s="993"/>
      <c r="E20" s="993"/>
      <c r="F20" s="993"/>
      <c r="G20" s="993"/>
      <c r="H20" s="992" t="e">
        <f>'04-22Master'!#REF!</f>
        <v>#REF!</v>
      </c>
      <c r="I20" s="987"/>
      <c r="J20" s="987"/>
      <c r="K20" s="987"/>
      <c r="L20" s="841"/>
    </row>
    <row r="21" spans="1:12" ht="27.95" customHeight="1">
      <c r="A21" s="92"/>
      <c r="B21" s="972" t="s">
        <v>199</v>
      </c>
      <c r="C21" s="972"/>
      <c r="D21" s="972"/>
      <c r="E21" s="972"/>
      <c r="F21" s="972"/>
      <c r="G21" s="972"/>
      <c r="H21" s="992" t="e">
        <f>'04-22Master'!#REF!</f>
        <v>#REF!</v>
      </c>
      <c r="I21" s="987"/>
      <c r="J21" s="987"/>
      <c r="K21" s="987"/>
      <c r="L21" s="841"/>
    </row>
    <row r="22" spans="1:12" ht="27.95" customHeight="1">
      <c r="A22" s="92"/>
      <c r="B22" s="972" t="s">
        <v>200</v>
      </c>
      <c r="C22" s="972"/>
      <c r="D22" s="972"/>
      <c r="E22" s="972"/>
      <c r="F22" s="972"/>
      <c r="G22" s="972"/>
      <c r="H22" s="986" t="e">
        <f>'04-22Master'!#REF!</f>
        <v>#REF!</v>
      </c>
      <c r="I22" s="987"/>
      <c r="J22" s="987"/>
      <c r="K22" s="987"/>
      <c r="L22" s="841"/>
    </row>
    <row r="23" spans="1:12" ht="27.95" customHeight="1">
      <c r="A23" s="92"/>
      <c r="B23" s="93" t="s">
        <v>202</v>
      </c>
      <c r="C23" s="94"/>
      <c r="D23" s="94"/>
      <c r="E23" s="94"/>
      <c r="F23" s="94"/>
      <c r="G23" s="94"/>
      <c r="H23" s="988" t="s">
        <v>203</v>
      </c>
      <c r="I23" s="989"/>
      <c r="J23" s="989"/>
      <c r="K23" s="989"/>
      <c r="L23" s="990"/>
    </row>
    <row r="24" spans="1:12" ht="27.95" customHeight="1">
      <c r="A24" s="92"/>
      <c r="B24" s="93" t="s">
        <v>204</v>
      </c>
      <c r="C24" s="94"/>
      <c r="D24" s="94"/>
      <c r="E24" s="94"/>
      <c r="F24" s="94"/>
      <c r="G24" s="94"/>
      <c r="H24" s="95"/>
      <c r="I24" s="96"/>
      <c r="J24" s="176"/>
      <c r="K24" s="96"/>
      <c r="L24" s="101"/>
    </row>
    <row r="25" spans="1:12" ht="27.95" customHeight="1">
      <c r="A25" s="92"/>
      <c r="B25" s="834" t="s">
        <v>205</v>
      </c>
      <c r="C25" s="834"/>
      <c r="D25" s="834"/>
      <c r="E25" s="834"/>
      <c r="F25" s="834"/>
      <c r="G25" s="834"/>
      <c r="H25" s="835" t="e">
        <f>'04-22Master'!#REF!</f>
        <v>#REF!</v>
      </c>
      <c r="I25" s="849"/>
      <c r="J25" s="849"/>
      <c r="K25" s="849"/>
      <c r="L25" s="850"/>
    </row>
    <row r="26" spans="1:12" ht="27.95" customHeight="1">
      <c r="A26" s="92"/>
      <c r="B26" s="972"/>
      <c r="C26" s="972"/>
      <c r="D26" s="972"/>
      <c r="E26" s="972"/>
      <c r="F26" s="972"/>
      <c r="G26" s="972"/>
      <c r="H26" s="991" t="e">
        <f>'04-22Master'!#REF!</f>
        <v>#REF!</v>
      </c>
      <c r="I26" s="987"/>
      <c r="J26" s="987"/>
      <c r="K26" s="987"/>
      <c r="L26" s="841"/>
    </row>
    <row r="27" spans="1:12" ht="27.95" customHeight="1">
      <c r="A27" s="19"/>
      <c r="B27" s="972"/>
      <c r="C27" s="972"/>
      <c r="D27" s="972"/>
      <c r="E27" s="972"/>
      <c r="F27" s="972"/>
      <c r="G27" s="972"/>
      <c r="H27" s="992" t="e">
        <f>'04-22Master'!#REF!</f>
        <v>#REF!</v>
      </c>
      <c r="I27" s="987"/>
      <c r="J27" s="987"/>
      <c r="K27" s="987"/>
      <c r="L27" s="841"/>
    </row>
    <row r="28" spans="1:12" ht="27.95" customHeight="1">
      <c r="A28" s="19"/>
      <c r="B28" s="93" t="s">
        <v>206</v>
      </c>
      <c r="C28" s="94"/>
      <c r="D28" s="94"/>
      <c r="E28" s="94"/>
      <c r="F28" s="94"/>
      <c r="G28" s="97"/>
      <c r="H28" s="975" t="e">
        <f>'04-22Master'!#REF!</f>
        <v>#REF!</v>
      </c>
      <c r="I28" s="976"/>
      <c r="J28" s="976"/>
      <c r="K28" s="976"/>
      <c r="L28" s="875"/>
    </row>
    <row r="29" spans="1:12" ht="27.95" customHeight="1">
      <c r="A29" s="19"/>
      <c r="B29" s="93"/>
      <c r="C29" s="94"/>
      <c r="D29" s="94"/>
      <c r="E29" s="94"/>
      <c r="F29" s="94"/>
      <c r="G29" s="97"/>
      <c r="H29" s="975" t="e">
        <f>'04-22Master'!#REF!</f>
        <v>#REF!</v>
      </c>
      <c r="I29" s="976"/>
      <c r="J29" s="976"/>
      <c r="K29" s="976"/>
      <c r="L29" s="875"/>
    </row>
    <row r="30" spans="1:12" ht="27.95" customHeight="1">
      <c r="A30" s="19"/>
      <c r="B30" s="93"/>
      <c r="C30" s="94"/>
      <c r="D30" s="94"/>
      <c r="E30" s="94"/>
      <c r="F30" s="94"/>
      <c r="G30" s="97"/>
      <c r="H30" s="975" t="e">
        <f>'04-22Master'!#REF!</f>
        <v>#REF!</v>
      </c>
      <c r="I30" s="976"/>
      <c r="J30" s="976"/>
      <c r="K30" s="976"/>
      <c r="L30" s="875"/>
    </row>
    <row r="31" spans="1:12" ht="27.95" customHeight="1">
      <c r="A31" s="19"/>
      <c r="B31" s="93" t="s">
        <v>213</v>
      </c>
      <c r="C31" s="94"/>
      <c r="D31" s="94"/>
      <c r="E31" s="94"/>
      <c r="F31" s="94"/>
      <c r="G31" s="97"/>
      <c r="H31" s="95"/>
      <c r="I31" s="96"/>
      <c r="J31" s="96"/>
      <c r="K31" s="96"/>
      <c r="L31" s="101"/>
    </row>
    <row r="32" spans="1:12" ht="27.95" customHeight="1">
      <c r="A32" s="19"/>
      <c r="B32" s="103" t="s">
        <v>214</v>
      </c>
      <c r="C32" s="157"/>
      <c r="D32" s="157"/>
      <c r="E32" s="157"/>
      <c r="F32" s="157"/>
      <c r="G32" s="158"/>
      <c r="H32" s="159"/>
      <c r="I32" s="160"/>
      <c r="J32" s="161"/>
      <c r="K32" s="160"/>
      <c r="L32" s="162"/>
    </row>
    <row r="33" spans="1:12" ht="49.5" customHeight="1">
      <c r="A33" s="19"/>
      <c r="B33" s="93" t="s">
        <v>217</v>
      </c>
      <c r="C33" s="94"/>
      <c r="D33" s="96"/>
      <c r="E33" s="169" t="s">
        <v>219</v>
      </c>
      <c r="F33" s="70"/>
      <c r="G33" s="977" t="s">
        <v>218</v>
      </c>
      <c r="H33" s="978"/>
      <c r="I33" s="173" t="s">
        <v>215</v>
      </c>
      <c r="J33" s="171" t="s">
        <v>220</v>
      </c>
      <c r="K33" s="977" t="s">
        <v>216</v>
      </c>
      <c r="L33" s="979"/>
    </row>
    <row r="34" spans="1:12" ht="27.95" customHeight="1">
      <c r="A34" s="19"/>
      <c r="B34" s="172">
        <v>1</v>
      </c>
      <c r="C34" s="94"/>
      <c r="D34" s="94"/>
      <c r="E34" s="175">
        <v>2</v>
      </c>
      <c r="F34" s="97"/>
      <c r="G34" s="175">
        <v>3</v>
      </c>
      <c r="H34" s="191"/>
      <c r="I34" s="191">
        <v>4</v>
      </c>
      <c r="J34" s="112">
        <v>5</v>
      </c>
      <c r="K34" s="99"/>
      <c r="L34" s="100">
        <v>6</v>
      </c>
    </row>
    <row r="35" spans="1:12" ht="27.95" customHeight="1">
      <c r="A35" s="19"/>
      <c r="B35" s="288" t="e">
        <f>'04-22Master'!#REF!</f>
        <v>#REF!</v>
      </c>
      <c r="C35" s="187"/>
      <c r="D35" s="188"/>
      <c r="E35" s="190" t="s">
        <v>376</v>
      </c>
      <c r="F35" s="188"/>
      <c r="G35" s="190" t="s">
        <v>377</v>
      </c>
      <c r="H35" s="70"/>
      <c r="I35" s="16" t="s">
        <v>378</v>
      </c>
      <c r="J35" s="287">
        <v>1</v>
      </c>
      <c r="K35" s="980" t="s">
        <v>37</v>
      </c>
      <c r="L35" s="981"/>
    </row>
    <row r="36" spans="1:12" ht="27.95" customHeight="1">
      <c r="A36" s="19"/>
      <c r="B36" s="93"/>
      <c r="C36" s="187"/>
      <c r="D36" s="188"/>
      <c r="E36" s="189"/>
      <c r="F36" s="188"/>
      <c r="G36" s="189"/>
      <c r="H36" s="70"/>
      <c r="I36" s="16"/>
      <c r="J36" s="16"/>
      <c r="K36" s="190"/>
      <c r="L36" s="70"/>
    </row>
    <row r="37" spans="1:12" ht="26.25" customHeight="1">
      <c r="A37" s="19"/>
      <c r="B37" s="93"/>
      <c r="C37" s="187"/>
      <c r="D37" s="188"/>
      <c r="E37" s="189"/>
      <c r="F37" s="188"/>
      <c r="G37" s="189"/>
      <c r="H37" s="70"/>
      <c r="I37" s="16"/>
      <c r="J37" s="16"/>
      <c r="K37" s="190"/>
      <c r="L37" s="70"/>
    </row>
    <row r="38" spans="1:12" ht="27.75" customHeight="1">
      <c r="A38" s="19"/>
      <c r="B38" s="77"/>
      <c r="C38" s="23"/>
      <c r="D38" s="78"/>
      <c r="E38" s="189"/>
      <c r="F38" s="188"/>
      <c r="G38" s="189"/>
      <c r="H38" s="70"/>
      <c r="I38" s="16"/>
      <c r="J38" s="16"/>
      <c r="K38" s="190"/>
      <c r="L38" s="70"/>
    </row>
    <row r="39" spans="1:12">
      <c r="A39" s="19"/>
      <c r="B39" t="s">
        <v>221</v>
      </c>
      <c r="L39" s="20"/>
    </row>
    <row r="40" spans="1:12">
      <c r="A40" s="19"/>
      <c r="B40" t="s">
        <v>222</v>
      </c>
      <c r="L40" s="20"/>
    </row>
    <row r="41" spans="1:12">
      <c r="A41" s="19"/>
      <c r="B41" t="s">
        <v>223</v>
      </c>
      <c r="L41" s="20"/>
    </row>
    <row r="42" spans="1:12">
      <c r="A42" s="19"/>
      <c r="L42" s="20"/>
    </row>
    <row r="43" spans="1:12">
      <c r="A43" s="19"/>
      <c r="I43" t="s">
        <v>224</v>
      </c>
      <c r="L43" s="20"/>
    </row>
    <row r="44" spans="1:12" ht="18.75">
      <c r="A44" s="19"/>
      <c r="F44" s="177" t="s">
        <v>207</v>
      </c>
      <c r="L44" s="20"/>
    </row>
    <row r="45" spans="1:12">
      <c r="A45" s="19" t="s">
        <v>208</v>
      </c>
      <c r="K45" s="227" t="e">
        <f>'04-22Master'!#REF!</f>
        <v>#REF!</v>
      </c>
      <c r="L45" s="20"/>
    </row>
    <row r="46" spans="1:12">
      <c r="A46" s="19" t="s">
        <v>209</v>
      </c>
      <c r="L46" s="20"/>
    </row>
    <row r="47" spans="1:12">
      <c r="A47" s="19"/>
      <c r="L47" s="20"/>
    </row>
    <row r="48" spans="1:12">
      <c r="A48" s="19"/>
      <c r="L48" s="20"/>
    </row>
    <row r="49" spans="1:12">
      <c r="A49" s="19"/>
      <c r="F49" t="s">
        <v>210</v>
      </c>
      <c r="L49" s="20"/>
    </row>
    <row r="50" spans="1:12">
      <c r="A50" s="19" t="s">
        <v>211</v>
      </c>
      <c r="B50" t="s">
        <v>375</v>
      </c>
      <c r="F50" t="str">
        <f>'04-22Master'!AJ5</f>
        <v>Burgeon IT Services Pvt.Ltd.</v>
      </c>
      <c r="L50" s="20"/>
    </row>
    <row r="51" spans="1:12">
      <c r="A51" s="19" t="s">
        <v>212</v>
      </c>
      <c r="B51" s="286" t="e">
        <f>'04-22Master'!#REF!</f>
        <v>#REF!</v>
      </c>
      <c r="F51" t="str">
        <f>'04-22Master'!AJ6</f>
        <v>Siri Mansion LIGB 436 Dr.A S Rao Nagar,Hyderabad</v>
      </c>
      <c r="L51" s="20"/>
    </row>
    <row r="52" spans="1:12" ht="15.75" thickBot="1">
      <c r="A52" s="31"/>
      <c r="B52" s="29"/>
      <c r="C52" s="29"/>
      <c r="D52" s="29"/>
      <c r="E52" s="29"/>
      <c r="F52" s="29"/>
      <c r="G52" s="29"/>
      <c r="H52" s="29"/>
      <c r="I52" s="29"/>
      <c r="J52" s="29"/>
      <c r="K52" s="29"/>
      <c r="L52" s="30"/>
    </row>
    <row r="53" spans="1:12" ht="27.95" customHeight="1">
      <c r="A53" s="81"/>
      <c r="B53" s="854" t="s">
        <v>194</v>
      </c>
      <c r="C53" s="973"/>
      <c r="D53" s="973"/>
      <c r="E53" s="973"/>
      <c r="F53" s="973"/>
      <c r="G53" s="973"/>
      <c r="H53" s="973"/>
      <c r="I53" s="973"/>
      <c r="J53" s="973"/>
      <c r="K53" s="973"/>
      <c r="L53" s="974"/>
    </row>
    <row r="54" spans="1:12" ht="27.95" customHeight="1">
      <c r="A54" s="19"/>
      <c r="B54" s="982" t="s">
        <v>195</v>
      </c>
      <c r="C54" s="982"/>
      <c r="D54" s="982"/>
      <c r="E54" s="982"/>
      <c r="F54" s="982"/>
      <c r="G54" s="982"/>
      <c r="H54" s="982"/>
      <c r="I54" s="982"/>
      <c r="J54" s="982"/>
      <c r="K54" s="982"/>
      <c r="L54" s="858"/>
    </row>
    <row r="55" spans="1:12" ht="27.95" customHeight="1" thickBot="1">
      <c r="A55" s="31"/>
      <c r="B55" s="860" t="s">
        <v>196</v>
      </c>
      <c r="C55" s="860"/>
      <c r="D55" s="860"/>
      <c r="E55" s="860"/>
      <c r="F55" s="860"/>
      <c r="G55" s="860"/>
      <c r="H55" s="860"/>
      <c r="I55" s="860"/>
      <c r="J55" s="860"/>
      <c r="K55" s="860"/>
      <c r="L55" s="861"/>
    </row>
    <row r="56" spans="1:12" ht="27.95" customHeight="1">
      <c r="A56" s="19"/>
      <c r="B56" s="983" t="s">
        <v>117</v>
      </c>
      <c r="C56" s="983"/>
      <c r="D56" s="983"/>
      <c r="E56" s="983"/>
      <c r="F56" s="983"/>
      <c r="H56" s="984" t="s">
        <v>118</v>
      </c>
      <c r="I56" s="984"/>
      <c r="J56" s="984"/>
      <c r="K56" s="984"/>
      <c r="L56" s="985"/>
    </row>
    <row r="57" spans="1:12" ht="27.95" customHeight="1" thickBot="1">
      <c r="A57" s="19"/>
      <c r="B57" s="983"/>
      <c r="C57" s="983"/>
      <c r="D57" s="983"/>
      <c r="E57" s="983"/>
      <c r="F57" s="983"/>
      <c r="H57" s="984"/>
      <c r="I57" s="984"/>
      <c r="J57" s="984"/>
      <c r="K57" s="984"/>
      <c r="L57" s="985"/>
    </row>
    <row r="58" spans="1:12" ht="27.95" customHeight="1">
      <c r="A58" s="19"/>
      <c r="B58" s="81"/>
      <c r="C58" s="82"/>
      <c r="D58" s="82"/>
      <c r="E58" s="82"/>
      <c r="F58" s="83"/>
      <c r="H58" s="81"/>
      <c r="I58" s="82"/>
      <c r="J58" s="82"/>
      <c r="K58" s="82"/>
      <c r="L58" s="83"/>
    </row>
    <row r="59" spans="1:12">
      <c r="A59" s="19"/>
      <c r="B59" s="84" t="str">
        <f>'04-22Master'!F5</f>
        <v>Burgeon IT Services Pvt.Ltd.</v>
      </c>
      <c r="F59" s="20"/>
      <c r="H59" s="84" t="str">
        <f>'04-22Master'!AJ5</f>
        <v>Burgeon IT Services Pvt.Ltd.</v>
      </c>
      <c r="L59" s="20"/>
    </row>
    <row r="60" spans="1:12">
      <c r="A60" s="19"/>
      <c r="B60" s="19"/>
      <c r="F60" s="20"/>
      <c r="H60" s="19"/>
      <c r="L60" s="20"/>
    </row>
    <row r="61" spans="1:12">
      <c r="A61" s="19"/>
      <c r="B61" s="84" t="str">
        <f>'04-22Master'!F6</f>
        <v>Siri Mansion LIGB 436 Dr.A S Rao Nagar,Hyderabad</v>
      </c>
      <c r="F61" s="20"/>
      <c r="H61" s="84" t="str">
        <f>'04-22Master'!AJ6</f>
        <v>Siri Mansion LIGB 436 Dr.A S Rao Nagar,Hyderabad</v>
      </c>
      <c r="L61" s="20"/>
    </row>
    <row r="62" spans="1:12" ht="15.75" thickBot="1">
      <c r="A62" s="19"/>
      <c r="B62" s="31"/>
      <c r="C62" s="29"/>
      <c r="D62" s="29"/>
      <c r="E62" s="29"/>
      <c r="F62" s="30"/>
      <c r="H62" s="31"/>
      <c r="I62" s="29"/>
      <c r="J62" s="29"/>
      <c r="K62" s="29"/>
      <c r="L62" s="30"/>
    </row>
    <row r="63" spans="1:12">
      <c r="A63" s="19"/>
      <c r="J63" t="s">
        <v>119</v>
      </c>
      <c r="L63" s="20"/>
    </row>
    <row r="64" spans="1:12">
      <c r="A64" s="19"/>
      <c r="B64" s="750" t="s">
        <v>120</v>
      </c>
      <c r="C64" s="750"/>
      <c r="D64" s="750"/>
      <c r="E64" s="750"/>
      <c r="F64" s="750"/>
      <c r="H64" s="750" t="s">
        <v>4</v>
      </c>
      <c r="I64" s="750"/>
      <c r="J64" s="750"/>
      <c r="K64" s="750"/>
      <c r="L64" s="870"/>
    </row>
    <row r="65" spans="1:12" ht="15.75" thickBot="1">
      <c r="A65" s="19"/>
      <c r="L65" s="20"/>
    </row>
    <row r="66" spans="1:12">
      <c r="A66" s="19"/>
      <c r="B66" s="81"/>
      <c r="C66" s="82"/>
      <c r="D66" s="82"/>
      <c r="E66" s="82"/>
      <c r="F66" s="83"/>
      <c r="H66" s="85"/>
      <c r="I66" s="86"/>
      <c r="J66" s="86"/>
      <c r="K66" s="86"/>
      <c r="L66" s="87"/>
    </row>
    <row r="67" spans="1:12">
      <c r="A67" s="19"/>
      <c r="B67" s="19"/>
      <c r="F67" s="20"/>
      <c r="H67" s="84" t="str">
        <f>'04-22Master'!AJ10</f>
        <v xml:space="preserve">INFOSYS  LTD.IL Hyderabad SEZ Unit-3 </v>
      </c>
      <c r="I67" s="3"/>
      <c r="J67" s="3"/>
      <c r="K67" s="3"/>
      <c r="L67" s="88"/>
    </row>
    <row r="68" spans="1:12">
      <c r="A68" s="19"/>
      <c r="B68" s="84" t="str">
        <f>'04-22Master'!F8</f>
        <v>IT SUPPORTIVE SERVICES</v>
      </c>
      <c r="F68" s="20"/>
      <c r="H68" s="84"/>
      <c r="I68" s="3"/>
      <c r="J68" s="3"/>
      <c r="K68" s="3"/>
      <c r="L68" s="88"/>
    </row>
    <row r="69" spans="1:12">
      <c r="A69" s="19"/>
      <c r="B69" s="19"/>
      <c r="F69" s="20"/>
      <c r="H69" s="84" t="str">
        <f>'04-22Master'!AJ11</f>
        <v>Sy.No 42,Pocharam Village,Gatkesar Mandal</v>
      </c>
      <c r="I69" s="3"/>
      <c r="J69" s="3"/>
      <c r="K69" s="3"/>
      <c r="L69" s="88"/>
    </row>
    <row r="70" spans="1:12" ht="15.75" thickBot="1">
      <c r="A70" s="19"/>
      <c r="B70" s="31"/>
      <c r="C70" s="29"/>
      <c r="D70" s="29"/>
      <c r="E70" s="29"/>
      <c r="F70" s="30"/>
      <c r="H70" s="89"/>
      <c r="I70" s="90"/>
      <c r="J70" s="90"/>
      <c r="K70" s="90"/>
      <c r="L70" s="91"/>
    </row>
    <row r="71" spans="1:12">
      <c r="A71" s="92"/>
      <c r="B71" s="972" t="s">
        <v>197</v>
      </c>
      <c r="C71" s="972"/>
      <c r="D71" s="972"/>
      <c r="E71" s="972"/>
      <c r="F71" s="972"/>
      <c r="G71" s="972"/>
      <c r="H71" s="992" t="e">
        <f>'04-22Master'!#REF!</f>
        <v>#REF!</v>
      </c>
      <c r="I71" s="987"/>
      <c r="J71" s="987"/>
      <c r="K71" s="987"/>
      <c r="L71" s="841"/>
    </row>
    <row r="72" spans="1:12">
      <c r="A72" s="92"/>
      <c r="B72" s="993" t="s">
        <v>198</v>
      </c>
      <c r="C72" s="993"/>
      <c r="D72" s="993"/>
      <c r="E72" s="993"/>
      <c r="F72" s="993"/>
      <c r="G72" s="993"/>
      <c r="H72" s="992" t="e">
        <f>'04-22Master'!#REF!</f>
        <v>#REF!</v>
      </c>
      <c r="I72" s="987"/>
      <c r="J72" s="987"/>
      <c r="K72" s="987"/>
      <c r="L72" s="841"/>
    </row>
    <row r="73" spans="1:12">
      <c r="A73" s="92"/>
      <c r="B73" s="972" t="s">
        <v>199</v>
      </c>
      <c r="C73" s="972"/>
      <c r="D73" s="972"/>
      <c r="E73" s="972"/>
      <c r="F73" s="972"/>
      <c r="G73" s="972"/>
      <c r="H73" s="992" t="e">
        <f>'04-22Master'!#REF!</f>
        <v>#REF!</v>
      </c>
      <c r="I73" s="987"/>
      <c r="J73" s="987"/>
      <c r="K73" s="987"/>
      <c r="L73" s="841"/>
    </row>
    <row r="74" spans="1:12">
      <c r="A74" s="92"/>
      <c r="B74" s="972" t="s">
        <v>200</v>
      </c>
      <c r="C74" s="972"/>
      <c r="D74" s="972"/>
      <c r="E74" s="972"/>
      <c r="F74" s="972"/>
      <c r="G74" s="972"/>
      <c r="H74" s="986" t="e">
        <f>'04-22Master'!#REF!</f>
        <v>#REF!</v>
      </c>
      <c r="I74" s="987"/>
      <c r="J74" s="987"/>
      <c r="K74" s="987"/>
      <c r="L74" s="841"/>
    </row>
    <row r="75" spans="1:12">
      <c r="A75" s="92"/>
      <c r="B75" s="93" t="s">
        <v>202</v>
      </c>
      <c r="C75" s="94"/>
      <c r="D75" s="94"/>
      <c r="E75" s="94"/>
      <c r="F75" s="94"/>
      <c r="G75" s="94"/>
      <c r="H75" s="988" t="s">
        <v>203</v>
      </c>
      <c r="I75" s="989"/>
      <c r="J75" s="989"/>
      <c r="K75" s="989"/>
      <c r="L75" s="990"/>
    </row>
    <row r="76" spans="1:12">
      <c r="A76" s="92"/>
      <c r="B76" s="93" t="s">
        <v>204</v>
      </c>
      <c r="C76" s="94"/>
      <c r="D76" s="94"/>
      <c r="E76" s="94"/>
      <c r="F76" s="94"/>
      <c r="G76" s="94"/>
      <c r="H76" s="95"/>
      <c r="I76" s="96"/>
      <c r="J76" s="176"/>
      <c r="K76" s="96"/>
      <c r="L76" s="101"/>
    </row>
    <row r="77" spans="1:12">
      <c r="A77" s="92"/>
      <c r="B77" s="834" t="s">
        <v>205</v>
      </c>
      <c r="C77" s="834"/>
      <c r="D77" s="834"/>
      <c r="E77" s="834"/>
      <c r="F77" s="834"/>
      <c r="G77" s="834"/>
      <c r="H77" s="835" t="e">
        <f>'04-22Master'!#REF!</f>
        <v>#REF!</v>
      </c>
      <c r="I77" s="849"/>
      <c r="J77" s="849"/>
      <c r="K77" s="849"/>
      <c r="L77" s="850"/>
    </row>
    <row r="78" spans="1:12">
      <c r="A78" s="92"/>
      <c r="B78" s="972"/>
      <c r="C78" s="972"/>
      <c r="D78" s="972"/>
      <c r="E78" s="972"/>
      <c r="F78" s="972"/>
      <c r="G78" s="972"/>
      <c r="H78" s="991" t="e">
        <f>'04-22Master'!#REF!</f>
        <v>#REF!</v>
      </c>
      <c r="I78" s="987"/>
      <c r="J78" s="987"/>
      <c r="K78" s="987"/>
      <c r="L78" s="841"/>
    </row>
    <row r="79" spans="1:12">
      <c r="A79" s="19"/>
      <c r="B79" s="972"/>
      <c r="C79" s="972"/>
      <c r="D79" s="972"/>
      <c r="E79" s="972"/>
      <c r="F79" s="972"/>
      <c r="G79" s="972"/>
      <c r="H79" s="992" t="e">
        <f>'04-22Master'!#REF!</f>
        <v>#REF!</v>
      </c>
      <c r="I79" s="987"/>
      <c r="J79" s="987"/>
      <c r="K79" s="987"/>
      <c r="L79" s="841"/>
    </row>
    <row r="80" spans="1:12" ht="15" customHeight="1">
      <c r="A80" s="19"/>
      <c r="B80" s="93" t="s">
        <v>206</v>
      </c>
      <c r="C80" s="94"/>
      <c r="D80" s="94"/>
      <c r="E80" s="94"/>
      <c r="F80" s="94"/>
      <c r="G80" s="97"/>
      <c r="H80" s="975" t="e">
        <f>'04-22Master'!#REF!</f>
        <v>#REF!</v>
      </c>
      <c r="I80" s="976"/>
      <c r="J80" s="976"/>
      <c r="K80" s="976"/>
      <c r="L80" s="875"/>
    </row>
    <row r="81" spans="1:12">
      <c r="A81" s="19"/>
      <c r="B81" s="93"/>
      <c r="C81" s="94"/>
      <c r="D81" s="94"/>
      <c r="E81" s="94"/>
      <c r="F81" s="94"/>
      <c r="G81" s="97"/>
      <c r="H81" s="975" t="e">
        <f>'04-22Master'!#REF!</f>
        <v>#REF!</v>
      </c>
      <c r="I81" s="976"/>
      <c r="J81" s="976"/>
      <c r="K81" s="976"/>
      <c r="L81" s="875"/>
    </row>
    <row r="82" spans="1:12">
      <c r="A82" s="19"/>
      <c r="B82" s="93"/>
      <c r="C82" s="94"/>
      <c r="D82" s="94"/>
      <c r="E82" s="94"/>
      <c r="F82" s="94"/>
      <c r="G82" s="97"/>
      <c r="H82" s="975" t="e">
        <f>'04-22Master'!#REF!</f>
        <v>#REF!</v>
      </c>
      <c r="I82" s="976"/>
      <c r="J82" s="976"/>
      <c r="K82" s="976"/>
      <c r="L82" s="875"/>
    </row>
    <row r="83" spans="1:12">
      <c r="A83" s="19"/>
      <c r="B83" s="93" t="s">
        <v>213</v>
      </c>
      <c r="C83" s="94"/>
      <c r="D83" s="94"/>
      <c r="E83" s="94"/>
      <c r="F83" s="94"/>
      <c r="G83" s="97"/>
      <c r="H83" s="95"/>
      <c r="I83" s="96"/>
      <c r="J83" s="96"/>
      <c r="K83" s="96"/>
      <c r="L83" s="101"/>
    </row>
    <row r="84" spans="1:12">
      <c r="A84" s="19"/>
      <c r="B84" s="103" t="s">
        <v>214</v>
      </c>
      <c r="C84" s="157"/>
      <c r="D84" s="157"/>
      <c r="E84" s="157"/>
      <c r="F84" s="157"/>
      <c r="G84" s="158"/>
      <c r="H84" s="159"/>
      <c r="I84" s="160"/>
      <c r="J84" s="161"/>
      <c r="K84" s="160"/>
      <c r="L84" s="162"/>
    </row>
    <row r="85" spans="1:12" ht="45">
      <c r="A85" s="19"/>
      <c r="B85" s="93" t="s">
        <v>217</v>
      </c>
      <c r="C85" s="94"/>
      <c r="D85" s="96"/>
      <c r="E85" s="169" t="s">
        <v>219</v>
      </c>
      <c r="F85" s="70"/>
      <c r="G85" s="977" t="s">
        <v>218</v>
      </c>
      <c r="H85" s="978"/>
      <c r="I85" s="173" t="s">
        <v>215</v>
      </c>
      <c r="J85" s="171" t="s">
        <v>220</v>
      </c>
      <c r="K85" s="977" t="s">
        <v>216</v>
      </c>
      <c r="L85" s="979"/>
    </row>
    <row r="86" spans="1:12">
      <c r="A86" s="19"/>
      <c r="B86" s="172">
        <v>1</v>
      </c>
      <c r="C86" s="94"/>
      <c r="D86" s="94"/>
      <c r="E86" s="175">
        <v>2</v>
      </c>
      <c r="F86" s="97"/>
      <c r="G86" s="175">
        <v>3</v>
      </c>
      <c r="H86" s="191"/>
      <c r="I86" s="191">
        <v>4</v>
      </c>
      <c r="J86" s="112">
        <v>5</v>
      </c>
      <c r="K86" s="99"/>
      <c r="L86" s="100">
        <v>6</v>
      </c>
    </row>
    <row r="87" spans="1:12">
      <c r="A87" s="19"/>
      <c r="B87" s="288" t="e">
        <f>'04-22Master'!#REF!</f>
        <v>#REF!</v>
      </c>
      <c r="C87" s="187"/>
      <c r="D87" s="188"/>
      <c r="E87" s="190" t="s">
        <v>376</v>
      </c>
      <c r="F87" s="188"/>
      <c r="G87" s="190" t="s">
        <v>377</v>
      </c>
      <c r="H87" s="70"/>
      <c r="I87" s="16" t="s">
        <v>378</v>
      </c>
      <c r="J87" s="287">
        <v>1</v>
      </c>
      <c r="K87" s="980" t="s">
        <v>37</v>
      </c>
      <c r="L87" s="981"/>
    </row>
    <row r="88" spans="1:12">
      <c r="A88" s="19"/>
      <c r="B88" s="93"/>
      <c r="C88" s="187"/>
      <c r="D88" s="188"/>
      <c r="E88" s="189"/>
      <c r="F88" s="188"/>
      <c r="G88" s="189"/>
      <c r="H88" s="70"/>
      <c r="I88" s="16"/>
      <c r="J88" s="16"/>
      <c r="K88" s="190"/>
      <c r="L88" s="70"/>
    </row>
    <row r="89" spans="1:12">
      <c r="A89" s="19"/>
      <c r="B89" s="93"/>
      <c r="C89" s="187"/>
      <c r="D89" s="188"/>
      <c r="E89" s="189"/>
      <c r="F89" s="188"/>
      <c r="G89" s="189"/>
      <c r="H89" s="70"/>
      <c r="I89" s="16"/>
      <c r="J89" s="16"/>
      <c r="K89" s="190"/>
      <c r="L89" s="70"/>
    </row>
    <row r="90" spans="1:12">
      <c r="A90" s="19"/>
      <c r="B90" s="77"/>
      <c r="C90" s="23"/>
      <c r="D90" s="78"/>
      <c r="E90" s="189"/>
      <c r="F90" s="188"/>
      <c r="G90" s="189"/>
      <c r="H90" s="70"/>
      <c r="I90" s="16"/>
      <c r="J90" s="16"/>
      <c r="K90" s="190"/>
      <c r="L90" s="70"/>
    </row>
    <row r="91" spans="1:12">
      <c r="A91" s="19"/>
      <c r="B91" t="s">
        <v>221</v>
      </c>
      <c r="L91" s="20"/>
    </row>
    <row r="92" spans="1:12">
      <c r="A92" s="19"/>
      <c r="B92" t="s">
        <v>222</v>
      </c>
      <c r="L92" s="20"/>
    </row>
    <row r="93" spans="1:12">
      <c r="A93" s="19"/>
      <c r="B93" t="s">
        <v>223</v>
      </c>
      <c r="L93" s="20"/>
    </row>
    <row r="94" spans="1:12">
      <c r="A94" s="19"/>
      <c r="L94" s="20"/>
    </row>
    <row r="95" spans="1:12" ht="27.95" customHeight="1">
      <c r="A95" s="19"/>
      <c r="I95" t="s">
        <v>224</v>
      </c>
      <c r="L95" s="20"/>
    </row>
    <row r="96" spans="1:12" ht="27.95" customHeight="1">
      <c r="A96" s="19"/>
      <c r="F96" s="177" t="s">
        <v>207</v>
      </c>
      <c r="L96" s="20"/>
    </row>
    <row r="97" spans="1:12" ht="27.95" customHeight="1">
      <c r="A97" s="19" t="s">
        <v>208</v>
      </c>
      <c r="K97" s="227" t="e">
        <f>'04-22Master'!#REF!</f>
        <v>#REF!</v>
      </c>
      <c r="L97" s="20"/>
    </row>
    <row r="98" spans="1:12" ht="27.95" customHeight="1">
      <c r="A98" s="19" t="s">
        <v>209</v>
      </c>
      <c r="L98" s="20"/>
    </row>
    <row r="99" spans="1:12" ht="27.95" customHeight="1">
      <c r="A99" s="19"/>
      <c r="L99" s="20"/>
    </row>
    <row r="100" spans="1:12" ht="27.95" customHeight="1">
      <c r="A100" s="19"/>
      <c r="L100" s="20"/>
    </row>
    <row r="101" spans="1:12" ht="27.95" customHeight="1">
      <c r="A101" s="19"/>
      <c r="F101" t="s">
        <v>210</v>
      </c>
      <c r="L101" s="20"/>
    </row>
    <row r="102" spans="1:12" ht="27.95" customHeight="1">
      <c r="A102" s="19" t="s">
        <v>211</v>
      </c>
      <c r="B102" t="s">
        <v>375</v>
      </c>
      <c r="F102" t="str">
        <f>'04-22Master'!F5</f>
        <v>Burgeon IT Services Pvt.Ltd.</v>
      </c>
      <c r="L102" s="20"/>
    </row>
    <row r="103" spans="1:12" ht="27.95" customHeight="1">
      <c r="A103" s="19" t="s">
        <v>212</v>
      </c>
      <c r="B103" s="286" t="e">
        <f>'04-22Master'!#REF!</f>
        <v>#REF!</v>
      </c>
      <c r="F103" t="str">
        <f>'04-22Master'!F6</f>
        <v>Siri Mansion LIGB 436 Dr.A S Rao Nagar,Hyderabad</v>
      </c>
      <c r="L103" s="20"/>
    </row>
    <row r="104" spans="1:12" ht="27.95" customHeight="1" thickBot="1">
      <c r="A104" s="31"/>
      <c r="B104" s="29"/>
      <c r="C104" s="29"/>
      <c r="D104" s="29"/>
      <c r="E104" s="29"/>
      <c r="F104" s="29"/>
      <c r="G104" s="29"/>
      <c r="H104" s="29"/>
      <c r="I104" s="29"/>
      <c r="J104" s="29"/>
      <c r="K104" s="29"/>
      <c r="L104" s="30"/>
    </row>
    <row r="105" spans="1:12" ht="27.95" customHeight="1">
      <c r="B105" s="178"/>
      <c r="C105" s="174"/>
      <c r="D105" s="174"/>
      <c r="E105" s="174"/>
      <c r="F105" s="174"/>
      <c r="G105" s="174"/>
      <c r="H105" s="994"/>
      <c r="I105" s="995"/>
      <c r="J105" s="995"/>
      <c r="K105" s="995"/>
      <c r="L105" s="995"/>
    </row>
    <row r="106" spans="1:12" ht="27.95" customHeight="1" thickBot="1">
      <c r="B106" s="178"/>
      <c r="C106" s="174"/>
      <c r="D106" s="174"/>
      <c r="E106" s="174"/>
      <c r="F106" s="174"/>
      <c r="G106" s="174"/>
      <c r="H106" s="994"/>
      <c r="I106" s="995"/>
      <c r="J106" s="995"/>
      <c r="K106" s="995"/>
      <c r="L106" s="995"/>
    </row>
    <row r="107" spans="1:12" ht="27.95" customHeight="1">
      <c r="A107" s="81"/>
      <c r="B107" s="854" t="s">
        <v>194</v>
      </c>
      <c r="C107" s="973"/>
      <c r="D107" s="973"/>
      <c r="E107" s="973"/>
      <c r="F107" s="973"/>
      <c r="G107" s="973"/>
      <c r="H107" s="973"/>
      <c r="I107" s="973"/>
      <c r="J107" s="973"/>
      <c r="K107" s="973"/>
      <c r="L107" s="974"/>
    </row>
    <row r="108" spans="1:12" ht="27.95" customHeight="1">
      <c r="A108" s="19"/>
      <c r="B108" s="982" t="s">
        <v>195</v>
      </c>
      <c r="C108" s="982"/>
      <c r="D108" s="982"/>
      <c r="E108" s="982"/>
      <c r="F108" s="982"/>
      <c r="G108" s="982"/>
      <c r="H108" s="982"/>
      <c r="I108" s="982"/>
      <c r="J108" s="982"/>
      <c r="K108" s="982"/>
      <c r="L108" s="858"/>
    </row>
    <row r="109" spans="1:12" ht="27.95" customHeight="1" thickBot="1">
      <c r="A109" s="31"/>
      <c r="B109" s="860" t="s">
        <v>196</v>
      </c>
      <c r="C109" s="860"/>
      <c r="D109" s="860"/>
      <c r="E109" s="860"/>
      <c r="F109" s="860"/>
      <c r="G109" s="860"/>
      <c r="H109" s="860"/>
      <c r="I109" s="860"/>
      <c r="J109" s="860"/>
      <c r="K109" s="860"/>
      <c r="L109" s="861"/>
    </row>
    <row r="110" spans="1:12" ht="27.95" customHeight="1">
      <c r="A110" s="19"/>
      <c r="B110" s="983" t="s">
        <v>117</v>
      </c>
      <c r="C110" s="983"/>
      <c r="D110" s="983"/>
      <c r="E110" s="983"/>
      <c r="F110" s="983"/>
      <c r="H110" s="984" t="s">
        <v>118</v>
      </c>
      <c r="I110" s="984"/>
      <c r="J110" s="984"/>
      <c r="K110" s="984"/>
      <c r="L110" s="985"/>
    </row>
    <row r="111" spans="1:12" ht="27.95" customHeight="1" thickBot="1">
      <c r="A111" s="19"/>
      <c r="B111" s="983"/>
      <c r="C111" s="983"/>
      <c r="D111" s="983"/>
      <c r="E111" s="983"/>
      <c r="F111" s="983"/>
      <c r="H111" s="984"/>
      <c r="I111" s="984"/>
      <c r="J111" s="984"/>
      <c r="K111" s="984"/>
      <c r="L111" s="985"/>
    </row>
    <row r="112" spans="1:12" ht="27.95" customHeight="1">
      <c r="A112" s="19"/>
      <c r="B112" s="81"/>
      <c r="C112" s="82"/>
      <c r="D112" s="82"/>
      <c r="E112" s="82"/>
      <c r="F112" s="83"/>
      <c r="H112" s="81"/>
      <c r="I112" s="82"/>
      <c r="J112" s="82"/>
      <c r="K112" s="82"/>
      <c r="L112" s="83"/>
    </row>
    <row r="113" spans="1:12">
      <c r="A113" s="19"/>
      <c r="B113" s="84" t="str">
        <f>'04-22Master'!F5</f>
        <v>Burgeon IT Services Pvt.Ltd.</v>
      </c>
      <c r="F113" s="20"/>
      <c r="H113" s="84" t="str">
        <f>'04-22Master'!AJ5</f>
        <v>Burgeon IT Services Pvt.Ltd.</v>
      </c>
      <c r="L113" s="20"/>
    </row>
    <row r="114" spans="1:12">
      <c r="A114" s="19"/>
      <c r="B114" s="19"/>
      <c r="F114" s="20"/>
      <c r="H114" s="19"/>
      <c r="L114" s="20"/>
    </row>
    <row r="115" spans="1:12">
      <c r="A115" s="19"/>
      <c r="B115" s="84" t="str">
        <f>'04-22Master'!F6</f>
        <v>Siri Mansion LIGB 436 Dr.A S Rao Nagar,Hyderabad</v>
      </c>
      <c r="F115" s="20"/>
      <c r="H115" s="84" t="str">
        <f>'04-22Master'!AJ6</f>
        <v>Siri Mansion LIGB 436 Dr.A S Rao Nagar,Hyderabad</v>
      </c>
      <c r="L115" s="20"/>
    </row>
    <row r="116" spans="1:12" ht="15.75" thickBot="1">
      <c r="A116" s="19"/>
      <c r="B116" s="31"/>
      <c r="C116" s="29"/>
      <c r="D116" s="29"/>
      <c r="E116" s="29"/>
      <c r="F116" s="30"/>
      <c r="H116" s="31"/>
      <c r="I116" s="29"/>
      <c r="J116" s="29"/>
      <c r="K116" s="29"/>
      <c r="L116" s="30"/>
    </row>
    <row r="117" spans="1:12">
      <c r="A117" s="19"/>
      <c r="J117" t="s">
        <v>119</v>
      </c>
      <c r="L117" s="20"/>
    </row>
    <row r="118" spans="1:12">
      <c r="A118" s="19"/>
      <c r="B118" s="750" t="s">
        <v>120</v>
      </c>
      <c r="C118" s="750"/>
      <c r="D118" s="750"/>
      <c r="E118" s="750"/>
      <c r="F118" s="750"/>
      <c r="H118" s="750" t="s">
        <v>4</v>
      </c>
      <c r="I118" s="750"/>
      <c r="J118" s="750"/>
      <c r="K118" s="750"/>
      <c r="L118" s="870"/>
    </row>
    <row r="119" spans="1:12" ht="15.75" thickBot="1">
      <c r="A119" s="19"/>
      <c r="L119" s="20"/>
    </row>
    <row r="120" spans="1:12">
      <c r="A120" s="19"/>
      <c r="B120" s="81"/>
      <c r="C120" s="82"/>
      <c r="D120" s="82"/>
      <c r="E120" s="82"/>
      <c r="F120" s="83"/>
      <c r="H120" s="85"/>
      <c r="I120" s="86"/>
      <c r="J120" s="86"/>
      <c r="K120" s="86"/>
      <c r="L120" s="87"/>
    </row>
    <row r="121" spans="1:12">
      <c r="A121" s="19"/>
      <c r="B121" s="19"/>
      <c r="F121" s="20"/>
      <c r="H121" s="84" t="str">
        <f>'04-22Master'!AJ10</f>
        <v xml:space="preserve">INFOSYS  LTD.IL Hyderabad SEZ Unit-3 </v>
      </c>
      <c r="I121" s="3"/>
      <c r="J121" s="3"/>
      <c r="K121" s="3"/>
      <c r="L121" s="88"/>
    </row>
    <row r="122" spans="1:12">
      <c r="A122" s="19"/>
      <c r="B122" s="84" t="str">
        <f>'04-22Master'!F8</f>
        <v>IT SUPPORTIVE SERVICES</v>
      </c>
      <c r="F122" s="20"/>
      <c r="H122" s="84"/>
      <c r="I122" s="3"/>
      <c r="J122" s="3"/>
      <c r="K122" s="3"/>
      <c r="L122" s="88"/>
    </row>
    <row r="123" spans="1:12">
      <c r="A123" s="19"/>
      <c r="B123" s="19"/>
      <c r="F123" s="20"/>
      <c r="H123" s="84" t="str">
        <f>'04-22Master'!AJ11</f>
        <v>Sy.No 42,Pocharam Village,Gatkesar Mandal</v>
      </c>
      <c r="I123" s="3"/>
      <c r="J123" s="3"/>
      <c r="K123" s="3"/>
      <c r="L123" s="88"/>
    </row>
    <row r="124" spans="1:12" ht="15.75" thickBot="1">
      <c r="A124" s="19"/>
      <c r="B124" s="31"/>
      <c r="C124" s="29"/>
      <c r="D124" s="29"/>
      <c r="E124" s="29"/>
      <c r="F124" s="30"/>
      <c r="H124" s="89"/>
      <c r="I124" s="90"/>
      <c r="J124" s="90"/>
      <c r="K124" s="90"/>
      <c r="L124" s="91"/>
    </row>
    <row r="125" spans="1:12">
      <c r="A125" s="92"/>
      <c r="B125" s="972" t="s">
        <v>197</v>
      </c>
      <c r="C125" s="972"/>
      <c r="D125" s="972"/>
      <c r="E125" s="972"/>
      <c r="F125" s="972"/>
      <c r="G125" s="972"/>
      <c r="H125" s="992" t="e">
        <f>'04-22Master'!#REF!</f>
        <v>#REF!</v>
      </c>
      <c r="I125" s="987"/>
      <c r="J125" s="987"/>
      <c r="K125" s="987"/>
      <c r="L125" s="841"/>
    </row>
    <row r="126" spans="1:12">
      <c r="A126" s="92"/>
      <c r="B126" s="993" t="s">
        <v>198</v>
      </c>
      <c r="C126" s="993"/>
      <c r="D126" s="993"/>
      <c r="E126" s="993"/>
      <c r="F126" s="993"/>
      <c r="G126" s="993"/>
      <c r="H126" s="992" t="e">
        <f>'04-22Master'!#REF!</f>
        <v>#REF!</v>
      </c>
      <c r="I126" s="987"/>
      <c r="J126" s="987"/>
      <c r="K126" s="987"/>
      <c r="L126" s="841"/>
    </row>
    <row r="127" spans="1:12">
      <c r="A127" s="92"/>
      <c r="B127" s="972" t="s">
        <v>199</v>
      </c>
      <c r="C127" s="972"/>
      <c r="D127" s="972"/>
      <c r="E127" s="972"/>
      <c r="F127" s="972"/>
      <c r="G127" s="972"/>
      <c r="H127" s="992" t="e">
        <f>'04-22Master'!#REF!</f>
        <v>#REF!</v>
      </c>
      <c r="I127" s="987"/>
      <c r="J127" s="987"/>
      <c r="K127" s="987"/>
      <c r="L127" s="841"/>
    </row>
    <row r="128" spans="1:12">
      <c r="A128" s="92"/>
      <c r="B128" s="972" t="s">
        <v>200</v>
      </c>
      <c r="C128" s="972"/>
      <c r="D128" s="972"/>
      <c r="E128" s="972"/>
      <c r="F128" s="972"/>
      <c r="G128" s="972"/>
      <c r="H128" s="986" t="e">
        <f>'04-22Master'!#REF!</f>
        <v>#REF!</v>
      </c>
      <c r="I128" s="987"/>
      <c r="J128" s="987"/>
      <c r="K128" s="987"/>
      <c r="L128" s="841"/>
    </row>
    <row r="129" spans="1:12">
      <c r="A129" s="92"/>
      <c r="B129" s="93" t="s">
        <v>202</v>
      </c>
      <c r="C129" s="94"/>
      <c r="D129" s="94"/>
      <c r="E129" s="94"/>
      <c r="F129" s="94"/>
      <c r="G129" s="94"/>
      <c r="H129" s="988" t="s">
        <v>203</v>
      </c>
      <c r="I129" s="989"/>
      <c r="J129" s="989"/>
      <c r="K129" s="989"/>
      <c r="L129" s="990"/>
    </row>
    <row r="130" spans="1:12">
      <c r="A130" s="92"/>
      <c r="B130" s="93" t="s">
        <v>204</v>
      </c>
      <c r="C130" s="94"/>
      <c r="D130" s="94"/>
      <c r="E130" s="94"/>
      <c r="F130" s="94"/>
      <c r="G130" s="94"/>
      <c r="H130" s="95"/>
      <c r="I130" s="96"/>
      <c r="J130" s="176"/>
      <c r="K130" s="96"/>
      <c r="L130" s="101"/>
    </row>
    <row r="131" spans="1:12">
      <c r="A131" s="92"/>
      <c r="B131" s="834" t="s">
        <v>205</v>
      </c>
      <c r="C131" s="834"/>
      <c r="D131" s="834"/>
      <c r="E131" s="834"/>
      <c r="F131" s="834"/>
      <c r="G131" s="834"/>
      <c r="H131" s="835" t="e">
        <f>'04-22Master'!#REF!</f>
        <v>#REF!</v>
      </c>
      <c r="I131" s="849"/>
      <c r="J131" s="849"/>
      <c r="K131" s="849"/>
      <c r="L131" s="850"/>
    </row>
    <row r="132" spans="1:12">
      <c r="A132" s="92"/>
      <c r="B132" s="972"/>
      <c r="C132" s="972"/>
      <c r="D132" s="972"/>
      <c r="E132" s="972"/>
      <c r="F132" s="972"/>
      <c r="G132" s="972"/>
      <c r="H132" s="991" t="e">
        <f>'04-22Master'!#REF!</f>
        <v>#REF!</v>
      </c>
      <c r="I132" s="987"/>
      <c r="J132" s="987"/>
      <c r="K132" s="987"/>
      <c r="L132" s="841"/>
    </row>
    <row r="133" spans="1:12">
      <c r="A133" s="19"/>
      <c r="B133" s="972"/>
      <c r="C133" s="972"/>
      <c r="D133" s="972"/>
      <c r="E133" s="972"/>
      <c r="F133" s="972"/>
      <c r="G133" s="972"/>
      <c r="H133" s="992" t="e">
        <f>'04-22Master'!#REF!</f>
        <v>#REF!</v>
      </c>
      <c r="I133" s="987"/>
      <c r="J133" s="987"/>
      <c r="K133" s="987"/>
      <c r="L133" s="841"/>
    </row>
    <row r="134" spans="1:12">
      <c r="A134" s="19"/>
      <c r="B134" s="93" t="s">
        <v>206</v>
      </c>
      <c r="C134" s="94"/>
      <c r="D134" s="94"/>
      <c r="E134" s="94"/>
      <c r="F134" s="94"/>
      <c r="G134" s="97"/>
      <c r="H134" s="975" t="e">
        <f>'04-22Master'!#REF!</f>
        <v>#REF!</v>
      </c>
      <c r="I134" s="976"/>
      <c r="J134" s="976"/>
      <c r="K134" s="976"/>
      <c r="L134" s="875"/>
    </row>
    <row r="135" spans="1:12">
      <c r="A135" s="19"/>
      <c r="B135" s="93"/>
      <c r="C135" s="94"/>
      <c r="D135" s="94"/>
      <c r="E135" s="94"/>
      <c r="F135" s="94"/>
      <c r="G135" s="97"/>
      <c r="H135" s="975" t="e">
        <f>'04-22Master'!#REF!</f>
        <v>#REF!</v>
      </c>
      <c r="I135" s="976"/>
      <c r="J135" s="976"/>
      <c r="K135" s="976"/>
      <c r="L135" s="875"/>
    </row>
    <row r="136" spans="1:12">
      <c r="A136" s="19"/>
      <c r="B136" s="93"/>
      <c r="C136" s="94"/>
      <c r="D136" s="94"/>
      <c r="E136" s="94"/>
      <c r="F136" s="94"/>
      <c r="G136" s="97"/>
      <c r="H136" s="975" t="e">
        <f>'04-22Master'!#REF!</f>
        <v>#REF!</v>
      </c>
      <c r="I136" s="976"/>
      <c r="J136" s="976"/>
      <c r="K136" s="976"/>
      <c r="L136" s="875"/>
    </row>
    <row r="137" spans="1:12">
      <c r="A137" s="19"/>
      <c r="B137" s="93" t="s">
        <v>213</v>
      </c>
      <c r="C137" s="94"/>
      <c r="D137" s="94"/>
      <c r="E137" s="94"/>
      <c r="F137" s="94"/>
      <c r="G137" s="97"/>
      <c r="H137" s="95"/>
      <c r="I137" s="96"/>
      <c r="J137" s="96"/>
      <c r="K137" s="96"/>
      <c r="L137" s="101"/>
    </row>
    <row r="138" spans="1:12">
      <c r="A138" s="19"/>
      <c r="B138" s="103" t="s">
        <v>214</v>
      </c>
      <c r="C138" s="157"/>
      <c r="D138" s="157"/>
      <c r="E138" s="157"/>
      <c r="F138" s="157"/>
      <c r="G138" s="158"/>
      <c r="H138" s="159"/>
      <c r="I138" s="160"/>
      <c r="J138" s="161"/>
      <c r="K138" s="160"/>
      <c r="L138" s="162"/>
    </row>
    <row r="139" spans="1:12" ht="45">
      <c r="A139" s="19"/>
      <c r="B139" s="93" t="s">
        <v>217</v>
      </c>
      <c r="C139" s="94"/>
      <c r="D139" s="96"/>
      <c r="E139" s="169" t="s">
        <v>219</v>
      </c>
      <c r="F139" s="70"/>
      <c r="G139" s="977" t="s">
        <v>218</v>
      </c>
      <c r="H139" s="978"/>
      <c r="I139" s="173" t="s">
        <v>215</v>
      </c>
      <c r="J139" s="171" t="s">
        <v>220</v>
      </c>
      <c r="K139" s="977" t="s">
        <v>216</v>
      </c>
      <c r="L139" s="979"/>
    </row>
    <row r="140" spans="1:12">
      <c r="A140" s="19"/>
      <c r="B140" s="172">
        <v>1</v>
      </c>
      <c r="C140" s="94"/>
      <c r="D140" s="94"/>
      <c r="E140" s="175">
        <v>2</v>
      </c>
      <c r="F140" s="97"/>
      <c r="G140" s="175">
        <v>3</v>
      </c>
      <c r="H140" s="191"/>
      <c r="I140" s="191">
        <v>4</v>
      </c>
      <c r="J140" s="112">
        <v>5</v>
      </c>
      <c r="K140" s="99"/>
      <c r="L140" s="100">
        <v>6</v>
      </c>
    </row>
    <row r="141" spans="1:12">
      <c r="A141" s="19"/>
      <c r="B141" s="288" t="e">
        <f>'04-22Master'!#REF!</f>
        <v>#REF!</v>
      </c>
      <c r="C141" s="187"/>
      <c r="D141" s="188"/>
      <c r="E141" s="190" t="s">
        <v>376</v>
      </c>
      <c r="F141" s="188"/>
      <c r="G141" s="190" t="s">
        <v>377</v>
      </c>
      <c r="H141" s="70"/>
      <c r="I141" s="16" t="s">
        <v>378</v>
      </c>
      <c r="J141" s="287">
        <v>1</v>
      </c>
      <c r="K141" s="980" t="s">
        <v>37</v>
      </c>
      <c r="L141" s="981"/>
    </row>
    <row r="142" spans="1:12">
      <c r="A142" s="19"/>
      <c r="B142" s="93"/>
      <c r="C142" s="187"/>
      <c r="D142" s="188"/>
      <c r="E142" s="189"/>
      <c r="F142" s="188"/>
      <c r="G142" s="189"/>
      <c r="H142" s="70"/>
      <c r="I142" s="16"/>
      <c r="J142" s="16"/>
      <c r="K142" s="190"/>
      <c r="L142" s="70"/>
    </row>
    <row r="143" spans="1:12">
      <c r="A143" s="19"/>
      <c r="B143" s="93"/>
      <c r="C143" s="187"/>
      <c r="D143" s="188"/>
      <c r="E143" s="189"/>
      <c r="F143" s="188"/>
      <c r="G143" s="189"/>
      <c r="H143" s="70"/>
      <c r="I143" s="16"/>
      <c r="J143" s="16"/>
      <c r="K143" s="190"/>
      <c r="L143" s="70"/>
    </row>
    <row r="144" spans="1:12">
      <c r="A144" s="19"/>
      <c r="B144" s="77"/>
      <c r="C144" s="23"/>
      <c r="D144" s="78"/>
      <c r="E144" s="189"/>
      <c r="F144" s="188"/>
      <c r="G144" s="189"/>
      <c r="H144" s="70"/>
      <c r="I144" s="16"/>
      <c r="J144" s="16"/>
      <c r="K144" s="190"/>
      <c r="L144" s="70"/>
    </row>
    <row r="145" spans="1:12">
      <c r="A145" s="19"/>
      <c r="B145" t="s">
        <v>221</v>
      </c>
      <c r="L145" s="20"/>
    </row>
    <row r="146" spans="1:12">
      <c r="A146" s="19"/>
      <c r="B146" t="s">
        <v>222</v>
      </c>
      <c r="L146" s="20"/>
    </row>
    <row r="147" spans="1:12">
      <c r="A147" s="19"/>
      <c r="B147" t="s">
        <v>223</v>
      </c>
      <c r="L147" s="20"/>
    </row>
    <row r="148" spans="1:12" ht="27.95" customHeight="1">
      <c r="A148" s="19"/>
      <c r="L148" s="20"/>
    </row>
    <row r="149" spans="1:12" ht="27.95" customHeight="1">
      <c r="A149" s="19"/>
      <c r="I149" t="s">
        <v>224</v>
      </c>
      <c r="L149" s="20"/>
    </row>
    <row r="150" spans="1:12" ht="27.95" customHeight="1">
      <c r="A150" s="19"/>
      <c r="F150" s="177" t="s">
        <v>207</v>
      </c>
      <c r="L150" s="20"/>
    </row>
    <row r="151" spans="1:12" ht="27.95" customHeight="1">
      <c r="A151" s="19" t="s">
        <v>208</v>
      </c>
      <c r="K151" s="227" t="e">
        <f>'04-22Master'!#REF!</f>
        <v>#REF!</v>
      </c>
      <c r="L151" s="20"/>
    </row>
    <row r="152" spans="1:12" ht="27.95" customHeight="1">
      <c r="A152" s="19" t="s">
        <v>209</v>
      </c>
      <c r="L152" s="20"/>
    </row>
    <row r="153" spans="1:12" ht="27.95" customHeight="1">
      <c r="A153" s="19"/>
      <c r="L153" s="20"/>
    </row>
    <row r="154" spans="1:12" ht="27.95" customHeight="1">
      <c r="A154" s="19"/>
      <c r="L154" s="20"/>
    </row>
    <row r="155" spans="1:12" ht="27.95" customHeight="1">
      <c r="A155" s="19"/>
      <c r="F155" t="s">
        <v>210</v>
      </c>
      <c r="L155" s="20"/>
    </row>
    <row r="156" spans="1:12" ht="27.95" customHeight="1">
      <c r="A156" s="19" t="s">
        <v>211</v>
      </c>
      <c r="B156" t="s">
        <v>375</v>
      </c>
      <c r="F156" t="str">
        <f>'04-22Master'!F5</f>
        <v>Burgeon IT Services Pvt.Ltd.</v>
      </c>
      <c r="L156" s="20"/>
    </row>
    <row r="157" spans="1:12" ht="27.95" customHeight="1">
      <c r="A157" s="19" t="s">
        <v>212</v>
      </c>
      <c r="B157" s="286" t="e">
        <f>'04-22Master'!#REF!</f>
        <v>#REF!</v>
      </c>
      <c r="F157" t="str">
        <f>'04-22Master'!F6</f>
        <v>Siri Mansion LIGB 436 Dr.A S Rao Nagar,Hyderabad</v>
      </c>
      <c r="L157" s="20"/>
    </row>
    <row r="158" spans="1:12" ht="27.95" customHeight="1" thickBot="1">
      <c r="A158" s="31"/>
      <c r="B158" s="29"/>
      <c r="C158" s="29"/>
      <c r="D158" s="29"/>
      <c r="E158" s="29"/>
      <c r="F158" s="29"/>
      <c r="G158" s="29"/>
      <c r="H158" s="29"/>
      <c r="I158" s="29"/>
      <c r="J158" s="29"/>
      <c r="K158" s="29"/>
      <c r="L158" s="30"/>
    </row>
    <row r="159" spans="1:12" ht="27.95" customHeight="1" thickBot="1">
      <c r="B159" s="178"/>
      <c r="C159" s="174"/>
      <c r="D159" s="174"/>
      <c r="E159" s="174"/>
      <c r="F159" s="174"/>
      <c r="G159" s="174"/>
      <c r="H159" s="163"/>
      <c r="I159" s="163"/>
      <c r="J159" s="164"/>
      <c r="K159" s="163"/>
      <c r="L159" s="163"/>
    </row>
    <row r="160" spans="1:12" ht="27.95" customHeight="1">
      <c r="A160" s="81"/>
      <c r="B160" s="854" t="s">
        <v>194</v>
      </c>
      <c r="C160" s="973"/>
      <c r="D160" s="973"/>
      <c r="E160" s="973"/>
      <c r="F160" s="973"/>
      <c r="G160" s="973"/>
      <c r="H160" s="973"/>
      <c r="I160" s="973"/>
      <c r="J160" s="973"/>
      <c r="K160" s="973"/>
      <c r="L160" s="974"/>
    </row>
    <row r="161" spans="1:12" ht="27.95" customHeight="1">
      <c r="A161" s="19"/>
      <c r="B161" s="982" t="s">
        <v>195</v>
      </c>
      <c r="C161" s="982"/>
      <c r="D161" s="982"/>
      <c r="E161" s="982"/>
      <c r="F161" s="982"/>
      <c r="G161" s="982"/>
      <c r="H161" s="982"/>
      <c r="I161" s="982"/>
      <c r="J161" s="982"/>
      <c r="K161" s="982"/>
      <c r="L161" s="858"/>
    </row>
    <row r="162" spans="1:12" ht="27.95" customHeight="1" thickBot="1">
      <c r="A162" s="31"/>
      <c r="B162" s="860" t="s">
        <v>196</v>
      </c>
      <c r="C162" s="860"/>
      <c r="D162" s="860"/>
      <c r="E162" s="860"/>
      <c r="F162" s="860"/>
      <c r="G162" s="860"/>
      <c r="H162" s="860"/>
      <c r="I162" s="860"/>
      <c r="J162" s="860"/>
      <c r="K162" s="860"/>
      <c r="L162" s="861"/>
    </row>
    <row r="163" spans="1:12" ht="27.95" customHeight="1">
      <c r="A163" s="19"/>
      <c r="B163" s="983" t="s">
        <v>117</v>
      </c>
      <c r="C163" s="983"/>
      <c r="D163" s="983"/>
      <c r="E163" s="983"/>
      <c r="F163" s="983"/>
      <c r="H163" s="984" t="s">
        <v>118</v>
      </c>
      <c r="I163" s="984"/>
      <c r="J163" s="984"/>
      <c r="K163" s="984"/>
      <c r="L163" s="985"/>
    </row>
    <row r="164" spans="1:12" ht="27.95" customHeight="1" thickBot="1">
      <c r="A164" s="19"/>
      <c r="B164" s="983"/>
      <c r="C164" s="983"/>
      <c r="D164" s="983"/>
      <c r="E164" s="983"/>
      <c r="F164" s="983"/>
      <c r="H164" s="984"/>
      <c r="I164" s="984"/>
      <c r="J164" s="984"/>
      <c r="K164" s="984"/>
      <c r="L164" s="985"/>
    </row>
    <row r="165" spans="1:12" ht="27.95" customHeight="1">
      <c r="A165" s="19"/>
      <c r="B165" s="81"/>
      <c r="C165" s="82"/>
      <c r="D165" s="82"/>
      <c r="E165" s="82"/>
      <c r="F165" s="83"/>
      <c r="H165" s="81"/>
      <c r="I165" s="82"/>
      <c r="J165" s="82"/>
      <c r="K165" s="82"/>
      <c r="L165" s="83"/>
    </row>
    <row r="166" spans="1:12">
      <c r="A166" s="19"/>
      <c r="B166" s="84" t="str">
        <f>'04-22Master'!F5</f>
        <v>Burgeon IT Services Pvt.Ltd.</v>
      </c>
      <c r="F166" s="20"/>
      <c r="H166" s="84" t="str">
        <f>'04-22Master'!AJ5</f>
        <v>Burgeon IT Services Pvt.Ltd.</v>
      </c>
      <c r="L166" s="20"/>
    </row>
    <row r="167" spans="1:12">
      <c r="A167" s="19"/>
      <c r="B167" s="19"/>
      <c r="F167" s="20"/>
      <c r="H167" s="19"/>
      <c r="L167" s="20"/>
    </row>
    <row r="168" spans="1:12">
      <c r="A168" s="19"/>
      <c r="B168" s="84" t="str">
        <f>'04-22Master'!F6</f>
        <v>Siri Mansion LIGB 436 Dr.A S Rao Nagar,Hyderabad</v>
      </c>
      <c r="F168" s="20"/>
      <c r="H168" s="84" t="str">
        <f>'04-22Master'!AJ6</f>
        <v>Siri Mansion LIGB 436 Dr.A S Rao Nagar,Hyderabad</v>
      </c>
      <c r="L168" s="20"/>
    </row>
    <row r="169" spans="1:12" ht="15.75" thickBot="1">
      <c r="A169" s="19"/>
      <c r="B169" s="31"/>
      <c r="C169" s="29"/>
      <c r="D169" s="29"/>
      <c r="E169" s="29"/>
      <c r="F169" s="30"/>
      <c r="H169" s="31"/>
      <c r="I169" s="29"/>
      <c r="J169" s="29"/>
      <c r="K169" s="29"/>
      <c r="L169" s="30"/>
    </row>
    <row r="170" spans="1:12">
      <c r="A170" s="19"/>
      <c r="J170" t="s">
        <v>119</v>
      </c>
      <c r="L170" s="20"/>
    </row>
    <row r="171" spans="1:12">
      <c r="A171" s="19"/>
      <c r="B171" s="750" t="s">
        <v>120</v>
      </c>
      <c r="C171" s="750"/>
      <c r="D171" s="750"/>
      <c r="E171" s="750"/>
      <c r="F171" s="750"/>
      <c r="H171" s="750" t="s">
        <v>4</v>
      </c>
      <c r="I171" s="750"/>
      <c r="J171" s="750"/>
      <c r="K171" s="750"/>
      <c r="L171" s="870"/>
    </row>
    <row r="172" spans="1:12" ht="15.75" thickBot="1">
      <c r="A172" s="19"/>
      <c r="L172" s="20"/>
    </row>
    <row r="173" spans="1:12">
      <c r="A173" s="19"/>
      <c r="B173" s="81"/>
      <c r="C173" s="82"/>
      <c r="D173" s="82"/>
      <c r="E173" s="82"/>
      <c r="F173" s="83"/>
      <c r="H173" s="85"/>
      <c r="I173" s="86"/>
      <c r="J173" s="86"/>
      <c r="K173" s="86"/>
      <c r="L173" s="87"/>
    </row>
    <row r="174" spans="1:12">
      <c r="A174" s="19"/>
      <c r="B174" s="19"/>
      <c r="F174" s="20"/>
      <c r="H174" s="84" t="str">
        <f>'04-22Master'!AJ10</f>
        <v xml:space="preserve">INFOSYS  LTD.IL Hyderabad SEZ Unit-3 </v>
      </c>
      <c r="I174" s="3"/>
      <c r="J174" s="3"/>
      <c r="K174" s="3"/>
      <c r="L174" s="88"/>
    </row>
    <row r="175" spans="1:12">
      <c r="A175" s="19"/>
      <c r="B175" s="84" t="str">
        <f>'04-22Master'!F8</f>
        <v>IT SUPPORTIVE SERVICES</v>
      </c>
      <c r="F175" s="20"/>
      <c r="H175" s="84"/>
      <c r="I175" s="3"/>
      <c r="J175" s="3"/>
      <c r="K175" s="3"/>
      <c r="L175" s="88"/>
    </row>
    <row r="176" spans="1:12">
      <c r="A176" s="19"/>
      <c r="B176" s="19"/>
      <c r="F176" s="20"/>
      <c r="H176" s="84" t="str">
        <f>'04-22Master'!AJ11</f>
        <v>Sy.No 42,Pocharam Village,Gatkesar Mandal</v>
      </c>
      <c r="I176" s="3"/>
      <c r="J176" s="3"/>
      <c r="K176" s="3"/>
      <c r="L176" s="88"/>
    </row>
    <row r="177" spans="1:12" ht="15.75" thickBot="1">
      <c r="A177" s="19"/>
      <c r="B177" s="31"/>
      <c r="C177" s="29"/>
      <c r="D177" s="29"/>
      <c r="E177" s="29"/>
      <c r="F177" s="30"/>
      <c r="H177" s="89"/>
      <c r="I177" s="90"/>
      <c r="J177" s="90"/>
      <c r="K177" s="90"/>
      <c r="L177" s="91"/>
    </row>
    <row r="178" spans="1:12">
      <c r="A178" s="92"/>
      <c r="B178" s="972" t="s">
        <v>197</v>
      </c>
      <c r="C178" s="972"/>
      <c r="D178" s="972"/>
      <c r="E178" s="972"/>
      <c r="F178" s="972"/>
      <c r="G178" s="972"/>
      <c r="H178" s="992" t="e">
        <f>'04-22Master'!#REF!</f>
        <v>#REF!</v>
      </c>
      <c r="I178" s="987"/>
      <c r="J178" s="987"/>
      <c r="K178" s="987"/>
      <c r="L178" s="841"/>
    </row>
    <row r="179" spans="1:12">
      <c r="A179" s="92"/>
      <c r="B179" s="993" t="s">
        <v>198</v>
      </c>
      <c r="C179" s="993"/>
      <c r="D179" s="993"/>
      <c r="E179" s="993"/>
      <c r="F179" s="993"/>
      <c r="G179" s="993"/>
      <c r="H179" s="992" t="e">
        <f>'04-22Master'!#REF!</f>
        <v>#REF!</v>
      </c>
      <c r="I179" s="987"/>
      <c r="J179" s="987"/>
      <c r="K179" s="987"/>
      <c r="L179" s="841"/>
    </row>
    <row r="180" spans="1:12">
      <c r="A180" s="92"/>
      <c r="B180" s="972" t="s">
        <v>199</v>
      </c>
      <c r="C180" s="972"/>
      <c r="D180" s="972"/>
      <c r="E180" s="972"/>
      <c r="F180" s="972"/>
      <c r="G180" s="972"/>
      <c r="H180" s="992" t="e">
        <f>'04-22Master'!#REF!</f>
        <v>#REF!</v>
      </c>
      <c r="I180" s="987"/>
      <c r="J180" s="987"/>
      <c r="K180" s="987"/>
      <c r="L180" s="841"/>
    </row>
    <row r="181" spans="1:12">
      <c r="A181" s="92"/>
      <c r="B181" s="972" t="s">
        <v>200</v>
      </c>
      <c r="C181" s="972"/>
      <c r="D181" s="972"/>
      <c r="E181" s="972"/>
      <c r="F181" s="972"/>
      <c r="G181" s="972"/>
      <c r="H181" s="986" t="e">
        <f>'04-22Master'!#REF!</f>
        <v>#REF!</v>
      </c>
      <c r="I181" s="987"/>
      <c r="J181" s="987"/>
      <c r="K181" s="987"/>
      <c r="L181" s="841"/>
    </row>
    <row r="182" spans="1:12">
      <c r="A182" s="92"/>
      <c r="B182" s="93" t="s">
        <v>202</v>
      </c>
      <c r="C182" s="94"/>
      <c r="D182" s="94"/>
      <c r="E182" s="94"/>
      <c r="F182" s="94"/>
      <c r="G182" s="94"/>
      <c r="H182" s="988" t="s">
        <v>203</v>
      </c>
      <c r="I182" s="989"/>
      <c r="J182" s="989"/>
      <c r="K182" s="989"/>
      <c r="L182" s="990"/>
    </row>
    <row r="183" spans="1:12">
      <c r="A183" s="92"/>
      <c r="B183" s="93" t="s">
        <v>204</v>
      </c>
      <c r="C183" s="94"/>
      <c r="D183" s="94"/>
      <c r="E183" s="94"/>
      <c r="F183" s="94"/>
      <c r="G183" s="94"/>
      <c r="H183" s="95"/>
      <c r="I183" s="96"/>
      <c r="J183" s="176"/>
      <c r="K183" s="96"/>
      <c r="L183" s="101"/>
    </row>
    <row r="184" spans="1:12">
      <c r="A184" s="92"/>
      <c r="B184" s="834" t="s">
        <v>205</v>
      </c>
      <c r="C184" s="834"/>
      <c r="D184" s="834"/>
      <c r="E184" s="834"/>
      <c r="F184" s="834"/>
      <c r="G184" s="834"/>
      <c r="H184" s="835" t="e">
        <f>'04-22Master'!#REF!</f>
        <v>#REF!</v>
      </c>
      <c r="I184" s="849"/>
      <c r="J184" s="849"/>
      <c r="K184" s="849"/>
      <c r="L184" s="850"/>
    </row>
    <row r="185" spans="1:12">
      <c r="A185" s="92"/>
      <c r="B185" s="972"/>
      <c r="C185" s="972"/>
      <c r="D185" s="972"/>
      <c r="E185" s="972"/>
      <c r="F185" s="972"/>
      <c r="G185" s="972"/>
      <c r="H185" s="991" t="e">
        <f>'04-22Master'!#REF!</f>
        <v>#REF!</v>
      </c>
      <c r="I185" s="987"/>
      <c r="J185" s="987"/>
      <c r="K185" s="987"/>
      <c r="L185" s="841"/>
    </row>
    <row r="186" spans="1:12">
      <c r="A186" s="19"/>
      <c r="B186" s="972"/>
      <c r="C186" s="972"/>
      <c r="D186" s="972"/>
      <c r="E186" s="972"/>
      <c r="F186" s="972"/>
      <c r="G186" s="972"/>
      <c r="H186" s="992" t="e">
        <f>'04-22Master'!#REF!</f>
        <v>#REF!</v>
      </c>
      <c r="I186" s="987"/>
      <c r="J186" s="987"/>
      <c r="K186" s="987"/>
      <c r="L186" s="841"/>
    </row>
    <row r="187" spans="1:12">
      <c r="A187" s="19"/>
      <c r="B187" s="93" t="s">
        <v>206</v>
      </c>
      <c r="C187" s="94"/>
      <c r="D187" s="94"/>
      <c r="E187" s="94"/>
      <c r="F187" s="94"/>
      <c r="G187" s="97"/>
      <c r="H187" s="975" t="e">
        <f>'04-22Master'!#REF!</f>
        <v>#REF!</v>
      </c>
      <c r="I187" s="976"/>
      <c r="J187" s="976"/>
      <c r="K187" s="976"/>
      <c r="L187" s="875"/>
    </row>
    <row r="188" spans="1:12">
      <c r="A188" s="19"/>
      <c r="B188" s="93"/>
      <c r="C188" s="94"/>
      <c r="D188" s="94"/>
      <c r="E188" s="94"/>
      <c r="F188" s="94"/>
      <c r="G188" s="97"/>
      <c r="H188" s="975" t="e">
        <f>'04-22Master'!#REF!</f>
        <v>#REF!</v>
      </c>
      <c r="I188" s="976"/>
      <c r="J188" s="976"/>
      <c r="K188" s="976"/>
      <c r="L188" s="875"/>
    </row>
    <row r="189" spans="1:12">
      <c r="A189" s="19"/>
      <c r="B189" s="93"/>
      <c r="C189" s="94"/>
      <c r="D189" s="94"/>
      <c r="E189" s="94"/>
      <c r="F189" s="94"/>
      <c r="G189" s="97"/>
      <c r="H189" s="975" t="e">
        <f>'04-22Master'!#REF!</f>
        <v>#REF!</v>
      </c>
      <c r="I189" s="976"/>
      <c r="J189" s="976"/>
      <c r="K189" s="976"/>
      <c r="L189" s="875"/>
    </row>
    <row r="190" spans="1:12">
      <c r="A190" s="19"/>
      <c r="B190" s="93" t="s">
        <v>213</v>
      </c>
      <c r="C190" s="94"/>
      <c r="D190" s="94"/>
      <c r="E190" s="94"/>
      <c r="F190" s="94"/>
      <c r="G190" s="97"/>
      <c r="H190" s="95"/>
      <c r="I190" s="96"/>
      <c r="J190" s="96"/>
      <c r="K190" s="96"/>
      <c r="L190" s="101"/>
    </row>
    <row r="191" spans="1:12">
      <c r="A191" s="19"/>
      <c r="B191" s="103" t="s">
        <v>214</v>
      </c>
      <c r="C191" s="157"/>
      <c r="D191" s="157"/>
      <c r="E191" s="157"/>
      <c r="F191" s="157"/>
      <c r="G191" s="158"/>
      <c r="H191" s="159"/>
      <c r="I191" s="160"/>
      <c r="J191" s="161"/>
      <c r="K191" s="160"/>
      <c r="L191" s="162"/>
    </row>
    <row r="192" spans="1:12" ht="45">
      <c r="A192" s="19"/>
      <c r="B192" s="93" t="s">
        <v>217</v>
      </c>
      <c r="C192" s="94"/>
      <c r="D192" s="96"/>
      <c r="E192" s="169" t="s">
        <v>219</v>
      </c>
      <c r="F192" s="70"/>
      <c r="G192" s="977" t="s">
        <v>218</v>
      </c>
      <c r="H192" s="978"/>
      <c r="I192" s="173" t="s">
        <v>215</v>
      </c>
      <c r="J192" s="171" t="s">
        <v>220</v>
      </c>
      <c r="K192" s="977" t="s">
        <v>216</v>
      </c>
      <c r="L192" s="979"/>
    </row>
    <row r="193" spans="1:12">
      <c r="A193" s="19"/>
      <c r="B193" s="172">
        <v>1</v>
      </c>
      <c r="C193" s="94"/>
      <c r="D193" s="94"/>
      <c r="E193" s="175">
        <v>2</v>
      </c>
      <c r="F193" s="97"/>
      <c r="G193" s="175">
        <v>3</v>
      </c>
      <c r="H193" s="191"/>
      <c r="I193" s="191">
        <v>4</v>
      </c>
      <c r="J193" s="112">
        <v>5</v>
      </c>
      <c r="K193" s="99"/>
      <c r="L193" s="100">
        <v>6</v>
      </c>
    </row>
    <row r="194" spans="1:12">
      <c r="A194" s="19"/>
      <c r="B194" s="288" t="e">
        <f>'04-22Master'!#REF!</f>
        <v>#REF!</v>
      </c>
      <c r="C194" s="187"/>
      <c r="D194" s="188"/>
      <c r="E194" s="190" t="s">
        <v>376</v>
      </c>
      <c r="F194" s="188"/>
      <c r="G194" s="190" t="s">
        <v>377</v>
      </c>
      <c r="H194" s="70"/>
      <c r="I194" s="16" t="s">
        <v>378</v>
      </c>
      <c r="J194" s="287">
        <v>1</v>
      </c>
      <c r="K194" s="980" t="s">
        <v>37</v>
      </c>
      <c r="L194" s="981"/>
    </row>
    <row r="195" spans="1:12">
      <c r="A195" s="19"/>
      <c r="B195" s="93"/>
      <c r="C195" s="187"/>
      <c r="D195" s="188"/>
      <c r="E195" s="189"/>
      <c r="F195" s="188"/>
      <c r="G195" s="189"/>
      <c r="H195" s="70"/>
      <c r="I195" s="16"/>
      <c r="J195" s="16"/>
      <c r="K195" s="190"/>
      <c r="L195" s="70"/>
    </row>
    <row r="196" spans="1:12">
      <c r="A196" s="19"/>
      <c r="B196" s="93"/>
      <c r="C196" s="187"/>
      <c r="D196" s="188"/>
      <c r="E196" s="189"/>
      <c r="F196" s="188"/>
      <c r="G196" s="189"/>
      <c r="H196" s="70"/>
      <c r="I196" s="16"/>
      <c r="J196" s="16"/>
      <c r="K196" s="190"/>
      <c r="L196" s="70"/>
    </row>
    <row r="197" spans="1:12">
      <c r="A197" s="19"/>
      <c r="B197" s="77"/>
      <c r="C197" s="23"/>
      <c r="D197" s="78"/>
      <c r="E197" s="189"/>
      <c r="F197" s="188"/>
      <c r="G197" s="189"/>
      <c r="H197" s="70"/>
      <c r="I197" s="16"/>
      <c r="J197" s="16"/>
      <c r="K197" s="190"/>
      <c r="L197" s="70"/>
    </row>
    <row r="198" spans="1:12">
      <c r="A198" s="19"/>
      <c r="B198" t="s">
        <v>221</v>
      </c>
      <c r="L198" s="20"/>
    </row>
    <row r="199" spans="1:12">
      <c r="A199" s="19"/>
      <c r="B199" t="s">
        <v>222</v>
      </c>
      <c r="L199" s="20"/>
    </row>
    <row r="200" spans="1:12">
      <c r="A200" s="19"/>
      <c r="B200" t="s">
        <v>223</v>
      </c>
      <c r="L200" s="20"/>
    </row>
    <row r="201" spans="1:12" ht="27.95" customHeight="1">
      <c r="A201" s="19"/>
      <c r="L201" s="20"/>
    </row>
    <row r="202" spans="1:12" ht="27.95" customHeight="1">
      <c r="A202" s="19"/>
      <c r="I202" t="s">
        <v>224</v>
      </c>
      <c r="L202" s="20"/>
    </row>
    <row r="203" spans="1:12" ht="27.95" customHeight="1">
      <c r="A203" s="19"/>
      <c r="F203" s="177" t="s">
        <v>207</v>
      </c>
      <c r="L203" s="20"/>
    </row>
    <row r="204" spans="1:12" ht="27.95" customHeight="1">
      <c r="A204" s="19" t="s">
        <v>208</v>
      </c>
      <c r="K204" s="227" t="e">
        <f>'04-22Master'!#REF!</f>
        <v>#REF!</v>
      </c>
      <c r="L204" s="20"/>
    </row>
    <row r="205" spans="1:12" ht="27.95" customHeight="1">
      <c r="A205" s="19" t="s">
        <v>209</v>
      </c>
      <c r="L205" s="20"/>
    </row>
    <row r="206" spans="1:12" ht="27.95" customHeight="1">
      <c r="A206" s="19"/>
      <c r="L206" s="20"/>
    </row>
    <row r="207" spans="1:12" ht="27.95" customHeight="1">
      <c r="A207" s="19"/>
      <c r="L207" s="20"/>
    </row>
    <row r="208" spans="1:12" ht="27.95" customHeight="1">
      <c r="A208" s="19"/>
      <c r="F208" t="s">
        <v>210</v>
      </c>
      <c r="L208" s="20"/>
    </row>
    <row r="209" spans="1:12" ht="27.95" customHeight="1">
      <c r="A209" s="19" t="s">
        <v>211</v>
      </c>
      <c r="B209" t="s">
        <v>375</v>
      </c>
      <c r="F209" t="str">
        <f>'04-22Master'!F5</f>
        <v>Burgeon IT Services Pvt.Ltd.</v>
      </c>
      <c r="L209" s="20"/>
    </row>
    <row r="210" spans="1:12" ht="27.95" customHeight="1">
      <c r="A210" s="19" t="s">
        <v>212</v>
      </c>
      <c r="B210" s="286" t="e">
        <f>'04-22Master'!#REF!</f>
        <v>#REF!</v>
      </c>
      <c r="F210" t="str">
        <f>'04-22Master'!F6</f>
        <v>Siri Mansion LIGB 436 Dr.A S Rao Nagar,Hyderabad</v>
      </c>
      <c r="L210" s="20"/>
    </row>
    <row r="211" spans="1:12" ht="27.95" customHeight="1" thickBot="1">
      <c r="A211" s="31"/>
      <c r="B211" s="29"/>
      <c r="C211" s="29"/>
      <c r="D211" s="29"/>
      <c r="E211" s="29"/>
      <c r="F211" s="29"/>
      <c r="G211" s="29"/>
      <c r="H211" s="29"/>
      <c r="I211" s="29"/>
      <c r="J211" s="29"/>
      <c r="K211" s="29"/>
      <c r="L211" s="30"/>
    </row>
    <row r="212" spans="1:12" ht="27.95" customHeight="1" thickBot="1">
      <c r="B212" s="178"/>
      <c r="C212" s="174"/>
      <c r="D212" s="174"/>
      <c r="E212" s="174"/>
      <c r="F212" s="174"/>
      <c r="G212" s="174"/>
      <c r="H212" s="163"/>
      <c r="I212" s="163"/>
      <c r="J212" s="164"/>
      <c r="K212" s="163"/>
      <c r="L212" s="163"/>
    </row>
    <row r="213" spans="1:12" ht="27.95" customHeight="1">
      <c r="A213" s="81"/>
      <c r="B213" s="854" t="s">
        <v>194</v>
      </c>
      <c r="C213" s="973"/>
      <c r="D213" s="973"/>
      <c r="E213" s="973"/>
      <c r="F213" s="973"/>
      <c r="G213" s="973"/>
      <c r="H213" s="973"/>
      <c r="I213" s="973"/>
      <c r="J213" s="973"/>
      <c r="K213" s="973"/>
      <c r="L213" s="974"/>
    </row>
    <row r="214" spans="1:12" ht="27.95" customHeight="1">
      <c r="A214" s="19"/>
      <c r="B214" s="982" t="s">
        <v>195</v>
      </c>
      <c r="C214" s="982"/>
      <c r="D214" s="982"/>
      <c r="E214" s="982"/>
      <c r="F214" s="982"/>
      <c r="G214" s="982"/>
      <c r="H214" s="982"/>
      <c r="I214" s="982"/>
      <c r="J214" s="982"/>
      <c r="K214" s="982"/>
      <c r="L214" s="858"/>
    </row>
    <row r="215" spans="1:12" ht="27.95" customHeight="1" thickBot="1">
      <c r="A215" s="31"/>
      <c r="B215" s="860" t="s">
        <v>196</v>
      </c>
      <c r="C215" s="860"/>
      <c r="D215" s="860"/>
      <c r="E215" s="860"/>
      <c r="F215" s="860"/>
      <c r="G215" s="860"/>
      <c r="H215" s="860"/>
      <c r="I215" s="860"/>
      <c r="J215" s="860"/>
      <c r="K215" s="860"/>
      <c r="L215" s="861"/>
    </row>
    <row r="216" spans="1:12" ht="27.95" customHeight="1">
      <c r="A216" s="19"/>
      <c r="B216" s="983" t="s">
        <v>117</v>
      </c>
      <c r="C216" s="983"/>
      <c r="D216" s="983"/>
      <c r="E216" s="983"/>
      <c r="F216" s="983"/>
      <c r="H216" s="984" t="s">
        <v>118</v>
      </c>
      <c r="I216" s="984"/>
      <c r="J216" s="984"/>
      <c r="K216" s="984"/>
      <c r="L216" s="985"/>
    </row>
    <row r="217" spans="1:12" ht="27.95" customHeight="1" thickBot="1">
      <c r="A217" s="19"/>
      <c r="B217" s="983"/>
      <c r="C217" s="983"/>
      <c r="D217" s="983"/>
      <c r="E217" s="983"/>
      <c r="F217" s="983"/>
      <c r="H217" s="984"/>
      <c r="I217" s="984"/>
      <c r="J217" s="984"/>
      <c r="K217" s="984"/>
      <c r="L217" s="985"/>
    </row>
    <row r="218" spans="1:12" ht="27.95" customHeight="1">
      <c r="A218" s="19"/>
      <c r="B218" s="81"/>
      <c r="C218" s="82"/>
      <c r="D218" s="82"/>
      <c r="E218" s="82"/>
      <c r="F218" s="83"/>
      <c r="H218" s="81"/>
      <c r="I218" s="82"/>
      <c r="J218" s="82"/>
      <c r="K218" s="82"/>
      <c r="L218" s="83"/>
    </row>
    <row r="219" spans="1:12">
      <c r="A219" s="19"/>
      <c r="B219" s="84" t="str">
        <f>'04-22Master'!F5</f>
        <v>Burgeon IT Services Pvt.Ltd.</v>
      </c>
      <c r="F219" s="20"/>
      <c r="H219" s="84" t="str">
        <f>'04-22Master'!AJ5</f>
        <v>Burgeon IT Services Pvt.Ltd.</v>
      </c>
      <c r="L219" s="20"/>
    </row>
    <row r="220" spans="1:12">
      <c r="A220" s="19"/>
      <c r="B220" s="19"/>
      <c r="F220" s="20"/>
      <c r="H220" s="19"/>
      <c r="L220" s="20"/>
    </row>
    <row r="221" spans="1:12">
      <c r="A221" s="19"/>
      <c r="B221" s="84" t="str">
        <f>'04-22Master'!F6</f>
        <v>Siri Mansion LIGB 436 Dr.A S Rao Nagar,Hyderabad</v>
      </c>
      <c r="F221" s="20"/>
      <c r="H221" s="84" t="str">
        <f>'04-22Master'!AJ6</f>
        <v>Siri Mansion LIGB 436 Dr.A S Rao Nagar,Hyderabad</v>
      </c>
      <c r="L221" s="20"/>
    </row>
    <row r="222" spans="1:12" ht="15.75" thickBot="1">
      <c r="A222" s="19"/>
      <c r="B222" s="31"/>
      <c r="C222" s="29"/>
      <c r="D222" s="29"/>
      <c r="E222" s="29"/>
      <c r="F222" s="30"/>
      <c r="H222" s="31"/>
      <c r="I222" s="29"/>
      <c r="J222" s="29"/>
      <c r="K222" s="29"/>
      <c r="L222" s="30"/>
    </row>
    <row r="223" spans="1:12">
      <c r="A223" s="19"/>
      <c r="J223" t="s">
        <v>119</v>
      </c>
      <c r="L223" s="20"/>
    </row>
    <row r="224" spans="1:12">
      <c r="A224" s="19"/>
      <c r="B224" s="750" t="s">
        <v>120</v>
      </c>
      <c r="C224" s="750"/>
      <c r="D224" s="750"/>
      <c r="E224" s="750"/>
      <c r="F224" s="750"/>
      <c r="H224" s="750" t="s">
        <v>4</v>
      </c>
      <c r="I224" s="750"/>
      <c r="J224" s="750"/>
      <c r="K224" s="750"/>
      <c r="L224" s="870"/>
    </row>
    <row r="225" spans="1:12" ht="15.75" thickBot="1">
      <c r="A225" s="19"/>
      <c r="L225" s="20"/>
    </row>
    <row r="226" spans="1:12">
      <c r="A226" s="19"/>
      <c r="B226" s="81"/>
      <c r="C226" s="82"/>
      <c r="D226" s="82"/>
      <c r="E226" s="82"/>
      <c r="F226" s="83"/>
      <c r="H226" s="85"/>
      <c r="I226" s="86"/>
      <c r="J226" s="86"/>
      <c r="K226" s="86"/>
      <c r="L226" s="87"/>
    </row>
    <row r="227" spans="1:12">
      <c r="A227" s="19"/>
      <c r="B227" s="19"/>
      <c r="F227" s="20"/>
      <c r="H227" s="84" t="str">
        <f>'04-22Master'!AJ10</f>
        <v xml:space="preserve">INFOSYS  LTD.IL Hyderabad SEZ Unit-3 </v>
      </c>
      <c r="I227" s="3"/>
      <c r="J227" s="3"/>
      <c r="K227" s="3"/>
      <c r="L227" s="88"/>
    </row>
    <row r="228" spans="1:12">
      <c r="A228" s="19"/>
      <c r="B228" s="84" t="str">
        <f>'04-22Master'!F8</f>
        <v>IT SUPPORTIVE SERVICES</v>
      </c>
      <c r="F228" s="20"/>
      <c r="H228" s="84"/>
      <c r="I228" s="3"/>
      <c r="J228" s="3"/>
      <c r="K228" s="3"/>
      <c r="L228" s="88"/>
    </row>
    <row r="229" spans="1:12">
      <c r="A229" s="19"/>
      <c r="B229" s="19"/>
      <c r="F229" s="20"/>
      <c r="H229" s="84" t="str">
        <f>'04-22Master'!AJ11</f>
        <v>Sy.No 42,Pocharam Village,Gatkesar Mandal</v>
      </c>
      <c r="I229" s="3"/>
      <c r="J229" s="3"/>
      <c r="K229" s="3"/>
      <c r="L229" s="88"/>
    </row>
    <row r="230" spans="1:12" ht="15.75" thickBot="1">
      <c r="A230" s="19"/>
      <c r="B230" s="31"/>
      <c r="C230" s="29"/>
      <c r="D230" s="29"/>
      <c r="E230" s="29"/>
      <c r="F230" s="30"/>
      <c r="H230" s="89"/>
      <c r="I230" s="90"/>
      <c r="J230" s="90"/>
      <c r="K230" s="90"/>
      <c r="L230" s="91"/>
    </row>
    <row r="231" spans="1:12">
      <c r="A231" s="92"/>
      <c r="B231" s="972" t="s">
        <v>197</v>
      </c>
      <c r="C231" s="972"/>
      <c r="D231" s="972"/>
      <c r="E231" s="972"/>
      <c r="F231" s="972"/>
      <c r="G231" s="972"/>
      <c r="H231" s="992" t="e">
        <f>'04-22Master'!#REF!</f>
        <v>#REF!</v>
      </c>
      <c r="I231" s="987"/>
      <c r="J231" s="987"/>
      <c r="K231" s="987"/>
      <c r="L231" s="841"/>
    </row>
    <row r="232" spans="1:12">
      <c r="A232" s="92"/>
      <c r="B232" s="993" t="s">
        <v>198</v>
      </c>
      <c r="C232" s="993"/>
      <c r="D232" s="993"/>
      <c r="E232" s="993"/>
      <c r="F232" s="993"/>
      <c r="G232" s="993"/>
      <c r="H232" s="992" t="e">
        <f>'04-22Master'!#REF!</f>
        <v>#REF!</v>
      </c>
      <c r="I232" s="987"/>
      <c r="J232" s="987"/>
      <c r="K232" s="987"/>
      <c r="L232" s="841"/>
    </row>
    <row r="233" spans="1:12">
      <c r="A233" s="92"/>
      <c r="B233" s="972" t="s">
        <v>199</v>
      </c>
      <c r="C233" s="972"/>
      <c r="D233" s="972"/>
      <c r="E233" s="972"/>
      <c r="F233" s="972"/>
      <c r="G233" s="972"/>
      <c r="H233" s="992" t="e">
        <f>'04-22Master'!#REF!</f>
        <v>#REF!</v>
      </c>
      <c r="I233" s="987"/>
      <c r="J233" s="987"/>
      <c r="K233" s="987"/>
      <c r="L233" s="841"/>
    </row>
    <row r="234" spans="1:12">
      <c r="A234" s="92"/>
      <c r="B234" s="972" t="s">
        <v>200</v>
      </c>
      <c r="C234" s="972"/>
      <c r="D234" s="972"/>
      <c r="E234" s="972"/>
      <c r="F234" s="972"/>
      <c r="G234" s="972"/>
      <c r="H234" s="986" t="e">
        <f>'04-22Master'!#REF!</f>
        <v>#REF!</v>
      </c>
      <c r="I234" s="987"/>
      <c r="J234" s="987"/>
      <c r="K234" s="987"/>
      <c r="L234" s="841"/>
    </row>
    <row r="235" spans="1:12">
      <c r="A235" s="92"/>
      <c r="B235" s="93" t="s">
        <v>202</v>
      </c>
      <c r="C235" s="94"/>
      <c r="D235" s="94"/>
      <c r="E235" s="94"/>
      <c r="F235" s="94"/>
      <c r="G235" s="94"/>
      <c r="H235" s="988" t="s">
        <v>203</v>
      </c>
      <c r="I235" s="989"/>
      <c r="J235" s="989"/>
      <c r="K235" s="989"/>
      <c r="L235" s="990"/>
    </row>
    <row r="236" spans="1:12">
      <c r="A236" s="92"/>
      <c r="B236" s="93" t="s">
        <v>204</v>
      </c>
      <c r="C236" s="94"/>
      <c r="D236" s="94"/>
      <c r="E236" s="94"/>
      <c r="F236" s="94"/>
      <c r="G236" s="94"/>
      <c r="H236" s="95"/>
      <c r="I236" s="96"/>
      <c r="J236" s="176"/>
      <c r="K236" s="96"/>
      <c r="L236" s="101"/>
    </row>
    <row r="237" spans="1:12">
      <c r="A237" s="92"/>
      <c r="B237" s="834" t="s">
        <v>205</v>
      </c>
      <c r="C237" s="834"/>
      <c r="D237" s="834"/>
      <c r="E237" s="834"/>
      <c r="F237" s="834"/>
      <c r="G237" s="834"/>
      <c r="H237" s="835" t="e">
        <f>'04-22Master'!#REF!</f>
        <v>#REF!</v>
      </c>
      <c r="I237" s="849"/>
      <c r="J237" s="849"/>
      <c r="K237" s="849"/>
      <c r="L237" s="850"/>
    </row>
    <row r="238" spans="1:12">
      <c r="A238" s="92"/>
      <c r="B238" s="972"/>
      <c r="C238" s="972"/>
      <c r="D238" s="972"/>
      <c r="E238" s="972"/>
      <c r="F238" s="972"/>
      <c r="G238" s="972"/>
      <c r="H238" s="991" t="e">
        <f>'04-22Master'!#REF!</f>
        <v>#REF!</v>
      </c>
      <c r="I238" s="987"/>
      <c r="J238" s="987"/>
      <c r="K238" s="987"/>
      <c r="L238" s="841"/>
    </row>
    <row r="239" spans="1:12">
      <c r="A239" s="19"/>
      <c r="B239" s="972"/>
      <c r="C239" s="972"/>
      <c r="D239" s="972"/>
      <c r="E239" s="972"/>
      <c r="F239" s="972"/>
      <c r="G239" s="972"/>
      <c r="H239" s="992" t="e">
        <f>'04-22Master'!#REF!</f>
        <v>#REF!</v>
      </c>
      <c r="I239" s="987"/>
      <c r="J239" s="987"/>
      <c r="K239" s="987"/>
      <c r="L239" s="841"/>
    </row>
    <row r="240" spans="1:12">
      <c r="A240" s="19"/>
      <c r="B240" s="93" t="s">
        <v>206</v>
      </c>
      <c r="C240" s="94"/>
      <c r="D240" s="94"/>
      <c r="E240" s="94"/>
      <c r="F240" s="94"/>
      <c r="G240" s="97"/>
      <c r="H240" s="975" t="e">
        <f>'04-22Master'!#REF!</f>
        <v>#REF!</v>
      </c>
      <c r="I240" s="976"/>
      <c r="J240" s="976"/>
      <c r="K240" s="976"/>
      <c r="L240" s="875"/>
    </row>
    <row r="241" spans="1:12">
      <c r="A241" s="19"/>
      <c r="B241" s="93"/>
      <c r="C241" s="94"/>
      <c r="D241" s="94"/>
      <c r="E241" s="94"/>
      <c r="F241" s="94"/>
      <c r="G241" s="97"/>
      <c r="H241" s="975" t="e">
        <f>'04-22Master'!#REF!</f>
        <v>#REF!</v>
      </c>
      <c r="I241" s="976"/>
      <c r="J241" s="976"/>
      <c r="K241" s="976"/>
      <c r="L241" s="875"/>
    </row>
    <row r="242" spans="1:12">
      <c r="A242" s="19"/>
      <c r="B242" s="93"/>
      <c r="C242" s="94"/>
      <c r="D242" s="94"/>
      <c r="E242" s="94"/>
      <c r="F242" s="94"/>
      <c r="G242" s="97"/>
      <c r="H242" s="975" t="e">
        <f>'04-22Master'!#REF!</f>
        <v>#REF!</v>
      </c>
      <c r="I242" s="976"/>
      <c r="J242" s="976"/>
      <c r="K242" s="976"/>
      <c r="L242" s="875"/>
    </row>
    <row r="243" spans="1:12">
      <c r="A243" s="19"/>
      <c r="B243" s="93" t="s">
        <v>213</v>
      </c>
      <c r="C243" s="94"/>
      <c r="D243" s="94"/>
      <c r="E243" s="94"/>
      <c r="F243" s="94"/>
      <c r="G243" s="97"/>
      <c r="H243" s="95"/>
      <c r="I243" s="96"/>
      <c r="J243" s="96"/>
      <c r="K243" s="96"/>
      <c r="L243" s="101"/>
    </row>
    <row r="244" spans="1:12">
      <c r="A244" s="19"/>
      <c r="B244" s="103" t="s">
        <v>214</v>
      </c>
      <c r="C244" s="157"/>
      <c r="D244" s="157"/>
      <c r="E244" s="157"/>
      <c r="F244" s="157"/>
      <c r="G244" s="158"/>
      <c r="H244" s="159"/>
      <c r="I244" s="160"/>
      <c r="J244" s="161"/>
      <c r="K244" s="160"/>
      <c r="L244" s="162"/>
    </row>
    <row r="245" spans="1:12" ht="45">
      <c r="A245" s="19"/>
      <c r="B245" s="93" t="s">
        <v>217</v>
      </c>
      <c r="C245" s="94"/>
      <c r="D245" s="96"/>
      <c r="E245" s="169" t="s">
        <v>219</v>
      </c>
      <c r="F245" s="70"/>
      <c r="G245" s="977" t="s">
        <v>218</v>
      </c>
      <c r="H245" s="978"/>
      <c r="I245" s="173" t="s">
        <v>215</v>
      </c>
      <c r="J245" s="171" t="s">
        <v>220</v>
      </c>
      <c r="K245" s="977" t="s">
        <v>216</v>
      </c>
      <c r="L245" s="979"/>
    </row>
    <row r="246" spans="1:12">
      <c r="A246" s="19"/>
      <c r="B246" s="172">
        <v>1</v>
      </c>
      <c r="C246" s="94"/>
      <c r="D246" s="94"/>
      <c r="E246" s="175">
        <v>2</v>
      </c>
      <c r="F246" s="97"/>
      <c r="G246" s="175">
        <v>3</v>
      </c>
      <c r="H246" s="191"/>
      <c r="I246" s="191">
        <v>4</v>
      </c>
      <c r="J246" s="112">
        <v>5</v>
      </c>
      <c r="K246" s="99"/>
      <c r="L246" s="100">
        <v>6</v>
      </c>
    </row>
    <row r="247" spans="1:12">
      <c r="A247" s="19"/>
      <c r="B247" s="288" t="e">
        <f>'04-22Master'!#REF!</f>
        <v>#REF!</v>
      </c>
      <c r="C247" s="187"/>
      <c r="D247" s="188"/>
      <c r="E247" s="190" t="s">
        <v>376</v>
      </c>
      <c r="F247" s="188"/>
      <c r="G247" s="190" t="s">
        <v>377</v>
      </c>
      <c r="H247" s="70"/>
      <c r="I247" s="16" t="s">
        <v>378</v>
      </c>
      <c r="J247" s="287">
        <v>1</v>
      </c>
      <c r="K247" s="980" t="s">
        <v>37</v>
      </c>
      <c r="L247" s="981"/>
    </row>
    <row r="248" spans="1:12">
      <c r="A248" s="19"/>
      <c r="B248" s="93"/>
      <c r="C248" s="187"/>
      <c r="D248" s="188"/>
      <c r="E248" s="189"/>
      <c r="F248" s="188"/>
      <c r="G248" s="189"/>
      <c r="H248" s="70"/>
      <c r="I248" s="16"/>
      <c r="J248" s="16"/>
      <c r="K248" s="190"/>
      <c r="L248" s="70"/>
    </row>
    <row r="249" spans="1:12">
      <c r="A249" s="19"/>
      <c r="B249" s="93"/>
      <c r="C249" s="187"/>
      <c r="D249" s="188"/>
      <c r="E249" s="189"/>
      <c r="F249" s="188"/>
      <c r="G249" s="189"/>
      <c r="H249" s="70"/>
      <c r="I249" s="16"/>
      <c r="J249" s="16"/>
      <c r="K249" s="190"/>
      <c r="L249" s="70"/>
    </row>
    <row r="250" spans="1:12">
      <c r="A250" s="19"/>
      <c r="B250" s="77"/>
      <c r="C250" s="23"/>
      <c r="D250" s="78"/>
      <c r="E250" s="189"/>
      <c r="F250" s="188"/>
      <c r="G250" s="189"/>
      <c r="H250" s="70"/>
      <c r="I250" s="16"/>
      <c r="J250" s="16"/>
      <c r="K250" s="190"/>
      <c r="L250" s="70"/>
    </row>
    <row r="251" spans="1:12">
      <c r="A251" s="19"/>
      <c r="B251" t="s">
        <v>221</v>
      </c>
      <c r="L251" s="20"/>
    </row>
    <row r="252" spans="1:12">
      <c r="A252" s="19"/>
      <c r="B252" t="s">
        <v>222</v>
      </c>
      <c r="L252" s="20"/>
    </row>
    <row r="253" spans="1:12">
      <c r="A253" s="19"/>
      <c r="B253" t="s">
        <v>223</v>
      </c>
      <c r="L253" s="20"/>
    </row>
    <row r="254" spans="1:12" ht="27.95" customHeight="1">
      <c r="A254" s="19"/>
      <c r="L254" s="20"/>
    </row>
    <row r="255" spans="1:12" ht="27.95" customHeight="1">
      <c r="A255" s="19"/>
      <c r="I255" t="s">
        <v>224</v>
      </c>
      <c r="L255" s="20"/>
    </row>
    <row r="256" spans="1:12" ht="27.95" customHeight="1">
      <c r="A256" s="19"/>
      <c r="F256" s="177" t="s">
        <v>207</v>
      </c>
      <c r="L256" s="20"/>
    </row>
    <row r="257" spans="1:12" ht="27.95" customHeight="1">
      <c r="A257" s="19" t="s">
        <v>208</v>
      </c>
      <c r="K257" s="227" t="e">
        <f>'04-22Master'!#REF!</f>
        <v>#REF!</v>
      </c>
      <c r="L257" s="20"/>
    </row>
    <row r="258" spans="1:12" ht="27.95" customHeight="1">
      <c r="A258" s="19" t="s">
        <v>209</v>
      </c>
      <c r="L258" s="20"/>
    </row>
    <row r="259" spans="1:12" ht="27.95" customHeight="1">
      <c r="A259" s="19"/>
      <c r="L259" s="20"/>
    </row>
    <row r="260" spans="1:12" ht="27.95" customHeight="1">
      <c r="A260" s="19"/>
      <c r="L260" s="20"/>
    </row>
    <row r="261" spans="1:12" ht="27.95" customHeight="1">
      <c r="A261" s="19"/>
      <c r="F261" t="s">
        <v>210</v>
      </c>
      <c r="L261" s="20"/>
    </row>
    <row r="262" spans="1:12" ht="27.95" customHeight="1">
      <c r="A262" s="19" t="s">
        <v>211</v>
      </c>
      <c r="B262" t="s">
        <v>375</v>
      </c>
      <c r="F262" t="str">
        <f>'04-22Master'!F5</f>
        <v>Burgeon IT Services Pvt.Ltd.</v>
      </c>
      <c r="L262" s="20"/>
    </row>
    <row r="263" spans="1:12" ht="27.95" customHeight="1">
      <c r="A263" s="19" t="s">
        <v>212</v>
      </c>
      <c r="B263" s="286" t="e">
        <f>'04-22Master'!#REF!</f>
        <v>#REF!</v>
      </c>
      <c r="F263" t="str">
        <f>'04-22Master'!F6</f>
        <v>Siri Mansion LIGB 436 Dr.A S Rao Nagar,Hyderabad</v>
      </c>
      <c r="L263" s="20"/>
    </row>
    <row r="264" spans="1:12" ht="27.95" customHeight="1" thickBot="1">
      <c r="A264" s="31"/>
      <c r="B264" s="29"/>
      <c r="C264" s="29"/>
      <c r="D264" s="29"/>
      <c r="E264" s="29"/>
      <c r="F264" s="29"/>
      <c r="G264" s="29"/>
      <c r="H264" s="29"/>
      <c r="I264" s="29"/>
      <c r="J264" s="29"/>
      <c r="K264" s="29"/>
      <c r="L264" s="30"/>
    </row>
    <row r="265" spans="1:12" ht="27.95" customHeight="1" thickBot="1">
      <c r="B265" s="178"/>
      <c r="C265" s="174"/>
      <c r="D265" s="174"/>
      <c r="E265" s="174"/>
      <c r="F265" s="174"/>
      <c r="G265" s="174"/>
      <c r="H265" s="163"/>
      <c r="I265" s="163"/>
      <c r="J265" s="164"/>
      <c r="K265" s="163"/>
      <c r="L265" s="163"/>
    </row>
    <row r="266" spans="1:12" ht="27.95" customHeight="1">
      <c r="A266" s="81"/>
      <c r="B266" s="854" t="s">
        <v>194</v>
      </c>
      <c r="C266" s="973"/>
      <c r="D266" s="973"/>
      <c r="E266" s="973"/>
      <c r="F266" s="973"/>
      <c r="G266" s="973"/>
      <c r="H266" s="973"/>
      <c r="I266" s="973"/>
      <c r="J266" s="973"/>
      <c r="K266" s="973"/>
      <c r="L266" s="974"/>
    </row>
    <row r="267" spans="1:12" ht="27.95" customHeight="1">
      <c r="A267" s="19"/>
      <c r="B267" s="982" t="s">
        <v>195</v>
      </c>
      <c r="C267" s="982"/>
      <c r="D267" s="982"/>
      <c r="E267" s="982"/>
      <c r="F267" s="982"/>
      <c r="G267" s="982"/>
      <c r="H267" s="982"/>
      <c r="I267" s="982"/>
      <c r="J267" s="982"/>
      <c r="K267" s="982"/>
      <c r="L267" s="858"/>
    </row>
    <row r="268" spans="1:12" ht="27.95" customHeight="1" thickBot="1">
      <c r="A268" s="31"/>
      <c r="B268" s="860" t="s">
        <v>196</v>
      </c>
      <c r="C268" s="860"/>
      <c r="D268" s="860"/>
      <c r="E268" s="860"/>
      <c r="F268" s="860"/>
      <c r="G268" s="860"/>
      <c r="H268" s="860"/>
      <c r="I268" s="860"/>
      <c r="J268" s="860"/>
      <c r="K268" s="860"/>
      <c r="L268" s="861"/>
    </row>
    <row r="269" spans="1:12" ht="27.95" customHeight="1">
      <c r="A269" s="19"/>
      <c r="B269" s="983" t="s">
        <v>117</v>
      </c>
      <c r="C269" s="983"/>
      <c r="D269" s="983"/>
      <c r="E269" s="983"/>
      <c r="F269" s="983"/>
      <c r="H269" s="984" t="s">
        <v>118</v>
      </c>
      <c r="I269" s="984"/>
      <c r="J269" s="984"/>
      <c r="K269" s="984"/>
      <c r="L269" s="985"/>
    </row>
    <row r="270" spans="1:12" ht="27.95" customHeight="1" thickBot="1">
      <c r="A270" s="19"/>
      <c r="B270" s="983"/>
      <c r="C270" s="983"/>
      <c r="D270" s="983"/>
      <c r="E270" s="983"/>
      <c r="F270" s="983"/>
      <c r="H270" s="984"/>
      <c r="I270" s="984"/>
      <c r="J270" s="984"/>
      <c r="K270" s="984"/>
      <c r="L270" s="985"/>
    </row>
    <row r="271" spans="1:12" ht="27.95" customHeight="1">
      <c r="A271" s="19"/>
      <c r="B271" s="81"/>
      <c r="C271" s="82"/>
      <c r="D271" s="82"/>
      <c r="E271" s="82"/>
      <c r="F271" s="83"/>
      <c r="H271" s="81"/>
      <c r="I271" s="82"/>
      <c r="J271" s="82"/>
      <c r="K271" s="82"/>
      <c r="L271" s="83"/>
    </row>
    <row r="272" spans="1:12">
      <c r="A272" s="19"/>
      <c r="B272" s="84" t="str">
        <f>'04-22Master'!F5</f>
        <v>Burgeon IT Services Pvt.Ltd.</v>
      </c>
      <c r="F272" s="20"/>
      <c r="H272" s="84" t="str">
        <f>'04-22Master'!AJ5</f>
        <v>Burgeon IT Services Pvt.Ltd.</v>
      </c>
      <c r="L272" s="20"/>
    </row>
    <row r="273" spans="1:12">
      <c r="A273" s="19"/>
      <c r="B273" s="19"/>
      <c r="F273" s="20"/>
      <c r="H273" s="19"/>
      <c r="L273" s="20"/>
    </row>
    <row r="274" spans="1:12">
      <c r="A274" s="19"/>
      <c r="B274" s="84" t="str">
        <f>'04-22Master'!F6</f>
        <v>Siri Mansion LIGB 436 Dr.A S Rao Nagar,Hyderabad</v>
      </c>
      <c r="F274" s="20"/>
      <c r="H274" s="84" t="str">
        <f>'04-22Master'!AJ6</f>
        <v>Siri Mansion LIGB 436 Dr.A S Rao Nagar,Hyderabad</v>
      </c>
      <c r="L274" s="20"/>
    </row>
    <row r="275" spans="1:12" ht="15.75" thickBot="1">
      <c r="A275" s="19"/>
      <c r="B275" s="31"/>
      <c r="C275" s="29"/>
      <c r="D275" s="29"/>
      <c r="E275" s="29"/>
      <c r="F275" s="30"/>
      <c r="H275" s="31"/>
      <c r="I275" s="29"/>
      <c r="J275" s="29"/>
      <c r="K275" s="29"/>
      <c r="L275" s="30"/>
    </row>
    <row r="276" spans="1:12">
      <c r="A276" s="19"/>
      <c r="J276" t="s">
        <v>119</v>
      </c>
      <c r="L276" s="20"/>
    </row>
    <row r="277" spans="1:12">
      <c r="A277" s="19"/>
      <c r="B277" s="750" t="s">
        <v>120</v>
      </c>
      <c r="C277" s="750"/>
      <c r="D277" s="750"/>
      <c r="E277" s="750"/>
      <c r="F277" s="750"/>
      <c r="H277" s="750" t="s">
        <v>4</v>
      </c>
      <c r="I277" s="750"/>
      <c r="J277" s="750"/>
      <c r="K277" s="750"/>
      <c r="L277" s="870"/>
    </row>
    <row r="278" spans="1:12" ht="15.75" thickBot="1">
      <c r="A278" s="19"/>
      <c r="L278" s="20"/>
    </row>
    <row r="279" spans="1:12">
      <c r="A279" s="19"/>
      <c r="B279" s="81"/>
      <c r="C279" s="82"/>
      <c r="D279" s="82"/>
      <c r="E279" s="82"/>
      <c r="F279" s="83"/>
      <c r="H279" s="85"/>
      <c r="I279" s="86"/>
      <c r="J279" s="86"/>
      <c r="K279" s="86"/>
      <c r="L279" s="87"/>
    </row>
    <row r="280" spans="1:12">
      <c r="A280" s="19"/>
      <c r="B280" s="19"/>
      <c r="F280" s="20"/>
      <c r="H280" s="84" t="str">
        <f>'04-22Master'!AJ10</f>
        <v xml:space="preserve">INFOSYS  LTD.IL Hyderabad SEZ Unit-3 </v>
      </c>
      <c r="I280" s="3"/>
      <c r="J280" s="3"/>
      <c r="K280" s="3"/>
      <c r="L280" s="88"/>
    </row>
    <row r="281" spans="1:12">
      <c r="A281" s="19"/>
      <c r="B281" s="84" t="str">
        <f>'04-22Master'!F8</f>
        <v>IT SUPPORTIVE SERVICES</v>
      </c>
      <c r="F281" s="20"/>
      <c r="H281" s="84"/>
      <c r="I281" s="3"/>
      <c r="J281" s="3"/>
      <c r="K281" s="3"/>
      <c r="L281" s="88"/>
    </row>
    <row r="282" spans="1:12">
      <c r="A282" s="19"/>
      <c r="B282" s="19"/>
      <c r="F282" s="20"/>
      <c r="H282" s="84" t="str">
        <f>'04-22Master'!AJ11</f>
        <v>Sy.No 42,Pocharam Village,Gatkesar Mandal</v>
      </c>
      <c r="I282" s="3"/>
      <c r="J282" s="3"/>
      <c r="K282" s="3"/>
      <c r="L282" s="88"/>
    </row>
    <row r="283" spans="1:12" ht="15.75" thickBot="1">
      <c r="A283" s="19"/>
      <c r="B283" s="31"/>
      <c r="C283" s="29"/>
      <c r="D283" s="29"/>
      <c r="E283" s="29"/>
      <c r="F283" s="30"/>
      <c r="H283" s="89"/>
      <c r="I283" s="90"/>
      <c r="J283" s="90"/>
      <c r="K283" s="90"/>
      <c r="L283" s="91"/>
    </row>
    <row r="284" spans="1:12">
      <c r="A284" s="92"/>
      <c r="B284" s="972" t="s">
        <v>197</v>
      </c>
      <c r="C284" s="972"/>
      <c r="D284" s="972"/>
      <c r="E284" s="972"/>
      <c r="F284" s="972"/>
      <c r="G284" s="972"/>
      <c r="H284" s="992" t="e">
        <f>'04-22Master'!#REF!</f>
        <v>#REF!</v>
      </c>
      <c r="I284" s="987"/>
      <c r="J284" s="987"/>
      <c r="K284" s="987"/>
      <c r="L284" s="841"/>
    </row>
    <row r="285" spans="1:12">
      <c r="A285" s="92"/>
      <c r="B285" s="993" t="s">
        <v>198</v>
      </c>
      <c r="C285" s="993"/>
      <c r="D285" s="993"/>
      <c r="E285" s="993"/>
      <c r="F285" s="993"/>
      <c r="G285" s="993"/>
      <c r="H285" s="992" t="e">
        <f>'04-22Master'!#REF!</f>
        <v>#REF!</v>
      </c>
      <c r="I285" s="987"/>
      <c r="J285" s="987"/>
      <c r="K285" s="987"/>
      <c r="L285" s="841"/>
    </row>
    <row r="286" spans="1:12">
      <c r="A286" s="92"/>
      <c r="B286" s="972" t="s">
        <v>199</v>
      </c>
      <c r="C286" s="972"/>
      <c r="D286" s="972"/>
      <c r="E286" s="972"/>
      <c r="F286" s="972"/>
      <c r="G286" s="972"/>
      <c r="H286" s="992" t="e">
        <f>'04-22Master'!#REF!</f>
        <v>#REF!</v>
      </c>
      <c r="I286" s="987"/>
      <c r="J286" s="987"/>
      <c r="K286" s="987"/>
      <c r="L286" s="841"/>
    </row>
    <row r="287" spans="1:12">
      <c r="A287" s="92"/>
      <c r="B287" s="972" t="s">
        <v>200</v>
      </c>
      <c r="C287" s="972"/>
      <c r="D287" s="972"/>
      <c r="E287" s="972"/>
      <c r="F287" s="972"/>
      <c r="G287" s="972"/>
      <c r="H287" s="986" t="e">
        <f>'04-22Master'!#REF!</f>
        <v>#REF!</v>
      </c>
      <c r="I287" s="987"/>
      <c r="J287" s="987"/>
      <c r="K287" s="987"/>
      <c r="L287" s="841"/>
    </row>
    <row r="288" spans="1:12">
      <c r="A288" s="92"/>
      <c r="B288" s="93" t="s">
        <v>202</v>
      </c>
      <c r="C288" s="94"/>
      <c r="D288" s="94"/>
      <c r="E288" s="94"/>
      <c r="F288" s="94"/>
      <c r="G288" s="94"/>
      <c r="H288" s="988" t="s">
        <v>203</v>
      </c>
      <c r="I288" s="989"/>
      <c r="J288" s="989"/>
      <c r="K288" s="989"/>
      <c r="L288" s="990"/>
    </row>
    <row r="289" spans="1:12">
      <c r="A289" s="92"/>
      <c r="B289" s="93" t="s">
        <v>204</v>
      </c>
      <c r="C289" s="94"/>
      <c r="D289" s="94"/>
      <c r="E289" s="94"/>
      <c r="F289" s="94"/>
      <c r="G289" s="94"/>
      <c r="H289" s="95"/>
      <c r="I289" s="96"/>
      <c r="J289" s="176"/>
      <c r="K289" s="96"/>
      <c r="L289" s="101"/>
    </row>
    <row r="290" spans="1:12">
      <c r="A290" s="92"/>
      <c r="B290" s="834" t="s">
        <v>205</v>
      </c>
      <c r="C290" s="834"/>
      <c r="D290" s="834"/>
      <c r="E290" s="834"/>
      <c r="F290" s="834"/>
      <c r="G290" s="834"/>
      <c r="H290" s="835" t="e">
        <f>'04-22Master'!#REF!</f>
        <v>#REF!</v>
      </c>
      <c r="I290" s="849"/>
      <c r="J290" s="849"/>
      <c r="K290" s="849"/>
      <c r="L290" s="850"/>
    </row>
    <row r="291" spans="1:12">
      <c r="A291" s="92"/>
      <c r="B291" s="972"/>
      <c r="C291" s="972"/>
      <c r="D291" s="972"/>
      <c r="E291" s="972"/>
      <c r="F291" s="972"/>
      <c r="G291" s="972"/>
      <c r="H291" s="991" t="e">
        <f>'04-22Master'!#REF!</f>
        <v>#REF!</v>
      </c>
      <c r="I291" s="987"/>
      <c r="J291" s="987"/>
      <c r="K291" s="987"/>
      <c r="L291" s="841"/>
    </row>
    <row r="292" spans="1:12">
      <c r="A292" s="19"/>
      <c r="B292" s="972"/>
      <c r="C292" s="972"/>
      <c r="D292" s="972"/>
      <c r="E292" s="972"/>
      <c r="F292" s="972"/>
      <c r="G292" s="972"/>
      <c r="H292" s="992" t="e">
        <f>'04-22Master'!#REF!</f>
        <v>#REF!</v>
      </c>
      <c r="I292" s="987"/>
      <c r="J292" s="987"/>
      <c r="K292" s="987"/>
      <c r="L292" s="841"/>
    </row>
    <row r="293" spans="1:12">
      <c r="A293" s="19"/>
      <c r="B293" s="93" t="s">
        <v>206</v>
      </c>
      <c r="C293" s="94"/>
      <c r="D293" s="94"/>
      <c r="E293" s="94"/>
      <c r="F293" s="94"/>
      <c r="G293" s="97"/>
      <c r="H293" s="975" t="e">
        <f>'04-22Master'!#REF!</f>
        <v>#REF!</v>
      </c>
      <c r="I293" s="976"/>
      <c r="J293" s="976"/>
      <c r="K293" s="976"/>
      <c r="L293" s="875"/>
    </row>
    <row r="294" spans="1:12">
      <c r="A294" s="19"/>
      <c r="B294" s="93"/>
      <c r="C294" s="94"/>
      <c r="D294" s="94"/>
      <c r="E294" s="94"/>
      <c r="F294" s="94"/>
      <c r="G294" s="97"/>
      <c r="H294" s="975" t="e">
        <f>'04-22Master'!#REF!</f>
        <v>#REF!</v>
      </c>
      <c r="I294" s="976"/>
      <c r="J294" s="976"/>
      <c r="K294" s="976"/>
      <c r="L294" s="875"/>
    </row>
    <row r="295" spans="1:12">
      <c r="A295" s="19"/>
      <c r="B295" s="93"/>
      <c r="C295" s="94"/>
      <c r="D295" s="94"/>
      <c r="E295" s="94"/>
      <c r="F295" s="94"/>
      <c r="G295" s="97"/>
      <c r="H295" s="975" t="e">
        <f>'04-22Master'!#REF!</f>
        <v>#REF!</v>
      </c>
      <c r="I295" s="976"/>
      <c r="J295" s="976"/>
      <c r="K295" s="976"/>
      <c r="L295" s="875"/>
    </row>
    <row r="296" spans="1:12">
      <c r="A296" s="19"/>
      <c r="B296" s="93" t="s">
        <v>213</v>
      </c>
      <c r="C296" s="94"/>
      <c r="D296" s="94"/>
      <c r="E296" s="94"/>
      <c r="F296" s="94"/>
      <c r="G296" s="97"/>
      <c r="H296" s="95"/>
      <c r="I296" s="96"/>
      <c r="J296" s="96"/>
      <c r="K296" s="96"/>
      <c r="L296" s="101"/>
    </row>
    <row r="297" spans="1:12">
      <c r="A297" s="19"/>
      <c r="B297" s="103" t="s">
        <v>214</v>
      </c>
      <c r="C297" s="157"/>
      <c r="D297" s="157"/>
      <c r="E297" s="157"/>
      <c r="F297" s="157"/>
      <c r="G297" s="158"/>
      <c r="H297" s="159"/>
      <c r="I297" s="160"/>
      <c r="J297" s="161"/>
      <c r="K297" s="160"/>
      <c r="L297" s="162"/>
    </row>
    <row r="298" spans="1:12" ht="45">
      <c r="A298" s="19"/>
      <c r="B298" s="93" t="s">
        <v>217</v>
      </c>
      <c r="C298" s="94"/>
      <c r="D298" s="96"/>
      <c r="E298" s="169" t="s">
        <v>219</v>
      </c>
      <c r="F298" s="70"/>
      <c r="G298" s="977" t="s">
        <v>218</v>
      </c>
      <c r="H298" s="978"/>
      <c r="I298" s="173" t="s">
        <v>215</v>
      </c>
      <c r="J298" s="171" t="s">
        <v>220</v>
      </c>
      <c r="K298" s="977" t="s">
        <v>216</v>
      </c>
      <c r="L298" s="979"/>
    </row>
    <row r="299" spans="1:12">
      <c r="A299" s="19"/>
      <c r="B299" s="172">
        <v>1</v>
      </c>
      <c r="C299" s="94"/>
      <c r="D299" s="94"/>
      <c r="E299" s="175">
        <v>2</v>
      </c>
      <c r="F299" s="97"/>
      <c r="G299" s="175">
        <v>3</v>
      </c>
      <c r="H299" s="191"/>
      <c r="I299" s="191">
        <v>4</v>
      </c>
      <c r="J299" s="112">
        <v>5</v>
      </c>
      <c r="K299" s="99"/>
      <c r="L299" s="100">
        <v>6</v>
      </c>
    </row>
    <row r="300" spans="1:12">
      <c r="A300" s="19"/>
      <c r="B300" s="288" t="e">
        <f>'04-22Master'!#REF!</f>
        <v>#REF!</v>
      </c>
      <c r="C300" s="187"/>
      <c r="D300" s="188"/>
      <c r="E300" s="190" t="s">
        <v>376</v>
      </c>
      <c r="F300" s="188"/>
      <c r="G300" s="190" t="s">
        <v>377</v>
      </c>
      <c r="H300" s="70"/>
      <c r="I300" s="16" t="s">
        <v>378</v>
      </c>
      <c r="J300" s="287">
        <v>1</v>
      </c>
      <c r="K300" s="980" t="s">
        <v>37</v>
      </c>
      <c r="L300" s="981"/>
    </row>
    <row r="301" spans="1:12">
      <c r="A301" s="19"/>
      <c r="B301" s="93"/>
      <c r="C301" s="187"/>
      <c r="D301" s="188"/>
      <c r="E301" s="189"/>
      <c r="F301" s="188"/>
      <c r="G301" s="189"/>
      <c r="H301" s="70"/>
      <c r="I301" s="16"/>
      <c r="J301" s="16"/>
      <c r="K301" s="190"/>
      <c r="L301" s="70"/>
    </row>
    <row r="302" spans="1:12">
      <c r="A302" s="19"/>
      <c r="B302" s="93"/>
      <c r="C302" s="187"/>
      <c r="D302" s="188"/>
      <c r="E302" s="189"/>
      <c r="F302" s="188"/>
      <c r="G302" s="189"/>
      <c r="H302" s="70"/>
      <c r="I302" s="16"/>
      <c r="J302" s="16"/>
      <c r="K302" s="190"/>
      <c r="L302" s="70"/>
    </row>
    <row r="303" spans="1:12">
      <c r="A303" s="19"/>
      <c r="B303" s="77"/>
      <c r="C303" s="23"/>
      <c r="D303" s="78"/>
      <c r="E303" s="189"/>
      <c r="F303" s="188"/>
      <c r="G303" s="189"/>
      <c r="H303" s="70"/>
      <c r="I303" s="16"/>
      <c r="J303" s="16"/>
      <c r="K303" s="190"/>
      <c r="L303" s="70"/>
    </row>
    <row r="304" spans="1:12">
      <c r="A304" s="19"/>
      <c r="B304" t="s">
        <v>221</v>
      </c>
      <c r="L304" s="20"/>
    </row>
    <row r="305" spans="1:12">
      <c r="A305" s="19"/>
      <c r="B305" t="s">
        <v>222</v>
      </c>
      <c r="L305" s="20"/>
    </row>
    <row r="306" spans="1:12">
      <c r="A306" s="19"/>
      <c r="B306" t="s">
        <v>223</v>
      </c>
      <c r="L306" s="20"/>
    </row>
    <row r="307" spans="1:12" ht="27.95" customHeight="1">
      <c r="A307" s="19"/>
      <c r="L307" s="20"/>
    </row>
    <row r="308" spans="1:12" ht="27.95" customHeight="1">
      <c r="A308" s="19"/>
      <c r="I308" t="s">
        <v>224</v>
      </c>
      <c r="L308" s="20"/>
    </row>
    <row r="309" spans="1:12" ht="27.95" customHeight="1">
      <c r="A309" s="19"/>
      <c r="F309" s="177" t="s">
        <v>207</v>
      </c>
      <c r="L309" s="20"/>
    </row>
    <row r="310" spans="1:12" ht="27.95" customHeight="1">
      <c r="A310" s="19" t="s">
        <v>208</v>
      </c>
      <c r="K310" s="227" t="e">
        <f>'04-22Master'!#REF!</f>
        <v>#REF!</v>
      </c>
      <c r="L310" s="20"/>
    </row>
    <row r="311" spans="1:12" ht="27.95" customHeight="1">
      <c r="A311" s="19" t="s">
        <v>209</v>
      </c>
      <c r="L311" s="20"/>
    </row>
    <row r="312" spans="1:12" ht="27.95" customHeight="1">
      <c r="A312" s="19"/>
      <c r="L312" s="20"/>
    </row>
    <row r="313" spans="1:12" ht="27.95" customHeight="1">
      <c r="A313" s="19"/>
      <c r="L313" s="20"/>
    </row>
    <row r="314" spans="1:12" ht="27.95" customHeight="1">
      <c r="A314" s="19"/>
      <c r="F314" t="s">
        <v>210</v>
      </c>
      <c r="L314" s="20"/>
    </row>
    <row r="315" spans="1:12" ht="27.95" customHeight="1">
      <c r="A315" s="19" t="s">
        <v>211</v>
      </c>
      <c r="B315" t="s">
        <v>375</v>
      </c>
      <c r="F315" t="str">
        <f>'04-22Master'!F5</f>
        <v>Burgeon IT Services Pvt.Ltd.</v>
      </c>
      <c r="L315" s="20"/>
    </row>
    <row r="316" spans="1:12" ht="27.95" customHeight="1">
      <c r="A316" s="19" t="s">
        <v>212</v>
      </c>
      <c r="B316" s="286" t="e">
        <f>'04-22Master'!#REF!</f>
        <v>#REF!</v>
      </c>
      <c r="F316" t="str">
        <f>'04-22Master'!F6</f>
        <v>Siri Mansion LIGB 436 Dr.A S Rao Nagar,Hyderabad</v>
      </c>
      <c r="L316" s="20"/>
    </row>
    <row r="317" spans="1:12" ht="27.95" customHeight="1" thickBot="1">
      <c r="A317" s="31"/>
      <c r="B317" s="29"/>
      <c r="C317" s="29"/>
      <c r="D317" s="29"/>
      <c r="E317" s="29"/>
      <c r="F317" s="29"/>
      <c r="G317" s="29"/>
      <c r="H317" s="29"/>
      <c r="I317" s="29"/>
      <c r="J317" s="29"/>
      <c r="K317" s="29"/>
      <c r="L317" s="30"/>
    </row>
    <row r="318" spans="1:12" ht="27.95" customHeight="1" thickBot="1">
      <c r="B318" s="178"/>
      <c r="C318" s="174"/>
      <c r="D318" s="174"/>
      <c r="E318" s="174"/>
      <c r="F318" s="174"/>
      <c r="G318" s="174"/>
      <c r="H318" s="163"/>
      <c r="I318" s="163"/>
      <c r="J318" s="164"/>
      <c r="K318" s="163"/>
      <c r="L318" s="163"/>
    </row>
    <row r="319" spans="1:12" ht="27.95" customHeight="1">
      <c r="A319" s="81"/>
      <c r="B319" s="854" t="s">
        <v>194</v>
      </c>
      <c r="C319" s="973"/>
      <c r="D319" s="973"/>
      <c r="E319" s="973"/>
      <c r="F319" s="973"/>
      <c r="G319" s="973"/>
      <c r="H319" s="973"/>
      <c r="I319" s="973"/>
      <c r="J319" s="973"/>
      <c r="K319" s="973"/>
      <c r="L319" s="974"/>
    </row>
    <row r="320" spans="1:12" ht="27.95" customHeight="1">
      <c r="A320" s="19"/>
      <c r="B320" s="982" t="s">
        <v>195</v>
      </c>
      <c r="C320" s="982"/>
      <c r="D320" s="982"/>
      <c r="E320" s="982"/>
      <c r="F320" s="982"/>
      <c r="G320" s="982"/>
      <c r="H320" s="982"/>
      <c r="I320" s="982"/>
      <c r="J320" s="982"/>
      <c r="K320" s="982"/>
      <c r="L320" s="858"/>
    </row>
    <row r="321" spans="1:12" ht="27.95" customHeight="1" thickBot="1">
      <c r="A321" s="31"/>
      <c r="B321" s="860" t="s">
        <v>196</v>
      </c>
      <c r="C321" s="860"/>
      <c r="D321" s="860"/>
      <c r="E321" s="860"/>
      <c r="F321" s="860"/>
      <c r="G321" s="860"/>
      <c r="H321" s="860"/>
      <c r="I321" s="860"/>
      <c r="J321" s="860"/>
      <c r="K321" s="860"/>
      <c r="L321" s="861"/>
    </row>
    <row r="322" spans="1:12" ht="27.95" customHeight="1">
      <c r="A322" s="19"/>
      <c r="B322" s="983" t="s">
        <v>117</v>
      </c>
      <c r="C322" s="983"/>
      <c r="D322" s="983"/>
      <c r="E322" s="983"/>
      <c r="F322" s="983"/>
      <c r="H322" s="984" t="s">
        <v>118</v>
      </c>
      <c r="I322" s="984"/>
      <c r="J322" s="984"/>
      <c r="K322" s="984"/>
      <c r="L322" s="985"/>
    </row>
    <row r="323" spans="1:12" ht="27.95" customHeight="1" thickBot="1">
      <c r="A323" s="19"/>
      <c r="B323" s="983"/>
      <c r="C323" s="983"/>
      <c r="D323" s="983"/>
      <c r="E323" s="983"/>
      <c r="F323" s="983"/>
      <c r="H323" s="984"/>
      <c r="I323" s="984"/>
      <c r="J323" s="984"/>
      <c r="K323" s="984"/>
      <c r="L323" s="985"/>
    </row>
    <row r="324" spans="1:12" ht="27.95" customHeight="1">
      <c r="A324" s="19"/>
      <c r="B324" s="81"/>
      <c r="C324" s="82"/>
      <c r="D324" s="82"/>
      <c r="E324" s="82"/>
      <c r="F324" s="83"/>
      <c r="H324" s="81"/>
      <c r="I324" s="82"/>
      <c r="J324" s="82"/>
      <c r="K324" s="82"/>
      <c r="L324" s="83"/>
    </row>
    <row r="325" spans="1:12">
      <c r="A325" s="19"/>
      <c r="B325" s="155" t="str">
        <f>'04-22Master'!F5</f>
        <v>Burgeon IT Services Pvt.Ltd.</v>
      </c>
      <c r="F325" s="20"/>
      <c r="H325" s="84" t="str">
        <f>'04-22Master'!AJ5</f>
        <v>Burgeon IT Services Pvt.Ltd.</v>
      </c>
      <c r="L325" s="20"/>
    </row>
    <row r="326" spans="1:12">
      <c r="A326" s="19"/>
      <c r="B326" s="19"/>
      <c r="F326" s="20"/>
      <c r="H326" s="19"/>
      <c r="L326" s="20"/>
    </row>
    <row r="327" spans="1:12">
      <c r="A327" s="19"/>
      <c r="B327" s="84" t="str">
        <f>'04-22Master'!F6</f>
        <v>Siri Mansion LIGB 436 Dr.A S Rao Nagar,Hyderabad</v>
      </c>
      <c r="F327" s="20"/>
      <c r="H327" s="84" t="str">
        <f>'04-22Master'!AJ6</f>
        <v>Siri Mansion LIGB 436 Dr.A S Rao Nagar,Hyderabad</v>
      </c>
      <c r="L327" s="20"/>
    </row>
    <row r="328" spans="1:12" ht="15.75" thickBot="1">
      <c r="A328" s="19"/>
      <c r="B328" s="31"/>
      <c r="C328" s="29"/>
      <c r="D328" s="29"/>
      <c r="E328" s="29"/>
      <c r="F328" s="30"/>
      <c r="H328" s="31"/>
      <c r="I328" s="29"/>
      <c r="J328" s="29"/>
      <c r="K328" s="29"/>
      <c r="L328" s="30"/>
    </row>
    <row r="329" spans="1:12">
      <c r="A329" s="19"/>
      <c r="J329" t="s">
        <v>119</v>
      </c>
      <c r="L329" s="20"/>
    </row>
    <row r="330" spans="1:12">
      <c r="A330" s="19"/>
      <c r="B330" s="750" t="s">
        <v>120</v>
      </c>
      <c r="C330" s="750"/>
      <c r="D330" s="750"/>
      <c r="E330" s="750"/>
      <c r="F330" s="750"/>
      <c r="H330" s="750" t="s">
        <v>4</v>
      </c>
      <c r="I330" s="750"/>
      <c r="J330" s="750"/>
      <c r="K330" s="750"/>
      <c r="L330" s="870"/>
    </row>
    <row r="331" spans="1:12" ht="15.75" thickBot="1">
      <c r="A331" s="19"/>
      <c r="L331" s="20"/>
    </row>
    <row r="332" spans="1:12">
      <c r="A332" s="19"/>
      <c r="B332" s="81"/>
      <c r="C332" s="82"/>
      <c r="D332" s="82"/>
      <c r="E332" s="82"/>
      <c r="F332" s="83"/>
      <c r="H332" s="85"/>
      <c r="I332" s="86"/>
      <c r="J332" s="86"/>
      <c r="K332" s="86"/>
      <c r="L332" s="87"/>
    </row>
    <row r="333" spans="1:12">
      <c r="A333" s="19"/>
      <c r="B333" s="19"/>
      <c r="F333" s="20"/>
      <c r="H333" s="84" t="str">
        <f>'04-22Master'!AJ10</f>
        <v xml:space="preserve">INFOSYS  LTD.IL Hyderabad SEZ Unit-3 </v>
      </c>
      <c r="I333" s="3"/>
      <c r="J333" s="3"/>
      <c r="K333" s="3"/>
      <c r="L333" s="88"/>
    </row>
    <row r="334" spans="1:12">
      <c r="A334" s="19"/>
      <c r="B334" s="84" t="str">
        <f>'04-22Master'!F8</f>
        <v>IT SUPPORTIVE SERVICES</v>
      </c>
      <c r="F334" s="20"/>
      <c r="H334" s="84"/>
      <c r="I334" s="3"/>
      <c r="J334" s="3"/>
      <c r="K334" s="3"/>
      <c r="L334" s="88"/>
    </row>
    <row r="335" spans="1:12">
      <c r="A335" s="19"/>
      <c r="B335" s="19"/>
      <c r="F335" s="20"/>
      <c r="H335" s="84" t="str">
        <f>'04-22Master'!AJ11</f>
        <v>Sy.No 42,Pocharam Village,Gatkesar Mandal</v>
      </c>
      <c r="I335" s="3"/>
      <c r="J335" s="3"/>
      <c r="K335" s="3"/>
      <c r="L335" s="88"/>
    </row>
    <row r="336" spans="1:12" ht="15.75" thickBot="1">
      <c r="A336" s="19"/>
      <c r="B336" s="31"/>
      <c r="C336" s="29"/>
      <c r="D336" s="29"/>
      <c r="E336" s="29"/>
      <c r="F336" s="30"/>
      <c r="H336" s="89"/>
      <c r="I336" s="90"/>
      <c r="J336" s="90"/>
      <c r="K336" s="90"/>
      <c r="L336" s="91"/>
    </row>
    <row r="337" spans="1:12">
      <c r="A337" s="92"/>
      <c r="B337" s="972" t="s">
        <v>197</v>
      </c>
      <c r="C337" s="972"/>
      <c r="D337" s="972"/>
      <c r="E337" s="972"/>
      <c r="F337" s="972"/>
      <c r="G337" s="972"/>
      <c r="H337" s="992" t="e">
        <f>'04-22Master'!#REF!</f>
        <v>#REF!</v>
      </c>
      <c r="I337" s="987"/>
      <c r="J337" s="987"/>
      <c r="K337" s="987"/>
      <c r="L337" s="841"/>
    </row>
    <row r="338" spans="1:12">
      <c r="A338" s="92"/>
      <c r="B338" s="993" t="s">
        <v>198</v>
      </c>
      <c r="C338" s="993"/>
      <c r="D338" s="993"/>
      <c r="E338" s="993"/>
      <c r="F338" s="993"/>
      <c r="G338" s="993"/>
      <c r="H338" s="992" t="e">
        <f>'04-22Master'!#REF!</f>
        <v>#REF!</v>
      </c>
      <c r="I338" s="987"/>
      <c r="J338" s="987"/>
      <c r="K338" s="987"/>
      <c r="L338" s="841"/>
    </row>
    <row r="339" spans="1:12">
      <c r="A339" s="92"/>
      <c r="B339" s="972" t="s">
        <v>199</v>
      </c>
      <c r="C339" s="972"/>
      <c r="D339" s="972"/>
      <c r="E339" s="972"/>
      <c r="F339" s="972"/>
      <c r="G339" s="972"/>
      <c r="H339" s="992" t="e">
        <f>'04-22Master'!#REF!</f>
        <v>#REF!</v>
      </c>
      <c r="I339" s="987"/>
      <c r="J339" s="987"/>
      <c r="K339" s="987"/>
      <c r="L339" s="841"/>
    </row>
    <row r="340" spans="1:12">
      <c r="A340" s="92"/>
      <c r="B340" s="972" t="s">
        <v>200</v>
      </c>
      <c r="C340" s="972"/>
      <c r="D340" s="972"/>
      <c r="E340" s="972"/>
      <c r="F340" s="972"/>
      <c r="G340" s="972"/>
      <c r="H340" s="986" t="e">
        <f>'04-22Master'!#REF!</f>
        <v>#REF!</v>
      </c>
      <c r="I340" s="987"/>
      <c r="J340" s="987"/>
      <c r="K340" s="987"/>
      <c r="L340" s="841"/>
    </row>
    <row r="341" spans="1:12">
      <c r="A341" s="92"/>
      <c r="B341" s="93" t="s">
        <v>202</v>
      </c>
      <c r="C341" s="94"/>
      <c r="D341" s="94"/>
      <c r="E341" s="94"/>
      <c r="F341" s="94"/>
      <c r="G341" s="94"/>
      <c r="H341" s="988" t="s">
        <v>203</v>
      </c>
      <c r="I341" s="989"/>
      <c r="J341" s="989"/>
      <c r="K341" s="989"/>
      <c r="L341" s="990"/>
    </row>
    <row r="342" spans="1:12">
      <c r="A342" s="92"/>
      <c r="B342" s="93" t="s">
        <v>204</v>
      </c>
      <c r="C342" s="94"/>
      <c r="D342" s="94"/>
      <c r="E342" s="94"/>
      <c r="F342" s="94"/>
      <c r="G342" s="94"/>
      <c r="H342" s="95"/>
      <c r="I342" s="96"/>
      <c r="J342" s="176"/>
      <c r="K342" s="96"/>
      <c r="L342" s="101"/>
    </row>
    <row r="343" spans="1:12">
      <c r="A343" s="92"/>
      <c r="B343" s="834" t="s">
        <v>205</v>
      </c>
      <c r="C343" s="834"/>
      <c r="D343" s="834"/>
      <c r="E343" s="834"/>
      <c r="F343" s="834"/>
      <c r="G343" s="834"/>
      <c r="H343" s="835" t="e">
        <f>'04-22Master'!#REF!</f>
        <v>#REF!</v>
      </c>
      <c r="I343" s="849"/>
      <c r="J343" s="849"/>
      <c r="K343" s="849"/>
      <c r="L343" s="850"/>
    </row>
    <row r="344" spans="1:12">
      <c r="A344" s="92"/>
      <c r="B344" s="972"/>
      <c r="C344" s="972"/>
      <c r="D344" s="972"/>
      <c r="E344" s="972"/>
      <c r="F344" s="972"/>
      <c r="G344" s="972"/>
      <c r="H344" s="991" t="e">
        <f>'04-22Master'!#REF!</f>
        <v>#REF!</v>
      </c>
      <c r="I344" s="987"/>
      <c r="J344" s="987"/>
      <c r="K344" s="987"/>
      <c r="L344" s="841"/>
    </row>
    <row r="345" spans="1:12">
      <c r="A345" s="19"/>
      <c r="B345" s="972"/>
      <c r="C345" s="972"/>
      <c r="D345" s="972"/>
      <c r="E345" s="972"/>
      <c r="F345" s="972"/>
      <c r="G345" s="972"/>
      <c r="H345" s="992" t="e">
        <f>'04-22Master'!#REF!</f>
        <v>#REF!</v>
      </c>
      <c r="I345" s="987"/>
      <c r="J345" s="987"/>
      <c r="K345" s="987"/>
      <c r="L345" s="841"/>
    </row>
    <row r="346" spans="1:12">
      <c r="A346" s="19"/>
      <c r="B346" s="93" t="s">
        <v>206</v>
      </c>
      <c r="C346" s="94"/>
      <c r="D346" s="94"/>
      <c r="E346" s="94"/>
      <c r="F346" s="94"/>
      <c r="G346" s="97"/>
      <c r="H346" s="975" t="e">
        <f>'04-22Master'!#REF!</f>
        <v>#REF!</v>
      </c>
      <c r="I346" s="976"/>
      <c r="J346" s="976"/>
      <c r="K346" s="976"/>
      <c r="L346" s="875"/>
    </row>
    <row r="347" spans="1:12">
      <c r="A347" s="19"/>
      <c r="B347" s="93"/>
      <c r="C347" s="94"/>
      <c r="D347" s="94"/>
      <c r="E347" s="94"/>
      <c r="F347" s="94"/>
      <c r="G347" s="97"/>
      <c r="H347" s="975" t="e">
        <f>'04-22Master'!#REF!</f>
        <v>#REF!</v>
      </c>
      <c r="I347" s="976"/>
      <c r="J347" s="976"/>
      <c r="K347" s="976"/>
      <c r="L347" s="875"/>
    </row>
    <row r="348" spans="1:12">
      <c r="A348" s="19"/>
      <c r="B348" s="93"/>
      <c r="C348" s="94"/>
      <c r="D348" s="94"/>
      <c r="E348" s="94"/>
      <c r="F348" s="94"/>
      <c r="G348" s="97"/>
      <c r="H348" s="975" t="e">
        <f>'04-22Master'!#REF!</f>
        <v>#REF!</v>
      </c>
      <c r="I348" s="976"/>
      <c r="J348" s="976"/>
      <c r="K348" s="976"/>
      <c r="L348" s="875"/>
    </row>
    <row r="349" spans="1:12">
      <c r="A349" s="19"/>
      <c r="B349" s="93" t="s">
        <v>213</v>
      </c>
      <c r="C349" s="94"/>
      <c r="D349" s="94"/>
      <c r="E349" s="94"/>
      <c r="F349" s="94"/>
      <c r="G349" s="97"/>
      <c r="H349" s="95"/>
      <c r="I349" s="96"/>
      <c r="J349" s="96"/>
      <c r="K349" s="96"/>
      <c r="L349" s="101"/>
    </row>
    <row r="350" spans="1:12">
      <c r="A350" s="19"/>
      <c r="B350" s="103" t="s">
        <v>214</v>
      </c>
      <c r="C350" s="157"/>
      <c r="D350" s="157"/>
      <c r="E350" s="157"/>
      <c r="F350" s="157"/>
      <c r="G350" s="158"/>
      <c r="H350" s="159"/>
      <c r="I350" s="160"/>
      <c r="J350" s="161"/>
      <c r="K350" s="160"/>
      <c r="L350" s="162"/>
    </row>
    <row r="351" spans="1:12" ht="45">
      <c r="A351" s="19"/>
      <c r="B351" s="93" t="s">
        <v>217</v>
      </c>
      <c r="C351" s="94"/>
      <c r="D351" s="96"/>
      <c r="E351" s="169" t="s">
        <v>219</v>
      </c>
      <c r="F351" s="70"/>
      <c r="G351" s="977" t="s">
        <v>218</v>
      </c>
      <c r="H351" s="978"/>
      <c r="I351" s="173" t="s">
        <v>215</v>
      </c>
      <c r="J351" s="171" t="s">
        <v>220</v>
      </c>
      <c r="K351" s="977" t="s">
        <v>216</v>
      </c>
      <c r="L351" s="979"/>
    </row>
    <row r="352" spans="1:12">
      <c r="A352" s="19"/>
      <c r="B352" s="172">
        <v>1</v>
      </c>
      <c r="C352" s="94"/>
      <c r="D352" s="94"/>
      <c r="E352" s="175">
        <v>2</v>
      </c>
      <c r="F352" s="97"/>
      <c r="G352" s="175">
        <v>3</v>
      </c>
      <c r="H352" s="191"/>
      <c r="I352" s="191">
        <v>4</v>
      </c>
      <c r="J352" s="112">
        <v>5</v>
      </c>
      <c r="K352" s="99"/>
      <c r="L352" s="100">
        <v>6</v>
      </c>
    </row>
    <row r="353" spans="1:12">
      <c r="A353" s="19"/>
      <c r="B353" s="288" t="e">
        <f>'04-22Master'!#REF!</f>
        <v>#REF!</v>
      </c>
      <c r="C353" s="187"/>
      <c r="D353" s="188"/>
      <c r="E353" s="190" t="s">
        <v>376</v>
      </c>
      <c r="F353" s="188"/>
      <c r="G353" s="190" t="s">
        <v>377</v>
      </c>
      <c r="H353" s="70"/>
      <c r="I353" s="16" t="s">
        <v>378</v>
      </c>
      <c r="J353" s="287">
        <v>1</v>
      </c>
      <c r="K353" s="980" t="s">
        <v>37</v>
      </c>
      <c r="L353" s="981"/>
    </row>
    <row r="354" spans="1:12">
      <c r="A354" s="19"/>
      <c r="B354" s="93"/>
      <c r="C354" s="187"/>
      <c r="D354" s="188"/>
      <c r="E354" s="189"/>
      <c r="F354" s="188"/>
      <c r="G354" s="189"/>
      <c r="H354" s="70"/>
      <c r="I354" s="16"/>
      <c r="J354" s="16"/>
      <c r="K354" s="190"/>
      <c r="L354" s="70"/>
    </row>
    <row r="355" spans="1:12">
      <c r="A355" s="19"/>
      <c r="B355" s="93"/>
      <c r="C355" s="187"/>
      <c r="D355" s="188"/>
      <c r="E355" s="189"/>
      <c r="F355" s="188"/>
      <c r="G355" s="189"/>
      <c r="H355" s="70"/>
      <c r="I355" s="16"/>
      <c r="J355" s="16"/>
      <c r="K355" s="190"/>
      <c r="L355" s="70"/>
    </row>
    <row r="356" spans="1:12">
      <c r="A356" s="19"/>
      <c r="B356" s="77"/>
      <c r="C356" s="23"/>
      <c r="D356" s="78"/>
      <c r="E356" s="189"/>
      <c r="F356" s="188"/>
      <c r="G356" s="189"/>
      <c r="H356" s="70"/>
      <c r="I356" s="16"/>
      <c r="J356" s="16"/>
      <c r="K356" s="190"/>
      <c r="L356" s="70"/>
    </row>
    <row r="357" spans="1:12">
      <c r="A357" s="19"/>
      <c r="B357" t="s">
        <v>221</v>
      </c>
      <c r="L357" s="20"/>
    </row>
    <row r="358" spans="1:12">
      <c r="A358" s="19"/>
      <c r="B358" t="s">
        <v>222</v>
      </c>
      <c r="L358" s="20"/>
    </row>
    <row r="359" spans="1:12">
      <c r="A359" s="19"/>
      <c r="B359" t="s">
        <v>223</v>
      </c>
      <c r="L359" s="20"/>
    </row>
    <row r="360" spans="1:12" ht="27.95" customHeight="1">
      <c r="A360" s="19"/>
      <c r="L360" s="20"/>
    </row>
    <row r="361" spans="1:12" ht="27.95" customHeight="1">
      <c r="A361" s="19"/>
      <c r="I361" t="s">
        <v>224</v>
      </c>
      <c r="L361" s="20"/>
    </row>
    <row r="362" spans="1:12" ht="27.95" customHeight="1">
      <c r="A362" s="19"/>
      <c r="F362" s="177" t="s">
        <v>207</v>
      </c>
      <c r="L362" s="20"/>
    </row>
    <row r="363" spans="1:12" ht="27.95" customHeight="1">
      <c r="A363" s="19" t="s">
        <v>208</v>
      </c>
      <c r="K363" s="227" t="e">
        <f>'04-22Master'!#REF!</f>
        <v>#REF!</v>
      </c>
      <c r="L363" s="20"/>
    </row>
    <row r="364" spans="1:12" ht="27.95" customHeight="1">
      <c r="A364" s="19" t="s">
        <v>209</v>
      </c>
      <c r="L364" s="20"/>
    </row>
    <row r="365" spans="1:12" ht="27.95" customHeight="1">
      <c r="A365" s="19"/>
      <c r="L365" s="20"/>
    </row>
    <row r="366" spans="1:12" ht="27.95" customHeight="1">
      <c r="A366" s="19"/>
      <c r="L366" s="20"/>
    </row>
    <row r="367" spans="1:12" ht="27.95" customHeight="1">
      <c r="A367" s="19"/>
      <c r="F367" t="s">
        <v>210</v>
      </c>
      <c r="L367" s="20"/>
    </row>
    <row r="368" spans="1:12" ht="27.95" customHeight="1">
      <c r="A368" s="19" t="s">
        <v>211</v>
      </c>
      <c r="B368" t="s">
        <v>375</v>
      </c>
      <c r="F368" t="str">
        <f>'04-22Master'!F5</f>
        <v>Burgeon IT Services Pvt.Ltd.</v>
      </c>
      <c r="L368" s="20"/>
    </row>
    <row r="369" spans="1:12" ht="27.95" customHeight="1">
      <c r="A369" s="19" t="s">
        <v>212</v>
      </c>
      <c r="B369" s="286" t="e">
        <f>'04-22Master'!#REF!</f>
        <v>#REF!</v>
      </c>
      <c r="F369" t="str">
        <f>'04-22Master'!F6</f>
        <v>Siri Mansion LIGB 436 Dr.A S Rao Nagar,Hyderabad</v>
      </c>
      <c r="L369" s="20"/>
    </row>
    <row r="370" spans="1:12" ht="27.95" customHeight="1" thickBot="1">
      <c r="A370" s="31"/>
      <c r="B370" s="29"/>
      <c r="C370" s="29"/>
      <c r="D370" s="29"/>
      <c r="E370" s="29"/>
      <c r="F370" s="29"/>
      <c r="G370" s="29"/>
      <c r="H370" s="29"/>
      <c r="I370" s="29"/>
      <c r="J370" s="29"/>
      <c r="K370" s="29"/>
      <c r="L370" s="30"/>
    </row>
    <row r="371" spans="1:12" ht="27.95" customHeight="1" thickBot="1">
      <c r="B371" s="178"/>
      <c r="C371" s="174"/>
      <c r="D371" s="174"/>
      <c r="E371" s="174"/>
      <c r="F371" s="174"/>
      <c r="G371" s="174"/>
      <c r="H371" s="163"/>
      <c r="I371" s="163"/>
      <c r="J371" s="164"/>
      <c r="K371" s="163"/>
      <c r="L371" s="163"/>
    </row>
    <row r="372" spans="1:12" ht="27.95" customHeight="1">
      <c r="A372" s="81"/>
      <c r="B372" s="854" t="s">
        <v>194</v>
      </c>
      <c r="C372" s="973"/>
      <c r="D372" s="973"/>
      <c r="E372" s="973"/>
      <c r="F372" s="973"/>
      <c r="G372" s="973"/>
      <c r="H372" s="973"/>
      <c r="I372" s="973"/>
      <c r="J372" s="973"/>
      <c r="K372" s="973"/>
      <c r="L372" s="974"/>
    </row>
    <row r="373" spans="1:12" ht="27.95" customHeight="1">
      <c r="A373" s="19"/>
      <c r="B373" s="982" t="s">
        <v>195</v>
      </c>
      <c r="C373" s="982"/>
      <c r="D373" s="982"/>
      <c r="E373" s="982"/>
      <c r="F373" s="982"/>
      <c r="G373" s="982"/>
      <c r="H373" s="982"/>
      <c r="I373" s="982"/>
      <c r="J373" s="982"/>
      <c r="K373" s="982"/>
      <c r="L373" s="858"/>
    </row>
    <row r="374" spans="1:12" ht="27.95" customHeight="1" thickBot="1">
      <c r="A374" s="31"/>
      <c r="B374" s="860" t="s">
        <v>196</v>
      </c>
      <c r="C374" s="860"/>
      <c r="D374" s="860"/>
      <c r="E374" s="860"/>
      <c r="F374" s="860"/>
      <c r="G374" s="860"/>
      <c r="H374" s="860"/>
      <c r="I374" s="860"/>
      <c r="J374" s="860"/>
      <c r="K374" s="860"/>
      <c r="L374" s="861"/>
    </row>
    <row r="375" spans="1:12" ht="27.95" customHeight="1">
      <c r="A375" s="19"/>
      <c r="B375" s="983" t="s">
        <v>117</v>
      </c>
      <c r="C375" s="983"/>
      <c r="D375" s="983"/>
      <c r="E375" s="983"/>
      <c r="F375" s="983"/>
      <c r="H375" s="984" t="s">
        <v>118</v>
      </c>
      <c r="I375" s="984"/>
      <c r="J375" s="984"/>
      <c r="K375" s="984"/>
      <c r="L375" s="985"/>
    </row>
    <row r="376" spans="1:12" ht="27.95" customHeight="1" thickBot="1">
      <c r="A376" s="19"/>
      <c r="B376" s="983"/>
      <c r="C376" s="983"/>
      <c r="D376" s="983"/>
      <c r="E376" s="983"/>
      <c r="F376" s="983"/>
      <c r="H376" s="984"/>
      <c r="I376" s="984"/>
      <c r="J376" s="984"/>
      <c r="K376" s="984"/>
      <c r="L376" s="985"/>
    </row>
    <row r="377" spans="1:12" ht="27.95" customHeight="1">
      <c r="A377" s="19"/>
      <c r="B377" s="81"/>
      <c r="C377" s="82"/>
      <c r="D377" s="82"/>
      <c r="E377" s="82"/>
      <c r="F377" s="83"/>
      <c r="H377" s="81"/>
      <c r="I377" s="82"/>
      <c r="J377" s="82"/>
      <c r="K377" s="82"/>
      <c r="L377" s="83"/>
    </row>
    <row r="378" spans="1:12">
      <c r="A378" s="19"/>
      <c r="B378" s="84" t="str">
        <f>'04-22Master'!F5</f>
        <v>Burgeon IT Services Pvt.Ltd.</v>
      </c>
      <c r="F378" s="20"/>
      <c r="H378" s="84" t="str">
        <f>'04-22Master'!AJ5</f>
        <v>Burgeon IT Services Pvt.Ltd.</v>
      </c>
      <c r="L378" s="20"/>
    </row>
    <row r="379" spans="1:12">
      <c r="A379" s="19"/>
      <c r="B379" s="19"/>
      <c r="F379" s="20"/>
      <c r="H379" s="19"/>
      <c r="L379" s="20"/>
    </row>
    <row r="380" spans="1:12">
      <c r="A380" s="19"/>
      <c r="B380" s="84" t="str">
        <f>'04-22Master'!F6</f>
        <v>Siri Mansion LIGB 436 Dr.A S Rao Nagar,Hyderabad</v>
      </c>
      <c r="F380" s="20"/>
      <c r="H380" s="84" t="str">
        <f>'04-22Master'!AJ6</f>
        <v>Siri Mansion LIGB 436 Dr.A S Rao Nagar,Hyderabad</v>
      </c>
      <c r="L380" s="20"/>
    </row>
    <row r="381" spans="1:12" ht="15.75" thickBot="1">
      <c r="A381" s="19"/>
      <c r="B381" s="31"/>
      <c r="C381" s="29"/>
      <c r="D381" s="29"/>
      <c r="E381" s="29"/>
      <c r="F381" s="30"/>
      <c r="H381" s="31"/>
      <c r="I381" s="29"/>
      <c r="J381" s="29"/>
      <c r="K381" s="29"/>
      <c r="L381" s="30"/>
    </row>
    <row r="382" spans="1:12">
      <c r="A382" s="19"/>
      <c r="J382" t="s">
        <v>119</v>
      </c>
      <c r="L382" s="20"/>
    </row>
    <row r="383" spans="1:12">
      <c r="A383" s="19"/>
      <c r="B383" s="750" t="s">
        <v>120</v>
      </c>
      <c r="C383" s="750"/>
      <c r="D383" s="750"/>
      <c r="E383" s="750"/>
      <c r="F383" s="750"/>
      <c r="H383" s="750" t="s">
        <v>4</v>
      </c>
      <c r="I383" s="750"/>
      <c r="J383" s="750"/>
      <c r="K383" s="750"/>
      <c r="L383" s="870"/>
    </row>
    <row r="384" spans="1:12" ht="15" customHeight="1" thickBot="1">
      <c r="A384" s="19"/>
      <c r="L384" s="20"/>
    </row>
    <row r="385" spans="1:12">
      <c r="A385" s="19"/>
      <c r="B385" s="81"/>
      <c r="C385" s="82"/>
      <c r="D385" s="82"/>
      <c r="E385" s="82"/>
      <c r="F385" s="83"/>
      <c r="H385" s="85"/>
      <c r="I385" s="86"/>
      <c r="J385" s="86"/>
      <c r="K385" s="86"/>
      <c r="L385" s="87"/>
    </row>
    <row r="386" spans="1:12">
      <c r="A386" s="19"/>
      <c r="B386" s="19"/>
      <c r="F386" s="20"/>
      <c r="H386" s="84" t="str">
        <f>'04-22Master'!AJ10</f>
        <v xml:space="preserve">INFOSYS  LTD.IL Hyderabad SEZ Unit-3 </v>
      </c>
      <c r="I386" s="3"/>
      <c r="J386" s="3"/>
      <c r="K386" s="3"/>
      <c r="L386" s="88"/>
    </row>
    <row r="387" spans="1:12">
      <c r="A387" s="19"/>
      <c r="B387" s="84" t="str">
        <f>'04-22Master'!F8</f>
        <v>IT SUPPORTIVE SERVICES</v>
      </c>
      <c r="F387" s="20"/>
      <c r="H387" s="84"/>
      <c r="I387" s="3"/>
      <c r="J387" s="3"/>
      <c r="K387" s="3"/>
      <c r="L387" s="88"/>
    </row>
    <row r="388" spans="1:12">
      <c r="A388" s="19"/>
      <c r="B388" s="19"/>
      <c r="F388" s="20"/>
      <c r="H388" s="84" t="str">
        <f>'04-22Master'!AJ11</f>
        <v>Sy.No 42,Pocharam Village,Gatkesar Mandal</v>
      </c>
      <c r="I388" s="3"/>
      <c r="J388" s="3"/>
      <c r="K388" s="3"/>
      <c r="L388" s="88"/>
    </row>
    <row r="389" spans="1:12" ht="15.75" thickBot="1">
      <c r="A389" s="19"/>
      <c r="B389" s="31"/>
      <c r="C389" s="29"/>
      <c r="D389" s="29"/>
      <c r="E389" s="29"/>
      <c r="F389" s="30"/>
      <c r="H389" s="89"/>
      <c r="I389" s="90"/>
      <c r="J389" s="90"/>
      <c r="K389" s="90"/>
      <c r="L389" s="91"/>
    </row>
    <row r="390" spans="1:12">
      <c r="A390" s="92"/>
      <c r="B390" s="972" t="s">
        <v>197</v>
      </c>
      <c r="C390" s="972"/>
      <c r="D390" s="972"/>
      <c r="E390" s="972"/>
      <c r="F390" s="972"/>
      <c r="G390" s="972"/>
      <c r="H390" s="992" t="e">
        <f>'04-22Master'!#REF!</f>
        <v>#REF!</v>
      </c>
      <c r="I390" s="987"/>
      <c r="J390" s="987"/>
      <c r="K390" s="987"/>
      <c r="L390" s="841"/>
    </row>
    <row r="391" spans="1:12">
      <c r="A391" s="92"/>
      <c r="B391" s="993" t="s">
        <v>198</v>
      </c>
      <c r="C391" s="993"/>
      <c r="D391" s="993"/>
      <c r="E391" s="993"/>
      <c r="F391" s="993"/>
      <c r="G391" s="993"/>
      <c r="H391" s="992" t="e">
        <f>'04-22Master'!#REF!</f>
        <v>#REF!</v>
      </c>
      <c r="I391" s="987"/>
      <c r="J391" s="987"/>
      <c r="K391" s="987"/>
      <c r="L391" s="841"/>
    </row>
    <row r="392" spans="1:12">
      <c r="A392" s="92"/>
      <c r="B392" s="972" t="s">
        <v>199</v>
      </c>
      <c r="C392" s="972"/>
      <c r="D392" s="972"/>
      <c r="E392" s="972"/>
      <c r="F392" s="972"/>
      <c r="G392" s="972"/>
      <c r="H392" s="992" t="e">
        <f>'04-22Master'!#REF!</f>
        <v>#REF!</v>
      </c>
      <c r="I392" s="987"/>
      <c r="J392" s="987"/>
      <c r="K392" s="987"/>
      <c r="L392" s="841"/>
    </row>
    <row r="393" spans="1:12">
      <c r="A393" s="92"/>
      <c r="B393" s="972" t="s">
        <v>200</v>
      </c>
      <c r="C393" s="972"/>
      <c r="D393" s="972"/>
      <c r="E393" s="972"/>
      <c r="F393" s="972"/>
      <c r="G393" s="972"/>
      <c r="H393" s="986" t="e">
        <f>'04-22Master'!#REF!</f>
        <v>#REF!</v>
      </c>
      <c r="I393" s="987"/>
      <c r="J393" s="987"/>
      <c r="K393" s="987"/>
      <c r="L393" s="841"/>
    </row>
    <row r="394" spans="1:12">
      <c r="A394" s="92"/>
      <c r="B394" s="93" t="s">
        <v>202</v>
      </c>
      <c r="C394" s="94"/>
      <c r="D394" s="94"/>
      <c r="E394" s="94"/>
      <c r="F394" s="94"/>
      <c r="G394" s="94"/>
      <c r="H394" s="988" t="s">
        <v>203</v>
      </c>
      <c r="I394" s="989"/>
      <c r="J394" s="989"/>
      <c r="K394" s="989"/>
      <c r="L394" s="990"/>
    </row>
    <row r="395" spans="1:12">
      <c r="A395" s="92"/>
      <c r="B395" s="93" t="s">
        <v>204</v>
      </c>
      <c r="C395" s="94"/>
      <c r="D395" s="94"/>
      <c r="E395" s="94"/>
      <c r="F395" s="94"/>
      <c r="G395" s="94"/>
      <c r="H395" s="95"/>
      <c r="I395" s="96"/>
      <c r="J395" s="176"/>
      <c r="K395" s="96"/>
      <c r="L395" s="101"/>
    </row>
    <row r="396" spans="1:12">
      <c r="A396" s="92"/>
      <c r="B396" s="834" t="s">
        <v>205</v>
      </c>
      <c r="C396" s="834"/>
      <c r="D396" s="834"/>
      <c r="E396" s="834"/>
      <c r="F396" s="834"/>
      <c r="G396" s="834"/>
      <c r="H396" s="835" t="e">
        <f>'04-22Master'!#REF!</f>
        <v>#REF!</v>
      </c>
      <c r="I396" s="849"/>
      <c r="J396" s="849"/>
      <c r="K396" s="849"/>
      <c r="L396" s="850"/>
    </row>
    <row r="397" spans="1:12">
      <c r="A397" s="92"/>
      <c r="B397" s="972"/>
      <c r="C397" s="972"/>
      <c r="D397" s="972"/>
      <c r="E397" s="972"/>
      <c r="F397" s="972"/>
      <c r="G397" s="972"/>
      <c r="H397" s="991" t="e">
        <f>'04-22Master'!#REF!</f>
        <v>#REF!</v>
      </c>
      <c r="I397" s="987"/>
      <c r="J397" s="987"/>
      <c r="K397" s="987"/>
      <c r="L397" s="841"/>
    </row>
    <row r="398" spans="1:12">
      <c r="A398" s="19"/>
      <c r="B398" s="972"/>
      <c r="C398" s="972"/>
      <c r="D398" s="972"/>
      <c r="E398" s="972"/>
      <c r="F398" s="972"/>
      <c r="G398" s="972"/>
      <c r="H398" s="992" t="e">
        <f>'04-22Master'!#REF!</f>
        <v>#REF!</v>
      </c>
      <c r="I398" s="987"/>
      <c r="J398" s="987"/>
      <c r="K398" s="987"/>
      <c r="L398" s="841"/>
    </row>
    <row r="399" spans="1:12" ht="27.95" customHeight="1">
      <c r="A399" s="19"/>
      <c r="B399" s="93" t="s">
        <v>206</v>
      </c>
      <c r="C399" s="94"/>
      <c r="D399" s="94"/>
      <c r="E399" s="94"/>
      <c r="F399" s="94"/>
      <c r="G399" s="97"/>
      <c r="H399" s="975" t="e">
        <f>'04-22Master'!#REF!</f>
        <v>#REF!</v>
      </c>
      <c r="I399" s="976"/>
      <c r="J399" s="976"/>
      <c r="K399" s="976"/>
      <c r="L399" s="875"/>
    </row>
    <row r="400" spans="1:12" ht="27.95" customHeight="1">
      <c r="A400" s="19"/>
      <c r="B400" s="93"/>
      <c r="C400" s="94"/>
      <c r="D400" s="94"/>
      <c r="E400" s="94"/>
      <c r="F400" s="94"/>
      <c r="G400" s="97"/>
      <c r="H400" s="975" t="e">
        <f>'04-22Master'!#REF!</f>
        <v>#REF!</v>
      </c>
      <c r="I400" s="976"/>
      <c r="J400" s="976"/>
      <c r="K400" s="976"/>
      <c r="L400" s="875"/>
    </row>
    <row r="401" spans="1:12" ht="27.95" customHeight="1">
      <c r="A401" s="19"/>
      <c r="B401" s="93"/>
      <c r="C401" s="94"/>
      <c r="D401" s="94"/>
      <c r="E401" s="94"/>
      <c r="F401" s="94"/>
      <c r="G401" s="97"/>
      <c r="H401" s="975" t="e">
        <f>'04-22Master'!#REF!</f>
        <v>#REF!</v>
      </c>
      <c r="I401" s="976"/>
      <c r="J401" s="976"/>
      <c r="K401" s="976"/>
      <c r="L401" s="875"/>
    </row>
    <row r="402" spans="1:12" ht="27.95" customHeight="1">
      <c r="A402" s="19"/>
      <c r="B402" s="93" t="s">
        <v>213</v>
      </c>
      <c r="C402" s="94"/>
      <c r="D402" s="94"/>
      <c r="E402" s="94"/>
      <c r="F402" s="94"/>
      <c r="G402" s="97"/>
      <c r="H402" s="95"/>
      <c r="I402" s="96"/>
      <c r="J402" s="96"/>
      <c r="K402" s="96"/>
      <c r="L402" s="101"/>
    </row>
    <row r="403" spans="1:12" ht="27.95" customHeight="1">
      <c r="A403" s="19"/>
      <c r="B403" s="103" t="s">
        <v>214</v>
      </c>
      <c r="C403" s="157"/>
      <c r="D403" s="157"/>
      <c r="E403" s="157"/>
      <c r="F403" s="157"/>
      <c r="G403" s="158"/>
      <c r="H403" s="159"/>
      <c r="I403" s="160"/>
      <c r="J403" s="161"/>
      <c r="K403" s="160"/>
      <c r="L403" s="162"/>
    </row>
    <row r="404" spans="1:12" ht="27.95" customHeight="1">
      <c r="A404" s="19"/>
      <c r="B404" s="93" t="s">
        <v>217</v>
      </c>
      <c r="C404" s="94"/>
      <c r="D404" s="96"/>
      <c r="E404" s="169" t="s">
        <v>219</v>
      </c>
      <c r="F404" s="70"/>
      <c r="G404" s="977" t="s">
        <v>218</v>
      </c>
      <c r="H404" s="978"/>
      <c r="I404" s="173" t="s">
        <v>215</v>
      </c>
      <c r="J404" s="171" t="s">
        <v>220</v>
      </c>
      <c r="K404" s="977" t="s">
        <v>216</v>
      </c>
      <c r="L404" s="979"/>
    </row>
    <row r="405" spans="1:12" ht="27.95" customHeight="1">
      <c r="A405" s="19"/>
      <c r="B405" s="172">
        <v>1</v>
      </c>
      <c r="C405" s="94"/>
      <c r="D405" s="94"/>
      <c r="E405" s="175">
        <v>2</v>
      </c>
      <c r="F405" s="97"/>
      <c r="G405" s="175">
        <v>3</v>
      </c>
      <c r="H405" s="191"/>
      <c r="I405" s="191">
        <v>4</v>
      </c>
      <c r="J405" s="112">
        <v>5</v>
      </c>
      <c r="K405" s="99"/>
      <c r="L405" s="100">
        <v>6</v>
      </c>
    </row>
    <row r="406" spans="1:12" ht="27.95" customHeight="1">
      <c r="A406" s="19"/>
      <c r="B406" s="288" t="e">
        <f>'04-22Master'!#REF!</f>
        <v>#REF!</v>
      </c>
      <c r="C406" s="187"/>
      <c r="D406" s="188"/>
      <c r="E406" s="190" t="s">
        <v>376</v>
      </c>
      <c r="F406" s="188"/>
      <c r="G406" s="190" t="s">
        <v>377</v>
      </c>
      <c r="H406" s="70"/>
      <c r="I406" s="16" t="s">
        <v>378</v>
      </c>
      <c r="J406" s="287">
        <v>1</v>
      </c>
      <c r="K406" s="980" t="s">
        <v>37</v>
      </c>
      <c r="L406" s="981"/>
    </row>
    <row r="407" spans="1:12" ht="27.95" customHeight="1">
      <c r="A407" s="19"/>
      <c r="B407" s="93"/>
      <c r="C407" s="187"/>
      <c r="D407" s="188"/>
      <c r="E407" s="189"/>
      <c r="F407" s="188"/>
      <c r="G407" s="189"/>
      <c r="H407" s="70"/>
      <c r="I407" s="16"/>
      <c r="J407" s="16"/>
      <c r="K407" s="190"/>
      <c r="L407" s="70"/>
    </row>
    <row r="408" spans="1:12" ht="27.95" customHeight="1">
      <c r="A408" s="19"/>
      <c r="B408" s="93"/>
      <c r="C408" s="187"/>
      <c r="D408" s="188"/>
      <c r="E408" s="189"/>
      <c r="F408" s="188"/>
      <c r="G408" s="189"/>
      <c r="H408" s="70"/>
      <c r="I408" s="16"/>
      <c r="J408" s="16"/>
      <c r="K408" s="190"/>
      <c r="L408" s="70"/>
    </row>
    <row r="409" spans="1:12" ht="27.95" customHeight="1">
      <c r="A409" s="19"/>
      <c r="B409" s="77"/>
      <c r="C409" s="23"/>
      <c r="D409" s="78"/>
      <c r="E409" s="189"/>
      <c r="F409" s="188"/>
      <c r="G409" s="189"/>
      <c r="H409" s="70"/>
      <c r="I409" s="16"/>
      <c r="J409" s="16"/>
      <c r="K409" s="190"/>
      <c r="L409" s="70"/>
    </row>
    <row r="410" spans="1:12" ht="27.95" customHeight="1">
      <c r="A410" s="19"/>
      <c r="B410" t="s">
        <v>221</v>
      </c>
      <c r="L410" s="20"/>
    </row>
    <row r="411" spans="1:12" ht="27.95" customHeight="1">
      <c r="A411" s="19"/>
      <c r="B411" t="s">
        <v>222</v>
      </c>
      <c r="L411" s="20"/>
    </row>
    <row r="412" spans="1:12" ht="27.95" customHeight="1">
      <c r="A412" s="19"/>
      <c r="B412" t="s">
        <v>223</v>
      </c>
      <c r="L412" s="20"/>
    </row>
    <row r="413" spans="1:12" ht="27.95" customHeight="1">
      <c r="A413" s="19"/>
      <c r="I413" t="s">
        <v>224</v>
      </c>
      <c r="L413" s="20"/>
    </row>
    <row r="414" spans="1:12" ht="27.95" customHeight="1">
      <c r="A414" s="19"/>
      <c r="F414" s="177" t="s">
        <v>207</v>
      </c>
      <c r="L414" s="20"/>
    </row>
    <row r="415" spans="1:12" ht="27.95" customHeight="1">
      <c r="A415" s="19" t="s">
        <v>208</v>
      </c>
      <c r="K415" s="227" t="e">
        <f>'04-22Master'!#REF!</f>
        <v>#REF!</v>
      </c>
      <c r="L415" s="20"/>
    </row>
    <row r="416" spans="1:12">
      <c r="A416" s="19" t="s">
        <v>209</v>
      </c>
      <c r="L416" s="20"/>
    </row>
    <row r="417" spans="1:12">
      <c r="A417" s="19"/>
      <c r="L417" s="20"/>
    </row>
    <row r="418" spans="1:12">
      <c r="A418" s="19"/>
      <c r="L418" s="20"/>
    </row>
    <row r="419" spans="1:12">
      <c r="A419" s="19"/>
      <c r="F419" t="s">
        <v>210</v>
      </c>
      <c r="L419" s="20"/>
    </row>
    <row r="420" spans="1:12">
      <c r="A420" s="19" t="s">
        <v>211</v>
      </c>
      <c r="B420" t="s">
        <v>375</v>
      </c>
      <c r="F420" t="str">
        <f>'04-22Master'!F5</f>
        <v>Burgeon IT Services Pvt.Ltd.</v>
      </c>
      <c r="L420" s="20"/>
    </row>
    <row r="421" spans="1:12">
      <c r="A421" s="19" t="s">
        <v>212</v>
      </c>
      <c r="B421" s="286" t="e">
        <f>'04-22Master'!#REF!</f>
        <v>#REF!</v>
      </c>
      <c r="F421" t="str">
        <f>'04-22Master'!F6</f>
        <v>Siri Mansion LIGB 436 Dr.A S Rao Nagar,Hyderabad</v>
      </c>
      <c r="L421" s="20"/>
    </row>
    <row r="422" spans="1:12" ht="15" customHeight="1" thickBot="1">
      <c r="A422" s="31"/>
      <c r="B422" s="29"/>
      <c r="C422" s="29"/>
      <c r="D422" s="29"/>
      <c r="E422" s="29"/>
      <c r="F422" s="29"/>
      <c r="G422" s="29"/>
      <c r="H422" s="29"/>
      <c r="I422" s="29"/>
      <c r="J422" s="29"/>
      <c r="K422" s="29"/>
      <c r="L422" s="30"/>
    </row>
    <row r="423" spans="1:12" ht="15.75" thickBot="1">
      <c r="B423" s="178"/>
      <c r="C423" s="174"/>
      <c r="D423" s="174"/>
      <c r="E423" s="174"/>
      <c r="F423" s="174"/>
      <c r="G423" s="174"/>
      <c r="H423" s="163"/>
      <c r="I423" s="163"/>
      <c r="J423" s="164"/>
      <c r="K423" s="163"/>
      <c r="L423" s="163"/>
    </row>
    <row r="424" spans="1:12" ht="32.25">
      <c r="A424" s="81"/>
      <c r="B424" s="854" t="s">
        <v>194</v>
      </c>
      <c r="C424" s="973"/>
      <c r="D424" s="973"/>
      <c r="E424" s="973"/>
      <c r="F424" s="973"/>
      <c r="G424" s="973"/>
      <c r="H424" s="973"/>
      <c r="I424" s="973"/>
      <c r="J424" s="973"/>
      <c r="K424" s="973"/>
      <c r="L424" s="974"/>
    </row>
    <row r="425" spans="1:12" ht="23.25">
      <c r="A425" s="19"/>
      <c r="B425" s="982" t="s">
        <v>195</v>
      </c>
      <c r="C425" s="982"/>
      <c r="D425" s="982"/>
      <c r="E425" s="982"/>
      <c r="F425" s="982"/>
      <c r="G425" s="982"/>
      <c r="H425" s="982"/>
      <c r="I425" s="982"/>
      <c r="J425" s="982"/>
      <c r="K425" s="982"/>
      <c r="L425" s="858"/>
    </row>
    <row r="426" spans="1:12" ht="16.5" thickBot="1">
      <c r="A426" s="31"/>
      <c r="B426" s="860" t="s">
        <v>196</v>
      </c>
      <c r="C426" s="860"/>
      <c r="D426" s="860"/>
      <c r="E426" s="860"/>
      <c r="F426" s="860"/>
      <c r="G426" s="860"/>
      <c r="H426" s="860"/>
      <c r="I426" s="860"/>
      <c r="J426" s="860"/>
      <c r="K426" s="860"/>
      <c r="L426" s="861"/>
    </row>
    <row r="427" spans="1:12">
      <c r="A427" s="19"/>
      <c r="B427" s="983" t="s">
        <v>117</v>
      </c>
      <c r="C427" s="983"/>
      <c r="D427" s="983"/>
      <c r="E427" s="983"/>
      <c r="F427" s="983"/>
      <c r="H427" s="984" t="s">
        <v>118</v>
      </c>
      <c r="I427" s="984"/>
      <c r="J427" s="984"/>
      <c r="K427" s="984"/>
      <c r="L427" s="985"/>
    </row>
    <row r="428" spans="1:12" ht="15.75" thickBot="1">
      <c r="A428" s="19"/>
      <c r="B428" s="983"/>
      <c r="C428" s="983"/>
      <c r="D428" s="983"/>
      <c r="E428" s="983"/>
      <c r="F428" s="983"/>
      <c r="H428" s="984"/>
      <c r="I428" s="984"/>
      <c r="J428" s="984"/>
      <c r="K428" s="984"/>
      <c r="L428" s="985"/>
    </row>
    <row r="429" spans="1:12">
      <c r="A429" s="19"/>
      <c r="B429" s="81"/>
      <c r="C429" s="82"/>
      <c r="D429" s="82"/>
      <c r="E429" s="82"/>
      <c r="F429" s="83"/>
      <c r="H429" s="81"/>
      <c r="I429" s="82"/>
      <c r="J429" s="82"/>
      <c r="K429" s="82"/>
      <c r="L429" s="83"/>
    </row>
    <row r="430" spans="1:12">
      <c r="A430" s="19"/>
      <c r="B430" s="84" t="str">
        <f>'04-22Master'!F5</f>
        <v>Burgeon IT Services Pvt.Ltd.</v>
      </c>
      <c r="F430" s="20"/>
      <c r="H430" s="84" t="str">
        <f>'04-22Master'!AJ5</f>
        <v>Burgeon IT Services Pvt.Ltd.</v>
      </c>
      <c r="L430" s="20"/>
    </row>
    <row r="431" spans="1:12">
      <c r="A431" s="19"/>
      <c r="B431" s="19"/>
      <c r="F431" s="20"/>
      <c r="H431" s="19"/>
      <c r="L431" s="20"/>
    </row>
    <row r="432" spans="1:12">
      <c r="A432" s="19"/>
      <c r="B432" s="84" t="str">
        <f>'04-22Master'!F6</f>
        <v>Siri Mansion LIGB 436 Dr.A S Rao Nagar,Hyderabad</v>
      </c>
      <c r="F432" s="20"/>
      <c r="H432" s="84" t="str">
        <f>'04-22Master'!AJ6</f>
        <v>Siri Mansion LIGB 436 Dr.A S Rao Nagar,Hyderabad</v>
      </c>
      <c r="L432" s="20"/>
    </row>
    <row r="433" spans="1:12" ht="15.75" thickBot="1">
      <c r="A433" s="19"/>
      <c r="B433" s="31"/>
      <c r="C433" s="29"/>
      <c r="D433" s="29"/>
      <c r="E433" s="29"/>
      <c r="F433" s="30"/>
      <c r="H433" s="31"/>
      <c r="I433" s="29"/>
      <c r="J433" s="29"/>
      <c r="K433" s="29"/>
      <c r="L433" s="30"/>
    </row>
    <row r="434" spans="1:12">
      <c r="A434" s="19"/>
      <c r="J434" t="s">
        <v>119</v>
      </c>
      <c r="L434" s="20"/>
    </row>
    <row r="435" spans="1:12">
      <c r="A435" s="19"/>
      <c r="B435" s="750" t="s">
        <v>120</v>
      </c>
      <c r="C435" s="750"/>
      <c r="D435" s="750"/>
      <c r="E435" s="750"/>
      <c r="F435" s="750"/>
      <c r="H435" s="750" t="s">
        <v>4</v>
      </c>
      <c r="I435" s="750"/>
      <c r="J435" s="750"/>
      <c r="K435" s="750"/>
      <c r="L435" s="870"/>
    </row>
    <row r="436" spans="1:12" ht="15.75" thickBot="1">
      <c r="A436" s="19"/>
      <c r="L436" s="20"/>
    </row>
    <row r="437" spans="1:12" ht="15" customHeight="1">
      <c r="A437" s="19"/>
      <c r="B437" s="81"/>
      <c r="C437" s="82"/>
      <c r="D437" s="82"/>
      <c r="E437" s="82"/>
      <c r="F437" s="83"/>
      <c r="H437" s="85"/>
      <c r="I437" s="86"/>
      <c r="J437" s="86"/>
      <c r="K437" s="86"/>
      <c r="L437" s="87"/>
    </row>
    <row r="438" spans="1:12" ht="15" customHeight="1">
      <c r="A438" s="19"/>
      <c r="B438" s="19"/>
      <c r="F438" s="20"/>
      <c r="H438" s="84" t="str">
        <f>'04-22Master'!AJ10</f>
        <v xml:space="preserve">INFOSYS  LTD.IL Hyderabad SEZ Unit-3 </v>
      </c>
      <c r="I438" s="3"/>
      <c r="J438" s="3"/>
      <c r="K438" s="3"/>
      <c r="L438" s="88"/>
    </row>
    <row r="439" spans="1:12" ht="15" customHeight="1">
      <c r="A439" s="19"/>
      <c r="B439" s="84" t="str">
        <f>'04-22Master'!F8</f>
        <v>IT SUPPORTIVE SERVICES</v>
      </c>
      <c r="F439" s="20"/>
      <c r="H439" s="84"/>
      <c r="I439" s="3"/>
      <c r="J439" s="3"/>
      <c r="K439" s="3"/>
      <c r="L439" s="88"/>
    </row>
    <row r="440" spans="1:12" ht="15" customHeight="1">
      <c r="A440" s="19"/>
      <c r="B440" s="19"/>
      <c r="F440" s="20"/>
      <c r="H440" s="84" t="str">
        <f>'04-22Master'!AJ11</f>
        <v>Sy.No 42,Pocharam Village,Gatkesar Mandal</v>
      </c>
      <c r="I440" s="3"/>
      <c r="J440" s="3"/>
      <c r="K440" s="3"/>
      <c r="L440" s="88"/>
    </row>
    <row r="441" spans="1:12" ht="15" customHeight="1" thickBot="1">
      <c r="A441" s="19"/>
      <c r="B441" s="31"/>
      <c r="C441" s="29"/>
      <c r="D441" s="29"/>
      <c r="E441" s="29"/>
      <c r="F441" s="30"/>
      <c r="H441" s="89"/>
      <c r="I441" s="90"/>
      <c r="J441" s="90"/>
      <c r="K441" s="90"/>
      <c r="L441" s="91"/>
    </row>
    <row r="442" spans="1:12" ht="27.95" customHeight="1">
      <c r="A442" s="92"/>
      <c r="B442" s="972" t="s">
        <v>197</v>
      </c>
      <c r="C442" s="972"/>
      <c r="D442" s="972"/>
      <c r="E442" s="972"/>
      <c r="F442" s="972"/>
      <c r="G442" s="972"/>
      <c r="H442" s="992" t="e">
        <f>'04-22Master'!#REF!</f>
        <v>#REF!</v>
      </c>
      <c r="I442" s="987"/>
      <c r="J442" s="987"/>
      <c r="K442" s="987"/>
      <c r="L442" s="841"/>
    </row>
    <row r="443" spans="1:12" ht="27.95" customHeight="1">
      <c r="A443" s="92"/>
      <c r="B443" s="993" t="s">
        <v>198</v>
      </c>
      <c r="C443" s="993"/>
      <c r="D443" s="993"/>
      <c r="E443" s="993"/>
      <c r="F443" s="993"/>
      <c r="G443" s="993"/>
      <c r="H443" s="992" t="e">
        <f>'04-22Master'!#REF!</f>
        <v>#REF!</v>
      </c>
      <c r="I443" s="987"/>
      <c r="J443" s="987"/>
      <c r="K443" s="987"/>
      <c r="L443" s="841"/>
    </row>
    <row r="444" spans="1:12" ht="27.95" customHeight="1">
      <c r="A444" s="92"/>
      <c r="B444" s="972" t="s">
        <v>199</v>
      </c>
      <c r="C444" s="972"/>
      <c r="D444" s="972"/>
      <c r="E444" s="972"/>
      <c r="F444" s="972"/>
      <c r="G444" s="972"/>
      <c r="H444" s="992" t="e">
        <f>'04-22Master'!#REF!</f>
        <v>#REF!</v>
      </c>
      <c r="I444" s="987"/>
      <c r="J444" s="987"/>
      <c r="K444" s="987"/>
      <c r="L444" s="841"/>
    </row>
    <row r="445" spans="1:12" ht="27.95" customHeight="1">
      <c r="A445" s="92"/>
      <c r="B445" s="972" t="s">
        <v>200</v>
      </c>
      <c r="C445" s="972"/>
      <c r="D445" s="972"/>
      <c r="E445" s="972"/>
      <c r="F445" s="972"/>
      <c r="G445" s="972"/>
      <c r="H445" s="986" t="e">
        <f>'04-22Master'!#REF!</f>
        <v>#REF!</v>
      </c>
      <c r="I445" s="987"/>
      <c r="J445" s="987"/>
      <c r="K445" s="987"/>
      <c r="L445" s="841"/>
    </row>
    <row r="446" spans="1:12" ht="27.95" customHeight="1">
      <c r="A446" s="92"/>
      <c r="B446" s="93" t="s">
        <v>202</v>
      </c>
      <c r="C446" s="94"/>
      <c r="D446" s="94"/>
      <c r="E446" s="94"/>
      <c r="F446" s="94"/>
      <c r="G446" s="94"/>
      <c r="H446" s="988" t="s">
        <v>203</v>
      </c>
      <c r="I446" s="989"/>
      <c r="J446" s="989"/>
      <c r="K446" s="989"/>
      <c r="L446" s="990"/>
    </row>
    <row r="447" spans="1:12" ht="27.95" customHeight="1">
      <c r="A447" s="92"/>
      <c r="B447" s="93" t="s">
        <v>204</v>
      </c>
      <c r="C447" s="94"/>
      <c r="D447" s="94"/>
      <c r="E447" s="94"/>
      <c r="F447" s="94"/>
      <c r="G447" s="94"/>
      <c r="H447" s="95"/>
      <c r="I447" s="96"/>
      <c r="J447" s="176"/>
      <c r="K447" s="96"/>
      <c r="L447" s="101"/>
    </row>
    <row r="448" spans="1:12" ht="27.95" customHeight="1">
      <c r="A448" s="92"/>
      <c r="B448" s="834" t="s">
        <v>205</v>
      </c>
      <c r="C448" s="834"/>
      <c r="D448" s="834"/>
      <c r="E448" s="834"/>
      <c r="F448" s="834"/>
      <c r="G448" s="834"/>
      <c r="H448" s="835" t="e">
        <f>'04-22Master'!#REF!</f>
        <v>#REF!</v>
      </c>
      <c r="I448" s="849"/>
      <c r="J448" s="849"/>
      <c r="K448" s="849"/>
      <c r="L448" s="850"/>
    </row>
    <row r="449" spans="1:12" ht="27.95" customHeight="1">
      <c r="A449" s="92"/>
      <c r="B449" s="972"/>
      <c r="C449" s="972"/>
      <c r="D449" s="972"/>
      <c r="E449" s="972"/>
      <c r="F449" s="972"/>
      <c r="G449" s="972"/>
      <c r="H449" s="991" t="e">
        <f>'04-22Master'!#REF!</f>
        <v>#REF!</v>
      </c>
      <c r="I449" s="987"/>
      <c r="J449" s="987"/>
      <c r="K449" s="987"/>
      <c r="L449" s="841"/>
    </row>
    <row r="450" spans="1:12" ht="27.95" customHeight="1">
      <c r="A450" s="19"/>
      <c r="B450" s="972"/>
      <c r="C450" s="972"/>
      <c r="D450" s="972"/>
      <c r="E450" s="972"/>
      <c r="F450" s="972"/>
      <c r="G450" s="972"/>
      <c r="H450" s="992" t="e">
        <f>'04-22Master'!#REF!</f>
        <v>#REF!</v>
      </c>
      <c r="I450" s="987"/>
      <c r="J450" s="987"/>
      <c r="K450" s="987"/>
      <c r="L450" s="841"/>
    </row>
    <row r="451" spans="1:12" ht="27.95" customHeight="1">
      <c r="A451" s="19"/>
      <c r="B451" s="93" t="s">
        <v>206</v>
      </c>
      <c r="C451" s="94"/>
      <c r="D451" s="94"/>
      <c r="E451" s="94"/>
      <c r="F451" s="94"/>
      <c r="G451" s="97"/>
      <c r="H451" s="975" t="e">
        <f>'04-22Master'!#REF!</f>
        <v>#REF!</v>
      </c>
      <c r="I451" s="976"/>
      <c r="J451" s="976"/>
      <c r="K451" s="976"/>
      <c r="L451" s="875"/>
    </row>
    <row r="452" spans="1:12" ht="27.95" customHeight="1">
      <c r="A452" s="19"/>
      <c r="B452" s="93"/>
      <c r="C452" s="94"/>
      <c r="D452" s="94"/>
      <c r="E452" s="94"/>
      <c r="F452" s="94"/>
      <c r="G452" s="97"/>
      <c r="H452" s="975" t="e">
        <f>'04-22Master'!#REF!</f>
        <v>#REF!</v>
      </c>
      <c r="I452" s="976"/>
      <c r="J452" s="976"/>
      <c r="K452" s="976"/>
      <c r="L452" s="875"/>
    </row>
    <row r="453" spans="1:12" ht="27.95" customHeight="1">
      <c r="A453" s="19"/>
      <c r="B453" s="93"/>
      <c r="C453" s="94"/>
      <c r="D453" s="94"/>
      <c r="E453" s="94"/>
      <c r="F453" s="94"/>
      <c r="G453" s="97"/>
      <c r="H453" s="975" t="e">
        <f>'04-22Master'!#REF!</f>
        <v>#REF!</v>
      </c>
      <c r="I453" s="976"/>
      <c r="J453" s="976"/>
      <c r="K453" s="976"/>
      <c r="L453" s="875"/>
    </row>
    <row r="454" spans="1:12" ht="27.95" customHeight="1">
      <c r="A454" s="19"/>
      <c r="B454" s="93" t="s">
        <v>213</v>
      </c>
      <c r="C454" s="94"/>
      <c r="D454" s="94"/>
      <c r="E454" s="94"/>
      <c r="F454" s="94"/>
      <c r="G454" s="97"/>
      <c r="H454" s="95"/>
      <c r="I454" s="96"/>
      <c r="J454" s="96"/>
      <c r="K454" s="96"/>
      <c r="L454" s="101"/>
    </row>
    <row r="455" spans="1:12">
      <c r="A455" s="19"/>
      <c r="B455" s="103" t="s">
        <v>214</v>
      </c>
      <c r="C455" s="157"/>
      <c r="D455" s="157"/>
      <c r="E455" s="157"/>
      <c r="F455" s="157"/>
      <c r="G455" s="158"/>
      <c r="H455" s="159"/>
      <c r="I455" s="160"/>
      <c r="J455" s="161"/>
      <c r="K455" s="160"/>
      <c r="L455" s="162"/>
    </row>
    <row r="456" spans="1:12" ht="45">
      <c r="A456" s="19"/>
      <c r="B456" s="93" t="s">
        <v>217</v>
      </c>
      <c r="C456" s="94"/>
      <c r="D456" s="96"/>
      <c r="E456" s="169" t="s">
        <v>219</v>
      </c>
      <c r="F456" s="70"/>
      <c r="G456" s="977" t="s">
        <v>218</v>
      </c>
      <c r="H456" s="978"/>
      <c r="I456" s="173" t="s">
        <v>215</v>
      </c>
      <c r="J456" s="171" t="s">
        <v>220</v>
      </c>
      <c r="K456" s="977" t="s">
        <v>216</v>
      </c>
      <c r="L456" s="979"/>
    </row>
    <row r="457" spans="1:12">
      <c r="A457" s="19"/>
      <c r="B457" s="172">
        <v>1</v>
      </c>
      <c r="C457" s="94"/>
      <c r="D457" s="94"/>
      <c r="E457" s="175">
        <v>2</v>
      </c>
      <c r="F457" s="97"/>
      <c r="G457" s="175">
        <v>3</v>
      </c>
      <c r="H457" s="191"/>
      <c r="I457" s="191">
        <v>4</v>
      </c>
      <c r="J457" s="112">
        <v>5</v>
      </c>
      <c r="K457" s="99"/>
      <c r="L457" s="100">
        <v>6</v>
      </c>
    </row>
    <row r="458" spans="1:12">
      <c r="A458" s="19"/>
      <c r="B458" s="288" t="e">
        <f>'04-22Master'!#REF!</f>
        <v>#REF!</v>
      </c>
      <c r="C458" s="187"/>
      <c r="D458" s="188"/>
      <c r="E458" s="190" t="s">
        <v>376</v>
      </c>
      <c r="F458" s="188"/>
      <c r="G458" s="190" t="s">
        <v>377</v>
      </c>
      <c r="H458" s="70"/>
      <c r="I458" s="16" t="s">
        <v>378</v>
      </c>
      <c r="J458" s="287">
        <v>1</v>
      </c>
      <c r="K458" s="980" t="s">
        <v>37</v>
      </c>
      <c r="L458" s="981"/>
    </row>
    <row r="459" spans="1:12">
      <c r="A459" s="19"/>
      <c r="B459" s="93"/>
      <c r="C459" s="187"/>
      <c r="D459" s="188"/>
      <c r="E459" s="189"/>
      <c r="F459" s="188"/>
      <c r="G459" s="189"/>
      <c r="H459" s="70"/>
      <c r="I459" s="16"/>
      <c r="J459" s="16"/>
      <c r="K459" s="190"/>
      <c r="L459" s="70"/>
    </row>
    <row r="460" spans="1:12" ht="15" customHeight="1">
      <c r="A460" s="19"/>
      <c r="B460" s="93"/>
      <c r="C460" s="187"/>
      <c r="D460" s="188"/>
      <c r="E460" s="189"/>
      <c r="F460" s="188"/>
      <c r="G460" s="189"/>
      <c r="H460" s="70"/>
      <c r="I460" s="16"/>
      <c r="J460" s="16"/>
      <c r="K460" s="190"/>
      <c r="L460" s="70"/>
    </row>
    <row r="461" spans="1:12">
      <c r="A461" s="19"/>
      <c r="B461" s="77"/>
      <c r="C461" s="23"/>
      <c r="D461" s="78"/>
      <c r="E461" s="189"/>
      <c r="F461" s="188"/>
      <c r="G461" s="189"/>
      <c r="H461" s="70"/>
      <c r="I461" s="16"/>
      <c r="J461" s="16"/>
      <c r="K461" s="190"/>
      <c r="L461" s="70"/>
    </row>
    <row r="462" spans="1:12" ht="24.95" customHeight="1">
      <c r="A462" s="19"/>
      <c r="B462" t="s">
        <v>221</v>
      </c>
      <c r="L462" s="20"/>
    </row>
    <row r="463" spans="1:12" ht="24.95" customHeight="1">
      <c r="A463" s="19"/>
      <c r="B463" t="s">
        <v>222</v>
      </c>
      <c r="L463" s="20"/>
    </row>
    <row r="464" spans="1:12" ht="24.95" customHeight="1">
      <c r="A464" s="19"/>
      <c r="B464" t="s">
        <v>223</v>
      </c>
      <c r="L464" s="20"/>
    </row>
    <row r="465" spans="1:12">
      <c r="A465" s="19"/>
      <c r="L465" s="20"/>
    </row>
    <row r="466" spans="1:12">
      <c r="A466" s="19"/>
      <c r="I466" t="s">
        <v>224</v>
      </c>
      <c r="L466" s="20"/>
    </row>
    <row r="467" spans="1:12" ht="18.75">
      <c r="A467" s="19"/>
      <c r="F467" s="177" t="s">
        <v>207</v>
      </c>
      <c r="L467" s="20"/>
    </row>
    <row r="468" spans="1:12">
      <c r="A468" s="19" t="s">
        <v>208</v>
      </c>
      <c r="K468" s="227" t="e">
        <f>'04-22Master'!#REF!</f>
        <v>#REF!</v>
      </c>
      <c r="L468" s="20"/>
    </row>
    <row r="469" spans="1:12">
      <c r="A469" s="19" t="s">
        <v>209</v>
      </c>
      <c r="L469" s="20"/>
    </row>
    <row r="470" spans="1:12">
      <c r="A470" s="19"/>
      <c r="L470" s="20"/>
    </row>
    <row r="471" spans="1:12">
      <c r="A471" s="19"/>
      <c r="L471" s="20"/>
    </row>
    <row r="472" spans="1:12">
      <c r="A472" s="19"/>
      <c r="F472" t="s">
        <v>210</v>
      </c>
      <c r="L472" s="20"/>
    </row>
    <row r="473" spans="1:12">
      <c r="A473" s="19" t="s">
        <v>211</v>
      </c>
      <c r="B473" t="s">
        <v>375</v>
      </c>
      <c r="F473" t="str">
        <f>'04-22Master'!F5</f>
        <v>Burgeon IT Services Pvt.Ltd.</v>
      </c>
      <c r="L473" s="20"/>
    </row>
    <row r="474" spans="1:12">
      <c r="A474" s="19" t="s">
        <v>212</v>
      </c>
      <c r="B474" s="286" t="e">
        <f>'04-22Master'!#REF!</f>
        <v>#REF!</v>
      </c>
      <c r="F474" t="str">
        <f>'04-22Master'!F6</f>
        <v>Siri Mansion LIGB 436 Dr.A S Rao Nagar,Hyderabad</v>
      </c>
      <c r="L474" s="20"/>
    </row>
    <row r="475" spans="1:12">
      <c r="A475" s="19"/>
      <c r="B475" s="286"/>
      <c r="L475" s="20"/>
    </row>
    <row r="476" spans="1:12">
      <c r="A476" s="19"/>
      <c r="B476" s="286"/>
      <c r="L476" s="20"/>
    </row>
    <row r="477" spans="1:12" ht="15.75" thickBot="1">
      <c r="A477" s="31"/>
      <c r="B477" s="29"/>
      <c r="C477" s="29"/>
      <c r="D477" s="29"/>
      <c r="E477" s="29"/>
      <c r="F477" s="29"/>
      <c r="G477" s="29"/>
      <c r="H477" s="29"/>
      <c r="I477" s="29"/>
      <c r="J477" s="29"/>
      <c r="K477" s="29"/>
      <c r="L477" s="30"/>
    </row>
    <row r="478" spans="1:12" ht="27.95" customHeight="1">
      <c r="A478" s="81"/>
      <c r="B478" s="854" t="s">
        <v>194</v>
      </c>
      <c r="C478" s="973"/>
      <c r="D478" s="973"/>
      <c r="E478" s="973"/>
      <c r="F478" s="973"/>
      <c r="G478" s="973"/>
      <c r="H478" s="973"/>
      <c r="I478" s="973"/>
      <c r="J478" s="973"/>
      <c r="K478" s="973"/>
      <c r="L478" s="974"/>
    </row>
    <row r="479" spans="1:12" ht="27.95" customHeight="1">
      <c r="A479" s="19"/>
      <c r="B479" s="982" t="s">
        <v>195</v>
      </c>
      <c r="C479" s="982"/>
      <c r="D479" s="982"/>
      <c r="E479" s="982"/>
      <c r="F479" s="982"/>
      <c r="G479" s="982"/>
      <c r="H479" s="982"/>
      <c r="I479" s="982"/>
      <c r="J479" s="982"/>
      <c r="K479" s="982"/>
      <c r="L479" s="858"/>
    </row>
    <row r="480" spans="1:12" ht="27.95" customHeight="1" thickBot="1">
      <c r="A480" s="31"/>
      <c r="B480" s="860" t="s">
        <v>196</v>
      </c>
      <c r="C480" s="860"/>
      <c r="D480" s="860"/>
      <c r="E480" s="860"/>
      <c r="F480" s="860"/>
      <c r="G480" s="860"/>
      <c r="H480" s="860"/>
      <c r="I480" s="860"/>
      <c r="J480" s="860"/>
      <c r="K480" s="860"/>
      <c r="L480" s="861"/>
    </row>
    <row r="481" spans="1:12" ht="27.95" customHeight="1">
      <c r="A481" s="19"/>
      <c r="B481" s="983" t="s">
        <v>117</v>
      </c>
      <c r="C481" s="983"/>
      <c r="D481" s="983"/>
      <c r="E481" s="983"/>
      <c r="F481" s="983"/>
      <c r="H481" s="984" t="s">
        <v>118</v>
      </c>
      <c r="I481" s="984"/>
      <c r="J481" s="984"/>
      <c r="K481" s="984"/>
      <c r="L481" s="985"/>
    </row>
    <row r="482" spans="1:12" ht="27.95" customHeight="1" thickBot="1">
      <c r="A482" s="19"/>
      <c r="B482" s="983"/>
      <c r="C482" s="983"/>
      <c r="D482" s="983"/>
      <c r="E482" s="983"/>
      <c r="F482" s="983"/>
      <c r="H482" s="984"/>
      <c r="I482" s="984"/>
      <c r="J482" s="984"/>
      <c r="K482" s="984"/>
      <c r="L482" s="985"/>
    </row>
    <row r="483" spans="1:12" ht="27.95" customHeight="1">
      <c r="A483" s="19"/>
      <c r="B483" s="81"/>
      <c r="C483" s="82"/>
      <c r="D483" s="82"/>
      <c r="E483" s="82"/>
      <c r="F483" s="83"/>
      <c r="H483" s="81"/>
      <c r="I483" s="82"/>
      <c r="J483" s="82"/>
      <c r="K483" s="82"/>
      <c r="L483" s="83"/>
    </row>
    <row r="484" spans="1:12" ht="27.95" customHeight="1">
      <c r="A484" s="19"/>
      <c r="B484" s="84">
        <f>'04-22 Muster Roll'!D466</f>
        <v>0</v>
      </c>
      <c r="F484" s="20"/>
      <c r="H484" s="84">
        <f>'04-22 Muster Roll'!Z466</f>
        <v>0</v>
      </c>
      <c r="L484" s="20"/>
    </row>
    <row r="485" spans="1:12" ht="27.95" customHeight="1">
      <c r="A485" s="19"/>
      <c r="B485" s="19"/>
      <c r="F485" s="20"/>
      <c r="H485" s="19"/>
      <c r="L485" s="20"/>
    </row>
    <row r="486" spans="1:12" ht="27.95" customHeight="1">
      <c r="A486" s="19"/>
      <c r="B486" s="84">
        <f>'04-22 Muster Roll'!D467</f>
        <v>0</v>
      </c>
      <c r="F486" s="20"/>
      <c r="H486" s="84">
        <f>'04-22 Muster Roll'!Z467</f>
        <v>0</v>
      </c>
      <c r="L486" s="20"/>
    </row>
    <row r="487" spans="1:12" ht="27.95" customHeight="1" thickBot="1">
      <c r="A487" s="19"/>
      <c r="B487" s="31"/>
      <c r="C487" s="29"/>
      <c r="D487" s="29"/>
      <c r="E487" s="29"/>
      <c r="F487" s="30"/>
      <c r="H487" s="31"/>
      <c r="I487" s="29"/>
      <c r="J487" s="29"/>
      <c r="K487" s="29"/>
      <c r="L487" s="30"/>
    </row>
    <row r="488" spans="1:12" ht="27.95" customHeight="1">
      <c r="A488" s="19"/>
      <c r="J488" t="s">
        <v>119</v>
      </c>
      <c r="L488" s="20"/>
    </row>
    <row r="489" spans="1:12" ht="27.95" customHeight="1">
      <c r="A489" s="19"/>
      <c r="B489" s="750" t="s">
        <v>120</v>
      </c>
      <c r="C489" s="750"/>
      <c r="D489" s="750"/>
      <c r="E489" s="750"/>
      <c r="F489" s="750"/>
      <c r="H489" s="750" t="s">
        <v>4</v>
      </c>
      <c r="I489" s="750"/>
      <c r="J489" s="750"/>
      <c r="K489" s="750"/>
      <c r="L489" s="870"/>
    </row>
    <row r="490" spans="1:12" ht="27.95" customHeight="1" thickBot="1">
      <c r="A490" s="19"/>
      <c r="L490" s="20"/>
    </row>
    <row r="491" spans="1:12" ht="15" customHeight="1">
      <c r="A491" s="19"/>
      <c r="B491" s="81"/>
      <c r="C491" s="82"/>
      <c r="D491" s="82"/>
      <c r="E491" s="82"/>
      <c r="F491" s="83"/>
      <c r="H491" s="85"/>
      <c r="I491" s="86"/>
      <c r="J491" s="86"/>
      <c r="K491" s="86"/>
      <c r="L491" s="87"/>
    </row>
    <row r="492" spans="1:12" ht="15" customHeight="1">
      <c r="A492" s="19"/>
      <c r="B492" s="19"/>
      <c r="F492" s="20"/>
      <c r="H492" s="84">
        <f>'04-22 Muster Roll'!Z470</f>
        <v>0</v>
      </c>
      <c r="I492" s="3"/>
      <c r="J492" s="3"/>
      <c r="K492" s="3"/>
      <c r="L492" s="88"/>
    </row>
    <row r="493" spans="1:12" ht="15" customHeight="1">
      <c r="A493" s="19"/>
      <c r="B493" s="84">
        <f>'04-22 Muster Roll'!D468</f>
        <v>0</v>
      </c>
      <c r="F493" s="20"/>
      <c r="H493" s="84"/>
      <c r="I493" s="3"/>
      <c r="J493" s="3"/>
      <c r="K493" s="3"/>
      <c r="L493" s="88"/>
    </row>
    <row r="494" spans="1:12" ht="15" customHeight="1">
      <c r="A494" s="19"/>
      <c r="B494" s="19"/>
      <c r="F494" s="20"/>
      <c r="H494" s="84">
        <f>'04-22 Muster Roll'!Z471</f>
        <v>0</v>
      </c>
      <c r="I494" s="3"/>
      <c r="J494" s="3"/>
      <c r="K494" s="3"/>
      <c r="L494" s="88"/>
    </row>
    <row r="495" spans="1:12" ht="15" customHeight="1" thickBot="1">
      <c r="A495" s="19"/>
      <c r="B495" s="31"/>
      <c r="C495" s="29"/>
      <c r="D495" s="29"/>
      <c r="E495" s="29"/>
      <c r="F495" s="30"/>
      <c r="H495" s="89"/>
      <c r="I495" s="90"/>
      <c r="J495" s="90"/>
      <c r="K495" s="90"/>
      <c r="L495" s="91"/>
    </row>
    <row r="496" spans="1:12">
      <c r="A496" s="92"/>
      <c r="B496" s="972" t="s">
        <v>197</v>
      </c>
      <c r="C496" s="972"/>
      <c r="D496" s="972"/>
      <c r="E496" s="972"/>
      <c r="F496" s="972"/>
      <c r="G496" s="972"/>
      <c r="H496" s="992">
        <f>'04-22Master'!B442</f>
        <v>0</v>
      </c>
      <c r="I496" s="987"/>
      <c r="J496" s="987"/>
      <c r="K496" s="987"/>
      <c r="L496" s="841"/>
    </row>
    <row r="497" spans="1:12" ht="15" customHeight="1">
      <c r="A497" s="92"/>
      <c r="B497" s="993" t="s">
        <v>198</v>
      </c>
      <c r="C497" s="993"/>
      <c r="D497" s="993"/>
      <c r="E497" s="993"/>
      <c r="F497" s="993"/>
      <c r="G497" s="993"/>
      <c r="H497" s="992">
        <f>'04-22Master'!E442</f>
        <v>0</v>
      </c>
      <c r="I497" s="987"/>
      <c r="J497" s="987"/>
      <c r="K497" s="987"/>
      <c r="L497" s="841"/>
    </row>
    <row r="498" spans="1:12">
      <c r="A498" s="92"/>
      <c r="B498" s="972" t="s">
        <v>199</v>
      </c>
      <c r="C498" s="972"/>
      <c r="D498" s="972"/>
      <c r="E498" s="972"/>
      <c r="F498" s="972"/>
      <c r="G498" s="972"/>
      <c r="H498" s="992">
        <f>'04-22Master'!C442</f>
        <v>0</v>
      </c>
      <c r="I498" s="987"/>
      <c r="J498" s="987"/>
      <c r="K498" s="987"/>
      <c r="L498" s="841"/>
    </row>
    <row r="499" spans="1:12">
      <c r="A499" s="92"/>
      <c r="B499" s="972" t="s">
        <v>200</v>
      </c>
      <c r="C499" s="972"/>
      <c r="D499" s="972"/>
      <c r="E499" s="972"/>
      <c r="F499" s="972"/>
      <c r="G499" s="972"/>
      <c r="H499" s="986">
        <f>'04-22Master'!D442</f>
        <v>0</v>
      </c>
      <c r="I499" s="987"/>
      <c r="J499" s="987"/>
      <c r="K499" s="987"/>
      <c r="L499" s="841"/>
    </row>
    <row r="500" spans="1:12">
      <c r="A500" s="92"/>
      <c r="B500" s="93" t="s">
        <v>202</v>
      </c>
      <c r="C500" s="94"/>
      <c r="D500" s="94"/>
      <c r="E500" s="94"/>
      <c r="F500" s="94"/>
      <c r="G500" s="94"/>
      <c r="H500" s="988" t="s">
        <v>203</v>
      </c>
      <c r="I500" s="989"/>
      <c r="J500" s="989"/>
      <c r="K500" s="989"/>
      <c r="L500" s="990"/>
    </row>
    <row r="501" spans="1:12" ht="15" customHeight="1">
      <c r="A501" s="92"/>
      <c r="B501" s="93" t="s">
        <v>204</v>
      </c>
      <c r="C501" s="94"/>
      <c r="D501" s="94"/>
      <c r="E501" s="94"/>
      <c r="F501" s="94"/>
      <c r="G501" s="94"/>
      <c r="H501" s="95"/>
      <c r="I501" s="96"/>
      <c r="J501" s="176"/>
      <c r="K501" s="96"/>
      <c r="L501" s="101"/>
    </row>
    <row r="502" spans="1:12" ht="15" customHeight="1">
      <c r="A502" s="92"/>
      <c r="B502" s="834" t="s">
        <v>205</v>
      </c>
      <c r="C502" s="834"/>
      <c r="D502" s="834"/>
      <c r="E502" s="834"/>
      <c r="F502" s="834"/>
      <c r="G502" s="834"/>
      <c r="H502" s="835">
        <f>'04-22Master'!G442</f>
        <v>0</v>
      </c>
      <c r="I502" s="849"/>
      <c r="J502" s="849"/>
      <c r="K502" s="849"/>
      <c r="L502" s="850"/>
    </row>
    <row r="503" spans="1:12">
      <c r="A503" s="92"/>
      <c r="B503" s="972"/>
      <c r="C503" s="972"/>
      <c r="D503" s="972"/>
      <c r="E503" s="972"/>
      <c r="F503" s="972"/>
      <c r="G503" s="972"/>
      <c r="H503" s="991">
        <f>'04-22Master'!H442</f>
        <v>0</v>
      </c>
      <c r="I503" s="987"/>
      <c r="J503" s="987"/>
      <c r="K503" s="987"/>
      <c r="L503" s="841"/>
    </row>
    <row r="504" spans="1:12">
      <c r="A504" s="19"/>
      <c r="B504" s="972"/>
      <c r="C504" s="972"/>
      <c r="D504" s="972"/>
      <c r="E504" s="972"/>
      <c r="F504" s="972"/>
      <c r="G504" s="972"/>
      <c r="H504" s="992" t="e">
        <f>'04-22Master'!#REF!</f>
        <v>#REF!</v>
      </c>
      <c r="I504" s="987"/>
      <c r="J504" s="987"/>
      <c r="K504" s="987"/>
      <c r="L504" s="841"/>
    </row>
    <row r="505" spans="1:12">
      <c r="A505" s="19"/>
      <c r="B505" s="93" t="s">
        <v>206</v>
      </c>
      <c r="C505" s="94"/>
      <c r="D505" s="94"/>
      <c r="E505" s="94"/>
      <c r="F505" s="94"/>
      <c r="G505" s="97"/>
      <c r="H505" s="975" t="e">
        <f>'04-22Master'!#REF!</f>
        <v>#REF!</v>
      </c>
      <c r="I505" s="976"/>
      <c r="J505" s="976"/>
      <c r="K505" s="976"/>
      <c r="L505" s="875"/>
    </row>
    <row r="506" spans="1:12">
      <c r="A506" s="19"/>
      <c r="B506" s="93"/>
      <c r="C506" s="94"/>
      <c r="D506" s="94"/>
      <c r="E506" s="94"/>
      <c r="F506" s="94"/>
      <c r="G506" s="97"/>
      <c r="H506" s="975" t="e">
        <f>'04-22Master'!#REF!</f>
        <v>#REF!</v>
      </c>
      <c r="I506" s="976"/>
      <c r="J506" s="976"/>
      <c r="K506" s="976"/>
      <c r="L506" s="875"/>
    </row>
    <row r="507" spans="1:12">
      <c r="A507" s="19"/>
      <c r="B507" s="93"/>
      <c r="C507" s="94"/>
      <c r="D507" s="94"/>
      <c r="E507" s="94"/>
      <c r="F507" s="94"/>
      <c r="G507" s="97"/>
      <c r="H507" s="975" t="e">
        <f>'04-22Master'!#REF!</f>
        <v>#REF!</v>
      </c>
      <c r="I507" s="976"/>
      <c r="J507" s="976"/>
      <c r="K507" s="976"/>
      <c r="L507" s="875"/>
    </row>
    <row r="508" spans="1:12">
      <c r="A508" s="19"/>
      <c r="B508" s="93" t="s">
        <v>213</v>
      </c>
      <c r="C508" s="94"/>
      <c r="D508" s="94"/>
      <c r="E508" s="94"/>
      <c r="F508" s="94"/>
      <c r="G508" s="97"/>
      <c r="H508" s="95"/>
      <c r="I508" s="96"/>
      <c r="J508" s="96"/>
      <c r="K508" s="96"/>
      <c r="L508" s="101"/>
    </row>
    <row r="509" spans="1:12">
      <c r="A509" s="19"/>
      <c r="B509" s="103" t="s">
        <v>214</v>
      </c>
      <c r="C509" s="157"/>
      <c r="D509" s="157"/>
      <c r="E509" s="157"/>
      <c r="F509" s="157"/>
      <c r="G509" s="158"/>
      <c r="H509" s="159"/>
      <c r="I509" s="160"/>
      <c r="J509" s="161"/>
      <c r="K509" s="160"/>
      <c r="L509" s="162"/>
    </row>
    <row r="510" spans="1:12" ht="45" customHeight="1">
      <c r="A510" s="19"/>
      <c r="B510" s="93" t="s">
        <v>217</v>
      </c>
      <c r="C510" s="94"/>
      <c r="D510" s="96"/>
      <c r="E510" s="169" t="s">
        <v>219</v>
      </c>
      <c r="F510" s="70"/>
      <c r="G510" s="977" t="s">
        <v>218</v>
      </c>
      <c r="H510" s="978"/>
      <c r="I510" s="173" t="s">
        <v>215</v>
      </c>
      <c r="J510" s="171" t="s">
        <v>220</v>
      </c>
      <c r="K510" s="977" t="s">
        <v>216</v>
      </c>
      <c r="L510" s="979"/>
    </row>
    <row r="511" spans="1:12">
      <c r="A511" s="19"/>
      <c r="B511" s="172">
        <v>1</v>
      </c>
      <c r="C511" s="94"/>
      <c r="D511" s="94"/>
      <c r="E511" s="175">
        <v>2</v>
      </c>
      <c r="F511" s="97"/>
      <c r="G511" s="175">
        <v>3</v>
      </c>
      <c r="H511" s="191"/>
      <c r="I511" s="191">
        <v>4</v>
      </c>
      <c r="J511" s="112">
        <v>5</v>
      </c>
      <c r="K511" s="99"/>
      <c r="L511" s="100">
        <v>6</v>
      </c>
    </row>
    <row r="512" spans="1:12">
      <c r="A512" s="19"/>
      <c r="B512" s="288">
        <f>'04-22Master'!E442</f>
        <v>0</v>
      </c>
      <c r="C512" s="187"/>
      <c r="D512" s="188"/>
      <c r="E512" s="190" t="s">
        <v>376</v>
      </c>
      <c r="F512" s="188"/>
      <c r="G512" s="190" t="s">
        <v>377</v>
      </c>
      <c r="H512" s="70"/>
      <c r="I512" s="16" t="s">
        <v>378</v>
      </c>
      <c r="J512" s="287">
        <v>1</v>
      </c>
      <c r="K512" s="980" t="s">
        <v>37</v>
      </c>
      <c r="L512" s="981"/>
    </row>
    <row r="513" spans="1:12">
      <c r="A513" s="19"/>
      <c r="B513" s="93"/>
      <c r="C513" s="187"/>
      <c r="D513" s="188"/>
      <c r="E513" s="189"/>
      <c r="F513" s="188"/>
      <c r="G513" s="189"/>
      <c r="H513" s="70"/>
      <c r="I513" s="16"/>
      <c r="J513" s="16"/>
      <c r="K513" s="190"/>
      <c r="L513" s="70"/>
    </row>
    <row r="514" spans="1:12">
      <c r="A514" s="19"/>
      <c r="B514" s="93"/>
      <c r="C514" s="187"/>
      <c r="D514" s="188"/>
      <c r="E514" s="189"/>
      <c r="F514" s="188"/>
      <c r="G514" s="189"/>
      <c r="H514" s="70"/>
      <c r="I514" s="16"/>
      <c r="J514" s="16"/>
      <c r="K514" s="190"/>
      <c r="L514" s="70"/>
    </row>
    <row r="515" spans="1:12">
      <c r="A515" s="19"/>
      <c r="B515" s="77"/>
      <c r="C515" s="23"/>
      <c r="D515" s="78"/>
      <c r="E515" s="189"/>
      <c r="F515" s="188"/>
      <c r="G515" s="189"/>
      <c r="H515" s="70"/>
      <c r="I515" s="16"/>
      <c r="J515" s="16"/>
      <c r="K515" s="190"/>
      <c r="L515" s="70"/>
    </row>
    <row r="516" spans="1:12" ht="27.95" customHeight="1">
      <c r="A516" s="19"/>
      <c r="B516" t="s">
        <v>221</v>
      </c>
      <c r="L516" s="20"/>
    </row>
    <row r="517" spans="1:12" ht="27.95" customHeight="1">
      <c r="A517" s="19"/>
      <c r="B517" t="s">
        <v>222</v>
      </c>
      <c r="L517" s="20"/>
    </row>
    <row r="518" spans="1:12" ht="27.95" customHeight="1">
      <c r="A518" s="19"/>
      <c r="B518" t="s">
        <v>223</v>
      </c>
      <c r="L518" s="20"/>
    </row>
    <row r="519" spans="1:12" ht="27.95" customHeight="1">
      <c r="A519" s="19"/>
      <c r="I519" t="s">
        <v>224</v>
      </c>
      <c r="L519" s="20"/>
    </row>
    <row r="520" spans="1:12" ht="27.95" customHeight="1">
      <c r="A520" s="19"/>
      <c r="F520" s="177" t="s">
        <v>207</v>
      </c>
      <c r="L520" s="20"/>
    </row>
    <row r="521" spans="1:12" ht="27.95" customHeight="1">
      <c r="A521" s="19" t="s">
        <v>208</v>
      </c>
      <c r="K521" s="227">
        <f>'04-22Master'!B442</f>
        <v>0</v>
      </c>
      <c r="L521" s="20"/>
    </row>
    <row r="522" spans="1:12" ht="27.95" customHeight="1">
      <c r="A522" s="19" t="s">
        <v>209</v>
      </c>
      <c r="L522" s="20"/>
    </row>
    <row r="523" spans="1:12" ht="27.95" customHeight="1">
      <c r="A523" s="19"/>
      <c r="F523" t="s">
        <v>210</v>
      </c>
      <c r="L523" s="20"/>
    </row>
    <row r="524" spans="1:12" ht="27.95" customHeight="1">
      <c r="A524" s="19" t="s">
        <v>211</v>
      </c>
      <c r="B524" t="s">
        <v>375</v>
      </c>
      <c r="F524">
        <f>'04-22Master'!AJ432</f>
        <v>0</v>
      </c>
      <c r="L524" s="20"/>
    </row>
    <row r="525" spans="1:12" ht="27.95" customHeight="1">
      <c r="A525" s="19" t="s">
        <v>212</v>
      </c>
      <c r="B525" s="286">
        <f>'04-22Master'!I442</f>
        <v>0</v>
      </c>
      <c r="F525">
        <f>'04-22Master'!AJ433</f>
        <v>0</v>
      </c>
      <c r="L525" s="20"/>
    </row>
    <row r="526" spans="1:12" ht="27.95" customHeight="1" thickBot="1">
      <c r="A526" s="31"/>
      <c r="B526" s="29"/>
      <c r="C526" s="29"/>
      <c r="D526" s="29"/>
      <c r="E526" s="29"/>
      <c r="F526" s="29"/>
      <c r="G526" s="29"/>
      <c r="H526" s="29"/>
      <c r="I526" s="29"/>
      <c r="J526" s="29"/>
      <c r="K526" s="29"/>
      <c r="L526" s="30"/>
    </row>
    <row r="527" spans="1:12" ht="27.95" customHeight="1">
      <c r="A527" s="81"/>
      <c r="B527" s="854" t="s">
        <v>194</v>
      </c>
      <c r="C527" s="973"/>
      <c r="D527" s="973"/>
      <c r="E527" s="973"/>
      <c r="F527" s="973"/>
      <c r="G527" s="973"/>
      <c r="H527" s="973"/>
      <c r="I527" s="973"/>
      <c r="J527" s="973"/>
      <c r="K527" s="973"/>
      <c r="L527" s="974"/>
    </row>
    <row r="528" spans="1:12" ht="27.95" customHeight="1">
      <c r="A528" s="19"/>
      <c r="B528" s="982" t="s">
        <v>195</v>
      </c>
      <c r="C528" s="982"/>
      <c r="D528" s="982"/>
      <c r="E528" s="982"/>
      <c r="F528" s="982"/>
      <c r="G528" s="982"/>
      <c r="H528" s="982"/>
      <c r="I528" s="982"/>
      <c r="J528" s="982"/>
      <c r="K528" s="982"/>
      <c r="L528" s="858"/>
    </row>
    <row r="529" spans="1:12" ht="27.95" customHeight="1" thickBot="1">
      <c r="A529" s="31"/>
      <c r="B529" s="860" t="s">
        <v>196</v>
      </c>
      <c r="C529" s="860"/>
      <c r="D529" s="860"/>
      <c r="E529" s="860"/>
      <c r="F529" s="860"/>
      <c r="G529" s="860"/>
      <c r="H529" s="860"/>
      <c r="I529" s="860"/>
      <c r="J529" s="860"/>
      <c r="K529" s="860"/>
      <c r="L529" s="861"/>
    </row>
    <row r="530" spans="1:12" ht="27.95" customHeight="1">
      <c r="A530" s="19"/>
      <c r="B530" s="983" t="s">
        <v>117</v>
      </c>
      <c r="C530" s="983"/>
      <c r="D530" s="983"/>
      <c r="E530" s="983"/>
      <c r="F530" s="983"/>
      <c r="H530" s="984" t="s">
        <v>118</v>
      </c>
      <c r="I530" s="984"/>
      <c r="J530" s="984"/>
      <c r="K530" s="984"/>
      <c r="L530" s="985"/>
    </row>
    <row r="531" spans="1:12" ht="27.95" customHeight="1" thickBot="1">
      <c r="A531" s="19"/>
      <c r="B531" s="983"/>
      <c r="C531" s="983"/>
      <c r="D531" s="983"/>
      <c r="E531" s="983"/>
      <c r="F531" s="983"/>
      <c r="H531" s="984"/>
      <c r="I531" s="984"/>
      <c r="J531" s="984"/>
      <c r="K531" s="984"/>
      <c r="L531" s="985"/>
    </row>
    <row r="532" spans="1:12">
      <c r="A532" s="19"/>
      <c r="B532" s="81"/>
      <c r="C532" s="82"/>
      <c r="D532" s="82"/>
      <c r="E532" s="82"/>
      <c r="F532" s="83"/>
      <c r="H532" s="81"/>
      <c r="I532" s="82"/>
      <c r="J532" s="82"/>
      <c r="K532" s="82"/>
      <c r="L532" s="83"/>
    </row>
    <row r="533" spans="1:12">
      <c r="A533" s="19"/>
      <c r="B533" s="84">
        <f>'04-22 Muster Roll'!D517</f>
        <v>0</v>
      </c>
      <c r="F533" s="20"/>
      <c r="H533" s="84">
        <f>'04-22 Muster Roll'!Z517</f>
        <v>0</v>
      </c>
      <c r="L533" s="20"/>
    </row>
    <row r="534" spans="1:12">
      <c r="A534" s="19"/>
      <c r="B534" s="19"/>
      <c r="F534" s="20"/>
      <c r="H534" s="19"/>
      <c r="L534" s="20"/>
    </row>
    <row r="535" spans="1:12">
      <c r="A535" s="19"/>
      <c r="B535" s="84">
        <f>'04-22 Muster Roll'!D518</f>
        <v>0</v>
      </c>
      <c r="F535" s="20"/>
      <c r="H535" s="84">
        <f>'04-22 Muster Roll'!Z518</f>
        <v>0</v>
      </c>
      <c r="L535" s="20"/>
    </row>
    <row r="536" spans="1:12" ht="15.75" thickBot="1">
      <c r="A536" s="19"/>
      <c r="B536" s="31"/>
      <c r="C536" s="29"/>
      <c r="D536" s="29"/>
      <c r="E536" s="29"/>
      <c r="F536" s="30"/>
      <c r="H536" s="31"/>
      <c r="I536" s="29"/>
      <c r="J536" s="29"/>
      <c r="K536" s="29"/>
      <c r="L536" s="30"/>
    </row>
    <row r="537" spans="1:12" ht="15" customHeight="1">
      <c r="A537" s="19"/>
      <c r="J537" t="s">
        <v>119</v>
      </c>
      <c r="L537" s="20"/>
    </row>
    <row r="538" spans="1:12">
      <c r="A538" s="19"/>
      <c r="B538" s="750" t="s">
        <v>120</v>
      </c>
      <c r="C538" s="750"/>
      <c r="D538" s="750"/>
      <c r="E538" s="750"/>
      <c r="F538" s="750"/>
      <c r="H538" s="750" t="s">
        <v>4</v>
      </c>
      <c r="I538" s="750"/>
      <c r="J538" s="750"/>
      <c r="K538" s="750"/>
      <c r="L538" s="870"/>
    </row>
    <row r="539" spans="1:12" ht="15.75" thickBot="1">
      <c r="A539" s="19"/>
      <c r="L539" s="20"/>
    </row>
    <row r="540" spans="1:12">
      <c r="A540" s="19"/>
      <c r="B540" s="81"/>
      <c r="C540" s="82"/>
      <c r="D540" s="82"/>
      <c r="E540" s="82"/>
      <c r="F540" s="83"/>
      <c r="H540" s="85"/>
      <c r="I540" s="86"/>
      <c r="J540" s="86"/>
      <c r="K540" s="86"/>
      <c r="L540" s="87"/>
    </row>
    <row r="541" spans="1:12">
      <c r="A541" s="19"/>
      <c r="B541" s="19"/>
      <c r="F541" s="20"/>
      <c r="H541" s="84">
        <f>'04-22 Muster Roll'!Z521</f>
        <v>0</v>
      </c>
      <c r="I541" s="3"/>
      <c r="J541" s="3"/>
      <c r="K541" s="3"/>
      <c r="L541" s="88"/>
    </row>
    <row r="542" spans="1:12">
      <c r="A542" s="19"/>
      <c r="B542" s="84">
        <f>'04-22 Muster Roll'!D519</f>
        <v>0</v>
      </c>
      <c r="F542" s="20"/>
      <c r="H542" s="84"/>
      <c r="I542" s="3"/>
      <c r="J542" s="3"/>
      <c r="K542" s="3"/>
      <c r="L542" s="88"/>
    </row>
    <row r="543" spans="1:12">
      <c r="A543" s="19"/>
      <c r="B543" s="19"/>
      <c r="F543" s="20"/>
      <c r="H543" s="84">
        <f>'04-22 Muster Roll'!Z522</f>
        <v>0</v>
      </c>
      <c r="I543" s="3"/>
      <c r="J543" s="3"/>
      <c r="K543" s="3"/>
      <c r="L543" s="88"/>
    </row>
    <row r="544" spans="1:12" ht="15.75" thickBot="1">
      <c r="A544" s="19"/>
      <c r="B544" s="31"/>
      <c r="C544" s="29"/>
      <c r="D544" s="29"/>
      <c r="E544" s="29"/>
      <c r="F544" s="30"/>
      <c r="H544" s="89"/>
      <c r="I544" s="90"/>
      <c r="J544" s="90"/>
      <c r="K544" s="90"/>
      <c r="L544" s="91"/>
    </row>
    <row r="545" spans="1:12">
      <c r="A545" s="92"/>
      <c r="B545" s="972" t="s">
        <v>197</v>
      </c>
      <c r="C545" s="972"/>
      <c r="D545" s="972"/>
      <c r="E545" s="972"/>
      <c r="F545" s="972"/>
      <c r="G545" s="972"/>
      <c r="H545" s="992">
        <f>'04-22Master'!B493</f>
        <v>0</v>
      </c>
      <c r="I545" s="987"/>
      <c r="J545" s="987"/>
      <c r="K545" s="987"/>
      <c r="L545" s="841"/>
    </row>
    <row r="546" spans="1:12">
      <c r="A546" s="92"/>
      <c r="B546" s="993" t="s">
        <v>198</v>
      </c>
      <c r="C546" s="993"/>
      <c r="D546" s="993"/>
      <c r="E546" s="993"/>
      <c r="F546" s="993"/>
      <c r="G546" s="993"/>
      <c r="H546" s="992">
        <f>'04-22Master'!E493</f>
        <v>0</v>
      </c>
      <c r="I546" s="987"/>
      <c r="J546" s="987"/>
      <c r="K546" s="987"/>
      <c r="L546" s="841"/>
    </row>
    <row r="547" spans="1:12">
      <c r="A547" s="92"/>
      <c r="B547" s="972" t="s">
        <v>199</v>
      </c>
      <c r="C547" s="972"/>
      <c r="D547" s="972"/>
      <c r="E547" s="972"/>
      <c r="F547" s="972"/>
      <c r="G547" s="972"/>
      <c r="H547" s="992">
        <f>'04-22Master'!C493</f>
        <v>0</v>
      </c>
      <c r="I547" s="987"/>
      <c r="J547" s="987"/>
      <c r="K547" s="987"/>
      <c r="L547" s="841"/>
    </row>
    <row r="548" spans="1:12">
      <c r="A548" s="92"/>
      <c r="B548" s="972" t="s">
        <v>200</v>
      </c>
      <c r="C548" s="972"/>
      <c r="D548" s="972"/>
      <c r="E548" s="972"/>
      <c r="F548" s="972"/>
      <c r="G548" s="972"/>
      <c r="H548" s="986">
        <f>'04-22Master'!D493</f>
        <v>0</v>
      </c>
      <c r="I548" s="987"/>
      <c r="J548" s="987"/>
      <c r="K548" s="987"/>
      <c r="L548" s="841"/>
    </row>
    <row r="549" spans="1:12">
      <c r="A549" s="92"/>
      <c r="B549" s="93" t="s">
        <v>202</v>
      </c>
      <c r="C549" s="94"/>
      <c r="D549" s="94"/>
      <c r="E549" s="94"/>
      <c r="F549" s="94"/>
      <c r="G549" s="94"/>
      <c r="H549" s="988" t="s">
        <v>203</v>
      </c>
      <c r="I549" s="989"/>
      <c r="J549" s="989"/>
      <c r="K549" s="989"/>
      <c r="L549" s="990"/>
    </row>
    <row r="550" spans="1:12">
      <c r="A550" s="92"/>
      <c r="B550" s="93" t="s">
        <v>204</v>
      </c>
      <c r="C550" s="94"/>
      <c r="D550" s="94"/>
      <c r="E550" s="94"/>
      <c r="F550" s="94"/>
      <c r="G550" s="94"/>
      <c r="H550" s="95"/>
      <c r="I550" s="96"/>
      <c r="J550" s="176"/>
      <c r="K550" s="96"/>
      <c r="L550" s="101"/>
    </row>
    <row r="551" spans="1:12">
      <c r="A551" s="92"/>
      <c r="B551" s="834" t="s">
        <v>205</v>
      </c>
      <c r="C551" s="834"/>
      <c r="D551" s="834"/>
      <c r="E551" s="834"/>
      <c r="F551" s="834"/>
      <c r="G551" s="834"/>
      <c r="H551" s="835">
        <f>'04-22Master'!G493</f>
        <v>0</v>
      </c>
      <c r="I551" s="849"/>
      <c r="J551" s="849"/>
      <c r="K551" s="849"/>
      <c r="L551" s="850"/>
    </row>
    <row r="552" spans="1:12" ht="27.95" customHeight="1">
      <c r="A552" s="92"/>
      <c r="B552" s="972"/>
      <c r="C552" s="972"/>
      <c r="D552" s="972"/>
      <c r="E552" s="972"/>
      <c r="F552" s="972"/>
      <c r="G552" s="972"/>
      <c r="H552" s="991">
        <f>'04-22Master'!H493</f>
        <v>0</v>
      </c>
      <c r="I552" s="987"/>
      <c r="J552" s="987"/>
      <c r="K552" s="987"/>
      <c r="L552" s="841"/>
    </row>
    <row r="553" spans="1:12" ht="27.95" customHeight="1">
      <c r="A553" s="19"/>
      <c r="B553" s="972"/>
      <c r="C553" s="972"/>
      <c r="D553" s="972"/>
      <c r="E553" s="972"/>
      <c r="F553" s="972"/>
      <c r="G553" s="972"/>
      <c r="H553" s="992" t="e">
        <f>'04-22Master'!#REF!</f>
        <v>#REF!</v>
      </c>
      <c r="I553" s="987"/>
      <c r="J553" s="987"/>
      <c r="K553" s="987"/>
      <c r="L553" s="841"/>
    </row>
    <row r="554" spans="1:12" ht="27.95" customHeight="1">
      <c r="A554" s="19"/>
      <c r="B554" s="93" t="s">
        <v>206</v>
      </c>
      <c r="C554" s="94"/>
      <c r="D554" s="94"/>
      <c r="E554" s="94"/>
      <c r="F554" s="94"/>
      <c r="G554" s="97"/>
      <c r="H554" s="975" t="e">
        <f>'04-22Master'!#REF!</f>
        <v>#REF!</v>
      </c>
      <c r="I554" s="976"/>
      <c r="J554" s="976"/>
      <c r="K554" s="976"/>
      <c r="L554" s="875"/>
    </row>
    <row r="555" spans="1:12" ht="27.95" customHeight="1">
      <c r="A555" s="19"/>
      <c r="B555" s="93"/>
      <c r="C555" s="94"/>
      <c r="D555" s="94"/>
      <c r="E555" s="94"/>
      <c r="F555" s="94"/>
      <c r="G555" s="97"/>
      <c r="H555" s="975" t="e">
        <f>'04-22Master'!#REF!</f>
        <v>#REF!</v>
      </c>
      <c r="I555" s="976"/>
      <c r="J555" s="976"/>
      <c r="K555" s="976"/>
      <c r="L555" s="875"/>
    </row>
    <row r="556" spans="1:12" ht="27.95" customHeight="1">
      <c r="A556" s="19"/>
      <c r="B556" s="93"/>
      <c r="C556" s="94"/>
      <c r="D556" s="94"/>
      <c r="E556" s="94"/>
      <c r="F556" s="94"/>
      <c r="G556" s="97"/>
      <c r="H556" s="975" t="e">
        <f>'04-22Master'!#REF!</f>
        <v>#REF!</v>
      </c>
      <c r="I556" s="976"/>
      <c r="J556" s="976"/>
      <c r="K556" s="976"/>
      <c r="L556" s="875"/>
    </row>
    <row r="557" spans="1:12" ht="27.95" customHeight="1">
      <c r="A557" s="19"/>
      <c r="B557" s="93" t="s">
        <v>213</v>
      </c>
      <c r="C557" s="94"/>
      <c r="D557" s="94"/>
      <c r="E557" s="94"/>
      <c r="F557" s="94"/>
      <c r="G557" s="97"/>
      <c r="H557" s="95"/>
      <c r="I557" s="96"/>
      <c r="J557" s="96"/>
      <c r="K557" s="96"/>
      <c r="L557" s="101"/>
    </row>
    <row r="558" spans="1:12" ht="27.95" customHeight="1">
      <c r="A558" s="19"/>
      <c r="B558" s="103" t="s">
        <v>214</v>
      </c>
      <c r="C558" s="157"/>
      <c r="D558" s="157"/>
      <c r="E558" s="157"/>
      <c r="F558" s="157"/>
      <c r="G558" s="158"/>
      <c r="H558" s="159"/>
      <c r="I558" s="160"/>
      <c r="J558" s="161"/>
      <c r="K558" s="160"/>
      <c r="L558" s="162"/>
    </row>
    <row r="559" spans="1:12" ht="27.95" customHeight="1">
      <c r="A559" s="19"/>
      <c r="B559" s="93" t="s">
        <v>217</v>
      </c>
      <c r="C559" s="94"/>
      <c r="D559" s="96"/>
      <c r="E559" s="169" t="s">
        <v>219</v>
      </c>
      <c r="F559" s="70"/>
      <c r="G559" s="977" t="s">
        <v>218</v>
      </c>
      <c r="H559" s="978"/>
      <c r="I559" s="173" t="s">
        <v>215</v>
      </c>
      <c r="J559" s="171" t="s">
        <v>220</v>
      </c>
      <c r="K559" s="977" t="s">
        <v>216</v>
      </c>
      <c r="L559" s="979"/>
    </row>
    <row r="560" spans="1:12" ht="27.95" customHeight="1">
      <c r="A560" s="19"/>
      <c r="B560" s="172">
        <v>1</v>
      </c>
      <c r="C560" s="94"/>
      <c r="D560" s="94"/>
      <c r="E560" s="175">
        <v>2</v>
      </c>
      <c r="F560" s="97"/>
      <c r="G560" s="175">
        <v>3</v>
      </c>
      <c r="H560" s="191"/>
      <c r="I560" s="191">
        <v>4</v>
      </c>
      <c r="J560" s="112">
        <v>5</v>
      </c>
      <c r="K560" s="99"/>
      <c r="L560" s="100">
        <v>6</v>
      </c>
    </row>
    <row r="561" spans="1:12" ht="27.95" customHeight="1">
      <c r="A561" s="19"/>
      <c r="B561" s="288">
        <f>'04-22Master'!E493</f>
        <v>0</v>
      </c>
      <c r="C561" s="187"/>
      <c r="D561" s="188"/>
      <c r="E561" s="190" t="s">
        <v>376</v>
      </c>
      <c r="F561" s="188"/>
      <c r="G561" s="190" t="s">
        <v>377</v>
      </c>
      <c r="H561" s="70"/>
      <c r="I561" s="16" t="s">
        <v>378</v>
      </c>
      <c r="J561" s="287">
        <v>1</v>
      </c>
      <c r="K561" s="980" t="s">
        <v>37</v>
      </c>
      <c r="L561" s="996"/>
    </row>
    <row r="562" spans="1:12" ht="27.95" customHeight="1">
      <c r="A562" s="19"/>
      <c r="B562" s="93"/>
      <c r="C562" s="187"/>
      <c r="D562" s="188"/>
      <c r="E562" s="189"/>
      <c r="F562" s="188"/>
      <c r="G562" s="189"/>
      <c r="H562" s="70"/>
      <c r="I562" s="16"/>
      <c r="J562" s="16"/>
      <c r="K562" s="190"/>
      <c r="L562" s="195"/>
    </row>
    <row r="563" spans="1:12" ht="27.95" customHeight="1">
      <c r="A563" s="19"/>
      <c r="B563" s="93"/>
      <c r="C563" s="187"/>
      <c r="D563" s="188"/>
      <c r="E563" s="189"/>
      <c r="F563" s="188"/>
      <c r="G563" s="189"/>
      <c r="H563" s="70"/>
      <c r="I563" s="16"/>
      <c r="J563" s="16"/>
      <c r="K563" s="190"/>
      <c r="L563" s="195"/>
    </row>
    <row r="564" spans="1:12" ht="27.95" customHeight="1">
      <c r="A564" s="19"/>
      <c r="B564" s="77"/>
      <c r="C564" s="23"/>
      <c r="D564" s="78"/>
      <c r="E564" s="189"/>
      <c r="F564" s="188"/>
      <c r="G564" s="189"/>
      <c r="H564" s="70"/>
      <c r="I564" s="16"/>
      <c r="J564" s="16"/>
      <c r="K564" s="190"/>
      <c r="L564" s="195"/>
    </row>
    <row r="565" spans="1:12" ht="27.95" customHeight="1">
      <c r="A565" s="19"/>
      <c r="B565" t="s">
        <v>221</v>
      </c>
      <c r="L565" s="20"/>
    </row>
    <row r="566" spans="1:12" ht="27.95" customHeight="1">
      <c r="A566" s="19"/>
      <c r="B566" t="s">
        <v>222</v>
      </c>
      <c r="L566" s="20"/>
    </row>
    <row r="567" spans="1:12" ht="27.95" customHeight="1">
      <c r="A567" s="19"/>
      <c r="B567" t="s">
        <v>223</v>
      </c>
      <c r="L567" s="20"/>
    </row>
    <row r="568" spans="1:12" ht="27.95" customHeight="1">
      <c r="A568" s="19"/>
      <c r="I568" t="s">
        <v>224</v>
      </c>
      <c r="L568" s="20"/>
    </row>
    <row r="569" spans="1:12" ht="27.95" customHeight="1">
      <c r="A569" s="19"/>
      <c r="F569" s="177" t="s">
        <v>207</v>
      </c>
      <c r="L569" s="20"/>
    </row>
    <row r="570" spans="1:12">
      <c r="A570" s="19" t="s">
        <v>208</v>
      </c>
      <c r="K570" s="227">
        <f>'04-22Master'!B493</f>
        <v>0</v>
      </c>
      <c r="L570" s="20"/>
    </row>
    <row r="571" spans="1:12">
      <c r="A571" s="19" t="s">
        <v>209</v>
      </c>
      <c r="L571" s="20"/>
    </row>
    <row r="572" spans="1:12">
      <c r="A572" s="19"/>
      <c r="L572" s="20"/>
    </row>
    <row r="573" spans="1:12">
      <c r="A573" s="19"/>
      <c r="L573" s="20"/>
    </row>
    <row r="574" spans="1:12">
      <c r="A574" s="19"/>
      <c r="F574" t="s">
        <v>210</v>
      </c>
      <c r="L574" s="20"/>
    </row>
    <row r="575" spans="1:12">
      <c r="A575" s="19" t="s">
        <v>211</v>
      </c>
      <c r="B575" t="s">
        <v>375</v>
      </c>
      <c r="F575">
        <f>'04-22Master'!AJ483</f>
        <v>0</v>
      </c>
      <c r="L575" s="20"/>
    </row>
    <row r="576" spans="1:12" ht="15" customHeight="1">
      <c r="A576" s="19" t="s">
        <v>212</v>
      </c>
      <c r="B576" s="286">
        <f>'04-22Master'!I493</f>
        <v>0</v>
      </c>
      <c r="F576">
        <f>'04-22Master'!AJ484</f>
        <v>0</v>
      </c>
      <c r="L576" s="20"/>
    </row>
    <row r="577" spans="1:12" ht="15.75" thickBot="1">
      <c r="A577" s="31"/>
      <c r="B577" s="29"/>
      <c r="C577" s="29"/>
      <c r="D577" s="29"/>
      <c r="E577" s="29"/>
      <c r="F577" s="29"/>
      <c r="G577" s="29"/>
      <c r="H577" s="29"/>
      <c r="I577" s="29"/>
      <c r="J577" s="29"/>
      <c r="K577" s="29"/>
      <c r="L577" s="30"/>
    </row>
    <row r="579" spans="1:12">
      <c r="B579" s="3"/>
      <c r="H579" s="3"/>
    </row>
    <row r="581" spans="1:12">
      <c r="B581" s="3"/>
      <c r="H581" s="3"/>
    </row>
    <row r="584" spans="1:12">
      <c r="B584" s="750"/>
      <c r="C584" s="750"/>
      <c r="D584" s="750"/>
      <c r="E584" s="750"/>
      <c r="F584" s="750"/>
      <c r="H584" s="750"/>
      <c r="I584" s="750"/>
      <c r="J584" s="750"/>
      <c r="K584" s="750"/>
      <c r="L584" s="750"/>
    </row>
    <row r="586" spans="1:12">
      <c r="H586" s="3"/>
      <c r="I586" s="3"/>
      <c r="J586" s="3"/>
      <c r="K586" s="3"/>
      <c r="L586" s="3"/>
    </row>
    <row r="587" spans="1:12">
      <c r="H587" s="3"/>
      <c r="I587" s="3"/>
      <c r="J587" s="3"/>
      <c r="K587" s="3"/>
      <c r="L587" s="3"/>
    </row>
    <row r="588" spans="1:12">
      <c r="B588" s="3"/>
      <c r="H588" s="3"/>
      <c r="I588" s="3"/>
      <c r="J588" s="3"/>
      <c r="K588" s="3"/>
      <c r="L588" s="3"/>
    </row>
    <row r="589" spans="1:12">
      <c r="H589" s="3"/>
      <c r="I589" s="3"/>
      <c r="J589" s="3"/>
      <c r="K589" s="3"/>
      <c r="L589" s="3"/>
    </row>
    <row r="590" spans="1:12">
      <c r="H590" s="3"/>
      <c r="I590" s="3"/>
      <c r="J590" s="3"/>
      <c r="K590" s="3"/>
      <c r="L590" s="3"/>
    </row>
    <row r="591" spans="1:12" ht="27.95" customHeight="1">
      <c r="A591" s="15"/>
      <c r="B591" s="997"/>
      <c r="C591" s="997"/>
      <c r="D591" s="997"/>
      <c r="E591" s="997"/>
      <c r="F591" s="997"/>
      <c r="G591" s="997"/>
      <c r="H591" s="994"/>
      <c r="I591" s="995"/>
      <c r="J591" s="995"/>
      <c r="K591" s="995"/>
      <c r="L591" s="995"/>
    </row>
    <row r="592" spans="1:12" ht="27.95" customHeight="1">
      <c r="A592" s="15"/>
      <c r="B592" s="984"/>
      <c r="C592" s="984"/>
      <c r="D592" s="984"/>
      <c r="E592" s="984"/>
      <c r="F592" s="984"/>
      <c r="G592" s="984"/>
      <c r="H592" s="994"/>
      <c r="I592" s="995"/>
      <c r="J592" s="995"/>
      <c r="K592" s="995"/>
      <c r="L592" s="995"/>
    </row>
    <row r="593" spans="1:12" ht="27.95" customHeight="1">
      <c r="A593" s="15"/>
      <c r="B593" s="997"/>
      <c r="C593" s="997"/>
      <c r="D593" s="997"/>
      <c r="E593" s="997"/>
      <c r="F593" s="997"/>
      <c r="G593" s="997"/>
      <c r="H593" s="994"/>
      <c r="I593" s="995"/>
      <c r="J593" s="995"/>
      <c r="K593" s="995"/>
      <c r="L593" s="995"/>
    </row>
    <row r="594" spans="1:12" ht="27.95" customHeight="1">
      <c r="A594" s="15"/>
      <c r="B594" s="997"/>
      <c r="C594" s="997"/>
      <c r="D594" s="997"/>
      <c r="E594" s="997"/>
      <c r="F594" s="997"/>
      <c r="G594" s="997"/>
      <c r="H594" s="998"/>
      <c r="I594" s="995"/>
      <c r="J594" s="995"/>
      <c r="K594" s="995"/>
      <c r="L594" s="995"/>
    </row>
    <row r="595" spans="1:12" ht="27.95" customHeight="1">
      <c r="A595" s="15"/>
      <c r="B595" s="178"/>
      <c r="C595" s="174"/>
      <c r="D595" s="174"/>
      <c r="E595" s="174"/>
      <c r="F595" s="174"/>
      <c r="G595" s="174"/>
      <c r="H595" s="163"/>
      <c r="I595" s="15"/>
      <c r="J595" s="156"/>
      <c r="K595" s="163"/>
      <c r="L595" s="163"/>
    </row>
    <row r="596" spans="1:12" ht="27.95" customHeight="1">
      <c r="A596" s="15"/>
      <c r="B596" s="178"/>
      <c r="C596" s="174"/>
      <c r="D596" s="174"/>
      <c r="E596" s="174"/>
      <c r="F596" s="174"/>
      <c r="G596" s="174"/>
      <c r="H596" s="163"/>
      <c r="I596" s="163"/>
      <c r="J596" s="156"/>
      <c r="K596" s="163"/>
      <c r="L596" s="163"/>
    </row>
    <row r="597" spans="1:12" ht="27.95" customHeight="1">
      <c r="A597" s="15"/>
      <c r="B597" s="984"/>
      <c r="C597" s="984"/>
      <c r="D597" s="984"/>
      <c r="E597" s="984"/>
      <c r="F597" s="984"/>
      <c r="G597" s="984"/>
      <c r="H597" s="994"/>
      <c r="I597" s="995"/>
      <c r="J597" s="995"/>
      <c r="K597" s="995"/>
      <c r="L597" s="995"/>
    </row>
    <row r="598" spans="1:12" ht="27.95" customHeight="1">
      <c r="A598" s="15"/>
      <c r="B598" s="997"/>
      <c r="C598" s="997"/>
      <c r="D598" s="997"/>
      <c r="E598" s="997"/>
      <c r="F598" s="997"/>
      <c r="G598" s="997"/>
      <c r="H598" s="1000"/>
      <c r="I598" s="995"/>
      <c r="J598" s="995"/>
      <c r="K598" s="995"/>
      <c r="L598" s="995"/>
    </row>
    <row r="599" spans="1:12" ht="27.95" customHeight="1">
      <c r="B599" s="997"/>
      <c r="C599" s="997"/>
      <c r="D599" s="997"/>
      <c r="E599" s="997"/>
      <c r="F599" s="997"/>
      <c r="G599" s="997"/>
      <c r="H599" s="995"/>
      <c r="I599" s="995"/>
      <c r="J599" s="995"/>
      <c r="K599" s="995"/>
      <c r="L599" s="995"/>
    </row>
    <row r="600" spans="1:12" ht="27.95" customHeight="1">
      <c r="B600" s="178"/>
      <c r="C600" s="174"/>
      <c r="D600" s="174"/>
      <c r="E600" s="174"/>
      <c r="F600" s="174"/>
      <c r="G600" s="174"/>
      <c r="H600" s="163"/>
      <c r="I600" s="163"/>
      <c r="J600" s="163"/>
      <c r="K600" s="163"/>
      <c r="L600" s="163"/>
    </row>
    <row r="601" spans="1:12" ht="27.95" customHeight="1">
      <c r="B601" s="178"/>
      <c r="C601" s="174"/>
      <c r="D601" s="174"/>
      <c r="E601" s="174"/>
      <c r="F601" s="174"/>
      <c r="G601" s="174"/>
      <c r="H601" s="163"/>
      <c r="I601" s="163"/>
      <c r="J601" s="163"/>
      <c r="K601" s="163"/>
      <c r="L601" s="163"/>
    </row>
    <row r="602" spans="1:12" ht="27.95" customHeight="1">
      <c r="B602" s="178"/>
      <c r="C602" s="174"/>
      <c r="D602" s="174"/>
      <c r="E602" s="174"/>
      <c r="F602" s="174"/>
      <c r="G602" s="174"/>
      <c r="H602" s="163"/>
      <c r="I602" s="163"/>
      <c r="J602" s="164"/>
      <c r="K602" s="163"/>
      <c r="L602" s="163"/>
    </row>
    <row r="603" spans="1:12" ht="27.95" customHeight="1">
      <c r="B603" s="178"/>
      <c r="C603" s="174"/>
      <c r="D603" s="174"/>
      <c r="E603" s="174"/>
      <c r="F603" s="174"/>
      <c r="G603" s="174"/>
      <c r="H603" s="163"/>
      <c r="I603" s="163"/>
      <c r="J603" s="163"/>
      <c r="K603" s="163"/>
      <c r="L603" s="163"/>
    </row>
    <row r="604" spans="1:12" ht="27.95" customHeight="1">
      <c r="B604" s="178"/>
      <c r="C604" s="174"/>
      <c r="D604" s="174"/>
      <c r="E604" s="174"/>
      <c r="F604" s="174"/>
      <c r="G604" s="174"/>
      <c r="H604" s="163"/>
      <c r="I604" s="163"/>
      <c r="J604" s="164"/>
      <c r="K604" s="163"/>
      <c r="L604" s="163"/>
    </row>
    <row r="605" spans="1:12" ht="27.95" customHeight="1">
      <c r="B605" s="178"/>
      <c r="C605" s="174"/>
      <c r="D605" s="163"/>
      <c r="E605" s="164"/>
      <c r="F605" s="163"/>
      <c r="G605" s="164"/>
      <c r="H605" s="163"/>
      <c r="I605" s="164"/>
      <c r="J605" s="163"/>
      <c r="K605" s="164"/>
      <c r="L605" s="164"/>
    </row>
    <row r="606" spans="1:12" ht="27.95" customHeight="1">
      <c r="B606" s="178"/>
      <c r="C606" s="174"/>
      <c r="D606" s="174"/>
      <c r="E606" s="174"/>
      <c r="F606" s="174"/>
      <c r="G606" s="174"/>
      <c r="H606" s="163"/>
      <c r="I606" s="163"/>
      <c r="J606" s="247"/>
      <c r="K606" s="163"/>
      <c r="L606" s="163"/>
    </row>
    <row r="607" spans="1:12" ht="27.95" customHeight="1">
      <c r="B607" s="178"/>
      <c r="C607" s="3"/>
      <c r="D607" s="3"/>
      <c r="E607" s="3"/>
      <c r="F607" s="3"/>
      <c r="G607" s="3"/>
    </row>
    <row r="608" spans="1:12" ht="27.95" customHeight="1">
      <c r="B608" s="178"/>
      <c r="C608" s="3"/>
      <c r="D608" s="3"/>
      <c r="E608" s="3"/>
      <c r="F608" s="3"/>
      <c r="G608" s="3"/>
    </row>
    <row r="611" spans="2:12" ht="32.25">
      <c r="B611" s="1001"/>
      <c r="C611" s="757"/>
      <c r="D611" s="757"/>
      <c r="E611" s="757"/>
      <c r="F611" s="757"/>
      <c r="G611" s="757"/>
      <c r="H611" s="757"/>
      <c r="I611" s="757"/>
      <c r="J611" s="757"/>
      <c r="K611" s="757"/>
      <c r="L611" s="757"/>
    </row>
    <row r="612" spans="2:12" ht="23.25">
      <c r="B612" s="982"/>
      <c r="C612" s="982"/>
      <c r="D612" s="982"/>
      <c r="E612" s="982"/>
      <c r="F612" s="982"/>
      <c r="G612" s="982"/>
      <c r="H612" s="982"/>
      <c r="I612" s="982"/>
      <c r="J612" s="982"/>
      <c r="K612" s="982"/>
      <c r="L612" s="982"/>
    </row>
    <row r="613" spans="2:12" ht="15.75">
      <c r="B613" s="999"/>
      <c r="C613" s="999"/>
      <c r="D613" s="999"/>
      <c r="E613" s="999"/>
      <c r="F613" s="999"/>
      <c r="G613" s="999"/>
      <c r="H613" s="999"/>
      <c r="I613" s="999"/>
      <c r="J613" s="999"/>
      <c r="K613" s="999"/>
      <c r="L613" s="999"/>
    </row>
    <row r="614" spans="2:12" ht="15" customHeight="1">
      <c r="B614" s="983"/>
      <c r="C614" s="983"/>
      <c r="D614" s="983"/>
      <c r="E614" s="983"/>
      <c r="F614" s="983"/>
      <c r="H614" s="984"/>
      <c r="I614" s="984"/>
      <c r="J614" s="984"/>
      <c r="K614" s="984"/>
      <c r="L614" s="984"/>
    </row>
    <row r="615" spans="2:12">
      <c r="B615" s="983"/>
      <c r="C615" s="983"/>
      <c r="D615" s="983"/>
      <c r="E615" s="983"/>
      <c r="F615" s="983"/>
      <c r="H615" s="984"/>
      <c r="I615" s="984"/>
      <c r="J615" s="984"/>
      <c r="K615" s="984"/>
      <c r="L615" s="984"/>
    </row>
    <row r="617" spans="2:12">
      <c r="B617" s="3"/>
      <c r="H617" s="3"/>
    </row>
    <row r="619" spans="2:12">
      <c r="B619" s="3"/>
      <c r="H619" s="3"/>
    </row>
    <row r="622" spans="2:12">
      <c r="B622" s="750"/>
      <c r="C622" s="750"/>
      <c r="D622" s="750"/>
      <c r="E622" s="750"/>
      <c r="F622" s="750"/>
      <c r="H622" s="750"/>
      <c r="I622" s="750"/>
      <c r="J622" s="750"/>
      <c r="K622" s="750"/>
      <c r="L622" s="750"/>
    </row>
    <row r="624" spans="2:12">
      <c r="H624" s="3"/>
      <c r="I624" s="3"/>
      <c r="J624" s="3"/>
      <c r="K624" s="3"/>
      <c r="L624" s="3"/>
    </row>
    <row r="625" spans="1:12">
      <c r="H625" s="3"/>
      <c r="I625" s="3"/>
      <c r="J625" s="3"/>
      <c r="K625" s="3"/>
      <c r="L625" s="3"/>
    </row>
    <row r="626" spans="1:12">
      <c r="B626" s="3"/>
      <c r="H626" s="3"/>
      <c r="I626" s="3"/>
      <c r="J626" s="3"/>
      <c r="K626" s="3"/>
      <c r="L626" s="3"/>
    </row>
    <row r="627" spans="1:12">
      <c r="H627" s="3"/>
      <c r="I627" s="3"/>
      <c r="J627" s="3"/>
      <c r="K627" s="3"/>
      <c r="L627" s="3"/>
    </row>
    <row r="628" spans="1:12">
      <c r="H628" s="3"/>
      <c r="I628" s="3"/>
      <c r="J628" s="3"/>
      <c r="K628" s="3"/>
      <c r="L628" s="3"/>
    </row>
    <row r="629" spans="1:12" ht="27.95" customHeight="1">
      <c r="A629" s="15"/>
      <c r="B629" s="997"/>
      <c r="C629" s="997"/>
      <c r="D629" s="997"/>
      <c r="E629" s="997"/>
      <c r="F629" s="997"/>
      <c r="G629" s="997"/>
      <c r="H629" s="994"/>
      <c r="I629" s="995"/>
      <c r="J629" s="995"/>
      <c r="K629" s="995"/>
      <c r="L629" s="995"/>
    </row>
    <row r="630" spans="1:12" ht="27.95" customHeight="1">
      <c r="A630" s="15"/>
      <c r="B630" s="984"/>
      <c r="C630" s="984"/>
      <c r="D630" s="984"/>
      <c r="E630" s="984"/>
      <c r="F630" s="984"/>
      <c r="G630" s="984"/>
      <c r="H630" s="994"/>
      <c r="I630" s="995"/>
      <c r="J630" s="995"/>
      <c r="K630" s="995"/>
      <c r="L630" s="995"/>
    </row>
    <row r="631" spans="1:12" ht="27.95" customHeight="1">
      <c r="A631" s="15"/>
      <c r="B631" s="997"/>
      <c r="C631" s="997"/>
      <c r="D631" s="997"/>
      <c r="E631" s="997"/>
      <c r="F631" s="997"/>
      <c r="G631" s="997"/>
      <c r="H631" s="994"/>
      <c r="I631" s="995"/>
      <c r="J631" s="995"/>
      <c r="K631" s="995"/>
      <c r="L631" s="995"/>
    </row>
    <row r="632" spans="1:12" ht="27.95" customHeight="1">
      <c r="A632" s="15"/>
      <c r="B632" s="997"/>
      <c r="C632" s="997"/>
      <c r="D632" s="997"/>
      <c r="E632" s="997"/>
      <c r="F632" s="997"/>
      <c r="G632" s="997"/>
      <c r="H632" s="998"/>
      <c r="I632" s="995"/>
      <c r="J632" s="995"/>
      <c r="K632" s="995"/>
      <c r="L632" s="995"/>
    </row>
    <row r="633" spans="1:12" ht="27.95" customHeight="1">
      <c r="A633" s="15"/>
      <c r="B633" s="178"/>
      <c r="C633" s="174"/>
      <c r="D633" s="174"/>
      <c r="E633" s="174"/>
      <c r="F633" s="174"/>
      <c r="G633" s="174"/>
      <c r="H633" s="163"/>
      <c r="I633" s="15"/>
      <c r="J633" s="156"/>
      <c r="K633" s="163"/>
      <c r="L633" s="163"/>
    </row>
    <row r="634" spans="1:12" ht="27.95" customHeight="1">
      <c r="A634" s="15"/>
      <c r="B634" s="178"/>
      <c r="C634" s="174"/>
      <c r="D634" s="174"/>
      <c r="E634" s="174"/>
      <c r="F634" s="174"/>
      <c r="G634" s="174"/>
      <c r="H634" s="163"/>
      <c r="I634" s="163"/>
      <c r="J634" s="156"/>
      <c r="K634" s="163"/>
      <c r="L634" s="163"/>
    </row>
    <row r="635" spans="1:12" ht="27.95" customHeight="1">
      <c r="A635" s="15"/>
      <c r="B635" s="984"/>
      <c r="C635" s="984"/>
      <c r="D635" s="984"/>
      <c r="E635" s="984"/>
      <c r="F635" s="984"/>
      <c r="G635" s="984"/>
      <c r="H635" s="994"/>
      <c r="I635" s="995"/>
      <c r="J635" s="995"/>
      <c r="K635" s="995"/>
      <c r="L635" s="995"/>
    </row>
    <row r="636" spans="1:12" ht="27.95" customHeight="1">
      <c r="A636" s="15"/>
      <c r="B636" s="997"/>
      <c r="C636" s="997"/>
      <c r="D636" s="997"/>
      <c r="E636" s="997"/>
      <c r="F636" s="997"/>
      <c r="G636" s="997"/>
      <c r="H636" s="1000"/>
      <c r="I636" s="995"/>
      <c r="J636" s="995"/>
      <c r="K636" s="995"/>
      <c r="L636" s="995"/>
    </row>
    <row r="637" spans="1:12" ht="27.95" customHeight="1">
      <c r="B637" s="997"/>
      <c r="C637" s="997"/>
      <c r="D637" s="997"/>
      <c r="E637" s="997"/>
      <c r="F637" s="997"/>
      <c r="G637" s="997"/>
      <c r="H637" s="995"/>
      <c r="I637" s="995"/>
      <c r="J637" s="995"/>
      <c r="K637" s="995"/>
      <c r="L637" s="995"/>
    </row>
    <row r="638" spans="1:12" ht="27.95" customHeight="1">
      <c r="B638" s="178"/>
      <c r="C638" s="174"/>
      <c r="D638" s="174"/>
      <c r="E638" s="174"/>
      <c r="F638" s="174"/>
      <c r="G638" s="174"/>
      <c r="H638" s="163"/>
      <c r="I638" s="163"/>
      <c r="J638" s="163"/>
      <c r="K638" s="163"/>
      <c r="L638" s="163"/>
    </row>
    <row r="639" spans="1:12" ht="27.95" customHeight="1">
      <c r="B639" s="178"/>
      <c r="C639" s="174"/>
      <c r="D639" s="174"/>
      <c r="E639" s="174"/>
      <c r="F639" s="174"/>
      <c r="G639" s="174"/>
      <c r="H639" s="163"/>
      <c r="I639" s="163"/>
      <c r="J639" s="163"/>
      <c r="K639" s="163"/>
      <c r="L639" s="163"/>
    </row>
    <row r="640" spans="1:12" ht="27.95" customHeight="1">
      <c r="B640" s="178"/>
      <c r="C640" s="174"/>
      <c r="D640" s="174"/>
      <c r="E640" s="174"/>
      <c r="F640" s="174"/>
      <c r="G640" s="174"/>
      <c r="H640" s="163"/>
      <c r="I640" s="163"/>
      <c r="J640" s="164"/>
      <c r="K640" s="163"/>
      <c r="L640" s="163"/>
    </row>
    <row r="641" spans="2:12" ht="27.95" customHeight="1">
      <c r="B641" s="178"/>
      <c r="C641" s="174"/>
      <c r="D641" s="174"/>
      <c r="E641" s="174"/>
      <c r="F641" s="174"/>
      <c r="G641" s="174"/>
      <c r="H641" s="163"/>
      <c r="I641" s="163"/>
      <c r="J641" s="163"/>
      <c r="K641" s="163"/>
      <c r="L641" s="163"/>
    </row>
    <row r="642" spans="2:12" ht="27.95" customHeight="1">
      <c r="B642" s="178"/>
      <c r="C642" s="174"/>
      <c r="D642" s="174"/>
      <c r="E642" s="174"/>
      <c r="F642" s="174"/>
      <c r="G642" s="174"/>
      <c r="H642" s="163"/>
      <c r="I642" s="163"/>
      <c r="J642" s="164"/>
      <c r="K642" s="163"/>
      <c r="L642" s="163"/>
    </row>
    <row r="643" spans="2:12" ht="27.95" customHeight="1">
      <c r="B643" s="178"/>
      <c r="C643" s="174"/>
      <c r="D643" s="163"/>
      <c r="E643" s="164"/>
      <c r="F643" s="163"/>
      <c r="G643" s="164"/>
      <c r="H643" s="163"/>
      <c r="I643" s="164"/>
      <c r="J643" s="163"/>
      <c r="K643" s="164"/>
      <c r="L643" s="164"/>
    </row>
    <row r="644" spans="2:12" ht="27.95" customHeight="1">
      <c r="B644" s="178"/>
      <c r="C644" s="174"/>
      <c r="D644" s="174"/>
      <c r="E644" s="174"/>
      <c r="F644" s="174"/>
      <c r="G644" s="174"/>
      <c r="H644" s="163"/>
      <c r="I644" s="163"/>
      <c r="J644" s="247"/>
      <c r="K644" s="163"/>
      <c r="L644" s="163"/>
    </row>
    <row r="645" spans="2:12" ht="27.95" customHeight="1">
      <c r="B645" s="178"/>
      <c r="C645" s="3"/>
      <c r="D645" s="3"/>
      <c r="E645" s="3"/>
      <c r="F645" s="3"/>
      <c r="G645" s="3"/>
    </row>
    <row r="646" spans="2:12" ht="27.95" customHeight="1">
      <c r="B646" s="178"/>
      <c r="C646" s="3"/>
      <c r="D646" s="3"/>
      <c r="E646" s="3"/>
      <c r="F646" s="3"/>
      <c r="G646" s="3"/>
    </row>
    <row r="650" spans="2:12" ht="32.25">
      <c r="B650" s="1001"/>
      <c r="C650" s="757"/>
      <c r="D650" s="757"/>
      <c r="E650" s="757"/>
      <c r="F650" s="757"/>
      <c r="G650" s="757"/>
      <c r="H650" s="757"/>
      <c r="I650" s="757"/>
      <c r="J650" s="757"/>
      <c r="K650" s="757"/>
      <c r="L650" s="757"/>
    </row>
    <row r="651" spans="2:12" ht="23.25">
      <c r="B651" s="982"/>
      <c r="C651" s="982"/>
      <c r="D651" s="982"/>
      <c r="E651" s="982"/>
      <c r="F651" s="982"/>
      <c r="G651" s="982"/>
      <c r="H651" s="982"/>
      <c r="I651" s="982"/>
      <c r="J651" s="982"/>
      <c r="K651" s="982"/>
      <c r="L651" s="982"/>
    </row>
    <row r="652" spans="2:12" ht="15.75">
      <c r="B652" s="999"/>
      <c r="C652" s="999"/>
      <c r="D652" s="999"/>
      <c r="E652" s="999"/>
      <c r="F652" s="999"/>
      <c r="G652" s="999"/>
      <c r="H652" s="999"/>
      <c r="I652" s="999"/>
      <c r="J652" s="999"/>
      <c r="K652" s="999"/>
      <c r="L652" s="999"/>
    </row>
    <row r="653" spans="2:12" ht="15" customHeight="1">
      <c r="B653" s="983"/>
      <c r="C653" s="983"/>
      <c r="D653" s="983"/>
      <c r="E653" s="983"/>
      <c r="F653" s="983"/>
      <c r="H653" s="984"/>
      <c r="I653" s="984"/>
      <c r="J653" s="984"/>
      <c r="K653" s="984"/>
      <c r="L653" s="984"/>
    </row>
    <row r="654" spans="2:12">
      <c r="B654" s="983"/>
      <c r="C654" s="983"/>
      <c r="D654" s="983"/>
      <c r="E654" s="983"/>
      <c r="F654" s="983"/>
      <c r="H654" s="984"/>
      <c r="I654" s="984"/>
      <c r="J654" s="984"/>
      <c r="K654" s="984"/>
      <c r="L654" s="984"/>
    </row>
    <row r="656" spans="2:12">
      <c r="B656" s="3"/>
      <c r="H656" s="3"/>
    </row>
    <row r="658" spans="1:12">
      <c r="B658" s="3"/>
      <c r="H658" s="3"/>
    </row>
    <row r="661" spans="1:12">
      <c r="B661" s="750"/>
      <c r="C661" s="750"/>
      <c r="D661" s="750"/>
      <c r="E661" s="750"/>
      <c r="F661" s="750"/>
      <c r="H661" s="750"/>
      <c r="I661" s="750"/>
      <c r="J661" s="750"/>
      <c r="K661" s="750"/>
      <c r="L661" s="750"/>
    </row>
    <row r="663" spans="1:12">
      <c r="H663" s="3"/>
      <c r="I663" s="3"/>
      <c r="J663" s="3"/>
      <c r="K663" s="3"/>
      <c r="L663" s="3"/>
    </row>
    <row r="664" spans="1:12">
      <c r="H664" s="3"/>
      <c r="I664" s="3"/>
      <c r="J664" s="3"/>
      <c r="K664" s="3"/>
      <c r="L664" s="3"/>
    </row>
    <row r="665" spans="1:12">
      <c r="B665" s="3"/>
      <c r="H665" s="3"/>
      <c r="I665" s="3"/>
      <c r="J665" s="3"/>
      <c r="K665" s="3"/>
      <c r="L665" s="3"/>
    </row>
    <row r="666" spans="1:12">
      <c r="H666" s="3"/>
      <c r="I666" s="3"/>
      <c r="J666" s="3"/>
      <c r="K666" s="3"/>
      <c r="L666" s="3"/>
    </row>
    <row r="667" spans="1:12">
      <c r="H667" s="3"/>
      <c r="I667" s="3"/>
      <c r="J667" s="3"/>
      <c r="K667" s="3"/>
      <c r="L667" s="3"/>
    </row>
    <row r="668" spans="1:12" ht="27.95" customHeight="1">
      <c r="A668" s="15"/>
      <c r="B668" s="997"/>
      <c r="C668" s="997"/>
      <c r="D668" s="997"/>
      <c r="E668" s="997"/>
      <c r="F668" s="997"/>
      <c r="G668" s="997"/>
      <c r="H668" s="994"/>
      <c r="I668" s="995"/>
      <c r="J668" s="995"/>
      <c r="K668" s="995"/>
      <c r="L668" s="995"/>
    </row>
    <row r="669" spans="1:12" ht="27.95" customHeight="1">
      <c r="A669" s="15"/>
      <c r="B669" s="984"/>
      <c r="C669" s="984"/>
      <c r="D669" s="984"/>
      <c r="E669" s="984"/>
      <c r="F669" s="984"/>
      <c r="G669" s="984"/>
      <c r="H669" s="994"/>
      <c r="I669" s="995"/>
      <c r="J669" s="995"/>
      <c r="K669" s="995"/>
      <c r="L669" s="995"/>
    </row>
    <row r="670" spans="1:12" ht="27.95" customHeight="1">
      <c r="A670" s="15"/>
      <c r="B670" s="997"/>
      <c r="C670" s="997"/>
      <c r="D670" s="997"/>
      <c r="E670" s="997"/>
      <c r="F670" s="997"/>
      <c r="G670" s="997"/>
      <c r="H670" s="994"/>
      <c r="I670" s="995"/>
      <c r="J670" s="995"/>
      <c r="K670" s="995"/>
      <c r="L670" s="995"/>
    </row>
    <row r="671" spans="1:12" ht="27.95" customHeight="1">
      <c r="A671" s="15"/>
      <c r="B671" s="997"/>
      <c r="C671" s="997"/>
      <c r="D671" s="997"/>
      <c r="E671" s="997"/>
      <c r="F671" s="997"/>
      <c r="G671" s="997"/>
      <c r="H671" s="998"/>
      <c r="I671" s="995"/>
      <c r="J671" s="995"/>
      <c r="K671" s="995"/>
      <c r="L671" s="995"/>
    </row>
    <row r="672" spans="1:12" ht="27.95" customHeight="1">
      <c r="A672" s="15"/>
      <c r="B672" s="178"/>
      <c r="C672" s="174"/>
      <c r="D672" s="174"/>
      <c r="E672" s="174"/>
      <c r="F672" s="174"/>
      <c r="G672" s="174"/>
      <c r="H672" s="163"/>
      <c r="I672" s="15"/>
      <c r="J672" s="156"/>
      <c r="K672" s="163"/>
      <c r="L672" s="163"/>
    </row>
    <row r="673" spans="1:12" ht="27.95" customHeight="1">
      <c r="A673" s="15"/>
      <c r="B673" s="178"/>
      <c r="C673" s="174"/>
      <c r="D673" s="174"/>
      <c r="E673" s="174"/>
      <c r="F673" s="174"/>
      <c r="G673" s="174"/>
      <c r="H673" s="163"/>
      <c r="I673" s="163"/>
      <c r="J673" s="156"/>
      <c r="K673" s="163"/>
      <c r="L673" s="163"/>
    </row>
    <row r="674" spans="1:12" ht="27.95" customHeight="1">
      <c r="A674" s="15"/>
      <c r="B674" s="984"/>
      <c r="C674" s="984"/>
      <c r="D674" s="984"/>
      <c r="E674" s="984"/>
      <c r="F674" s="984"/>
      <c r="G674" s="984"/>
      <c r="H674" s="994"/>
      <c r="I674" s="995"/>
      <c r="J674" s="995"/>
      <c r="K674" s="995"/>
      <c r="L674" s="995"/>
    </row>
    <row r="675" spans="1:12" ht="27.95" customHeight="1">
      <c r="A675" s="15"/>
      <c r="B675" s="997"/>
      <c r="C675" s="997"/>
      <c r="D675" s="997"/>
      <c r="E675" s="997"/>
      <c r="F675" s="997"/>
      <c r="G675" s="997"/>
      <c r="H675" s="1000"/>
      <c r="I675" s="995"/>
      <c r="J675" s="995"/>
      <c r="K675" s="995"/>
      <c r="L675" s="995"/>
    </row>
    <row r="676" spans="1:12" ht="27.95" customHeight="1">
      <c r="B676" s="997"/>
      <c r="C676" s="997"/>
      <c r="D676" s="997"/>
      <c r="E676" s="997"/>
      <c r="F676" s="997"/>
      <c r="G676" s="997"/>
      <c r="H676" s="995"/>
      <c r="I676" s="995"/>
      <c r="J676" s="995"/>
      <c r="K676" s="995"/>
      <c r="L676" s="995"/>
    </row>
    <row r="677" spans="1:12" ht="27.95" customHeight="1">
      <c r="B677" s="178"/>
      <c r="C677" s="174"/>
      <c r="D677" s="174"/>
      <c r="E677" s="174"/>
      <c r="F677" s="174"/>
      <c r="G677" s="174"/>
      <c r="H677" s="163"/>
      <c r="I677" s="163"/>
      <c r="J677" s="163"/>
      <c r="K677" s="163"/>
      <c r="L677" s="163"/>
    </row>
    <row r="678" spans="1:12" ht="27.95" customHeight="1">
      <c r="B678" s="178"/>
      <c r="C678" s="174"/>
      <c r="D678" s="174"/>
      <c r="E678" s="174"/>
      <c r="F678" s="174"/>
      <c r="G678" s="174"/>
      <c r="H678" s="163"/>
      <c r="I678" s="163"/>
      <c r="J678" s="163"/>
      <c r="K678" s="163"/>
      <c r="L678" s="163"/>
    </row>
    <row r="679" spans="1:12" ht="27.95" customHeight="1">
      <c r="B679" s="178"/>
      <c r="C679" s="174"/>
      <c r="D679" s="174"/>
      <c r="E679" s="174"/>
      <c r="F679" s="174"/>
      <c r="G679" s="174"/>
      <c r="H679" s="163"/>
      <c r="I679" s="163"/>
      <c r="J679" s="164"/>
      <c r="K679" s="163"/>
      <c r="L679" s="163"/>
    </row>
    <row r="680" spans="1:12" ht="27.95" customHeight="1">
      <c r="B680" s="178"/>
      <c r="C680" s="174"/>
      <c r="D680" s="174"/>
      <c r="E680" s="174"/>
      <c r="F680" s="174"/>
      <c r="G680" s="174"/>
      <c r="H680" s="163"/>
      <c r="I680" s="163"/>
      <c r="J680" s="163"/>
      <c r="K680" s="163"/>
      <c r="L680" s="163"/>
    </row>
    <row r="681" spans="1:12" ht="27.95" customHeight="1">
      <c r="B681" s="178"/>
      <c r="C681" s="174"/>
      <c r="D681" s="174"/>
      <c r="E681" s="174"/>
      <c r="F681" s="174"/>
      <c r="G681" s="174"/>
      <c r="H681" s="163"/>
      <c r="I681" s="163"/>
      <c r="J681" s="164"/>
      <c r="K681" s="163"/>
      <c r="L681" s="163"/>
    </row>
    <row r="682" spans="1:12" ht="27.95" customHeight="1">
      <c r="B682" s="178"/>
      <c r="C682" s="174"/>
      <c r="D682" s="163"/>
      <c r="E682" s="164"/>
      <c r="F682" s="163"/>
      <c r="G682" s="164"/>
      <c r="H682" s="163"/>
      <c r="I682" s="164"/>
      <c r="J682" s="163"/>
      <c r="K682" s="164"/>
      <c r="L682" s="164"/>
    </row>
    <row r="683" spans="1:12" ht="27.95" customHeight="1">
      <c r="B683" s="178"/>
      <c r="C683" s="174"/>
      <c r="D683" s="174"/>
      <c r="E683" s="174"/>
      <c r="F683" s="174"/>
      <c r="G683" s="174"/>
      <c r="H683" s="163"/>
      <c r="I683" s="163"/>
      <c r="J683" s="247"/>
      <c r="K683" s="163"/>
      <c r="L683" s="163"/>
    </row>
    <row r="684" spans="1:12" ht="27.95" customHeight="1">
      <c r="B684" s="178"/>
      <c r="C684" s="3"/>
      <c r="D684" s="3"/>
      <c r="E684" s="3"/>
      <c r="F684" s="3"/>
      <c r="G684" s="3"/>
    </row>
    <row r="685" spans="1:12" ht="27.95" customHeight="1">
      <c r="B685" s="178"/>
      <c r="C685" s="3"/>
      <c r="D685" s="3"/>
      <c r="E685" s="3"/>
      <c r="F685" s="3"/>
      <c r="G685" s="3"/>
    </row>
    <row r="689" spans="2:12" ht="32.25">
      <c r="B689" s="1001"/>
      <c r="C689" s="757"/>
      <c r="D689" s="757"/>
      <c r="E689" s="757"/>
      <c r="F689" s="757"/>
      <c r="G689" s="757"/>
      <c r="H689" s="757"/>
      <c r="I689" s="757"/>
      <c r="J689" s="757"/>
      <c r="K689" s="757"/>
      <c r="L689" s="757"/>
    </row>
    <row r="690" spans="2:12" ht="23.25">
      <c r="B690" s="982"/>
      <c r="C690" s="982"/>
      <c r="D690" s="982"/>
      <c r="E690" s="982"/>
      <c r="F690" s="982"/>
      <c r="G690" s="982"/>
      <c r="H690" s="982"/>
      <c r="I690" s="982"/>
      <c r="J690" s="982"/>
      <c r="K690" s="982"/>
      <c r="L690" s="982"/>
    </row>
    <row r="691" spans="2:12" ht="15.75">
      <c r="B691" s="999"/>
      <c r="C691" s="999"/>
      <c r="D691" s="999"/>
      <c r="E691" s="999"/>
      <c r="F691" s="999"/>
      <c r="G691" s="999"/>
      <c r="H691" s="999"/>
      <c r="I691" s="999"/>
      <c r="J691" s="999"/>
      <c r="K691" s="999"/>
      <c r="L691" s="999"/>
    </row>
    <row r="692" spans="2:12" ht="15" customHeight="1">
      <c r="B692" s="983"/>
      <c r="C692" s="983"/>
      <c r="D692" s="983"/>
      <c r="E692" s="983"/>
      <c r="F692" s="983"/>
      <c r="H692" s="984"/>
      <c r="I692" s="984"/>
      <c r="J692" s="984"/>
      <c r="K692" s="984"/>
      <c r="L692" s="984"/>
    </row>
    <row r="693" spans="2:12">
      <c r="B693" s="983"/>
      <c r="C693" s="983"/>
      <c r="D693" s="983"/>
      <c r="E693" s="983"/>
      <c r="F693" s="983"/>
      <c r="H693" s="984"/>
      <c r="I693" s="984"/>
      <c r="J693" s="984"/>
      <c r="K693" s="984"/>
      <c r="L693" s="984"/>
    </row>
    <row r="695" spans="2:12">
      <c r="B695" s="3"/>
      <c r="H695" s="3"/>
    </row>
    <row r="697" spans="2:12">
      <c r="B697" s="3"/>
      <c r="H697" s="3"/>
    </row>
    <row r="700" spans="2:12">
      <c r="B700" s="750"/>
      <c r="C700" s="750"/>
      <c r="D700" s="750"/>
      <c r="E700" s="750"/>
      <c r="F700" s="750"/>
      <c r="H700" s="750"/>
      <c r="I700" s="750"/>
      <c r="J700" s="750"/>
      <c r="K700" s="750"/>
      <c r="L700" s="750"/>
    </row>
    <row r="702" spans="2:12">
      <c r="H702" s="3"/>
      <c r="I702" s="3"/>
      <c r="J702" s="3"/>
      <c r="K702" s="3"/>
      <c r="L702" s="3"/>
    </row>
    <row r="703" spans="2:12">
      <c r="H703" s="3"/>
      <c r="I703" s="3"/>
      <c r="J703" s="3"/>
      <c r="K703" s="3"/>
      <c r="L703" s="3"/>
    </row>
    <row r="704" spans="2:12">
      <c r="B704" s="3"/>
      <c r="H704" s="3"/>
      <c r="I704" s="3"/>
      <c r="J704" s="3"/>
      <c r="K704" s="3"/>
      <c r="L704" s="3"/>
    </row>
    <row r="705" spans="1:12">
      <c r="H705" s="3"/>
      <c r="I705" s="3"/>
      <c r="J705" s="3"/>
      <c r="K705" s="3"/>
      <c r="L705" s="3"/>
    </row>
    <row r="706" spans="1:12">
      <c r="H706" s="3"/>
      <c r="I706" s="3"/>
      <c r="J706" s="3"/>
      <c r="K706" s="3"/>
      <c r="L706" s="3"/>
    </row>
    <row r="707" spans="1:12" ht="27.95" customHeight="1">
      <c r="A707" s="15"/>
      <c r="B707" s="997"/>
      <c r="C707" s="997"/>
      <c r="D707" s="997"/>
      <c r="E707" s="997"/>
      <c r="F707" s="997"/>
      <c r="G707" s="997"/>
      <c r="H707" s="994"/>
      <c r="I707" s="995"/>
      <c r="J707" s="995"/>
      <c r="K707" s="995"/>
      <c r="L707" s="995"/>
    </row>
    <row r="708" spans="1:12" ht="27.95" customHeight="1">
      <c r="A708" s="15"/>
      <c r="B708" s="984"/>
      <c r="C708" s="984"/>
      <c r="D708" s="984"/>
      <c r="E708" s="984"/>
      <c r="F708" s="984"/>
      <c r="G708" s="984"/>
      <c r="H708" s="994"/>
      <c r="I708" s="995"/>
      <c r="J708" s="995"/>
      <c r="K708" s="995"/>
      <c r="L708" s="995"/>
    </row>
    <row r="709" spans="1:12" ht="27.95" customHeight="1">
      <c r="A709" s="15"/>
      <c r="B709" s="997"/>
      <c r="C709" s="997"/>
      <c r="D709" s="997"/>
      <c r="E709" s="997"/>
      <c r="F709" s="997"/>
      <c r="G709" s="997"/>
      <c r="H709" s="994"/>
      <c r="I709" s="995"/>
      <c r="J709" s="995"/>
      <c r="K709" s="995"/>
      <c r="L709" s="995"/>
    </row>
    <row r="710" spans="1:12" ht="27.95" customHeight="1">
      <c r="A710" s="15"/>
      <c r="B710" s="997"/>
      <c r="C710" s="997"/>
      <c r="D710" s="997"/>
      <c r="E710" s="997"/>
      <c r="F710" s="997"/>
      <c r="G710" s="997"/>
      <c r="H710" s="998"/>
      <c r="I710" s="995"/>
      <c r="J710" s="995"/>
      <c r="K710" s="995"/>
      <c r="L710" s="995"/>
    </row>
    <row r="711" spans="1:12" ht="27.95" customHeight="1">
      <c r="A711" s="15"/>
      <c r="B711" s="178"/>
      <c r="C711" s="174"/>
      <c r="D711" s="174"/>
      <c r="E711" s="174"/>
      <c r="F711" s="174"/>
      <c r="G711" s="174"/>
      <c r="H711" s="163"/>
      <c r="I711" s="15"/>
      <c r="J711" s="156"/>
      <c r="K711" s="163"/>
      <c r="L711" s="163"/>
    </row>
    <row r="712" spans="1:12" ht="27.95" customHeight="1">
      <c r="A712" s="15"/>
      <c r="B712" s="178"/>
      <c r="C712" s="174"/>
      <c r="D712" s="174"/>
      <c r="E712" s="174"/>
      <c r="F712" s="174"/>
      <c r="G712" s="174"/>
      <c r="H712" s="163"/>
      <c r="I712" s="163"/>
      <c r="J712" s="156"/>
      <c r="K712" s="163"/>
      <c r="L712" s="163"/>
    </row>
    <row r="713" spans="1:12" ht="27.95" customHeight="1">
      <c r="A713" s="15"/>
      <c r="B713" s="984"/>
      <c r="C713" s="984"/>
      <c r="D713" s="984"/>
      <c r="E713" s="984"/>
      <c r="F713" s="984"/>
      <c r="G713" s="984"/>
      <c r="H713" s="994"/>
      <c r="I713" s="995"/>
      <c r="J713" s="995"/>
      <c r="K713" s="995"/>
      <c r="L713" s="995"/>
    </row>
    <row r="714" spans="1:12" ht="27.95" customHeight="1">
      <c r="A714" s="15"/>
      <c r="B714" s="997"/>
      <c r="C714" s="997"/>
      <c r="D714" s="997"/>
      <c r="E714" s="997"/>
      <c r="F714" s="997"/>
      <c r="G714" s="997"/>
      <c r="H714" s="1000"/>
      <c r="I714" s="995"/>
      <c r="J714" s="995"/>
      <c r="K714" s="995"/>
      <c r="L714" s="995"/>
    </row>
    <row r="715" spans="1:12" ht="27.95" customHeight="1">
      <c r="B715" s="997"/>
      <c r="C715" s="997"/>
      <c r="D715" s="997"/>
      <c r="E715" s="997"/>
      <c r="F715" s="997"/>
      <c r="G715" s="997"/>
      <c r="H715" s="995"/>
      <c r="I715" s="995"/>
      <c r="J715" s="995"/>
      <c r="K715" s="995"/>
      <c r="L715" s="995"/>
    </row>
    <row r="716" spans="1:12" ht="27.95" customHeight="1">
      <c r="B716" s="178"/>
      <c r="C716" s="174"/>
      <c r="D716" s="174"/>
      <c r="E716" s="174"/>
      <c r="F716" s="174"/>
      <c r="G716" s="174"/>
      <c r="H716" s="163"/>
      <c r="I716" s="163"/>
      <c r="J716" s="163"/>
      <c r="K716" s="163"/>
      <c r="L716" s="163"/>
    </row>
    <row r="717" spans="1:12" ht="27.95" customHeight="1">
      <c r="B717" s="178"/>
      <c r="C717" s="174"/>
      <c r="D717" s="174"/>
      <c r="E717" s="174"/>
      <c r="F717" s="174"/>
      <c r="G717" s="174"/>
      <c r="H717" s="163"/>
      <c r="I717" s="163"/>
      <c r="J717" s="163"/>
      <c r="K717" s="163"/>
      <c r="L717" s="163"/>
    </row>
    <row r="718" spans="1:12" ht="27.95" customHeight="1">
      <c r="B718" s="178"/>
      <c r="C718" s="174"/>
      <c r="D718" s="174"/>
      <c r="E718" s="174"/>
      <c r="F718" s="174"/>
      <c r="G718" s="174"/>
      <c r="H718" s="163"/>
      <c r="I718" s="163"/>
      <c r="J718" s="164"/>
      <c r="K718" s="163"/>
      <c r="L718" s="163"/>
    </row>
    <row r="719" spans="1:12" ht="27.95" customHeight="1">
      <c r="B719" s="178"/>
      <c r="C719" s="174"/>
      <c r="D719" s="174"/>
      <c r="E719" s="174"/>
      <c r="F719" s="174"/>
      <c r="G719" s="174"/>
      <c r="H719" s="163"/>
      <c r="I719" s="163"/>
      <c r="J719" s="163"/>
      <c r="K719" s="163"/>
      <c r="L719" s="163"/>
    </row>
    <row r="720" spans="1:12" ht="27.95" customHeight="1">
      <c r="B720" s="178"/>
      <c r="C720" s="174"/>
      <c r="D720" s="174"/>
      <c r="E720" s="174"/>
      <c r="F720" s="174"/>
      <c r="G720" s="174"/>
      <c r="H720" s="163"/>
      <c r="I720" s="163"/>
      <c r="J720" s="164"/>
      <c r="K720" s="163"/>
      <c r="L720" s="163"/>
    </row>
    <row r="721" spans="2:12" ht="27.95" customHeight="1">
      <c r="B721" s="178"/>
      <c r="C721" s="174"/>
      <c r="D721" s="163"/>
      <c r="E721" s="164"/>
      <c r="F721" s="163"/>
      <c r="G721" s="164"/>
      <c r="H721" s="163"/>
      <c r="I721" s="164"/>
      <c r="J721" s="163"/>
      <c r="K721" s="164"/>
      <c r="L721" s="164"/>
    </row>
    <row r="722" spans="2:12" ht="27.95" customHeight="1">
      <c r="B722" s="178"/>
      <c r="C722" s="174"/>
      <c r="D722" s="174"/>
      <c r="E722" s="174"/>
      <c r="F722" s="174"/>
      <c r="G722" s="174"/>
      <c r="H722" s="163"/>
      <c r="I722" s="163"/>
      <c r="J722" s="247"/>
      <c r="K722" s="163"/>
      <c r="L722" s="163"/>
    </row>
    <row r="723" spans="2:12" ht="27.95" customHeight="1">
      <c r="B723" s="178"/>
      <c r="C723" s="3"/>
      <c r="D723" s="3"/>
      <c r="E723" s="3"/>
      <c r="F723" s="3"/>
      <c r="G723" s="3"/>
    </row>
    <row r="724" spans="2:12" ht="27.95" customHeight="1">
      <c r="B724" s="178"/>
      <c r="C724" s="3"/>
      <c r="D724" s="3"/>
      <c r="E724" s="3"/>
      <c r="F724" s="3"/>
      <c r="G724" s="3"/>
    </row>
    <row r="728" spans="2:12" ht="32.25">
      <c r="B728" s="1001"/>
      <c r="C728" s="757"/>
      <c r="D728" s="757"/>
      <c r="E728" s="757"/>
      <c r="F728" s="757"/>
      <c r="G728" s="757"/>
      <c r="H728" s="757"/>
      <c r="I728" s="757"/>
      <c r="J728" s="757"/>
      <c r="K728" s="757"/>
      <c r="L728" s="757"/>
    </row>
    <row r="729" spans="2:12" ht="23.25">
      <c r="B729" s="982"/>
      <c r="C729" s="982"/>
      <c r="D729" s="982"/>
      <c r="E729" s="982"/>
      <c r="F729" s="982"/>
      <c r="G729" s="982"/>
      <c r="H729" s="982"/>
      <c r="I729" s="982"/>
      <c r="J729" s="982"/>
      <c r="K729" s="982"/>
      <c r="L729" s="982"/>
    </row>
    <row r="730" spans="2:12" ht="15.75">
      <c r="B730" s="999"/>
      <c r="C730" s="999"/>
      <c r="D730" s="999"/>
      <c r="E730" s="999"/>
      <c r="F730" s="999"/>
      <c r="G730" s="999"/>
      <c r="H730" s="999"/>
      <c r="I730" s="999"/>
      <c r="J730" s="999"/>
      <c r="K730" s="999"/>
      <c r="L730" s="999"/>
    </row>
    <row r="731" spans="2:12" ht="15" customHeight="1">
      <c r="B731" s="983"/>
      <c r="C731" s="983"/>
      <c r="D731" s="983"/>
      <c r="E731" s="983"/>
      <c r="F731" s="983"/>
      <c r="H731" s="984"/>
      <c r="I731" s="984"/>
      <c r="J731" s="984"/>
      <c r="K731" s="984"/>
      <c r="L731" s="984"/>
    </row>
    <row r="732" spans="2:12">
      <c r="B732" s="983"/>
      <c r="C732" s="983"/>
      <c r="D732" s="983"/>
      <c r="E732" s="983"/>
      <c r="F732" s="983"/>
      <c r="H732" s="984"/>
      <c r="I732" s="984"/>
      <c r="J732" s="984"/>
      <c r="K732" s="984"/>
      <c r="L732" s="984"/>
    </row>
    <row r="734" spans="2:12">
      <c r="B734" s="3"/>
      <c r="H734" s="3"/>
    </row>
    <row r="736" spans="2:12">
      <c r="B736" s="3"/>
      <c r="H736" s="3"/>
    </row>
    <row r="737" spans="1:12" ht="15" customHeight="1"/>
    <row r="739" spans="1:12">
      <c r="B739" s="750"/>
      <c r="C739" s="750"/>
      <c r="D739" s="750"/>
      <c r="E739" s="750"/>
      <c r="F739" s="750"/>
      <c r="H739" s="750"/>
      <c r="I739" s="750"/>
      <c r="J739" s="750"/>
      <c r="K739" s="750"/>
      <c r="L739" s="750"/>
    </row>
    <row r="741" spans="1:12">
      <c r="H741" s="3"/>
      <c r="I741" s="3"/>
      <c r="J741" s="3"/>
      <c r="K741" s="3"/>
      <c r="L741" s="3"/>
    </row>
    <row r="742" spans="1:12">
      <c r="H742" s="3"/>
      <c r="I742" s="3"/>
      <c r="J742" s="3"/>
      <c r="K742" s="3"/>
      <c r="L742" s="3"/>
    </row>
    <row r="743" spans="1:12">
      <c r="B743" s="3"/>
      <c r="H743" s="3"/>
      <c r="I743" s="3"/>
      <c r="J743" s="3"/>
      <c r="K743" s="3"/>
      <c r="L743" s="3"/>
    </row>
    <row r="744" spans="1:12">
      <c r="H744" s="3"/>
      <c r="I744" s="3"/>
      <c r="J744" s="3"/>
      <c r="K744" s="3"/>
      <c r="L744" s="3"/>
    </row>
    <row r="745" spans="1:12">
      <c r="H745" s="3"/>
      <c r="I745" s="3"/>
      <c r="J745" s="3"/>
      <c r="K745" s="3"/>
      <c r="L745" s="3"/>
    </row>
    <row r="746" spans="1:12" ht="27.95" customHeight="1">
      <c r="A746" s="15"/>
      <c r="B746" s="997"/>
      <c r="C746" s="997"/>
      <c r="D746" s="997"/>
      <c r="E746" s="997"/>
      <c r="F746" s="997"/>
      <c r="G746" s="997"/>
      <c r="H746" s="994"/>
      <c r="I746" s="995"/>
      <c r="J746" s="995"/>
      <c r="K746" s="995"/>
      <c r="L746" s="995"/>
    </row>
    <row r="747" spans="1:12" ht="27.95" customHeight="1">
      <c r="A747" s="15"/>
      <c r="B747" s="984"/>
      <c r="C747" s="984"/>
      <c r="D747" s="984"/>
      <c r="E747" s="984"/>
      <c r="F747" s="984"/>
      <c r="G747" s="984"/>
      <c r="H747" s="994"/>
      <c r="I747" s="995"/>
      <c r="J747" s="995"/>
      <c r="K747" s="995"/>
      <c r="L747" s="995"/>
    </row>
    <row r="748" spans="1:12" ht="27.95" customHeight="1">
      <c r="A748" s="15"/>
      <c r="B748" s="997"/>
      <c r="C748" s="997"/>
      <c r="D748" s="997"/>
      <c r="E748" s="997"/>
      <c r="F748" s="997"/>
      <c r="G748" s="997"/>
      <c r="H748" s="994"/>
      <c r="I748" s="995"/>
      <c r="J748" s="995"/>
      <c r="K748" s="995"/>
      <c r="L748" s="995"/>
    </row>
    <row r="749" spans="1:12" ht="27.95" customHeight="1">
      <c r="A749" s="15"/>
      <c r="B749" s="997"/>
      <c r="C749" s="997"/>
      <c r="D749" s="997"/>
      <c r="E749" s="997"/>
      <c r="F749" s="997"/>
      <c r="G749" s="997"/>
      <c r="H749" s="998"/>
      <c r="I749" s="995"/>
      <c r="J749" s="995"/>
      <c r="K749" s="995"/>
      <c r="L749" s="995"/>
    </row>
    <row r="750" spans="1:12" ht="27.95" customHeight="1">
      <c r="A750" s="15"/>
      <c r="B750" s="178"/>
      <c r="C750" s="174"/>
      <c r="D750" s="174"/>
      <c r="E750" s="174"/>
      <c r="F750" s="174"/>
      <c r="G750" s="174"/>
      <c r="H750" s="163"/>
      <c r="I750" s="15"/>
      <c r="J750" s="156"/>
      <c r="K750" s="163"/>
      <c r="L750" s="163"/>
    </row>
    <row r="751" spans="1:12" ht="27.95" customHeight="1">
      <c r="A751" s="15"/>
      <c r="B751" s="178"/>
      <c r="C751" s="174"/>
      <c r="D751" s="174"/>
      <c r="E751" s="174"/>
      <c r="F751" s="174"/>
      <c r="G751" s="174"/>
      <c r="H751" s="163"/>
      <c r="I751" s="163"/>
      <c r="J751" s="156"/>
      <c r="K751" s="163"/>
      <c r="L751" s="163"/>
    </row>
    <row r="752" spans="1:12" ht="27.95" customHeight="1">
      <c r="A752" s="15"/>
      <c r="B752" s="984"/>
      <c r="C752" s="984"/>
      <c r="D752" s="984"/>
      <c r="E752" s="984"/>
      <c r="F752" s="984"/>
      <c r="G752" s="984"/>
      <c r="H752" s="994"/>
      <c r="I752" s="995"/>
      <c r="J752" s="995"/>
      <c r="K752" s="995"/>
      <c r="L752" s="995"/>
    </row>
    <row r="753" spans="1:12" ht="27.95" customHeight="1">
      <c r="A753" s="15"/>
      <c r="B753" s="997"/>
      <c r="C753" s="997"/>
      <c r="D753" s="997"/>
      <c r="E753" s="997"/>
      <c r="F753" s="997"/>
      <c r="G753" s="997"/>
      <c r="H753" s="1000"/>
      <c r="I753" s="995"/>
      <c r="J753" s="995"/>
      <c r="K753" s="995"/>
      <c r="L753" s="995"/>
    </row>
    <row r="754" spans="1:12" ht="27.95" customHeight="1">
      <c r="B754" s="997"/>
      <c r="C754" s="997"/>
      <c r="D754" s="997"/>
      <c r="E754" s="997"/>
      <c r="F754" s="997"/>
      <c r="G754" s="997"/>
      <c r="H754" s="995"/>
      <c r="I754" s="995"/>
      <c r="J754" s="995"/>
      <c r="K754" s="995"/>
      <c r="L754" s="995"/>
    </row>
    <row r="755" spans="1:12" ht="27.95" customHeight="1">
      <c r="B755" s="178"/>
      <c r="C755" s="174"/>
      <c r="D755" s="174"/>
      <c r="E755" s="174"/>
      <c r="F755" s="174"/>
      <c r="G755" s="174"/>
      <c r="H755" s="163"/>
      <c r="I755" s="163"/>
      <c r="J755" s="163"/>
      <c r="K755" s="163"/>
      <c r="L755" s="163"/>
    </row>
    <row r="756" spans="1:12" ht="27.95" customHeight="1">
      <c r="B756" s="178"/>
      <c r="C756" s="174"/>
      <c r="D756" s="174"/>
      <c r="E756" s="174"/>
      <c r="F756" s="174"/>
      <c r="G756" s="174"/>
      <c r="H756" s="163"/>
      <c r="I756" s="163"/>
      <c r="J756" s="163"/>
      <c r="K756" s="163"/>
      <c r="L756" s="163"/>
    </row>
    <row r="757" spans="1:12" ht="27.95" customHeight="1">
      <c r="B757" s="178"/>
      <c r="C757" s="174"/>
      <c r="D757" s="174"/>
      <c r="E757" s="174"/>
      <c r="F757" s="174"/>
      <c r="G757" s="174"/>
      <c r="H757" s="163"/>
      <c r="I757" s="163"/>
      <c r="J757" s="164"/>
      <c r="K757" s="163"/>
      <c r="L757" s="163"/>
    </row>
    <row r="758" spans="1:12" ht="27.95" customHeight="1">
      <c r="B758" s="178"/>
      <c r="C758" s="174"/>
      <c r="D758" s="174"/>
      <c r="E758" s="174"/>
      <c r="F758" s="174"/>
      <c r="G758" s="174"/>
      <c r="H758" s="163"/>
      <c r="I758" s="163"/>
      <c r="J758" s="163"/>
      <c r="K758" s="163"/>
      <c r="L758" s="163"/>
    </row>
    <row r="759" spans="1:12" ht="27.95" customHeight="1">
      <c r="B759" s="178"/>
      <c r="C759" s="174"/>
      <c r="D759" s="174"/>
      <c r="E759" s="174"/>
      <c r="F759" s="174"/>
      <c r="G759" s="174"/>
      <c r="H759" s="163"/>
      <c r="I759" s="163"/>
      <c r="J759" s="164"/>
      <c r="K759" s="163"/>
      <c r="L759" s="163"/>
    </row>
    <row r="760" spans="1:12" ht="27.95" customHeight="1">
      <c r="B760" s="178"/>
      <c r="C760" s="174"/>
      <c r="D760" s="163"/>
      <c r="E760" s="164"/>
      <c r="F760" s="163"/>
      <c r="G760" s="164"/>
      <c r="H760" s="163"/>
      <c r="I760" s="164"/>
      <c r="J760" s="163"/>
      <c r="K760" s="164"/>
      <c r="L760" s="164"/>
    </row>
    <row r="761" spans="1:12" ht="27.95" customHeight="1">
      <c r="B761" s="178"/>
      <c r="C761" s="174"/>
      <c r="D761" s="174"/>
      <c r="E761" s="174"/>
      <c r="F761" s="174"/>
      <c r="G761" s="174"/>
      <c r="H761" s="163"/>
      <c r="I761" s="163"/>
      <c r="J761" s="247"/>
      <c r="K761" s="163"/>
      <c r="L761" s="163"/>
    </row>
    <row r="762" spans="1:12" ht="27.95" customHeight="1">
      <c r="B762" s="178"/>
      <c r="C762" s="3"/>
      <c r="D762" s="3"/>
      <c r="E762" s="3"/>
      <c r="F762" s="3"/>
      <c r="G762" s="3"/>
    </row>
    <row r="763" spans="1:12" ht="27.95" customHeight="1">
      <c r="B763" s="178"/>
      <c r="C763" s="3"/>
      <c r="D763" s="3"/>
      <c r="E763" s="3"/>
      <c r="F763" s="3"/>
      <c r="G763" s="3"/>
    </row>
  </sheetData>
  <mergeCells count="410">
    <mergeCell ref="B752:G752"/>
    <mergeCell ref="H752:L752"/>
    <mergeCell ref="B753:G753"/>
    <mergeCell ref="H753:L753"/>
    <mergeCell ref="B754:G754"/>
    <mergeCell ref="H754:L754"/>
    <mergeCell ref="B747:G747"/>
    <mergeCell ref="H747:L747"/>
    <mergeCell ref="B748:G748"/>
    <mergeCell ref="H748:L748"/>
    <mergeCell ref="B749:G749"/>
    <mergeCell ref="H749:L749"/>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09:G709"/>
    <mergeCell ref="H709:L709"/>
    <mergeCell ref="B710:G710"/>
    <mergeCell ref="H710:L710"/>
    <mergeCell ref="B713:G713"/>
    <mergeCell ref="H713:L713"/>
    <mergeCell ref="B700:F700"/>
    <mergeCell ref="H700:L700"/>
    <mergeCell ref="B707:G707"/>
    <mergeCell ref="H707:L707"/>
    <mergeCell ref="B708:G708"/>
    <mergeCell ref="H708:L708"/>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14:F615"/>
    <mergeCell ref="H614:L615"/>
    <mergeCell ref="B622:F622"/>
    <mergeCell ref="H622:L622"/>
    <mergeCell ref="B629:G629"/>
    <mergeCell ref="H629:L629"/>
    <mergeCell ref="B598:G598"/>
    <mergeCell ref="H598:L598"/>
    <mergeCell ref="B599:G599"/>
    <mergeCell ref="H599:L599"/>
    <mergeCell ref="B611:L611"/>
    <mergeCell ref="B612:L612"/>
    <mergeCell ref="B597:G597"/>
    <mergeCell ref="H597:L597"/>
    <mergeCell ref="B584:F584"/>
    <mergeCell ref="H584:L584"/>
    <mergeCell ref="B591:G591"/>
    <mergeCell ref="H591:L591"/>
    <mergeCell ref="B592:G592"/>
    <mergeCell ref="H592:L592"/>
    <mergeCell ref="B613:L613"/>
    <mergeCell ref="H555:L555"/>
    <mergeCell ref="H556:L556"/>
    <mergeCell ref="G559:H559"/>
    <mergeCell ref="K559:L559"/>
    <mergeCell ref="K561:L561"/>
    <mergeCell ref="B593:G593"/>
    <mergeCell ref="H593:L593"/>
    <mergeCell ref="B594:G594"/>
    <mergeCell ref="H594:L594"/>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446:L446"/>
    <mergeCell ref="B448:G448"/>
    <mergeCell ref="H448:L448"/>
    <mergeCell ref="B449:G449"/>
    <mergeCell ref="H449:L449"/>
    <mergeCell ref="B450:G450"/>
    <mergeCell ref="H450:L450"/>
    <mergeCell ref="H451:L451"/>
    <mergeCell ref="H452:L452"/>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293:L293"/>
    <mergeCell ref="H294:L294"/>
    <mergeCell ref="H295:L295"/>
    <mergeCell ref="G298:H298"/>
    <mergeCell ref="K298:L298"/>
    <mergeCell ref="K300:L300"/>
    <mergeCell ref="B319:L319"/>
    <mergeCell ref="B320:L320"/>
    <mergeCell ref="B321:L321"/>
    <mergeCell ref="B214:L214"/>
    <mergeCell ref="B215:L215"/>
    <mergeCell ref="B216:F217"/>
    <mergeCell ref="H216:L217"/>
    <mergeCell ref="B224:F224"/>
    <mergeCell ref="H224:L224"/>
    <mergeCell ref="B231:G231"/>
    <mergeCell ref="H231:L231"/>
    <mergeCell ref="B232:G232"/>
    <mergeCell ref="H232:L232"/>
    <mergeCell ref="B161:L161"/>
    <mergeCell ref="B162:L162"/>
    <mergeCell ref="B163:F164"/>
    <mergeCell ref="H163:L164"/>
    <mergeCell ref="B171:F171"/>
    <mergeCell ref="H171:L171"/>
    <mergeCell ref="B178:G178"/>
    <mergeCell ref="H178:L178"/>
    <mergeCell ref="B179:G179"/>
    <mergeCell ref="H179:L179"/>
    <mergeCell ref="B133:G133"/>
    <mergeCell ref="H133:L133"/>
    <mergeCell ref="H134:L134"/>
    <mergeCell ref="H135:L135"/>
    <mergeCell ref="H136:L136"/>
    <mergeCell ref="G139:H139"/>
    <mergeCell ref="K139:L139"/>
    <mergeCell ref="K141:L141"/>
    <mergeCell ref="B160:L160"/>
    <mergeCell ref="B109:L109"/>
    <mergeCell ref="B110:F111"/>
    <mergeCell ref="H110:L111"/>
    <mergeCell ref="B118:F118"/>
    <mergeCell ref="H118:L118"/>
    <mergeCell ref="B125:G125"/>
    <mergeCell ref="H125:L125"/>
    <mergeCell ref="B126:G126"/>
    <mergeCell ref="H126:L126"/>
    <mergeCell ref="H81:L81"/>
    <mergeCell ref="H82:L82"/>
    <mergeCell ref="G85:H85"/>
    <mergeCell ref="K85:L85"/>
    <mergeCell ref="K87:L87"/>
    <mergeCell ref="H105:L105"/>
    <mergeCell ref="H106:L106"/>
    <mergeCell ref="B107:L107"/>
    <mergeCell ref="B108:L108"/>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28:L28"/>
    <mergeCell ref="H29:L29"/>
    <mergeCell ref="H30:L30"/>
    <mergeCell ref="G33:H33"/>
    <mergeCell ref="K33:L33"/>
    <mergeCell ref="B54:L54"/>
    <mergeCell ref="B55:L55"/>
    <mergeCell ref="B56:F57"/>
    <mergeCell ref="H56:L57"/>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B127:G127"/>
    <mergeCell ref="H127:L127"/>
    <mergeCell ref="B128:G128"/>
    <mergeCell ref="H128:L128"/>
    <mergeCell ref="H129:L129"/>
    <mergeCell ref="B131:G131"/>
    <mergeCell ref="H131:L131"/>
    <mergeCell ref="B132:G132"/>
    <mergeCell ref="H132:L132"/>
    <mergeCell ref="B180:G180"/>
    <mergeCell ref="H180:L180"/>
    <mergeCell ref="B181:G181"/>
    <mergeCell ref="H181:L181"/>
    <mergeCell ref="H182:L182"/>
    <mergeCell ref="B184:G184"/>
    <mergeCell ref="H184:L184"/>
    <mergeCell ref="B185:G185"/>
    <mergeCell ref="H185:L185"/>
    <mergeCell ref="B186:G186"/>
    <mergeCell ref="H186:L186"/>
    <mergeCell ref="H187:L187"/>
    <mergeCell ref="H188:L188"/>
    <mergeCell ref="H189:L189"/>
    <mergeCell ref="G192:H192"/>
    <mergeCell ref="K192:L192"/>
    <mergeCell ref="K194:L194"/>
    <mergeCell ref="B213:L213"/>
    <mergeCell ref="H233:L233"/>
    <mergeCell ref="B234:G234"/>
    <mergeCell ref="H234:L234"/>
    <mergeCell ref="H235:L235"/>
    <mergeCell ref="B237:G237"/>
    <mergeCell ref="H237:L237"/>
    <mergeCell ref="B238:G238"/>
    <mergeCell ref="H238:L238"/>
    <mergeCell ref="B239:G239"/>
    <mergeCell ref="H239:L239"/>
    <mergeCell ref="B233:G233"/>
    <mergeCell ref="H240:L240"/>
    <mergeCell ref="H241:L241"/>
    <mergeCell ref="H242:L242"/>
    <mergeCell ref="G245:H245"/>
    <mergeCell ref="K245:L245"/>
    <mergeCell ref="K247:L247"/>
    <mergeCell ref="B266:L266"/>
    <mergeCell ref="B267:L267"/>
    <mergeCell ref="B268:L268"/>
    <mergeCell ref="B269:F270"/>
    <mergeCell ref="H269:L270"/>
    <mergeCell ref="B277:F277"/>
    <mergeCell ref="H277:L277"/>
    <mergeCell ref="B284:G284"/>
    <mergeCell ref="H284:L284"/>
    <mergeCell ref="B285:G285"/>
    <mergeCell ref="H285:L285"/>
    <mergeCell ref="B286:G286"/>
    <mergeCell ref="H286:L286"/>
    <mergeCell ref="B287:G287"/>
    <mergeCell ref="H287:L287"/>
    <mergeCell ref="H288:L288"/>
    <mergeCell ref="B290:G290"/>
    <mergeCell ref="H290:L290"/>
    <mergeCell ref="B291:G291"/>
    <mergeCell ref="H291:L291"/>
    <mergeCell ref="B292:G292"/>
    <mergeCell ref="H292:L292"/>
    <mergeCell ref="K351:L351"/>
    <mergeCell ref="K353:L353"/>
    <mergeCell ref="B372:L372"/>
    <mergeCell ref="B393:G393"/>
    <mergeCell ref="H393:L393"/>
    <mergeCell ref="H394:L394"/>
    <mergeCell ref="B396:G396"/>
    <mergeCell ref="H396:L396"/>
    <mergeCell ref="B397:G397"/>
    <mergeCell ref="H397:L397"/>
    <mergeCell ref="B545:G545"/>
    <mergeCell ref="B527:L527"/>
    <mergeCell ref="H507:L507"/>
    <mergeCell ref="G510:H510"/>
    <mergeCell ref="K510:L510"/>
    <mergeCell ref="K512:L512"/>
    <mergeCell ref="B528:L528"/>
    <mergeCell ref="B529:L529"/>
    <mergeCell ref="B530:F531"/>
    <mergeCell ref="H530:L531"/>
    <mergeCell ref="B538:F538"/>
    <mergeCell ref="H538:L538"/>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66"/>
  <sheetViews>
    <sheetView topLeftCell="A38" zoomScale="110" zoomScaleNormal="110" workbookViewId="0">
      <selection activeCell="H37" sqref="H37"/>
    </sheetView>
  </sheetViews>
  <sheetFormatPr defaultRowHeight="15"/>
  <cols>
    <col min="6" max="6" width="16.85546875" customWidth="1"/>
    <col min="10" max="10" width="14.5703125" customWidth="1"/>
    <col min="12" max="12" width="22.7109375" customWidth="1"/>
  </cols>
  <sheetData>
    <row r="1" spans="1:12" ht="32.25" customHeight="1">
      <c r="A1" s="81"/>
      <c r="B1" s="82"/>
      <c r="C1" s="82"/>
      <c r="D1" s="182"/>
      <c r="E1" s="182"/>
      <c r="F1" s="182"/>
      <c r="G1" s="182"/>
      <c r="H1" s="182"/>
      <c r="I1" s="182"/>
      <c r="J1" s="82"/>
      <c r="K1" s="184" t="s">
        <v>226</v>
      </c>
      <c r="L1" s="183"/>
    </row>
    <row r="2" spans="1:12" ht="21">
      <c r="A2" s="19"/>
      <c r="B2" s="1004" t="s">
        <v>225</v>
      </c>
      <c r="C2" s="1004"/>
      <c r="D2" s="1004"/>
      <c r="E2" s="1004"/>
      <c r="F2" s="1004"/>
      <c r="G2" s="1004"/>
      <c r="H2" s="1004"/>
      <c r="I2" s="1004"/>
      <c r="J2" s="1004"/>
      <c r="K2" s="1004"/>
      <c r="L2" s="1005"/>
    </row>
    <row r="3" spans="1:12" ht="15.75">
      <c r="A3" s="19"/>
      <c r="B3" s="999" t="s">
        <v>227</v>
      </c>
      <c r="C3" s="999"/>
      <c r="D3" s="999"/>
      <c r="E3" s="999"/>
      <c r="F3" s="999"/>
      <c r="G3" s="999"/>
      <c r="H3" s="999"/>
      <c r="I3" s="999"/>
      <c r="J3" s="999"/>
      <c r="K3" s="999"/>
      <c r="L3" s="1006"/>
    </row>
    <row r="4" spans="1:12" ht="15" customHeight="1">
      <c r="A4" s="19"/>
      <c r="B4" s="185" t="s">
        <v>228</v>
      </c>
      <c r="C4" s="185"/>
      <c r="D4" s="185"/>
      <c r="E4" s="185"/>
      <c r="F4" s="185"/>
      <c r="H4" s="186"/>
      <c r="I4" s="186"/>
      <c r="J4" s="186"/>
      <c r="K4" s="186"/>
      <c r="L4" s="194"/>
    </row>
    <row r="5" spans="1:12">
      <c r="A5" s="19"/>
      <c r="B5" s="185"/>
      <c r="C5" s="185"/>
      <c r="D5" s="185"/>
      <c r="E5" s="185"/>
      <c r="F5" s="185"/>
      <c r="H5" s="186"/>
      <c r="I5" s="186"/>
      <c r="J5" s="186"/>
      <c r="K5" s="186"/>
      <c r="L5" s="194"/>
    </row>
    <row r="6" spans="1:12">
      <c r="A6" s="19"/>
      <c r="B6" s="972" t="s">
        <v>197</v>
      </c>
      <c r="C6" s="972"/>
      <c r="D6" s="972"/>
      <c r="E6" s="972"/>
      <c r="F6" s="972"/>
      <c r="G6" s="972"/>
      <c r="H6" s="992" t="e">
        <f>'04-22Master'!#REF!</f>
        <v>#REF!</v>
      </c>
      <c r="I6" s="987"/>
      <c r="J6" s="987"/>
      <c r="K6" s="987"/>
      <c r="L6" s="841"/>
    </row>
    <row r="7" spans="1:12">
      <c r="A7" s="19"/>
      <c r="B7" s="993" t="s">
        <v>198</v>
      </c>
      <c r="C7" s="993"/>
      <c r="D7" s="993"/>
      <c r="E7" s="993"/>
      <c r="F7" s="993"/>
      <c r="G7" s="993"/>
      <c r="H7" s="992" t="e">
        <f>'04-22Master'!#REF!</f>
        <v>#REF!</v>
      </c>
      <c r="I7" s="987"/>
      <c r="J7" s="987"/>
      <c r="K7" s="987"/>
      <c r="L7" s="841"/>
    </row>
    <row r="8" spans="1:12">
      <c r="A8" s="19"/>
      <c r="B8" s="972" t="s">
        <v>199</v>
      </c>
      <c r="C8" s="972"/>
      <c r="D8" s="972"/>
      <c r="E8" s="972"/>
      <c r="F8" s="972"/>
      <c r="G8" s="972"/>
      <c r="H8" s="992" t="e">
        <f>'04-22Master'!#REF!</f>
        <v>#REF!</v>
      </c>
      <c r="I8" s="987"/>
      <c r="J8" s="987"/>
      <c r="K8" s="987"/>
      <c r="L8" s="841"/>
    </row>
    <row r="9" spans="1:12">
      <c r="A9" s="19"/>
      <c r="B9" s="972" t="s">
        <v>200</v>
      </c>
      <c r="C9" s="972"/>
      <c r="D9" s="972"/>
      <c r="E9" s="972"/>
      <c r="F9" s="972"/>
      <c r="G9" s="972"/>
      <c r="H9" s="986" t="e">
        <f>'04-22Master'!#REF!</f>
        <v>#REF!</v>
      </c>
      <c r="I9" s="987"/>
      <c r="J9" s="987"/>
      <c r="K9" s="987"/>
      <c r="L9" s="841"/>
    </row>
    <row r="10" spans="1:12">
      <c r="A10" s="19"/>
      <c r="B10" s="93" t="s">
        <v>202</v>
      </c>
      <c r="C10" s="94"/>
      <c r="D10" s="94"/>
      <c r="E10" s="94"/>
      <c r="F10" s="94"/>
      <c r="G10" s="94"/>
      <c r="H10" s="988" t="s">
        <v>203</v>
      </c>
      <c r="I10" s="989"/>
      <c r="J10" s="989"/>
      <c r="K10" s="989"/>
      <c r="L10" s="990"/>
    </row>
    <row r="11" spans="1:12">
      <c r="A11" s="19"/>
      <c r="B11" s="93" t="s">
        <v>204</v>
      </c>
      <c r="C11" s="94"/>
      <c r="D11" s="94"/>
      <c r="E11" s="94"/>
      <c r="F11" s="94"/>
      <c r="G11" s="94"/>
      <c r="H11" s="95"/>
      <c r="I11" s="96"/>
      <c r="J11" s="176"/>
      <c r="K11" s="96"/>
      <c r="L11" s="101"/>
    </row>
    <row r="12" spans="1:12">
      <c r="A12" s="19"/>
      <c r="B12" s="834" t="s">
        <v>205</v>
      </c>
      <c r="C12" s="834"/>
      <c r="D12" s="834"/>
      <c r="E12" s="834"/>
      <c r="F12" s="834"/>
      <c r="G12" s="834"/>
      <c r="H12" s="835" t="e">
        <f>'04-22Master'!#REF!</f>
        <v>#REF!</v>
      </c>
      <c r="I12" s="849"/>
      <c r="J12" s="849"/>
      <c r="K12" s="849"/>
      <c r="L12" s="850"/>
    </row>
    <row r="13" spans="1:12">
      <c r="A13" s="19"/>
      <c r="B13" s="972"/>
      <c r="C13" s="972"/>
      <c r="D13" s="972"/>
      <c r="E13" s="972"/>
      <c r="F13" s="972"/>
      <c r="G13" s="972"/>
      <c r="H13" s="991" t="e">
        <f>'04-22Master'!#REF!</f>
        <v>#REF!</v>
      </c>
      <c r="I13" s="987"/>
      <c r="J13" s="987"/>
      <c r="K13" s="987"/>
      <c r="L13" s="841"/>
    </row>
    <row r="14" spans="1:12">
      <c r="A14" s="19"/>
      <c r="B14" s="972"/>
      <c r="C14" s="972"/>
      <c r="D14" s="972"/>
      <c r="E14" s="972"/>
      <c r="F14" s="972"/>
      <c r="G14" s="972"/>
      <c r="H14" s="992" t="e">
        <f>'04-22Master'!#REF!</f>
        <v>#REF!</v>
      </c>
      <c r="I14" s="987"/>
      <c r="J14" s="987"/>
      <c r="K14" s="987"/>
      <c r="L14" s="841"/>
    </row>
    <row r="15" spans="1:12">
      <c r="A15" s="19"/>
      <c r="G15" s="3" t="s">
        <v>229</v>
      </c>
      <c r="H15" s="3"/>
      <c r="I15" s="3"/>
      <c r="J15" s="3"/>
      <c r="K15" s="3"/>
      <c r="L15" s="88"/>
    </row>
    <row r="16" spans="1:12">
      <c r="A16" s="19"/>
      <c r="B16" s="178" t="s">
        <v>213</v>
      </c>
      <c r="C16" s="174"/>
      <c r="D16" s="174"/>
      <c r="E16" s="174"/>
      <c r="F16" s="174"/>
      <c r="G16" s="174"/>
      <c r="H16" s="163"/>
      <c r="I16" s="163"/>
      <c r="J16" s="163"/>
      <c r="K16" s="163"/>
      <c r="L16" s="181"/>
    </row>
    <row r="17" spans="1:12">
      <c r="A17" s="19"/>
      <c r="B17" s="178" t="s">
        <v>214</v>
      </c>
      <c r="C17" s="174"/>
      <c r="D17" s="174"/>
      <c r="E17" s="174"/>
      <c r="F17" s="174"/>
      <c r="G17" s="174"/>
      <c r="H17" s="163"/>
      <c r="I17" s="163"/>
      <c r="J17" s="164"/>
      <c r="K17" s="163"/>
      <c r="L17" s="181"/>
    </row>
    <row r="18" spans="1:12" ht="27.95" customHeight="1">
      <c r="A18" s="92"/>
      <c r="B18" s="93" t="s">
        <v>217</v>
      </c>
      <c r="C18" s="94"/>
      <c r="D18" s="191"/>
      <c r="E18" s="169" t="s">
        <v>219</v>
      </c>
      <c r="F18" s="70"/>
      <c r="G18" s="977" t="s">
        <v>218</v>
      </c>
      <c r="H18" s="978"/>
      <c r="I18" s="168" t="s">
        <v>215</v>
      </c>
      <c r="J18" s="171" t="s">
        <v>220</v>
      </c>
      <c r="K18" s="977" t="s">
        <v>216</v>
      </c>
      <c r="L18" s="979"/>
    </row>
    <row r="19" spans="1:12" ht="20.100000000000001" customHeight="1">
      <c r="A19" s="92"/>
      <c r="B19" s="172">
        <v>1</v>
      </c>
      <c r="C19" s="94"/>
      <c r="D19" s="94"/>
      <c r="E19" s="175">
        <v>2</v>
      </c>
      <c r="F19" s="97"/>
      <c r="G19" s="175">
        <v>3</v>
      </c>
      <c r="H19" s="191"/>
      <c r="I19" s="191">
        <v>4</v>
      </c>
      <c r="J19" s="112">
        <v>5</v>
      </c>
      <c r="K19" s="99"/>
      <c r="L19" s="100">
        <v>6</v>
      </c>
    </row>
    <row r="20" spans="1:12" ht="20.100000000000001" customHeight="1">
      <c r="A20" s="92"/>
      <c r="B20" s="93" t="e">
        <f>'04-22Master'!#REF!</f>
        <v>#REF!</v>
      </c>
      <c r="C20" s="187"/>
      <c r="D20" s="188"/>
      <c r="E20" s="189" t="s">
        <v>379</v>
      </c>
      <c r="F20" s="188"/>
      <c r="G20" s="189" t="s">
        <v>377</v>
      </c>
      <c r="H20" s="70"/>
      <c r="I20" s="16" t="s">
        <v>380</v>
      </c>
      <c r="J20" s="287">
        <v>1</v>
      </c>
      <c r="K20" s="190" t="s">
        <v>37</v>
      </c>
      <c r="L20" s="195"/>
    </row>
    <row r="21" spans="1:12" ht="20.100000000000001" customHeight="1">
      <c r="A21" s="92"/>
      <c r="B21" s="93"/>
      <c r="C21" s="187"/>
      <c r="D21" s="188"/>
      <c r="E21" s="189"/>
      <c r="F21" s="188"/>
      <c r="G21" s="189"/>
      <c r="H21" s="70"/>
      <c r="I21" s="16"/>
      <c r="J21" s="16"/>
      <c r="K21" s="190"/>
      <c r="L21" s="195"/>
    </row>
    <row r="22" spans="1:12" ht="20.100000000000001" customHeight="1">
      <c r="A22" s="92"/>
      <c r="B22" s="93"/>
      <c r="C22" s="187"/>
      <c r="D22" s="188"/>
      <c r="E22" s="189"/>
      <c r="F22" s="188"/>
      <c r="G22" s="189"/>
      <c r="H22" s="70"/>
      <c r="I22" s="16"/>
      <c r="J22" s="16"/>
      <c r="K22" s="190"/>
      <c r="L22" s="195"/>
    </row>
    <row r="23" spans="1:12" ht="20.100000000000001" customHeight="1">
      <c r="A23" s="92"/>
      <c r="B23" s="77"/>
      <c r="C23" s="23"/>
      <c r="D23" s="78"/>
      <c r="E23" s="189"/>
      <c r="F23" s="188"/>
      <c r="G23" s="189"/>
      <c r="H23" s="70"/>
      <c r="I23" s="16"/>
      <c r="J23" s="16"/>
      <c r="K23" s="190"/>
      <c r="L23" s="195"/>
    </row>
    <row r="24" spans="1:12" ht="27.95" customHeight="1">
      <c r="A24" s="92"/>
      <c r="B24" t="s">
        <v>221</v>
      </c>
      <c r="L24" s="20"/>
    </row>
    <row r="25" spans="1:12" ht="27.95" customHeight="1">
      <c r="A25" s="19"/>
      <c r="B25" t="s">
        <v>222</v>
      </c>
      <c r="L25" s="20"/>
    </row>
    <row r="26" spans="1:12" ht="27.95" customHeight="1">
      <c r="A26" s="19"/>
      <c r="B26" t="s">
        <v>233</v>
      </c>
      <c r="J26" t="s">
        <v>232</v>
      </c>
      <c r="L26" s="20"/>
    </row>
    <row r="27" spans="1:12" ht="19.5" customHeight="1">
      <c r="A27" s="19"/>
      <c r="G27" s="3" t="s">
        <v>230</v>
      </c>
      <c r="H27" s="3"/>
      <c r="I27" s="3"/>
      <c r="J27" s="3"/>
      <c r="K27" s="3"/>
      <c r="L27" s="88"/>
    </row>
    <row r="28" spans="1:12" ht="11.25" customHeight="1">
      <c r="A28" s="19"/>
      <c r="B28" s="3"/>
      <c r="G28" t="s">
        <v>231</v>
      </c>
      <c r="H28" s="3"/>
      <c r="I28" s="3"/>
      <c r="J28" s="3"/>
      <c r="K28" s="3"/>
      <c r="L28" s="88"/>
    </row>
    <row r="29" spans="1:12" ht="27.95" customHeight="1">
      <c r="A29" s="19"/>
      <c r="B29" s="178" t="s">
        <v>234</v>
      </c>
      <c r="C29" s="174"/>
      <c r="D29" s="174"/>
      <c r="E29" s="174"/>
      <c r="F29" s="174"/>
      <c r="G29" s="174"/>
      <c r="H29" s="163"/>
      <c r="I29" s="163"/>
      <c r="J29" s="163"/>
      <c r="K29" s="163"/>
      <c r="L29" s="181"/>
    </row>
    <row r="30" spans="1:12" ht="27.95" customHeight="1">
      <c r="A30" s="19"/>
      <c r="B30" s="178" t="s">
        <v>235</v>
      </c>
      <c r="C30" s="174"/>
      <c r="D30" s="174"/>
      <c r="E30" s="174"/>
      <c r="F30" s="174"/>
      <c r="G30" s="174"/>
      <c r="H30" s="163"/>
      <c r="I30" s="163"/>
      <c r="J30" s="164"/>
      <c r="K30" s="163"/>
      <c r="L30" s="181"/>
    </row>
    <row r="31" spans="1:12" ht="27.95" customHeight="1">
      <c r="A31" s="19"/>
      <c r="B31" s="93" t="s">
        <v>5</v>
      </c>
      <c r="C31" s="1007" t="s">
        <v>236</v>
      </c>
      <c r="D31" s="976"/>
      <c r="E31" s="976"/>
      <c r="F31" s="976"/>
      <c r="G31" s="976"/>
      <c r="H31" s="1008"/>
      <c r="I31" s="170" t="s">
        <v>109</v>
      </c>
      <c r="J31" s="1009" t="s">
        <v>237</v>
      </c>
      <c r="K31" s="1010"/>
      <c r="L31" s="1011"/>
    </row>
    <row r="32" spans="1:12" ht="20.100000000000001" customHeight="1">
      <c r="A32" s="19"/>
      <c r="B32" s="172">
        <v>1</v>
      </c>
      <c r="C32" s="206"/>
      <c r="D32" s="96"/>
      <c r="E32" s="102">
        <v>2</v>
      </c>
      <c r="F32" s="69"/>
      <c r="G32" s="1003"/>
      <c r="H32" s="978"/>
      <c r="I32" s="96">
        <v>3</v>
      </c>
      <c r="J32" s="193" t="s">
        <v>238</v>
      </c>
      <c r="K32" s="1012">
        <v>4</v>
      </c>
      <c r="L32" s="1013"/>
    </row>
    <row r="33" spans="1:12" ht="20.100000000000001" customHeight="1">
      <c r="A33" s="19"/>
      <c r="B33" s="93"/>
      <c r="C33" s="206"/>
      <c r="D33" s="96"/>
      <c r="E33" s="102"/>
      <c r="F33" s="69"/>
      <c r="G33" s="1003"/>
      <c r="H33" s="978"/>
      <c r="I33" s="190"/>
      <c r="J33" s="206"/>
      <c r="K33" s="1003"/>
      <c r="L33" s="979"/>
    </row>
    <row r="34" spans="1:12" ht="20.100000000000001" customHeight="1">
      <c r="A34" s="19"/>
      <c r="B34" s="93"/>
      <c r="C34" s="206"/>
      <c r="D34" s="96"/>
      <c r="E34" s="102"/>
      <c r="F34" s="69"/>
      <c r="G34" s="1003"/>
      <c r="H34" s="978"/>
      <c r="I34" s="190"/>
      <c r="J34" s="192"/>
      <c r="K34" s="1003"/>
      <c r="L34" s="979"/>
    </row>
    <row r="35" spans="1:12" ht="20.100000000000001" customHeight="1">
      <c r="A35" s="19"/>
      <c r="B35" s="93"/>
      <c r="C35" s="206"/>
      <c r="D35" s="96"/>
      <c r="E35" s="102"/>
      <c r="F35" s="69"/>
      <c r="G35" s="1003"/>
      <c r="H35" s="978"/>
      <c r="I35" s="190"/>
      <c r="J35" s="192"/>
      <c r="K35" s="1003"/>
      <c r="L35" s="979"/>
    </row>
    <row r="36" spans="1:12" ht="20.100000000000001" customHeight="1">
      <c r="A36" s="19"/>
      <c r="B36" s="77"/>
      <c r="C36" s="206"/>
      <c r="D36" s="96"/>
      <c r="E36" s="102"/>
      <c r="F36" s="69"/>
      <c r="G36" s="1003"/>
      <c r="H36" s="978"/>
      <c r="I36" s="190"/>
      <c r="J36" s="192"/>
      <c r="K36" s="1003"/>
      <c r="L36" s="979"/>
    </row>
    <row r="37" spans="1:12" ht="27.95" customHeight="1">
      <c r="A37" s="19"/>
      <c r="B37" t="s">
        <v>242</v>
      </c>
      <c r="L37" s="20"/>
    </row>
    <row r="38" spans="1:12" ht="19.5" customHeight="1">
      <c r="A38" s="19"/>
      <c r="B38" t="s">
        <v>243</v>
      </c>
      <c r="L38" s="20"/>
    </row>
    <row r="39" spans="1:12" ht="19.5" customHeight="1">
      <c r="A39" s="19"/>
      <c r="B39" t="s">
        <v>244</v>
      </c>
      <c r="L39" s="20"/>
    </row>
    <row r="40" spans="1:12" ht="15.75" customHeight="1">
      <c r="A40" s="19"/>
      <c r="B40" t="s">
        <v>245</v>
      </c>
      <c r="L40" s="20"/>
    </row>
    <row r="41" spans="1:12" ht="27.95" customHeight="1">
      <c r="A41" s="19"/>
      <c r="B41" s="189" t="s">
        <v>239</v>
      </c>
      <c r="C41" s="69"/>
      <c r="D41" s="69"/>
      <c r="E41" s="69"/>
      <c r="F41" s="70"/>
      <c r="G41" s="189" t="s">
        <v>215</v>
      </c>
      <c r="H41" s="70"/>
      <c r="I41" s="189" t="s">
        <v>240</v>
      </c>
      <c r="J41" s="69"/>
      <c r="K41" s="70"/>
      <c r="L41" s="20"/>
    </row>
    <row r="42" spans="1:12" ht="27.95" customHeight="1">
      <c r="A42" s="19"/>
      <c r="B42" s="980"/>
      <c r="C42" s="1002"/>
      <c r="D42" s="1002"/>
      <c r="E42" s="1002"/>
      <c r="F42" s="981"/>
      <c r="G42" s="980"/>
      <c r="H42" s="981"/>
      <c r="I42" s="980"/>
      <c r="J42" s="1002"/>
      <c r="K42" s="981"/>
      <c r="L42" s="20"/>
    </row>
    <row r="43" spans="1:12" ht="27.95" customHeight="1">
      <c r="A43" s="19"/>
      <c r="B43" s="980"/>
      <c r="C43" s="1002"/>
      <c r="D43" s="1002"/>
      <c r="E43" s="1002"/>
      <c r="F43" s="981"/>
      <c r="G43" s="980"/>
      <c r="H43" s="981"/>
      <c r="I43" s="980"/>
      <c r="J43" s="1002"/>
      <c r="K43" s="981"/>
      <c r="L43" s="20"/>
    </row>
    <row r="44" spans="1:12" ht="27.95" customHeight="1">
      <c r="A44" s="19"/>
      <c r="B44" s="980"/>
      <c r="C44" s="1002"/>
      <c r="D44" s="1002"/>
      <c r="E44" s="1002"/>
      <c r="F44" s="981"/>
      <c r="G44" s="980"/>
      <c r="H44" s="981"/>
      <c r="I44" s="980"/>
      <c r="J44" s="1002"/>
      <c r="K44" s="981"/>
      <c r="L44" s="20"/>
    </row>
    <row r="45" spans="1:12" ht="27.95" customHeight="1">
      <c r="A45" s="19"/>
      <c r="B45" s="980"/>
      <c r="C45" s="1002"/>
      <c r="D45" s="1002"/>
      <c r="E45" s="1002"/>
      <c r="F45" s="981"/>
      <c r="G45" s="980"/>
      <c r="H45" s="981"/>
      <c r="I45" s="980"/>
      <c r="J45" s="1002"/>
      <c r="K45" s="981"/>
      <c r="L45" s="20"/>
    </row>
    <row r="46" spans="1:12">
      <c r="A46" s="19"/>
      <c r="L46" s="20"/>
    </row>
    <row r="47" spans="1:12">
      <c r="A47" s="19"/>
      <c r="B47" t="s">
        <v>212</v>
      </c>
      <c r="C47" s="286" t="e">
        <f>'04-22Master'!#REF!</f>
        <v>#REF!</v>
      </c>
      <c r="I47" t="s">
        <v>241</v>
      </c>
      <c r="L47" s="20"/>
    </row>
    <row r="48" spans="1:12" ht="18.75">
      <c r="A48" s="19"/>
      <c r="F48" s="177" t="s">
        <v>207</v>
      </c>
      <c r="L48" s="20"/>
    </row>
    <row r="49" spans="1:12">
      <c r="A49" s="19" t="s">
        <v>208</v>
      </c>
      <c r="K49" s="227" t="e">
        <f>'04-22Master'!#REF!</f>
        <v>#REF!</v>
      </c>
      <c r="L49" s="20"/>
    </row>
    <row r="50" spans="1:12">
      <c r="A50" s="19" t="s">
        <v>209</v>
      </c>
      <c r="L50" s="20"/>
    </row>
    <row r="51" spans="1:12">
      <c r="A51" s="19"/>
      <c r="L51" s="20"/>
    </row>
    <row r="52" spans="1:12">
      <c r="A52" s="19"/>
      <c r="F52" t="s">
        <v>210</v>
      </c>
      <c r="L52" s="20"/>
    </row>
    <row r="53" spans="1:12">
      <c r="A53" s="19" t="s">
        <v>211</v>
      </c>
      <c r="B53" t="s">
        <v>375</v>
      </c>
      <c r="F53" t="str">
        <f>'04-22Master'!F5</f>
        <v>Burgeon IT Services Pvt.Ltd.</v>
      </c>
      <c r="L53" s="20"/>
    </row>
    <row r="54" spans="1:12" ht="15.75" thickBot="1">
      <c r="A54" s="31" t="s">
        <v>212</v>
      </c>
      <c r="B54" s="289" t="e">
        <f>'04-22Master'!#REF!</f>
        <v>#REF!</v>
      </c>
      <c r="C54" s="29"/>
      <c r="D54" s="29"/>
      <c r="E54" s="29"/>
      <c r="F54" s="29" t="str">
        <f>'04-22Master'!F6</f>
        <v>Siri Mansion LIGB 436 Dr.A S Rao Nagar,Hyderabad</v>
      </c>
      <c r="G54" s="29"/>
      <c r="H54" s="29"/>
      <c r="I54" s="29"/>
      <c r="J54" s="29"/>
      <c r="K54" s="29"/>
      <c r="L54" s="30"/>
    </row>
    <row r="55" spans="1:12" ht="27.95" customHeight="1">
      <c r="A55" s="81"/>
      <c r="B55" s="82"/>
      <c r="C55" s="82"/>
      <c r="D55" s="182"/>
      <c r="E55" s="182"/>
      <c r="F55" s="182"/>
      <c r="G55" s="182"/>
      <c r="H55" s="182"/>
      <c r="I55" s="182"/>
      <c r="J55" s="82"/>
      <c r="K55" s="184" t="s">
        <v>226</v>
      </c>
      <c r="L55" s="183"/>
    </row>
    <row r="56" spans="1:12" ht="27.95" customHeight="1">
      <c r="A56" s="19"/>
      <c r="B56" s="1004" t="s">
        <v>225</v>
      </c>
      <c r="C56" s="1004"/>
      <c r="D56" s="1004"/>
      <c r="E56" s="1004"/>
      <c r="F56" s="1004"/>
      <c r="G56" s="1004"/>
      <c r="H56" s="1004"/>
      <c r="I56" s="1004"/>
      <c r="J56" s="1004"/>
      <c r="K56" s="1004"/>
      <c r="L56" s="1005"/>
    </row>
    <row r="57" spans="1:12" ht="27.95" customHeight="1">
      <c r="A57" s="19"/>
      <c r="B57" s="999" t="s">
        <v>227</v>
      </c>
      <c r="C57" s="999"/>
      <c r="D57" s="999"/>
      <c r="E57" s="999"/>
      <c r="F57" s="999"/>
      <c r="G57" s="999"/>
      <c r="H57" s="999"/>
      <c r="I57" s="999"/>
      <c r="J57" s="999"/>
      <c r="K57" s="999"/>
      <c r="L57" s="1006"/>
    </row>
    <row r="58" spans="1:12" ht="27.95" customHeight="1">
      <c r="A58" s="19"/>
      <c r="B58" s="185" t="s">
        <v>228</v>
      </c>
      <c r="C58" s="185"/>
      <c r="D58" s="185"/>
      <c r="E58" s="185"/>
      <c r="F58" s="185"/>
      <c r="H58" s="186"/>
      <c r="I58" s="186"/>
      <c r="J58" s="186"/>
      <c r="K58" s="186"/>
      <c r="L58" s="194"/>
    </row>
    <row r="59" spans="1:12" ht="27.95" customHeight="1">
      <c r="A59" s="19"/>
      <c r="B59" s="185"/>
      <c r="C59" s="185"/>
      <c r="D59" s="185"/>
      <c r="E59" s="185"/>
      <c r="F59" s="185"/>
      <c r="H59" s="186"/>
      <c r="I59" s="186"/>
      <c r="J59" s="186"/>
      <c r="K59" s="186"/>
      <c r="L59" s="194"/>
    </row>
    <row r="60" spans="1:12" ht="27.95" customHeight="1">
      <c r="A60" s="19"/>
      <c r="B60" s="972" t="s">
        <v>197</v>
      </c>
      <c r="C60" s="972"/>
      <c r="D60" s="972"/>
      <c r="E60" s="972"/>
      <c r="F60" s="972"/>
      <c r="G60" s="972"/>
      <c r="H60" s="992" t="e">
        <f>'04-22Master'!#REF!</f>
        <v>#REF!</v>
      </c>
      <c r="I60" s="987"/>
      <c r="J60" s="987"/>
      <c r="K60" s="987"/>
      <c r="L60" s="841"/>
    </row>
    <row r="61" spans="1:12" ht="27.95" customHeight="1">
      <c r="A61" s="19"/>
      <c r="B61" s="993" t="s">
        <v>198</v>
      </c>
      <c r="C61" s="993"/>
      <c r="D61" s="993"/>
      <c r="E61" s="993"/>
      <c r="F61" s="993"/>
      <c r="G61" s="993"/>
      <c r="H61" s="992" t="e">
        <f>'04-22Master'!#REF!</f>
        <v>#REF!</v>
      </c>
      <c r="I61" s="987"/>
      <c r="J61" s="987"/>
      <c r="K61" s="987"/>
      <c r="L61" s="841"/>
    </row>
    <row r="62" spans="1:12" ht="27.95" customHeight="1">
      <c r="A62" s="19"/>
      <c r="B62" s="972" t="s">
        <v>199</v>
      </c>
      <c r="C62" s="972"/>
      <c r="D62" s="972"/>
      <c r="E62" s="972"/>
      <c r="F62" s="972"/>
      <c r="G62" s="972"/>
      <c r="H62" s="992" t="e">
        <f>'04-22Master'!#REF!</f>
        <v>#REF!</v>
      </c>
      <c r="I62" s="987"/>
      <c r="J62" s="987"/>
      <c r="K62" s="987"/>
      <c r="L62" s="841"/>
    </row>
    <row r="63" spans="1:12" ht="27.95" customHeight="1">
      <c r="A63" s="19"/>
      <c r="B63" s="972" t="s">
        <v>200</v>
      </c>
      <c r="C63" s="972"/>
      <c r="D63" s="972"/>
      <c r="E63" s="972"/>
      <c r="F63" s="972"/>
      <c r="G63" s="972"/>
      <c r="H63" s="986" t="e">
        <f>'04-22Master'!#REF!</f>
        <v>#REF!</v>
      </c>
      <c r="I63" s="987"/>
      <c r="J63" s="987"/>
      <c r="K63" s="987"/>
      <c r="L63" s="841"/>
    </row>
    <row r="64" spans="1:12" ht="27.95" customHeight="1">
      <c r="A64" s="19"/>
      <c r="B64" s="93" t="s">
        <v>202</v>
      </c>
      <c r="C64" s="94"/>
      <c r="D64" s="94"/>
      <c r="E64" s="94"/>
      <c r="F64" s="94"/>
      <c r="G64" s="94"/>
      <c r="H64" s="988" t="s">
        <v>203</v>
      </c>
      <c r="I64" s="989"/>
      <c r="J64" s="989"/>
      <c r="K64" s="989"/>
      <c r="L64" s="990"/>
    </row>
    <row r="65" spans="1:12" ht="27.95" customHeight="1">
      <c r="A65" s="19"/>
      <c r="B65" s="93" t="s">
        <v>204</v>
      </c>
      <c r="C65" s="94"/>
      <c r="D65" s="94"/>
      <c r="E65" s="94"/>
      <c r="F65" s="94"/>
      <c r="G65" s="94"/>
      <c r="H65" s="95"/>
      <c r="I65" s="96"/>
      <c r="J65" s="176"/>
      <c r="K65" s="96"/>
      <c r="L65" s="101"/>
    </row>
    <row r="66" spans="1:12">
      <c r="A66" s="19"/>
      <c r="B66" s="834" t="s">
        <v>205</v>
      </c>
      <c r="C66" s="834"/>
      <c r="D66" s="834"/>
      <c r="E66" s="834"/>
      <c r="F66" s="834"/>
      <c r="G66" s="834"/>
      <c r="H66" s="835" t="e">
        <f>'04-22Master'!#REF!</f>
        <v>#REF!</v>
      </c>
      <c r="I66" s="849"/>
      <c r="J66" s="849"/>
      <c r="K66" s="849"/>
      <c r="L66" s="850"/>
    </row>
    <row r="67" spans="1:12">
      <c r="A67" s="19"/>
      <c r="B67" s="972"/>
      <c r="C67" s="972"/>
      <c r="D67" s="972"/>
      <c r="E67" s="972"/>
      <c r="F67" s="972"/>
      <c r="G67" s="972"/>
      <c r="H67" s="991" t="e">
        <f>'04-22Master'!#REF!</f>
        <v>#REF!</v>
      </c>
      <c r="I67" s="987"/>
      <c r="J67" s="987"/>
      <c r="K67" s="987"/>
      <c r="L67" s="841"/>
    </row>
    <row r="68" spans="1:12">
      <c r="A68" s="19"/>
      <c r="B68" s="972"/>
      <c r="C68" s="972"/>
      <c r="D68" s="972"/>
      <c r="E68" s="972"/>
      <c r="F68" s="972"/>
      <c r="G68" s="972"/>
      <c r="H68" s="992" t="e">
        <f>'04-22Master'!#REF!</f>
        <v>#REF!</v>
      </c>
      <c r="I68" s="987"/>
      <c r="J68" s="987"/>
      <c r="K68" s="987"/>
      <c r="L68" s="841"/>
    </row>
    <row r="69" spans="1:12">
      <c r="A69" s="19"/>
      <c r="G69" s="3" t="s">
        <v>229</v>
      </c>
      <c r="H69" s="3"/>
      <c r="I69" s="3"/>
      <c r="J69" s="3"/>
      <c r="K69" s="3"/>
      <c r="L69" s="88"/>
    </row>
    <row r="70" spans="1:12">
      <c r="A70" s="19"/>
      <c r="B70" s="178" t="s">
        <v>213</v>
      </c>
      <c r="C70" s="174"/>
      <c r="D70" s="174"/>
      <c r="E70" s="174"/>
      <c r="F70" s="174"/>
      <c r="G70" s="174"/>
      <c r="H70" s="163"/>
      <c r="I70" s="163"/>
      <c r="J70" s="163"/>
      <c r="K70" s="163"/>
      <c r="L70" s="181"/>
    </row>
    <row r="71" spans="1:12">
      <c r="A71" s="19"/>
      <c r="B71" s="178" t="s">
        <v>214</v>
      </c>
      <c r="C71" s="174"/>
      <c r="D71" s="174"/>
      <c r="E71" s="174"/>
      <c r="F71" s="174"/>
      <c r="G71" s="174"/>
      <c r="H71" s="163"/>
      <c r="I71" s="163"/>
      <c r="J71" s="164"/>
      <c r="K71" s="163"/>
      <c r="L71" s="181"/>
    </row>
    <row r="72" spans="1:12" ht="45">
      <c r="A72" s="92"/>
      <c r="B72" s="93" t="s">
        <v>217</v>
      </c>
      <c r="C72" s="94"/>
      <c r="D72" s="191"/>
      <c r="E72" s="169" t="s">
        <v>219</v>
      </c>
      <c r="F72" s="70"/>
      <c r="G72" s="977" t="s">
        <v>218</v>
      </c>
      <c r="H72" s="978"/>
      <c r="I72" s="168" t="s">
        <v>215</v>
      </c>
      <c r="J72" s="171" t="s">
        <v>220</v>
      </c>
      <c r="K72" s="977" t="s">
        <v>216</v>
      </c>
      <c r="L72" s="979"/>
    </row>
    <row r="73" spans="1:12">
      <c r="A73" s="92"/>
      <c r="B73" s="172">
        <v>1</v>
      </c>
      <c r="C73" s="94"/>
      <c r="D73" s="94"/>
      <c r="E73" s="175">
        <v>2</v>
      </c>
      <c r="F73" s="97"/>
      <c r="G73" s="175">
        <v>3</v>
      </c>
      <c r="H73" s="191"/>
      <c r="I73" s="191">
        <v>4</v>
      </c>
      <c r="J73" s="112">
        <v>5</v>
      </c>
      <c r="K73" s="99"/>
      <c r="L73" s="100">
        <v>6</v>
      </c>
    </row>
    <row r="74" spans="1:12">
      <c r="A74" s="92"/>
      <c r="B74" s="93" t="e">
        <f>'04-22Master'!#REF!</f>
        <v>#REF!</v>
      </c>
      <c r="C74" s="187"/>
      <c r="D74" s="188"/>
      <c r="E74" s="189" t="s">
        <v>379</v>
      </c>
      <c r="F74" s="188"/>
      <c r="G74" s="189" t="s">
        <v>377</v>
      </c>
      <c r="H74" s="70"/>
      <c r="I74" s="16" t="s">
        <v>380</v>
      </c>
      <c r="J74" s="287">
        <v>1</v>
      </c>
      <c r="K74" s="190" t="s">
        <v>37</v>
      </c>
      <c r="L74" s="195"/>
    </row>
    <row r="75" spans="1:12">
      <c r="A75" s="92"/>
      <c r="B75" s="93"/>
      <c r="C75" s="187"/>
      <c r="D75" s="188"/>
      <c r="E75" s="189"/>
      <c r="F75" s="188"/>
      <c r="G75" s="189"/>
      <c r="H75" s="70"/>
      <c r="I75" s="16"/>
      <c r="J75" s="16"/>
      <c r="K75" s="190"/>
      <c r="L75" s="195"/>
    </row>
    <row r="76" spans="1:12">
      <c r="A76" s="92"/>
      <c r="B76" s="93"/>
      <c r="C76" s="187"/>
      <c r="D76" s="188"/>
      <c r="E76" s="189"/>
      <c r="F76" s="188"/>
      <c r="G76" s="189"/>
      <c r="H76" s="70"/>
      <c r="I76" s="16"/>
      <c r="J76" s="16"/>
      <c r="K76" s="190"/>
      <c r="L76" s="195"/>
    </row>
    <row r="77" spans="1:12">
      <c r="A77" s="92"/>
      <c r="B77" s="77"/>
      <c r="C77" s="23"/>
      <c r="D77" s="78"/>
      <c r="E77" s="189"/>
      <c r="F77" s="188"/>
      <c r="G77" s="189"/>
      <c r="H77" s="70"/>
      <c r="I77" s="16"/>
      <c r="J77" s="16"/>
      <c r="K77" s="190"/>
      <c r="L77" s="195"/>
    </row>
    <row r="78" spans="1:12">
      <c r="A78" s="92"/>
      <c r="B78" t="s">
        <v>221</v>
      </c>
      <c r="L78" s="20"/>
    </row>
    <row r="79" spans="1:12">
      <c r="A79" s="19"/>
      <c r="B79" t="s">
        <v>222</v>
      </c>
      <c r="L79" s="20"/>
    </row>
    <row r="80" spans="1:12">
      <c r="A80" s="19"/>
      <c r="B80" t="s">
        <v>233</v>
      </c>
      <c r="J80" t="s">
        <v>232</v>
      </c>
      <c r="L80" s="20"/>
    </row>
    <row r="81" spans="1:12">
      <c r="A81" s="19"/>
      <c r="G81" s="3" t="s">
        <v>230</v>
      </c>
      <c r="H81" s="3"/>
      <c r="I81" s="3"/>
      <c r="J81" s="3"/>
      <c r="K81" s="3"/>
      <c r="L81" s="88"/>
    </row>
    <row r="82" spans="1:12">
      <c r="A82" s="19"/>
      <c r="B82" s="3"/>
      <c r="G82" t="s">
        <v>231</v>
      </c>
      <c r="H82" s="3"/>
      <c r="I82" s="3"/>
      <c r="J82" s="3"/>
      <c r="K82" s="3"/>
      <c r="L82" s="88"/>
    </row>
    <row r="83" spans="1:12">
      <c r="A83" s="19"/>
      <c r="B83" s="178" t="s">
        <v>234</v>
      </c>
      <c r="C83" s="174"/>
      <c r="D83" s="174"/>
      <c r="E83" s="174"/>
      <c r="F83" s="174"/>
      <c r="G83" s="174"/>
      <c r="H83" s="163"/>
      <c r="I83" s="163"/>
      <c r="J83" s="163"/>
      <c r="K83" s="163"/>
      <c r="L83" s="181"/>
    </row>
    <row r="84" spans="1:12">
      <c r="A84" s="19"/>
      <c r="B84" s="178" t="s">
        <v>235</v>
      </c>
      <c r="C84" s="174"/>
      <c r="D84" s="174"/>
      <c r="E84" s="174"/>
      <c r="F84" s="174"/>
      <c r="G84" s="174"/>
      <c r="H84" s="163"/>
      <c r="I84" s="163"/>
      <c r="J84" s="164"/>
      <c r="K84" s="163"/>
      <c r="L84" s="181"/>
    </row>
    <row r="85" spans="1:12">
      <c r="A85" s="19"/>
      <c r="B85" s="93" t="s">
        <v>5</v>
      </c>
      <c r="C85" s="1007" t="s">
        <v>236</v>
      </c>
      <c r="D85" s="976"/>
      <c r="E85" s="976"/>
      <c r="F85" s="976"/>
      <c r="G85" s="976"/>
      <c r="H85" s="1008"/>
      <c r="I85" s="170" t="s">
        <v>109</v>
      </c>
      <c r="J85" s="1009" t="s">
        <v>237</v>
      </c>
      <c r="K85" s="1010"/>
      <c r="L85" s="1011"/>
    </row>
    <row r="86" spans="1:12">
      <c r="A86" s="19"/>
      <c r="B86" s="172">
        <v>1</v>
      </c>
      <c r="C86" s="206"/>
      <c r="D86" s="96"/>
      <c r="E86" s="102">
        <v>2</v>
      </c>
      <c r="F86" s="69"/>
      <c r="G86" s="1003"/>
      <c r="H86" s="978"/>
      <c r="I86" s="96">
        <v>3</v>
      </c>
      <c r="J86" s="193" t="s">
        <v>238</v>
      </c>
      <c r="K86" s="1012">
        <v>4</v>
      </c>
      <c r="L86" s="1013"/>
    </row>
    <row r="87" spans="1:12" ht="15" customHeight="1">
      <c r="A87" s="19"/>
      <c r="B87" s="93"/>
      <c r="C87" s="206"/>
      <c r="D87" s="96"/>
      <c r="E87" s="102"/>
      <c r="F87" s="69"/>
      <c r="G87" s="1003"/>
      <c r="H87" s="978"/>
      <c r="I87" s="190"/>
      <c r="J87" s="192"/>
      <c r="K87" s="1003"/>
      <c r="L87" s="979"/>
    </row>
    <row r="88" spans="1:12">
      <c r="A88" s="19"/>
      <c r="B88" s="93"/>
      <c r="C88" s="206"/>
      <c r="D88" s="96"/>
      <c r="E88" s="102"/>
      <c r="F88" s="69"/>
      <c r="G88" s="1003"/>
      <c r="H88" s="978"/>
      <c r="I88" s="190"/>
      <c r="J88" s="192"/>
      <c r="K88" s="1003"/>
      <c r="L88" s="979"/>
    </row>
    <row r="89" spans="1:12">
      <c r="A89" s="19"/>
      <c r="B89" s="93"/>
      <c r="C89" s="206"/>
      <c r="D89" s="96"/>
      <c r="E89" s="102"/>
      <c r="F89" s="69"/>
      <c r="G89" s="1003"/>
      <c r="H89" s="978"/>
      <c r="I89" s="190"/>
      <c r="J89" s="192"/>
      <c r="K89" s="1003"/>
      <c r="L89" s="979"/>
    </row>
    <row r="90" spans="1:12">
      <c r="A90" s="19"/>
      <c r="B90" s="77"/>
      <c r="C90" s="206"/>
      <c r="D90" s="96"/>
      <c r="E90" s="102"/>
      <c r="F90" s="69"/>
      <c r="G90" s="1003"/>
      <c r="H90" s="978"/>
      <c r="I90" s="190"/>
      <c r="J90" s="192"/>
      <c r="K90" s="1003"/>
      <c r="L90" s="979"/>
    </row>
    <row r="91" spans="1:12">
      <c r="A91" s="19"/>
      <c r="B91" t="s">
        <v>242</v>
      </c>
      <c r="L91" s="20"/>
    </row>
    <row r="92" spans="1:12">
      <c r="A92" s="19"/>
      <c r="B92" t="s">
        <v>243</v>
      </c>
      <c r="L92" s="20"/>
    </row>
    <row r="93" spans="1:12">
      <c r="A93" s="19"/>
      <c r="B93" t="s">
        <v>244</v>
      </c>
      <c r="L93" s="20"/>
    </row>
    <row r="94" spans="1:12">
      <c r="A94" s="19"/>
      <c r="B94" t="s">
        <v>245</v>
      </c>
      <c r="L94" s="20"/>
    </row>
    <row r="95" spans="1:12">
      <c r="A95" s="19"/>
      <c r="B95" s="189" t="s">
        <v>239</v>
      </c>
      <c r="C95" s="69"/>
      <c r="D95" s="69"/>
      <c r="E95" s="69"/>
      <c r="F95" s="70"/>
      <c r="G95" s="189" t="s">
        <v>215</v>
      </c>
      <c r="H95" s="70"/>
      <c r="I95" s="189" t="s">
        <v>240</v>
      </c>
      <c r="J95" s="69"/>
      <c r="K95" s="70"/>
      <c r="L95" s="20"/>
    </row>
    <row r="96" spans="1:12">
      <c r="A96" s="19"/>
      <c r="B96" s="980"/>
      <c r="C96" s="1002"/>
      <c r="D96" s="1002"/>
      <c r="E96" s="1002"/>
      <c r="F96" s="981"/>
      <c r="G96" s="980"/>
      <c r="H96" s="981"/>
      <c r="I96" s="980"/>
      <c r="J96" s="1002"/>
      <c r="K96" s="981"/>
      <c r="L96" s="20"/>
    </row>
    <row r="97" spans="1:12">
      <c r="A97" s="19"/>
      <c r="B97" s="980"/>
      <c r="C97" s="1002"/>
      <c r="D97" s="1002"/>
      <c r="E97" s="1002"/>
      <c r="F97" s="981"/>
      <c r="G97" s="980"/>
      <c r="H97" s="981"/>
      <c r="I97" s="980"/>
      <c r="J97" s="1002"/>
      <c r="K97" s="981"/>
      <c r="L97" s="20"/>
    </row>
    <row r="98" spans="1:12">
      <c r="A98" s="19"/>
      <c r="B98" s="980"/>
      <c r="C98" s="1002"/>
      <c r="D98" s="1002"/>
      <c r="E98" s="1002"/>
      <c r="F98" s="981"/>
      <c r="G98" s="980"/>
      <c r="H98" s="981"/>
      <c r="I98" s="980"/>
      <c r="J98" s="1002"/>
      <c r="K98" s="981"/>
      <c r="L98" s="20"/>
    </row>
    <row r="99" spans="1:12">
      <c r="A99" s="19"/>
      <c r="B99" s="980"/>
      <c r="C99" s="1002"/>
      <c r="D99" s="1002"/>
      <c r="E99" s="1002"/>
      <c r="F99" s="981"/>
      <c r="G99" s="980"/>
      <c r="H99" s="981"/>
      <c r="I99" s="980"/>
      <c r="J99" s="1002"/>
      <c r="K99" s="981"/>
      <c r="L99" s="20"/>
    </row>
    <row r="100" spans="1:12">
      <c r="A100" s="19"/>
      <c r="L100" s="20"/>
    </row>
    <row r="101" spans="1:12">
      <c r="A101" s="19"/>
      <c r="B101" t="s">
        <v>212</v>
      </c>
      <c r="C101" s="286" t="e">
        <f>'04-22Master'!#REF!</f>
        <v>#REF!</v>
      </c>
      <c r="I101" t="s">
        <v>241</v>
      </c>
      <c r="L101" s="20"/>
    </row>
    <row r="102" spans="1:12" ht="27.95" customHeight="1">
      <c r="A102" s="19"/>
      <c r="F102" s="177" t="s">
        <v>207</v>
      </c>
      <c r="L102" s="20"/>
    </row>
    <row r="103" spans="1:12" ht="27.95" customHeight="1">
      <c r="A103" s="19" t="s">
        <v>208</v>
      </c>
      <c r="K103" s="227" t="e">
        <f>'04-22Master'!#REF!</f>
        <v>#REF!</v>
      </c>
      <c r="L103" s="20"/>
    </row>
    <row r="104" spans="1:12" ht="27.95" customHeight="1">
      <c r="A104" s="19" t="s">
        <v>209</v>
      </c>
      <c r="L104" s="20"/>
    </row>
    <row r="105" spans="1:12" ht="27.95" customHeight="1">
      <c r="A105" s="19"/>
      <c r="L105" s="20"/>
    </row>
    <row r="106" spans="1:12" ht="27.95" customHeight="1">
      <c r="A106" s="19"/>
      <c r="F106" t="s">
        <v>210</v>
      </c>
      <c r="L106" s="20"/>
    </row>
    <row r="107" spans="1:12" ht="27.95" customHeight="1">
      <c r="A107" s="19" t="s">
        <v>211</v>
      </c>
      <c r="B107" t="s">
        <v>375</v>
      </c>
      <c r="F107" t="str">
        <f>'04-22Master'!F5</f>
        <v>Burgeon IT Services Pvt.Ltd.</v>
      </c>
      <c r="L107" s="20"/>
    </row>
    <row r="108" spans="1:12" ht="27.95" customHeight="1" thickBot="1">
      <c r="A108" s="31" t="s">
        <v>212</v>
      </c>
      <c r="B108" s="289" t="e">
        <f>'04-22Master'!#REF!</f>
        <v>#REF!</v>
      </c>
      <c r="C108" s="29"/>
      <c r="D108" s="29"/>
      <c r="E108" s="29"/>
      <c r="F108" s="29" t="str">
        <f>'04-22Master'!F6</f>
        <v>Siri Mansion LIGB 436 Dr.A S Rao Nagar,Hyderabad</v>
      </c>
      <c r="G108" s="29"/>
      <c r="H108" s="29"/>
      <c r="I108" s="29"/>
      <c r="J108" s="29"/>
      <c r="K108" s="29"/>
      <c r="L108" s="30"/>
    </row>
    <row r="109" spans="1:12" ht="27.95" customHeight="1">
      <c r="A109" s="81"/>
      <c r="B109" s="82"/>
      <c r="C109" s="82"/>
      <c r="D109" s="182"/>
      <c r="E109" s="182"/>
      <c r="F109" s="182"/>
      <c r="G109" s="182"/>
      <c r="H109" s="182"/>
      <c r="I109" s="182"/>
      <c r="J109" s="82"/>
      <c r="K109" s="184" t="s">
        <v>226</v>
      </c>
      <c r="L109" s="183"/>
    </row>
    <row r="110" spans="1:12" ht="27.95" customHeight="1">
      <c r="A110" s="19"/>
      <c r="B110" s="1004" t="s">
        <v>225</v>
      </c>
      <c r="C110" s="1004"/>
      <c r="D110" s="1004"/>
      <c r="E110" s="1004"/>
      <c r="F110" s="1004"/>
      <c r="G110" s="1004"/>
      <c r="H110" s="1004"/>
      <c r="I110" s="1004"/>
      <c r="J110" s="1004"/>
      <c r="K110" s="1004"/>
      <c r="L110" s="1005"/>
    </row>
    <row r="111" spans="1:12" ht="27.95" customHeight="1">
      <c r="A111" s="19"/>
      <c r="B111" s="999" t="s">
        <v>227</v>
      </c>
      <c r="C111" s="999"/>
      <c r="D111" s="999"/>
      <c r="E111" s="999"/>
      <c r="F111" s="999"/>
      <c r="G111" s="999"/>
      <c r="H111" s="999"/>
      <c r="I111" s="999"/>
      <c r="J111" s="999"/>
      <c r="K111" s="999"/>
      <c r="L111" s="1006"/>
    </row>
    <row r="112" spans="1:12" ht="27.95" customHeight="1">
      <c r="A112" s="19"/>
      <c r="B112" s="185" t="s">
        <v>228</v>
      </c>
      <c r="C112" s="185"/>
      <c r="D112" s="185"/>
      <c r="E112" s="185"/>
      <c r="F112" s="185"/>
      <c r="H112" s="186"/>
      <c r="I112" s="186"/>
      <c r="J112" s="186"/>
      <c r="K112" s="186"/>
      <c r="L112" s="194"/>
    </row>
    <row r="113" spans="1:12" ht="27.95" customHeight="1">
      <c r="A113" s="19"/>
      <c r="B113" s="185"/>
      <c r="C113" s="185"/>
      <c r="D113" s="185"/>
      <c r="E113" s="185"/>
      <c r="F113" s="185"/>
      <c r="H113" s="186"/>
      <c r="I113" s="186"/>
      <c r="J113" s="186"/>
      <c r="K113" s="186"/>
      <c r="L113" s="194"/>
    </row>
    <row r="114" spans="1:12" ht="27.95" customHeight="1">
      <c r="A114" s="19"/>
      <c r="B114" s="972" t="s">
        <v>197</v>
      </c>
      <c r="C114" s="972"/>
      <c r="D114" s="972"/>
      <c r="E114" s="972"/>
      <c r="F114" s="972"/>
      <c r="G114" s="972"/>
      <c r="H114" s="992" t="e">
        <f>'04-22Master'!#REF!</f>
        <v>#REF!</v>
      </c>
      <c r="I114" s="987"/>
      <c r="J114" s="987"/>
      <c r="K114" s="987"/>
      <c r="L114" s="841"/>
    </row>
    <row r="115" spans="1:12" ht="27.95" customHeight="1">
      <c r="A115" s="19"/>
      <c r="B115" s="993" t="s">
        <v>198</v>
      </c>
      <c r="C115" s="993"/>
      <c r="D115" s="993"/>
      <c r="E115" s="993"/>
      <c r="F115" s="993"/>
      <c r="G115" s="993"/>
      <c r="H115" s="992" t="e">
        <f>'04-22Master'!#REF!</f>
        <v>#REF!</v>
      </c>
      <c r="I115" s="987"/>
      <c r="J115" s="987"/>
      <c r="K115" s="987"/>
      <c r="L115" s="841"/>
    </row>
    <row r="116" spans="1:12" ht="27.95" customHeight="1">
      <c r="A116" s="19"/>
      <c r="B116" s="972" t="s">
        <v>199</v>
      </c>
      <c r="C116" s="972"/>
      <c r="D116" s="972"/>
      <c r="E116" s="972"/>
      <c r="F116" s="972"/>
      <c r="G116" s="972"/>
      <c r="H116" s="992" t="e">
        <f>'04-22Master'!#REF!</f>
        <v>#REF!</v>
      </c>
      <c r="I116" s="987"/>
      <c r="J116" s="987"/>
      <c r="K116" s="987"/>
      <c r="L116" s="841"/>
    </row>
    <row r="117" spans="1:12" ht="27.95" customHeight="1">
      <c r="A117" s="19"/>
      <c r="B117" s="972" t="s">
        <v>200</v>
      </c>
      <c r="C117" s="972"/>
      <c r="D117" s="972"/>
      <c r="E117" s="972"/>
      <c r="F117" s="972"/>
      <c r="G117" s="972"/>
      <c r="H117" s="986" t="e">
        <f>'04-22Master'!#REF!</f>
        <v>#REF!</v>
      </c>
      <c r="I117" s="987"/>
      <c r="J117" s="987"/>
      <c r="K117" s="987"/>
      <c r="L117" s="841"/>
    </row>
    <row r="118" spans="1:12" ht="27.95" customHeight="1">
      <c r="A118" s="19"/>
      <c r="B118" s="93" t="s">
        <v>202</v>
      </c>
      <c r="C118" s="94"/>
      <c r="D118" s="94"/>
      <c r="E118" s="94"/>
      <c r="F118" s="94"/>
      <c r="G118" s="94"/>
      <c r="H118" s="988" t="s">
        <v>203</v>
      </c>
      <c r="I118" s="989"/>
      <c r="J118" s="989"/>
      <c r="K118" s="989"/>
      <c r="L118" s="990"/>
    </row>
    <row r="119" spans="1:12">
      <c r="A119" s="19"/>
      <c r="B119" s="93" t="s">
        <v>204</v>
      </c>
      <c r="C119" s="94"/>
      <c r="D119" s="94"/>
      <c r="E119" s="94"/>
      <c r="F119" s="94"/>
      <c r="G119" s="94"/>
    </row>
    <row r="120" spans="1:12">
      <c r="A120" s="19"/>
      <c r="B120" s="834" t="s">
        <v>205</v>
      </c>
      <c r="C120" s="834"/>
      <c r="D120" s="834"/>
      <c r="E120" s="834"/>
      <c r="F120" s="834"/>
      <c r="G120" s="834"/>
      <c r="H120" s="992" t="e">
        <f>'04-22Master'!#REF!</f>
        <v>#REF!</v>
      </c>
      <c r="I120" s="987"/>
      <c r="J120" s="987"/>
      <c r="K120" s="987"/>
      <c r="L120" s="987"/>
    </row>
    <row r="121" spans="1:12">
      <c r="A121" s="19"/>
      <c r="B121" s="972"/>
      <c r="C121" s="972"/>
      <c r="D121" s="972"/>
      <c r="E121" s="972"/>
      <c r="F121" s="972"/>
      <c r="G121" s="972"/>
      <c r="H121" s="992" t="e">
        <f>'04-22Master'!#REF!</f>
        <v>#REF!</v>
      </c>
      <c r="I121" s="987"/>
      <c r="J121" s="987"/>
      <c r="K121" s="987"/>
      <c r="L121" s="987"/>
    </row>
    <row r="122" spans="1:12">
      <c r="A122" s="19"/>
      <c r="B122" s="972"/>
      <c r="C122" s="972"/>
      <c r="D122" s="972"/>
      <c r="E122" s="972"/>
      <c r="F122" s="972"/>
      <c r="G122" s="972"/>
      <c r="H122" s="991" t="e">
        <f>'04-22Master'!#REF!</f>
        <v>#REF!</v>
      </c>
      <c r="I122" s="987"/>
      <c r="J122" s="987"/>
      <c r="K122" s="987"/>
      <c r="L122" s="841"/>
    </row>
    <row r="123" spans="1:12">
      <c r="A123" s="19"/>
      <c r="G123" s="3" t="s">
        <v>229</v>
      </c>
      <c r="H123" s="3"/>
      <c r="I123" s="3"/>
      <c r="J123" s="3"/>
      <c r="K123" s="3"/>
      <c r="L123" s="88"/>
    </row>
    <row r="124" spans="1:12">
      <c r="A124" s="19"/>
      <c r="B124" s="178" t="s">
        <v>213</v>
      </c>
      <c r="C124" s="174"/>
      <c r="D124" s="174"/>
      <c r="E124" s="174"/>
      <c r="F124" s="174"/>
      <c r="G124" s="174"/>
      <c r="H124" s="163"/>
      <c r="I124" s="163"/>
      <c r="J124" s="163"/>
      <c r="K124" s="163"/>
      <c r="L124" s="181"/>
    </row>
    <row r="125" spans="1:12">
      <c r="A125" s="19"/>
      <c r="B125" s="178" t="s">
        <v>214</v>
      </c>
      <c r="C125" s="174"/>
      <c r="D125" s="174"/>
      <c r="E125" s="174"/>
      <c r="F125" s="174"/>
      <c r="G125" s="174"/>
      <c r="H125" s="163"/>
      <c r="I125" s="163"/>
      <c r="J125" s="164"/>
      <c r="K125" s="163"/>
      <c r="L125" s="181"/>
    </row>
    <row r="126" spans="1:12" ht="45">
      <c r="A126" s="92"/>
      <c r="B126" s="93" t="s">
        <v>217</v>
      </c>
      <c r="C126" s="94"/>
      <c r="D126" s="191"/>
      <c r="E126" s="169" t="s">
        <v>219</v>
      </c>
      <c r="F126" s="70"/>
      <c r="G126" s="977" t="s">
        <v>218</v>
      </c>
      <c r="H126" s="978"/>
      <c r="I126" s="168" t="s">
        <v>215</v>
      </c>
      <c r="J126" s="171" t="s">
        <v>220</v>
      </c>
      <c r="K126" s="977" t="s">
        <v>216</v>
      </c>
      <c r="L126" s="979"/>
    </row>
    <row r="127" spans="1:12">
      <c r="A127" s="92"/>
      <c r="B127" s="172">
        <v>1</v>
      </c>
      <c r="C127" s="94"/>
      <c r="D127" s="94"/>
      <c r="E127" s="175">
        <v>2</v>
      </c>
      <c r="F127" s="97"/>
      <c r="G127" s="175">
        <v>3</v>
      </c>
      <c r="H127" s="191"/>
      <c r="I127" s="191">
        <v>4</v>
      </c>
      <c r="J127" s="112">
        <v>5</v>
      </c>
      <c r="K127" s="99"/>
      <c r="L127" s="100">
        <v>6</v>
      </c>
    </row>
    <row r="128" spans="1:12">
      <c r="A128" s="92"/>
      <c r="B128" s="93" t="e">
        <f>'04-22Master'!#REF!</f>
        <v>#REF!</v>
      </c>
      <c r="C128" s="187"/>
      <c r="D128" s="188"/>
      <c r="E128" s="189" t="s">
        <v>379</v>
      </c>
      <c r="F128" s="188"/>
      <c r="G128" s="189" t="s">
        <v>377</v>
      </c>
      <c r="H128" s="70"/>
      <c r="I128" s="16" t="s">
        <v>380</v>
      </c>
      <c r="J128" s="287">
        <v>1</v>
      </c>
      <c r="K128" s="190" t="s">
        <v>37</v>
      </c>
      <c r="L128" s="195"/>
    </row>
    <row r="129" spans="1:12">
      <c r="A129" s="92"/>
      <c r="B129" s="93"/>
      <c r="C129" s="187"/>
      <c r="D129" s="188"/>
      <c r="E129" s="189"/>
      <c r="F129" s="188"/>
      <c r="G129" s="189"/>
      <c r="H129" s="70"/>
      <c r="I129" s="16"/>
      <c r="J129" s="16"/>
      <c r="K129" s="190"/>
      <c r="L129" s="195"/>
    </row>
    <row r="130" spans="1:12">
      <c r="A130" s="92"/>
      <c r="B130" s="93"/>
      <c r="C130" s="187"/>
      <c r="D130" s="188"/>
      <c r="E130" s="189"/>
      <c r="F130" s="188"/>
      <c r="G130" s="189"/>
      <c r="H130" s="70"/>
      <c r="I130" s="16"/>
      <c r="J130" s="16"/>
      <c r="K130" s="190"/>
      <c r="L130" s="195"/>
    </row>
    <row r="131" spans="1:12">
      <c r="A131" s="92"/>
      <c r="B131" s="77"/>
      <c r="C131" s="23"/>
      <c r="D131" s="78"/>
      <c r="E131" s="189"/>
      <c r="F131" s="188"/>
      <c r="G131" s="189"/>
      <c r="H131" s="70"/>
      <c r="I131" s="16"/>
      <c r="J131" s="16"/>
      <c r="K131" s="190"/>
      <c r="L131" s="195"/>
    </row>
    <row r="132" spans="1:12">
      <c r="A132" s="92"/>
      <c r="B132" t="s">
        <v>221</v>
      </c>
      <c r="L132" s="20"/>
    </row>
    <row r="133" spans="1:12">
      <c r="A133" s="19"/>
      <c r="B133" t="s">
        <v>222</v>
      </c>
      <c r="L133" s="20"/>
    </row>
    <row r="134" spans="1:12">
      <c r="A134" s="19"/>
      <c r="B134" t="s">
        <v>233</v>
      </c>
      <c r="J134" t="s">
        <v>232</v>
      </c>
      <c r="L134" s="20"/>
    </row>
    <row r="135" spans="1:12">
      <c r="A135" s="19"/>
      <c r="G135" s="3" t="s">
        <v>230</v>
      </c>
      <c r="H135" s="3"/>
      <c r="I135" s="3"/>
      <c r="J135" s="3"/>
      <c r="K135" s="3"/>
      <c r="L135" s="88"/>
    </row>
    <row r="136" spans="1:12">
      <c r="A136" s="19"/>
      <c r="B136" s="3"/>
      <c r="G136" t="s">
        <v>231</v>
      </c>
      <c r="H136" s="3"/>
      <c r="I136" s="3"/>
      <c r="J136" s="3"/>
      <c r="K136" s="3"/>
      <c r="L136" s="88"/>
    </row>
    <row r="137" spans="1:12">
      <c r="A137" s="19"/>
      <c r="B137" s="178" t="s">
        <v>234</v>
      </c>
      <c r="C137" s="174"/>
      <c r="D137" s="174"/>
      <c r="E137" s="174"/>
      <c r="F137" s="174"/>
      <c r="G137" s="174"/>
      <c r="H137" s="163"/>
      <c r="I137" s="163"/>
      <c r="J137" s="163"/>
      <c r="K137" s="163"/>
      <c r="L137" s="181"/>
    </row>
    <row r="138" spans="1:12">
      <c r="A138" s="19"/>
      <c r="B138" s="178" t="s">
        <v>235</v>
      </c>
      <c r="C138" s="174"/>
      <c r="D138" s="174"/>
      <c r="E138" s="174"/>
      <c r="F138" s="174"/>
      <c r="G138" s="174"/>
      <c r="H138" s="163"/>
      <c r="I138" s="163"/>
      <c r="J138" s="164"/>
      <c r="K138" s="163"/>
      <c r="L138" s="181"/>
    </row>
    <row r="139" spans="1:12">
      <c r="A139" s="19"/>
      <c r="B139" s="93" t="s">
        <v>5</v>
      </c>
      <c r="C139" s="1007" t="s">
        <v>236</v>
      </c>
      <c r="D139" s="976"/>
      <c r="E139" s="976"/>
      <c r="F139" s="976"/>
      <c r="G139" s="976"/>
      <c r="H139" s="1008"/>
      <c r="I139" s="170" t="s">
        <v>109</v>
      </c>
      <c r="J139" s="1009" t="s">
        <v>237</v>
      </c>
      <c r="K139" s="1010"/>
      <c r="L139" s="1011"/>
    </row>
    <row r="140" spans="1:12">
      <c r="A140" s="19"/>
      <c r="B140" s="172">
        <v>1</v>
      </c>
      <c r="C140" s="206"/>
      <c r="D140" s="96"/>
      <c r="E140" s="102">
        <v>2</v>
      </c>
      <c r="F140" s="69"/>
      <c r="G140" s="1003"/>
      <c r="H140" s="978"/>
      <c r="I140" s="96">
        <v>3</v>
      </c>
      <c r="J140" s="193" t="s">
        <v>238</v>
      </c>
      <c r="K140" s="1012">
        <v>4</v>
      </c>
      <c r="L140" s="1013"/>
    </row>
    <row r="141" spans="1:12">
      <c r="A141" s="19"/>
      <c r="B141" s="93"/>
      <c r="C141" s="206"/>
      <c r="D141" s="96"/>
      <c r="E141" s="102"/>
      <c r="F141" s="69"/>
      <c r="G141" s="1003"/>
      <c r="H141" s="978"/>
      <c r="I141" s="190"/>
      <c r="J141" s="192"/>
      <c r="K141" s="1003"/>
      <c r="L141" s="979"/>
    </row>
    <row r="142" spans="1:12">
      <c r="A142" s="19"/>
      <c r="B142" s="93"/>
      <c r="C142" s="206"/>
      <c r="D142" s="96"/>
      <c r="E142" s="102"/>
      <c r="F142" s="69"/>
      <c r="G142" s="1003"/>
      <c r="H142" s="978"/>
      <c r="I142" s="190"/>
      <c r="J142" s="192"/>
      <c r="K142" s="1003"/>
      <c r="L142" s="979"/>
    </row>
    <row r="143" spans="1:12">
      <c r="A143" s="19"/>
      <c r="B143" s="93"/>
      <c r="C143" s="206"/>
      <c r="D143" s="96"/>
      <c r="E143" s="102"/>
      <c r="F143" s="69"/>
      <c r="G143" s="1003"/>
      <c r="H143" s="978"/>
      <c r="I143" s="190"/>
      <c r="J143" s="192"/>
      <c r="K143" s="1003"/>
      <c r="L143" s="979"/>
    </row>
    <row r="144" spans="1:12">
      <c r="A144" s="19"/>
      <c r="B144" s="77"/>
      <c r="C144" s="206"/>
      <c r="D144" s="96"/>
      <c r="E144" s="102"/>
      <c r="F144" s="69"/>
      <c r="G144" s="1003"/>
      <c r="H144" s="978"/>
      <c r="I144" s="190"/>
      <c r="J144" s="192"/>
      <c r="K144" s="1003"/>
      <c r="L144" s="979"/>
    </row>
    <row r="145" spans="1:12">
      <c r="A145" s="19"/>
      <c r="B145" t="s">
        <v>242</v>
      </c>
      <c r="L145" s="20"/>
    </row>
    <row r="146" spans="1:12">
      <c r="A146" s="19"/>
      <c r="B146" t="s">
        <v>243</v>
      </c>
      <c r="L146" s="20"/>
    </row>
    <row r="147" spans="1:12">
      <c r="A147" s="19"/>
      <c r="B147" t="s">
        <v>244</v>
      </c>
      <c r="L147" s="20"/>
    </row>
    <row r="148" spans="1:12">
      <c r="A148" s="19"/>
      <c r="B148" t="s">
        <v>245</v>
      </c>
      <c r="L148" s="20"/>
    </row>
    <row r="149" spans="1:12">
      <c r="A149" s="19"/>
      <c r="B149" s="189" t="s">
        <v>239</v>
      </c>
      <c r="C149" s="69"/>
      <c r="D149" s="69"/>
      <c r="E149" s="69"/>
      <c r="F149" s="70"/>
      <c r="G149" s="189" t="s">
        <v>215</v>
      </c>
      <c r="H149" s="70"/>
      <c r="I149" s="189" t="s">
        <v>240</v>
      </c>
      <c r="J149" s="69"/>
      <c r="K149" s="70"/>
      <c r="L149" s="20"/>
    </row>
    <row r="150" spans="1:12">
      <c r="A150" s="19"/>
      <c r="B150" s="980"/>
      <c r="C150" s="1002"/>
      <c r="D150" s="1002"/>
      <c r="E150" s="1002"/>
      <c r="F150" s="981"/>
      <c r="G150" s="980"/>
      <c r="H150" s="981"/>
      <c r="I150" s="980"/>
      <c r="J150" s="1002"/>
      <c r="K150" s="981"/>
      <c r="L150" s="20"/>
    </row>
    <row r="151" spans="1:12">
      <c r="A151" s="19"/>
      <c r="B151" s="980"/>
      <c r="C151" s="1002"/>
      <c r="D151" s="1002"/>
      <c r="E151" s="1002"/>
      <c r="F151" s="981"/>
      <c r="G151" s="980"/>
      <c r="H151" s="981"/>
      <c r="I151" s="980"/>
      <c r="J151" s="1002"/>
      <c r="K151" s="981"/>
      <c r="L151" s="20"/>
    </row>
    <row r="152" spans="1:12">
      <c r="A152" s="19"/>
      <c r="B152" s="980"/>
      <c r="C152" s="1002"/>
      <c r="D152" s="1002"/>
      <c r="E152" s="1002"/>
      <c r="F152" s="981"/>
      <c r="G152" s="980"/>
      <c r="H152" s="981"/>
      <c r="I152" s="980"/>
      <c r="J152" s="1002"/>
      <c r="K152" s="981"/>
      <c r="L152" s="20"/>
    </row>
    <row r="153" spans="1:12">
      <c r="A153" s="19"/>
      <c r="B153" s="980"/>
      <c r="C153" s="1002"/>
      <c r="D153" s="1002"/>
      <c r="E153" s="1002"/>
      <c r="F153" s="981"/>
      <c r="G153" s="980"/>
      <c r="H153" s="981"/>
      <c r="I153" s="980"/>
      <c r="J153" s="1002"/>
      <c r="K153" s="981"/>
      <c r="L153" s="20"/>
    </row>
    <row r="154" spans="1:12" ht="27.95" customHeight="1">
      <c r="A154" s="19"/>
      <c r="L154" s="20"/>
    </row>
    <row r="155" spans="1:12" ht="27.95" customHeight="1">
      <c r="A155" s="19"/>
      <c r="B155" t="s">
        <v>212</v>
      </c>
      <c r="C155" s="286" t="e">
        <f>'04-22Master'!#REF!</f>
        <v>#REF!</v>
      </c>
      <c r="I155" t="s">
        <v>241</v>
      </c>
      <c r="L155" s="20"/>
    </row>
    <row r="156" spans="1:12" ht="27.95" customHeight="1">
      <c r="A156" s="19"/>
      <c r="F156" s="177" t="s">
        <v>207</v>
      </c>
      <c r="L156" s="20"/>
    </row>
    <row r="157" spans="1:12" ht="27.95" customHeight="1">
      <c r="A157" s="19" t="s">
        <v>208</v>
      </c>
      <c r="L157" s="20"/>
    </row>
    <row r="158" spans="1:12" ht="27.95" customHeight="1">
      <c r="A158" s="19" t="s">
        <v>209</v>
      </c>
      <c r="L158" s="20"/>
    </row>
    <row r="159" spans="1:12" ht="27.95" customHeight="1">
      <c r="A159" s="19"/>
      <c r="L159" s="20"/>
    </row>
    <row r="160" spans="1:12" ht="27.95" customHeight="1">
      <c r="A160" s="19"/>
      <c r="F160" t="s">
        <v>210</v>
      </c>
      <c r="L160" s="20"/>
    </row>
    <row r="161" spans="1:12" ht="27.95" customHeight="1">
      <c r="A161" s="19" t="s">
        <v>211</v>
      </c>
      <c r="B161" t="s">
        <v>375</v>
      </c>
      <c r="F161" t="str">
        <f>'04-22Master'!F5</f>
        <v>Burgeon IT Services Pvt.Ltd.</v>
      </c>
      <c r="L161" s="20"/>
    </row>
    <row r="162" spans="1:12" ht="27.95" customHeight="1" thickBot="1">
      <c r="A162" s="31" t="s">
        <v>212</v>
      </c>
      <c r="B162" s="289" t="e">
        <f>'04-22Master'!#REF!</f>
        <v>#REF!</v>
      </c>
      <c r="C162" s="29"/>
      <c r="D162" s="29"/>
      <c r="E162" s="29"/>
      <c r="F162" s="29" t="str">
        <f>'04-22Master'!F6</f>
        <v>Siri Mansion LIGB 436 Dr.A S Rao Nagar,Hyderabad</v>
      </c>
      <c r="G162" s="29"/>
      <c r="H162" s="29"/>
      <c r="I162" s="29"/>
      <c r="J162" s="29"/>
      <c r="K162" s="29"/>
      <c r="L162" s="30"/>
    </row>
    <row r="163" spans="1:12" ht="27.95" customHeight="1">
      <c r="A163" s="81"/>
      <c r="B163" s="82"/>
      <c r="C163" s="82"/>
      <c r="D163" s="182"/>
      <c r="E163" s="182"/>
      <c r="F163" s="182"/>
      <c r="G163" s="182"/>
      <c r="H163" s="182"/>
      <c r="I163" s="182"/>
      <c r="J163" s="82"/>
      <c r="K163" s="184" t="s">
        <v>226</v>
      </c>
      <c r="L163" s="183"/>
    </row>
    <row r="164" spans="1:12" ht="27.95" customHeight="1">
      <c r="A164" s="19"/>
      <c r="B164" s="1004" t="s">
        <v>225</v>
      </c>
      <c r="C164" s="1004"/>
      <c r="D164" s="1004"/>
      <c r="E164" s="1004"/>
      <c r="F164" s="1004"/>
      <c r="G164" s="1004"/>
      <c r="H164" s="1004"/>
      <c r="I164" s="1004"/>
      <c r="J164" s="1004"/>
      <c r="K164" s="1004"/>
      <c r="L164" s="1005"/>
    </row>
    <row r="165" spans="1:12" ht="27.95" customHeight="1">
      <c r="A165" s="19"/>
      <c r="B165" s="999" t="s">
        <v>227</v>
      </c>
      <c r="C165" s="999"/>
      <c r="D165" s="999"/>
      <c r="E165" s="999"/>
      <c r="F165" s="999"/>
      <c r="G165" s="999"/>
      <c r="H165" s="999"/>
      <c r="I165" s="999"/>
      <c r="J165" s="999"/>
      <c r="K165" s="999"/>
      <c r="L165" s="1006"/>
    </row>
    <row r="166" spans="1:12" ht="27.95" customHeight="1">
      <c r="A166" s="19"/>
      <c r="B166" s="185" t="s">
        <v>228</v>
      </c>
      <c r="C166" s="185"/>
      <c r="D166" s="185"/>
      <c r="E166" s="185"/>
      <c r="F166" s="185"/>
      <c r="H166" s="186"/>
      <c r="I166" s="186"/>
      <c r="J166" s="186"/>
      <c r="K166" s="186"/>
      <c r="L166" s="194"/>
    </row>
    <row r="167" spans="1:12" ht="27.95" customHeight="1">
      <c r="A167" s="19"/>
      <c r="B167" s="185"/>
      <c r="C167" s="185"/>
      <c r="D167" s="185"/>
      <c r="E167" s="185"/>
      <c r="F167" s="185"/>
      <c r="H167" s="186"/>
      <c r="I167" s="186"/>
      <c r="J167" s="186"/>
      <c r="K167" s="186"/>
      <c r="L167" s="194"/>
    </row>
    <row r="168" spans="1:12" ht="27.95" customHeight="1">
      <c r="A168" s="19"/>
      <c r="B168" s="972" t="s">
        <v>197</v>
      </c>
      <c r="C168" s="972"/>
      <c r="D168" s="972"/>
      <c r="E168" s="972"/>
      <c r="F168" s="972"/>
      <c r="G168" s="972"/>
      <c r="H168" s="992" t="e">
        <f>'04-22Master'!#REF!</f>
        <v>#REF!</v>
      </c>
      <c r="I168" s="987"/>
      <c r="J168" s="987"/>
      <c r="K168" s="987"/>
      <c r="L168" s="841"/>
    </row>
    <row r="169" spans="1:12" ht="27.95" customHeight="1">
      <c r="A169" s="19"/>
      <c r="B169" s="993" t="s">
        <v>198</v>
      </c>
      <c r="C169" s="993"/>
      <c r="D169" s="993"/>
      <c r="E169" s="993"/>
      <c r="F169" s="993"/>
      <c r="G169" s="993"/>
      <c r="H169" s="992" t="e">
        <f>'04-22Master'!#REF!</f>
        <v>#REF!</v>
      </c>
      <c r="I169" s="987"/>
      <c r="J169" s="987"/>
      <c r="K169" s="987"/>
      <c r="L169" s="841"/>
    </row>
    <row r="170" spans="1:12" ht="27.95" customHeight="1">
      <c r="A170" s="19"/>
      <c r="B170" s="972" t="s">
        <v>199</v>
      </c>
      <c r="C170" s="972"/>
      <c r="D170" s="972"/>
      <c r="E170" s="972"/>
      <c r="F170" s="972"/>
      <c r="G170" s="972"/>
      <c r="H170" s="992" t="e">
        <f>'04-22Master'!#REF!</f>
        <v>#REF!</v>
      </c>
      <c r="I170" s="987"/>
      <c r="J170" s="987"/>
      <c r="K170" s="987"/>
      <c r="L170" s="841"/>
    </row>
    <row r="171" spans="1:12" ht="27.95" customHeight="1">
      <c r="A171" s="19"/>
      <c r="B171" s="972" t="s">
        <v>200</v>
      </c>
      <c r="C171" s="972"/>
      <c r="D171" s="972"/>
      <c r="E171" s="972"/>
      <c r="F171" s="972"/>
      <c r="G171" s="972"/>
      <c r="H171" s="986" t="e">
        <f>'04-22Master'!#REF!</f>
        <v>#REF!</v>
      </c>
      <c r="I171" s="987"/>
      <c r="J171" s="987"/>
      <c r="K171" s="987"/>
      <c r="L171" s="841"/>
    </row>
    <row r="172" spans="1:12">
      <c r="A172" s="19"/>
      <c r="B172" s="93" t="s">
        <v>202</v>
      </c>
      <c r="C172" s="94"/>
      <c r="D172" s="94"/>
      <c r="E172" s="94"/>
      <c r="F172" s="94"/>
      <c r="G172" s="94"/>
      <c r="H172" s="988" t="s">
        <v>203</v>
      </c>
      <c r="I172" s="989"/>
      <c r="J172" s="989"/>
      <c r="K172" s="989"/>
      <c r="L172" s="990"/>
    </row>
    <row r="173" spans="1:12">
      <c r="A173" s="19"/>
      <c r="B173" s="93" t="s">
        <v>204</v>
      </c>
      <c r="C173" s="94"/>
      <c r="D173" s="94"/>
      <c r="E173" s="94"/>
      <c r="F173" s="94"/>
      <c r="G173" s="94"/>
      <c r="H173" s="95"/>
      <c r="I173" s="96"/>
      <c r="J173" s="176"/>
      <c r="K173" s="96"/>
      <c r="L173" s="101"/>
    </row>
    <row r="174" spans="1:12">
      <c r="A174" s="19"/>
      <c r="B174" s="834" t="s">
        <v>205</v>
      </c>
      <c r="C174" s="834"/>
      <c r="D174" s="834"/>
      <c r="E174" s="834"/>
      <c r="F174" s="834"/>
      <c r="G174" s="834"/>
      <c r="H174" s="835" t="e">
        <f>'04-22Master'!#REF!</f>
        <v>#REF!</v>
      </c>
      <c r="I174" s="849"/>
      <c r="J174" s="849"/>
      <c r="K174" s="849"/>
      <c r="L174" s="850"/>
    </row>
    <row r="175" spans="1:12">
      <c r="A175" s="19"/>
      <c r="B175" s="972"/>
      <c r="C175" s="972"/>
      <c r="D175" s="972"/>
      <c r="E175" s="972"/>
      <c r="F175" s="972"/>
      <c r="G175" s="972"/>
      <c r="H175" s="991" t="e">
        <f>'04-22Master'!#REF!</f>
        <v>#REF!</v>
      </c>
      <c r="I175" s="987"/>
      <c r="J175" s="987"/>
      <c r="K175" s="987"/>
      <c r="L175" s="841"/>
    </row>
    <row r="176" spans="1:12">
      <c r="A176" s="19"/>
      <c r="B176" s="972"/>
      <c r="C176" s="972"/>
      <c r="D176" s="972"/>
      <c r="E176" s="972"/>
      <c r="F176" s="972"/>
      <c r="G176" s="972"/>
      <c r="H176" s="992" t="e">
        <f>'04-22Master'!#REF!</f>
        <v>#REF!</v>
      </c>
      <c r="I176" s="987"/>
      <c r="J176" s="987"/>
      <c r="K176" s="987"/>
      <c r="L176" s="841"/>
    </row>
    <row r="177" spans="1:12">
      <c r="A177" s="19"/>
      <c r="G177" s="3" t="s">
        <v>229</v>
      </c>
      <c r="H177" s="3"/>
      <c r="I177" s="3"/>
      <c r="J177" s="3"/>
      <c r="K177" s="3"/>
      <c r="L177" s="88"/>
    </row>
    <row r="178" spans="1:12">
      <c r="A178" s="19"/>
      <c r="B178" s="178" t="s">
        <v>213</v>
      </c>
      <c r="C178" s="174"/>
      <c r="D178" s="174"/>
      <c r="E178" s="174"/>
      <c r="F178" s="174"/>
      <c r="G178" s="174"/>
      <c r="H178" s="163"/>
      <c r="I178" s="163"/>
      <c r="J178" s="163"/>
      <c r="K178" s="163"/>
      <c r="L178" s="181"/>
    </row>
    <row r="179" spans="1:12">
      <c r="A179" s="19"/>
      <c r="B179" s="178" t="s">
        <v>214</v>
      </c>
      <c r="C179" s="174"/>
      <c r="D179" s="174"/>
      <c r="E179" s="174"/>
      <c r="F179" s="174"/>
      <c r="G179" s="174"/>
      <c r="H179" s="163"/>
      <c r="I179" s="163"/>
      <c r="J179" s="164"/>
      <c r="K179" s="163"/>
      <c r="L179" s="181"/>
    </row>
    <row r="180" spans="1:12" ht="45">
      <c r="A180" s="92"/>
      <c r="B180" s="93" t="s">
        <v>217</v>
      </c>
      <c r="C180" s="94"/>
      <c r="D180" s="191"/>
      <c r="E180" s="169" t="s">
        <v>219</v>
      </c>
      <c r="F180" s="70"/>
      <c r="G180" s="977" t="s">
        <v>218</v>
      </c>
      <c r="H180" s="978"/>
      <c r="I180" s="168" t="s">
        <v>215</v>
      </c>
      <c r="J180" s="171" t="s">
        <v>220</v>
      </c>
      <c r="K180" s="977" t="s">
        <v>216</v>
      </c>
      <c r="L180" s="979"/>
    </row>
    <row r="181" spans="1:12">
      <c r="A181" s="92"/>
      <c r="B181" s="172">
        <v>1</v>
      </c>
      <c r="C181" s="94"/>
      <c r="D181" s="94"/>
      <c r="E181" s="175">
        <v>2</v>
      </c>
      <c r="F181" s="97"/>
      <c r="G181" s="175">
        <v>3</v>
      </c>
      <c r="H181" s="191"/>
      <c r="I181" s="191">
        <v>4</v>
      </c>
      <c r="J181" s="112">
        <v>5</v>
      </c>
      <c r="K181" s="99"/>
      <c r="L181" s="100">
        <v>6</v>
      </c>
    </row>
    <row r="182" spans="1:12">
      <c r="A182" s="92"/>
      <c r="B182" s="93" t="e">
        <f>'04-22Master'!#REF!</f>
        <v>#REF!</v>
      </c>
      <c r="C182" s="187"/>
      <c r="D182" s="188"/>
      <c r="E182" s="189" t="s">
        <v>379</v>
      </c>
      <c r="F182" s="188"/>
      <c r="G182" s="189" t="s">
        <v>377</v>
      </c>
      <c r="H182" s="70"/>
      <c r="I182" s="16" t="s">
        <v>380</v>
      </c>
      <c r="J182" s="287">
        <v>1</v>
      </c>
      <c r="K182" s="190" t="s">
        <v>37</v>
      </c>
      <c r="L182" s="195"/>
    </row>
    <row r="183" spans="1:12">
      <c r="A183" s="92"/>
      <c r="B183" s="93"/>
      <c r="C183" s="187"/>
      <c r="D183" s="188"/>
      <c r="E183" s="189"/>
      <c r="F183" s="188"/>
      <c r="G183" s="189"/>
      <c r="H183" s="70"/>
      <c r="I183" s="16"/>
      <c r="J183" s="16"/>
      <c r="K183" s="190"/>
      <c r="L183" s="195"/>
    </row>
    <row r="184" spans="1:12">
      <c r="A184" s="92"/>
      <c r="B184" s="93"/>
      <c r="C184" s="187"/>
      <c r="D184" s="188"/>
      <c r="E184" s="189"/>
      <c r="F184" s="188"/>
      <c r="G184" s="189"/>
      <c r="H184" s="70"/>
      <c r="I184" s="16"/>
      <c r="J184" s="16"/>
      <c r="K184" s="190"/>
      <c r="L184" s="195"/>
    </row>
    <row r="185" spans="1:12">
      <c r="A185" s="92"/>
      <c r="B185" s="77"/>
      <c r="C185" s="23"/>
      <c r="D185" s="78"/>
      <c r="E185" s="189"/>
      <c r="F185" s="188"/>
      <c r="G185" s="189"/>
      <c r="H185" s="70"/>
      <c r="I185" s="16"/>
      <c r="J185" s="16"/>
      <c r="K185" s="190"/>
      <c r="L185" s="195"/>
    </row>
    <row r="186" spans="1:12">
      <c r="A186" s="92"/>
      <c r="B186" t="s">
        <v>221</v>
      </c>
      <c r="L186" s="20"/>
    </row>
    <row r="187" spans="1:12">
      <c r="A187" s="19"/>
      <c r="B187" t="s">
        <v>222</v>
      </c>
      <c r="L187" s="20"/>
    </row>
    <row r="188" spans="1:12">
      <c r="A188" s="19"/>
      <c r="B188" t="s">
        <v>233</v>
      </c>
      <c r="J188" t="s">
        <v>232</v>
      </c>
      <c r="L188" s="20"/>
    </row>
    <row r="189" spans="1:12">
      <c r="A189" s="19"/>
      <c r="G189" s="3" t="s">
        <v>230</v>
      </c>
      <c r="H189" s="3"/>
      <c r="I189" s="3"/>
      <c r="J189" s="3"/>
      <c r="K189" s="3"/>
      <c r="L189" s="88"/>
    </row>
    <row r="190" spans="1:12">
      <c r="A190" s="19"/>
      <c r="B190" s="3"/>
      <c r="G190" t="s">
        <v>231</v>
      </c>
      <c r="H190" s="3"/>
      <c r="I190" s="3"/>
      <c r="J190" s="3"/>
      <c r="K190" s="3"/>
      <c r="L190" s="88"/>
    </row>
    <row r="191" spans="1:12">
      <c r="A191" s="19"/>
      <c r="B191" s="178" t="s">
        <v>234</v>
      </c>
      <c r="C191" s="174"/>
      <c r="D191" s="174"/>
      <c r="E191" s="174"/>
      <c r="F191" s="174"/>
      <c r="G191" s="174"/>
      <c r="H191" s="163"/>
      <c r="I191" s="163"/>
      <c r="J191" s="163"/>
      <c r="K191" s="163"/>
      <c r="L191" s="181"/>
    </row>
    <row r="192" spans="1:12">
      <c r="A192" s="19"/>
      <c r="B192" s="178" t="s">
        <v>235</v>
      </c>
      <c r="C192" s="174"/>
      <c r="D192" s="174"/>
      <c r="E192" s="174"/>
      <c r="F192" s="174"/>
      <c r="G192" s="174"/>
      <c r="H192" s="163"/>
      <c r="I192" s="163"/>
      <c r="J192" s="164"/>
      <c r="K192" s="163"/>
      <c r="L192" s="181"/>
    </row>
    <row r="193" spans="1:12">
      <c r="A193" s="19"/>
      <c r="B193" s="93" t="s">
        <v>5</v>
      </c>
      <c r="C193" s="1007" t="s">
        <v>236</v>
      </c>
      <c r="D193" s="976"/>
      <c r="E193" s="976"/>
      <c r="F193" s="976"/>
      <c r="G193" s="976"/>
      <c r="H193" s="1008"/>
      <c r="I193" s="170" t="s">
        <v>109</v>
      </c>
      <c r="J193" s="1009" t="s">
        <v>237</v>
      </c>
      <c r="K193" s="1010"/>
      <c r="L193" s="1011"/>
    </row>
    <row r="194" spans="1:12">
      <c r="A194" s="19"/>
      <c r="B194" s="172">
        <v>1</v>
      </c>
      <c r="C194" s="206"/>
      <c r="D194" s="96"/>
      <c r="E194" s="102">
        <v>2</v>
      </c>
      <c r="F194" s="69"/>
      <c r="G194" s="1003"/>
      <c r="H194" s="978"/>
      <c r="I194" s="96">
        <v>3</v>
      </c>
      <c r="J194" s="193" t="s">
        <v>238</v>
      </c>
      <c r="K194" s="1012">
        <v>4</v>
      </c>
      <c r="L194" s="1013"/>
    </row>
    <row r="195" spans="1:12">
      <c r="A195" s="19"/>
      <c r="B195" s="93"/>
      <c r="C195" s="206"/>
      <c r="D195" s="96"/>
      <c r="E195" s="102"/>
      <c r="F195" s="69"/>
      <c r="G195" s="1003"/>
      <c r="H195" s="978"/>
      <c r="I195" s="190"/>
      <c r="J195" s="192"/>
      <c r="K195" s="1003"/>
      <c r="L195" s="979"/>
    </row>
    <row r="196" spans="1:12">
      <c r="A196" s="19"/>
      <c r="B196" s="93"/>
      <c r="C196" s="206"/>
      <c r="D196" s="96"/>
      <c r="E196" s="102"/>
      <c r="F196" s="69"/>
      <c r="G196" s="1003"/>
      <c r="H196" s="978"/>
      <c r="I196" s="190"/>
      <c r="J196" s="192"/>
      <c r="K196" s="1003"/>
      <c r="L196" s="979"/>
    </row>
    <row r="197" spans="1:12">
      <c r="A197" s="19"/>
      <c r="B197" s="93"/>
      <c r="C197" s="206"/>
      <c r="D197" s="96"/>
      <c r="E197" s="102"/>
      <c r="F197" s="69"/>
      <c r="G197" s="1003"/>
      <c r="H197" s="978"/>
      <c r="I197" s="190"/>
      <c r="J197" s="192"/>
      <c r="K197" s="1003"/>
      <c r="L197" s="979"/>
    </row>
    <row r="198" spans="1:12">
      <c r="A198" s="19"/>
      <c r="B198" s="77"/>
      <c r="C198" s="206"/>
      <c r="D198" s="96"/>
      <c r="E198" s="102"/>
      <c r="F198" s="69"/>
      <c r="G198" s="1003"/>
      <c r="H198" s="978"/>
      <c r="I198" s="190"/>
      <c r="J198" s="192"/>
      <c r="K198" s="1003"/>
      <c r="L198" s="979"/>
    </row>
    <row r="199" spans="1:12">
      <c r="A199" s="19"/>
      <c r="B199" t="s">
        <v>242</v>
      </c>
      <c r="L199" s="20"/>
    </row>
    <row r="200" spans="1:12">
      <c r="A200" s="19"/>
      <c r="B200" t="s">
        <v>243</v>
      </c>
      <c r="L200" s="20"/>
    </row>
    <row r="201" spans="1:12">
      <c r="A201" s="19"/>
      <c r="B201" t="s">
        <v>244</v>
      </c>
      <c r="L201" s="20"/>
    </row>
    <row r="202" spans="1:12">
      <c r="A202" s="19"/>
      <c r="B202" t="s">
        <v>245</v>
      </c>
      <c r="L202" s="20"/>
    </row>
    <row r="203" spans="1:12">
      <c r="A203" s="19"/>
      <c r="B203" s="189" t="s">
        <v>239</v>
      </c>
      <c r="C203" s="69"/>
      <c r="D203" s="69"/>
      <c r="E203" s="69"/>
      <c r="F203" s="70"/>
      <c r="G203" s="189" t="s">
        <v>215</v>
      </c>
      <c r="H203" s="70"/>
      <c r="I203" s="189" t="s">
        <v>240</v>
      </c>
      <c r="J203" s="69"/>
      <c r="K203" s="70"/>
      <c r="L203" s="20"/>
    </row>
    <row r="204" spans="1:12">
      <c r="A204" s="19"/>
      <c r="B204" s="980"/>
      <c r="C204" s="1002"/>
      <c r="D204" s="1002"/>
      <c r="E204" s="1002"/>
      <c r="F204" s="981"/>
      <c r="G204" s="980"/>
      <c r="H204" s="981"/>
      <c r="I204" s="980"/>
      <c r="J204" s="1002"/>
      <c r="K204" s="981"/>
      <c r="L204" s="20"/>
    </row>
    <row r="205" spans="1:12">
      <c r="A205" s="19"/>
      <c r="B205" s="980"/>
      <c r="C205" s="1002"/>
      <c r="D205" s="1002"/>
      <c r="E205" s="1002"/>
      <c r="F205" s="981"/>
      <c r="G205" s="980"/>
      <c r="H205" s="981"/>
      <c r="I205" s="980"/>
      <c r="J205" s="1002"/>
      <c r="K205" s="981"/>
      <c r="L205" s="20"/>
    </row>
    <row r="206" spans="1:12">
      <c r="A206" s="19"/>
      <c r="B206" s="980"/>
      <c r="C206" s="1002"/>
      <c r="D206" s="1002"/>
      <c r="E206" s="1002"/>
      <c r="F206" s="981"/>
      <c r="G206" s="980"/>
      <c r="H206" s="981"/>
      <c r="I206" s="980"/>
      <c r="J206" s="1002"/>
      <c r="K206" s="981"/>
      <c r="L206" s="20"/>
    </row>
    <row r="207" spans="1:12" ht="27.95" customHeight="1">
      <c r="A207" s="19"/>
      <c r="B207" s="980"/>
      <c r="C207" s="1002"/>
      <c r="D207" s="1002"/>
      <c r="E207" s="1002"/>
      <c r="F207" s="981"/>
      <c r="G207" s="980"/>
      <c r="H207" s="981"/>
      <c r="I207" s="980"/>
      <c r="J207" s="1002"/>
      <c r="K207" s="981"/>
      <c r="L207" s="20"/>
    </row>
    <row r="208" spans="1:12" ht="27.95" customHeight="1">
      <c r="A208" s="19"/>
      <c r="L208" s="20"/>
    </row>
    <row r="209" spans="1:12" ht="27.95" customHeight="1">
      <c r="A209" s="19"/>
      <c r="B209" t="s">
        <v>212</v>
      </c>
      <c r="C209" s="286" t="e">
        <f>'04-22Master'!#REF!</f>
        <v>#REF!</v>
      </c>
      <c r="I209" t="s">
        <v>241</v>
      </c>
      <c r="L209" s="20"/>
    </row>
    <row r="210" spans="1:12" ht="27.95" customHeight="1">
      <c r="A210" s="19"/>
      <c r="F210" s="177" t="s">
        <v>207</v>
      </c>
      <c r="L210" s="20"/>
    </row>
    <row r="211" spans="1:12" ht="27.95" customHeight="1">
      <c r="A211" s="19" t="s">
        <v>208</v>
      </c>
      <c r="K211" s="227" t="e">
        <f>'04-22Master'!#REF!</f>
        <v>#REF!</v>
      </c>
      <c r="L211" s="20"/>
    </row>
    <row r="212" spans="1:12" ht="27.95" customHeight="1">
      <c r="A212" s="19" t="s">
        <v>209</v>
      </c>
      <c r="L212" s="20"/>
    </row>
    <row r="213" spans="1:12" ht="27.95" customHeight="1">
      <c r="A213" s="19"/>
      <c r="L213" s="20"/>
    </row>
    <row r="214" spans="1:12" ht="27.95" customHeight="1">
      <c r="A214" s="19"/>
      <c r="F214" t="s">
        <v>210</v>
      </c>
      <c r="L214" s="20"/>
    </row>
    <row r="215" spans="1:12" ht="27.95" customHeight="1">
      <c r="A215" s="19" t="s">
        <v>211</v>
      </c>
      <c r="B215" t="s">
        <v>375</v>
      </c>
      <c r="F215" t="str">
        <f>'04-22Master'!F5</f>
        <v>Burgeon IT Services Pvt.Ltd.</v>
      </c>
      <c r="L215" s="20"/>
    </row>
    <row r="216" spans="1:12" ht="27.95" customHeight="1" thickBot="1">
      <c r="A216" s="31" t="s">
        <v>212</v>
      </c>
      <c r="B216" s="289" t="e">
        <f>'04-22Master'!#REF!</f>
        <v>#REF!</v>
      </c>
      <c r="C216" s="29"/>
      <c r="D216" s="29"/>
      <c r="E216" s="29"/>
      <c r="F216" s="29" t="str">
        <f>'04-22Master'!F6</f>
        <v>Siri Mansion LIGB 436 Dr.A S Rao Nagar,Hyderabad</v>
      </c>
      <c r="G216" s="29"/>
      <c r="H216" s="29"/>
      <c r="I216" s="29"/>
      <c r="J216" s="29"/>
      <c r="K216" s="29"/>
      <c r="L216" s="30"/>
    </row>
    <row r="217" spans="1:12" ht="27.95" customHeight="1">
      <c r="A217" s="81"/>
      <c r="B217" s="82"/>
      <c r="C217" s="82"/>
      <c r="D217" s="182"/>
      <c r="E217" s="182"/>
      <c r="F217" s="182"/>
      <c r="G217" s="182"/>
      <c r="H217" s="182"/>
      <c r="I217" s="182"/>
      <c r="J217" s="82"/>
      <c r="K217" s="184" t="s">
        <v>226</v>
      </c>
      <c r="L217" s="183"/>
    </row>
    <row r="218" spans="1:12" ht="27.95" customHeight="1">
      <c r="A218" s="19"/>
      <c r="B218" s="1004" t="s">
        <v>225</v>
      </c>
      <c r="C218" s="1004"/>
      <c r="D218" s="1004"/>
      <c r="E218" s="1004"/>
      <c r="F218" s="1004"/>
      <c r="G218" s="1004"/>
      <c r="H218" s="1004"/>
      <c r="I218" s="1004"/>
      <c r="J218" s="1004"/>
      <c r="K218" s="1004"/>
      <c r="L218" s="1005"/>
    </row>
    <row r="219" spans="1:12" ht="27.95" customHeight="1">
      <c r="A219" s="19"/>
      <c r="B219" s="999" t="s">
        <v>227</v>
      </c>
      <c r="C219" s="999"/>
      <c r="D219" s="999"/>
      <c r="E219" s="999"/>
      <c r="F219" s="999"/>
      <c r="G219" s="999"/>
      <c r="H219" s="999"/>
      <c r="I219" s="999"/>
      <c r="J219" s="999"/>
      <c r="K219" s="999"/>
      <c r="L219" s="1006"/>
    </row>
    <row r="220" spans="1:12" ht="27.95" customHeight="1">
      <c r="A220" s="19"/>
      <c r="B220" s="185" t="s">
        <v>228</v>
      </c>
      <c r="C220" s="185"/>
      <c r="D220" s="185"/>
      <c r="E220" s="185"/>
      <c r="F220" s="185"/>
      <c r="H220" s="186"/>
      <c r="I220" s="186"/>
      <c r="J220" s="186"/>
      <c r="K220" s="186"/>
      <c r="L220" s="194"/>
    </row>
    <row r="221" spans="1:12" ht="27.95" customHeight="1">
      <c r="A221" s="19"/>
      <c r="B221" s="185"/>
      <c r="C221" s="185"/>
      <c r="D221" s="185"/>
      <c r="E221" s="185"/>
      <c r="F221" s="185"/>
      <c r="H221" s="186"/>
      <c r="I221" s="186"/>
      <c r="J221" s="186"/>
      <c r="K221" s="186"/>
      <c r="L221" s="194"/>
    </row>
    <row r="222" spans="1:12" ht="27.95" customHeight="1">
      <c r="A222" s="19"/>
      <c r="B222" s="972" t="s">
        <v>197</v>
      </c>
      <c r="C222" s="972"/>
      <c r="D222" s="972"/>
      <c r="E222" s="972"/>
      <c r="F222" s="972"/>
      <c r="G222" s="972"/>
      <c r="H222" s="992" t="e">
        <f>'04-22Master'!#REF!</f>
        <v>#REF!</v>
      </c>
      <c r="I222" s="987"/>
      <c r="J222" s="987"/>
      <c r="K222" s="987"/>
      <c r="L222" s="841"/>
    </row>
    <row r="223" spans="1:12" ht="27.95" customHeight="1">
      <c r="A223" s="19"/>
      <c r="B223" s="993" t="s">
        <v>198</v>
      </c>
      <c r="C223" s="993"/>
      <c r="D223" s="993"/>
      <c r="E223" s="993"/>
      <c r="F223" s="993"/>
      <c r="G223" s="993"/>
      <c r="H223" s="992" t="e">
        <f>'04-22Master'!#REF!</f>
        <v>#REF!</v>
      </c>
      <c r="I223" s="987"/>
      <c r="J223" s="987"/>
      <c r="K223" s="987"/>
      <c r="L223" s="841"/>
    </row>
    <row r="224" spans="1:12" ht="27.95" customHeight="1">
      <c r="A224" s="19"/>
      <c r="B224" s="972" t="s">
        <v>199</v>
      </c>
      <c r="C224" s="972"/>
      <c r="D224" s="972"/>
      <c r="E224" s="972"/>
      <c r="F224" s="972"/>
      <c r="G224" s="972"/>
      <c r="H224" s="992" t="e">
        <f>'04-22Master'!#REF!</f>
        <v>#REF!</v>
      </c>
      <c r="I224" s="987"/>
      <c r="J224" s="987"/>
      <c r="K224" s="987"/>
      <c r="L224" s="841"/>
    </row>
    <row r="225" spans="1:12">
      <c r="A225" s="19"/>
      <c r="B225" s="972" t="s">
        <v>200</v>
      </c>
      <c r="C225" s="972"/>
      <c r="D225" s="972"/>
      <c r="E225" s="972"/>
      <c r="F225" s="972"/>
      <c r="G225" s="972"/>
      <c r="H225" s="986" t="e">
        <f>'04-22Master'!#REF!</f>
        <v>#REF!</v>
      </c>
      <c r="I225" s="987"/>
      <c r="J225" s="987"/>
      <c r="K225" s="987"/>
      <c r="L225" s="841"/>
    </row>
    <row r="226" spans="1:12">
      <c r="A226" s="19"/>
      <c r="B226" s="93" t="s">
        <v>202</v>
      </c>
      <c r="C226" s="94"/>
      <c r="D226" s="94"/>
      <c r="E226" s="94"/>
      <c r="F226" s="94"/>
      <c r="G226" s="94"/>
      <c r="H226" s="988" t="s">
        <v>203</v>
      </c>
      <c r="I226" s="989"/>
      <c r="J226" s="989"/>
      <c r="K226" s="989"/>
      <c r="L226" s="990"/>
    </row>
    <row r="227" spans="1:12">
      <c r="A227" s="19"/>
      <c r="B227" s="93" t="s">
        <v>204</v>
      </c>
      <c r="C227" s="94"/>
      <c r="D227" s="94"/>
      <c r="E227" s="94"/>
      <c r="F227" s="94"/>
      <c r="G227" s="94"/>
      <c r="H227" s="95"/>
      <c r="I227" s="96"/>
      <c r="J227" s="176"/>
      <c r="K227" s="96"/>
      <c r="L227" s="101"/>
    </row>
    <row r="228" spans="1:12">
      <c r="A228" s="19"/>
      <c r="B228" s="834" t="s">
        <v>205</v>
      </c>
      <c r="C228" s="834"/>
      <c r="D228" s="834"/>
      <c r="E228" s="834"/>
      <c r="F228" s="834"/>
      <c r="G228" s="834"/>
      <c r="H228" s="835" t="e">
        <f>'04-22Master'!#REF!</f>
        <v>#REF!</v>
      </c>
      <c r="I228" s="849"/>
      <c r="J228" s="849"/>
      <c r="K228" s="849"/>
      <c r="L228" s="850"/>
    </row>
    <row r="229" spans="1:12">
      <c r="A229" s="19"/>
      <c r="B229" s="972"/>
      <c r="C229" s="972"/>
      <c r="D229" s="972"/>
      <c r="E229" s="972"/>
      <c r="F229" s="972"/>
      <c r="G229" s="972"/>
      <c r="H229" s="991" t="e">
        <f>'04-22Master'!#REF!</f>
        <v>#REF!</v>
      </c>
      <c r="I229" s="987"/>
      <c r="J229" s="987"/>
      <c r="K229" s="987"/>
      <c r="L229" s="841"/>
    </row>
    <row r="230" spans="1:12">
      <c r="A230" s="19"/>
      <c r="B230" s="972"/>
      <c r="C230" s="972"/>
      <c r="D230" s="972"/>
      <c r="E230" s="972"/>
      <c r="F230" s="972"/>
      <c r="G230" s="972"/>
      <c r="H230" s="992" t="e">
        <f>'04-22Master'!#REF!</f>
        <v>#REF!</v>
      </c>
      <c r="I230" s="987"/>
      <c r="J230" s="987"/>
      <c r="K230" s="987"/>
      <c r="L230" s="841"/>
    </row>
    <row r="231" spans="1:12">
      <c r="A231" s="19"/>
      <c r="G231" s="3" t="s">
        <v>229</v>
      </c>
      <c r="H231" s="3"/>
      <c r="I231" s="3"/>
      <c r="J231" s="3"/>
      <c r="K231" s="3"/>
      <c r="L231" s="88"/>
    </row>
    <row r="232" spans="1:12">
      <c r="A232" s="19"/>
      <c r="B232" s="178" t="s">
        <v>213</v>
      </c>
      <c r="C232" s="174"/>
      <c r="D232" s="174"/>
      <c r="E232" s="174"/>
      <c r="F232" s="174"/>
      <c r="G232" s="174"/>
      <c r="H232" s="163"/>
      <c r="I232" s="163"/>
      <c r="J232" s="163"/>
      <c r="K232" s="163"/>
      <c r="L232" s="181"/>
    </row>
    <row r="233" spans="1:12">
      <c r="A233" s="19"/>
      <c r="B233" s="178" t="s">
        <v>214</v>
      </c>
      <c r="C233" s="174"/>
      <c r="D233" s="174"/>
      <c r="E233" s="174"/>
      <c r="F233" s="174"/>
      <c r="G233" s="174"/>
      <c r="H233" s="163"/>
      <c r="I233" s="163"/>
      <c r="J233" s="164"/>
      <c r="K233" s="163"/>
      <c r="L233" s="181"/>
    </row>
    <row r="234" spans="1:12" ht="45">
      <c r="A234" s="92"/>
      <c r="B234" s="93" t="s">
        <v>217</v>
      </c>
      <c r="C234" s="94"/>
      <c r="D234" s="191"/>
      <c r="E234" s="169" t="s">
        <v>219</v>
      </c>
      <c r="F234" s="70"/>
      <c r="G234" s="977" t="s">
        <v>218</v>
      </c>
      <c r="H234" s="978"/>
      <c r="I234" s="168" t="s">
        <v>215</v>
      </c>
      <c r="J234" s="171" t="s">
        <v>220</v>
      </c>
      <c r="K234" s="977" t="s">
        <v>216</v>
      </c>
      <c r="L234" s="979"/>
    </row>
    <row r="235" spans="1:12">
      <c r="A235" s="92"/>
      <c r="B235" s="172">
        <v>1</v>
      </c>
      <c r="C235" s="94"/>
      <c r="D235" s="94"/>
      <c r="E235" s="175">
        <v>2</v>
      </c>
      <c r="F235" s="97"/>
      <c r="G235" s="175">
        <v>3</v>
      </c>
      <c r="H235" s="191"/>
      <c r="I235" s="191">
        <v>4</v>
      </c>
      <c r="J235" s="112">
        <v>5</v>
      </c>
      <c r="K235" s="99"/>
      <c r="L235" s="100">
        <v>6</v>
      </c>
    </row>
    <row r="236" spans="1:12">
      <c r="A236" s="92"/>
      <c r="B236" s="93" t="e">
        <f>'04-22Master'!#REF!</f>
        <v>#REF!</v>
      </c>
      <c r="C236" s="187"/>
      <c r="D236" s="188"/>
      <c r="E236" s="189" t="s">
        <v>379</v>
      </c>
      <c r="F236" s="188"/>
      <c r="G236" s="189" t="s">
        <v>377</v>
      </c>
      <c r="H236" s="70"/>
      <c r="I236" s="16" t="s">
        <v>380</v>
      </c>
      <c r="J236" s="287">
        <v>1</v>
      </c>
      <c r="K236" s="190" t="s">
        <v>37</v>
      </c>
      <c r="L236" s="195"/>
    </row>
    <row r="237" spans="1:12">
      <c r="A237" s="92"/>
      <c r="B237" s="93"/>
      <c r="C237" s="187"/>
      <c r="D237" s="188"/>
      <c r="E237" s="189"/>
      <c r="F237" s="188"/>
      <c r="G237" s="189"/>
      <c r="H237" s="70"/>
      <c r="I237" s="16"/>
      <c r="J237" s="16"/>
      <c r="K237" s="190"/>
      <c r="L237" s="195"/>
    </row>
    <row r="238" spans="1:12">
      <c r="A238" s="92"/>
      <c r="B238" s="93"/>
      <c r="C238" s="187"/>
      <c r="D238" s="188"/>
      <c r="E238" s="189"/>
      <c r="F238" s="188"/>
      <c r="G238" s="189"/>
      <c r="H238" s="70"/>
      <c r="I238" s="16"/>
      <c r="J238" s="16"/>
      <c r="K238" s="190"/>
      <c r="L238" s="195"/>
    </row>
    <row r="239" spans="1:12">
      <c r="A239" s="92"/>
      <c r="B239" s="77"/>
      <c r="C239" s="23"/>
      <c r="D239" s="78"/>
      <c r="E239" s="189"/>
      <c r="F239" s="188"/>
      <c r="G239" s="189"/>
      <c r="H239" s="70"/>
      <c r="I239" s="16"/>
      <c r="J239" s="16"/>
      <c r="K239" s="190"/>
      <c r="L239" s="195"/>
    </row>
    <row r="240" spans="1:12">
      <c r="A240" s="92"/>
      <c r="B240" t="s">
        <v>221</v>
      </c>
      <c r="L240" s="20"/>
    </row>
    <row r="241" spans="1:12">
      <c r="A241" s="19"/>
      <c r="B241" t="s">
        <v>222</v>
      </c>
      <c r="L241" s="20"/>
    </row>
    <row r="242" spans="1:12">
      <c r="A242" s="19"/>
      <c r="B242" t="s">
        <v>233</v>
      </c>
      <c r="J242" t="s">
        <v>232</v>
      </c>
      <c r="L242" s="20"/>
    </row>
    <row r="243" spans="1:12">
      <c r="A243" s="19"/>
      <c r="G243" s="3" t="s">
        <v>230</v>
      </c>
      <c r="H243" s="3"/>
      <c r="I243" s="3"/>
      <c r="J243" s="3"/>
      <c r="K243" s="3"/>
      <c r="L243" s="88"/>
    </row>
    <row r="244" spans="1:12">
      <c r="A244" s="19"/>
      <c r="B244" s="3"/>
      <c r="G244" t="s">
        <v>231</v>
      </c>
      <c r="H244" s="3"/>
      <c r="I244" s="3"/>
      <c r="J244" s="3"/>
      <c r="K244" s="3"/>
      <c r="L244" s="88"/>
    </row>
    <row r="245" spans="1:12">
      <c r="A245" s="19"/>
      <c r="B245" s="178" t="s">
        <v>234</v>
      </c>
      <c r="C245" s="174"/>
      <c r="D245" s="174"/>
      <c r="E245" s="174"/>
      <c r="F245" s="174"/>
      <c r="G245" s="174"/>
      <c r="H245" s="163"/>
      <c r="I245" s="163"/>
      <c r="J245" s="163"/>
      <c r="K245" s="163"/>
      <c r="L245" s="181"/>
    </row>
    <row r="246" spans="1:12">
      <c r="A246" s="19"/>
      <c r="B246" s="178" t="s">
        <v>235</v>
      </c>
      <c r="C246" s="174"/>
      <c r="D246" s="174"/>
      <c r="E246" s="174"/>
      <c r="F246" s="174"/>
      <c r="G246" s="174"/>
      <c r="H246" s="163"/>
      <c r="I246" s="163"/>
      <c r="J246" s="164"/>
      <c r="K246" s="163"/>
      <c r="L246" s="181"/>
    </row>
    <row r="247" spans="1:12">
      <c r="A247" s="19"/>
      <c r="B247" s="93" t="s">
        <v>5</v>
      </c>
      <c r="C247" s="1007" t="s">
        <v>236</v>
      </c>
      <c r="D247" s="976"/>
      <c r="E247" s="976"/>
      <c r="F247" s="976"/>
      <c r="G247" s="976"/>
      <c r="H247" s="1008"/>
      <c r="I247" s="170" t="s">
        <v>109</v>
      </c>
      <c r="J247" s="1009" t="s">
        <v>237</v>
      </c>
      <c r="K247" s="1010"/>
      <c r="L247" s="1011"/>
    </row>
    <row r="248" spans="1:12">
      <c r="A248" s="19"/>
      <c r="B248" s="172">
        <v>1</v>
      </c>
      <c r="C248" s="206"/>
      <c r="D248" s="96"/>
      <c r="E248" s="102">
        <v>2</v>
      </c>
      <c r="F248" s="69"/>
      <c r="G248" s="1003"/>
      <c r="H248" s="978"/>
      <c r="I248" s="96">
        <v>3</v>
      </c>
      <c r="J248" s="193" t="s">
        <v>238</v>
      </c>
      <c r="K248" s="1012">
        <v>4</v>
      </c>
      <c r="L248" s="1013"/>
    </row>
    <row r="249" spans="1:12">
      <c r="A249" s="19"/>
      <c r="B249" s="93"/>
      <c r="C249" s="206"/>
      <c r="D249" s="96"/>
      <c r="E249" s="102"/>
      <c r="F249" s="69"/>
      <c r="G249" s="1003"/>
      <c r="H249" s="978"/>
      <c r="I249" s="190"/>
      <c r="J249" s="192"/>
      <c r="K249" s="1003"/>
      <c r="L249" s="979"/>
    </row>
    <row r="250" spans="1:12">
      <c r="A250" s="19"/>
      <c r="B250" s="93"/>
      <c r="C250" s="206"/>
      <c r="D250" s="96"/>
      <c r="E250" s="102"/>
      <c r="F250" s="69"/>
      <c r="G250" s="1003"/>
      <c r="H250" s="978"/>
      <c r="I250" s="190"/>
      <c r="J250" s="192"/>
      <c r="K250" s="1003"/>
      <c r="L250" s="979"/>
    </row>
    <row r="251" spans="1:12">
      <c r="A251" s="19"/>
      <c r="B251" s="93"/>
      <c r="C251" s="206"/>
      <c r="D251" s="96"/>
      <c r="E251" s="102"/>
      <c r="F251" s="69"/>
      <c r="G251" s="1003"/>
      <c r="H251" s="978"/>
      <c r="I251" s="190"/>
      <c r="J251" s="192"/>
      <c r="K251" s="1003"/>
      <c r="L251" s="979"/>
    </row>
    <row r="252" spans="1:12">
      <c r="A252" s="19"/>
      <c r="B252" s="77"/>
      <c r="C252" s="206"/>
      <c r="D252" s="96"/>
      <c r="E252" s="102"/>
      <c r="F252" s="69"/>
      <c r="G252" s="1003"/>
      <c r="H252" s="978"/>
      <c r="I252" s="190"/>
      <c r="J252" s="192"/>
      <c r="K252" s="1003"/>
      <c r="L252" s="979"/>
    </row>
    <row r="253" spans="1:12">
      <c r="A253" s="19"/>
      <c r="B253" t="s">
        <v>242</v>
      </c>
      <c r="L253" s="20"/>
    </row>
    <row r="254" spans="1:12">
      <c r="A254" s="19"/>
      <c r="B254" t="s">
        <v>243</v>
      </c>
      <c r="L254" s="20"/>
    </row>
    <row r="255" spans="1:12">
      <c r="A255" s="19"/>
      <c r="B255" t="s">
        <v>244</v>
      </c>
      <c r="L255" s="20"/>
    </row>
    <row r="256" spans="1:12">
      <c r="A256" s="19"/>
      <c r="B256" t="s">
        <v>245</v>
      </c>
      <c r="L256" s="20"/>
    </row>
    <row r="257" spans="1:12">
      <c r="A257" s="19"/>
      <c r="B257" s="189" t="s">
        <v>239</v>
      </c>
      <c r="C257" s="69"/>
      <c r="D257" s="69"/>
      <c r="E257" s="69"/>
      <c r="F257" s="70"/>
      <c r="G257" s="189" t="s">
        <v>215</v>
      </c>
      <c r="H257" s="70"/>
      <c r="I257" s="189" t="s">
        <v>240</v>
      </c>
      <c r="J257" s="69"/>
      <c r="K257" s="70"/>
      <c r="L257" s="20"/>
    </row>
    <row r="258" spans="1:12">
      <c r="A258" s="19"/>
      <c r="B258" s="980"/>
      <c r="C258" s="1002"/>
      <c r="D258" s="1002"/>
      <c r="E258" s="1002"/>
      <c r="F258" s="981"/>
      <c r="G258" s="980"/>
      <c r="H258" s="981"/>
      <c r="I258" s="980"/>
      <c r="J258" s="1002"/>
      <c r="K258" s="981"/>
      <c r="L258" s="20"/>
    </row>
    <row r="259" spans="1:12">
      <c r="A259" s="19"/>
      <c r="B259" s="980"/>
      <c r="C259" s="1002"/>
      <c r="D259" s="1002"/>
      <c r="E259" s="1002"/>
      <c r="F259" s="981"/>
      <c r="G259" s="980"/>
      <c r="H259" s="981"/>
      <c r="I259" s="980"/>
      <c r="J259" s="1002"/>
      <c r="K259" s="981"/>
      <c r="L259" s="20"/>
    </row>
    <row r="260" spans="1:12" ht="27.95" customHeight="1">
      <c r="A260" s="19"/>
      <c r="B260" s="980"/>
      <c r="C260" s="1002"/>
      <c r="D260" s="1002"/>
      <c r="E260" s="1002"/>
      <c r="F260" s="981"/>
      <c r="G260" s="980"/>
      <c r="H260" s="981"/>
      <c r="I260" s="980"/>
      <c r="J260" s="1002"/>
      <c r="K260" s="981"/>
      <c r="L260" s="20"/>
    </row>
    <row r="261" spans="1:12" ht="27.95" customHeight="1">
      <c r="A261" s="19"/>
      <c r="B261" s="980"/>
      <c r="C261" s="1002"/>
      <c r="D261" s="1002"/>
      <c r="E261" s="1002"/>
      <c r="F261" s="981"/>
      <c r="G261" s="980"/>
      <c r="H261" s="981"/>
      <c r="I261" s="980"/>
      <c r="J261" s="1002"/>
      <c r="K261" s="981"/>
      <c r="L261" s="20"/>
    </row>
    <row r="262" spans="1:12" ht="27.95" customHeight="1">
      <c r="A262" s="19"/>
      <c r="L262" s="20"/>
    </row>
    <row r="263" spans="1:12" ht="27.95" customHeight="1">
      <c r="A263" s="19"/>
      <c r="B263" t="s">
        <v>212</v>
      </c>
      <c r="C263" s="286" t="e">
        <f>'04-22Master'!#REF!</f>
        <v>#REF!</v>
      </c>
      <c r="I263" t="s">
        <v>241</v>
      </c>
      <c r="L263" s="20"/>
    </row>
    <row r="264" spans="1:12" ht="27.95" customHeight="1">
      <c r="A264" s="19"/>
      <c r="F264" s="177" t="s">
        <v>207</v>
      </c>
      <c r="L264" s="20"/>
    </row>
    <row r="265" spans="1:12" ht="27.95" customHeight="1">
      <c r="A265" s="19" t="s">
        <v>208</v>
      </c>
      <c r="K265" s="227" t="e">
        <f>'04-22Master'!#REF!</f>
        <v>#REF!</v>
      </c>
      <c r="L265" s="20"/>
    </row>
    <row r="266" spans="1:12" ht="27.95" customHeight="1">
      <c r="A266" s="19" t="s">
        <v>209</v>
      </c>
      <c r="L266" s="20"/>
    </row>
    <row r="267" spans="1:12" ht="27.95" customHeight="1">
      <c r="A267" s="19"/>
      <c r="L267" s="20"/>
    </row>
    <row r="268" spans="1:12" ht="27.95" customHeight="1">
      <c r="A268" s="19"/>
      <c r="F268" t="s">
        <v>210</v>
      </c>
      <c r="L268" s="20"/>
    </row>
    <row r="269" spans="1:12" ht="27.95" customHeight="1">
      <c r="A269" s="19" t="s">
        <v>211</v>
      </c>
      <c r="B269" t="s">
        <v>375</v>
      </c>
      <c r="F269" s="156" t="str">
        <f>'04-22Master'!F5</f>
        <v>Burgeon IT Services Pvt.Ltd.</v>
      </c>
      <c r="L269" s="20"/>
    </row>
    <row r="270" spans="1:12" ht="27.95" customHeight="1" thickBot="1">
      <c r="A270" s="31" t="s">
        <v>212</v>
      </c>
      <c r="B270" s="289" t="e">
        <f>'04-22Master'!#REF!</f>
        <v>#REF!</v>
      </c>
      <c r="C270" s="29"/>
      <c r="D270" s="29"/>
      <c r="E270" s="29"/>
      <c r="F270" s="29" t="str">
        <f>'04-22Master'!F6</f>
        <v>Siri Mansion LIGB 436 Dr.A S Rao Nagar,Hyderabad</v>
      </c>
      <c r="G270" s="29"/>
      <c r="H270" s="29"/>
      <c r="I270" s="29"/>
      <c r="J270" s="29"/>
      <c r="K270" s="29"/>
      <c r="L270" s="30"/>
    </row>
    <row r="271" spans="1:12" ht="27.95" customHeight="1">
      <c r="A271" s="81"/>
      <c r="B271" s="82"/>
      <c r="C271" s="82"/>
      <c r="D271" s="182"/>
      <c r="E271" s="182"/>
      <c r="F271" s="182"/>
      <c r="G271" s="182"/>
      <c r="H271" s="182"/>
      <c r="I271" s="182"/>
      <c r="J271" s="82"/>
      <c r="K271" s="184" t="s">
        <v>226</v>
      </c>
      <c r="L271" s="183"/>
    </row>
    <row r="272" spans="1:12" ht="27.95" customHeight="1">
      <c r="A272" s="19"/>
      <c r="B272" s="1004" t="s">
        <v>225</v>
      </c>
      <c r="C272" s="1004"/>
      <c r="D272" s="1004"/>
      <c r="E272" s="1004"/>
      <c r="F272" s="1004"/>
      <c r="G272" s="1004"/>
      <c r="H272" s="1004"/>
      <c r="I272" s="1004"/>
      <c r="J272" s="1004"/>
      <c r="K272" s="1004"/>
      <c r="L272" s="1005"/>
    </row>
    <row r="273" spans="1:12" ht="27.95" customHeight="1">
      <c r="A273" s="19"/>
      <c r="B273" s="999" t="s">
        <v>227</v>
      </c>
      <c r="C273" s="999"/>
      <c r="D273" s="999"/>
      <c r="E273" s="999"/>
      <c r="F273" s="999"/>
      <c r="G273" s="999"/>
      <c r="H273" s="999"/>
      <c r="I273" s="999"/>
      <c r="J273" s="999"/>
      <c r="K273" s="999"/>
      <c r="L273" s="1006"/>
    </row>
    <row r="274" spans="1:12" ht="27.95" customHeight="1">
      <c r="A274" s="19"/>
      <c r="B274" s="185" t="s">
        <v>228</v>
      </c>
      <c r="C274" s="185"/>
      <c r="D274" s="185"/>
      <c r="E274" s="185"/>
      <c r="F274" s="185"/>
      <c r="H274" s="186"/>
      <c r="I274" s="186"/>
      <c r="J274" s="186"/>
      <c r="K274" s="186"/>
      <c r="L274" s="194"/>
    </row>
    <row r="275" spans="1:12" ht="27.95" customHeight="1">
      <c r="A275" s="19"/>
      <c r="B275" s="972" t="s">
        <v>197</v>
      </c>
      <c r="C275" s="972"/>
      <c r="D275" s="972"/>
      <c r="E275" s="972"/>
      <c r="F275" s="972"/>
      <c r="G275" s="972"/>
      <c r="H275" s="992" t="e">
        <f>'04-22Master'!#REF!</f>
        <v>#REF!</v>
      </c>
      <c r="I275" s="987"/>
      <c r="J275" s="987"/>
      <c r="K275" s="987"/>
      <c r="L275" s="841"/>
    </row>
    <row r="276" spans="1:12" ht="27.95" customHeight="1">
      <c r="A276" s="19"/>
      <c r="B276" s="993" t="s">
        <v>198</v>
      </c>
      <c r="C276" s="993"/>
      <c r="D276" s="993"/>
      <c r="E276" s="993"/>
      <c r="F276" s="993"/>
      <c r="G276" s="993"/>
      <c r="H276" s="992" t="e">
        <f>'04-22Master'!#REF!</f>
        <v>#REF!</v>
      </c>
      <c r="I276" s="987"/>
      <c r="J276" s="987"/>
      <c r="K276" s="987"/>
      <c r="L276" s="841"/>
    </row>
    <row r="277" spans="1:12">
      <c r="A277" s="19"/>
      <c r="B277" s="972" t="s">
        <v>199</v>
      </c>
      <c r="C277" s="972"/>
      <c r="D277" s="972"/>
      <c r="E277" s="972"/>
      <c r="F277" s="972"/>
      <c r="G277" s="972"/>
      <c r="H277" s="992" t="e">
        <f>'04-22Master'!#REF!</f>
        <v>#REF!</v>
      </c>
      <c r="I277" s="987"/>
      <c r="J277" s="987"/>
      <c r="K277" s="987"/>
      <c r="L277" s="841"/>
    </row>
    <row r="278" spans="1:12">
      <c r="A278" s="19"/>
      <c r="B278" s="972" t="s">
        <v>200</v>
      </c>
      <c r="C278" s="972"/>
      <c r="D278" s="972"/>
      <c r="E278" s="972"/>
      <c r="F278" s="972"/>
      <c r="G278" s="972"/>
      <c r="H278" s="986" t="e">
        <f>'04-22Master'!#REF!</f>
        <v>#REF!</v>
      </c>
      <c r="I278" s="987"/>
      <c r="J278" s="987"/>
      <c r="K278" s="987"/>
      <c r="L278" s="841"/>
    </row>
    <row r="279" spans="1:12">
      <c r="A279" s="19"/>
      <c r="B279" s="93" t="s">
        <v>202</v>
      </c>
      <c r="C279" s="94"/>
      <c r="D279" s="94"/>
      <c r="E279" s="94"/>
      <c r="F279" s="94"/>
      <c r="G279" s="94"/>
      <c r="H279" s="988" t="s">
        <v>203</v>
      </c>
      <c r="I279" s="989"/>
      <c r="J279" s="989"/>
      <c r="K279" s="989"/>
      <c r="L279" s="990"/>
    </row>
    <row r="280" spans="1:12">
      <c r="A280" s="19"/>
      <c r="B280" s="93" t="s">
        <v>204</v>
      </c>
      <c r="C280" s="94"/>
      <c r="D280" s="94"/>
      <c r="E280" s="94"/>
      <c r="F280" s="94"/>
      <c r="G280" s="94"/>
      <c r="H280" s="95"/>
      <c r="I280" s="96"/>
      <c r="J280" s="176"/>
      <c r="K280" s="96"/>
      <c r="L280" s="101"/>
    </row>
    <row r="281" spans="1:12">
      <c r="A281" s="19"/>
      <c r="B281" s="834" t="s">
        <v>205</v>
      </c>
      <c r="C281" s="834"/>
      <c r="D281" s="834"/>
      <c r="E281" s="834"/>
      <c r="F281" s="834"/>
      <c r="G281" s="834"/>
      <c r="H281" s="835" t="e">
        <f>'04-22Master'!#REF!</f>
        <v>#REF!</v>
      </c>
      <c r="I281" s="849"/>
      <c r="J281" s="849"/>
      <c r="K281" s="849"/>
      <c r="L281" s="850"/>
    </row>
    <row r="282" spans="1:12">
      <c r="A282" s="19"/>
      <c r="B282" s="972"/>
      <c r="C282" s="972"/>
      <c r="D282" s="972"/>
      <c r="E282" s="972"/>
      <c r="F282" s="972"/>
      <c r="G282" s="972"/>
      <c r="H282" s="991" t="e">
        <f>'04-22Master'!#REF!</f>
        <v>#REF!</v>
      </c>
      <c r="I282" s="987"/>
      <c r="J282" s="987"/>
      <c r="K282" s="987"/>
      <c r="L282" s="841"/>
    </row>
    <row r="283" spans="1:12">
      <c r="A283" s="19"/>
      <c r="B283" s="972"/>
      <c r="C283" s="972"/>
      <c r="D283" s="972"/>
      <c r="E283" s="972"/>
      <c r="F283" s="972"/>
      <c r="G283" s="972"/>
      <c r="H283" s="992" t="e">
        <f>'04-22Master'!#REF!</f>
        <v>#REF!</v>
      </c>
      <c r="I283" s="987"/>
      <c r="J283" s="987"/>
      <c r="K283" s="987"/>
      <c r="L283" s="841"/>
    </row>
    <row r="284" spans="1:12">
      <c r="A284" s="19"/>
      <c r="G284" s="3" t="s">
        <v>229</v>
      </c>
      <c r="H284" s="3"/>
      <c r="I284" s="3"/>
      <c r="J284" s="3"/>
      <c r="K284" s="3"/>
      <c r="L284" s="88"/>
    </row>
    <row r="285" spans="1:12">
      <c r="A285" s="19"/>
      <c r="B285" s="178" t="s">
        <v>213</v>
      </c>
      <c r="C285" s="174"/>
      <c r="D285" s="174"/>
      <c r="E285" s="174"/>
      <c r="F285" s="174"/>
      <c r="G285" s="174"/>
      <c r="H285" s="163"/>
      <c r="I285" s="163"/>
      <c r="J285" s="163"/>
      <c r="K285" s="163"/>
      <c r="L285" s="181"/>
    </row>
    <row r="286" spans="1:12">
      <c r="A286" s="19"/>
      <c r="B286" s="178" t="s">
        <v>214</v>
      </c>
      <c r="C286" s="174"/>
      <c r="D286" s="174"/>
      <c r="E286" s="174"/>
      <c r="F286" s="174"/>
      <c r="G286" s="174"/>
      <c r="H286" s="163"/>
      <c r="I286" s="163"/>
      <c r="J286" s="164"/>
      <c r="K286" s="163"/>
      <c r="L286" s="181"/>
    </row>
    <row r="287" spans="1:12" ht="45">
      <c r="A287" s="92"/>
      <c r="B287" s="93" t="s">
        <v>217</v>
      </c>
      <c r="C287" s="94"/>
      <c r="D287" s="191"/>
      <c r="E287" s="169" t="s">
        <v>219</v>
      </c>
      <c r="F287" s="70"/>
      <c r="G287" s="977" t="s">
        <v>218</v>
      </c>
      <c r="H287" s="978"/>
      <c r="I287" s="168" t="s">
        <v>215</v>
      </c>
      <c r="J287" s="171" t="s">
        <v>220</v>
      </c>
      <c r="K287" s="977" t="s">
        <v>216</v>
      </c>
      <c r="L287" s="979"/>
    </row>
    <row r="288" spans="1:12">
      <c r="A288" s="92"/>
      <c r="B288" s="172">
        <v>1</v>
      </c>
      <c r="C288" s="94"/>
      <c r="D288" s="94"/>
      <c r="E288" s="175">
        <v>2</v>
      </c>
      <c r="F288" s="97"/>
      <c r="G288" s="175">
        <v>3</v>
      </c>
      <c r="H288" s="191"/>
      <c r="I288" s="191">
        <v>4</v>
      </c>
      <c r="J288" s="112">
        <v>5</v>
      </c>
      <c r="K288" s="99"/>
      <c r="L288" s="100">
        <v>6</v>
      </c>
    </row>
    <row r="289" spans="1:12">
      <c r="A289" s="92"/>
      <c r="B289" s="93" t="e">
        <f>'04-22Master'!#REF!</f>
        <v>#REF!</v>
      </c>
      <c r="C289" s="187"/>
      <c r="D289" s="188"/>
      <c r="E289" s="189" t="s">
        <v>379</v>
      </c>
      <c r="F289" s="188"/>
      <c r="G289" s="189" t="s">
        <v>377</v>
      </c>
      <c r="H289" s="70"/>
      <c r="I289" s="16" t="s">
        <v>380</v>
      </c>
      <c r="J289" s="287">
        <v>1</v>
      </c>
      <c r="K289" s="190" t="s">
        <v>37</v>
      </c>
      <c r="L289" s="195"/>
    </row>
    <row r="290" spans="1:12">
      <c r="A290" s="92"/>
      <c r="B290" s="93"/>
      <c r="C290" s="187"/>
      <c r="D290" s="188"/>
      <c r="E290" s="189"/>
      <c r="F290" s="188"/>
      <c r="G290" s="189"/>
      <c r="H290" s="70"/>
      <c r="I290" s="16"/>
      <c r="J290" s="16"/>
      <c r="K290" s="190"/>
      <c r="L290" s="195"/>
    </row>
    <row r="291" spans="1:12">
      <c r="A291" s="92"/>
      <c r="B291" s="93"/>
      <c r="C291" s="187"/>
      <c r="D291" s="188"/>
      <c r="E291" s="189"/>
      <c r="F291" s="188"/>
      <c r="G291" s="189"/>
      <c r="H291" s="70"/>
      <c r="I291" s="16"/>
      <c r="J291" s="16"/>
      <c r="K291" s="190"/>
      <c r="L291" s="195"/>
    </row>
    <row r="292" spans="1:12">
      <c r="A292" s="92"/>
      <c r="B292" s="77"/>
      <c r="C292" s="23"/>
      <c r="D292" s="78"/>
      <c r="E292" s="189"/>
      <c r="F292" s="188"/>
      <c r="G292" s="189"/>
      <c r="H292" s="70"/>
      <c r="I292" s="16"/>
      <c r="J292" s="16"/>
      <c r="K292" s="190"/>
      <c r="L292" s="195"/>
    </row>
    <row r="293" spans="1:12">
      <c r="A293" s="92"/>
      <c r="B293" t="s">
        <v>221</v>
      </c>
      <c r="L293" s="20"/>
    </row>
    <row r="294" spans="1:12">
      <c r="A294" s="19"/>
      <c r="B294" t="s">
        <v>222</v>
      </c>
      <c r="L294" s="20"/>
    </row>
    <row r="295" spans="1:12">
      <c r="A295" s="19"/>
      <c r="B295" t="s">
        <v>233</v>
      </c>
      <c r="J295" t="s">
        <v>232</v>
      </c>
      <c r="L295" s="20"/>
    </row>
    <row r="296" spans="1:12">
      <c r="A296" s="19"/>
      <c r="G296" s="3" t="s">
        <v>230</v>
      </c>
      <c r="H296" s="3"/>
      <c r="I296" s="3"/>
      <c r="J296" s="3"/>
      <c r="K296" s="3"/>
      <c r="L296" s="88"/>
    </row>
    <row r="297" spans="1:12">
      <c r="A297" s="19"/>
      <c r="B297" s="3"/>
      <c r="G297" t="s">
        <v>231</v>
      </c>
      <c r="H297" s="3"/>
      <c r="I297" s="3"/>
      <c r="J297" s="3"/>
      <c r="K297" s="3"/>
      <c r="L297" s="88"/>
    </row>
    <row r="298" spans="1:12">
      <c r="A298" s="19"/>
      <c r="B298" s="178" t="s">
        <v>234</v>
      </c>
      <c r="C298" s="174"/>
      <c r="D298" s="174"/>
      <c r="E298" s="174"/>
      <c r="F298" s="174"/>
      <c r="G298" s="174"/>
      <c r="H298" s="163"/>
      <c r="I298" s="163"/>
      <c r="J298" s="163"/>
      <c r="K298" s="163"/>
      <c r="L298" s="181"/>
    </row>
    <row r="299" spans="1:12">
      <c r="A299" s="19"/>
      <c r="B299" s="178" t="s">
        <v>235</v>
      </c>
      <c r="C299" s="174"/>
      <c r="D299" s="174"/>
      <c r="E299" s="174"/>
      <c r="F299" s="174"/>
      <c r="G299" s="174"/>
      <c r="H299" s="163"/>
      <c r="I299" s="163"/>
      <c r="J299" s="164"/>
      <c r="K299" s="163"/>
      <c r="L299" s="181"/>
    </row>
    <row r="300" spans="1:12">
      <c r="A300" s="19"/>
      <c r="B300" s="93" t="s">
        <v>5</v>
      </c>
      <c r="C300" s="1007" t="s">
        <v>236</v>
      </c>
      <c r="D300" s="976"/>
      <c r="E300" s="976"/>
      <c r="F300" s="976"/>
      <c r="G300" s="976"/>
      <c r="H300" s="1008"/>
      <c r="I300" s="170" t="s">
        <v>109</v>
      </c>
      <c r="J300" s="1009" t="s">
        <v>237</v>
      </c>
      <c r="K300" s="1010"/>
      <c r="L300" s="1011"/>
    </row>
    <row r="301" spans="1:12">
      <c r="A301" s="19"/>
      <c r="B301" s="172">
        <v>1</v>
      </c>
      <c r="C301" s="206"/>
      <c r="D301" s="96"/>
      <c r="E301" s="102">
        <v>2</v>
      </c>
      <c r="F301" s="69"/>
      <c r="G301" s="1003"/>
      <c r="H301" s="978"/>
      <c r="I301" s="96">
        <v>3</v>
      </c>
      <c r="J301" s="193" t="s">
        <v>238</v>
      </c>
      <c r="K301" s="1012">
        <v>4</v>
      </c>
      <c r="L301" s="1013"/>
    </row>
    <row r="302" spans="1:12">
      <c r="A302" s="19"/>
      <c r="B302" s="93"/>
      <c r="C302" s="206"/>
      <c r="D302" s="96"/>
      <c r="E302" s="102"/>
      <c r="F302" s="69"/>
      <c r="G302" s="1003"/>
      <c r="H302" s="978"/>
      <c r="I302" s="190"/>
      <c r="J302" s="192"/>
      <c r="K302" s="1003"/>
      <c r="L302" s="979"/>
    </row>
    <row r="303" spans="1:12">
      <c r="A303" s="19"/>
      <c r="B303" s="93"/>
      <c r="C303" s="206"/>
      <c r="D303" s="96"/>
      <c r="E303" s="102"/>
      <c r="F303" s="69"/>
      <c r="G303" s="1003"/>
      <c r="H303" s="978"/>
      <c r="I303" s="190"/>
      <c r="J303" s="192"/>
      <c r="K303" s="1003"/>
      <c r="L303" s="979"/>
    </row>
    <row r="304" spans="1:12">
      <c r="A304" s="19"/>
      <c r="B304" s="93"/>
      <c r="C304" s="206"/>
      <c r="D304" s="96"/>
      <c r="E304" s="102"/>
      <c r="F304" s="69"/>
      <c r="G304" s="1003"/>
      <c r="H304" s="978"/>
      <c r="I304" s="190"/>
      <c r="J304" s="192"/>
      <c r="K304" s="1003"/>
      <c r="L304" s="979"/>
    </row>
    <row r="305" spans="1:12">
      <c r="A305" s="19"/>
      <c r="B305" s="77"/>
      <c r="C305" s="206"/>
      <c r="D305" s="96"/>
      <c r="E305" s="102"/>
      <c r="F305" s="69"/>
      <c r="G305" s="1003"/>
      <c r="H305" s="978"/>
      <c r="I305" s="190"/>
      <c r="J305" s="192"/>
      <c r="K305" s="1003"/>
      <c r="L305" s="979"/>
    </row>
    <row r="306" spans="1:12">
      <c r="A306" s="19"/>
      <c r="B306" t="s">
        <v>242</v>
      </c>
      <c r="L306" s="20"/>
    </row>
    <row r="307" spans="1:12">
      <c r="A307" s="19"/>
      <c r="B307" t="s">
        <v>243</v>
      </c>
      <c r="L307" s="20"/>
    </row>
    <row r="308" spans="1:12">
      <c r="A308" s="19"/>
      <c r="B308" t="s">
        <v>244</v>
      </c>
      <c r="L308" s="20"/>
    </row>
    <row r="309" spans="1:12">
      <c r="A309" s="19"/>
      <c r="B309" t="s">
        <v>245</v>
      </c>
      <c r="L309" s="20"/>
    </row>
    <row r="310" spans="1:12">
      <c r="A310" s="19"/>
      <c r="B310" s="189" t="s">
        <v>239</v>
      </c>
      <c r="C310" s="69"/>
      <c r="D310" s="69"/>
      <c r="E310" s="69"/>
      <c r="F310" s="70"/>
      <c r="G310" s="189" t="s">
        <v>215</v>
      </c>
      <c r="H310" s="70"/>
      <c r="I310" s="189" t="s">
        <v>240</v>
      </c>
      <c r="J310" s="69"/>
      <c r="K310" s="70"/>
      <c r="L310" s="20"/>
    </row>
    <row r="311" spans="1:12">
      <c r="A311" s="19"/>
      <c r="B311" s="980"/>
      <c r="C311" s="1002"/>
      <c r="D311" s="1002"/>
      <c r="E311" s="1002"/>
      <c r="F311" s="981"/>
      <c r="G311" s="980"/>
      <c r="H311" s="981"/>
      <c r="I311" s="980"/>
      <c r="J311" s="1002"/>
      <c r="K311" s="981"/>
      <c r="L311" s="20"/>
    </row>
    <row r="312" spans="1:12" ht="27.95" customHeight="1">
      <c r="A312" s="19"/>
      <c r="B312" s="980"/>
      <c r="C312" s="1002"/>
      <c r="D312" s="1002"/>
      <c r="E312" s="1002"/>
      <c r="F312" s="981"/>
      <c r="G312" s="980"/>
      <c r="H312" s="981"/>
      <c r="I312" s="980"/>
      <c r="J312" s="1002"/>
      <c r="K312" s="981"/>
      <c r="L312" s="20"/>
    </row>
    <row r="313" spans="1:12" ht="27.95" customHeight="1">
      <c r="A313" s="19"/>
      <c r="B313" s="980"/>
      <c r="C313" s="1002"/>
      <c r="D313" s="1002"/>
      <c r="E313" s="1002"/>
      <c r="F313" s="981"/>
      <c r="G313" s="980"/>
      <c r="H313" s="981"/>
      <c r="I313" s="980"/>
      <c r="J313" s="1002"/>
      <c r="K313" s="981"/>
      <c r="L313" s="20"/>
    </row>
    <row r="314" spans="1:12" ht="27.95" customHeight="1">
      <c r="A314" s="19"/>
      <c r="B314" s="980"/>
      <c r="C314" s="1002"/>
      <c r="D314" s="1002"/>
      <c r="E314" s="1002"/>
      <c r="F314" s="981"/>
      <c r="G314" s="980"/>
      <c r="H314" s="981"/>
      <c r="I314" s="980"/>
      <c r="J314" s="1002"/>
      <c r="K314" s="981"/>
      <c r="L314" s="20"/>
    </row>
    <row r="315" spans="1:12" ht="27.95" customHeight="1">
      <c r="A315" s="19"/>
      <c r="L315" s="20"/>
    </row>
    <row r="316" spans="1:12" ht="27.95" customHeight="1">
      <c r="A316" s="19"/>
      <c r="B316" t="s">
        <v>212</v>
      </c>
      <c r="C316" s="286" t="e">
        <f>'04-22Master'!#REF!</f>
        <v>#REF!</v>
      </c>
      <c r="I316" t="s">
        <v>241</v>
      </c>
      <c r="L316" s="20"/>
    </row>
    <row r="317" spans="1:12" ht="27.95" customHeight="1">
      <c r="A317" s="19"/>
      <c r="F317" s="177" t="s">
        <v>207</v>
      </c>
      <c r="L317" s="20"/>
    </row>
    <row r="318" spans="1:12" ht="27.95" customHeight="1">
      <c r="A318" s="19" t="s">
        <v>208</v>
      </c>
      <c r="K318" s="227" t="e">
        <f>'04-22Master'!#REF!</f>
        <v>#REF!</v>
      </c>
      <c r="L318" s="20"/>
    </row>
    <row r="319" spans="1:12" ht="27.95" customHeight="1">
      <c r="A319" s="19" t="s">
        <v>209</v>
      </c>
      <c r="L319" s="20"/>
    </row>
    <row r="320" spans="1:12" ht="27.95" customHeight="1">
      <c r="A320" s="19"/>
      <c r="L320" s="20"/>
    </row>
    <row r="321" spans="1:12" ht="27.95" customHeight="1">
      <c r="A321" s="19"/>
      <c r="F321" t="s">
        <v>210</v>
      </c>
      <c r="L321" s="20"/>
    </row>
    <row r="322" spans="1:12" ht="27.95" customHeight="1">
      <c r="A322" s="19" t="s">
        <v>211</v>
      </c>
      <c r="B322" t="s">
        <v>375</v>
      </c>
      <c r="F322" t="str">
        <f>'04-22Master'!F5</f>
        <v>Burgeon IT Services Pvt.Ltd.</v>
      </c>
      <c r="L322" s="20"/>
    </row>
    <row r="323" spans="1:12" ht="27.95" customHeight="1" thickBot="1">
      <c r="A323" s="31" t="s">
        <v>212</v>
      </c>
      <c r="B323" s="289" t="e">
        <f>'04-22Master'!#REF!</f>
        <v>#REF!</v>
      </c>
      <c r="C323" s="29"/>
      <c r="D323" s="29"/>
      <c r="E323" s="29"/>
      <c r="F323" s="29" t="str">
        <f>'04-22Master'!F6</f>
        <v>Siri Mansion LIGB 436 Dr.A S Rao Nagar,Hyderabad</v>
      </c>
      <c r="G323" s="29"/>
      <c r="H323" s="29"/>
      <c r="I323" s="29"/>
      <c r="J323" s="29"/>
      <c r="K323" s="29"/>
      <c r="L323" s="30"/>
    </row>
    <row r="324" spans="1:12" ht="27.95" customHeight="1" thickBot="1">
      <c r="A324" s="19"/>
      <c r="B324" s="286"/>
      <c r="L324" s="20"/>
    </row>
    <row r="325" spans="1:12" ht="27.95" customHeight="1">
      <c r="A325" s="81"/>
      <c r="B325" s="82"/>
      <c r="C325" s="82"/>
      <c r="D325" s="182"/>
      <c r="E325" s="182"/>
      <c r="F325" s="182"/>
      <c r="G325" s="182"/>
      <c r="H325" s="182"/>
      <c r="I325" s="182"/>
      <c r="J325" s="82"/>
      <c r="K325" s="184" t="s">
        <v>226</v>
      </c>
      <c r="L325" s="183"/>
    </row>
    <row r="326" spans="1:12" ht="27.95" customHeight="1">
      <c r="A326" s="19"/>
      <c r="B326" s="1004" t="s">
        <v>225</v>
      </c>
      <c r="C326" s="1004"/>
      <c r="D326" s="1004"/>
      <c r="E326" s="1004"/>
      <c r="F326" s="1004"/>
      <c r="G326" s="1004"/>
      <c r="H326" s="1004"/>
      <c r="I326" s="1004"/>
      <c r="J326" s="1004"/>
      <c r="K326" s="1004"/>
      <c r="L326" s="1005"/>
    </row>
    <row r="327" spans="1:12" ht="27.95" customHeight="1">
      <c r="A327" s="19"/>
      <c r="B327" s="999" t="s">
        <v>227</v>
      </c>
      <c r="C327" s="999"/>
      <c r="D327" s="999"/>
      <c r="E327" s="999"/>
      <c r="F327" s="999"/>
      <c r="G327" s="999"/>
      <c r="H327" s="999"/>
      <c r="I327" s="999"/>
      <c r="J327" s="999"/>
      <c r="K327" s="999"/>
      <c r="L327" s="1006"/>
    </row>
    <row r="328" spans="1:12" ht="27.95" customHeight="1">
      <c r="A328" s="19"/>
      <c r="B328" s="185" t="s">
        <v>228</v>
      </c>
      <c r="C328" s="185"/>
      <c r="D328" s="185"/>
      <c r="E328" s="185"/>
      <c r="F328" s="185"/>
      <c r="H328" s="186"/>
      <c r="I328" s="186"/>
      <c r="J328" s="186"/>
      <c r="K328" s="186"/>
      <c r="L328" s="194"/>
    </row>
    <row r="329" spans="1:12" ht="27.95" customHeight="1">
      <c r="A329" s="19"/>
      <c r="B329" s="185"/>
      <c r="C329" s="185"/>
      <c r="D329" s="185"/>
      <c r="E329" s="185"/>
      <c r="F329" s="185"/>
      <c r="H329" s="186"/>
      <c r="I329" s="186"/>
      <c r="J329" s="186"/>
      <c r="K329" s="186"/>
      <c r="L329" s="194"/>
    </row>
    <row r="330" spans="1:12" ht="27.95" customHeight="1">
      <c r="A330" s="19"/>
      <c r="B330" s="972" t="s">
        <v>197</v>
      </c>
      <c r="C330" s="972"/>
      <c r="D330" s="972"/>
      <c r="E330" s="972"/>
      <c r="F330" s="972"/>
      <c r="G330" s="972"/>
      <c r="H330" s="992" t="e">
        <f>'04-22Master'!#REF!</f>
        <v>#REF!</v>
      </c>
      <c r="I330" s="987"/>
      <c r="J330" s="987"/>
      <c r="K330" s="987"/>
      <c r="L330" s="841"/>
    </row>
    <row r="331" spans="1:12">
      <c r="A331" s="19"/>
      <c r="B331" s="993" t="s">
        <v>198</v>
      </c>
      <c r="C331" s="993"/>
      <c r="D331" s="993"/>
      <c r="E331" s="993"/>
      <c r="F331" s="993"/>
      <c r="G331" s="993"/>
      <c r="H331" s="992" t="e">
        <f>'04-22Master'!#REF!</f>
        <v>#REF!</v>
      </c>
      <c r="I331" s="987"/>
      <c r="J331" s="987"/>
      <c r="K331" s="987"/>
      <c r="L331" s="841"/>
    </row>
    <row r="332" spans="1:12">
      <c r="A332" s="19"/>
      <c r="B332" s="972" t="s">
        <v>199</v>
      </c>
      <c r="C332" s="972"/>
      <c r="D332" s="972"/>
      <c r="E332" s="972"/>
      <c r="F332" s="972"/>
      <c r="G332" s="972"/>
      <c r="H332" s="992" t="e">
        <f>'04-22Master'!#REF!</f>
        <v>#REF!</v>
      </c>
      <c r="I332" s="987"/>
      <c r="J332" s="987"/>
      <c r="K332" s="987"/>
      <c r="L332" s="841"/>
    </row>
    <row r="333" spans="1:12">
      <c r="A333" s="19"/>
      <c r="B333" s="972" t="s">
        <v>200</v>
      </c>
      <c r="C333" s="972"/>
      <c r="D333" s="972"/>
      <c r="E333" s="972"/>
      <c r="F333" s="972"/>
      <c r="G333" s="972"/>
      <c r="H333" s="986" t="e">
        <f>'04-22Master'!#REF!</f>
        <v>#REF!</v>
      </c>
      <c r="I333" s="987"/>
      <c r="J333" s="987"/>
      <c r="K333" s="987"/>
      <c r="L333" s="841"/>
    </row>
    <row r="334" spans="1:12">
      <c r="A334" s="19"/>
      <c r="B334" s="93" t="s">
        <v>202</v>
      </c>
      <c r="C334" s="94"/>
      <c r="D334" s="94"/>
      <c r="E334" s="94"/>
      <c r="F334" s="94"/>
      <c r="G334" s="94"/>
      <c r="H334" s="988" t="s">
        <v>203</v>
      </c>
      <c r="I334" s="989"/>
      <c r="J334" s="989"/>
      <c r="K334" s="989"/>
      <c r="L334" s="990"/>
    </row>
    <row r="335" spans="1:12">
      <c r="A335" s="19"/>
      <c r="B335" s="93" t="s">
        <v>204</v>
      </c>
      <c r="C335" s="94"/>
      <c r="D335" s="94"/>
      <c r="E335" s="94"/>
      <c r="F335" s="94"/>
      <c r="G335" s="94"/>
      <c r="H335" s="95"/>
      <c r="I335" s="96"/>
      <c r="J335" s="176"/>
      <c r="K335" s="96"/>
      <c r="L335" s="101"/>
    </row>
    <row r="336" spans="1:12">
      <c r="A336" s="19"/>
      <c r="B336" s="834" t="s">
        <v>205</v>
      </c>
      <c r="C336" s="834"/>
      <c r="D336" s="834"/>
      <c r="E336" s="834"/>
      <c r="F336" s="834"/>
      <c r="G336" s="834"/>
      <c r="H336" s="835" t="e">
        <f>'04-22Master'!#REF!</f>
        <v>#REF!</v>
      </c>
      <c r="I336" s="849"/>
      <c r="J336" s="849"/>
      <c r="K336" s="849"/>
      <c r="L336" s="850"/>
    </row>
    <row r="337" spans="1:12">
      <c r="A337" s="19"/>
      <c r="B337" s="972"/>
      <c r="C337" s="972"/>
      <c r="D337" s="972"/>
      <c r="E337" s="972"/>
      <c r="F337" s="972"/>
      <c r="G337" s="972"/>
      <c r="H337" s="991" t="e">
        <f>'04-22Master'!#REF!</f>
        <v>#REF!</v>
      </c>
      <c r="I337" s="987"/>
      <c r="J337" s="987"/>
      <c r="K337" s="987"/>
      <c r="L337" s="841"/>
    </row>
    <row r="338" spans="1:12">
      <c r="A338" s="19"/>
      <c r="B338" s="972"/>
      <c r="C338" s="972"/>
      <c r="D338" s="972"/>
      <c r="E338" s="972"/>
      <c r="F338" s="972"/>
      <c r="G338" s="972"/>
      <c r="H338" s="992" t="e">
        <f>'04-22Master'!#REF!</f>
        <v>#REF!</v>
      </c>
      <c r="I338" s="987"/>
      <c r="J338" s="987"/>
      <c r="K338" s="987"/>
      <c r="L338" s="841"/>
    </row>
    <row r="339" spans="1:12">
      <c r="A339" s="19"/>
      <c r="G339" s="3" t="s">
        <v>229</v>
      </c>
      <c r="H339" s="3"/>
      <c r="I339" s="3"/>
      <c r="J339" s="3"/>
      <c r="K339" s="3"/>
      <c r="L339" s="88"/>
    </row>
    <row r="340" spans="1:12">
      <c r="A340" s="19"/>
      <c r="B340" s="178" t="s">
        <v>213</v>
      </c>
      <c r="C340" s="174"/>
      <c r="D340" s="174"/>
      <c r="E340" s="174"/>
      <c r="F340" s="174"/>
      <c r="G340" s="174"/>
      <c r="H340" s="163"/>
      <c r="I340" s="163"/>
      <c r="J340" s="163"/>
      <c r="K340" s="163"/>
      <c r="L340" s="181"/>
    </row>
    <row r="341" spans="1:12">
      <c r="A341" s="19"/>
      <c r="B341" s="178" t="s">
        <v>214</v>
      </c>
      <c r="C341" s="174"/>
      <c r="D341" s="174"/>
      <c r="E341" s="174"/>
      <c r="F341" s="174"/>
      <c r="G341" s="174"/>
      <c r="H341" s="163"/>
      <c r="I341" s="163"/>
      <c r="J341" s="164"/>
      <c r="K341" s="163"/>
      <c r="L341" s="181"/>
    </row>
    <row r="342" spans="1:12" ht="45">
      <c r="A342" s="92"/>
      <c r="B342" s="93" t="s">
        <v>217</v>
      </c>
      <c r="C342" s="94"/>
      <c r="D342" s="191"/>
      <c r="E342" s="169" t="s">
        <v>219</v>
      </c>
      <c r="F342" s="70"/>
      <c r="G342" s="977" t="s">
        <v>218</v>
      </c>
      <c r="H342" s="978"/>
      <c r="I342" s="168" t="s">
        <v>215</v>
      </c>
      <c r="J342" s="171" t="s">
        <v>220</v>
      </c>
      <c r="K342" s="977" t="s">
        <v>216</v>
      </c>
      <c r="L342" s="979"/>
    </row>
    <row r="343" spans="1:12">
      <c r="A343" s="92"/>
      <c r="B343" s="172">
        <v>1</v>
      </c>
      <c r="C343" s="94"/>
      <c r="D343" s="94"/>
      <c r="E343" s="175">
        <v>2</v>
      </c>
      <c r="F343" s="97"/>
      <c r="G343" s="175">
        <v>3</v>
      </c>
      <c r="H343" s="191"/>
      <c r="I343" s="191">
        <v>4</v>
      </c>
      <c r="J343" s="112">
        <v>5</v>
      </c>
      <c r="K343" s="99"/>
      <c r="L343" s="100">
        <v>6</v>
      </c>
    </row>
    <row r="344" spans="1:12">
      <c r="A344" s="92"/>
      <c r="B344" s="93" t="e">
        <f>'04-22Master'!#REF!</f>
        <v>#REF!</v>
      </c>
      <c r="C344" s="187"/>
      <c r="D344" s="188"/>
      <c r="E344" s="189" t="s">
        <v>379</v>
      </c>
      <c r="F344" s="188"/>
      <c r="G344" s="189" t="s">
        <v>377</v>
      </c>
      <c r="H344" s="70"/>
      <c r="I344" s="16" t="s">
        <v>380</v>
      </c>
      <c r="J344" s="287">
        <v>1</v>
      </c>
      <c r="K344" s="190" t="s">
        <v>37</v>
      </c>
      <c r="L344" s="195"/>
    </row>
    <row r="345" spans="1:12">
      <c r="A345" s="92"/>
      <c r="B345" s="93"/>
      <c r="C345" s="187"/>
      <c r="D345" s="188"/>
      <c r="E345" s="189"/>
      <c r="F345" s="188"/>
      <c r="G345" s="189"/>
      <c r="H345" s="70"/>
      <c r="I345" s="16"/>
      <c r="J345" s="16"/>
      <c r="K345" s="190"/>
      <c r="L345" s="195"/>
    </row>
    <row r="346" spans="1:12">
      <c r="A346" s="92"/>
      <c r="B346" s="93"/>
      <c r="C346" s="187"/>
      <c r="D346" s="188"/>
      <c r="E346" s="189"/>
      <c r="F346" s="188"/>
      <c r="G346" s="189"/>
      <c r="H346" s="70"/>
      <c r="I346" s="16"/>
      <c r="J346" s="16"/>
      <c r="K346" s="190"/>
      <c r="L346" s="195"/>
    </row>
    <row r="347" spans="1:12">
      <c r="A347" s="92"/>
      <c r="B347" s="77"/>
      <c r="C347" s="23"/>
      <c r="D347" s="78"/>
      <c r="E347" s="189"/>
      <c r="F347" s="188"/>
      <c r="G347" s="189"/>
      <c r="H347" s="70"/>
      <c r="I347" s="16"/>
      <c r="J347" s="16"/>
      <c r="K347" s="190"/>
      <c r="L347" s="195"/>
    </row>
    <row r="348" spans="1:12">
      <c r="A348" s="92"/>
      <c r="B348" t="s">
        <v>221</v>
      </c>
      <c r="L348" s="20"/>
    </row>
    <row r="349" spans="1:12">
      <c r="A349" s="19"/>
      <c r="B349" t="s">
        <v>222</v>
      </c>
      <c r="L349" s="20"/>
    </row>
    <row r="350" spans="1:12">
      <c r="A350" s="19"/>
      <c r="B350" t="s">
        <v>233</v>
      </c>
      <c r="J350" t="s">
        <v>232</v>
      </c>
      <c r="L350" s="20"/>
    </row>
    <row r="351" spans="1:12">
      <c r="A351" s="19"/>
      <c r="G351" s="3" t="s">
        <v>230</v>
      </c>
      <c r="H351" s="3"/>
      <c r="I351" s="3"/>
      <c r="J351" s="3"/>
      <c r="K351" s="3"/>
      <c r="L351" s="88"/>
    </row>
    <row r="352" spans="1:12">
      <c r="A352" s="19"/>
      <c r="B352" s="3"/>
      <c r="G352" t="s">
        <v>231</v>
      </c>
      <c r="H352" s="3"/>
      <c r="I352" s="3"/>
      <c r="J352" s="3"/>
      <c r="K352" s="3"/>
      <c r="L352" s="88"/>
    </row>
    <row r="353" spans="1:12">
      <c r="A353" s="19"/>
      <c r="B353" s="178" t="s">
        <v>234</v>
      </c>
      <c r="C353" s="174"/>
      <c r="D353" s="174"/>
      <c r="E353" s="174"/>
      <c r="F353" s="174"/>
      <c r="G353" s="174"/>
      <c r="H353" s="163"/>
      <c r="I353" s="163"/>
      <c r="J353" s="163"/>
      <c r="K353" s="163"/>
      <c r="L353" s="181"/>
    </row>
    <row r="354" spans="1:12">
      <c r="A354" s="19"/>
      <c r="B354" s="178" t="s">
        <v>235</v>
      </c>
      <c r="C354" s="174"/>
      <c r="D354" s="174"/>
      <c r="E354" s="174"/>
      <c r="F354" s="174"/>
      <c r="G354" s="174"/>
      <c r="H354" s="163"/>
      <c r="I354" s="163"/>
      <c r="J354" s="164"/>
      <c r="K354" s="163"/>
      <c r="L354" s="181"/>
    </row>
    <row r="355" spans="1:12">
      <c r="A355" s="19"/>
      <c r="B355" s="93" t="s">
        <v>5</v>
      </c>
      <c r="C355" s="1007" t="s">
        <v>236</v>
      </c>
      <c r="D355" s="976"/>
      <c r="E355" s="976"/>
      <c r="F355" s="976"/>
      <c r="G355" s="976"/>
      <c r="H355" s="1008"/>
      <c r="I355" s="170" t="s">
        <v>109</v>
      </c>
      <c r="J355" s="1009" t="s">
        <v>237</v>
      </c>
      <c r="K355" s="1010"/>
      <c r="L355" s="1011"/>
    </row>
    <row r="356" spans="1:12">
      <c r="A356" s="19"/>
      <c r="B356" s="172">
        <v>1</v>
      </c>
      <c r="C356" s="206"/>
      <c r="D356" s="96"/>
      <c r="E356" s="102">
        <v>2</v>
      </c>
      <c r="F356" s="69"/>
      <c r="G356" s="1003"/>
      <c r="H356" s="978"/>
      <c r="I356" s="96">
        <v>3</v>
      </c>
      <c r="J356" s="193" t="s">
        <v>238</v>
      </c>
      <c r="K356" s="1012">
        <v>4</v>
      </c>
      <c r="L356" s="1013"/>
    </row>
    <row r="357" spans="1:12">
      <c r="A357" s="19"/>
      <c r="B357" s="93"/>
      <c r="C357" s="206"/>
      <c r="D357" s="96"/>
      <c r="E357" s="102"/>
      <c r="F357" s="69"/>
      <c r="G357" s="1003"/>
      <c r="H357" s="978"/>
      <c r="I357" s="190"/>
      <c r="J357" s="192"/>
      <c r="K357" s="1003"/>
      <c r="L357" s="979"/>
    </row>
    <row r="358" spans="1:12">
      <c r="A358" s="19"/>
      <c r="B358" s="93"/>
      <c r="C358" s="206"/>
      <c r="D358" s="96"/>
      <c r="E358" s="102"/>
      <c r="F358" s="69"/>
      <c r="G358" s="1003"/>
      <c r="H358" s="978"/>
      <c r="I358" s="190"/>
      <c r="J358" s="192"/>
      <c r="K358" s="1003"/>
      <c r="L358" s="979"/>
    </row>
    <row r="359" spans="1:12">
      <c r="A359" s="19"/>
      <c r="B359" s="93"/>
      <c r="C359" s="206"/>
      <c r="D359" s="96"/>
      <c r="E359" s="102"/>
      <c r="F359" s="69"/>
      <c r="G359" s="1003"/>
      <c r="H359" s="978"/>
      <c r="I359" s="190"/>
      <c r="J359" s="192"/>
      <c r="K359" s="1003"/>
      <c r="L359" s="979"/>
    </row>
    <row r="360" spans="1:12">
      <c r="A360" s="19"/>
      <c r="B360" s="77"/>
      <c r="C360" s="206"/>
      <c r="D360" s="96"/>
      <c r="E360" s="102"/>
      <c r="F360" s="69"/>
      <c r="G360" s="1003"/>
      <c r="H360" s="978"/>
      <c r="I360" s="190"/>
      <c r="J360" s="192"/>
      <c r="K360" s="1003"/>
      <c r="L360" s="979"/>
    </row>
    <row r="361" spans="1:12">
      <c r="A361" s="19"/>
      <c r="B361" t="s">
        <v>242</v>
      </c>
      <c r="L361" s="20"/>
    </row>
    <row r="362" spans="1:12">
      <c r="A362" s="19"/>
      <c r="B362" t="s">
        <v>243</v>
      </c>
      <c r="L362" s="20"/>
    </row>
    <row r="363" spans="1:12">
      <c r="A363" s="19"/>
      <c r="B363" t="s">
        <v>244</v>
      </c>
      <c r="L363" s="20"/>
    </row>
    <row r="364" spans="1:12">
      <c r="A364" s="19"/>
      <c r="B364" t="s">
        <v>245</v>
      </c>
      <c r="L364" s="20"/>
    </row>
    <row r="365" spans="1:12">
      <c r="A365" s="19"/>
      <c r="B365" s="189" t="s">
        <v>239</v>
      </c>
      <c r="C365" s="69"/>
      <c r="D365" s="69"/>
      <c r="E365" s="69"/>
      <c r="F365" s="70"/>
      <c r="G365" s="189" t="s">
        <v>215</v>
      </c>
      <c r="H365" s="70"/>
      <c r="I365" s="189" t="s">
        <v>240</v>
      </c>
      <c r="J365" s="69"/>
      <c r="K365" s="70"/>
      <c r="L365" s="20"/>
    </row>
    <row r="366" spans="1:12" ht="27.95" customHeight="1">
      <c r="A366" s="19"/>
      <c r="B366" s="980"/>
      <c r="C366" s="1002"/>
      <c r="D366" s="1002"/>
      <c r="E366" s="1002"/>
      <c r="F366" s="981"/>
      <c r="G366" s="980"/>
      <c r="H366" s="981"/>
      <c r="I366" s="980"/>
      <c r="J366" s="1002"/>
      <c r="K366" s="981"/>
      <c r="L366" s="20"/>
    </row>
    <row r="367" spans="1:12" ht="27.95" customHeight="1">
      <c r="A367" s="19"/>
      <c r="B367" s="980"/>
      <c r="C367" s="1002"/>
      <c r="D367" s="1002"/>
      <c r="E367" s="1002"/>
      <c r="F367" s="981"/>
      <c r="G367" s="980"/>
      <c r="H367" s="981"/>
      <c r="I367" s="980"/>
      <c r="J367" s="1002"/>
      <c r="K367" s="981"/>
      <c r="L367" s="20"/>
    </row>
    <row r="368" spans="1:12" ht="27.95" customHeight="1">
      <c r="A368" s="19"/>
      <c r="B368" s="980"/>
      <c r="C368" s="1002"/>
      <c r="D368" s="1002"/>
      <c r="E368" s="1002"/>
      <c r="F368" s="981"/>
      <c r="G368" s="980"/>
      <c r="H368" s="981"/>
      <c r="I368" s="980"/>
      <c r="J368" s="1002"/>
      <c r="K368" s="981"/>
      <c r="L368" s="20"/>
    </row>
    <row r="369" spans="1:12" ht="27.95" customHeight="1">
      <c r="A369" s="19"/>
      <c r="B369" s="980"/>
      <c r="C369" s="1002"/>
      <c r="D369" s="1002"/>
      <c r="E369" s="1002"/>
      <c r="F369" s="981"/>
      <c r="G369" s="980"/>
      <c r="H369" s="981"/>
      <c r="I369" s="980"/>
      <c r="J369" s="1002"/>
      <c r="K369" s="981"/>
      <c r="L369" s="20"/>
    </row>
    <row r="370" spans="1:12" ht="27.95" customHeight="1">
      <c r="A370" s="19"/>
      <c r="L370" s="20"/>
    </row>
    <row r="371" spans="1:12" ht="27.95" customHeight="1">
      <c r="A371" s="19"/>
      <c r="B371" t="s">
        <v>212</v>
      </c>
      <c r="C371" s="286" t="e">
        <f>'04-22Master'!#REF!</f>
        <v>#REF!</v>
      </c>
      <c r="I371" t="s">
        <v>241</v>
      </c>
      <c r="L371" s="20"/>
    </row>
    <row r="372" spans="1:12" ht="27.95" customHeight="1">
      <c r="A372" s="19"/>
      <c r="F372" s="177" t="s">
        <v>207</v>
      </c>
      <c r="L372" s="20"/>
    </row>
    <row r="373" spans="1:12" ht="27.95" customHeight="1">
      <c r="A373" s="19" t="s">
        <v>208</v>
      </c>
      <c r="K373" s="227" t="e">
        <f>'04-22Master'!#REF!</f>
        <v>#REF!</v>
      </c>
      <c r="L373" s="20"/>
    </row>
    <row r="374" spans="1:12" ht="27.95" customHeight="1">
      <c r="A374" s="19" t="s">
        <v>209</v>
      </c>
      <c r="L374" s="20"/>
    </row>
    <row r="375" spans="1:12" ht="27.95" customHeight="1">
      <c r="A375" s="19"/>
      <c r="L375" s="20"/>
    </row>
    <row r="376" spans="1:12" ht="27.95" customHeight="1">
      <c r="A376" s="19"/>
      <c r="F376" t="s">
        <v>210</v>
      </c>
      <c r="L376" s="20"/>
    </row>
    <row r="377" spans="1:12" ht="27.95" customHeight="1">
      <c r="A377" s="19" t="s">
        <v>211</v>
      </c>
      <c r="B377" t="s">
        <v>375</v>
      </c>
      <c r="F377" t="str">
        <f>'04-22Master'!F5</f>
        <v>Burgeon IT Services Pvt.Ltd.</v>
      </c>
      <c r="L377" s="20"/>
    </row>
    <row r="378" spans="1:12" ht="27.95" customHeight="1" thickBot="1">
      <c r="A378" s="31" t="s">
        <v>212</v>
      </c>
      <c r="B378" s="289" t="e">
        <f>'04-22Master'!#REF!</f>
        <v>#REF!</v>
      </c>
      <c r="C378" s="29"/>
      <c r="D378" s="29"/>
      <c r="E378" s="29"/>
      <c r="F378" s="29" t="str">
        <f>'04-22Master'!F6</f>
        <v>Siri Mansion LIGB 436 Dr.A S Rao Nagar,Hyderabad</v>
      </c>
      <c r="G378" s="29"/>
      <c r="H378" s="29"/>
      <c r="I378" s="29"/>
      <c r="J378" s="29"/>
      <c r="K378" s="29"/>
      <c r="L378" s="30"/>
    </row>
    <row r="379" spans="1:12" ht="27.95" customHeight="1">
      <c r="A379" s="81"/>
      <c r="B379" s="82"/>
      <c r="C379" s="82"/>
      <c r="D379" s="182"/>
      <c r="E379" s="182"/>
      <c r="F379" s="182"/>
      <c r="G379" s="182"/>
      <c r="H379" s="182"/>
      <c r="I379" s="182"/>
      <c r="J379" s="82"/>
      <c r="K379" s="184" t="s">
        <v>226</v>
      </c>
      <c r="L379" s="183"/>
    </row>
    <row r="380" spans="1:12" ht="27.95" customHeight="1">
      <c r="A380" s="19"/>
      <c r="B380" s="1004" t="s">
        <v>225</v>
      </c>
      <c r="C380" s="1004"/>
      <c r="D380" s="1004"/>
      <c r="E380" s="1004"/>
      <c r="F380" s="1004"/>
      <c r="G380" s="1004"/>
      <c r="H380" s="1004"/>
      <c r="I380" s="1004"/>
      <c r="J380" s="1004"/>
      <c r="K380" s="1004"/>
      <c r="L380" s="1005"/>
    </row>
    <row r="381" spans="1:12" ht="27.95" customHeight="1">
      <c r="A381" s="19"/>
      <c r="B381" s="999" t="s">
        <v>227</v>
      </c>
      <c r="C381" s="999"/>
      <c r="D381" s="999"/>
      <c r="E381" s="999"/>
      <c r="F381" s="999"/>
      <c r="G381" s="999"/>
      <c r="H381" s="999"/>
      <c r="I381" s="999"/>
      <c r="J381" s="999"/>
      <c r="K381" s="999"/>
      <c r="L381" s="1006"/>
    </row>
    <row r="382" spans="1:12" ht="27.95" customHeight="1">
      <c r="A382" s="19"/>
      <c r="B382" s="185" t="s">
        <v>228</v>
      </c>
      <c r="C382" s="185"/>
      <c r="D382" s="185"/>
      <c r="E382" s="185"/>
      <c r="F382" s="185"/>
      <c r="H382" s="186"/>
      <c r="I382" s="186"/>
      <c r="J382" s="186"/>
      <c r="K382" s="186"/>
      <c r="L382" s="194"/>
    </row>
    <row r="383" spans="1:12" ht="27.95" customHeight="1">
      <c r="A383" s="19"/>
      <c r="B383" s="185"/>
      <c r="C383" s="185"/>
      <c r="D383" s="185"/>
      <c r="E383" s="185"/>
      <c r="F383" s="185"/>
      <c r="H383" s="186"/>
      <c r="I383" s="186"/>
      <c r="J383" s="186"/>
      <c r="K383" s="186"/>
      <c r="L383" s="194"/>
    </row>
    <row r="384" spans="1:12">
      <c r="A384" s="19"/>
      <c r="B384" s="972" t="s">
        <v>197</v>
      </c>
      <c r="C384" s="972"/>
      <c r="D384" s="972"/>
      <c r="E384" s="972"/>
      <c r="F384" s="972"/>
      <c r="G384" s="972"/>
      <c r="H384" s="992" t="e">
        <f>'04-22Master'!#REF!</f>
        <v>#REF!</v>
      </c>
      <c r="I384" s="987"/>
      <c r="J384" s="987"/>
      <c r="K384" s="987"/>
      <c r="L384" s="841"/>
    </row>
    <row r="385" spans="1:12">
      <c r="A385" s="19"/>
      <c r="B385" s="993" t="s">
        <v>198</v>
      </c>
      <c r="C385" s="993"/>
      <c r="D385" s="993"/>
      <c r="E385" s="993"/>
      <c r="F385" s="993"/>
      <c r="G385" s="993"/>
      <c r="H385" s="992" t="e">
        <f>'04-22Master'!#REF!</f>
        <v>#REF!</v>
      </c>
      <c r="I385" s="987"/>
      <c r="J385" s="987"/>
      <c r="K385" s="987"/>
      <c r="L385" s="841"/>
    </row>
    <row r="386" spans="1:12">
      <c r="A386" s="19"/>
      <c r="B386" s="972" t="s">
        <v>199</v>
      </c>
      <c r="C386" s="972"/>
      <c r="D386" s="972"/>
      <c r="E386" s="972"/>
      <c r="F386" s="972"/>
      <c r="G386" s="972"/>
      <c r="H386" s="992" t="e">
        <f>'04-22Master'!#REF!</f>
        <v>#REF!</v>
      </c>
      <c r="I386" s="987"/>
      <c r="J386" s="987"/>
      <c r="K386" s="987"/>
      <c r="L386" s="841"/>
    </row>
    <row r="387" spans="1:12">
      <c r="A387" s="19"/>
      <c r="B387" s="972" t="s">
        <v>200</v>
      </c>
      <c r="C387" s="972"/>
      <c r="D387" s="972"/>
      <c r="E387" s="972"/>
      <c r="F387" s="972"/>
      <c r="G387" s="972"/>
      <c r="H387" s="986" t="e">
        <f>'04-22Master'!#REF!</f>
        <v>#REF!</v>
      </c>
      <c r="I387" s="987"/>
      <c r="J387" s="987"/>
      <c r="K387" s="987"/>
      <c r="L387" s="841"/>
    </row>
    <row r="388" spans="1:12">
      <c r="A388" s="19"/>
      <c r="B388" s="93" t="s">
        <v>202</v>
      </c>
      <c r="C388" s="94"/>
      <c r="D388" s="94"/>
      <c r="E388" s="94"/>
      <c r="F388" s="94"/>
      <c r="G388" s="94"/>
      <c r="H388" s="988" t="s">
        <v>203</v>
      </c>
      <c r="I388" s="989"/>
      <c r="J388" s="989"/>
      <c r="K388" s="989"/>
      <c r="L388" s="990"/>
    </row>
    <row r="389" spans="1:12">
      <c r="A389" s="19"/>
      <c r="B389" s="93" t="s">
        <v>204</v>
      </c>
      <c r="C389" s="94"/>
      <c r="D389" s="94"/>
      <c r="E389" s="94"/>
      <c r="F389" s="94"/>
      <c r="G389" s="94"/>
      <c r="H389" s="95"/>
      <c r="I389" s="96"/>
      <c r="J389" s="176"/>
      <c r="K389" s="96"/>
      <c r="L389" s="101"/>
    </row>
    <row r="390" spans="1:12" ht="15" customHeight="1">
      <c r="A390" s="19"/>
      <c r="B390" s="834" t="s">
        <v>205</v>
      </c>
      <c r="C390" s="834"/>
      <c r="D390" s="834"/>
      <c r="E390" s="834"/>
      <c r="F390" s="834"/>
      <c r="G390" s="834"/>
      <c r="H390" s="835" t="e">
        <f>'04-22Master'!#REF!</f>
        <v>#REF!</v>
      </c>
      <c r="I390" s="849"/>
      <c r="J390" s="849"/>
      <c r="K390" s="849"/>
      <c r="L390" s="850"/>
    </row>
    <row r="391" spans="1:12">
      <c r="A391" s="19"/>
      <c r="B391" s="972"/>
      <c r="C391" s="972"/>
      <c r="D391" s="972"/>
      <c r="E391" s="972"/>
      <c r="F391" s="972"/>
      <c r="G391" s="972"/>
      <c r="H391" s="991" t="e">
        <f>'04-22Master'!#REF!</f>
        <v>#REF!</v>
      </c>
      <c r="I391" s="987"/>
      <c r="J391" s="987"/>
      <c r="K391" s="987"/>
      <c r="L391" s="841"/>
    </row>
    <row r="392" spans="1:12">
      <c r="A392" s="19"/>
      <c r="B392" s="972"/>
      <c r="C392" s="972"/>
      <c r="D392" s="972"/>
      <c r="E392" s="972"/>
      <c r="F392" s="972"/>
      <c r="G392" s="972"/>
      <c r="H392" s="992" t="e">
        <f>'04-22Master'!#REF!</f>
        <v>#REF!</v>
      </c>
      <c r="I392" s="987"/>
      <c r="J392" s="987"/>
      <c r="K392" s="987"/>
      <c r="L392" s="841"/>
    </row>
    <row r="393" spans="1:12">
      <c r="A393" s="19"/>
      <c r="G393" s="3" t="s">
        <v>229</v>
      </c>
      <c r="H393" s="3"/>
      <c r="I393" s="3"/>
      <c r="J393" s="3"/>
      <c r="K393" s="3"/>
      <c r="L393" s="88"/>
    </row>
    <row r="394" spans="1:12">
      <c r="A394" s="19"/>
      <c r="B394" s="178" t="s">
        <v>213</v>
      </c>
      <c r="C394" s="174"/>
      <c r="D394" s="174"/>
      <c r="E394" s="174"/>
      <c r="F394" s="174"/>
      <c r="G394" s="174"/>
      <c r="H394" s="163"/>
      <c r="I394" s="163"/>
      <c r="J394" s="163"/>
      <c r="K394" s="163"/>
      <c r="L394" s="181"/>
    </row>
    <row r="395" spans="1:12">
      <c r="A395" s="19"/>
      <c r="B395" s="178" t="s">
        <v>214</v>
      </c>
      <c r="C395" s="174"/>
      <c r="D395" s="174"/>
      <c r="E395" s="174"/>
      <c r="F395" s="174"/>
      <c r="G395" s="174"/>
      <c r="H395" s="163"/>
      <c r="I395" s="163"/>
      <c r="J395" s="164"/>
      <c r="K395" s="163"/>
      <c r="L395" s="181"/>
    </row>
    <row r="396" spans="1:12" ht="45">
      <c r="A396" s="92"/>
      <c r="B396" s="93" t="s">
        <v>217</v>
      </c>
      <c r="C396" s="94"/>
      <c r="D396" s="191"/>
      <c r="E396" s="169" t="s">
        <v>219</v>
      </c>
      <c r="F396" s="70"/>
      <c r="G396" s="977" t="s">
        <v>218</v>
      </c>
      <c r="H396" s="978"/>
      <c r="I396" s="168" t="s">
        <v>215</v>
      </c>
      <c r="J396" s="171" t="s">
        <v>220</v>
      </c>
      <c r="K396" s="977" t="s">
        <v>216</v>
      </c>
      <c r="L396" s="979"/>
    </row>
    <row r="397" spans="1:12">
      <c r="A397" s="92"/>
      <c r="B397" s="172">
        <v>1</v>
      </c>
      <c r="C397" s="94"/>
      <c r="D397" s="94"/>
      <c r="E397" s="175">
        <v>2</v>
      </c>
      <c r="F397" s="97"/>
      <c r="G397" s="175">
        <v>3</v>
      </c>
      <c r="H397" s="191"/>
      <c r="I397" s="191">
        <v>4</v>
      </c>
      <c r="J397" s="112">
        <v>5</v>
      </c>
      <c r="K397" s="99"/>
      <c r="L397" s="100">
        <v>6</v>
      </c>
    </row>
    <row r="398" spans="1:12">
      <c r="A398" s="92"/>
      <c r="B398" s="93" t="e">
        <f>'04-22Master'!#REF!</f>
        <v>#REF!</v>
      </c>
      <c r="C398" s="187"/>
      <c r="D398" s="188"/>
      <c r="E398" s="189" t="s">
        <v>379</v>
      </c>
      <c r="F398" s="188"/>
      <c r="G398" s="189" t="s">
        <v>377</v>
      </c>
      <c r="H398" s="70"/>
      <c r="I398" s="16" t="s">
        <v>380</v>
      </c>
      <c r="J398" s="287">
        <v>1</v>
      </c>
      <c r="K398" s="190" t="s">
        <v>37</v>
      </c>
      <c r="L398" s="195"/>
    </row>
    <row r="399" spans="1:12">
      <c r="A399" s="92"/>
      <c r="B399" s="93"/>
      <c r="C399" s="187"/>
      <c r="D399" s="188"/>
      <c r="E399" s="189"/>
      <c r="F399" s="188"/>
      <c r="G399" s="189"/>
      <c r="H399" s="70"/>
      <c r="I399" s="16"/>
      <c r="J399" s="16"/>
      <c r="K399" s="190"/>
      <c r="L399" s="195"/>
    </row>
    <row r="400" spans="1:12">
      <c r="A400" s="92"/>
      <c r="B400" s="93"/>
      <c r="C400" s="187"/>
      <c r="D400" s="188"/>
      <c r="E400" s="189"/>
      <c r="F400" s="188"/>
      <c r="G400" s="189"/>
      <c r="H400" s="70"/>
      <c r="I400" s="16"/>
      <c r="J400" s="16"/>
      <c r="K400" s="190"/>
      <c r="L400" s="195"/>
    </row>
    <row r="401" spans="1:12">
      <c r="A401" s="92"/>
      <c r="B401" s="77"/>
      <c r="C401" s="23"/>
      <c r="D401" s="78"/>
      <c r="E401" s="189"/>
      <c r="F401" s="188"/>
      <c r="G401" s="189"/>
      <c r="H401" s="70"/>
      <c r="I401" s="16"/>
      <c r="J401" s="16"/>
      <c r="K401" s="190"/>
      <c r="L401" s="195"/>
    </row>
    <row r="402" spans="1:12">
      <c r="A402" s="92"/>
      <c r="B402" t="s">
        <v>221</v>
      </c>
      <c r="L402" s="20"/>
    </row>
    <row r="403" spans="1:12">
      <c r="A403" s="19"/>
      <c r="B403" t="s">
        <v>222</v>
      </c>
      <c r="L403" s="20"/>
    </row>
    <row r="404" spans="1:12">
      <c r="A404" s="19"/>
      <c r="B404" t="s">
        <v>233</v>
      </c>
      <c r="J404" t="s">
        <v>232</v>
      </c>
      <c r="L404" s="20"/>
    </row>
    <row r="405" spans="1:12" ht="21" customHeight="1">
      <c r="A405" s="19"/>
      <c r="G405" s="3" t="s">
        <v>230</v>
      </c>
      <c r="H405" s="3"/>
      <c r="I405" s="3"/>
      <c r="J405" s="3"/>
      <c r="K405" s="3"/>
      <c r="L405" s="88"/>
    </row>
    <row r="406" spans="1:12" ht="15" customHeight="1">
      <c r="A406" s="19"/>
      <c r="B406" s="3"/>
      <c r="G406" t="s">
        <v>231</v>
      </c>
      <c r="H406" s="3"/>
      <c r="I406" s="3"/>
      <c r="J406" s="3"/>
      <c r="K406" s="3"/>
      <c r="L406" s="88"/>
    </row>
    <row r="407" spans="1:12" ht="20.25" customHeight="1">
      <c r="A407" s="19"/>
      <c r="B407" s="178" t="s">
        <v>234</v>
      </c>
      <c r="C407" s="174"/>
      <c r="D407" s="174"/>
      <c r="E407" s="174"/>
      <c r="F407" s="174"/>
      <c r="G407" s="174"/>
      <c r="H407" s="163"/>
      <c r="I407" s="163"/>
      <c r="J407" s="163"/>
      <c r="K407" s="163"/>
      <c r="L407" s="181"/>
    </row>
    <row r="408" spans="1:12" ht="18.75" customHeight="1">
      <c r="A408" s="19"/>
      <c r="B408" s="178" t="s">
        <v>235</v>
      </c>
      <c r="C408" s="174"/>
      <c r="D408" s="174"/>
      <c r="E408" s="174"/>
      <c r="F408" s="174"/>
      <c r="G408" s="174"/>
      <c r="H408" s="163"/>
      <c r="I408" s="163"/>
      <c r="J408" s="164"/>
      <c r="K408" s="163"/>
      <c r="L408" s="181"/>
    </row>
    <row r="409" spans="1:12" ht="27.95" customHeight="1">
      <c r="A409" s="19"/>
      <c r="B409" s="93" t="s">
        <v>5</v>
      </c>
      <c r="C409" s="1007" t="s">
        <v>236</v>
      </c>
      <c r="D409" s="976"/>
      <c r="E409" s="976"/>
      <c r="F409" s="976"/>
      <c r="G409" s="976"/>
      <c r="H409" s="1008"/>
      <c r="I409" s="170" t="s">
        <v>109</v>
      </c>
      <c r="J409" s="1009" t="s">
        <v>237</v>
      </c>
      <c r="K409" s="1010"/>
      <c r="L409" s="1011"/>
    </row>
    <row r="410" spans="1:12" ht="27.95" customHeight="1">
      <c r="A410" s="19"/>
      <c r="B410" s="172">
        <v>1</v>
      </c>
      <c r="C410" s="206"/>
      <c r="D410" s="96"/>
      <c r="E410" s="102">
        <v>2</v>
      </c>
      <c r="F410" s="69"/>
      <c r="G410" s="1003"/>
      <c r="H410" s="978"/>
      <c r="I410" s="96">
        <v>3</v>
      </c>
      <c r="J410" s="193" t="s">
        <v>238</v>
      </c>
      <c r="K410" s="1012">
        <v>4</v>
      </c>
      <c r="L410" s="1013"/>
    </row>
    <row r="411" spans="1:12" ht="27.95" customHeight="1">
      <c r="A411" s="19"/>
      <c r="B411" s="93"/>
      <c r="C411" s="206"/>
      <c r="D411" s="96"/>
      <c r="E411" s="102"/>
      <c r="F411" s="69"/>
      <c r="G411" s="1003"/>
      <c r="H411" s="978"/>
      <c r="I411" s="190"/>
      <c r="J411" s="192"/>
      <c r="K411" s="1003"/>
      <c r="L411" s="979"/>
    </row>
    <row r="412" spans="1:12" ht="27.95" customHeight="1">
      <c r="A412" s="19"/>
      <c r="B412" s="93"/>
      <c r="C412" s="206"/>
      <c r="D412" s="96"/>
      <c r="E412" s="102"/>
      <c r="F412" s="69"/>
      <c r="G412" s="1003"/>
      <c r="H412" s="978"/>
      <c r="I412" s="190"/>
      <c r="J412" s="192"/>
      <c r="K412" s="1003"/>
      <c r="L412" s="979"/>
    </row>
    <row r="413" spans="1:12" ht="27.95" customHeight="1">
      <c r="A413" s="19"/>
      <c r="B413" s="93"/>
      <c r="C413" s="206"/>
      <c r="D413" s="96"/>
      <c r="E413" s="102"/>
      <c r="F413" s="69"/>
      <c r="G413" s="1003"/>
      <c r="H413" s="978"/>
      <c r="I413" s="190"/>
      <c r="J413" s="192"/>
      <c r="K413" s="1003"/>
      <c r="L413" s="979"/>
    </row>
    <row r="414" spans="1:12" ht="27.95" customHeight="1">
      <c r="A414" s="19"/>
      <c r="B414" s="77"/>
      <c r="C414" s="206"/>
      <c r="D414" s="96"/>
      <c r="E414" s="102"/>
      <c r="F414" s="69"/>
      <c r="G414" s="1003"/>
      <c r="H414" s="978"/>
      <c r="I414" s="190"/>
      <c r="J414" s="192"/>
      <c r="K414" s="1003"/>
      <c r="L414" s="979"/>
    </row>
    <row r="415" spans="1:12" ht="27.95" customHeight="1">
      <c r="A415" s="19"/>
      <c r="B415" t="s">
        <v>242</v>
      </c>
      <c r="L415" s="20"/>
    </row>
    <row r="416" spans="1:12" ht="21" customHeight="1">
      <c r="A416" s="19"/>
      <c r="B416" t="s">
        <v>243</v>
      </c>
      <c r="L416" s="20"/>
    </row>
    <row r="417" spans="1:12" ht="18" customHeight="1">
      <c r="A417" s="19"/>
      <c r="B417" t="s">
        <v>244</v>
      </c>
      <c r="L417" s="20"/>
    </row>
    <row r="418" spans="1:12" ht="23.25" customHeight="1">
      <c r="A418" s="19"/>
      <c r="B418" t="s">
        <v>245</v>
      </c>
      <c r="L418" s="20"/>
    </row>
    <row r="419" spans="1:12" ht="27.95" customHeight="1">
      <c r="A419" s="19"/>
      <c r="B419" s="189" t="s">
        <v>239</v>
      </c>
      <c r="C419" s="69"/>
      <c r="D419" s="69"/>
      <c r="E419" s="69"/>
      <c r="F419" s="70"/>
      <c r="G419" s="189" t="s">
        <v>215</v>
      </c>
      <c r="H419" s="70"/>
      <c r="I419" s="189" t="s">
        <v>240</v>
      </c>
      <c r="J419" s="69"/>
      <c r="K419" s="70"/>
      <c r="L419" s="20"/>
    </row>
    <row r="420" spans="1:12" ht="27.95" customHeight="1">
      <c r="A420" s="19"/>
      <c r="B420" s="980"/>
      <c r="C420" s="1002"/>
      <c r="D420" s="1002"/>
      <c r="E420" s="1002"/>
      <c r="F420" s="981"/>
      <c r="G420" s="980"/>
      <c r="H420" s="981"/>
      <c r="I420" s="980"/>
      <c r="J420" s="1002"/>
      <c r="K420" s="981"/>
      <c r="L420" s="20"/>
    </row>
    <row r="421" spans="1:12" ht="27.95" customHeight="1">
      <c r="A421" s="19"/>
      <c r="B421" s="980"/>
      <c r="C421" s="1002"/>
      <c r="D421" s="1002"/>
      <c r="E421" s="1002"/>
      <c r="F421" s="981"/>
      <c r="G421" s="980"/>
      <c r="H421" s="981"/>
      <c r="I421" s="980"/>
      <c r="J421" s="1002"/>
      <c r="K421" s="981"/>
      <c r="L421" s="20"/>
    </row>
    <row r="422" spans="1:12" ht="27.95" customHeight="1">
      <c r="A422" s="19"/>
      <c r="B422" s="980"/>
      <c r="C422" s="1002"/>
      <c r="D422" s="1002"/>
      <c r="E422" s="1002"/>
      <c r="F422" s="981"/>
      <c r="G422" s="980"/>
      <c r="H422" s="981"/>
      <c r="I422" s="980"/>
      <c r="J422" s="1002"/>
      <c r="K422" s="981"/>
      <c r="L422" s="20"/>
    </row>
    <row r="423" spans="1:12">
      <c r="A423" s="19"/>
      <c r="B423" s="980"/>
      <c r="C423" s="1002"/>
      <c r="D423" s="1002"/>
      <c r="E423" s="1002"/>
      <c r="F423" s="981"/>
      <c r="G423" s="980"/>
      <c r="H423" s="981"/>
      <c r="I423" s="980"/>
      <c r="J423" s="1002"/>
      <c r="K423" s="981"/>
      <c r="L423" s="20"/>
    </row>
    <row r="424" spans="1:12">
      <c r="A424" s="19"/>
      <c r="L424" s="20"/>
    </row>
    <row r="425" spans="1:12">
      <c r="A425" s="19"/>
      <c r="B425" t="s">
        <v>212</v>
      </c>
      <c r="C425" s="286" t="e">
        <f>'04-22Master'!#REF!</f>
        <v>#REF!</v>
      </c>
      <c r="I425" t="s">
        <v>241</v>
      </c>
      <c r="L425" s="20"/>
    </row>
    <row r="426" spans="1:12" ht="18.75">
      <c r="A426" s="19"/>
      <c r="F426" s="177" t="s">
        <v>207</v>
      </c>
      <c r="L426" s="20"/>
    </row>
    <row r="427" spans="1:12">
      <c r="A427" s="19" t="s">
        <v>208</v>
      </c>
      <c r="K427" s="227" t="e">
        <f>'04-22Master'!#REF!</f>
        <v>#REF!</v>
      </c>
      <c r="L427" s="20"/>
    </row>
    <row r="428" spans="1:12">
      <c r="A428" s="19" t="s">
        <v>209</v>
      </c>
      <c r="L428" s="20"/>
    </row>
    <row r="429" spans="1:12" ht="15" customHeight="1">
      <c r="A429" s="19"/>
      <c r="L429" s="20"/>
    </row>
    <row r="430" spans="1:12">
      <c r="A430" s="19"/>
      <c r="F430" t="s">
        <v>210</v>
      </c>
      <c r="L430" s="20"/>
    </row>
    <row r="431" spans="1:12">
      <c r="A431" s="19" t="s">
        <v>211</v>
      </c>
      <c r="B431" t="s">
        <v>375</v>
      </c>
      <c r="F431" t="str">
        <f>'04-22Master'!F5</f>
        <v>Burgeon IT Services Pvt.Ltd.</v>
      </c>
      <c r="L431" s="20"/>
    </row>
    <row r="432" spans="1:12" ht="15.75" thickBot="1">
      <c r="A432" s="31" t="s">
        <v>212</v>
      </c>
      <c r="B432" s="289" t="e">
        <f>'04-22Master'!#REF!</f>
        <v>#REF!</v>
      </c>
      <c r="C432" s="29"/>
      <c r="D432" s="29"/>
      <c r="E432" s="29"/>
      <c r="F432" s="29" t="str">
        <f>'04-22Master'!F6</f>
        <v>Siri Mansion LIGB 436 Dr.A S Rao Nagar,Hyderabad</v>
      </c>
      <c r="G432" s="29"/>
      <c r="H432" s="29"/>
      <c r="I432" s="29"/>
      <c r="J432" s="29"/>
      <c r="K432" s="29"/>
      <c r="L432" s="30"/>
    </row>
    <row r="433" spans="1:12" ht="32.25">
      <c r="A433" s="81"/>
      <c r="B433" s="82"/>
      <c r="C433" s="82"/>
      <c r="D433" s="182"/>
      <c r="E433" s="182"/>
      <c r="F433" s="182"/>
      <c r="G433" s="182"/>
      <c r="H433" s="182"/>
      <c r="I433" s="182"/>
      <c r="J433" s="82"/>
      <c r="K433" s="184" t="s">
        <v>226</v>
      </c>
      <c r="L433" s="183"/>
    </row>
    <row r="434" spans="1:12" ht="21">
      <c r="A434" s="19"/>
      <c r="B434" s="1004" t="s">
        <v>225</v>
      </c>
      <c r="C434" s="1004"/>
      <c r="D434" s="1004"/>
      <c r="E434" s="1004"/>
      <c r="F434" s="1004"/>
      <c r="G434" s="1004"/>
      <c r="H434" s="1004"/>
      <c r="I434" s="1004"/>
      <c r="J434" s="1004"/>
      <c r="K434" s="1004"/>
      <c r="L434" s="1005"/>
    </row>
    <row r="435" spans="1:12" ht="15.75">
      <c r="A435" s="19"/>
      <c r="B435" s="999" t="s">
        <v>227</v>
      </c>
      <c r="C435" s="999"/>
      <c r="D435" s="999"/>
      <c r="E435" s="999"/>
      <c r="F435" s="999"/>
      <c r="G435" s="999"/>
      <c r="H435" s="999"/>
      <c r="I435" s="999"/>
      <c r="J435" s="999"/>
      <c r="K435" s="999"/>
      <c r="L435" s="1006"/>
    </row>
    <row r="436" spans="1:12">
      <c r="A436" s="19"/>
      <c r="B436" s="185" t="s">
        <v>228</v>
      </c>
      <c r="C436" s="185"/>
      <c r="D436" s="185"/>
      <c r="E436" s="185"/>
      <c r="F436" s="185"/>
      <c r="H436" s="186"/>
      <c r="I436" s="186"/>
      <c r="J436" s="186"/>
      <c r="K436" s="186"/>
      <c r="L436" s="194"/>
    </row>
    <row r="437" spans="1:12">
      <c r="A437" s="19"/>
      <c r="B437" s="185"/>
      <c r="C437" s="185"/>
      <c r="D437" s="185"/>
      <c r="E437" s="185"/>
      <c r="F437" s="185"/>
      <c r="H437" s="186"/>
      <c r="I437" s="186"/>
      <c r="J437" s="186"/>
      <c r="K437" s="186"/>
      <c r="L437" s="194"/>
    </row>
    <row r="438" spans="1:12">
      <c r="A438" s="19"/>
      <c r="B438" s="972" t="s">
        <v>197</v>
      </c>
      <c r="C438" s="972"/>
      <c r="D438" s="972"/>
      <c r="E438" s="972"/>
      <c r="F438" s="972"/>
      <c r="G438" s="972"/>
      <c r="H438" s="992" t="e">
        <f>'04-22Master'!#REF!</f>
        <v>#REF!</v>
      </c>
      <c r="I438" s="987"/>
      <c r="J438" s="987"/>
      <c r="K438" s="987"/>
      <c r="L438" s="841"/>
    </row>
    <row r="439" spans="1:12">
      <c r="A439" s="19"/>
      <c r="B439" s="993" t="s">
        <v>198</v>
      </c>
      <c r="C439" s="993"/>
      <c r="D439" s="993"/>
      <c r="E439" s="993"/>
      <c r="F439" s="993"/>
      <c r="G439" s="993"/>
      <c r="H439" s="992" t="e">
        <f>'04-22Master'!#REF!</f>
        <v>#REF!</v>
      </c>
      <c r="I439" s="987"/>
      <c r="J439" s="987"/>
      <c r="K439" s="987"/>
      <c r="L439" s="841"/>
    </row>
    <row r="440" spans="1:12">
      <c r="A440" s="19"/>
      <c r="B440" s="972" t="s">
        <v>199</v>
      </c>
      <c r="C440" s="972"/>
      <c r="D440" s="972"/>
      <c r="E440" s="972"/>
      <c r="F440" s="972"/>
      <c r="G440" s="972"/>
      <c r="H440" s="992" t="e">
        <f>'04-22Master'!#REF!</f>
        <v>#REF!</v>
      </c>
      <c r="I440" s="987"/>
      <c r="J440" s="987"/>
      <c r="K440" s="987"/>
      <c r="L440" s="841"/>
    </row>
    <row r="441" spans="1:12">
      <c r="A441" s="19"/>
      <c r="B441" s="972" t="s">
        <v>200</v>
      </c>
      <c r="C441" s="972"/>
      <c r="D441" s="972"/>
      <c r="E441" s="972"/>
      <c r="F441" s="972"/>
      <c r="G441" s="972"/>
      <c r="H441" s="986" t="e">
        <f>'04-22Master'!#REF!</f>
        <v>#REF!</v>
      </c>
      <c r="I441" s="987"/>
      <c r="J441" s="987"/>
      <c r="K441" s="987"/>
      <c r="L441" s="841"/>
    </row>
    <row r="442" spans="1:12">
      <c r="A442" s="19"/>
      <c r="B442" s="93" t="s">
        <v>202</v>
      </c>
      <c r="C442" s="94"/>
      <c r="D442" s="94"/>
      <c r="E442" s="94"/>
      <c r="F442" s="94"/>
      <c r="G442" s="94"/>
      <c r="H442" s="988" t="s">
        <v>203</v>
      </c>
      <c r="I442" s="989"/>
      <c r="J442" s="989"/>
      <c r="K442" s="989"/>
      <c r="L442" s="990"/>
    </row>
    <row r="443" spans="1:12">
      <c r="A443" s="19"/>
      <c r="B443" s="93" t="s">
        <v>204</v>
      </c>
      <c r="C443" s="94"/>
      <c r="D443" s="94"/>
      <c r="E443" s="94"/>
      <c r="F443" s="94"/>
      <c r="G443" s="94"/>
      <c r="H443" s="95"/>
      <c r="I443" s="96"/>
      <c r="J443" s="176"/>
      <c r="K443" s="96"/>
      <c r="L443" s="101"/>
    </row>
    <row r="444" spans="1:12" ht="27.95" customHeight="1">
      <c r="A444" s="19"/>
      <c r="B444" s="834" t="s">
        <v>205</v>
      </c>
      <c r="C444" s="834"/>
      <c r="D444" s="834"/>
      <c r="E444" s="834"/>
      <c r="F444" s="834"/>
      <c r="G444" s="834"/>
      <c r="H444" s="835" t="e">
        <f>'04-22Master'!#REF!</f>
        <v>#REF!</v>
      </c>
      <c r="I444" s="849"/>
      <c r="J444" s="849"/>
      <c r="K444" s="849"/>
      <c r="L444" s="850"/>
    </row>
    <row r="445" spans="1:12" ht="27.95" customHeight="1">
      <c r="A445" s="19"/>
      <c r="B445" s="972"/>
      <c r="C445" s="972"/>
      <c r="D445" s="972"/>
      <c r="E445" s="972"/>
      <c r="F445" s="972"/>
      <c r="G445" s="972"/>
      <c r="H445" s="991" t="e">
        <f>'04-22Master'!#REF!</f>
        <v>#REF!</v>
      </c>
      <c r="I445" s="987"/>
      <c r="J445" s="987"/>
      <c r="K445" s="987"/>
      <c r="L445" s="841"/>
    </row>
    <row r="446" spans="1:12" ht="27.95" customHeight="1">
      <c r="A446" s="19"/>
      <c r="B446" s="972"/>
      <c r="C446" s="972"/>
      <c r="D446" s="972"/>
      <c r="E446" s="972"/>
      <c r="F446" s="972"/>
      <c r="G446" s="972"/>
      <c r="H446" s="992" t="e">
        <f>'04-22Master'!#REF!</f>
        <v>#REF!</v>
      </c>
      <c r="I446" s="987"/>
      <c r="J446" s="987"/>
      <c r="K446" s="987"/>
      <c r="L446" s="841"/>
    </row>
    <row r="447" spans="1:12" ht="27.95" customHeight="1">
      <c r="A447" s="19"/>
      <c r="G447" s="3" t="s">
        <v>229</v>
      </c>
      <c r="H447" s="3"/>
      <c r="I447" s="3"/>
      <c r="J447" s="3"/>
      <c r="K447" s="3"/>
      <c r="L447" s="88"/>
    </row>
    <row r="448" spans="1:12" ht="27.95" customHeight="1">
      <c r="A448" s="19"/>
      <c r="B448" s="178" t="s">
        <v>213</v>
      </c>
      <c r="C448" s="174"/>
      <c r="D448" s="174"/>
      <c r="E448" s="174"/>
      <c r="F448" s="174"/>
      <c r="G448" s="174"/>
      <c r="H448" s="163"/>
      <c r="I448" s="163"/>
      <c r="J448" s="163"/>
      <c r="K448" s="163"/>
      <c r="L448" s="181"/>
    </row>
    <row r="449" spans="1:12" ht="27.95" customHeight="1">
      <c r="A449" s="19"/>
      <c r="B449" s="178" t="s">
        <v>214</v>
      </c>
      <c r="C449" s="174"/>
      <c r="D449" s="174"/>
      <c r="E449" s="174"/>
      <c r="F449" s="174"/>
      <c r="G449" s="174"/>
      <c r="H449" s="163"/>
      <c r="I449" s="163"/>
      <c r="J449" s="164"/>
      <c r="K449" s="163"/>
      <c r="L449" s="181"/>
    </row>
    <row r="450" spans="1:12" ht="27.95" customHeight="1">
      <c r="A450" s="92"/>
      <c r="B450" s="93" t="s">
        <v>217</v>
      </c>
      <c r="C450" s="94"/>
      <c r="D450" s="191"/>
      <c r="E450" s="169" t="s">
        <v>219</v>
      </c>
      <c r="F450" s="70"/>
      <c r="G450" s="977" t="s">
        <v>218</v>
      </c>
      <c r="H450" s="978"/>
      <c r="I450" s="168" t="s">
        <v>215</v>
      </c>
      <c r="J450" s="171" t="s">
        <v>220</v>
      </c>
      <c r="K450" s="977" t="s">
        <v>216</v>
      </c>
      <c r="L450" s="979"/>
    </row>
    <row r="451" spans="1:12" ht="27.95" customHeight="1">
      <c r="A451" s="92"/>
      <c r="B451" s="172">
        <v>1</v>
      </c>
      <c r="C451" s="94"/>
      <c r="D451" s="94"/>
      <c r="E451" s="175">
        <v>2</v>
      </c>
      <c r="F451" s="97"/>
      <c r="G451" s="175">
        <v>3</v>
      </c>
      <c r="H451" s="191"/>
      <c r="I451" s="191">
        <v>4</v>
      </c>
      <c r="J451" s="112">
        <v>5</v>
      </c>
      <c r="K451" s="99"/>
      <c r="L451" s="100">
        <v>6</v>
      </c>
    </row>
    <row r="452" spans="1:12" ht="27.95" customHeight="1">
      <c r="A452" s="92"/>
      <c r="B452" s="93" t="e">
        <f>'04-22Master'!#REF!</f>
        <v>#REF!</v>
      </c>
      <c r="C452" s="187"/>
      <c r="D452" s="188"/>
      <c r="E452" s="189" t="s">
        <v>379</v>
      </c>
      <c r="F452" s="188"/>
      <c r="G452" s="189" t="s">
        <v>377</v>
      </c>
      <c r="H452" s="70"/>
      <c r="I452" s="16" t="s">
        <v>380</v>
      </c>
      <c r="J452" s="287">
        <v>1</v>
      </c>
      <c r="K452" s="190" t="s">
        <v>37</v>
      </c>
      <c r="L452" s="195"/>
    </row>
    <row r="453" spans="1:12" ht="27.95" customHeight="1">
      <c r="A453" s="92"/>
      <c r="B453" s="93"/>
      <c r="C453" s="187"/>
      <c r="D453" s="188"/>
      <c r="E453" s="189"/>
      <c r="F453" s="188"/>
      <c r="G453" s="189"/>
      <c r="H453" s="70"/>
      <c r="I453" s="16"/>
      <c r="J453" s="16"/>
      <c r="K453" s="190"/>
      <c r="L453" s="195"/>
    </row>
    <row r="454" spans="1:12" ht="27.95" customHeight="1">
      <c r="A454" s="92"/>
      <c r="B454" s="93"/>
      <c r="C454" s="187"/>
      <c r="D454" s="188"/>
      <c r="E454" s="189"/>
      <c r="F454" s="188"/>
      <c r="G454" s="189"/>
      <c r="H454" s="70"/>
      <c r="I454" s="16"/>
      <c r="J454" s="16"/>
      <c r="K454" s="190"/>
      <c r="L454" s="195"/>
    </row>
    <row r="455" spans="1:12" ht="27.95" customHeight="1">
      <c r="A455" s="92"/>
      <c r="B455" s="77"/>
      <c r="C455" s="23"/>
      <c r="D455" s="78"/>
      <c r="E455" s="189"/>
      <c r="F455" s="188"/>
      <c r="G455" s="189"/>
      <c r="H455" s="70"/>
      <c r="I455" s="16"/>
      <c r="J455" s="16"/>
      <c r="K455" s="190"/>
      <c r="L455" s="195"/>
    </row>
    <row r="456" spans="1:12" ht="27.95" customHeight="1">
      <c r="A456" s="92"/>
      <c r="B456" t="s">
        <v>221</v>
      </c>
      <c r="L456" s="20"/>
    </row>
    <row r="457" spans="1:12" ht="27.95" customHeight="1">
      <c r="A457" s="19"/>
      <c r="B457" t="s">
        <v>222</v>
      </c>
      <c r="L457" s="20"/>
    </row>
    <row r="458" spans="1:12" ht="27.95" customHeight="1">
      <c r="A458" s="19"/>
      <c r="B458" t="s">
        <v>233</v>
      </c>
      <c r="J458" t="s">
        <v>232</v>
      </c>
      <c r="L458" s="20"/>
    </row>
    <row r="459" spans="1:12" ht="24" customHeight="1">
      <c r="A459" s="19"/>
      <c r="G459" s="3" t="s">
        <v>230</v>
      </c>
      <c r="H459" s="3"/>
      <c r="I459" s="3"/>
      <c r="J459" s="3"/>
      <c r="K459" s="3"/>
      <c r="L459" s="88"/>
    </row>
    <row r="460" spans="1:12" ht="18" customHeight="1">
      <c r="A460" s="19"/>
      <c r="B460" s="3"/>
      <c r="G460" t="s">
        <v>231</v>
      </c>
      <c r="H460" s="3"/>
      <c r="I460" s="3"/>
      <c r="J460" s="3"/>
      <c r="K460" s="3"/>
      <c r="L460" s="88"/>
    </row>
    <row r="461" spans="1:12" ht="18.75" customHeight="1">
      <c r="A461" s="19"/>
      <c r="B461" s="178" t="s">
        <v>234</v>
      </c>
      <c r="C461" s="174"/>
      <c r="D461" s="174"/>
      <c r="E461" s="174"/>
      <c r="F461" s="174"/>
      <c r="G461" s="174"/>
      <c r="H461" s="163"/>
      <c r="I461" s="163"/>
      <c r="J461" s="163"/>
      <c r="K461" s="163"/>
      <c r="L461" s="181"/>
    </row>
    <row r="462" spans="1:12">
      <c r="A462" s="19"/>
      <c r="B462" s="178" t="s">
        <v>235</v>
      </c>
      <c r="C462" s="174"/>
      <c r="D462" s="174"/>
      <c r="E462" s="174"/>
      <c r="F462" s="174"/>
      <c r="G462" s="174"/>
      <c r="H462" s="163"/>
      <c r="I462" s="163"/>
      <c r="J462" s="164"/>
      <c r="K462" s="163"/>
      <c r="L462" s="181"/>
    </row>
    <row r="463" spans="1:12">
      <c r="A463" s="19"/>
      <c r="B463" s="93" t="s">
        <v>5</v>
      </c>
      <c r="C463" s="1007" t="s">
        <v>236</v>
      </c>
      <c r="D463" s="976"/>
      <c r="E463" s="976"/>
      <c r="F463" s="976"/>
      <c r="G463" s="976"/>
      <c r="H463" s="1008"/>
      <c r="I463" s="170" t="s">
        <v>109</v>
      </c>
      <c r="J463" s="1009" t="s">
        <v>237</v>
      </c>
      <c r="K463" s="1010"/>
      <c r="L463" s="1011"/>
    </row>
    <row r="464" spans="1:12">
      <c r="A464" s="19"/>
      <c r="B464" s="172">
        <v>1</v>
      </c>
      <c r="C464" s="206"/>
      <c r="D464" s="96"/>
      <c r="E464" s="102">
        <v>2</v>
      </c>
      <c r="F464" s="69"/>
      <c r="G464" s="1003"/>
      <c r="H464" s="978"/>
      <c r="I464" s="96">
        <v>3</v>
      </c>
      <c r="J464" s="193" t="s">
        <v>238</v>
      </c>
      <c r="K464" s="1012">
        <v>4</v>
      </c>
      <c r="L464" s="1013"/>
    </row>
    <row r="465" spans="1:12">
      <c r="A465" s="19"/>
      <c r="B465" s="93"/>
      <c r="C465" s="206"/>
      <c r="D465" s="96"/>
      <c r="E465" s="102"/>
      <c r="F465" s="69"/>
      <c r="G465" s="1003"/>
      <c r="H465" s="978"/>
      <c r="I465" s="190"/>
      <c r="J465" s="192"/>
      <c r="K465" s="1003"/>
      <c r="L465" s="979"/>
    </row>
    <row r="466" spans="1:12">
      <c r="A466" s="19"/>
      <c r="B466" s="93"/>
      <c r="C466" s="206"/>
      <c r="D466" s="96"/>
      <c r="E466" s="102"/>
      <c r="F466" s="69"/>
      <c r="G466" s="1003"/>
      <c r="H466" s="978"/>
      <c r="I466" s="190"/>
      <c r="J466" s="192"/>
      <c r="K466" s="1003"/>
      <c r="L466" s="979"/>
    </row>
    <row r="467" spans="1:12" ht="15" customHeight="1">
      <c r="A467" s="19"/>
      <c r="B467" s="93"/>
      <c r="C467" s="206"/>
      <c r="D467" s="96"/>
      <c r="E467" s="102"/>
      <c r="F467" s="69"/>
      <c r="G467" s="1003"/>
      <c r="H467" s="978"/>
      <c r="I467" s="190"/>
      <c r="J467" s="192"/>
      <c r="K467" s="1003"/>
      <c r="L467" s="979"/>
    </row>
    <row r="468" spans="1:12">
      <c r="A468" s="19"/>
      <c r="B468" s="77"/>
      <c r="C468" s="206"/>
      <c r="D468" s="96"/>
      <c r="E468" s="102"/>
      <c r="F468" s="69"/>
      <c r="G468" s="1003"/>
      <c r="H468" s="978"/>
      <c r="I468" s="190"/>
      <c r="J468" s="192"/>
      <c r="K468" s="1003"/>
      <c r="L468" s="979"/>
    </row>
    <row r="469" spans="1:12">
      <c r="A469" s="19"/>
      <c r="B469" t="s">
        <v>242</v>
      </c>
      <c r="L469" s="20"/>
    </row>
    <row r="470" spans="1:12">
      <c r="A470" s="19"/>
      <c r="B470" t="s">
        <v>243</v>
      </c>
      <c r="L470" s="20"/>
    </row>
    <row r="471" spans="1:12">
      <c r="A471" s="19"/>
      <c r="B471" t="s">
        <v>244</v>
      </c>
      <c r="L471" s="20"/>
    </row>
    <row r="472" spans="1:12">
      <c r="A472" s="19"/>
      <c r="B472" t="s">
        <v>245</v>
      </c>
      <c r="L472" s="20"/>
    </row>
    <row r="473" spans="1:12">
      <c r="A473" s="19"/>
      <c r="B473" s="189" t="s">
        <v>239</v>
      </c>
      <c r="C473" s="69"/>
      <c r="D473" s="69"/>
      <c r="E473" s="69"/>
      <c r="F473" s="70"/>
      <c r="G473" s="189" t="s">
        <v>215</v>
      </c>
      <c r="H473" s="70"/>
      <c r="I473" s="189" t="s">
        <v>240</v>
      </c>
      <c r="J473" s="69"/>
      <c r="K473" s="70"/>
      <c r="L473" s="20"/>
    </row>
    <row r="474" spans="1:12">
      <c r="A474" s="19"/>
      <c r="B474" s="980"/>
      <c r="C474" s="1002"/>
      <c r="D474" s="1002"/>
      <c r="E474" s="1002"/>
      <c r="F474" s="981"/>
      <c r="G474" s="980"/>
      <c r="H474" s="981"/>
      <c r="I474" s="980"/>
      <c r="J474" s="1002"/>
      <c r="K474" s="981"/>
      <c r="L474" s="20"/>
    </row>
    <row r="475" spans="1:12">
      <c r="A475" s="19"/>
      <c r="B475" s="980"/>
      <c r="C475" s="1002"/>
      <c r="D475" s="1002"/>
      <c r="E475" s="1002"/>
      <c r="F475" s="981"/>
      <c r="G475" s="980"/>
      <c r="H475" s="981"/>
      <c r="I475" s="980"/>
      <c r="J475" s="1002"/>
      <c r="K475" s="981"/>
      <c r="L475" s="20"/>
    </row>
    <row r="476" spans="1:12">
      <c r="A476" s="19"/>
      <c r="B476" s="980"/>
      <c r="C476" s="1002"/>
      <c r="D476" s="1002"/>
      <c r="E476" s="1002"/>
      <c r="F476" s="981"/>
      <c r="G476" s="980"/>
      <c r="H476" s="981"/>
      <c r="I476" s="980"/>
      <c r="J476" s="1002"/>
      <c r="K476" s="981"/>
      <c r="L476" s="20"/>
    </row>
    <row r="477" spans="1:12">
      <c r="A477" s="19"/>
      <c r="B477" s="980"/>
      <c r="C477" s="1002"/>
      <c r="D477" s="1002"/>
      <c r="E477" s="1002"/>
      <c r="F477" s="981"/>
      <c r="G477" s="980"/>
      <c r="H477" s="981"/>
      <c r="I477" s="980"/>
      <c r="J477" s="1002"/>
      <c r="K477" s="981"/>
      <c r="L477" s="20"/>
    </row>
    <row r="478" spans="1:12">
      <c r="A478" s="19"/>
      <c r="L478" s="20"/>
    </row>
    <row r="479" spans="1:12">
      <c r="A479" s="19"/>
      <c r="B479" t="s">
        <v>212</v>
      </c>
      <c r="C479" s="286" t="e">
        <f>'04-22Master'!#REF!</f>
        <v>#REF!</v>
      </c>
      <c r="I479" t="s">
        <v>241</v>
      </c>
      <c r="L479" s="20"/>
    </row>
    <row r="480" spans="1:12" ht="18.75">
      <c r="A480" s="19"/>
      <c r="F480" s="177" t="s">
        <v>207</v>
      </c>
      <c r="L480" s="20"/>
    </row>
    <row r="481" spans="1:12">
      <c r="A481" s="19" t="s">
        <v>208</v>
      </c>
      <c r="K481" s="227" t="e">
        <f>'04-22Master'!#REF!</f>
        <v>#REF!</v>
      </c>
      <c r="L481" s="20"/>
    </row>
    <row r="482" spans="1:12" ht="27.95" customHeight="1">
      <c r="A482" s="19" t="s">
        <v>209</v>
      </c>
      <c r="L482" s="20"/>
    </row>
    <row r="483" spans="1:12" ht="27.95" customHeight="1">
      <c r="A483" s="19"/>
      <c r="F483" t="s">
        <v>210</v>
      </c>
      <c r="L483" s="20"/>
    </row>
    <row r="484" spans="1:12" ht="27.95" customHeight="1">
      <c r="A484" s="19" t="s">
        <v>211</v>
      </c>
      <c r="B484" t="s">
        <v>375</v>
      </c>
      <c r="F484" t="str">
        <f>'04-22Master'!F5</f>
        <v>Burgeon IT Services Pvt.Ltd.</v>
      </c>
      <c r="L484" s="20"/>
    </row>
    <row r="485" spans="1:12" ht="27.95" customHeight="1" thickBot="1">
      <c r="A485" s="31" t="s">
        <v>212</v>
      </c>
      <c r="B485" s="289" t="e">
        <f>'04-22Master'!#REF!</f>
        <v>#REF!</v>
      </c>
      <c r="C485" s="29"/>
      <c r="D485" s="29"/>
      <c r="E485" s="29"/>
      <c r="F485" s="29" t="str">
        <f>'04-22Master'!F6</f>
        <v>Siri Mansion LIGB 436 Dr.A S Rao Nagar,Hyderabad</v>
      </c>
      <c r="G485" s="29"/>
      <c r="H485" s="29"/>
      <c r="I485" s="29"/>
      <c r="J485" s="29"/>
      <c r="K485" s="29"/>
      <c r="L485" s="30"/>
    </row>
    <row r="486" spans="1:12" ht="27.95" customHeight="1">
      <c r="A486" s="81"/>
      <c r="B486" s="82"/>
      <c r="C486" s="82"/>
      <c r="D486" s="182"/>
      <c r="E486" s="182"/>
      <c r="F486" s="182"/>
      <c r="G486" s="182"/>
      <c r="H486" s="182"/>
      <c r="I486" s="182"/>
      <c r="J486" s="82"/>
      <c r="K486" s="184" t="s">
        <v>226</v>
      </c>
      <c r="L486" s="183"/>
    </row>
    <row r="487" spans="1:12" ht="27.95" customHeight="1">
      <c r="A487" s="19"/>
      <c r="B487" s="1004" t="s">
        <v>225</v>
      </c>
      <c r="C487" s="1004"/>
      <c r="D487" s="1004"/>
      <c r="E487" s="1004"/>
      <c r="F487" s="1004"/>
      <c r="G487" s="1004"/>
      <c r="H487" s="1004"/>
      <c r="I487" s="1004"/>
      <c r="J487" s="1004"/>
      <c r="K487" s="1004"/>
      <c r="L487" s="1005"/>
    </row>
    <row r="488" spans="1:12" ht="21.75" customHeight="1">
      <c r="A488" s="19"/>
      <c r="B488" s="999" t="s">
        <v>227</v>
      </c>
      <c r="C488" s="999"/>
      <c r="D488" s="999"/>
      <c r="E488" s="999"/>
      <c r="F488" s="999"/>
      <c r="G488" s="999"/>
      <c r="H488" s="999"/>
      <c r="I488" s="999"/>
      <c r="J488" s="999"/>
      <c r="K488" s="999"/>
      <c r="L488" s="1006"/>
    </row>
    <row r="489" spans="1:12" ht="27.95" customHeight="1">
      <c r="A489" s="19"/>
      <c r="B489" s="185" t="s">
        <v>228</v>
      </c>
      <c r="C489" s="185"/>
      <c r="D489" s="185"/>
      <c r="E489" s="185"/>
      <c r="F489" s="185"/>
      <c r="H489" s="186"/>
      <c r="I489" s="186"/>
      <c r="J489" s="186"/>
      <c r="K489" s="186"/>
      <c r="L489" s="194"/>
    </row>
    <row r="490" spans="1:12" ht="27.95" customHeight="1">
      <c r="A490" s="19"/>
      <c r="B490" s="972" t="s">
        <v>197</v>
      </c>
      <c r="C490" s="972"/>
      <c r="D490" s="972"/>
      <c r="E490" s="972"/>
      <c r="F490" s="972"/>
      <c r="G490" s="972"/>
      <c r="H490" s="992">
        <f>'04-22Master'!B454</f>
        <v>0</v>
      </c>
      <c r="I490" s="987"/>
      <c r="J490" s="987"/>
      <c r="K490" s="987"/>
      <c r="L490" s="841"/>
    </row>
    <row r="491" spans="1:12" ht="24" customHeight="1">
      <c r="A491" s="19"/>
      <c r="B491" s="993" t="s">
        <v>198</v>
      </c>
      <c r="C491" s="993"/>
      <c r="D491" s="993"/>
      <c r="E491" s="993"/>
      <c r="F491" s="993"/>
      <c r="G491" s="993"/>
      <c r="H491" s="992">
        <f>'04-22Master'!E454</f>
        <v>0</v>
      </c>
      <c r="I491" s="987"/>
      <c r="J491" s="987"/>
      <c r="K491" s="987"/>
      <c r="L491" s="841"/>
    </row>
    <row r="492" spans="1:12" ht="24.75" customHeight="1">
      <c r="A492" s="19"/>
      <c r="B492" s="972" t="s">
        <v>199</v>
      </c>
      <c r="C492" s="972"/>
      <c r="D492" s="972"/>
      <c r="E492" s="972"/>
      <c r="F492" s="972"/>
      <c r="G492" s="972"/>
      <c r="H492" s="992">
        <f>'04-22Master'!C454</f>
        <v>0</v>
      </c>
      <c r="I492" s="987"/>
      <c r="J492" s="987"/>
      <c r="K492" s="987"/>
      <c r="L492" s="841"/>
    </row>
    <row r="493" spans="1:12" ht="26.25" customHeight="1">
      <c r="A493" s="19"/>
      <c r="B493" s="972" t="s">
        <v>200</v>
      </c>
      <c r="C493" s="972"/>
      <c r="D493" s="972"/>
      <c r="E493" s="972"/>
      <c r="F493" s="972"/>
      <c r="G493" s="972"/>
      <c r="H493" s="986">
        <f>'04-22Master'!D454</f>
        <v>0</v>
      </c>
      <c r="I493" s="987"/>
      <c r="J493" s="987"/>
      <c r="K493" s="987"/>
      <c r="L493" s="841"/>
    </row>
    <row r="494" spans="1:12" ht="25.5" customHeight="1">
      <c r="A494" s="19"/>
      <c r="B494" s="93" t="s">
        <v>202</v>
      </c>
      <c r="C494" s="94"/>
      <c r="D494" s="94"/>
      <c r="E494" s="94"/>
      <c r="F494" s="94"/>
      <c r="G494" s="94"/>
      <c r="H494" s="988" t="s">
        <v>203</v>
      </c>
      <c r="I494" s="989"/>
      <c r="J494" s="989"/>
      <c r="K494" s="989"/>
      <c r="L494" s="990"/>
    </row>
    <row r="495" spans="1:12" ht="27.95" customHeight="1">
      <c r="A495" s="19"/>
      <c r="B495" s="93" t="s">
        <v>204</v>
      </c>
      <c r="C495" s="94"/>
      <c r="D495" s="94"/>
      <c r="E495" s="94"/>
      <c r="F495" s="94"/>
      <c r="G495" s="94"/>
      <c r="H495" s="95"/>
      <c r="I495" s="96"/>
      <c r="J495" s="176"/>
      <c r="K495" s="96"/>
      <c r="L495" s="101"/>
    </row>
    <row r="496" spans="1:12" ht="24" customHeight="1">
      <c r="A496" s="19"/>
      <c r="B496" s="834" t="s">
        <v>205</v>
      </c>
      <c r="C496" s="834"/>
      <c r="D496" s="834"/>
      <c r="E496" s="834"/>
      <c r="F496" s="834"/>
      <c r="G496" s="834"/>
      <c r="H496" s="835">
        <f>'04-22Master'!G454</f>
        <v>0</v>
      </c>
      <c r="I496" s="849"/>
      <c r="J496" s="849"/>
      <c r="K496" s="849"/>
      <c r="L496" s="850"/>
    </row>
    <row r="497" spans="1:12" ht="22.5" customHeight="1">
      <c r="A497" s="19"/>
      <c r="B497" s="972"/>
      <c r="C497" s="972"/>
      <c r="D497" s="972"/>
      <c r="E497" s="972"/>
      <c r="F497" s="972"/>
      <c r="G497" s="972"/>
      <c r="H497" s="991">
        <f>'04-22Master'!H454</f>
        <v>0</v>
      </c>
      <c r="I497" s="987"/>
      <c r="J497" s="987"/>
      <c r="K497" s="987"/>
      <c r="L497" s="841"/>
    </row>
    <row r="498" spans="1:12" ht="18.75" customHeight="1">
      <c r="A498" s="19"/>
      <c r="B498" s="972"/>
      <c r="C498" s="972"/>
      <c r="D498" s="972"/>
      <c r="E498" s="972"/>
      <c r="F498" s="972"/>
      <c r="G498" s="972"/>
      <c r="H498" s="992" t="e">
        <f>'04-22Master'!#REF!</f>
        <v>#REF!</v>
      </c>
      <c r="I498" s="987"/>
      <c r="J498" s="987"/>
      <c r="K498" s="987"/>
      <c r="L498" s="841"/>
    </row>
    <row r="499" spans="1:12">
      <c r="A499" s="19"/>
      <c r="G499" s="3" t="s">
        <v>229</v>
      </c>
      <c r="H499" s="3"/>
      <c r="I499" s="3"/>
      <c r="J499" s="3"/>
      <c r="K499" s="3"/>
      <c r="L499" s="88"/>
    </row>
    <row r="500" spans="1:12">
      <c r="A500" s="19"/>
      <c r="B500" s="178" t="s">
        <v>213</v>
      </c>
      <c r="C500" s="174"/>
      <c r="D500" s="174"/>
      <c r="E500" s="174"/>
      <c r="F500" s="174"/>
      <c r="G500" s="174"/>
      <c r="H500" s="163"/>
      <c r="I500" s="163"/>
      <c r="J500" s="163"/>
      <c r="K500" s="163"/>
      <c r="L500" s="181"/>
    </row>
    <row r="501" spans="1:12">
      <c r="A501" s="19"/>
      <c r="B501" s="178" t="s">
        <v>214</v>
      </c>
      <c r="C501" s="174"/>
      <c r="D501" s="174"/>
      <c r="E501" s="174"/>
      <c r="F501" s="174"/>
      <c r="G501" s="174"/>
      <c r="H501" s="163"/>
      <c r="I501" s="163"/>
      <c r="J501" s="164"/>
      <c r="K501" s="163"/>
      <c r="L501" s="181"/>
    </row>
    <row r="502" spans="1:12" ht="45">
      <c r="A502" s="92"/>
      <c r="B502" s="93" t="s">
        <v>217</v>
      </c>
      <c r="C502" s="94"/>
      <c r="D502" s="191"/>
      <c r="E502" s="169" t="s">
        <v>219</v>
      </c>
      <c r="F502" s="70"/>
      <c r="G502" s="977" t="s">
        <v>218</v>
      </c>
      <c r="H502" s="978"/>
      <c r="I502" s="168" t="s">
        <v>215</v>
      </c>
      <c r="J502" s="171" t="s">
        <v>220</v>
      </c>
      <c r="K502" s="977" t="s">
        <v>216</v>
      </c>
      <c r="L502" s="979"/>
    </row>
    <row r="503" spans="1:12" ht="15" customHeight="1">
      <c r="A503" s="92"/>
      <c r="B503" s="172">
        <v>1</v>
      </c>
      <c r="C503" s="94"/>
      <c r="D503" s="94"/>
      <c r="E503" s="175">
        <v>2</v>
      </c>
      <c r="F503" s="97"/>
      <c r="G503" s="175">
        <v>3</v>
      </c>
      <c r="H503" s="191"/>
      <c r="I503" s="191">
        <v>4</v>
      </c>
      <c r="J503" s="112">
        <v>5</v>
      </c>
      <c r="K503" s="99"/>
      <c r="L503" s="100">
        <v>6</v>
      </c>
    </row>
    <row r="504" spans="1:12">
      <c r="A504" s="92"/>
      <c r="B504" s="93"/>
      <c r="C504" s="187"/>
      <c r="D504" s="188"/>
      <c r="E504" s="189" t="s">
        <v>379</v>
      </c>
      <c r="F504" s="188"/>
      <c r="G504" s="189" t="s">
        <v>377</v>
      </c>
      <c r="H504" s="70"/>
      <c r="I504" s="16" t="s">
        <v>380</v>
      </c>
      <c r="J504" s="287">
        <v>1</v>
      </c>
      <c r="K504" s="190" t="s">
        <v>37</v>
      </c>
      <c r="L504" s="195"/>
    </row>
    <row r="505" spans="1:12">
      <c r="A505" s="92"/>
      <c r="B505" s="93"/>
      <c r="C505" s="187"/>
      <c r="D505" s="188"/>
      <c r="E505" s="189"/>
      <c r="F505" s="188"/>
      <c r="G505" s="189"/>
      <c r="H505" s="70"/>
      <c r="I505" s="16"/>
      <c r="J505" s="16"/>
      <c r="K505" s="190"/>
      <c r="L505" s="195"/>
    </row>
    <row r="506" spans="1:12">
      <c r="A506" s="92"/>
      <c r="B506" s="93"/>
      <c r="C506" s="187"/>
      <c r="D506" s="188"/>
      <c r="E506" s="189"/>
      <c r="F506" s="188"/>
      <c r="G506" s="189"/>
      <c r="H506" s="70"/>
      <c r="I506" s="16"/>
      <c r="J506" s="16"/>
      <c r="K506" s="190"/>
      <c r="L506" s="195"/>
    </row>
    <row r="507" spans="1:12">
      <c r="A507" s="92"/>
      <c r="B507" s="77"/>
      <c r="C507" s="23"/>
      <c r="D507" s="78"/>
      <c r="E507" s="189"/>
      <c r="F507" s="188"/>
      <c r="G507" s="189"/>
      <c r="H507" s="70"/>
      <c r="I507" s="16"/>
      <c r="J507" s="16"/>
      <c r="K507" s="190"/>
      <c r="L507" s="195"/>
    </row>
    <row r="508" spans="1:12">
      <c r="A508" s="92"/>
      <c r="B508" t="s">
        <v>221</v>
      </c>
      <c r="L508" s="20"/>
    </row>
    <row r="509" spans="1:12">
      <c r="A509" s="19"/>
      <c r="B509" t="s">
        <v>222</v>
      </c>
      <c r="L509" s="20"/>
    </row>
    <row r="510" spans="1:12">
      <c r="A510" s="19"/>
      <c r="B510" t="s">
        <v>233</v>
      </c>
      <c r="J510" t="s">
        <v>232</v>
      </c>
      <c r="L510" s="20"/>
    </row>
    <row r="511" spans="1:12">
      <c r="A511" s="19"/>
      <c r="G511" s="3" t="s">
        <v>230</v>
      </c>
      <c r="H511" s="3"/>
      <c r="I511" s="3"/>
      <c r="J511" s="3"/>
      <c r="K511" s="3"/>
      <c r="L511" s="88"/>
    </row>
    <row r="512" spans="1:12">
      <c r="A512" s="19"/>
      <c r="B512" s="3"/>
      <c r="G512" t="s">
        <v>231</v>
      </c>
      <c r="H512" s="3"/>
      <c r="I512" s="3"/>
      <c r="J512" s="3"/>
      <c r="K512" s="3"/>
      <c r="L512" s="88"/>
    </row>
    <row r="513" spans="1:12">
      <c r="A513" s="19"/>
      <c r="B513" s="178" t="s">
        <v>234</v>
      </c>
      <c r="C513" s="174"/>
      <c r="D513" s="174"/>
      <c r="E513" s="174"/>
      <c r="F513" s="174"/>
      <c r="G513" s="174"/>
      <c r="H513" s="163"/>
      <c r="I513" s="163"/>
      <c r="J513" s="163"/>
      <c r="K513" s="163"/>
      <c r="L513" s="181"/>
    </row>
    <row r="514" spans="1:12">
      <c r="A514" s="19"/>
      <c r="B514" s="178" t="s">
        <v>235</v>
      </c>
      <c r="C514" s="174"/>
      <c r="D514" s="174"/>
      <c r="E514" s="174"/>
      <c r="F514" s="174"/>
      <c r="G514" s="174"/>
      <c r="H514" s="163"/>
      <c r="I514" s="163"/>
      <c r="J514" s="164"/>
      <c r="K514" s="163"/>
      <c r="L514" s="181"/>
    </row>
    <row r="515" spans="1:12">
      <c r="A515" s="19"/>
      <c r="B515" s="93" t="s">
        <v>5</v>
      </c>
      <c r="C515" s="1007" t="s">
        <v>236</v>
      </c>
      <c r="D515" s="976"/>
      <c r="E515" s="976"/>
      <c r="F515" s="976"/>
      <c r="G515" s="976"/>
      <c r="H515" s="1008"/>
      <c r="I515" s="170" t="s">
        <v>109</v>
      </c>
      <c r="J515" s="1009" t="s">
        <v>237</v>
      </c>
      <c r="K515" s="1010"/>
      <c r="L515" s="1011"/>
    </row>
    <row r="516" spans="1:12">
      <c r="A516" s="19"/>
      <c r="B516" s="172">
        <v>1</v>
      </c>
      <c r="C516" s="206"/>
      <c r="D516" s="96"/>
      <c r="E516" s="102">
        <v>2</v>
      </c>
      <c r="F516" s="69"/>
      <c r="G516" s="1003"/>
      <c r="H516" s="978"/>
      <c r="I516" s="96">
        <v>3</v>
      </c>
      <c r="J516" s="193" t="s">
        <v>238</v>
      </c>
      <c r="K516" s="1012">
        <v>4</v>
      </c>
      <c r="L516" s="1013"/>
    </row>
    <row r="517" spans="1:12">
      <c r="A517" s="19"/>
      <c r="B517" s="93"/>
      <c r="C517" s="206"/>
      <c r="D517" s="96"/>
      <c r="E517" s="102"/>
      <c r="F517" s="69"/>
      <c r="G517" s="1003"/>
      <c r="H517" s="978"/>
      <c r="I517" s="190"/>
      <c r="J517" s="192"/>
      <c r="K517" s="1003"/>
      <c r="L517" s="979"/>
    </row>
    <row r="518" spans="1:12" ht="27.95" customHeight="1">
      <c r="A518" s="19"/>
      <c r="B518" s="93"/>
      <c r="C518" s="206"/>
      <c r="D518" s="96"/>
      <c r="E518" s="102"/>
      <c r="F518" s="69"/>
      <c r="G518" s="1003"/>
      <c r="H518" s="978"/>
      <c r="I518" s="190"/>
      <c r="J518" s="192"/>
      <c r="K518" s="1003"/>
      <c r="L518" s="979"/>
    </row>
    <row r="519" spans="1:12" ht="27.95" customHeight="1">
      <c r="A519" s="19"/>
      <c r="B519" s="93"/>
      <c r="C519" s="206"/>
      <c r="D519" s="96"/>
      <c r="E519" s="102"/>
      <c r="F519" s="69"/>
      <c r="G519" s="1003"/>
      <c r="H519" s="978"/>
      <c r="I519" s="190"/>
      <c r="J519" s="192"/>
      <c r="K519" s="1003"/>
      <c r="L519" s="979"/>
    </row>
    <row r="520" spans="1:12" ht="27.95" customHeight="1">
      <c r="A520" s="19"/>
      <c r="B520" s="77"/>
      <c r="C520" s="206"/>
      <c r="D520" s="96"/>
      <c r="E520" s="102"/>
      <c r="F520" s="69"/>
      <c r="G520" s="1003"/>
      <c r="H520" s="978"/>
      <c r="I520" s="190"/>
      <c r="J520" s="192"/>
      <c r="K520" s="1003"/>
      <c r="L520" s="979"/>
    </row>
    <row r="521" spans="1:12" ht="25.5" customHeight="1">
      <c r="A521" s="19"/>
      <c r="B521" t="s">
        <v>242</v>
      </c>
      <c r="L521" s="20"/>
    </row>
    <row r="522" spans="1:12" ht="18" customHeight="1">
      <c r="A522" s="19"/>
      <c r="B522" t="s">
        <v>243</v>
      </c>
      <c r="L522" s="20"/>
    </row>
    <row r="523" spans="1:12" ht="16.5" customHeight="1">
      <c r="A523" s="19"/>
      <c r="B523" t="s">
        <v>244</v>
      </c>
      <c r="L523" s="20"/>
    </row>
    <row r="524" spans="1:12" ht="16.5" customHeight="1">
      <c r="A524" s="19"/>
      <c r="B524" t="s">
        <v>245</v>
      </c>
      <c r="L524" s="20"/>
    </row>
    <row r="525" spans="1:12" ht="27.95" customHeight="1">
      <c r="A525" s="19"/>
      <c r="B525" s="189" t="s">
        <v>239</v>
      </c>
      <c r="C525" s="69"/>
      <c r="D525" s="69"/>
      <c r="E525" s="69"/>
      <c r="F525" s="70"/>
      <c r="G525" s="189" t="s">
        <v>215</v>
      </c>
      <c r="H525" s="70"/>
      <c r="I525" s="189" t="s">
        <v>240</v>
      </c>
      <c r="J525" s="69"/>
      <c r="K525" s="70"/>
      <c r="L525" s="20"/>
    </row>
    <row r="526" spans="1:12" ht="24.75" customHeight="1">
      <c r="A526" s="19"/>
      <c r="B526" s="980"/>
      <c r="C526" s="1002"/>
      <c r="D526" s="1002"/>
      <c r="E526" s="1002"/>
      <c r="F526" s="981"/>
      <c r="G526" s="980"/>
      <c r="H526" s="981"/>
      <c r="I526" s="980"/>
      <c r="J526" s="1002"/>
      <c r="K526" s="981"/>
      <c r="L526" s="20"/>
    </row>
    <row r="527" spans="1:12" ht="23.25" customHeight="1">
      <c r="A527" s="19"/>
      <c r="B527" s="980"/>
      <c r="C527" s="1002"/>
      <c r="D527" s="1002"/>
      <c r="E527" s="1002"/>
      <c r="F527" s="981"/>
      <c r="G527" s="980"/>
      <c r="H527" s="981"/>
      <c r="I527" s="980"/>
      <c r="J527" s="1002"/>
      <c r="K527" s="981"/>
      <c r="L527" s="20"/>
    </row>
    <row r="528" spans="1:12" ht="21.75" customHeight="1">
      <c r="A528" s="19"/>
      <c r="B528" s="980"/>
      <c r="C528" s="1002"/>
      <c r="D528" s="1002"/>
      <c r="E528" s="1002"/>
      <c r="F528" s="981"/>
      <c r="G528" s="980"/>
      <c r="H528" s="981"/>
      <c r="I528" s="980"/>
      <c r="J528" s="1002"/>
      <c r="K528" s="981"/>
      <c r="L528" s="20"/>
    </row>
    <row r="529" spans="1:12" ht="19.5" customHeight="1">
      <c r="A529" s="19"/>
      <c r="B529" s="980"/>
      <c r="C529" s="1002"/>
      <c r="D529" s="1002"/>
      <c r="E529" s="1002"/>
      <c r="F529" s="981"/>
      <c r="G529" s="980"/>
      <c r="H529" s="981"/>
      <c r="I529" s="980"/>
      <c r="J529" s="1002"/>
      <c r="K529" s="981"/>
      <c r="L529" s="20"/>
    </row>
    <row r="530" spans="1:12" ht="27.95" customHeight="1">
      <c r="A530" s="19"/>
      <c r="B530" t="s">
        <v>212</v>
      </c>
      <c r="I530" t="s">
        <v>241</v>
      </c>
      <c r="L530" s="20"/>
    </row>
    <row r="531" spans="1:12" ht="24" customHeight="1">
      <c r="A531" s="19"/>
      <c r="F531" s="177" t="s">
        <v>207</v>
      </c>
      <c r="L531" s="20"/>
    </row>
    <row r="532" spans="1:12" ht="27.95" customHeight="1">
      <c r="A532" s="19" t="s">
        <v>208</v>
      </c>
      <c r="L532" s="20"/>
    </row>
    <row r="533" spans="1:12" ht="27.95" customHeight="1">
      <c r="A533" s="19" t="s">
        <v>209</v>
      </c>
      <c r="L533" s="20"/>
    </row>
    <row r="534" spans="1:12" ht="27.95" customHeight="1">
      <c r="A534" s="19"/>
      <c r="F534" t="s">
        <v>210</v>
      </c>
      <c r="L534" s="20"/>
    </row>
    <row r="535" spans="1:12">
      <c r="A535" s="19" t="s">
        <v>211</v>
      </c>
      <c r="F535">
        <f>'04-22Master'!F444</f>
        <v>0</v>
      </c>
      <c r="L535" s="20"/>
    </row>
    <row r="536" spans="1:12" ht="15.75" thickBot="1">
      <c r="A536" s="31" t="s">
        <v>212</v>
      </c>
      <c r="B536" s="29"/>
      <c r="C536" s="29"/>
      <c r="D536" s="29"/>
      <c r="E536" s="29"/>
      <c r="F536" s="29">
        <f>'04-22Master'!F445</f>
        <v>0</v>
      </c>
      <c r="G536" s="29"/>
      <c r="H536" s="29"/>
      <c r="I536" s="29"/>
      <c r="J536" s="29"/>
      <c r="K536" s="29"/>
      <c r="L536" s="30"/>
    </row>
    <row r="537" spans="1:12" ht="32.25">
      <c r="A537" s="81"/>
      <c r="B537" s="82"/>
      <c r="C537" s="82"/>
      <c r="D537" s="182"/>
      <c r="E537" s="182"/>
      <c r="F537" s="182"/>
      <c r="G537" s="182"/>
      <c r="H537" s="182"/>
      <c r="I537" s="182"/>
      <c r="J537" s="82"/>
      <c r="K537" s="184" t="s">
        <v>226</v>
      </c>
      <c r="L537" s="183"/>
    </row>
    <row r="538" spans="1:12" ht="21">
      <c r="A538" s="19"/>
      <c r="B538" s="1004" t="s">
        <v>225</v>
      </c>
      <c r="C538" s="1004"/>
      <c r="D538" s="1004"/>
      <c r="E538" s="1004"/>
      <c r="F538" s="1004"/>
      <c r="G538" s="1004"/>
      <c r="H538" s="1004"/>
      <c r="I538" s="1004"/>
      <c r="J538" s="1004"/>
      <c r="K538" s="1004"/>
      <c r="L538" s="1005"/>
    </row>
    <row r="539" spans="1:12" ht="15.75">
      <c r="A539" s="19"/>
      <c r="B539" s="999" t="s">
        <v>227</v>
      </c>
      <c r="C539" s="999"/>
      <c r="D539" s="999"/>
      <c r="E539" s="999"/>
      <c r="F539" s="999"/>
      <c r="G539" s="999"/>
      <c r="H539" s="999"/>
      <c r="I539" s="999"/>
      <c r="J539" s="999"/>
      <c r="K539" s="999"/>
      <c r="L539" s="1006"/>
    </row>
    <row r="540" spans="1:12" ht="15" customHeight="1">
      <c r="A540" s="19"/>
      <c r="B540" s="185" t="s">
        <v>228</v>
      </c>
      <c r="C540" s="185"/>
      <c r="D540" s="185"/>
      <c r="E540" s="185"/>
      <c r="F540" s="185"/>
      <c r="H540" s="186"/>
      <c r="I540" s="186"/>
      <c r="J540" s="186"/>
      <c r="K540" s="186"/>
      <c r="L540" s="194"/>
    </row>
    <row r="541" spans="1:12">
      <c r="A541" s="19"/>
      <c r="B541" s="972" t="s">
        <v>197</v>
      </c>
      <c r="C541" s="972"/>
      <c r="D541" s="972"/>
      <c r="E541" s="972"/>
      <c r="F541" s="972"/>
      <c r="G541" s="972"/>
      <c r="H541" s="992">
        <f>'04-22Master'!B505</f>
        <v>0</v>
      </c>
      <c r="I541" s="987"/>
      <c r="J541" s="987"/>
      <c r="K541" s="987"/>
      <c r="L541" s="841"/>
    </row>
    <row r="542" spans="1:12">
      <c r="A542" s="19"/>
      <c r="B542" s="993" t="s">
        <v>198</v>
      </c>
      <c r="C542" s="993"/>
      <c r="D542" s="993"/>
      <c r="E542" s="993"/>
      <c r="F542" s="993"/>
      <c r="G542" s="993"/>
      <c r="H542" s="992">
        <f>'04-22Master'!E505</f>
        <v>0</v>
      </c>
      <c r="I542" s="987"/>
      <c r="J542" s="987"/>
      <c r="K542" s="987"/>
      <c r="L542" s="841"/>
    </row>
    <row r="543" spans="1:12">
      <c r="A543" s="19"/>
      <c r="B543" s="972" t="s">
        <v>199</v>
      </c>
      <c r="C543" s="972"/>
      <c r="D543" s="972"/>
      <c r="E543" s="972"/>
      <c r="F543" s="972"/>
      <c r="G543" s="972"/>
      <c r="H543" s="992">
        <f>'04-22Master'!C505</f>
        <v>0</v>
      </c>
      <c r="I543" s="987"/>
      <c r="J543" s="987"/>
      <c r="K543" s="987"/>
      <c r="L543" s="841"/>
    </row>
    <row r="544" spans="1:12">
      <c r="A544" s="19"/>
      <c r="B544" s="972" t="s">
        <v>200</v>
      </c>
      <c r="C544" s="972"/>
      <c r="D544" s="972"/>
      <c r="E544" s="972"/>
      <c r="F544" s="972"/>
      <c r="G544" s="972"/>
      <c r="H544" s="986">
        <f>'04-22Master'!D505</f>
        <v>0</v>
      </c>
      <c r="I544" s="987"/>
      <c r="J544" s="987"/>
      <c r="K544" s="987"/>
      <c r="L544" s="841"/>
    </row>
    <row r="545" spans="1:12">
      <c r="A545" s="19"/>
      <c r="B545" s="93" t="s">
        <v>202</v>
      </c>
      <c r="C545" s="94"/>
      <c r="D545" s="94"/>
      <c r="E545" s="94"/>
      <c r="F545" s="94"/>
      <c r="G545" s="94"/>
      <c r="H545" s="988" t="s">
        <v>203</v>
      </c>
      <c r="I545" s="989"/>
      <c r="J545" s="989"/>
      <c r="K545" s="989"/>
      <c r="L545" s="990"/>
    </row>
    <row r="546" spans="1:12">
      <c r="A546" s="19"/>
      <c r="B546" s="93" t="s">
        <v>204</v>
      </c>
      <c r="C546" s="94"/>
      <c r="D546" s="94"/>
      <c r="E546" s="94"/>
      <c r="F546" s="94"/>
      <c r="G546" s="94"/>
      <c r="H546" s="95"/>
      <c r="I546" s="96"/>
      <c r="J546" s="176"/>
      <c r="K546" s="96"/>
      <c r="L546" s="101"/>
    </row>
    <row r="547" spans="1:12">
      <c r="A547" s="19"/>
      <c r="B547" s="834" t="s">
        <v>205</v>
      </c>
      <c r="C547" s="834"/>
      <c r="D547" s="834"/>
      <c r="E547" s="834"/>
      <c r="F547" s="834"/>
      <c r="G547" s="834"/>
      <c r="H547" s="835">
        <f>'04-22Master'!G505</f>
        <v>0</v>
      </c>
      <c r="I547" s="849"/>
      <c r="J547" s="849"/>
      <c r="K547" s="849"/>
      <c r="L547" s="850"/>
    </row>
    <row r="548" spans="1:12">
      <c r="A548" s="19"/>
      <c r="B548" s="972"/>
      <c r="C548" s="972"/>
      <c r="D548" s="972"/>
      <c r="E548" s="972"/>
      <c r="F548" s="972"/>
      <c r="G548" s="972"/>
      <c r="H548" s="991">
        <f>'04-22Master'!H505</f>
        <v>0</v>
      </c>
      <c r="I548" s="987"/>
      <c r="J548" s="987"/>
      <c r="K548" s="987"/>
      <c r="L548" s="841"/>
    </row>
    <row r="549" spans="1:12">
      <c r="A549" s="19"/>
      <c r="B549" s="972"/>
      <c r="C549" s="972"/>
      <c r="D549" s="972"/>
      <c r="E549" s="972"/>
      <c r="F549" s="972"/>
      <c r="G549" s="972"/>
      <c r="H549" s="992" t="e">
        <f>'04-22Master'!#REF!</f>
        <v>#REF!</v>
      </c>
      <c r="I549" s="987"/>
      <c r="J549" s="987"/>
      <c r="K549" s="987"/>
      <c r="L549" s="841"/>
    </row>
    <row r="550" spans="1:12">
      <c r="A550" s="19"/>
      <c r="G550" s="3" t="s">
        <v>229</v>
      </c>
      <c r="H550" s="3"/>
      <c r="I550" s="3"/>
      <c r="J550" s="3"/>
      <c r="K550" s="3"/>
      <c r="L550" s="88"/>
    </row>
    <row r="551" spans="1:12">
      <c r="A551" s="19"/>
      <c r="B551" s="178" t="s">
        <v>213</v>
      </c>
      <c r="C551" s="174"/>
      <c r="D551" s="174"/>
      <c r="E551" s="174"/>
      <c r="F551" s="174"/>
      <c r="G551" s="174"/>
      <c r="H551" s="163"/>
      <c r="I551" s="163"/>
      <c r="J551" s="163"/>
      <c r="K551" s="163"/>
      <c r="L551" s="181"/>
    </row>
    <row r="552" spans="1:12">
      <c r="A552" s="19"/>
      <c r="B552" s="178" t="s">
        <v>214</v>
      </c>
      <c r="C552" s="174"/>
      <c r="D552" s="174"/>
      <c r="E552" s="174"/>
      <c r="F552" s="174"/>
      <c r="G552" s="174"/>
      <c r="H552" s="163"/>
      <c r="I552" s="163"/>
      <c r="J552" s="164"/>
      <c r="K552" s="163"/>
      <c r="L552" s="181"/>
    </row>
    <row r="553" spans="1:12" ht="45">
      <c r="A553" s="92"/>
      <c r="B553" s="93" t="s">
        <v>217</v>
      </c>
      <c r="C553" s="94"/>
      <c r="D553" s="191"/>
      <c r="E553" s="169" t="s">
        <v>219</v>
      </c>
      <c r="F553" s="70"/>
      <c r="G553" s="977" t="s">
        <v>218</v>
      </c>
      <c r="H553" s="978"/>
      <c r="I553" s="168" t="s">
        <v>215</v>
      </c>
      <c r="J553" s="171" t="s">
        <v>220</v>
      </c>
      <c r="K553" s="977" t="s">
        <v>216</v>
      </c>
      <c r="L553" s="979"/>
    </row>
    <row r="554" spans="1:12">
      <c r="A554" s="92"/>
      <c r="B554" s="172">
        <v>1</v>
      </c>
      <c r="C554" s="94"/>
      <c r="D554" s="94"/>
      <c r="E554" s="175">
        <v>2</v>
      </c>
      <c r="F554" s="97"/>
      <c r="G554" s="175">
        <v>3</v>
      </c>
      <c r="H554" s="191"/>
      <c r="I554" s="191">
        <v>4</v>
      </c>
      <c r="J554" s="112">
        <v>5</v>
      </c>
      <c r="K554" s="99"/>
      <c r="L554" s="100">
        <v>6</v>
      </c>
    </row>
    <row r="555" spans="1:12" ht="27.95" customHeight="1">
      <c r="A555" s="92"/>
      <c r="B555" s="93"/>
      <c r="C555" s="187"/>
      <c r="D555" s="188"/>
      <c r="E555" s="189" t="s">
        <v>379</v>
      </c>
      <c r="F555" s="188"/>
      <c r="G555" s="189" t="s">
        <v>377</v>
      </c>
      <c r="H555" s="70"/>
      <c r="I555" s="16" t="s">
        <v>380</v>
      </c>
      <c r="J555" s="287">
        <v>1</v>
      </c>
      <c r="K555" s="190" t="s">
        <v>37</v>
      </c>
      <c r="L555" s="195"/>
    </row>
    <row r="556" spans="1:12" ht="27.95" customHeight="1">
      <c r="A556" s="92"/>
      <c r="B556" s="93"/>
      <c r="C556" s="187"/>
      <c r="D556" s="188"/>
      <c r="E556" s="189"/>
      <c r="F556" s="188"/>
      <c r="G556" s="189"/>
      <c r="H556" s="70"/>
      <c r="I556" s="16"/>
      <c r="J556" s="16"/>
      <c r="K556" s="190"/>
      <c r="L556" s="195"/>
    </row>
    <row r="557" spans="1:12" ht="27.95" customHeight="1">
      <c r="A557" s="92"/>
      <c r="B557" s="93"/>
      <c r="C557" s="187"/>
      <c r="D557" s="188"/>
      <c r="E557" s="189"/>
      <c r="F557" s="188"/>
      <c r="G557" s="189"/>
      <c r="H557" s="70"/>
      <c r="I557" s="16"/>
      <c r="J557" s="16"/>
      <c r="K557" s="190"/>
      <c r="L557" s="195"/>
    </row>
    <row r="558" spans="1:12" ht="27.95" customHeight="1">
      <c r="A558" s="92"/>
      <c r="B558" s="77"/>
      <c r="C558" s="23"/>
      <c r="D558" s="78"/>
      <c r="E558" s="189"/>
      <c r="F558" s="188"/>
      <c r="G558" s="189"/>
      <c r="H558" s="70"/>
      <c r="I558" s="16"/>
      <c r="J558" s="16"/>
      <c r="K558" s="190"/>
      <c r="L558" s="195"/>
    </row>
    <row r="559" spans="1:12" ht="27.95" customHeight="1">
      <c r="A559" s="92"/>
      <c r="B559" t="s">
        <v>221</v>
      </c>
      <c r="L559" s="20"/>
    </row>
    <row r="560" spans="1:12" ht="27.95" customHeight="1">
      <c r="A560" s="19"/>
      <c r="B560" t="s">
        <v>222</v>
      </c>
      <c r="L560" s="20"/>
    </row>
    <row r="561" spans="1:12" ht="27.95" customHeight="1">
      <c r="A561" s="19"/>
      <c r="B561" t="s">
        <v>233</v>
      </c>
      <c r="J561" t="s">
        <v>232</v>
      </c>
      <c r="L561" s="20"/>
    </row>
    <row r="562" spans="1:12" ht="27.95" customHeight="1">
      <c r="A562" s="19"/>
      <c r="G562" s="3" t="s">
        <v>230</v>
      </c>
      <c r="H562" s="3"/>
      <c r="I562" s="3"/>
      <c r="J562" s="3"/>
      <c r="K562" s="3"/>
      <c r="L562" s="88"/>
    </row>
    <row r="563" spans="1:12" ht="27.95" customHeight="1">
      <c r="A563" s="19"/>
      <c r="B563" s="3"/>
      <c r="G563" t="s">
        <v>231</v>
      </c>
      <c r="H563" s="3"/>
      <c r="I563" s="3"/>
      <c r="J563" s="3"/>
      <c r="K563" s="3"/>
      <c r="L563" s="88"/>
    </row>
    <row r="564" spans="1:12" ht="27.95" customHeight="1">
      <c r="A564" s="19"/>
      <c r="B564" s="178" t="s">
        <v>234</v>
      </c>
      <c r="C564" s="174"/>
      <c r="D564" s="174"/>
      <c r="E564" s="174"/>
      <c r="F564" s="174"/>
      <c r="G564" s="174"/>
      <c r="H564" s="163"/>
      <c r="I564" s="163"/>
      <c r="J564" s="163"/>
      <c r="K564" s="163"/>
      <c r="L564" s="181"/>
    </row>
    <row r="565" spans="1:12" ht="27.95" customHeight="1">
      <c r="A565" s="19"/>
      <c r="B565" s="178" t="s">
        <v>235</v>
      </c>
      <c r="C565" s="174"/>
      <c r="D565" s="174"/>
      <c r="E565" s="174"/>
      <c r="F565" s="174"/>
      <c r="G565" s="174"/>
      <c r="H565" s="163"/>
      <c r="I565" s="163"/>
      <c r="J565" s="164"/>
      <c r="K565" s="163"/>
      <c r="L565" s="181"/>
    </row>
    <row r="566" spans="1:12" ht="27.95" customHeight="1">
      <c r="A566" s="19"/>
      <c r="B566" s="93" t="s">
        <v>5</v>
      </c>
      <c r="C566" s="1007" t="s">
        <v>236</v>
      </c>
      <c r="D566" s="976"/>
      <c r="E566" s="976"/>
      <c r="F566" s="976"/>
      <c r="G566" s="976"/>
      <c r="H566" s="1008"/>
      <c r="I566" s="170" t="s">
        <v>109</v>
      </c>
      <c r="J566" s="1009" t="s">
        <v>237</v>
      </c>
      <c r="K566" s="1010"/>
      <c r="L566" s="1011"/>
    </row>
    <row r="567" spans="1:12" ht="27.95" customHeight="1">
      <c r="A567" s="19"/>
      <c r="B567" s="172">
        <v>1</v>
      </c>
      <c r="C567" s="206"/>
      <c r="D567" s="96"/>
      <c r="E567" s="102">
        <v>2</v>
      </c>
      <c r="F567" s="69"/>
      <c r="G567" s="1003"/>
      <c r="H567" s="978"/>
      <c r="I567" s="96">
        <v>3</v>
      </c>
      <c r="J567" s="193" t="s">
        <v>238</v>
      </c>
      <c r="K567" s="1012">
        <v>4</v>
      </c>
      <c r="L567" s="1013"/>
    </row>
    <row r="568" spans="1:12" ht="27.95" customHeight="1">
      <c r="A568" s="19"/>
      <c r="B568" s="93"/>
      <c r="C568" s="206"/>
      <c r="D568" s="96"/>
      <c r="E568" s="102"/>
      <c r="F568" s="69"/>
      <c r="G568" s="1003"/>
      <c r="H568" s="978"/>
      <c r="I568" s="190"/>
      <c r="J568" s="192"/>
      <c r="K568" s="1003"/>
      <c r="L568" s="979"/>
    </row>
    <row r="569" spans="1:12" ht="27.95" customHeight="1">
      <c r="A569" s="19"/>
      <c r="B569" s="93"/>
      <c r="C569" s="206"/>
      <c r="D569" s="96"/>
      <c r="E569" s="102"/>
      <c r="F569" s="69"/>
      <c r="G569" s="1003"/>
      <c r="H569" s="978"/>
      <c r="I569" s="190"/>
      <c r="J569" s="192"/>
      <c r="K569" s="1003"/>
      <c r="L569" s="979"/>
    </row>
    <row r="570" spans="1:12" ht="27.95" customHeight="1">
      <c r="A570" s="19"/>
      <c r="B570" s="93"/>
      <c r="C570" s="206"/>
      <c r="D570" s="96"/>
      <c r="E570" s="102"/>
      <c r="F570" s="69"/>
      <c r="G570" s="1003"/>
      <c r="H570" s="978"/>
      <c r="I570" s="190"/>
      <c r="J570" s="192"/>
      <c r="K570" s="1003"/>
      <c r="L570" s="979"/>
    </row>
    <row r="571" spans="1:12" ht="27.95" customHeight="1">
      <c r="A571" s="19"/>
      <c r="B571" s="77"/>
      <c r="C571" s="206"/>
      <c r="D571" s="96"/>
      <c r="E571" s="102"/>
      <c r="F571" s="69"/>
      <c r="G571" s="1003"/>
      <c r="H571" s="978"/>
      <c r="I571" s="190"/>
      <c r="J571" s="192"/>
      <c r="K571" s="1003"/>
      <c r="L571" s="979"/>
    </row>
    <row r="572" spans="1:12" ht="27.95" customHeight="1">
      <c r="A572" s="19"/>
      <c r="B572" t="s">
        <v>242</v>
      </c>
      <c r="L572" s="20"/>
    </row>
    <row r="573" spans="1:12">
      <c r="A573" s="19"/>
      <c r="B573" t="s">
        <v>243</v>
      </c>
      <c r="L573" s="20"/>
    </row>
    <row r="574" spans="1:12">
      <c r="A574" s="19"/>
      <c r="B574" t="s">
        <v>244</v>
      </c>
      <c r="L574" s="20"/>
    </row>
    <row r="575" spans="1:12">
      <c r="A575" s="19"/>
      <c r="B575" t="s">
        <v>245</v>
      </c>
      <c r="L575" s="20"/>
    </row>
    <row r="576" spans="1:12">
      <c r="A576" s="19"/>
      <c r="B576" s="189" t="s">
        <v>239</v>
      </c>
      <c r="C576" s="69"/>
      <c r="D576" s="69"/>
      <c r="E576" s="69"/>
      <c r="F576" s="70"/>
      <c r="G576" s="189" t="s">
        <v>215</v>
      </c>
      <c r="H576" s="70"/>
      <c r="I576" s="189" t="s">
        <v>240</v>
      </c>
      <c r="J576" s="69"/>
      <c r="K576" s="70"/>
      <c r="L576" s="20"/>
    </row>
    <row r="577" spans="1:12">
      <c r="A577" s="19"/>
      <c r="B577" s="980"/>
      <c r="C577" s="1002"/>
      <c r="D577" s="1002"/>
      <c r="E577" s="1002"/>
      <c r="F577" s="981"/>
      <c r="G577" s="980"/>
      <c r="H577" s="981"/>
      <c r="I577" s="980"/>
      <c r="J577" s="1002"/>
      <c r="K577" s="981"/>
      <c r="L577" s="20"/>
    </row>
    <row r="578" spans="1:12">
      <c r="A578" s="19"/>
      <c r="B578" s="980"/>
      <c r="C578" s="1002"/>
      <c r="D578" s="1002"/>
      <c r="E578" s="1002"/>
      <c r="F578" s="981"/>
      <c r="G578" s="980"/>
      <c r="H578" s="981"/>
      <c r="I578" s="980"/>
      <c r="J578" s="1002"/>
      <c r="K578" s="981"/>
      <c r="L578" s="20"/>
    </row>
    <row r="579" spans="1:12" ht="15" customHeight="1">
      <c r="A579" s="19"/>
      <c r="B579" s="980"/>
      <c r="C579" s="1002"/>
      <c r="D579" s="1002"/>
      <c r="E579" s="1002"/>
      <c r="F579" s="981"/>
      <c r="G579" s="980"/>
      <c r="H579" s="981"/>
      <c r="I579" s="980"/>
      <c r="J579" s="1002"/>
      <c r="K579" s="981"/>
      <c r="L579" s="20"/>
    </row>
    <row r="580" spans="1:12">
      <c r="A580" s="19"/>
      <c r="B580" s="980"/>
      <c r="C580" s="1002"/>
      <c r="D580" s="1002"/>
      <c r="E580" s="1002"/>
      <c r="F580" s="981"/>
      <c r="G580" s="980"/>
      <c r="H580" s="981"/>
      <c r="I580" s="980"/>
      <c r="J580" s="1002"/>
      <c r="K580" s="981"/>
      <c r="L580" s="20"/>
    </row>
    <row r="581" spans="1:12">
      <c r="A581" s="19"/>
      <c r="B581" t="s">
        <v>212</v>
      </c>
      <c r="I581" t="s">
        <v>241</v>
      </c>
      <c r="L581" s="20"/>
    </row>
    <row r="582" spans="1:12" ht="18.75">
      <c r="A582" s="19"/>
      <c r="F582" s="177" t="s">
        <v>207</v>
      </c>
      <c r="L582" s="20"/>
    </row>
    <row r="583" spans="1:12">
      <c r="A583" s="19" t="s">
        <v>208</v>
      </c>
      <c r="L583" s="20"/>
    </row>
    <row r="584" spans="1:12">
      <c r="A584" s="19" t="s">
        <v>209</v>
      </c>
      <c r="L584" s="20"/>
    </row>
    <row r="585" spans="1:12">
      <c r="A585" s="19"/>
      <c r="F585" t="s">
        <v>210</v>
      </c>
      <c r="L585" s="20"/>
    </row>
    <row r="586" spans="1:12">
      <c r="A586" s="19" t="s">
        <v>211</v>
      </c>
      <c r="F586">
        <f>'04-22Master'!F495</f>
        <v>0</v>
      </c>
      <c r="L586" s="20"/>
    </row>
    <row r="587" spans="1:12" ht="15.75" thickBot="1">
      <c r="A587" s="31" t="s">
        <v>212</v>
      </c>
      <c r="B587" s="29"/>
      <c r="C587" s="29"/>
      <c r="D587" s="29"/>
      <c r="E587" s="29"/>
      <c r="F587" s="29">
        <f>'04-22Master'!F496</f>
        <v>0</v>
      </c>
      <c r="G587" s="29"/>
      <c r="H587" s="29"/>
      <c r="I587" s="29"/>
      <c r="J587" s="29"/>
      <c r="K587" s="29"/>
      <c r="L587" s="30"/>
    </row>
    <row r="589" spans="1:12">
      <c r="H589" s="3"/>
      <c r="I589" s="3"/>
      <c r="J589" s="3"/>
      <c r="K589" s="3"/>
      <c r="L589" s="3"/>
    </row>
    <row r="590" spans="1:12">
      <c r="H590" s="3"/>
      <c r="I590" s="3"/>
      <c r="J590" s="3"/>
      <c r="K590" s="3"/>
      <c r="L590" s="3"/>
    </row>
    <row r="591" spans="1:12">
      <c r="B591" s="3"/>
      <c r="H591" s="3"/>
      <c r="I591" s="3"/>
      <c r="J591" s="3"/>
      <c r="K591" s="3"/>
      <c r="L591" s="3"/>
    </row>
    <row r="592" spans="1:12">
      <c r="H592" s="3"/>
      <c r="I592" s="3"/>
      <c r="J592" s="3"/>
      <c r="K592" s="3"/>
      <c r="L592" s="3"/>
    </row>
    <row r="593" spans="1:12">
      <c r="H593" s="3"/>
      <c r="I593" s="3"/>
      <c r="J593" s="3"/>
      <c r="K593" s="3"/>
      <c r="L593" s="3"/>
    </row>
    <row r="594" spans="1:12" ht="27.95" customHeight="1">
      <c r="A594" s="15"/>
      <c r="B594" s="997"/>
      <c r="C594" s="997"/>
      <c r="D594" s="997"/>
      <c r="E594" s="997"/>
      <c r="F594" s="997"/>
      <c r="G594" s="997"/>
      <c r="H594" s="994"/>
      <c r="I594" s="995"/>
      <c r="J594" s="995"/>
      <c r="K594" s="995"/>
      <c r="L594" s="995"/>
    </row>
    <row r="595" spans="1:12" ht="27.95" customHeight="1">
      <c r="A595" s="15"/>
      <c r="B595" s="984"/>
      <c r="C595" s="984"/>
      <c r="D595" s="984"/>
      <c r="E595" s="984"/>
      <c r="F595" s="984"/>
      <c r="G595" s="984"/>
      <c r="H595" s="994"/>
      <c r="I595" s="995"/>
      <c r="J595" s="995"/>
      <c r="K595" s="995"/>
      <c r="L595" s="995"/>
    </row>
    <row r="596" spans="1:12" ht="27.95" customHeight="1">
      <c r="A596" s="15"/>
      <c r="B596" s="997"/>
      <c r="C596" s="997"/>
      <c r="D596" s="997"/>
      <c r="E596" s="997"/>
      <c r="F596" s="997"/>
      <c r="G596" s="997"/>
      <c r="H596" s="994"/>
      <c r="I596" s="995"/>
      <c r="J596" s="995"/>
      <c r="K596" s="995"/>
      <c r="L596" s="995"/>
    </row>
    <row r="597" spans="1:12" ht="27.95" customHeight="1">
      <c r="A597" s="15"/>
      <c r="B597" s="997"/>
      <c r="C597" s="997"/>
      <c r="D597" s="997"/>
      <c r="E597" s="997"/>
      <c r="F597" s="997"/>
      <c r="G597" s="997"/>
      <c r="H597" s="998"/>
      <c r="I597" s="995"/>
      <c r="J597" s="995"/>
      <c r="K597" s="995"/>
      <c r="L597" s="995"/>
    </row>
    <row r="598" spans="1:12" ht="27.95" customHeight="1">
      <c r="A598" s="15"/>
      <c r="B598" s="178"/>
      <c r="C598" s="174"/>
      <c r="D598" s="174"/>
      <c r="E598" s="174"/>
      <c r="F598" s="174"/>
      <c r="G598" s="174"/>
      <c r="H598" s="163"/>
      <c r="I598" s="15"/>
      <c r="J598" s="156"/>
      <c r="K598" s="163"/>
      <c r="L598" s="163"/>
    </row>
    <row r="599" spans="1:12" ht="27.95" customHeight="1">
      <c r="A599" s="15"/>
      <c r="B599" s="178"/>
      <c r="C599" s="174"/>
      <c r="D599" s="174"/>
      <c r="E599" s="174"/>
      <c r="F599" s="174"/>
      <c r="G599" s="174"/>
      <c r="H599" s="163"/>
      <c r="I599" s="163"/>
      <c r="J599" s="156"/>
      <c r="K599" s="163"/>
      <c r="L599" s="163"/>
    </row>
    <row r="600" spans="1:12" ht="27.95" customHeight="1">
      <c r="A600" s="15"/>
      <c r="B600" s="984"/>
      <c r="C600" s="984"/>
      <c r="D600" s="984"/>
      <c r="E600" s="984"/>
      <c r="F600" s="984"/>
      <c r="G600" s="984"/>
      <c r="H600" s="994"/>
      <c r="I600" s="995"/>
      <c r="J600" s="995"/>
      <c r="K600" s="995"/>
      <c r="L600" s="995"/>
    </row>
    <row r="601" spans="1:12" ht="27.95" customHeight="1">
      <c r="A601" s="15"/>
      <c r="B601" s="997"/>
      <c r="C601" s="997"/>
      <c r="D601" s="997"/>
      <c r="E601" s="997"/>
      <c r="F601" s="997"/>
      <c r="G601" s="997"/>
      <c r="H601" s="1000"/>
      <c r="I601" s="995"/>
      <c r="J601" s="995"/>
      <c r="K601" s="995"/>
      <c r="L601" s="995"/>
    </row>
    <row r="602" spans="1:12" ht="27.95" customHeight="1">
      <c r="B602" s="997"/>
      <c r="C602" s="997"/>
      <c r="D602" s="997"/>
      <c r="E602" s="997"/>
      <c r="F602" s="997"/>
      <c r="G602" s="997"/>
      <c r="H602" s="995"/>
      <c r="I602" s="995"/>
      <c r="J602" s="995"/>
      <c r="K602" s="995"/>
      <c r="L602" s="995"/>
    </row>
    <row r="603" spans="1:12" ht="27.95" customHeight="1">
      <c r="B603" s="178"/>
      <c r="C603" s="174"/>
      <c r="D603" s="174"/>
      <c r="E603" s="174"/>
      <c r="F603" s="174"/>
      <c r="G603" s="174"/>
      <c r="H603" s="163"/>
      <c r="I603" s="163"/>
      <c r="J603" s="163"/>
      <c r="K603" s="163"/>
      <c r="L603" s="163"/>
    </row>
    <row r="604" spans="1:12" ht="27.95" customHeight="1">
      <c r="B604" s="178"/>
      <c r="C604" s="174"/>
      <c r="D604" s="174"/>
      <c r="E604" s="174"/>
      <c r="F604" s="174"/>
      <c r="G604" s="174"/>
      <c r="H604" s="163"/>
      <c r="I604" s="163"/>
      <c r="J604" s="163"/>
      <c r="K604" s="163"/>
      <c r="L604" s="163"/>
    </row>
    <row r="605" spans="1:12" ht="27.95" customHeight="1">
      <c r="B605" s="178"/>
      <c r="C605" s="174"/>
      <c r="D605" s="174"/>
      <c r="E605" s="174"/>
      <c r="F605" s="174"/>
      <c r="G605" s="174"/>
      <c r="H605" s="163"/>
      <c r="I605" s="163"/>
      <c r="J605" s="164"/>
      <c r="K605" s="163"/>
      <c r="L605" s="163"/>
    </row>
    <row r="606" spans="1:12" ht="27.95" customHeight="1">
      <c r="B606" s="178"/>
      <c r="C606" s="174"/>
      <c r="D606" s="174"/>
      <c r="E606" s="174"/>
      <c r="F606" s="174"/>
      <c r="G606" s="174"/>
      <c r="H606" s="163"/>
      <c r="I606" s="163"/>
      <c r="J606" s="163"/>
      <c r="K606" s="163"/>
      <c r="L606" s="163"/>
    </row>
    <row r="607" spans="1:12" ht="27.95" customHeight="1">
      <c r="B607" s="178"/>
      <c r="C607" s="174"/>
      <c r="D607" s="174"/>
      <c r="E607" s="174"/>
      <c r="F607" s="174"/>
      <c r="G607" s="174"/>
      <c r="H607" s="163"/>
      <c r="I607" s="163"/>
      <c r="J607" s="164"/>
      <c r="K607" s="163"/>
      <c r="L607" s="163"/>
    </row>
    <row r="608" spans="1:12" ht="27.95" customHeight="1">
      <c r="B608" s="178"/>
      <c r="C608" s="174"/>
      <c r="D608" s="163"/>
      <c r="E608" s="164"/>
      <c r="F608" s="163"/>
      <c r="G608" s="164"/>
      <c r="H608" s="163"/>
      <c r="I608" s="164"/>
      <c r="J608" s="163"/>
      <c r="K608" s="164"/>
      <c r="L608" s="164"/>
    </row>
    <row r="609" spans="2:12" ht="27.95" customHeight="1">
      <c r="B609" s="178"/>
      <c r="C609" s="174"/>
      <c r="D609" s="174"/>
      <c r="E609" s="174"/>
      <c r="F609" s="174"/>
      <c r="G609" s="174"/>
      <c r="H609" s="163"/>
      <c r="I609" s="163"/>
      <c r="J609" s="247"/>
      <c r="K609" s="163"/>
      <c r="L609" s="163"/>
    </row>
    <row r="610" spans="2:12" ht="27.95" customHeight="1">
      <c r="B610" s="178"/>
      <c r="C610" s="3"/>
      <c r="D610" s="3"/>
      <c r="E610" s="3"/>
      <c r="F610" s="3"/>
      <c r="G610" s="3"/>
    </row>
    <row r="611" spans="2:12" ht="27.95" customHeight="1">
      <c r="B611" s="178"/>
      <c r="C611" s="3"/>
      <c r="D611" s="3"/>
      <c r="E611" s="3"/>
      <c r="F611" s="3"/>
      <c r="G611" s="3"/>
    </row>
    <row r="614" spans="2:12" ht="32.25">
      <c r="B614" s="1001"/>
      <c r="C614" s="757"/>
      <c r="D614" s="757"/>
      <c r="E614" s="757"/>
      <c r="F614" s="757"/>
      <c r="G614" s="757"/>
      <c r="H614" s="757"/>
      <c r="I614" s="757"/>
      <c r="J614" s="757"/>
      <c r="K614" s="757"/>
      <c r="L614" s="757"/>
    </row>
    <row r="615" spans="2:12" ht="23.25">
      <c r="B615" s="982"/>
      <c r="C615" s="982"/>
      <c r="D615" s="982"/>
      <c r="E615" s="982"/>
      <c r="F615" s="982"/>
      <c r="G615" s="982"/>
      <c r="H615" s="982"/>
      <c r="I615" s="982"/>
      <c r="J615" s="982"/>
      <c r="K615" s="982"/>
      <c r="L615" s="982"/>
    </row>
    <row r="616" spans="2:12" ht="15.75">
      <c r="B616" s="999"/>
      <c r="C616" s="999"/>
      <c r="D616" s="999"/>
      <c r="E616" s="999"/>
      <c r="F616" s="999"/>
      <c r="G616" s="999"/>
      <c r="H616" s="999"/>
      <c r="I616" s="999"/>
      <c r="J616" s="999"/>
      <c r="K616" s="999"/>
      <c r="L616" s="999"/>
    </row>
    <row r="617" spans="2:12" ht="15" customHeight="1">
      <c r="B617" s="983"/>
      <c r="C617" s="983"/>
      <c r="D617" s="983"/>
      <c r="E617" s="983"/>
      <c r="F617" s="983"/>
      <c r="H617" s="984"/>
      <c r="I617" s="984"/>
      <c r="J617" s="984"/>
      <c r="K617" s="984"/>
      <c r="L617" s="984"/>
    </row>
    <row r="618" spans="2:12">
      <c r="B618" s="983"/>
      <c r="C618" s="983"/>
      <c r="D618" s="983"/>
      <c r="E618" s="983"/>
      <c r="F618" s="983"/>
      <c r="H618" s="984"/>
      <c r="I618" s="984"/>
      <c r="J618" s="984"/>
      <c r="K618" s="984"/>
      <c r="L618" s="984"/>
    </row>
    <row r="620" spans="2:12">
      <c r="B620" s="3"/>
      <c r="H620" s="3"/>
    </row>
    <row r="622" spans="2:12">
      <c r="B622" s="3"/>
      <c r="H622" s="3"/>
    </row>
    <row r="625" spans="1:12">
      <c r="B625" s="750"/>
      <c r="C625" s="750"/>
      <c r="D625" s="750"/>
      <c r="E625" s="750"/>
      <c r="F625" s="750"/>
      <c r="H625" s="750"/>
      <c r="I625" s="750"/>
      <c r="J625" s="750"/>
      <c r="K625" s="750"/>
      <c r="L625" s="750"/>
    </row>
    <row r="627" spans="1:12">
      <c r="H627" s="3"/>
      <c r="I627" s="3"/>
      <c r="J627" s="3"/>
      <c r="K627" s="3"/>
      <c r="L627" s="3"/>
    </row>
    <row r="628" spans="1:12">
      <c r="H628" s="3"/>
      <c r="I628" s="3"/>
      <c r="J628" s="3"/>
      <c r="K628" s="3"/>
      <c r="L628" s="3"/>
    </row>
    <row r="629" spans="1:12">
      <c r="B629" s="3"/>
      <c r="H629" s="3"/>
      <c r="I629" s="3"/>
      <c r="J629" s="3"/>
      <c r="K629" s="3"/>
      <c r="L629" s="3"/>
    </row>
    <row r="630" spans="1:12">
      <c r="H630" s="3"/>
      <c r="I630" s="3"/>
      <c r="J630" s="3"/>
      <c r="K630" s="3"/>
      <c r="L630" s="3"/>
    </row>
    <row r="631" spans="1:12">
      <c r="H631" s="3"/>
      <c r="I631" s="3"/>
      <c r="J631" s="3"/>
      <c r="K631" s="3"/>
      <c r="L631" s="3"/>
    </row>
    <row r="632" spans="1:12" ht="27.95" customHeight="1">
      <c r="A632" s="15"/>
      <c r="B632" s="997"/>
      <c r="C632" s="997"/>
      <c r="D632" s="997"/>
      <c r="E632" s="997"/>
      <c r="F632" s="997"/>
      <c r="G632" s="997"/>
      <c r="H632" s="994"/>
      <c r="I632" s="995"/>
      <c r="J632" s="995"/>
      <c r="K632" s="995"/>
      <c r="L632" s="995"/>
    </row>
    <row r="633" spans="1:12" ht="27.95" customHeight="1">
      <c r="A633" s="15"/>
      <c r="B633" s="984"/>
      <c r="C633" s="984"/>
      <c r="D633" s="984"/>
      <c r="E633" s="984"/>
      <c r="F633" s="984"/>
      <c r="G633" s="984"/>
      <c r="H633" s="994"/>
      <c r="I633" s="995"/>
      <c r="J633" s="995"/>
      <c r="K633" s="995"/>
      <c r="L633" s="995"/>
    </row>
    <row r="634" spans="1:12" ht="27.95" customHeight="1">
      <c r="A634" s="15"/>
      <c r="B634" s="997"/>
      <c r="C634" s="997"/>
      <c r="D634" s="997"/>
      <c r="E634" s="997"/>
      <c r="F634" s="997"/>
      <c r="G634" s="997"/>
      <c r="H634" s="994"/>
      <c r="I634" s="995"/>
      <c r="J634" s="995"/>
      <c r="K634" s="995"/>
      <c r="L634" s="995"/>
    </row>
    <row r="635" spans="1:12" ht="27.95" customHeight="1">
      <c r="A635" s="15"/>
      <c r="B635" s="997"/>
      <c r="C635" s="997"/>
      <c r="D635" s="997"/>
      <c r="E635" s="997"/>
      <c r="F635" s="997"/>
      <c r="G635" s="997"/>
      <c r="H635" s="998"/>
      <c r="I635" s="995"/>
      <c r="J635" s="995"/>
      <c r="K635" s="995"/>
      <c r="L635" s="995"/>
    </row>
    <row r="636" spans="1:12" ht="27.95" customHeight="1">
      <c r="A636" s="15"/>
      <c r="B636" s="178"/>
      <c r="C636" s="174"/>
      <c r="D636" s="174"/>
      <c r="E636" s="174"/>
      <c r="F636" s="174"/>
      <c r="G636" s="174"/>
      <c r="H636" s="163"/>
      <c r="I636" s="15"/>
      <c r="J636" s="156"/>
      <c r="K636" s="163"/>
      <c r="L636" s="163"/>
    </row>
    <row r="637" spans="1:12" ht="27.95" customHeight="1">
      <c r="A637" s="15"/>
      <c r="B637" s="178"/>
      <c r="C637" s="174"/>
      <c r="D637" s="174"/>
      <c r="E637" s="174"/>
      <c r="F637" s="174"/>
      <c r="G637" s="174"/>
      <c r="H637" s="163"/>
      <c r="I637" s="163"/>
      <c r="J637" s="156"/>
      <c r="K637" s="163"/>
      <c r="L637" s="163"/>
    </row>
    <row r="638" spans="1:12" ht="27.95" customHeight="1">
      <c r="A638" s="15"/>
      <c r="B638" s="984"/>
      <c r="C638" s="984"/>
      <c r="D638" s="984"/>
      <c r="E638" s="984"/>
      <c r="F638" s="984"/>
      <c r="G638" s="984"/>
      <c r="H638" s="994"/>
      <c r="I638" s="995"/>
      <c r="J638" s="995"/>
      <c r="K638" s="995"/>
      <c r="L638" s="995"/>
    </row>
    <row r="639" spans="1:12" ht="27.95" customHeight="1">
      <c r="A639" s="15"/>
      <c r="B639" s="997"/>
      <c r="C639" s="997"/>
      <c r="D639" s="997"/>
      <c r="E639" s="997"/>
      <c r="F639" s="997"/>
      <c r="G639" s="997"/>
      <c r="H639" s="1000"/>
      <c r="I639" s="995"/>
      <c r="J639" s="995"/>
      <c r="K639" s="995"/>
      <c r="L639" s="995"/>
    </row>
    <row r="640" spans="1:12" ht="27.95" customHeight="1">
      <c r="B640" s="997"/>
      <c r="C640" s="997"/>
      <c r="D640" s="997"/>
      <c r="E640" s="997"/>
      <c r="F640" s="997"/>
      <c r="G640" s="997"/>
      <c r="H640" s="995"/>
      <c r="I640" s="995"/>
      <c r="J640" s="995"/>
      <c r="K640" s="995"/>
      <c r="L640" s="995"/>
    </row>
    <row r="641" spans="2:12" ht="27.95" customHeight="1">
      <c r="B641" s="178"/>
      <c r="C641" s="174"/>
      <c r="D641" s="174"/>
      <c r="E641" s="174"/>
      <c r="F641" s="174"/>
      <c r="G641" s="174"/>
      <c r="H641" s="163"/>
      <c r="I641" s="163"/>
      <c r="J641" s="163"/>
      <c r="K641" s="163"/>
      <c r="L641" s="163"/>
    </row>
    <row r="642" spans="2:12" ht="27.95" customHeight="1">
      <c r="B642" s="178"/>
      <c r="C642" s="174"/>
      <c r="D642" s="174"/>
      <c r="E642" s="174"/>
      <c r="F642" s="174"/>
      <c r="G642" s="174"/>
      <c r="H642" s="163"/>
      <c r="I642" s="163"/>
      <c r="J642" s="163"/>
      <c r="K642" s="163"/>
      <c r="L642" s="163"/>
    </row>
    <row r="643" spans="2:12" ht="27.95" customHeight="1">
      <c r="B643" s="178"/>
      <c r="C643" s="174"/>
      <c r="D643" s="174"/>
      <c r="E643" s="174"/>
      <c r="F643" s="174"/>
      <c r="G643" s="174"/>
      <c r="H643" s="163"/>
      <c r="I643" s="163"/>
      <c r="J643" s="164"/>
      <c r="K643" s="163"/>
      <c r="L643" s="163"/>
    </row>
    <row r="644" spans="2:12" ht="27.95" customHeight="1">
      <c r="B644" s="178"/>
      <c r="C644" s="174"/>
      <c r="D644" s="174"/>
      <c r="E644" s="174"/>
      <c r="F644" s="174"/>
      <c r="G644" s="174"/>
      <c r="H644" s="163"/>
      <c r="I644" s="163"/>
      <c r="J644" s="163"/>
      <c r="K644" s="163"/>
      <c r="L644" s="163"/>
    </row>
    <row r="645" spans="2:12" ht="27.95" customHeight="1">
      <c r="B645" s="178"/>
      <c r="C645" s="174"/>
      <c r="D645" s="174"/>
      <c r="E645" s="174"/>
      <c r="F645" s="174"/>
      <c r="G645" s="174"/>
      <c r="H645" s="163"/>
      <c r="I645" s="163"/>
      <c r="J645" s="164"/>
      <c r="K645" s="163"/>
      <c r="L645" s="163"/>
    </row>
    <row r="646" spans="2:12" ht="27.95" customHeight="1">
      <c r="B646" s="178"/>
      <c r="C646" s="174"/>
      <c r="D646" s="163"/>
      <c r="E646" s="164"/>
      <c r="F646" s="163"/>
      <c r="G646" s="164"/>
      <c r="H646" s="163"/>
      <c r="I646" s="164"/>
      <c r="J646" s="163"/>
      <c r="K646" s="164"/>
      <c r="L646" s="164"/>
    </row>
    <row r="647" spans="2:12" ht="27.95" customHeight="1">
      <c r="B647" s="178"/>
      <c r="C647" s="174"/>
      <c r="D647" s="174"/>
      <c r="E647" s="174"/>
      <c r="F647" s="174"/>
      <c r="G647" s="174"/>
      <c r="H647" s="163"/>
      <c r="I647" s="163"/>
      <c r="J647" s="247"/>
      <c r="K647" s="163"/>
      <c r="L647" s="163"/>
    </row>
    <row r="648" spans="2:12" ht="27.95" customHeight="1">
      <c r="B648" s="178"/>
      <c r="C648" s="3"/>
      <c r="D648" s="3"/>
      <c r="E648" s="3"/>
      <c r="F648" s="3"/>
      <c r="G648" s="3"/>
    </row>
    <row r="649" spans="2:12" ht="27.95" customHeight="1">
      <c r="B649" s="178"/>
      <c r="C649" s="3"/>
      <c r="D649" s="3"/>
      <c r="E649" s="3"/>
      <c r="F649" s="3"/>
      <c r="G649" s="3"/>
    </row>
    <row r="653" spans="2:12" ht="32.25">
      <c r="B653" s="1001"/>
      <c r="C653" s="757"/>
      <c r="D653" s="757"/>
      <c r="E653" s="757"/>
      <c r="F653" s="757"/>
      <c r="G653" s="757"/>
      <c r="H653" s="757"/>
      <c r="I653" s="757"/>
      <c r="J653" s="757"/>
      <c r="K653" s="757"/>
      <c r="L653" s="757"/>
    </row>
    <row r="654" spans="2:12" ht="23.25">
      <c r="B654" s="982"/>
      <c r="C654" s="982"/>
      <c r="D654" s="982"/>
      <c r="E654" s="982"/>
      <c r="F654" s="982"/>
      <c r="G654" s="982"/>
      <c r="H654" s="982"/>
      <c r="I654" s="982"/>
      <c r="J654" s="982"/>
      <c r="K654" s="982"/>
      <c r="L654" s="982"/>
    </row>
    <row r="655" spans="2:12" ht="15.75">
      <c r="B655" s="999"/>
      <c r="C655" s="999"/>
      <c r="D655" s="999"/>
      <c r="E655" s="999"/>
      <c r="F655" s="999"/>
      <c r="G655" s="999"/>
      <c r="H655" s="999"/>
      <c r="I655" s="999"/>
      <c r="J655" s="999"/>
      <c r="K655" s="999"/>
      <c r="L655" s="999"/>
    </row>
    <row r="656" spans="2:12" ht="15" customHeight="1">
      <c r="B656" s="983"/>
      <c r="C656" s="983"/>
      <c r="D656" s="983"/>
      <c r="E656" s="983"/>
      <c r="F656" s="983"/>
      <c r="H656" s="984"/>
      <c r="I656" s="984"/>
      <c r="J656" s="984"/>
      <c r="K656" s="984"/>
      <c r="L656" s="984"/>
    </row>
    <row r="657" spans="1:12">
      <c r="B657" s="983"/>
      <c r="C657" s="983"/>
      <c r="D657" s="983"/>
      <c r="E657" s="983"/>
      <c r="F657" s="983"/>
      <c r="H657" s="984"/>
      <c r="I657" s="984"/>
      <c r="J657" s="984"/>
      <c r="K657" s="984"/>
      <c r="L657" s="984"/>
    </row>
    <row r="659" spans="1:12">
      <c r="B659" s="3"/>
      <c r="H659" s="3"/>
    </row>
    <row r="661" spans="1:12">
      <c r="B661" s="3"/>
      <c r="H661" s="3"/>
    </row>
    <row r="664" spans="1:12">
      <c r="B664" s="750"/>
      <c r="C664" s="750"/>
      <c r="D664" s="750"/>
      <c r="E664" s="750"/>
      <c r="F664" s="750"/>
      <c r="H664" s="750"/>
      <c r="I664" s="750"/>
      <c r="J664" s="750"/>
      <c r="K664" s="750"/>
      <c r="L664" s="750"/>
    </row>
    <row r="666" spans="1:12">
      <c r="H666" s="3"/>
      <c r="I666" s="3"/>
      <c r="J666" s="3"/>
      <c r="K666" s="3"/>
      <c r="L666" s="3"/>
    </row>
    <row r="667" spans="1:12">
      <c r="H667" s="3"/>
      <c r="I667" s="3"/>
      <c r="J667" s="3"/>
      <c r="K667" s="3"/>
      <c r="L667" s="3"/>
    </row>
    <row r="668" spans="1:12">
      <c r="B668" s="3"/>
      <c r="H668" s="3"/>
      <c r="I668" s="3"/>
      <c r="J668" s="3"/>
      <c r="K668" s="3"/>
      <c r="L668" s="3"/>
    </row>
    <row r="669" spans="1:12">
      <c r="H669" s="3"/>
      <c r="I669" s="3"/>
      <c r="J669" s="3"/>
      <c r="K669" s="3"/>
      <c r="L669" s="3"/>
    </row>
    <row r="670" spans="1:12">
      <c r="H670" s="3"/>
      <c r="I670" s="3"/>
      <c r="J670" s="3"/>
      <c r="K670" s="3"/>
      <c r="L670" s="3"/>
    </row>
    <row r="671" spans="1:12" ht="27.95" customHeight="1">
      <c r="A671" s="15"/>
      <c r="B671" s="997"/>
      <c r="C671" s="997"/>
      <c r="D671" s="997"/>
      <c r="E671" s="997"/>
      <c r="F671" s="997"/>
      <c r="G671" s="997"/>
      <c r="H671" s="994"/>
      <c r="I671" s="995"/>
      <c r="J671" s="995"/>
      <c r="K671" s="995"/>
      <c r="L671" s="995"/>
    </row>
    <row r="672" spans="1:12" ht="27.95" customHeight="1">
      <c r="A672" s="15"/>
      <c r="B672" s="984"/>
      <c r="C672" s="984"/>
      <c r="D672" s="984"/>
      <c r="E672" s="984"/>
      <c r="F672" s="984"/>
      <c r="G672" s="984"/>
      <c r="H672" s="994"/>
      <c r="I672" s="995"/>
      <c r="J672" s="995"/>
      <c r="K672" s="995"/>
      <c r="L672" s="995"/>
    </row>
    <row r="673" spans="1:12" ht="27.95" customHeight="1">
      <c r="A673" s="15"/>
      <c r="B673" s="997"/>
      <c r="C673" s="997"/>
      <c r="D673" s="997"/>
      <c r="E673" s="997"/>
      <c r="F673" s="997"/>
      <c r="G673" s="997"/>
      <c r="H673" s="994"/>
      <c r="I673" s="995"/>
      <c r="J673" s="995"/>
      <c r="K673" s="995"/>
      <c r="L673" s="995"/>
    </row>
    <row r="674" spans="1:12" ht="27.95" customHeight="1">
      <c r="A674" s="15"/>
      <c r="B674" s="997"/>
      <c r="C674" s="997"/>
      <c r="D674" s="997"/>
      <c r="E674" s="997"/>
      <c r="F674" s="997"/>
      <c r="G674" s="997"/>
      <c r="H674" s="998"/>
      <c r="I674" s="995"/>
      <c r="J674" s="995"/>
      <c r="K674" s="995"/>
      <c r="L674" s="995"/>
    </row>
    <row r="675" spans="1:12" ht="27.95" customHeight="1">
      <c r="A675" s="15"/>
      <c r="B675" s="178"/>
      <c r="C675" s="174"/>
      <c r="D675" s="174"/>
      <c r="E675" s="174"/>
      <c r="F675" s="174"/>
      <c r="G675" s="174"/>
      <c r="H675" s="163"/>
      <c r="I675" s="15"/>
      <c r="J675" s="156"/>
      <c r="K675" s="163"/>
      <c r="L675" s="163"/>
    </row>
    <row r="676" spans="1:12" ht="27.95" customHeight="1">
      <c r="A676" s="15"/>
      <c r="B676" s="178"/>
      <c r="C676" s="174"/>
      <c r="D676" s="174"/>
      <c r="E676" s="174"/>
      <c r="F676" s="174"/>
      <c r="G676" s="174"/>
      <c r="H676" s="163"/>
      <c r="I676" s="163"/>
      <c r="J676" s="156"/>
      <c r="K676" s="163"/>
      <c r="L676" s="163"/>
    </row>
    <row r="677" spans="1:12" ht="27.95" customHeight="1">
      <c r="A677" s="15"/>
      <c r="B677" s="984"/>
      <c r="C677" s="984"/>
      <c r="D677" s="984"/>
      <c r="E677" s="984"/>
      <c r="F677" s="984"/>
      <c r="G677" s="984"/>
      <c r="H677" s="994"/>
      <c r="I677" s="995"/>
      <c r="J677" s="995"/>
      <c r="K677" s="995"/>
      <c r="L677" s="995"/>
    </row>
    <row r="678" spans="1:12" ht="27.95" customHeight="1">
      <c r="A678" s="15"/>
      <c r="B678" s="997"/>
      <c r="C678" s="997"/>
      <c r="D678" s="997"/>
      <c r="E678" s="997"/>
      <c r="F678" s="997"/>
      <c r="G678" s="997"/>
      <c r="H678" s="1000"/>
      <c r="I678" s="995"/>
      <c r="J678" s="995"/>
      <c r="K678" s="995"/>
      <c r="L678" s="995"/>
    </row>
    <row r="679" spans="1:12" ht="27.95" customHeight="1">
      <c r="B679" s="997"/>
      <c r="C679" s="997"/>
      <c r="D679" s="997"/>
      <c r="E679" s="997"/>
      <c r="F679" s="997"/>
      <c r="G679" s="997"/>
      <c r="H679" s="995"/>
      <c r="I679" s="995"/>
      <c r="J679" s="995"/>
      <c r="K679" s="995"/>
      <c r="L679" s="995"/>
    </row>
    <row r="680" spans="1:12" ht="27.95" customHeight="1">
      <c r="B680" s="178"/>
      <c r="C680" s="174"/>
      <c r="D680" s="174"/>
      <c r="E680" s="174"/>
      <c r="F680" s="174"/>
      <c r="G680" s="174"/>
      <c r="H680" s="163"/>
      <c r="I680" s="163"/>
      <c r="J680" s="163"/>
      <c r="K680" s="163"/>
      <c r="L680" s="163"/>
    </row>
    <row r="681" spans="1:12" ht="27.95" customHeight="1">
      <c r="B681" s="178"/>
      <c r="C681" s="174"/>
      <c r="D681" s="174"/>
      <c r="E681" s="174"/>
      <c r="F681" s="174"/>
      <c r="G681" s="174"/>
      <c r="H681" s="163"/>
      <c r="I681" s="163"/>
      <c r="J681" s="163"/>
      <c r="K681" s="163"/>
      <c r="L681" s="163"/>
    </row>
    <row r="682" spans="1:12" ht="27.95" customHeight="1">
      <c r="B682" s="178"/>
      <c r="C682" s="174"/>
      <c r="D682" s="174"/>
      <c r="E682" s="174"/>
      <c r="F682" s="174"/>
      <c r="G682" s="174"/>
      <c r="H682" s="163"/>
      <c r="I682" s="163"/>
      <c r="J682" s="164"/>
      <c r="K682" s="163"/>
      <c r="L682" s="163"/>
    </row>
    <row r="683" spans="1:12" ht="27.95" customHeight="1">
      <c r="B683" s="178"/>
      <c r="C683" s="174"/>
      <c r="D683" s="174"/>
      <c r="E683" s="174"/>
      <c r="F683" s="174"/>
      <c r="G683" s="174"/>
      <c r="H683" s="163"/>
      <c r="I683" s="163"/>
      <c r="J683" s="163"/>
      <c r="K683" s="163"/>
      <c r="L683" s="163"/>
    </row>
    <row r="684" spans="1:12" ht="27.95" customHeight="1">
      <c r="B684" s="178"/>
      <c r="C684" s="174"/>
      <c r="D684" s="174"/>
      <c r="E684" s="174"/>
      <c r="F684" s="174"/>
      <c r="G684" s="174"/>
      <c r="H684" s="163"/>
      <c r="I684" s="163"/>
      <c r="J684" s="164"/>
      <c r="K684" s="163"/>
      <c r="L684" s="163"/>
    </row>
    <row r="685" spans="1:12" ht="27.95" customHeight="1">
      <c r="B685" s="178"/>
      <c r="C685" s="174"/>
      <c r="D685" s="163"/>
      <c r="E685" s="164"/>
      <c r="F685" s="163"/>
      <c r="G685" s="164"/>
      <c r="H685" s="163"/>
      <c r="I685" s="164"/>
      <c r="J685" s="163"/>
      <c r="K685" s="164"/>
      <c r="L685" s="164"/>
    </row>
    <row r="686" spans="1:12" ht="27.95" customHeight="1">
      <c r="B686" s="178"/>
      <c r="C686" s="174"/>
      <c r="D686" s="174"/>
      <c r="E686" s="174"/>
      <c r="F686" s="174"/>
      <c r="G686" s="174"/>
      <c r="H686" s="163"/>
      <c r="I686" s="163"/>
      <c r="J686" s="247"/>
      <c r="K686" s="163"/>
      <c r="L686" s="163"/>
    </row>
    <row r="687" spans="1:12" ht="27.95" customHeight="1">
      <c r="B687" s="178"/>
      <c r="C687" s="3"/>
      <c r="D687" s="3"/>
      <c r="E687" s="3"/>
      <c r="F687" s="3"/>
      <c r="G687" s="3"/>
    </row>
    <row r="688" spans="1:12" ht="27.95" customHeight="1">
      <c r="B688" s="178"/>
      <c r="C688" s="3"/>
      <c r="D688" s="3"/>
      <c r="E688" s="3"/>
      <c r="F688" s="3"/>
      <c r="G688" s="3"/>
    </row>
    <row r="692" spans="2:12" ht="32.25">
      <c r="B692" s="1001"/>
      <c r="C692" s="757"/>
      <c r="D692" s="757"/>
      <c r="E692" s="757"/>
      <c r="F692" s="757"/>
      <c r="G692" s="757"/>
      <c r="H692" s="757"/>
      <c r="I692" s="757"/>
      <c r="J692" s="757"/>
      <c r="K692" s="757"/>
      <c r="L692" s="757"/>
    </row>
    <row r="693" spans="2:12" ht="23.25">
      <c r="B693" s="982"/>
      <c r="C693" s="982"/>
      <c r="D693" s="982"/>
      <c r="E693" s="982"/>
      <c r="F693" s="982"/>
      <c r="G693" s="982"/>
      <c r="H693" s="982"/>
      <c r="I693" s="982"/>
      <c r="J693" s="982"/>
      <c r="K693" s="982"/>
      <c r="L693" s="982"/>
    </row>
    <row r="694" spans="2:12" ht="15.75">
      <c r="B694" s="999"/>
      <c r="C694" s="999"/>
      <c r="D694" s="999"/>
      <c r="E694" s="999"/>
      <c r="F694" s="999"/>
      <c r="G694" s="999"/>
      <c r="H694" s="999"/>
      <c r="I694" s="999"/>
      <c r="J694" s="999"/>
      <c r="K694" s="999"/>
      <c r="L694" s="999"/>
    </row>
    <row r="695" spans="2:12" ht="15" customHeight="1">
      <c r="B695" s="983"/>
      <c r="C695" s="983"/>
      <c r="D695" s="983"/>
      <c r="E695" s="983"/>
      <c r="F695" s="983"/>
      <c r="H695" s="984"/>
      <c r="I695" s="984"/>
      <c r="J695" s="984"/>
      <c r="K695" s="984"/>
      <c r="L695" s="984"/>
    </row>
    <row r="696" spans="2:12">
      <c r="B696" s="983"/>
      <c r="C696" s="983"/>
      <c r="D696" s="983"/>
      <c r="E696" s="983"/>
      <c r="F696" s="983"/>
      <c r="H696" s="984"/>
      <c r="I696" s="984"/>
      <c r="J696" s="984"/>
      <c r="K696" s="984"/>
      <c r="L696" s="984"/>
    </row>
    <row r="698" spans="2:12">
      <c r="B698" s="3"/>
      <c r="H698" s="3"/>
    </row>
    <row r="700" spans="2:12">
      <c r="B700" s="3"/>
      <c r="H700" s="3"/>
    </row>
    <row r="703" spans="2:12">
      <c r="B703" s="750"/>
      <c r="C703" s="750"/>
      <c r="D703" s="750"/>
      <c r="E703" s="750"/>
      <c r="F703" s="750"/>
      <c r="H703" s="750"/>
      <c r="I703" s="750"/>
      <c r="J703" s="750"/>
      <c r="K703" s="750"/>
      <c r="L703" s="750"/>
    </row>
    <row r="705" spans="1:12">
      <c r="H705" s="3"/>
      <c r="I705" s="3"/>
      <c r="J705" s="3"/>
      <c r="K705" s="3"/>
      <c r="L705" s="3"/>
    </row>
    <row r="706" spans="1:12">
      <c r="H706" s="3"/>
      <c r="I706" s="3"/>
      <c r="J706" s="3"/>
      <c r="K706" s="3"/>
      <c r="L706" s="3"/>
    </row>
    <row r="707" spans="1:12">
      <c r="B707" s="3"/>
      <c r="H707" s="3"/>
      <c r="I707" s="3"/>
      <c r="J707" s="3"/>
      <c r="K707" s="3"/>
      <c r="L707" s="3"/>
    </row>
    <row r="708" spans="1:12">
      <c r="H708" s="3"/>
      <c r="I708" s="3"/>
      <c r="J708" s="3"/>
      <c r="K708" s="3"/>
      <c r="L708" s="3"/>
    </row>
    <row r="709" spans="1:12">
      <c r="H709" s="3"/>
      <c r="I709" s="3"/>
      <c r="J709" s="3"/>
      <c r="K709" s="3"/>
      <c r="L709" s="3"/>
    </row>
    <row r="710" spans="1:12" ht="27.95" customHeight="1">
      <c r="A710" s="15"/>
      <c r="B710" s="997"/>
      <c r="C710" s="997"/>
      <c r="D710" s="997"/>
      <c r="E710" s="997"/>
      <c r="F710" s="997"/>
      <c r="G710" s="997"/>
      <c r="H710" s="994"/>
      <c r="I710" s="995"/>
      <c r="J710" s="995"/>
      <c r="K710" s="995"/>
      <c r="L710" s="995"/>
    </row>
    <row r="711" spans="1:12" ht="27.95" customHeight="1">
      <c r="A711" s="15"/>
      <c r="B711" s="984"/>
      <c r="C711" s="984"/>
      <c r="D711" s="984"/>
      <c r="E711" s="984"/>
      <c r="F711" s="984"/>
      <c r="G711" s="984"/>
      <c r="H711" s="994"/>
      <c r="I711" s="995"/>
      <c r="J711" s="995"/>
      <c r="K711" s="995"/>
      <c r="L711" s="995"/>
    </row>
    <row r="712" spans="1:12" ht="27.95" customHeight="1">
      <c r="A712" s="15"/>
      <c r="B712" s="997"/>
      <c r="C712" s="997"/>
      <c r="D712" s="997"/>
      <c r="E712" s="997"/>
      <c r="F712" s="997"/>
      <c r="G712" s="997"/>
      <c r="H712" s="994"/>
      <c r="I712" s="995"/>
      <c r="J712" s="995"/>
      <c r="K712" s="995"/>
      <c r="L712" s="995"/>
    </row>
    <row r="713" spans="1:12" ht="27.95" customHeight="1">
      <c r="A713" s="15"/>
      <c r="B713" s="997"/>
      <c r="C713" s="997"/>
      <c r="D713" s="997"/>
      <c r="E713" s="997"/>
      <c r="F713" s="997"/>
      <c r="G713" s="997"/>
      <c r="H713" s="998"/>
      <c r="I713" s="995"/>
      <c r="J713" s="995"/>
      <c r="K713" s="995"/>
      <c r="L713" s="995"/>
    </row>
    <row r="714" spans="1:12" ht="27.95" customHeight="1">
      <c r="A714" s="15"/>
      <c r="B714" s="178"/>
      <c r="C714" s="174"/>
      <c r="D714" s="174"/>
      <c r="E714" s="174"/>
      <c r="F714" s="174"/>
      <c r="G714" s="174"/>
      <c r="H714" s="163"/>
      <c r="I714" s="15"/>
      <c r="J714" s="156"/>
      <c r="K714" s="163"/>
      <c r="L714" s="163"/>
    </row>
    <row r="715" spans="1:12" ht="27.95" customHeight="1">
      <c r="A715" s="15"/>
      <c r="B715" s="178"/>
      <c r="C715" s="174"/>
      <c r="D715" s="174"/>
      <c r="E715" s="174"/>
      <c r="F715" s="174"/>
      <c r="G715" s="174"/>
      <c r="H715" s="163"/>
      <c r="I715" s="163"/>
      <c r="J715" s="156"/>
      <c r="K715" s="163"/>
      <c r="L715" s="163"/>
    </row>
    <row r="716" spans="1:12" ht="27.95" customHeight="1">
      <c r="A716" s="15"/>
      <c r="B716" s="984"/>
      <c r="C716" s="984"/>
      <c r="D716" s="984"/>
      <c r="E716" s="984"/>
      <c r="F716" s="984"/>
      <c r="G716" s="984"/>
      <c r="H716" s="994"/>
      <c r="I716" s="995"/>
      <c r="J716" s="995"/>
      <c r="K716" s="995"/>
      <c r="L716" s="995"/>
    </row>
    <row r="717" spans="1:12" ht="27.95" customHeight="1">
      <c r="A717" s="15"/>
      <c r="B717" s="997"/>
      <c r="C717" s="997"/>
      <c r="D717" s="997"/>
      <c r="E717" s="997"/>
      <c r="F717" s="997"/>
      <c r="G717" s="997"/>
      <c r="H717" s="1000"/>
      <c r="I717" s="995"/>
      <c r="J717" s="995"/>
      <c r="K717" s="995"/>
      <c r="L717" s="995"/>
    </row>
    <row r="718" spans="1:12" ht="27.95" customHeight="1">
      <c r="B718" s="997"/>
      <c r="C718" s="997"/>
      <c r="D718" s="997"/>
      <c r="E718" s="997"/>
      <c r="F718" s="997"/>
      <c r="G718" s="997"/>
      <c r="H718" s="995"/>
      <c r="I718" s="995"/>
      <c r="J718" s="995"/>
      <c r="K718" s="995"/>
      <c r="L718" s="995"/>
    </row>
    <row r="719" spans="1:12" ht="27.95" customHeight="1">
      <c r="B719" s="178"/>
      <c r="C719" s="174"/>
      <c r="D719" s="174"/>
      <c r="E719" s="174"/>
      <c r="F719" s="174"/>
      <c r="G719" s="174"/>
      <c r="H719" s="163"/>
      <c r="I719" s="163"/>
      <c r="J719" s="163"/>
      <c r="K719" s="163"/>
      <c r="L719" s="163"/>
    </row>
    <row r="720" spans="1:12" ht="27.95" customHeight="1">
      <c r="B720" s="178"/>
      <c r="C720" s="174"/>
      <c r="D720" s="174"/>
      <c r="E720" s="174"/>
      <c r="F720" s="174"/>
      <c r="G720" s="174"/>
      <c r="H720" s="163"/>
      <c r="I720" s="163"/>
      <c r="J720" s="163"/>
      <c r="K720" s="163"/>
      <c r="L720" s="163"/>
    </row>
    <row r="721" spans="2:12" ht="27.95" customHeight="1">
      <c r="B721" s="178"/>
      <c r="C721" s="174"/>
      <c r="D721" s="174"/>
      <c r="E721" s="174"/>
      <c r="F721" s="174"/>
      <c r="G721" s="174"/>
      <c r="H721" s="163"/>
      <c r="I721" s="163"/>
      <c r="J721" s="164"/>
      <c r="K721" s="163"/>
      <c r="L721" s="163"/>
    </row>
    <row r="722" spans="2:12" ht="27.95" customHeight="1">
      <c r="B722" s="178"/>
      <c r="C722" s="174"/>
      <c r="D722" s="174"/>
      <c r="E722" s="174"/>
      <c r="F722" s="174"/>
      <c r="G722" s="174"/>
      <c r="H722" s="163"/>
      <c r="I722" s="163"/>
      <c r="J722" s="163"/>
      <c r="K722" s="163"/>
      <c r="L722" s="163"/>
    </row>
    <row r="723" spans="2:12" ht="27.95" customHeight="1">
      <c r="B723" s="178"/>
      <c r="C723" s="174"/>
      <c r="D723" s="174"/>
      <c r="E723" s="174"/>
      <c r="F723" s="174"/>
      <c r="G723" s="174"/>
      <c r="H723" s="163"/>
      <c r="I723" s="163"/>
      <c r="J723" s="164"/>
      <c r="K723" s="163"/>
      <c r="L723" s="163"/>
    </row>
    <row r="724" spans="2:12" ht="27.95" customHeight="1">
      <c r="B724" s="178"/>
      <c r="C724" s="174"/>
      <c r="D724" s="163"/>
      <c r="E724" s="164"/>
      <c r="F724" s="163"/>
      <c r="G724" s="164"/>
      <c r="H724" s="163"/>
      <c r="I724" s="164"/>
      <c r="J724" s="163"/>
      <c r="K724" s="164"/>
      <c r="L724" s="164"/>
    </row>
    <row r="725" spans="2:12" ht="27.95" customHeight="1">
      <c r="B725" s="178"/>
      <c r="C725" s="174"/>
      <c r="D725" s="174"/>
      <c r="E725" s="174"/>
      <c r="F725" s="174"/>
      <c r="G725" s="174"/>
      <c r="H725" s="163"/>
      <c r="I725" s="163"/>
      <c r="J725" s="247"/>
      <c r="K725" s="163"/>
      <c r="L725" s="163"/>
    </row>
    <row r="726" spans="2:12" ht="27.95" customHeight="1">
      <c r="B726" s="178"/>
      <c r="C726" s="3"/>
      <c r="D726" s="3"/>
      <c r="E726" s="3"/>
      <c r="F726" s="3"/>
      <c r="G726" s="3"/>
    </row>
    <row r="727" spans="2:12" ht="27.95" customHeight="1">
      <c r="B727" s="178"/>
      <c r="C727" s="3"/>
      <c r="D727" s="3"/>
      <c r="E727" s="3"/>
      <c r="F727" s="3"/>
      <c r="G727" s="3"/>
    </row>
    <row r="731" spans="2:12" ht="32.25">
      <c r="B731" s="1001"/>
      <c r="C731" s="757"/>
      <c r="D731" s="757"/>
      <c r="E731" s="757"/>
      <c r="F731" s="757"/>
      <c r="G731" s="757"/>
      <c r="H731" s="757"/>
      <c r="I731" s="757"/>
      <c r="J731" s="757"/>
      <c r="K731" s="757"/>
      <c r="L731" s="757"/>
    </row>
    <row r="732" spans="2:12" ht="23.25">
      <c r="B732" s="982"/>
      <c r="C732" s="982"/>
      <c r="D732" s="982"/>
      <c r="E732" s="982"/>
      <c r="F732" s="982"/>
      <c r="G732" s="982"/>
      <c r="H732" s="982"/>
      <c r="I732" s="982"/>
      <c r="J732" s="982"/>
      <c r="K732" s="982"/>
      <c r="L732" s="982"/>
    </row>
    <row r="733" spans="2:12" ht="15.75">
      <c r="B733" s="999"/>
      <c r="C733" s="999"/>
      <c r="D733" s="999"/>
      <c r="E733" s="999"/>
      <c r="F733" s="999"/>
      <c r="G733" s="999"/>
      <c r="H733" s="999"/>
      <c r="I733" s="999"/>
      <c r="J733" s="999"/>
      <c r="K733" s="999"/>
      <c r="L733" s="999"/>
    </row>
    <row r="734" spans="2:12" ht="15" customHeight="1">
      <c r="B734" s="983"/>
      <c r="C734" s="983"/>
      <c r="D734" s="983"/>
      <c r="E734" s="983"/>
      <c r="F734" s="983"/>
      <c r="H734" s="984"/>
      <c r="I734" s="984"/>
      <c r="J734" s="984"/>
      <c r="K734" s="984"/>
      <c r="L734" s="984"/>
    </row>
    <row r="735" spans="2:12">
      <c r="B735" s="983"/>
      <c r="C735" s="983"/>
      <c r="D735" s="983"/>
      <c r="E735" s="983"/>
      <c r="F735" s="983"/>
      <c r="H735" s="984"/>
      <c r="I735" s="984"/>
      <c r="J735" s="984"/>
      <c r="K735" s="984"/>
      <c r="L735" s="984"/>
    </row>
    <row r="737" spans="1:12">
      <c r="B737" s="3"/>
      <c r="H737" s="3"/>
    </row>
    <row r="739" spans="1:12">
      <c r="B739" s="3"/>
      <c r="H739" s="3"/>
    </row>
    <row r="740" spans="1:12" ht="15" customHeight="1"/>
    <row r="742" spans="1:12">
      <c r="B742" s="750"/>
      <c r="C742" s="750"/>
      <c r="D742" s="750"/>
      <c r="E742" s="750"/>
      <c r="F742" s="750"/>
      <c r="H742" s="750"/>
      <c r="I742" s="750"/>
      <c r="J742" s="750"/>
      <c r="K742" s="750"/>
      <c r="L742" s="750"/>
    </row>
    <row r="744" spans="1:12">
      <c r="H744" s="3"/>
      <c r="I744" s="3"/>
      <c r="J744" s="3"/>
      <c r="K744" s="3"/>
      <c r="L744" s="3"/>
    </row>
    <row r="745" spans="1:12">
      <c r="H745" s="3"/>
      <c r="I745" s="3"/>
      <c r="J745" s="3"/>
      <c r="K745" s="3"/>
      <c r="L745" s="3"/>
    </row>
    <row r="746" spans="1:12">
      <c r="B746" s="3"/>
      <c r="H746" s="3"/>
      <c r="I746" s="3"/>
      <c r="J746" s="3"/>
      <c r="K746" s="3"/>
      <c r="L746" s="3"/>
    </row>
    <row r="747" spans="1:12">
      <c r="H747" s="3"/>
      <c r="I747" s="3"/>
      <c r="J747" s="3"/>
      <c r="K747" s="3"/>
      <c r="L747" s="3"/>
    </row>
    <row r="748" spans="1:12">
      <c r="H748" s="3"/>
      <c r="I748" s="3"/>
      <c r="J748" s="3"/>
      <c r="K748" s="3"/>
      <c r="L748" s="3"/>
    </row>
    <row r="749" spans="1:12" ht="27.95" customHeight="1">
      <c r="A749" s="15"/>
      <c r="B749" s="997"/>
      <c r="C749" s="997"/>
      <c r="D749" s="997"/>
      <c r="E749" s="997"/>
      <c r="F749" s="997"/>
      <c r="G749" s="997"/>
      <c r="H749" s="994"/>
      <c r="I749" s="995"/>
      <c r="J749" s="995"/>
      <c r="K749" s="995"/>
      <c r="L749" s="995"/>
    </row>
    <row r="750" spans="1:12" ht="27.95" customHeight="1">
      <c r="A750" s="15"/>
      <c r="B750" s="984"/>
      <c r="C750" s="984"/>
      <c r="D750" s="984"/>
      <c r="E750" s="984"/>
      <c r="F750" s="984"/>
      <c r="G750" s="984"/>
      <c r="H750" s="994"/>
      <c r="I750" s="995"/>
      <c r="J750" s="995"/>
      <c r="K750" s="995"/>
      <c r="L750" s="995"/>
    </row>
    <row r="751" spans="1:12" ht="27.95" customHeight="1">
      <c r="A751" s="15"/>
      <c r="B751" s="997"/>
      <c r="C751" s="997"/>
      <c r="D751" s="997"/>
      <c r="E751" s="997"/>
      <c r="F751" s="997"/>
      <c r="G751" s="997"/>
      <c r="H751" s="994"/>
      <c r="I751" s="995"/>
      <c r="J751" s="995"/>
      <c r="K751" s="995"/>
      <c r="L751" s="995"/>
    </row>
    <row r="752" spans="1:12" ht="27.95" customHeight="1">
      <c r="A752" s="15"/>
      <c r="B752" s="997"/>
      <c r="C752" s="997"/>
      <c r="D752" s="997"/>
      <c r="E752" s="997"/>
      <c r="F752" s="997"/>
      <c r="G752" s="997"/>
      <c r="H752" s="998"/>
      <c r="I752" s="995"/>
      <c r="J752" s="995"/>
      <c r="K752" s="995"/>
      <c r="L752" s="995"/>
    </row>
    <row r="753" spans="1:12" ht="27.95" customHeight="1">
      <c r="A753" s="15"/>
      <c r="B753" s="178"/>
      <c r="C753" s="174"/>
      <c r="D753" s="174"/>
      <c r="E753" s="174"/>
      <c r="F753" s="174"/>
      <c r="G753" s="174"/>
      <c r="H753" s="163"/>
      <c r="I753" s="15"/>
      <c r="J753" s="156"/>
      <c r="K753" s="163"/>
      <c r="L753" s="163"/>
    </row>
    <row r="754" spans="1:12" ht="27.95" customHeight="1">
      <c r="A754" s="15"/>
      <c r="B754" s="178"/>
      <c r="C754" s="174"/>
      <c r="D754" s="174"/>
      <c r="E754" s="174"/>
      <c r="F754" s="174"/>
      <c r="G754" s="174"/>
      <c r="H754" s="163"/>
      <c r="I754" s="163"/>
      <c r="J754" s="156"/>
      <c r="K754" s="163"/>
      <c r="L754" s="163"/>
    </row>
    <row r="755" spans="1:12" ht="27.95" customHeight="1">
      <c r="A755" s="15"/>
      <c r="B755" s="984"/>
      <c r="C755" s="984"/>
      <c r="D755" s="984"/>
      <c r="E755" s="984"/>
      <c r="F755" s="984"/>
      <c r="G755" s="984"/>
      <c r="H755" s="994"/>
      <c r="I755" s="995"/>
      <c r="J755" s="995"/>
      <c r="K755" s="995"/>
      <c r="L755" s="995"/>
    </row>
    <row r="756" spans="1:12" ht="27.95" customHeight="1">
      <c r="A756" s="15"/>
      <c r="B756" s="997"/>
      <c r="C756" s="997"/>
      <c r="D756" s="997"/>
      <c r="E756" s="997"/>
      <c r="F756" s="997"/>
      <c r="G756" s="997"/>
      <c r="H756" s="1000"/>
      <c r="I756" s="995"/>
      <c r="J756" s="995"/>
      <c r="K756" s="995"/>
      <c r="L756" s="995"/>
    </row>
    <row r="757" spans="1:12" ht="27.95" customHeight="1">
      <c r="B757" s="997"/>
      <c r="C757" s="997"/>
      <c r="D757" s="997"/>
      <c r="E757" s="997"/>
      <c r="F757" s="997"/>
      <c r="G757" s="997"/>
      <c r="H757" s="995"/>
      <c r="I757" s="995"/>
      <c r="J757" s="995"/>
      <c r="K757" s="995"/>
      <c r="L757" s="995"/>
    </row>
    <row r="758" spans="1:12" ht="27.95" customHeight="1">
      <c r="B758" s="178"/>
      <c r="C758" s="174"/>
      <c r="D758" s="174"/>
      <c r="E758" s="174"/>
      <c r="F758" s="174"/>
      <c r="G758" s="174"/>
      <c r="H758" s="163"/>
      <c r="I758" s="163"/>
      <c r="J758" s="163"/>
      <c r="K758" s="163"/>
      <c r="L758" s="163"/>
    </row>
    <row r="759" spans="1:12" ht="27.95" customHeight="1">
      <c r="B759" s="178"/>
      <c r="C759" s="174"/>
      <c r="D759" s="174"/>
      <c r="E759" s="174"/>
      <c r="F759" s="174"/>
      <c r="G759" s="174"/>
      <c r="H759" s="163"/>
      <c r="I759" s="163"/>
      <c r="J759" s="163"/>
      <c r="K759" s="163"/>
      <c r="L759" s="163"/>
    </row>
    <row r="760" spans="1:12" ht="27.95" customHeight="1">
      <c r="B760" s="178"/>
      <c r="C760" s="174"/>
      <c r="D760" s="174"/>
      <c r="E760" s="174"/>
      <c r="F760" s="174"/>
      <c r="G760" s="174"/>
      <c r="H760" s="163"/>
      <c r="I760" s="163"/>
      <c r="J760" s="164"/>
      <c r="K760" s="163"/>
      <c r="L760" s="163"/>
    </row>
    <row r="761" spans="1:12" ht="27.95" customHeight="1">
      <c r="B761" s="178"/>
      <c r="C761" s="174"/>
      <c r="D761" s="174"/>
      <c r="E761" s="174"/>
      <c r="F761" s="174"/>
      <c r="G761" s="174"/>
      <c r="H761" s="163"/>
      <c r="I761" s="163"/>
      <c r="J761" s="163"/>
      <c r="K761" s="163"/>
      <c r="L761" s="163"/>
    </row>
    <row r="762" spans="1:12" ht="27.95" customHeight="1">
      <c r="B762" s="178"/>
      <c r="C762" s="174"/>
      <c r="D762" s="174"/>
      <c r="E762" s="174"/>
      <c r="F762" s="174"/>
      <c r="G762" s="174"/>
      <c r="H762" s="163"/>
      <c r="I762" s="163"/>
      <c r="J762" s="164"/>
      <c r="K762" s="163"/>
      <c r="L762" s="163"/>
    </row>
    <row r="763" spans="1:12" ht="27.95" customHeight="1">
      <c r="B763" s="178"/>
      <c r="C763" s="174"/>
      <c r="D763" s="163"/>
      <c r="E763" s="164"/>
      <c r="F763" s="163"/>
      <c r="G763" s="164"/>
      <c r="H763" s="163"/>
      <c r="I763" s="164"/>
      <c r="J763" s="163"/>
      <c r="K763" s="164"/>
      <c r="L763" s="164"/>
    </row>
    <row r="764" spans="1:12" ht="27.95" customHeight="1">
      <c r="B764" s="178"/>
      <c r="C764" s="174"/>
      <c r="D764" s="174"/>
      <c r="E764" s="174"/>
      <c r="F764" s="174"/>
      <c r="G764" s="174"/>
      <c r="H764" s="163"/>
      <c r="I764" s="163"/>
      <c r="J764" s="247"/>
      <c r="K764" s="163"/>
      <c r="L764" s="163"/>
    </row>
    <row r="765" spans="1:12" ht="27.95" customHeight="1">
      <c r="B765" s="178"/>
      <c r="C765" s="3"/>
      <c r="D765" s="3"/>
      <c r="E765" s="3"/>
      <c r="F765" s="3"/>
      <c r="G765" s="3"/>
    </row>
    <row r="766" spans="1:12" ht="27.95" customHeight="1">
      <c r="B766" s="178"/>
      <c r="C766" s="3"/>
      <c r="D766" s="3"/>
      <c r="E766" s="3"/>
      <c r="F766" s="3"/>
      <c r="G766" s="3"/>
    </row>
  </sheetData>
  <mergeCells count="571">
    <mergeCell ref="B755:G755"/>
    <mergeCell ref="H755:L755"/>
    <mergeCell ref="B756:G756"/>
    <mergeCell ref="H756:L756"/>
    <mergeCell ref="B757:G757"/>
    <mergeCell ref="H757:L757"/>
    <mergeCell ref="B750:G750"/>
    <mergeCell ref="H750:L750"/>
    <mergeCell ref="B751:G751"/>
    <mergeCell ref="H751:L751"/>
    <mergeCell ref="B752:G752"/>
    <mergeCell ref="H752:L752"/>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12:G712"/>
    <mergeCell ref="H712:L712"/>
    <mergeCell ref="B713:G713"/>
    <mergeCell ref="H713:L713"/>
    <mergeCell ref="B716:G716"/>
    <mergeCell ref="H716:L716"/>
    <mergeCell ref="B703:F703"/>
    <mergeCell ref="H703:L703"/>
    <mergeCell ref="B710:G710"/>
    <mergeCell ref="H710:L710"/>
    <mergeCell ref="B711:G711"/>
    <mergeCell ref="H711:L711"/>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B477:F477"/>
    <mergeCell ref="G477:H477"/>
    <mergeCell ref="I477:K477"/>
    <mergeCell ref="B487:L487"/>
    <mergeCell ref="B488:L488"/>
    <mergeCell ref="B490:G490"/>
    <mergeCell ref="H490:L490"/>
    <mergeCell ref="B491:G491"/>
    <mergeCell ref="H491:L4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386:G386"/>
    <mergeCell ref="H386:L386"/>
    <mergeCell ref="B387:G387"/>
    <mergeCell ref="H387:L387"/>
    <mergeCell ref="H388:L388"/>
    <mergeCell ref="B390:G390"/>
    <mergeCell ref="H390:L390"/>
    <mergeCell ref="B391:G391"/>
    <mergeCell ref="H391:L391"/>
    <mergeCell ref="G360:H360"/>
    <mergeCell ref="K360:L360"/>
    <mergeCell ref="B366:F366"/>
    <mergeCell ref="G366:H366"/>
    <mergeCell ref="I366:K366"/>
    <mergeCell ref="B367:F367"/>
    <mergeCell ref="G367:H367"/>
    <mergeCell ref="I367:K367"/>
    <mergeCell ref="B368:F368"/>
    <mergeCell ref="G368:H368"/>
    <mergeCell ref="I368:K368"/>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218:L218"/>
    <mergeCell ref="B219:L219"/>
    <mergeCell ref="B222:G222"/>
    <mergeCell ref="H222:L222"/>
    <mergeCell ref="B223:G223"/>
    <mergeCell ref="H223:L223"/>
    <mergeCell ref="B224:G224"/>
    <mergeCell ref="H224:L224"/>
    <mergeCell ref="B225:G225"/>
    <mergeCell ref="H225:L225"/>
    <mergeCell ref="B205:F205"/>
    <mergeCell ref="G205:H205"/>
    <mergeCell ref="I205:K205"/>
    <mergeCell ref="B206:F206"/>
    <mergeCell ref="G206:H206"/>
    <mergeCell ref="I206:K206"/>
    <mergeCell ref="B207:F207"/>
    <mergeCell ref="G207:H207"/>
    <mergeCell ref="I207:K207"/>
    <mergeCell ref="B170:G170"/>
    <mergeCell ref="H170:L170"/>
    <mergeCell ref="B171:G171"/>
    <mergeCell ref="H171:L171"/>
    <mergeCell ref="H172:L172"/>
    <mergeCell ref="B174:G174"/>
    <mergeCell ref="H174:L174"/>
    <mergeCell ref="B175:G175"/>
    <mergeCell ref="H175:L175"/>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61:G61"/>
    <mergeCell ref="H61:L61"/>
    <mergeCell ref="B62:G62"/>
    <mergeCell ref="H62:L62"/>
    <mergeCell ref="B63:G63"/>
    <mergeCell ref="H63:L63"/>
    <mergeCell ref="H64:L64"/>
    <mergeCell ref="B66:G66"/>
    <mergeCell ref="H66:L66"/>
    <mergeCell ref="B44:F44"/>
    <mergeCell ref="G44:H44"/>
    <mergeCell ref="I44:K44"/>
    <mergeCell ref="B45:F45"/>
    <mergeCell ref="G45:H45"/>
    <mergeCell ref="I45:K45"/>
    <mergeCell ref="B42:F42"/>
    <mergeCell ref="G42:H42"/>
    <mergeCell ref="I42:K42"/>
    <mergeCell ref="B43:F43"/>
    <mergeCell ref="G43:H43"/>
    <mergeCell ref="I43:K43"/>
    <mergeCell ref="K34:L34"/>
    <mergeCell ref="G35:H35"/>
    <mergeCell ref="K35:L35"/>
    <mergeCell ref="G36:H36"/>
    <mergeCell ref="K36:L36"/>
    <mergeCell ref="C31:H31"/>
    <mergeCell ref="J31:L31"/>
    <mergeCell ref="G32:H32"/>
    <mergeCell ref="K32:L32"/>
    <mergeCell ref="G33:H33"/>
    <mergeCell ref="K33:L33"/>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B176:G176"/>
    <mergeCell ref="H176:L176"/>
    <mergeCell ref="G180:H180"/>
    <mergeCell ref="K180:L180"/>
    <mergeCell ref="C193:H193"/>
    <mergeCell ref="J193:L193"/>
    <mergeCell ref="G194:H194"/>
    <mergeCell ref="K194:L194"/>
    <mergeCell ref="G195:H195"/>
    <mergeCell ref="K195:L195"/>
    <mergeCell ref="G196:H196"/>
    <mergeCell ref="K196:L196"/>
    <mergeCell ref="G197:H197"/>
    <mergeCell ref="K197:L197"/>
    <mergeCell ref="G198:H198"/>
    <mergeCell ref="K198:L198"/>
    <mergeCell ref="B204:F204"/>
    <mergeCell ref="G204:H204"/>
    <mergeCell ref="I204:K204"/>
    <mergeCell ref="G250:H250"/>
    <mergeCell ref="K250:L250"/>
    <mergeCell ref="G251:H251"/>
    <mergeCell ref="K251:L251"/>
    <mergeCell ref="G252:H252"/>
    <mergeCell ref="K252:L252"/>
    <mergeCell ref="B258:F258"/>
    <mergeCell ref="G258:H258"/>
    <mergeCell ref="I258:K258"/>
    <mergeCell ref="B259:F259"/>
    <mergeCell ref="G259:H259"/>
    <mergeCell ref="I259:K259"/>
    <mergeCell ref="B260:F260"/>
    <mergeCell ref="G260:H260"/>
    <mergeCell ref="I260:K260"/>
    <mergeCell ref="B272:L272"/>
    <mergeCell ref="B273:L273"/>
    <mergeCell ref="B275:G275"/>
    <mergeCell ref="H275:L275"/>
    <mergeCell ref="B276:G276"/>
    <mergeCell ref="H276:L276"/>
    <mergeCell ref="B277:G277"/>
    <mergeCell ref="H277:L277"/>
    <mergeCell ref="B278:G278"/>
    <mergeCell ref="H278:L278"/>
    <mergeCell ref="H279:L279"/>
    <mergeCell ref="B281:G281"/>
    <mergeCell ref="H281:L281"/>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369:F369"/>
    <mergeCell ref="G369:H369"/>
    <mergeCell ref="I369:K369"/>
    <mergeCell ref="B380:L380"/>
    <mergeCell ref="B381:L381"/>
    <mergeCell ref="B384:G384"/>
    <mergeCell ref="H384:L384"/>
    <mergeCell ref="B385:G385"/>
    <mergeCell ref="H385:L385"/>
    <mergeCell ref="K412:L412"/>
    <mergeCell ref="G414:H414"/>
    <mergeCell ref="K414:L414"/>
    <mergeCell ref="B420:F420"/>
    <mergeCell ref="G420:H420"/>
    <mergeCell ref="I420:K420"/>
    <mergeCell ref="B421:F421"/>
    <mergeCell ref="G421:H421"/>
    <mergeCell ref="I421:K421"/>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775"/>
  <sheetViews>
    <sheetView topLeftCell="A7" zoomScale="110" zoomScaleNormal="110" workbookViewId="0">
      <selection activeCell="E4" sqref="E4"/>
    </sheetView>
  </sheetViews>
  <sheetFormatPr defaultRowHeight="15"/>
  <cols>
    <col min="6" max="6" width="16.85546875" customWidth="1"/>
    <col min="10" max="10" width="14.5703125" customWidth="1"/>
    <col min="12" max="12" width="22.7109375" customWidth="1"/>
  </cols>
  <sheetData>
    <row r="1" spans="1:14" ht="15" customHeight="1">
      <c r="A1" s="81"/>
      <c r="B1" s="82"/>
      <c r="C1" s="82"/>
      <c r="D1" s="82"/>
      <c r="E1" s="82"/>
      <c r="F1" s="82"/>
      <c r="G1" s="82"/>
      <c r="H1" s="82"/>
      <c r="I1" s="86" t="s">
        <v>246</v>
      </c>
      <c r="J1" s="82"/>
      <c r="K1" s="82"/>
      <c r="L1" s="83"/>
    </row>
    <row r="2" spans="1:14" ht="16.5" customHeight="1">
      <c r="A2" s="19"/>
      <c r="B2" s="1032" t="s">
        <v>301</v>
      </c>
      <c r="C2" s="1032"/>
      <c r="D2" s="1032"/>
      <c r="E2" s="1032"/>
      <c r="F2" s="1032"/>
      <c r="G2" s="1032"/>
      <c r="H2" s="1032"/>
      <c r="I2" s="1032"/>
      <c r="J2" s="1032"/>
      <c r="K2" s="1032"/>
      <c r="L2" s="1033"/>
    </row>
    <row r="3" spans="1:14" ht="23.25">
      <c r="A3" s="19"/>
      <c r="B3" s="207"/>
      <c r="C3" s="207"/>
      <c r="D3" s="215" t="s">
        <v>248</v>
      </c>
      <c r="E3" s="207"/>
      <c r="F3" s="207"/>
      <c r="G3" s="207"/>
      <c r="H3" s="207"/>
      <c r="I3" s="209" t="s">
        <v>302</v>
      </c>
      <c r="J3" s="210"/>
      <c r="K3" s="290" t="e">
        <f>'04-22Master'!#REF!</f>
        <v>#REF!</v>
      </c>
      <c r="L3" s="240"/>
    </row>
    <row r="4" spans="1:14" ht="15.75">
      <c r="A4" s="19"/>
      <c r="B4" s="2"/>
      <c r="C4" s="2" t="s">
        <v>249</v>
      </c>
      <c r="E4" s="2"/>
      <c r="F4" s="2"/>
      <c r="G4" s="2"/>
      <c r="H4" s="2"/>
      <c r="I4" s="208" t="s">
        <v>303</v>
      </c>
      <c r="J4" s="229" t="str">
        <f>'04-22Master'!F5</f>
        <v>Burgeon IT Services Pvt.Ltd.</v>
      </c>
      <c r="K4" s="211"/>
      <c r="L4" s="241"/>
    </row>
    <row r="5" spans="1:14" ht="15" customHeight="1">
      <c r="A5" s="19"/>
      <c r="B5" s="216"/>
      <c r="C5" s="185" t="s">
        <v>250</v>
      </c>
      <c r="E5" s="216"/>
      <c r="F5" s="216"/>
      <c r="H5" s="186"/>
      <c r="I5" s="232" t="str">
        <f>'04-22Master'!F6</f>
        <v>Siri Mansion LIGB 436 Dr.A S Rao Nagar,Hyderabad</v>
      </c>
      <c r="J5" s="230"/>
      <c r="K5" s="231"/>
      <c r="L5" s="195"/>
    </row>
    <row r="6" spans="1:14" ht="15" customHeight="1">
      <c r="A6" s="19"/>
      <c r="B6" s="216"/>
      <c r="C6" s="185"/>
      <c r="E6" s="216"/>
      <c r="F6" s="216"/>
      <c r="H6" s="186"/>
      <c r="I6" s="233"/>
      <c r="J6" s="239"/>
      <c r="K6" s="239"/>
      <c r="L6" s="20"/>
    </row>
    <row r="7" spans="1:14">
      <c r="A7" s="19"/>
      <c r="L7" s="20"/>
    </row>
    <row r="8" spans="1:14" ht="26.25" customHeight="1">
      <c r="A8" s="19">
        <v>1</v>
      </c>
      <c r="B8" s="212" t="s">
        <v>251</v>
      </c>
      <c r="C8" s="69"/>
      <c r="D8" s="69"/>
      <c r="E8" s="69"/>
      <c r="F8" s="69"/>
      <c r="G8" s="70"/>
      <c r="H8" s="988" t="e">
        <f>'04-22Master'!#REF!</f>
        <v>#REF!</v>
      </c>
      <c r="I8" s="1010"/>
      <c r="J8" s="1010"/>
      <c r="K8" s="1010"/>
      <c r="L8" s="1011"/>
    </row>
    <row r="9" spans="1:14">
      <c r="A9" s="19">
        <v>2</v>
      </c>
      <c r="B9" s="1034" t="s">
        <v>252</v>
      </c>
      <c r="C9" s="1035"/>
      <c r="D9" s="1035"/>
      <c r="E9" s="1035"/>
      <c r="F9" s="213" t="s">
        <v>253</v>
      </c>
      <c r="G9" s="197"/>
      <c r="H9" s="1036" t="e">
        <f>'04-22Master'!#REF!</f>
        <v>#REF!</v>
      </c>
      <c r="I9" s="1037"/>
      <c r="J9" s="1037"/>
      <c r="K9" s="1037"/>
      <c r="L9" s="1038"/>
      <c r="M9" s="202" t="s">
        <v>247</v>
      </c>
      <c r="N9" s="202" t="s">
        <v>247</v>
      </c>
    </row>
    <row r="10" spans="1:14" ht="10.5" customHeight="1">
      <c r="A10" s="19"/>
      <c r="B10" s="198" t="s">
        <v>254</v>
      </c>
      <c r="C10" s="199"/>
      <c r="D10" s="199"/>
      <c r="E10" s="199"/>
      <c r="F10" s="199" t="s">
        <v>247</v>
      </c>
      <c r="G10" s="200"/>
      <c r="H10" s="1039"/>
      <c r="I10" s="1040"/>
      <c r="J10" s="1040"/>
      <c r="K10" s="1040"/>
      <c r="L10" s="1041"/>
      <c r="M10" s="201"/>
      <c r="N10" s="201"/>
    </row>
    <row r="11" spans="1:14">
      <c r="A11" s="19">
        <v>3</v>
      </c>
      <c r="B11" s="214" t="s">
        <v>255</v>
      </c>
      <c r="C11" s="204"/>
      <c r="D11" s="204"/>
      <c r="E11" s="204"/>
      <c r="F11" s="204"/>
      <c r="G11" s="205"/>
      <c r="H11" s="1014" t="e">
        <f>'04-22Master'!#REF!</f>
        <v>#REF!</v>
      </c>
      <c r="I11" s="1015"/>
      <c r="J11" s="1015"/>
      <c r="K11" s="1015"/>
      <c r="L11" s="1016"/>
      <c r="M11" s="201"/>
      <c r="N11" s="201"/>
    </row>
    <row r="12" spans="1:14">
      <c r="A12" s="19">
        <v>4</v>
      </c>
      <c r="B12" s="190" t="s">
        <v>256</v>
      </c>
      <c r="C12" s="69"/>
      <c r="D12" s="69"/>
      <c r="E12" s="69"/>
      <c r="F12" s="69"/>
      <c r="G12" s="70"/>
      <c r="H12" s="980" t="e">
        <f>'04-22Master'!#REF!</f>
        <v>#REF!</v>
      </c>
      <c r="I12" s="1002"/>
      <c r="J12" s="1002"/>
      <c r="K12" s="1002"/>
      <c r="L12" s="996"/>
    </row>
    <row r="13" spans="1:14">
      <c r="A13" s="19">
        <v>5</v>
      </c>
      <c r="B13" s="1017" t="s">
        <v>304</v>
      </c>
      <c r="C13" s="1018"/>
      <c r="D13" s="1018"/>
      <c r="E13" s="1018"/>
      <c r="F13" s="1018"/>
      <c r="G13" s="70"/>
      <c r="H13" s="1009" t="s">
        <v>381</v>
      </c>
      <c r="I13" s="1010"/>
      <c r="J13" s="1010"/>
      <c r="K13" s="1010"/>
      <c r="L13" s="1011"/>
    </row>
    <row r="14" spans="1:14" ht="15" customHeight="1">
      <c r="A14" s="19">
        <v>6</v>
      </c>
      <c r="B14" s="203" t="s">
        <v>257</v>
      </c>
      <c r="C14" s="204" t="s">
        <v>258</v>
      </c>
      <c r="D14" s="204"/>
      <c r="E14" s="204"/>
      <c r="F14" s="204"/>
      <c r="G14" s="205"/>
      <c r="H14" s="214"/>
      <c r="I14" s="204"/>
      <c r="J14" s="204"/>
      <c r="K14" s="204"/>
      <c r="L14" s="242"/>
      <c r="M14" s="201"/>
      <c r="N14" s="201"/>
    </row>
    <row r="15" spans="1:14">
      <c r="A15" s="19"/>
      <c r="B15" s="203" t="s">
        <v>259</v>
      </c>
      <c r="C15" s="204" t="s">
        <v>260</v>
      </c>
      <c r="D15" s="204"/>
      <c r="E15" s="204"/>
      <c r="F15" s="204"/>
      <c r="G15" s="205"/>
      <c r="H15" s="214"/>
      <c r="I15" s="196"/>
      <c r="J15" s="196"/>
      <c r="K15" s="204"/>
      <c r="L15" s="242"/>
      <c r="M15" s="201"/>
      <c r="N15" s="201"/>
    </row>
    <row r="16" spans="1:14" ht="15" customHeight="1">
      <c r="A16" s="19">
        <v>7</v>
      </c>
      <c r="B16" s="1014" t="s">
        <v>261</v>
      </c>
      <c r="C16" s="1015"/>
      <c r="D16" s="1015"/>
      <c r="E16" s="1015"/>
      <c r="F16" s="1015"/>
      <c r="G16" s="1022"/>
      <c r="H16" s="218" t="s">
        <v>262</v>
      </c>
      <c r="I16" s="219"/>
      <c r="J16" s="220"/>
      <c r="K16" s="218" t="s">
        <v>263</v>
      </c>
      <c r="L16" s="243"/>
      <c r="M16" s="217"/>
      <c r="N16" s="217"/>
    </row>
    <row r="17" spans="1:14">
      <c r="A17" s="19">
        <v>8</v>
      </c>
      <c r="B17" s="1014" t="s">
        <v>305</v>
      </c>
      <c r="C17" s="1015"/>
      <c r="D17" s="1015"/>
      <c r="E17" s="1015"/>
      <c r="F17" s="1015"/>
      <c r="G17" s="1022"/>
      <c r="H17" s="218" t="s">
        <v>262</v>
      </c>
      <c r="I17" s="219"/>
      <c r="J17" s="220"/>
      <c r="K17" s="218" t="s">
        <v>263</v>
      </c>
      <c r="L17" s="243"/>
      <c r="M17" s="217"/>
      <c r="N17" s="217"/>
    </row>
    <row r="18" spans="1:14">
      <c r="A18" s="19"/>
      <c r="B18" s="190"/>
      <c r="C18" s="222"/>
      <c r="D18" s="222"/>
      <c r="E18" s="222"/>
      <c r="F18" s="222" t="s">
        <v>264</v>
      </c>
      <c r="G18" s="222"/>
      <c r="H18" s="222"/>
      <c r="I18" s="222"/>
      <c r="J18" s="222"/>
      <c r="K18" s="222"/>
      <c r="L18" s="244"/>
      <c r="M18" s="221"/>
      <c r="N18" s="221"/>
    </row>
    <row r="19" spans="1:14">
      <c r="A19" s="19">
        <v>9</v>
      </c>
      <c r="B19" s="203" t="s">
        <v>265</v>
      </c>
      <c r="C19" s="204" t="s">
        <v>266</v>
      </c>
      <c r="D19" s="204"/>
      <c r="E19" s="204"/>
      <c r="F19" s="204"/>
      <c r="G19" s="205"/>
      <c r="H19" s="214"/>
      <c r="I19" s="204"/>
      <c r="J19" s="204"/>
      <c r="K19" s="204"/>
      <c r="L19" s="242"/>
      <c r="M19" s="201"/>
      <c r="N19" s="201"/>
    </row>
    <row r="20" spans="1:14" ht="21.75" customHeight="1">
      <c r="A20" s="92"/>
      <c r="B20" s="203" t="s">
        <v>267</v>
      </c>
      <c r="C20" s="204" t="s">
        <v>268</v>
      </c>
      <c r="D20" s="204"/>
      <c r="E20" s="204"/>
      <c r="F20" s="204"/>
      <c r="G20" s="205"/>
      <c r="H20" s="214"/>
      <c r="I20" s="204"/>
      <c r="J20" s="204"/>
      <c r="K20" s="204"/>
      <c r="L20" s="242"/>
      <c r="M20" s="201"/>
      <c r="N20" s="201"/>
    </row>
    <row r="21" spans="1:14" ht="27.95" customHeight="1">
      <c r="A21" s="92"/>
      <c r="B21" s="203" t="s">
        <v>306</v>
      </c>
      <c r="C21" s="204" t="s">
        <v>307</v>
      </c>
      <c r="D21" s="204"/>
      <c r="E21" s="204"/>
      <c r="F21" s="204"/>
      <c r="G21" s="205"/>
      <c r="H21" s="214"/>
      <c r="I21" s="204"/>
      <c r="J21" s="204"/>
      <c r="K21" s="204"/>
      <c r="L21" s="242"/>
    </row>
    <row r="22" spans="1:14" ht="27.95" customHeight="1">
      <c r="A22" s="92"/>
      <c r="B22" s="203" t="s">
        <v>270</v>
      </c>
      <c r="C22" s="204" t="s">
        <v>271</v>
      </c>
      <c r="D22" s="204"/>
      <c r="E22" s="204"/>
      <c r="F22" s="204"/>
      <c r="G22" s="205"/>
      <c r="H22" s="214"/>
      <c r="I22" s="204"/>
      <c r="J22" s="204"/>
      <c r="K22" s="204"/>
      <c r="L22" s="242"/>
    </row>
    <row r="23" spans="1:14" ht="27.95" customHeight="1">
      <c r="A23" s="92"/>
      <c r="B23" s="203" t="s">
        <v>272</v>
      </c>
      <c r="C23" s="204" t="s">
        <v>273</v>
      </c>
      <c r="D23" s="204"/>
      <c r="E23" s="204"/>
      <c r="F23" s="204"/>
      <c r="G23" s="205"/>
      <c r="H23" s="214"/>
      <c r="I23" s="204"/>
      <c r="J23" s="204"/>
      <c r="K23" s="204"/>
      <c r="L23" s="242"/>
    </row>
    <row r="24" spans="1:14" ht="27.95" customHeight="1">
      <c r="A24" s="92">
        <v>10</v>
      </c>
      <c r="B24" s="203" t="s">
        <v>265</v>
      </c>
      <c r="C24" s="204" t="s">
        <v>308</v>
      </c>
      <c r="D24" s="204"/>
      <c r="E24" s="204"/>
      <c r="F24" s="204"/>
      <c r="G24" s="205"/>
      <c r="H24" s="218" t="s">
        <v>262</v>
      </c>
      <c r="I24" s="219"/>
      <c r="J24" s="220"/>
      <c r="K24" s="218" t="s">
        <v>263</v>
      </c>
      <c r="L24" s="243"/>
    </row>
    <row r="25" spans="1:14" ht="27.95" customHeight="1">
      <c r="A25" s="92"/>
      <c r="B25" s="203" t="s">
        <v>267</v>
      </c>
      <c r="C25" s="204" t="s">
        <v>309</v>
      </c>
      <c r="D25" s="204"/>
      <c r="E25" s="204"/>
      <c r="F25" s="204"/>
      <c r="G25" s="205"/>
      <c r="H25" s="214"/>
      <c r="I25" s="204"/>
      <c r="J25" s="204"/>
      <c r="K25" s="204"/>
      <c r="L25" s="242"/>
    </row>
    <row r="26" spans="1:14" ht="27.95" customHeight="1">
      <c r="A26" s="92"/>
      <c r="B26" s="203" t="s">
        <v>306</v>
      </c>
      <c r="C26" s="204" t="s">
        <v>274</v>
      </c>
      <c r="D26" s="204"/>
      <c r="E26" s="204"/>
      <c r="F26" s="204"/>
      <c r="G26" s="205"/>
      <c r="H26" s="214"/>
      <c r="I26" s="204"/>
      <c r="J26" s="204"/>
      <c r="K26" s="204"/>
      <c r="L26" s="242"/>
    </row>
    <row r="27" spans="1:14" ht="27.95" customHeight="1">
      <c r="A27" s="92"/>
      <c r="B27" s="203" t="s">
        <v>270</v>
      </c>
      <c r="C27" s="204" t="s">
        <v>310</v>
      </c>
      <c r="D27" s="204"/>
      <c r="E27" s="204"/>
      <c r="F27" s="204"/>
      <c r="G27" s="205"/>
      <c r="H27" s="214"/>
      <c r="I27" s="204"/>
      <c r="J27" s="204"/>
      <c r="K27" s="204"/>
      <c r="L27" s="242"/>
    </row>
    <row r="28" spans="1:14" ht="27.95" customHeight="1">
      <c r="A28" s="19"/>
      <c r="B28" s="190"/>
      <c r="C28" s="222"/>
      <c r="D28" s="222"/>
      <c r="E28" s="222" t="s">
        <v>311</v>
      </c>
      <c r="F28" s="222"/>
      <c r="G28" s="222"/>
      <c r="H28" s="222"/>
      <c r="I28" s="222"/>
      <c r="J28" s="222"/>
      <c r="K28" s="222"/>
      <c r="L28" s="244"/>
    </row>
    <row r="29" spans="1:14" ht="27.95" customHeight="1">
      <c r="A29" s="19">
        <v>11</v>
      </c>
      <c r="B29" s="203" t="s">
        <v>265</v>
      </c>
      <c r="C29" s="204" t="s">
        <v>275</v>
      </c>
      <c r="D29" s="204"/>
      <c r="E29" s="204"/>
      <c r="F29" s="204"/>
      <c r="G29" s="205"/>
      <c r="H29" s="214"/>
      <c r="I29" s="204"/>
      <c r="J29" s="204"/>
      <c r="K29" s="204"/>
      <c r="L29" s="242"/>
    </row>
    <row r="30" spans="1:14" ht="27.95" customHeight="1">
      <c r="A30" s="19"/>
      <c r="B30" s="203" t="s">
        <v>267</v>
      </c>
      <c r="C30" s="204" t="s">
        <v>276</v>
      </c>
      <c r="D30" s="204"/>
      <c r="E30" s="204"/>
      <c r="F30" s="204"/>
      <c r="G30" s="205"/>
      <c r="H30" s="214"/>
      <c r="I30" s="204"/>
      <c r="J30" s="204"/>
      <c r="K30" s="204"/>
      <c r="L30" s="242"/>
    </row>
    <row r="31" spans="1:14" ht="27.95" customHeight="1">
      <c r="A31" s="19"/>
      <c r="B31" s="203" t="s">
        <v>269</v>
      </c>
      <c r="C31" s="204" t="s">
        <v>277</v>
      </c>
      <c r="D31" s="204"/>
      <c r="E31" s="204"/>
      <c r="F31" s="204"/>
      <c r="G31" s="205"/>
      <c r="H31" s="214"/>
      <c r="I31" s="204"/>
      <c r="J31" s="204"/>
      <c r="K31" s="204"/>
      <c r="L31" s="242"/>
    </row>
    <row r="32" spans="1:14" ht="20.25" customHeight="1">
      <c r="A32" s="19"/>
      <c r="B32" s="178"/>
      <c r="C32" s="174"/>
      <c r="D32" s="174"/>
      <c r="E32" s="174"/>
      <c r="F32" s="223" t="s">
        <v>278</v>
      </c>
      <c r="G32" s="174"/>
      <c r="H32" s="163"/>
      <c r="I32" s="163"/>
      <c r="J32" s="163"/>
      <c r="K32" s="163"/>
      <c r="L32" s="181"/>
    </row>
    <row r="33" spans="1:32" ht="27.95" customHeight="1">
      <c r="A33" s="19"/>
      <c r="B33" s="235" t="s">
        <v>279</v>
      </c>
      <c r="C33" s="234" t="s">
        <v>280</v>
      </c>
      <c r="D33" s="174"/>
      <c r="E33" s="174"/>
      <c r="F33" s="174"/>
      <c r="G33" s="174"/>
      <c r="H33" s="163"/>
      <c r="I33" s="163"/>
      <c r="J33" s="164"/>
      <c r="K33" s="163"/>
      <c r="L33" s="181"/>
    </row>
    <row r="34" spans="1:32" ht="19.5" customHeight="1">
      <c r="A34" s="19"/>
      <c r="B34" s="235" t="s">
        <v>281</v>
      </c>
      <c r="C34" s="233" t="s">
        <v>282</v>
      </c>
      <c r="D34" s="163"/>
      <c r="E34" s="164"/>
      <c r="G34" s="1023"/>
      <c r="H34" s="1023"/>
      <c r="I34" s="179"/>
      <c r="J34" s="180"/>
      <c r="K34" s="1023"/>
      <c r="L34" s="1024"/>
    </row>
    <row r="35" spans="1:32" ht="26.25" customHeight="1">
      <c r="A35" s="19"/>
      <c r="B35" s="236" t="s">
        <v>283</v>
      </c>
      <c r="C35" s="1025" t="s">
        <v>312</v>
      </c>
      <c r="D35" s="1025"/>
      <c r="E35" s="1025"/>
      <c r="F35" s="1025"/>
      <c r="G35" s="1025"/>
      <c r="H35" s="1025"/>
      <c r="I35" s="1025"/>
      <c r="J35" s="1025"/>
      <c r="K35" s="1025"/>
      <c r="L35" s="1026"/>
    </row>
    <row r="36" spans="1:32" ht="19.5" customHeight="1">
      <c r="A36" s="19"/>
      <c r="B36" s="235" t="s">
        <v>284</v>
      </c>
      <c r="C36" s="234" t="s">
        <v>285</v>
      </c>
      <c r="D36" s="226"/>
      <c r="E36" s="226"/>
      <c r="F36" s="226"/>
      <c r="G36" s="226"/>
      <c r="H36" s="226"/>
      <c r="I36" s="226"/>
      <c r="J36" s="226"/>
      <c r="K36" s="226"/>
      <c r="L36" s="245"/>
    </row>
    <row r="37" spans="1:32" ht="27.95" customHeight="1">
      <c r="A37" s="19"/>
      <c r="B37" s="178"/>
      <c r="C37" t="s">
        <v>313</v>
      </c>
      <c r="D37" s="286" t="e">
        <f>'04-22Master'!#REF!</f>
        <v>#REF!</v>
      </c>
      <c r="E37" s="3"/>
      <c r="F37" s="3"/>
      <c r="G37" s="3"/>
      <c r="L37" s="20"/>
    </row>
    <row r="38" spans="1:32" ht="15" customHeight="1">
      <c r="A38" s="19"/>
      <c r="C38" t="s">
        <v>286</v>
      </c>
      <c r="D38" t="s">
        <v>375</v>
      </c>
      <c r="J38" t="s">
        <v>314</v>
      </c>
      <c r="L38" s="20"/>
    </row>
    <row r="39" spans="1:32" ht="15.75" customHeight="1">
      <c r="A39" s="19"/>
      <c r="L39" s="20"/>
    </row>
    <row r="40" spans="1:32">
      <c r="A40" s="19"/>
      <c r="F40" s="224" t="s">
        <v>287</v>
      </c>
      <c r="L40" s="20"/>
    </row>
    <row r="41" spans="1:32" ht="12.75" customHeight="1">
      <c r="A41" s="19" t="s">
        <v>315</v>
      </c>
      <c r="B41" t="s">
        <v>288</v>
      </c>
      <c r="E41" s="227" t="e">
        <f>'04-22Master'!#REF!</f>
        <v>#REF!</v>
      </c>
      <c r="H41" s="1027" t="s">
        <v>289</v>
      </c>
      <c r="I41" s="1027"/>
      <c r="J41" s="228" t="e">
        <f>'04-22Master'!#REF!</f>
        <v>#REF!</v>
      </c>
      <c r="K41" t="s">
        <v>290</v>
      </c>
      <c r="L41" s="20"/>
    </row>
    <row r="42" spans="1:32" ht="12.75" customHeight="1">
      <c r="A42" s="19"/>
      <c r="B42" s="1028" t="e">
        <f>'04-22Master'!#REF!</f>
        <v>#REF!</v>
      </c>
      <c r="C42" s="1029"/>
      <c r="D42" s="225"/>
      <c r="E42" s="225"/>
      <c r="F42" s="225"/>
      <c r="G42" s="225"/>
      <c r="H42" s="225"/>
      <c r="I42" s="225"/>
      <c r="J42" s="225"/>
      <c r="K42" s="225"/>
      <c r="L42" s="246"/>
      <c r="M42" s="225"/>
      <c r="N42" s="225"/>
      <c r="O42" s="225"/>
      <c r="P42" s="225"/>
      <c r="Q42" s="225"/>
      <c r="R42" s="225"/>
      <c r="S42" s="225"/>
      <c r="T42" s="225"/>
      <c r="U42" s="225"/>
      <c r="V42" s="225"/>
      <c r="W42" s="225"/>
      <c r="X42" s="225"/>
      <c r="Y42" s="225"/>
      <c r="Z42" s="225"/>
      <c r="AA42" s="225"/>
      <c r="AB42" s="225"/>
      <c r="AC42" s="225"/>
      <c r="AD42" s="225"/>
      <c r="AE42" s="225"/>
      <c r="AF42" s="225"/>
    </row>
    <row r="43" spans="1:32" ht="12.75" customHeight="1">
      <c r="A43" s="19" t="s">
        <v>317</v>
      </c>
      <c r="B43" s="225" t="s">
        <v>291</v>
      </c>
      <c r="C43" s="225"/>
      <c r="D43" s="225"/>
      <c r="E43" s="225"/>
      <c r="F43" s="225"/>
      <c r="G43" s="225"/>
      <c r="H43" s="225"/>
      <c r="I43" s="225"/>
      <c r="J43" s="225"/>
      <c r="K43" s="225"/>
      <c r="L43" s="246"/>
      <c r="M43" s="225"/>
      <c r="N43" s="225"/>
      <c r="O43" s="225"/>
      <c r="P43" s="225"/>
      <c r="Q43" s="225"/>
      <c r="R43" s="225"/>
      <c r="S43" s="225"/>
      <c r="T43" s="225"/>
      <c r="U43" s="225"/>
      <c r="V43" s="225"/>
      <c r="W43" s="225"/>
      <c r="X43" s="225"/>
      <c r="Y43" s="225"/>
      <c r="Z43" s="225"/>
      <c r="AA43" s="225"/>
      <c r="AB43" s="225"/>
      <c r="AC43" s="225"/>
      <c r="AD43" s="225"/>
      <c r="AE43" s="225"/>
      <c r="AF43" s="225"/>
    </row>
    <row r="44" spans="1:32" ht="12.75" customHeight="1">
      <c r="A44" s="19"/>
      <c r="B44" s="225" t="s">
        <v>316</v>
      </c>
      <c r="C44" s="225"/>
      <c r="D44" s="225"/>
      <c r="E44" s="225"/>
      <c r="F44" s="225"/>
      <c r="G44" s="225"/>
      <c r="H44" s="225"/>
      <c r="I44" s="225"/>
      <c r="J44" s="225"/>
      <c r="K44" s="225"/>
      <c r="L44" s="246"/>
      <c r="M44" s="225"/>
      <c r="N44" s="225"/>
      <c r="O44" s="225"/>
      <c r="P44" s="225"/>
      <c r="Q44" s="225"/>
      <c r="R44" s="225"/>
      <c r="S44" s="225"/>
      <c r="T44" s="225"/>
      <c r="U44" s="225"/>
      <c r="V44" s="225"/>
      <c r="W44" s="225"/>
      <c r="X44" s="225"/>
      <c r="Y44" s="225"/>
      <c r="Z44" s="225"/>
      <c r="AA44" s="225"/>
      <c r="AB44" s="225"/>
      <c r="AC44" s="225"/>
      <c r="AD44" s="225"/>
      <c r="AE44" s="225"/>
      <c r="AF44" s="225"/>
    </row>
    <row r="45" spans="1:32" ht="12.75" customHeight="1">
      <c r="A45" s="19"/>
      <c r="B45" t="s">
        <v>292</v>
      </c>
      <c r="L45" s="20"/>
    </row>
    <row r="46" spans="1:32" ht="12.75" customHeight="1">
      <c r="A46" s="19"/>
      <c r="B46" s="3" t="s">
        <v>293</v>
      </c>
      <c r="F46" s="177"/>
      <c r="L46" s="20"/>
    </row>
    <row r="47" spans="1:32" ht="12.75" customHeight="1">
      <c r="A47" s="19"/>
      <c r="B47" s="3" t="s">
        <v>294</v>
      </c>
      <c r="L47" s="20"/>
    </row>
    <row r="48" spans="1:32" ht="12.75" customHeight="1">
      <c r="A48" s="19"/>
      <c r="B48" t="s">
        <v>295</v>
      </c>
      <c r="L48" s="20"/>
    </row>
    <row r="49" spans="1:12" ht="12.75" customHeight="1">
      <c r="A49" s="19"/>
      <c r="B49" t="s">
        <v>296</v>
      </c>
      <c r="L49" s="20"/>
    </row>
    <row r="50" spans="1:12" ht="12.75" customHeight="1">
      <c r="A50" s="19" t="s">
        <v>306</v>
      </c>
      <c r="B50" t="s">
        <v>297</v>
      </c>
      <c r="L50" s="20"/>
    </row>
    <row r="51" spans="1:12" ht="12.75" customHeight="1">
      <c r="A51" s="19"/>
      <c r="B51" s="237" t="s">
        <v>318</v>
      </c>
      <c r="L51" s="20"/>
    </row>
    <row r="52" spans="1:12" ht="12.75" customHeight="1">
      <c r="A52" s="19"/>
      <c r="B52" t="s">
        <v>292</v>
      </c>
      <c r="L52" s="20"/>
    </row>
    <row r="53" spans="1:12" ht="12.75" customHeight="1">
      <c r="A53" s="19"/>
      <c r="B53" t="s">
        <v>298</v>
      </c>
      <c r="L53" s="20"/>
    </row>
    <row r="54" spans="1:12" ht="12.75" customHeight="1">
      <c r="A54" s="19"/>
      <c r="B54" t="s">
        <v>299</v>
      </c>
      <c r="L54" s="20"/>
    </row>
    <row r="55" spans="1:12" ht="15.75" customHeight="1">
      <c r="A55" s="19"/>
      <c r="B55" s="1030" t="s">
        <v>300</v>
      </c>
      <c r="C55" s="1030"/>
      <c r="D55" s="1030"/>
      <c r="E55" s="1030"/>
      <c r="F55" s="1030"/>
      <c r="G55" s="1030"/>
      <c r="H55" s="1030"/>
      <c r="I55" s="1030"/>
      <c r="J55" s="1030"/>
      <c r="K55" s="1030"/>
      <c r="L55" s="1031"/>
    </row>
    <row r="56" spans="1:12" ht="23.25">
      <c r="A56" s="19"/>
      <c r="B56" t="s">
        <v>212</v>
      </c>
      <c r="C56" s="286" t="e">
        <f>D37</f>
        <v>#REF!</v>
      </c>
      <c r="D56" s="207"/>
      <c r="E56" s="207"/>
      <c r="F56" s="207"/>
      <c r="G56" s="207"/>
      <c r="H56" s="207"/>
      <c r="I56" t="s">
        <v>319</v>
      </c>
      <c r="J56" s="207"/>
      <c r="K56" s="207"/>
      <c r="L56" s="238"/>
    </row>
    <row r="57" spans="1:12" ht="16.5" thickBot="1">
      <c r="A57" s="31"/>
      <c r="B57" s="860"/>
      <c r="C57" s="860"/>
      <c r="D57" s="860"/>
      <c r="E57" s="860"/>
      <c r="F57" s="860"/>
      <c r="G57" s="860"/>
      <c r="H57" s="860"/>
      <c r="I57" s="860"/>
      <c r="J57" s="860"/>
      <c r="K57" s="860"/>
      <c r="L57" s="861"/>
    </row>
    <row r="58" spans="1:12" ht="27.95" customHeight="1" thickBot="1">
      <c r="A58" s="15"/>
      <c r="B58" s="997"/>
      <c r="C58" s="997"/>
      <c r="D58" s="997"/>
      <c r="E58" s="997"/>
      <c r="F58" s="997"/>
      <c r="G58" s="997"/>
      <c r="H58" s="994"/>
      <c r="I58" s="994"/>
      <c r="J58" s="994"/>
      <c r="K58" s="994"/>
      <c r="L58" s="994"/>
    </row>
    <row r="59" spans="1:12" ht="27.95" customHeight="1">
      <c r="A59" s="81"/>
      <c r="B59" s="82"/>
      <c r="C59" s="82"/>
      <c r="D59" s="82"/>
      <c r="E59" s="82"/>
      <c r="F59" s="82"/>
      <c r="G59" s="82"/>
      <c r="H59" s="82"/>
      <c r="I59" s="86" t="s">
        <v>246</v>
      </c>
      <c r="J59" s="82"/>
      <c r="K59" s="82"/>
      <c r="L59" s="83"/>
    </row>
    <row r="60" spans="1:12" ht="27.95" customHeight="1">
      <c r="A60" s="19"/>
      <c r="B60" s="1032" t="s">
        <v>301</v>
      </c>
      <c r="C60" s="1032"/>
      <c r="D60" s="1032"/>
      <c r="E60" s="1032"/>
      <c r="F60" s="1032"/>
      <c r="G60" s="1032"/>
      <c r="H60" s="1032"/>
      <c r="I60" s="1032"/>
      <c r="J60" s="1032"/>
      <c r="K60" s="1032"/>
      <c r="L60" s="1033"/>
    </row>
    <row r="61" spans="1:12" ht="27.95" customHeight="1">
      <c r="A61" s="19"/>
      <c r="B61" s="207"/>
      <c r="C61" s="207"/>
      <c r="D61" s="215" t="s">
        <v>248</v>
      </c>
      <c r="E61" s="207"/>
      <c r="F61" s="207"/>
      <c r="G61" s="207"/>
      <c r="H61" s="207"/>
      <c r="I61" s="209" t="s">
        <v>302</v>
      </c>
      <c r="J61" s="210"/>
      <c r="K61" s="290" t="e">
        <f>'04-22Master'!#REF!</f>
        <v>#REF!</v>
      </c>
      <c r="L61" s="240"/>
    </row>
    <row r="62" spans="1:12" ht="21.75" customHeight="1">
      <c r="A62" s="19"/>
      <c r="B62" s="2"/>
      <c r="C62" s="2" t="s">
        <v>249</v>
      </c>
      <c r="E62" s="2"/>
      <c r="F62" s="2"/>
      <c r="G62" s="2"/>
      <c r="H62" s="2"/>
      <c r="I62" s="208" t="s">
        <v>303</v>
      </c>
      <c r="J62" s="229" t="str">
        <f>'04-22Master'!F5</f>
        <v>Burgeon IT Services Pvt.Ltd.</v>
      </c>
      <c r="K62" s="211"/>
      <c r="L62" s="241"/>
    </row>
    <row r="63" spans="1:12" ht="20.25" customHeight="1">
      <c r="A63" s="19"/>
      <c r="B63" s="216"/>
      <c r="C63" s="185" t="s">
        <v>250</v>
      </c>
      <c r="E63" s="216"/>
      <c r="F63" s="216"/>
      <c r="H63" s="186"/>
      <c r="I63" s="232" t="str">
        <f>'04-22Master'!F6</f>
        <v>Siri Mansion LIGB 436 Dr.A S Rao Nagar,Hyderabad</v>
      </c>
      <c r="J63" s="230"/>
      <c r="K63" s="231"/>
      <c r="L63" s="195"/>
    </row>
    <row r="64" spans="1:12" ht="18.75" customHeight="1">
      <c r="A64" s="19"/>
      <c r="L64" s="20"/>
    </row>
    <row r="65" spans="1:12" ht="27.95" customHeight="1">
      <c r="A65" s="19">
        <v>1</v>
      </c>
      <c r="B65" s="212" t="s">
        <v>251</v>
      </c>
      <c r="C65" s="69"/>
      <c r="D65" s="69"/>
      <c r="E65" s="69"/>
      <c r="F65" s="69"/>
      <c r="G65" s="70"/>
      <c r="H65" s="988" t="e">
        <f>'04-22Master'!#REF!</f>
        <v>#REF!</v>
      </c>
      <c r="I65" s="1010"/>
      <c r="J65" s="1010"/>
      <c r="K65" s="1010"/>
      <c r="L65" s="1011"/>
    </row>
    <row r="66" spans="1:12" ht="21.75" customHeight="1">
      <c r="A66" s="19">
        <v>2</v>
      </c>
      <c r="B66" s="1034" t="s">
        <v>252</v>
      </c>
      <c r="C66" s="1035"/>
      <c r="D66" s="1035"/>
      <c r="E66" s="1035"/>
      <c r="F66" s="213" t="s">
        <v>253</v>
      </c>
      <c r="G66" s="197"/>
      <c r="H66" s="1036" t="e">
        <f>'04-22Master'!#REF!</f>
        <v>#REF!</v>
      </c>
      <c r="I66" s="1037"/>
      <c r="J66" s="1037"/>
      <c r="K66" s="1037"/>
      <c r="L66" s="1038"/>
    </row>
    <row r="67" spans="1:12" ht="12.75" customHeight="1">
      <c r="A67" s="19"/>
      <c r="B67" s="198" t="s">
        <v>254</v>
      </c>
      <c r="C67" s="199"/>
      <c r="D67" s="199"/>
      <c r="E67" s="199"/>
      <c r="F67" s="199" t="s">
        <v>247</v>
      </c>
      <c r="G67" s="200"/>
      <c r="H67" s="1039"/>
      <c r="I67" s="1040"/>
      <c r="J67" s="1040"/>
      <c r="K67" s="1040"/>
      <c r="L67" s="1041"/>
    </row>
    <row r="68" spans="1:12" ht="27.95" customHeight="1">
      <c r="A68" s="19">
        <v>3</v>
      </c>
      <c r="B68" s="214" t="s">
        <v>255</v>
      </c>
      <c r="C68" s="204"/>
      <c r="D68" s="204"/>
      <c r="E68" s="204"/>
      <c r="F68" s="204"/>
      <c r="G68" s="205"/>
      <c r="H68" s="1014" t="e">
        <f>'04-22Master'!#REF!</f>
        <v>#REF!</v>
      </c>
      <c r="I68" s="1015"/>
      <c r="J68" s="1015"/>
      <c r="K68" s="1015"/>
      <c r="L68" s="1022"/>
    </row>
    <row r="69" spans="1:12" ht="27.95" customHeight="1">
      <c r="A69" s="19">
        <v>4</v>
      </c>
      <c r="B69" s="190" t="s">
        <v>256</v>
      </c>
      <c r="C69" s="69"/>
      <c r="D69" s="69"/>
      <c r="E69" s="69"/>
      <c r="F69" s="69"/>
      <c r="G69" s="70"/>
      <c r="H69" s="980" t="e">
        <f>'04-22Master'!#REF!</f>
        <v>#REF!</v>
      </c>
      <c r="I69" s="1002"/>
      <c r="J69" s="1002"/>
      <c r="K69" s="1002"/>
      <c r="L69" s="981"/>
    </row>
    <row r="70" spans="1:12" ht="27.95" customHeight="1">
      <c r="A70" s="19">
        <v>5</v>
      </c>
      <c r="B70" s="1017" t="s">
        <v>304</v>
      </c>
      <c r="C70" s="1018"/>
      <c r="D70" s="1018"/>
      <c r="E70" s="1018"/>
      <c r="F70" s="1018"/>
      <c r="G70" s="70"/>
      <c r="H70" s="1009" t="s">
        <v>382</v>
      </c>
      <c r="I70" s="1010"/>
      <c r="J70" s="1010"/>
      <c r="K70" s="1010"/>
      <c r="L70" s="1011"/>
    </row>
    <row r="71" spans="1:12" ht="21.75" customHeight="1">
      <c r="A71" s="19">
        <v>6</v>
      </c>
      <c r="B71" s="203" t="s">
        <v>257</v>
      </c>
      <c r="C71" s="204" t="s">
        <v>258</v>
      </c>
      <c r="D71" s="204"/>
      <c r="E71" s="204"/>
      <c r="F71" s="204"/>
      <c r="G71" s="205"/>
      <c r="H71" s="214"/>
      <c r="I71" s="204"/>
      <c r="J71" s="204"/>
      <c r="K71" s="204"/>
      <c r="L71" s="242"/>
    </row>
    <row r="72" spans="1:12" ht="22.5" customHeight="1">
      <c r="A72" s="19"/>
      <c r="B72" s="203" t="s">
        <v>259</v>
      </c>
      <c r="C72" s="204" t="s">
        <v>260</v>
      </c>
      <c r="D72" s="204"/>
      <c r="E72" s="204"/>
      <c r="F72" s="204"/>
      <c r="G72" s="205"/>
      <c r="H72" s="214"/>
      <c r="I72" s="196"/>
      <c r="J72" s="196"/>
      <c r="K72" s="204"/>
      <c r="L72" s="242"/>
    </row>
    <row r="73" spans="1:12">
      <c r="A73" s="19">
        <v>7</v>
      </c>
      <c r="B73" s="1014" t="s">
        <v>261</v>
      </c>
      <c r="C73" s="1015"/>
      <c r="D73" s="1015"/>
      <c r="E73" s="1015"/>
      <c r="F73" s="1015"/>
      <c r="G73" s="1022"/>
      <c r="H73" s="218" t="s">
        <v>262</v>
      </c>
      <c r="I73" s="219"/>
      <c r="J73" s="220"/>
      <c r="K73" s="218" t="s">
        <v>263</v>
      </c>
      <c r="L73" s="243"/>
    </row>
    <row r="74" spans="1:12">
      <c r="A74" s="19">
        <v>8</v>
      </c>
      <c r="B74" s="1014" t="s">
        <v>305</v>
      </c>
      <c r="C74" s="1015"/>
      <c r="D74" s="1015"/>
      <c r="E74" s="1015"/>
      <c r="F74" s="1015"/>
      <c r="G74" s="1022"/>
      <c r="H74" s="218" t="s">
        <v>262</v>
      </c>
      <c r="I74" s="219"/>
      <c r="J74" s="220"/>
      <c r="K74" s="218" t="s">
        <v>263</v>
      </c>
      <c r="L74" s="243"/>
    </row>
    <row r="75" spans="1:12">
      <c r="A75" s="19"/>
      <c r="B75" s="190"/>
      <c r="C75" s="222"/>
      <c r="D75" s="222"/>
      <c r="E75" s="222"/>
      <c r="F75" s="222" t="s">
        <v>264</v>
      </c>
      <c r="G75" s="222"/>
      <c r="H75" s="222"/>
      <c r="I75" s="222"/>
      <c r="J75" s="222"/>
      <c r="K75" s="222"/>
      <c r="L75" s="244"/>
    </row>
    <row r="76" spans="1:12">
      <c r="A76" s="19">
        <v>9</v>
      </c>
      <c r="B76" s="203" t="s">
        <v>265</v>
      </c>
      <c r="C76" s="204" t="s">
        <v>266</v>
      </c>
      <c r="D76" s="204"/>
      <c r="E76" s="204"/>
      <c r="F76" s="204"/>
      <c r="G76" s="205"/>
      <c r="H76" s="214"/>
      <c r="I76" s="204"/>
      <c r="J76" s="204"/>
      <c r="K76" s="204"/>
      <c r="L76" s="242"/>
    </row>
    <row r="77" spans="1:12">
      <c r="A77" s="92"/>
      <c r="B77" s="203" t="s">
        <v>267</v>
      </c>
      <c r="C77" s="204" t="s">
        <v>268</v>
      </c>
      <c r="D77" s="204"/>
      <c r="E77" s="204"/>
      <c r="F77" s="204"/>
      <c r="G77" s="205"/>
      <c r="H77" s="214"/>
      <c r="I77" s="204"/>
      <c r="J77" s="204"/>
      <c r="K77" s="204"/>
      <c r="L77" s="242"/>
    </row>
    <row r="78" spans="1:12">
      <c r="A78" s="92"/>
      <c r="B78" s="203" t="s">
        <v>306</v>
      </c>
      <c r="C78" s="204" t="s">
        <v>307</v>
      </c>
      <c r="D78" s="204"/>
      <c r="E78" s="204"/>
      <c r="F78" s="204"/>
      <c r="G78" s="205"/>
      <c r="H78" s="214"/>
      <c r="I78" s="204"/>
      <c r="J78" s="204"/>
      <c r="K78" s="204"/>
      <c r="L78" s="242"/>
    </row>
    <row r="79" spans="1:12">
      <c r="A79" s="92"/>
      <c r="B79" s="203" t="s">
        <v>270</v>
      </c>
      <c r="C79" s="204" t="s">
        <v>271</v>
      </c>
      <c r="D79" s="204"/>
      <c r="E79" s="204"/>
      <c r="F79" s="204"/>
      <c r="G79" s="205"/>
      <c r="H79" s="214"/>
      <c r="I79" s="204"/>
      <c r="J79" s="204"/>
      <c r="K79" s="204"/>
      <c r="L79" s="242"/>
    </row>
    <row r="80" spans="1:12">
      <c r="A80" s="92"/>
      <c r="B80" s="203" t="s">
        <v>272</v>
      </c>
      <c r="C80" s="204" t="s">
        <v>273</v>
      </c>
      <c r="D80" s="204"/>
      <c r="E80" s="204"/>
      <c r="F80" s="204"/>
      <c r="G80" s="205"/>
      <c r="H80" s="214"/>
      <c r="I80" s="204"/>
      <c r="J80" s="204"/>
      <c r="K80" s="204"/>
      <c r="L80" s="242"/>
    </row>
    <row r="81" spans="1:12">
      <c r="A81" s="92">
        <v>10</v>
      </c>
      <c r="B81" s="203" t="s">
        <v>265</v>
      </c>
      <c r="C81" s="204" t="s">
        <v>308</v>
      </c>
      <c r="D81" s="204"/>
      <c r="E81" s="204"/>
      <c r="F81" s="204"/>
      <c r="G81" s="205"/>
      <c r="H81" s="218" t="s">
        <v>262</v>
      </c>
      <c r="I81" s="219"/>
      <c r="J81" s="220"/>
      <c r="K81" s="218" t="s">
        <v>263</v>
      </c>
      <c r="L81" s="243"/>
    </row>
    <row r="82" spans="1:12">
      <c r="A82" s="92"/>
      <c r="B82" s="203" t="s">
        <v>267</v>
      </c>
      <c r="C82" s="204" t="s">
        <v>309</v>
      </c>
      <c r="D82" s="204"/>
      <c r="E82" s="204"/>
      <c r="F82" s="204"/>
      <c r="G82" s="205"/>
      <c r="H82" s="214"/>
      <c r="I82" s="204"/>
      <c r="J82" s="204"/>
      <c r="K82" s="204"/>
      <c r="L82" s="242"/>
    </row>
    <row r="83" spans="1:12">
      <c r="A83" s="92"/>
      <c r="B83" s="203" t="s">
        <v>306</v>
      </c>
      <c r="C83" s="204" t="s">
        <v>274</v>
      </c>
      <c r="D83" s="204"/>
      <c r="E83" s="204"/>
      <c r="F83" s="204"/>
      <c r="G83" s="205"/>
      <c r="H83" s="214"/>
      <c r="I83" s="204"/>
      <c r="J83" s="204"/>
      <c r="K83" s="204"/>
      <c r="L83" s="242"/>
    </row>
    <row r="84" spans="1:12">
      <c r="A84" s="92"/>
      <c r="B84" s="203" t="s">
        <v>270</v>
      </c>
      <c r="C84" s="204" t="s">
        <v>310</v>
      </c>
      <c r="D84" s="204"/>
      <c r="E84" s="204"/>
      <c r="F84" s="204"/>
      <c r="G84" s="205"/>
      <c r="H84" s="214"/>
      <c r="I84" s="204"/>
      <c r="J84" s="204"/>
      <c r="K84" s="204"/>
      <c r="L84" s="242"/>
    </row>
    <row r="85" spans="1:12">
      <c r="A85" s="19"/>
      <c r="B85" s="190"/>
      <c r="C85" s="222"/>
      <c r="D85" s="222"/>
      <c r="E85" s="222" t="s">
        <v>311</v>
      </c>
      <c r="F85" s="222"/>
      <c r="G85" s="222"/>
      <c r="H85" s="222"/>
      <c r="I85" s="222"/>
      <c r="J85" s="222"/>
      <c r="K85" s="222"/>
      <c r="L85" s="244"/>
    </row>
    <row r="86" spans="1:12">
      <c r="A86" s="19">
        <v>11</v>
      </c>
      <c r="B86" s="203" t="s">
        <v>265</v>
      </c>
      <c r="C86" s="204" t="s">
        <v>275</v>
      </c>
      <c r="D86" s="204"/>
      <c r="E86" s="204"/>
      <c r="F86" s="204"/>
      <c r="G86" s="205"/>
      <c r="H86" s="214"/>
      <c r="I86" s="204"/>
      <c r="J86" s="204"/>
      <c r="K86" s="204"/>
      <c r="L86" s="242"/>
    </row>
    <row r="87" spans="1:12">
      <c r="A87" s="19"/>
      <c r="B87" s="203" t="s">
        <v>267</v>
      </c>
      <c r="C87" s="204" t="s">
        <v>276</v>
      </c>
      <c r="D87" s="204"/>
      <c r="E87" s="204"/>
      <c r="F87" s="204"/>
      <c r="G87" s="205"/>
      <c r="H87" s="214"/>
      <c r="I87" s="204"/>
      <c r="J87" s="204"/>
      <c r="K87" s="204"/>
      <c r="L87" s="242"/>
    </row>
    <row r="88" spans="1:12">
      <c r="A88" s="19"/>
      <c r="B88" s="203" t="s">
        <v>269</v>
      </c>
      <c r="C88" s="204" t="s">
        <v>277</v>
      </c>
      <c r="D88" s="204"/>
      <c r="E88" s="204"/>
      <c r="F88" s="204"/>
      <c r="G88" s="205"/>
      <c r="H88" s="214"/>
      <c r="I88" s="204"/>
      <c r="J88" s="204"/>
      <c r="K88" s="204"/>
      <c r="L88" s="242"/>
    </row>
    <row r="89" spans="1:12">
      <c r="A89" s="19"/>
      <c r="B89" s="178"/>
      <c r="C89" s="174"/>
      <c r="D89" s="174"/>
      <c r="E89" s="174"/>
      <c r="F89" s="223" t="s">
        <v>278</v>
      </c>
      <c r="G89" s="174"/>
      <c r="H89" s="163"/>
      <c r="I89" s="163"/>
      <c r="J89" s="163"/>
      <c r="K89" s="163"/>
      <c r="L89" s="181"/>
    </row>
    <row r="90" spans="1:12">
      <c r="A90" s="19"/>
      <c r="B90" s="235" t="s">
        <v>279</v>
      </c>
      <c r="C90" s="234" t="s">
        <v>280</v>
      </c>
      <c r="D90" s="174"/>
      <c r="E90" s="174"/>
      <c r="F90" s="174"/>
      <c r="G90" s="174"/>
      <c r="H90" s="163"/>
      <c r="I90" s="163"/>
      <c r="J90" s="164"/>
      <c r="K90" s="163"/>
      <c r="L90" s="181"/>
    </row>
    <row r="91" spans="1:12">
      <c r="A91" s="19"/>
      <c r="B91" s="235" t="s">
        <v>281</v>
      </c>
      <c r="C91" s="233" t="s">
        <v>282</v>
      </c>
      <c r="D91" s="163"/>
      <c r="E91" s="164"/>
      <c r="G91" s="1023"/>
      <c r="H91" s="1023"/>
      <c r="I91" s="179"/>
      <c r="J91" s="180"/>
      <c r="K91" s="1023"/>
      <c r="L91" s="1024"/>
    </row>
    <row r="92" spans="1:12">
      <c r="A92" s="19"/>
      <c r="B92" s="236" t="s">
        <v>283</v>
      </c>
      <c r="C92" s="1025" t="s">
        <v>312</v>
      </c>
      <c r="D92" s="1025"/>
      <c r="E92" s="1025"/>
      <c r="F92" s="1025"/>
      <c r="G92" s="1025"/>
      <c r="H92" s="1025"/>
      <c r="I92" s="1025"/>
      <c r="J92" s="1025"/>
      <c r="K92" s="1025"/>
      <c r="L92" s="1026"/>
    </row>
    <row r="93" spans="1:12">
      <c r="A93" s="19"/>
      <c r="B93" s="235" t="s">
        <v>284</v>
      </c>
      <c r="C93" s="234" t="s">
        <v>285</v>
      </c>
      <c r="D93" s="226"/>
      <c r="E93" s="226"/>
      <c r="F93" s="226"/>
      <c r="G93" s="226"/>
      <c r="H93" s="226"/>
      <c r="I93" s="226"/>
      <c r="J93" s="226"/>
      <c r="K93" s="226"/>
      <c r="L93" s="245"/>
    </row>
    <row r="94" spans="1:12" ht="15" customHeight="1">
      <c r="A94" s="19"/>
      <c r="B94" s="178"/>
      <c r="C94" t="s">
        <v>313</v>
      </c>
      <c r="D94" s="286" t="e">
        <f>'04-22Master'!#REF!</f>
        <v>#REF!</v>
      </c>
      <c r="E94" s="3"/>
      <c r="F94" s="3"/>
      <c r="G94" s="3"/>
      <c r="L94" s="20"/>
    </row>
    <row r="95" spans="1:12">
      <c r="A95" s="19"/>
      <c r="C95" t="s">
        <v>286</v>
      </c>
      <c r="D95" t="s">
        <v>375</v>
      </c>
      <c r="J95" t="s">
        <v>314</v>
      </c>
      <c r="L95" s="20"/>
    </row>
    <row r="96" spans="1:12">
      <c r="A96" s="19"/>
      <c r="L96" s="20"/>
    </row>
    <row r="97" spans="1:12">
      <c r="A97" s="19"/>
      <c r="F97" s="224" t="s">
        <v>287</v>
      </c>
      <c r="L97" s="20"/>
    </row>
    <row r="98" spans="1:12">
      <c r="A98" s="19" t="s">
        <v>315</v>
      </c>
      <c r="B98" t="s">
        <v>288</v>
      </c>
      <c r="E98" s="227" t="e">
        <f>'04-22Master'!#REF!</f>
        <v>#REF!</v>
      </c>
      <c r="H98" s="1027" t="s">
        <v>289</v>
      </c>
      <c r="I98" s="1027"/>
      <c r="J98" s="228" t="e">
        <f>'04-22Master'!#REF!</f>
        <v>#REF!</v>
      </c>
      <c r="K98" t="s">
        <v>290</v>
      </c>
      <c r="L98" s="20"/>
    </row>
    <row r="99" spans="1:12">
      <c r="A99" s="19"/>
      <c r="B99" s="1028" t="e">
        <f>'04-22Master'!#REF!</f>
        <v>#REF!</v>
      </c>
      <c r="C99" s="1029"/>
      <c r="D99" s="225"/>
      <c r="E99" s="225"/>
      <c r="F99" s="225"/>
      <c r="G99" s="225"/>
      <c r="H99" s="225"/>
      <c r="I99" s="225"/>
      <c r="J99" s="225"/>
      <c r="K99" s="225"/>
      <c r="L99" s="246"/>
    </row>
    <row r="100" spans="1:12">
      <c r="A100" s="19" t="s">
        <v>317</v>
      </c>
      <c r="B100" s="225" t="s">
        <v>291</v>
      </c>
      <c r="C100" s="225"/>
      <c r="D100" s="225"/>
      <c r="E100" s="225"/>
      <c r="F100" s="225"/>
      <c r="G100" s="225"/>
      <c r="H100" s="225"/>
      <c r="I100" s="225"/>
      <c r="J100" s="225"/>
      <c r="K100" s="225"/>
      <c r="L100" s="246"/>
    </row>
    <row r="101" spans="1:12">
      <c r="A101" s="19"/>
      <c r="B101" s="225" t="s">
        <v>316</v>
      </c>
      <c r="C101" s="225"/>
      <c r="D101" s="225"/>
      <c r="E101" s="225"/>
      <c r="F101" s="225"/>
      <c r="G101" s="225"/>
      <c r="H101" s="225"/>
      <c r="I101" s="225"/>
      <c r="J101" s="225"/>
      <c r="K101" s="225"/>
      <c r="L101" s="246"/>
    </row>
    <row r="102" spans="1:12">
      <c r="A102" s="19"/>
      <c r="B102" t="s">
        <v>292</v>
      </c>
      <c r="L102" s="20"/>
    </row>
    <row r="103" spans="1:12" ht="18.75">
      <c r="A103" s="19"/>
      <c r="B103" s="3" t="s">
        <v>293</v>
      </c>
      <c r="F103" s="177"/>
      <c r="L103" s="20"/>
    </row>
    <row r="104" spans="1:12">
      <c r="A104" s="19"/>
      <c r="B104" s="3" t="s">
        <v>294</v>
      </c>
      <c r="L104" s="20"/>
    </row>
    <row r="105" spans="1:12">
      <c r="A105" s="19"/>
      <c r="B105" t="s">
        <v>295</v>
      </c>
      <c r="L105" s="20"/>
    </row>
    <row r="106" spans="1:12">
      <c r="A106" s="19"/>
      <c r="B106" t="s">
        <v>296</v>
      </c>
      <c r="L106" s="20"/>
    </row>
    <row r="107" spans="1:12">
      <c r="A107" s="19" t="s">
        <v>306</v>
      </c>
      <c r="B107" t="s">
        <v>297</v>
      </c>
      <c r="L107" s="20"/>
    </row>
    <row r="108" spans="1:12">
      <c r="A108" s="19"/>
      <c r="B108" s="237" t="s">
        <v>318</v>
      </c>
      <c r="L108" s="20"/>
    </row>
    <row r="109" spans="1:12" ht="27.95" customHeight="1">
      <c r="A109" s="19"/>
      <c r="B109" t="s">
        <v>292</v>
      </c>
      <c r="L109" s="20"/>
    </row>
    <row r="110" spans="1:12" ht="27.95" customHeight="1">
      <c r="A110" s="19"/>
      <c r="B110" t="s">
        <v>298</v>
      </c>
      <c r="L110" s="20"/>
    </row>
    <row r="111" spans="1:12" ht="27.95" customHeight="1">
      <c r="A111" s="19"/>
      <c r="B111" t="s">
        <v>299</v>
      </c>
      <c r="L111" s="20"/>
    </row>
    <row r="112" spans="1:12" ht="27.95" customHeight="1">
      <c r="A112" s="19"/>
      <c r="B112" s="1030" t="s">
        <v>300</v>
      </c>
      <c r="C112" s="1030"/>
      <c r="D112" s="1030"/>
      <c r="E112" s="1030"/>
      <c r="F112" s="1030"/>
      <c r="G112" s="1030"/>
      <c r="H112" s="1030"/>
      <c r="I112" s="1030"/>
      <c r="J112" s="1030"/>
      <c r="K112" s="1030"/>
      <c r="L112" s="1031"/>
    </row>
    <row r="113" spans="1:12" ht="27.95" customHeight="1">
      <c r="A113" s="19"/>
      <c r="B113" t="s">
        <v>212</v>
      </c>
      <c r="C113" s="286" t="e">
        <f>D94</f>
        <v>#REF!</v>
      </c>
      <c r="D113" s="207"/>
      <c r="E113" s="207"/>
      <c r="F113" s="207"/>
      <c r="G113" s="207"/>
      <c r="H113" s="207"/>
      <c r="I113" t="s">
        <v>319</v>
      </c>
      <c r="J113" s="207"/>
      <c r="K113" s="207"/>
      <c r="L113" s="238"/>
    </row>
    <row r="114" spans="1:12" ht="27.95" customHeight="1" thickBot="1">
      <c r="A114" s="31"/>
      <c r="B114" s="860"/>
      <c r="C114" s="860"/>
      <c r="D114" s="860"/>
      <c r="E114" s="860"/>
      <c r="F114" s="860"/>
      <c r="G114" s="860"/>
      <c r="H114" s="860"/>
      <c r="I114" s="860"/>
      <c r="J114" s="860"/>
      <c r="K114" s="860"/>
      <c r="L114" s="861"/>
    </row>
    <row r="115" spans="1:12" ht="27.95" customHeight="1" thickBot="1">
      <c r="A115" s="15"/>
      <c r="B115" s="997"/>
      <c r="C115" s="997"/>
      <c r="D115" s="997"/>
      <c r="E115" s="997"/>
      <c r="F115" s="997"/>
      <c r="G115" s="997"/>
      <c r="H115" s="994"/>
      <c r="I115" s="994"/>
      <c r="J115" s="994"/>
      <c r="K115" s="994"/>
      <c r="L115" s="994"/>
    </row>
    <row r="116" spans="1:12" ht="27.95" customHeight="1">
      <c r="A116" s="81"/>
      <c r="B116" s="82"/>
      <c r="C116" s="82"/>
      <c r="D116" s="82"/>
      <c r="E116" s="82"/>
      <c r="F116" s="82"/>
      <c r="G116" s="82"/>
      <c r="H116" s="82"/>
      <c r="I116" s="86" t="s">
        <v>246</v>
      </c>
      <c r="J116" s="82"/>
      <c r="K116" s="82"/>
      <c r="L116" s="83"/>
    </row>
    <row r="117" spans="1:12" ht="27.95" customHeight="1">
      <c r="A117" s="19"/>
      <c r="B117" s="1032" t="s">
        <v>301</v>
      </c>
      <c r="C117" s="1032"/>
      <c r="D117" s="1032"/>
      <c r="E117" s="1032"/>
      <c r="F117" s="1032"/>
      <c r="G117" s="1032"/>
      <c r="H117" s="1032"/>
      <c r="I117" s="1032"/>
      <c r="J117" s="1032"/>
      <c r="K117" s="1032"/>
      <c r="L117" s="1033"/>
    </row>
    <row r="118" spans="1:12" ht="27.95" customHeight="1">
      <c r="A118" s="19"/>
      <c r="B118" s="207"/>
      <c r="C118" s="207"/>
      <c r="D118" s="215" t="s">
        <v>248</v>
      </c>
      <c r="E118" s="207"/>
      <c r="F118" s="207"/>
      <c r="G118" s="207"/>
      <c r="H118" s="207"/>
      <c r="I118" s="209" t="s">
        <v>302</v>
      </c>
      <c r="J118" s="210"/>
      <c r="K118" s="290" t="e">
        <f>'04-22Master'!#REF!</f>
        <v>#REF!</v>
      </c>
      <c r="L118" s="240"/>
    </row>
    <row r="119" spans="1:12" ht="27.95" customHeight="1">
      <c r="A119" s="19"/>
      <c r="B119" s="2"/>
      <c r="C119" s="2" t="s">
        <v>249</v>
      </c>
      <c r="E119" s="2"/>
      <c r="F119" s="2"/>
      <c r="G119" s="2"/>
      <c r="H119" s="2"/>
      <c r="I119" s="208" t="s">
        <v>303</v>
      </c>
      <c r="J119" s="229" t="str">
        <f>'04-22Master'!F5</f>
        <v>Burgeon IT Services Pvt.Ltd.</v>
      </c>
      <c r="K119" s="211"/>
      <c r="L119" s="241"/>
    </row>
    <row r="120" spans="1:12" ht="27.95" customHeight="1">
      <c r="A120" s="19"/>
      <c r="B120" s="216"/>
      <c r="C120" s="185" t="s">
        <v>250</v>
      </c>
      <c r="E120" s="216"/>
      <c r="F120" s="216"/>
      <c r="H120" s="186"/>
      <c r="I120" s="232" t="str">
        <f>'04-22Master'!F6</f>
        <v>Siri Mansion LIGB 436 Dr.A S Rao Nagar,Hyderabad</v>
      </c>
      <c r="J120" s="230"/>
      <c r="K120" s="231"/>
      <c r="L120" s="195"/>
    </row>
    <row r="121" spans="1:12" ht="27.95" customHeight="1">
      <c r="A121" s="19"/>
      <c r="L121" s="20"/>
    </row>
    <row r="122" spans="1:12" ht="27.95" customHeight="1">
      <c r="A122" s="19">
        <v>1</v>
      </c>
      <c r="B122" s="212" t="s">
        <v>251</v>
      </c>
      <c r="C122" s="69"/>
      <c r="D122" s="69"/>
      <c r="E122" s="69"/>
      <c r="F122" s="69"/>
      <c r="G122" s="70"/>
      <c r="H122" s="988" t="e">
        <f>'04-22Master'!#REF!</f>
        <v>#REF!</v>
      </c>
      <c r="I122" s="1010"/>
      <c r="J122" s="1010"/>
      <c r="K122" s="1010"/>
      <c r="L122" s="1011"/>
    </row>
    <row r="123" spans="1:12" ht="22.5" customHeight="1">
      <c r="A123" s="19">
        <v>2</v>
      </c>
      <c r="B123" s="1034" t="s">
        <v>252</v>
      </c>
      <c r="C123" s="1035"/>
      <c r="D123" s="1035"/>
      <c r="E123" s="1035"/>
      <c r="F123" s="213" t="s">
        <v>253</v>
      </c>
      <c r="G123" s="197"/>
      <c r="H123" s="1036" t="e">
        <f>'04-22Master'!#REF!</f>
        <v>#REF!</v>
      </c>
      <c r="I123" s="1037"/>
      <c r="J123" s="1037"/>
      <c r="K123" s="1037"/>
      <c r="L123" s="1038"/>
    </row>
    <row r="124" spans="1:12" ht="9.75" customHeight="1">
      <c r="A124" s="19"/>
      <c r="B124" s="198" t="s">
        <v>254</v>
      </c>
      <c r="C124" s="199"/>
      <c r="D124" s="199"/>
      <c r="E124" s="199"/>
      <c r="F124" s="199" t="s">
        <v>247</v>
      </c>
      <c r="G124" s="200"/>
      <c r="H124" s="1039"/>
      <c r="I124" s="1040"/>
      <c r="J124" s="1040"/>
      <c r="K124" s="1040"/>
      <c r="L124" s="1041"/>
    </row>
    <row r="125" spans="1:12" ht="22.5" customHeight="1">
      <c r="A125" s="19">
        <v>3</v>
      </c>
      <c r="B125" s="214" t="s">
        <v>255</v>
      </c>
      <c r="C125" s="204"/>
      <c r="D125" s="204"/>
      <c r="E125" s="204"/>
      <c r="F125" s="204"/>
      <c r="G125" s="205"/>
      <c r="H125" s="1014" t="e">
        <f>'04-22Master'!#REF!</f>
        <v>#REF!</v>
      </c>
      <c r="I125" s="1015"/>
      <c r="J125" s="1015"/>
      <c r="K125" s="1015"/>
      <c r="L125" s="1016"/>
    </row>
    <row r="126" spans="1:12" ht="20.25" customHeight="1">
      <c r="A126" s="19">
        <v>4</v>
      </c>
      <c r="B126" s="190" t="s">
        <v>256</v>
      </c>
      <c r="C126" s="69"/>
      <c r="D126" s="69"/>
      <c r="E126" s="69"/>
      <c r="F126" s="69"/>
      <c r="G126" s="70"/>
      <c r="H126" s="980" t="e">
        <f>'04-22Master'!#REF!</f>
        <v>#REF!</v>
      </c>
      <c r="I126" s="1002"/>
      <c r="J126" s="1002"/>
      <c r="K126" s="1002"/>
      <c r="L126" s="996"/>
    </row>
    <row r="127" spans="1:12">
      <c r="A127" s="19">
        <v>5</v>
      </c>
      <c r="B127" s="1017" t="s">
        <v>304</v>
      </c>
      <c r="C127" s="1018"/>
      <c r="D127" s="1018"/>
      <c r="E127" s="1018"/>
      <c r="F127" s="1018"/>
      <c r="G127" s="70"/>
      <c r="H127" s="1009" t="s">
        <v>383</v>
      </c>
      <c r="I127" s="1010"/>
      <c r="J127" s="1010"/>
      <c r="K127" s="1010"/>
      <c r="L127" s="1011"/>
    </row>
    <row r="128" spans="1:12">
      <c r="A128" s="19">
        <v>6</v>
      </c>
      <c r="B128" s="203" t="s">
        <v>257</v>
      </c>
      <c r="C128" s="204" t="s">
        <v>258</v>
      </c>
      <c r="D128" s="204"/>
      <c r="E128" s="204"/>
      <c r="F128" s="204"/>
      <c r="G128" s="205"/>
      <c r="H128" s="214"/>
      <c r="I128" s="204"/>
      <c r="J128" s="204"/>
      <c r="K128" s="204"/>
      <c r="L128" s="242"/>
    </row>
    <row r="129" spans="1:12">
      <c r="A129" s="19"/>
      <c r="B129" s="203" t="s">
        <v>259</v>
      </c>
      <c r="C129" s="204" t="s">
        <v>260</v>
      </c>
      <c r="D129" s="204"/>
      <c r="E129" s="204"/>
      <c r="F129" s="204"/>
      <c r="G129" s="205"/>
      <c r="H129" s="214"/>
      <c r="I129" s="196"/>
      <c r="J129" s="196"/>
      <c r="K129" s="204"/>
      <c r="L129" s="242"/>
    </row>
    <row r="130" spans="1:12">
      <c r="A130" s="19">
        <v>7</v>
      </c>
      <c r="B130" s="1014" t="s">
        <v>261</v>
      </c>
      <c r="C130" s="1015"/>
      <c r="D130" s="1015"/>
      <c r="E130" s="1015"/>
      <c r="F130" s="1015"/>
      <c r="G130" s="1022"/>
      <c r="H130" s="218" t="s">
        <v>262</v>
      </c>
      <c r="I130" s="219"/>
      <c r="J130" s="220"/>
      <c r="K130" s="218" t="s">
        <v>263</v>
      </c>
      <c r="L130" s="243"/>
    </row>
    <row r="131" spans="1:12">
      <c r="A131" s="19">
        <v>8</v>
      </c>
      <c r="B131" s="1014" t="s">
        <v>305</v>
      </c>
      <c r="C131" s="1015"/>
      <c r="D131" s="1015"/>
      <c r="E131" s="1015"/>
      <c r="F131" s="1015"/>
      <c r="G131" s="1022"/>
      <c r="H131" s="218" t="s">
        <v>262</v>
      </c>
      <c r="I131" s="219"/>
      <c r="J131" s="220"/>
      <c r="K131" s="218" t="s">
        <v>263</v>
      </c>
      <c r="L131" s="243"/>
    </row>
    <row r="132" spans="1:12">
      <c r="A132" s="19"/>
      <c r="B132" s="190"/>
      <c r="C132" s="222"/>
      <c r="D132" s="222"/>
      <c r="E132" s="222"/>
      <c r="F132" s="222" t="s">
        <v>264</v>
      </c>
      <c r="G132" s="222"/>
      <c r="H132" s="222"/>
      <c r="I132" s="222"/>
      <c r="J132" s="222"/>
      <c r="K132" s="222"/>
      <c r="L132" s="244"/>
    </row>
    <row r="133" spans="1:12">
      <c r="A133" s="19">
        <v>9</v>
      </c>
      <c r="B133" s="203" t="s">
        <v>265</v>
      </c>
      <c r="C133" s="204" t="s">
        <v>266</v>
      </c>
      <c r="D133" s="204"/>
      <c r="E133" s="204"/>
      <c r="F133" s="204"/>
      <c r="G133" s="205"/>
      <c r="H133" s="214"/>
      <c r="I133" s="204"/>
      <c r="J133" s="204"/>
      <c r="K133" s="204"/>
      <c r="L133" s="242"/>
    </row>
    <row r="134" spans="1:12">
      <c r="A134" s="92"/>
      <c r="B134" s="203" t="s">
        <v>267</v>
      </c>
      <c r="C134" s="204" t="s">
        <v>268</v>
      </c>
      <c r="D134" s="204"/>
      <c r="E134" s="204"/>
      <c r="F134" s="204"/>
      <c r="G134" s="205"/>
      <c r="H134" s="214"/>
      <c r="I134" s="204"/>
      <c r="J134" s="204"/>
      <c r="K134" s="204"/>
      <c r="L134" s="242"/>
    </row>
    <row r="135" spans="1:12">
      <c r="A135" s="92"/>
      <c r="B135" s="203" t="s">
        <v>306</v>
      </c>
      <c r="C135" s="204" t="s">
        <v>307</v>
      </c>
      <c r="D135" s="204"/>
      <c r="E135" s="204"/>
      <c r="F135" s="204"/>
      <c r="G135" s="205"/>
      <c r="H135" s="214"/>
      <c r="I135" s="204"/>
      <c r="J135" s="204"/>
      <c r="K135" s="204"/>
      <c r="L135" s="242"/>
    </row>
    <row r="136" spans="1:12">
      <c r="A136" s="92"/>
      <c r="B136" s="203" t="s">
        <v>270</v>
      </c>
      <c r="C136" s="204" t="s">
        <v>271</v>
      </c>
      <c r="D136" s="204"/>
      <c r="E136" s="204"/>
      <c r="F136" s="204"/>
      <c r="G136" s="205"/>
      <c r="H136" s="214"/>
      <c r="I136" s="204"/>
      <c r="J136" s="204"/>
      <c r="K136" s="204"/>
      <c r="L136" s="242"/>
    </row>
    <row r="137" spans="1:12">
      <c r="A137" s="92"/>
      <c r="B137" s="203" t="s">
        <v>272</v>
      </c>
      <c r="C137" s="204" t="s">
        <v>273</v>
      </c>
      <c r="D137" s="204"/>
      <c r="E137" s="204"/>
      <c r="F137" s="204"/>
      <c r="G137" s="205"/>
      <c r="H137" s="214"/>
      <c r="I137" s="204"/>
      <c r="J137" s="204"/>
      <c r="K137" s="204"/>
      <c r="L137" s="242"/>
    </row>
    <row r="138" spans="1:12">
      <c r="A138" s="92">
        <v>10</v>
      </c>
      <c r="B138" s="203" t="s">
        <v>265</v>
      </c>
      <c r="C138" s="204" t="s">
        <v>308</v>
      </c>
      <c r="D138" s="204"/>
      <c r="E138" s="204"/>
      <c r="F138" s="204"/>
      <c r="G138" s="205"/>
      <c r="H138" s="218" t="s">
        <v>262</v>
      </c>
      <c r="I138" s="219"/>
      <c r="J138" s="220"/>
      <c r="K138" s="218" t="s">
        <v>263</v>
      </c>
      <c r="L138" s="243"/>
    </row>
    <row r="139" spans="1:12">
      <c r="A139" s="92"/>
      <c r="B139" s="203" t="s">
        <v>267</v>
      </c>
      <c r="C139" s="204" t="s">
        <v>309</v>
      </c>
      <c r="D139" s="204"/>
      <c r="E139" s="204"/>
      <c r="F139" s="204"/>
      <c r="G139" s="205"/>
      <c r="H139" s="214"/>
      <c r="I139" s="204"/>
      <c r="J139" s="204"/>
      <c r="K139" s="204"/>
      <c r="L139" s="242"/>
    </row>
    <row r="140" spans="1:12">
      <c r="A140" s="92"/>
      <c r="B140" s="203" t="s">
        <v>306</v>
      </c>
      <c r="C140" s="204" t="s">
        <v>274</v>
      </c>
      <c r="D140" s="204"/>
      <c r="E140" s="204"/>
      <c r="F140" s="204"/>
      <c r="G140" s="205"/>
      <c r="H140" s="214"/>
      <c r="I140" s="204"/>
      <c r="J140" s="204"/>
      <c r="K140" s="204"/>
      <c r="L140" s="242"/>
    </row>
    <row r="141" spans="1:12">
      <c r="A141" s="92"/>
      <c r="B141" s="203" t="s">
        <v>270</v>
      </c>
      <c r="C141" s="204" t="s">
        <v>310</v>
      </c>
      <c r="D141" s="204"/>
      <c r="E141" s="204"/>
      <c r="F141" s="204"/>
      <c r="G141" s="205"/>
      <c r="H141" s="214"/>
      <c r="I141" s="204"/>
      <c r="J141" s="204"/>
      <c r="K141" s="204"/>
      <c r="L141" s="242"/>
    </row>
    <row r="142" spans="1:12">
      <c r="A142" s="19"/>
      <c r="B142" s="190"/>
      <c r="C142" s="222"/>
      <c r="D142" s="222"/>
      <c r="E142" s="222" t="s">
        <v>311</v>
      </c>
      <c r="F142" s="222"/>
      <c r="G142" s="222"/>
      <c r="H142" s="222"/>
      <c r="I142" s="222"/>
      <c r="J142" s="222"/>
      <c r="K142" s="222"/>
      <c r="L142" s="244"/>
    </row>
    <row r="143" spans="1:12">
      <c r="A143" s="19">
        <v>11</v>
      </c>
      <c r="B143" s="203" t="s">
        <v>265</v>
      </c>
      <c r="C143" s="204" t="s">
        <v>275</v>
      </c>
      <c r="D143" s="204"/>
      <c r="E143" s="204"/>
      <c r="F143" s="204"/>
      <c r="G143" s="205"/>
      <c r="H143" s="214"/>
      <c r="I143" s="204"/>
      <c r="J143" s="204"/>
      <c r="K143" s="204"/>
      <c r="L143" s="242"/>
    </row>
    <row r="144" spans="1:12">
      <c r="A144" s="19"/>
      <c r="B144" s="203" t="s">
        <v>267</v>
      </c>
      <c r="C144" s="204" t="s">
        <v>276</v>
      </c>
      <c r="D144" s="204"/>
      <c r="E144" s="204"/>
      <c r="F144" s="204"/>
      <c r="G144" s="205"/>
      <c r="H144" s="214"/>
      <c r="I144" s="204"/>
      <c r="J144" s="204"/>
      <c r="K144" s="204"/>
      <c r="L144" s="242"/>
    </row>
    <row r="145" spans="1:12">
      <c r="A145" s="19"/>
      <c r="B145" s="203" t="s">
        <v>269</v>
      </c>
      <c r="C145" s="204" t="s">
        <v>277</v>
      </c>
      <c r="D145" s="204"/>
      <c r="E145" s="204"/>
      <c r="F145" s="204"/>
      <c r="G145" s="205"/>
      <c r="H145" s="214"/>
      <c r="I145" s="204"/>
      <c r="J145" s="204"/>
      <c r="K145" s="204"/>
      <c r="L145" s="242"/>
    </row>
    <row r="146" spans="1:12">
      <c r="A146" s="19"/>
      <c r="B146" s="178"/>
      <c r="C146" s="174"/>
      <c r="D146" s="174"/>
      <c r="E146" s="174"/>
      <c r="F146" s="223" t="s">
        <v>278</v>
      </c>
      <c r="G146" s="174"/>
      <c r="H146" s="163"/>
      <c r="I146" s="163"/>
      <c r="J146" s="163"/>
      <c r="K146" s="163"/>
      <c r="L146" s="181"/>
    </row>
    <row r="147" spans="1:12">
      <c r="A147" s="19"/>
      <c r="B147" s="235" t="s">
        <v>279</v>
      </c>
      <c r="C147" s="234" t="s">
        <v>280</v>
      </c>
      <c r="D147" s="174"/>
      <c r="E147" s="174"/>
      <c r="F147" s="174"/>
      <c r="G147" s="174"/>
      <c r="H147" s="163"/>
      <c r="I147" s="163"/>
      <c r="J147" s="164"/>
      <c r="K147" s="163"/>
      <c r="L147" s="181"/>
    </row>
    <row r="148" spans="1:12">
      <c r="A148" s="19"/>
      <c r="B148" s="235" t="s">
        <v>281</v>
      </c>
      <c r="C148" s="233" t="s">
        <v>282</v>
      </c>
      <c r="D148" s="163"/>
      <c r="E148" s="164"/>
      <c r="G148" s="1023"/>
      <c r="H148" s="1023"/>
      <c r="I148" s="179"/>
      <c r="J148" s="180"/>
      <c r="K148" s="1023"/>
      <c r="L148" s="1024"/>
    </row>
    <row r="149" spans="1:12">
      <c r="A149" s="19"/>
      <c r="B149" s="236" t="s">
        <v>283</v>
      </c>
      <c r="C149" s="1025" t="s">
        <v>312</v>
      </c>
      <c r="D149" s="1025"/>
      <c r="E149" s="1025"/>
      <c r="F149" s="1025"/>
      <c r="G149" s="1025"/>
      <c r="H149" s="1025"/>
      <c r="I149" s="1025"/>
      <c r="J149" s="1025"/>
      <c r="K149" s="1025"/>
      <c r="L149" s="1026"/>
    </row>
    <row r="150" spans="1:12">
      <c r="A150" s="19"/>
      <c r="B150" s="235" t="s">
        <v>284</v>
      </c>
      <c r="C150" s="234" t="s">
        <v>285</v>
      </c>
      <c r="D150" s="226"/>
      <c r="E150" s="226"/>
      <c r="F150" s="226"/>
      <c r="G150" s="226"/>
      <c r="H150" s="226"/>
      <c r="I150" s="226"/>
      <c r="J150" s="226"/>
      <c r="K150" s="226"/>
      <c r="L150" s="245"/>
    </row>
    <row r="151" spans="1:12">
      <c r="A151" s="19"/>
      <c r="B151" s="178"/>
      <c r="C151" t="s">
        <v>313</v>
      </c>
      <c r="D151" s="291" t="e">
        <f>'04-22Master'!#REF!</f>
        <v>#REF!</v>
      </c>
      <c r="E151" s="3"/>
      <c r="F151" s="3"/>
      <c r="G151" s="3"/>
      <c r="L151" s="20"/>
    </row>
    <row r="152" spans="1:12">
      <c r="A152" s="19"/>
      <c r="C152" t="s">
        <v>286</v>
      </c>
      <c r="D152" t="s">
        <v>375</v>
      </c>
      <c r="J152" t="s">
        <v>314</v>
      </c>
      <c r="L152" s="20"/>
    </row>
    <row r="153" spans="1:12">
      <c r="A153" s="19"/>
      <c r="L153" s="20"/>
    </row>
    <row r="154" spans="1:12">
      <c r="A154" s="19"/>
      <c r="F154" s="224" t="s">
        <v>287</v>
      </c>
      <c r="L154" s="20"/>
    </row>
    <row r="155" spans="1:12">
      <c r="A155" s="19" t="s">
        <v>315</v>
      </c>
      <c r="B155" t="s">
        <v>288</v>
      </c>
      <c r="E155" s="227" t="e">
        <f>'04-22Master'!#REF!</f>
        <v>#REF!</v>
      </c>
      <c r="H155" s="1027" t="s">
        <v>289</v>
      </c>
      <c r="I155" s="1027"/>
      <c r="J155" s="228" t="e">
        <f>'04-22Master'!#REF!</f>
        <v>#REF!</v>
      </c>
      <c r="K155" t="s">
        <v>290</v>
      </c>
      <c r="L155" s="20"/>
    </row>
    <row r="156" spans="1:12">
      <c r="A156" s="19"/>
      <c r="B156" s="1028" t="e">
        <f>'04-22Master'!#REF!</f>
        <v>#REF!</v>
      </c>
      <c r="C156" s="1029"/>
      <c r="D156" s="225"/>
      <c r="E156" s="225"/>
      <c r="F156" s="225"/>
      <c r="G156" s="225"/>
      <c r="H156" s="225"/>
      <c r="I156" s="225"/>
      <c r="J156" s="225"/>
      <c r="K156" s="225"/>
      <c r="L156" s="246"/>
    </row>
    <row r="157" spans="1:12">
      <c r="A157" s="19" t="s">
        <v>317</v>
      </c>
      <c r="B157" s="225" t="s">
        <v>291</v>
      </c>
      <c r="C157" s="225"/>
      <c r="D157" s="225"/>
      <c r="E157" s="225"/>
      <c r="F157" s="225"/>
      <c r="G157" s="225"/>
      <c r="H157" s="225"/>
      <c r="I157" s="225"/>
      <c r="J157" s="225"/>
      <c r="K157" s="225"/>
      <c r="L157" s="246"/>
    </row>
    <row r="158" spans="1:12">
      <c r="A158" s="19"/>
      <c r="B158" s="225" t="s">
        <v>316</v>
      </c>
      <c r="C158" s="225"/>
      <c r="D158" s="225"/>
      <c r="E158" s="225"/>
      <c r="F158" s="225"/>
      <c r="G158" s="225"/>
      <c r="H158" s="225"/>
      <c r="I158" s="225"/>
      <c r="J158" s="225"/>
      <c r="K158" s="225"/>
      <c r="L158" s="246"/>
    </row>
    <row r="159" spans="1:12">
      <c r="A159" s="19"/>
      <c r="B159" t="s">
        <v>292</v>
      </c>
      <c r="L159" s="20"/>
    </row>
    <row r="160" spans="1:12" ht="18.75">
      <c r="A160" s="19"/>
      <c r="B160" s="3" t="s">
        <v>293</v>
      </c>
      <c r="F160" s="177"/>
      <c r="L160" s="20"/>
    </row>
    <row r="161" spans="1:12">
      <c r="A161" s="19"/>
      <c r="B161" s="3" t="s">
        <v>294</v>
      </c>
      <c r="L161" s="20"/>
    </row>
    <row r="162" spans="1:12" ht="27.95" customHeight="1">
      <c r="A162" s="19"/>
      <c r="B162" t="s">
        <v>295</v>
      </c>
      <c r="L162" s="20"/>
    </row>
    <row r="163" spans="1:12" ht="27.95" customHeight="1">
      <c r="A163" s="19"/>
      <c r="B163" t="s">
        <v>296</v>
      </c>
      <c r="L163" s="20"/>
    </row>
    <row r="164" spans="1:12" ht="27.95" customHeight="1">
      <c r="A164" s="19" t="s">
        <v>306</v>
      </c>
      <c r="B164" t="s">
        <v>297</v>
      </c>
      <c r="L164" s="20"/>
    </row>
    <row r="165" spans="1:12" ht="27.95" customHeight="1">
      <c r="A165" s="19"/>
      <c r="B165" s="237" t="s">
        <v>318</v>
      </c>
      <c r="L165" s="20"/>
    </row>
    <row r="166" spans="1:12" ht="27.95" customHeight="1">
      <c r="A166" s="19"/>
      <c r="B166" t="s">
        <v>292</v>
      </c>
      <c r="L166" s="20"/>
    </row>
    <row r="167" spans="1:12" ht="27.95" customHeight="1">
      <c r="A167" s="19"/>
      <c r="B167" t="s">
        <v>298</v>
      </c>
      <c r="L167" s="20"/>
    </row>
    <row r="168" spans="1:12" ht="27.95" customHeight="1">
      <c r="A168" s="19"/>
      <c r="B168" t="s">
        <v>299</v>
      </c>
      <c r="L168" s="20"/>
    </row>
    <row r="169" spans="1:12" ht="27.95" customHeight="1">
      <c r="A169" s="19"/>
      <c r="B169" s="1030" t="s">
        <v>300</v>
      </c>
      <c r="C169" s="1030"/>
      <c r="D169" s="1030"/>
      <c r="E169" s="1030"/>
      <c r="F169" s="1030"/>
      <c r="G169" s="1030"/>
      <c r="H169" s="1030"/>
      <c r="I169" s="1030"/>
      <c r="J169" s="1030"/>
      <c r="K169" s="1030"/>
      <c r="L169" s="1031"/>
    </row>
    <row r="170" spans="1:12" ht="27.95" customHeight="1">
      <c r="A170" s="19"/>
      <c r="B170" t="s">
        <v>212</v>
      </c>
      <c r="C170" s="286" t="e">
        <f>D151</f>
        <v>#REF!</v>
      </c>
      <c r="D170" s="207"/>
      <c r="E170" s="207"/>
      <c r="F170" s="207"/>
      <c r="G170" s="207"/>
      <c r="H170" s="207"/>
      <c r="I170" t="s">
        <v>319</v>
      </c>
      <c r="J170" s="207"/>
      <c r="K170" s="207"/>
      <c r="L170" s="238"/>
    </row>
    <row r="171" spans="1:12" ht="27.95" customHeight="1" thickBot="1">
      <c r="A171" s="31"/>
      <c r="B171" s="860"/>
      <c r="C171" s="860"/>
      <c r="D171" s="860"/>
      <c r="E171" s="860"/>
      <c r="F171" s="860"/>
      <c r="G171" s="860"/>
      <c r="H171" s="860"/>
      <c r="I171" s="860"/>
      <c r="J171" s="860"/>
      <c r="K171" s="860"/>
      <c r="L171" s="861"/>
    </row>
    <row r="172" spans="1:12" ht="27.95" customHeight="1">
      <c r="A172" s="81"/>
      <c r="B172" s="82"/>
      <c r="C172" s="82"/>
      <c r="D172" s="82"/>
      <c r="E172" s="82"/>
      <c r="F172" s="82"/>
      <c r="G172" s="82"/>
      <c r="H172" s="82"/>
      <c r="I172" s="86" t="s">
        <v>246</v>
      </c>
      <c r="J172" s="82"/>
      <c r="K172" s="82"/>
      <c r="L172" s="83"/>
    </row>
    <row r="173" spans="1:12" ht="27.95" customHeight="1">
      <c r="A173" s="19"/>
      <c r="B173" s="1032" t="s">
        <v>301</v>
      </c>
      <c r="C173" s="1032"/>
      <c r="D173" s="1032"/>
      <c r="E173" s="1032"/>
      <c r="F173" s="1032"/>
      <c r="G173" s="1032"/>
      <c r="H173" s="1032"/>
      <c r="I173" s="1032"/>
      <c r="J173" s="1032"/>
      <c r="K173" s="1032"/>
      <c r="L173" s="1033"/>
    </row>
    <row r="174" spans="1:12" ht="27.95" customHeight="1">
      <c r="A174" s="19"/>
      <c r="B174" s="207"/>
      <c r="C174" s="207"/>
      <c r="D174" s="215" t="s">
        <v>248</v>
      </c>
      <c r="E174" s="207"/>
      <c r="F174" s="207"/>
      <c r="G174" s="207"/>
      <c r="H174" s="207"/>
      <c r="I174" s="209" t="s">
        <v>302</v>
      </c>
      <c r="J174" s="210"/>
      <c r="K174" s="290" t="e">
        <f>'04-22Master'!#REF!</f>
        <v>#REF!</v>
      </c>
      <c r="L174" s="240"/>
    </row>
    <row r="175" spans="1:12" ht="27.95" customHeight="1">
      <c r="A175" s="19"/>
      <c r="B175" s="2"/>
      <c r="C175" s="2" t="s">
        <v>249</v>
      </c>
      <c r="E175" s="2"/>
      <c r="F175" s="2"/>
      <c r="G175" s="2"/>
      <c r="H175" s="2"/>
      <c r="I175" s="208" t="s">
        <v>303</v>
      </c>
      <c r="J175" s="292" t="str">
        <f>'04-22Master'!F5</f>
        <v>Burgeon IT Services Pvt.Ltd.</v>
      </c>
      <c r="K175" s="211"/>
      <c r="L175" s="241"/>
    </row>
    <row r="176" spans="1:12" ht="27.95" customHeight="1">
      <c r="A176" s="19"/>
      <c r="B176" s="216"/>
      <c r="C176" s="185" t="s">
        <v>250</v>
      </c>
      <c r="E176" s="216"/>
      <c r="F176" s="216"/>
      <c r="H176" s="186"/>
      <c r="I176" s="232" t="str">
        <f>'04-22Master'!F6</f>
        <v>Siri Mansion LIGB 436 Dr.A S Rao Nagar,Hyderabad</v>
      </c>
      <c r="J176" s="230"/>
      <c r="K176" s="231"/>
      <c r="L176" s="195"/>
    </row>
    <row r="177" spans="1:12" ht="15.75" customHeight="1">
      <c r="A177" s="19"/>
      <c r="L177" s="20"/>
    </row>
    <row r="178" spans="1:12" ht="27" customHeight="1">
      <c r="A178" s="19">
        <v>1</v>
      </c>
      <c r="B178" s="212" t="s">
        <v>251</v>
      </c>
      <c r="C178" s="69"/>
      <c r="D178" s="69"/>
      <c r="E178" s="69"/>
      <c r="F178" s="69"/>
      <c r="G178" s="70"/>
      <c r="H178" s="988" t="e">
        <f>'04-22Master'!#REF!</f>
        <v>#REF!</v>
      </c>
      <c r="I178" s="1010"/>
      <c r="J178" s="1010"/>
      <c r="K178" s="1010"/>
      <c r="L178" s="1011"/>
    </row>
    <row r="179" spans="1:12" ht="17.25" customHeight="1">
      <c r="A179" s="19">
        <v>2</v>
      </c>
      <c r="B179" s="1034" t="s">
        <v>252</v>
      </c>
      <c r="C179" s="1035"/>
      <c r="D179" s="1035"/>
      <c r="E179" s="1035"/>
      <c r="F179" s="213" t="s">
        <v>253</v>
      </c>
      <c r="G179" s="197"/>
      <c r="H179" s="1036" t="e">
        <f>'04-22Master'!#REF!</f>
        <v>#REF!</v>
      </c>
      <c r="I179" s="1037"/>
      <c r="J179" s="1037"/>
      <c r="K179" s="1037"/>
      <c r="L179" s="1038"/>
    </row>
    <row r="180" spans="1:12" ht="11.25" customHeight="1">
      <c r="A180" s="19"/>
      <c r="B180" s="198" t="s">
        <v>254</v>
      </c>
      <c r="C180" s="199"/>
      <c r="D180" s="199"/>
      <c r="E180" s="199"/>
      <c r="F180" s="199" t="s">
        <v>247</v>
      </c>
      <c r="G180" s="200"/>
      <c r="H180" s="1039"/>
      <c r="I180" s="1040"/>
      <c r="J180" s="1040"/>
      <c r="K180" s="1040"/>
      <c r="L180" s="1041"/>
    </row>
    <row r="181" spans="1:12">
      <c r="A181" s="19">
        <v>3</v>
      </c>
      <c r="B181" s="214" t="s">
        <v>255</v>
      </c>
      <c r="C181" s="204"/>
      <c r="D181" s="204"/>
      <c r="E181" s="204"/>
      <c r="F181" s="204"/>
      <c r="G181" s="205"/>
      <c r="H181" s="1014" t="e">
        <f>'04-22Master'!#REF!</f>
        <v>#REF!</v>
      </c>
      <c r="I181" s="1015"/>
      <c r="J181" s="1015"/>
      <c r="K181" s="1015"/>
      <c r="L181" s="1016"/>
    </row>
    <row r="182" spans="1:12">
      <c r="A182" s="19">
        <v>4</v>
      </c>
      <c r="B182" s="190" t="s">
        <v>256</v>
      </c>
      <c r="C182" s="69"/>
      <c r="D182" s="69"/>
      <c r="E182" s="69"/>
      <c r="F182" s="69"/>
      <c r="G182" s="70"/>
      <c r="H182" s="980" t="e">
        <f>'04-22Master'!#REF!</f>
        <v>#REF!</v>
      </c>
      <c r="I182" s="1002"/>
      <c r="J182" s="1002"/>
      <c r="K182" s="1002"/>
      <c r="L182" s="996"/>
    </row>
    <row r="183" spans="1:12">
      <c r="A183" s="19">
        <v>5</v>
      </c>
      <c r="B183" s="1017" t="s">
        <v>304</v>
      </c>
      <c r="C183" s="1018"/>
      <c r="D183" s="1018"/>
      <c r="E183" s="1018"/>
      <c r="F183" s="1018"/>
      <c r="G183" s="70"/>
      <c r="H183" s="1009" t="s">
        <v>383</v>
      </c>
      <c r="I183" s="1010"/>
      <c r="J183" s="1010"/>
      <c r="K183" s="1010"/>
      <c r="L183" s="1011"/>
    </row>
    <row r="184" spans="1:12">
      <c r="A184" s="19">
        <v>6</v>
      </c>
      <c r="B184" s="203" t="s">
        <v>257</v>
      </c>
      <c r="C184" s="204" t="s">
        <v>258</v>
      </c>
      <c r="D184" s="204"/>
      <c r="E184" s="204"/>
      <c r="F184" s="204"/>
      <c r="G184" s="205"/>
      <c r="H184" s="214"/>
      <c r="I184" s="204"/>
      <c r="J184" s="204"/>
      <c r="K184" s="204"/>
      <c r="L184" s="242"/>
    </row>
    <row r="185" spans="1:12">
      <c r="A185" s="19"/>
      <c r="B185" s="203" t="s">
        <v>259</v>
      </c>
      <c r="C185" s="204" t="s">
        <v>260</v>
      </c>
      <c r="D185" s="204"/>
      <c r="E185" s="204"/>
      <c r="F185" s="204"/>
      <c r="G185" s="205"/>
      <c r="H185" s="214"/>
      <c r="I185" s="196"/>
      <c r="J185" s="196"/>
      <c r="K185" s="204"/>
      <c r="L185" s="242"/>
    </row>
    <row r="186" spans="1:12">
      <c r="A186" s="19">
        <v>7</v>
      </c>
      <c r="B186" s="1014" t="s">
        <v>261</v>
      </c>
      <c r="C186" s="1015"/>
      <c r="D186" s="1015"/>
      <c r="E186" s="1015"/>
      <c r="F186" s="1015"/>
      <c r="G186" s="1022"/>
      <c r="H186" s="218" t="s">
        <v>262</v>
      </c>
      <c r="I186" s="219"/>
      <c r="J186" s="220"/>
      <c r="K186" s="218" t="s">
        <v>263</v>
      </c>
      <c r="L186" s="243"/>
    </row>
    <row r="187" spans="1:12">
      <c r="A187" s="19">
        <v>8</v>
      </c>
      <c r="B187" s="1014" t="s">
        <v>305</v>
      </c>
      <c r="C187" s="1015"/>
      <c r="D187" s="1015"/>
      <c r="E187" s="1015"/>
      <c r="F187" s="1015"/>
      <c r="G187" s="1022"/>
      <c r="H187" s="218" t="s">
        <v>262</v>
      </c>
      <c r="I187" s="219"/>
      <c r="J187" s="220"/>
      <c r="K187" s="218" t="s">
        <v>263</v>
      </c>
      <c r="L187" s="243"/>
    </row>
    <row r="188" spans="1:12">
      <c r="A188" s="19"/>
      <c r="B188" s="190"/>
      <c r="C188" s="222"/>
      <c r="D188" s="222"/>
      <c r="E188" s="222"/>
      <c r="F188" s="222" t="s">
        <v>264</v>
      </c>
      <c r="G188" s="222"/>
      <c r="H188" s="222"/>
      <c r="I188" s="222"/>
      <c r="J188" s="222"/>
      <c r="K188" s="222"/>
      <c r="L188" s="244"/>
    </row>
    <row r="189" spans="1:12">
      <c r="A189" s="19">
        <v>9</v>
      </c>
      <c r="B189" s="203" t="s">
        <v>265</v>
      </c>
      <c r="C189" s="204" t="s">
        <v>266</v>
      </c>
      <c r="D189" s="204"/>
      <c r="E189" s="204"/>
      <c r="F189" s="204"/>
      <c r="G189" s="205"/>
      <c r="H189" s="214"/>
      <c r="I189" s="204"/>
      <c r="J189" s="204"/>
      <c r="K189" s="204"/>
      <c r="L189" s="242"/>
    </row>
    <row r="190" spans="1:12">
      <c r="A190" s="92"/>
      <c r="B190" s="203" t="s">
        <v>267</v>
      </c>
      <c r="C190" s="204" t="s">
        <v>268</v>
      </c>
      <c r="D190" s="204"/>
      <c r="E190" s="204"/>
      <c r="F190" s="204"/>
      <c r="G190" s="205"/>
      <c r="H190" s="214"/>
      <c r="I190" s="204"/>
      <c r="J190" s="204"/>
      <c r="K190" s="204"/>
      <c r="L190" s="242"/>
    </row>
    <row r="191" spans="1:12">
      <c r="A191" s="92"/>
      <c r="B191" s="203" t="s">
        <v>306</v>
      </c>
      <c r="C191" s="204" t="s">
        <v>307</v>
      </c>
      <c r="D191" s="204"/>
      <c r="E191" s="204"/>
      <c r="F191" s="204"/>
      <c r="G191" s="205"/>
      <c r="H191" s="214"/>
      <c r="I191" s="204"/>
      <c r="J191" s="204"/>
      <c r="K191" s="204"/>
      <c r="L191" s="242"/>
    </row>
    <row r="192" spans="1:12">
      <c r="A192" s="92"/>
      <c r="B192" s="203" t="s">
        <v>270</v>
      </c>
      <c r="C192" s="204" t="s">
        <v>271</v>
      </c>
      <c r="D192" s="204"/>
      <c r="E192" s="204"/>
      <c r="F192" s="204"/>
      <c r="G192" s="205"/>
      <c r="H192" s="214"/>
      <c r="I192" s="204"/>
      <c r="J192" s="204"/>
      <c r="K192" s="204"/>
      <c r="L192" s="242"/>
    </row>
    <row r="193" spans="1:12">
      <c r="A193" s="92"/>
      <c r="B193" s="203" t="s">
        <v>272</v>
      </c>
      <c r="C193" s="204" t="s">
        <v>273</v>
      </c>
      <c r="D193" s="204"/>
      <c r="E193" s="204"/>
      <c r="F193" s="204"/>
      <c r="G193" s="205"/>
      <c r="H193" s="214"/>
      <c r="I193" s="204"/>
      <c r="J193" s="204"/>
      <c r="K193" s="204"/>
      <c r="L193" s="242"/>
    </row>
    <row r="194" spans="1:12">
      <c r="A194" s="92">
        <v>10</v>
      </c>
      <c r="B194" s="203" t="s">
        <v>265</v>
      </c>
      <c r="C194" s="204" t="s">
        <v>308</v>
      </c>
      <c r="D194" s="204"/>
      <c r="E194" s="204"/>
      <c r="F194" s="204"/>
      <c r="G194" s="205"/>
      <c r="H194" s="218" t="s">
        <v>262</v>
      </c>
      <c r="I194" s="219"/>
      <c r="J194" s="220"/>
      <c r="K194" s="218" t="s">
        <v>263</v>
      </c>
      <c r="L194" s="243"/>
    </row>
    <row r="195" spans="1:12">
      <c r="A195" s="92"/>
      <c r="B195" s="203" t="s">
        <v>267</v>
      </c>
      <c r="C195" s="204" t="s">
        <v>309</v>
      </c>
      <c r="D195" s="204"/>
      <c r="E195" s="204"/>
      <c r="F195" s="204"/>
      <c r="G195" s="205"/>
      <c r="H195" s="214"/>
      <c r="I195" s="204"/>
      <c r="J195" s="204"/>
      <c r="K195" s="204"/>
      <c r="L195" s="242"/>
    </row>
    <row r="196" spans="1:12">
      <c r="A196" s="92"/>
      <c r="B196" s="203" t="s">
        <v>306</v>
      </c>
      <c r="C196" s="204" t="s">
        <v>274</v>
      </c>
      <c r="D196" s="204"/>
      <c r="E196" s="204"/>
      <c r="F196" s="204"/>
      <c r="G196" s="205"/>
      <c r="H196" s="214"/>
      <c r="I196" s="204"/>
      <c r="J196" s="204"/>
      <c r="K196" s="204"/>
      <c r="L196" s="242"/>
    </row>
    <row r="197" spans="1:12">
      <c r="A197" s="92"/>
      <c r="B197" s="203" t="s">
        <v>270</v>
      </c>
      <c r="C197" s="204" t="s">
        <v>310</v>
      </c>
      <c r="D197" s="204"/>
      <c r="E197" s="204"/>
      <c r="F197" s="204"/>
      <c r="G197" s="205"/>
      <c r="H197" s="214"/>
      <c r="I197" s="204"/>
      <c r="J197" s="204"/>
      <c r="K197" s="204"/>
      <c r="L197" s="242"/>
    </row>
    <row r="198" spans="1:12">
      <c r="A198" s="19"/>
      <c r="B198" s="190"/>
      <c r="C198" s="222"/>
      <c r="D198" s="222"/>
      <c r="E198" s="222" t="s">
        <v>311</v>
      </c>
      <c r="F198" s="222"/>
      <c r="G198" s="222"/>
      <c r="H198" s="222"/>
      <c r="I198" s="222"/>
      <c r="J198" s="222"/>
      <c r="K198" s="222"/>
      <c r="L198" s="244"/>
    </row>
    <row r="199" spans="1:12">
      <c r="A199" s="19">
        <v>11</v>
      </c>
      <c r="B199" s="203" t="s">
        <v>265</v>
      </c>
      <c r="C199" s="204" t="s">
        <v>275</v>
      </c>
      <c r="D199" s="204"/>
      <c r="E199" s="204"/>
      <c r="F199" s="204"/>
      <c r="G199" s="205"/>
      <c r="H199" s="214"/>
      <c r="I199" s="204"/>
      <c r="J199" s="204"/>
      <c r="K199" s="204"/>
      <c r="L199" s="242"/>
    </row>
    <row r="200" spans="1:12">
      <c r="A200" s="19"/>
      <c r="B200" s="203" t="s">
        <v>267</v>
      </c>
      <c r="C200" s="204" t="s">
        <v>276</v>
      </c>
      <c r="D200" s="204"/>
      <c r="E200" s="204"/>
      <c r="F200" s="204"/>
      <c r="G200" s="205"/>
      <c r="H200" s="214"/>
      <c r="I200" s="204"/>
      <c r="J200" s="204"/>
      <c r="K200" s="204"/>
      <c r="L200" s="242"/>
    </row>
    <row r="201" spans="1:12">
      <c r="A201" s="19"/>
      <c r="B201" s="203" t="s">
        <v>269</v>
      </c>
      <c r="C201" s="204" t="s">
        <v>277</v>
      </c>
      <c r="D201" s="204"/>
      <c r="E201" s="204"/>
      <c r="F201" s="204"/>
      <c r="G201" s="205"/>
      <c r="H201" s="214"/>
      <c r="I201" s="204"/>
      <c r="J201" s="204"/>
      <c r="K201" s="204"/>
      <c r="L201" s="242"/>
    </row>
    <row r="202" spans="1:12">
      <c r="A202" s="19"/>
      <c r="B202" s="178"/>
      <c r="C202" s="174"/>
      <c r="D202" s="174"/>
      <c r="E202" s="174"/>
      <c r="F202" s="223" t="s">
        <v>278</v>
      </c>
      <c r="G202" s="174"/>
      <c r="H202" s="163"/>
      <c r="I202" s="163"/>
      <c r="J202" s="163"/>
      <c r="K202" s="163"/>
      <c r="L202" s="181"/>
    </row>
    <row r="203" spans="1:12">
      <c r="A203" s="19"/>
      <c r="B203" s="235" t="s">
        <v>279</v>
      </c>
      <c r="C203" s="234" t="s">
        <v>280</v>
      </c>
      <c r="D203" s="174"/>
      <c r="E203" s="174"/>
      <c r="F203" s="174"/>
      <c r="G203" s="174"/>
      <c r="H203" s="163"/>
      <c r="I203" s="163"/>
      <c r="J203" s="164"/>
      <c r="K203" s="163"/>
      <c r="L203" s="181"/>
    </row>
    <row r="204" spans="1:12">
      <c r="A204" s="19"/>
      <c r="B204" s="235" t="s">
        <v>281</v>
      </c>
      <c r="C204" s="233" t="s">
        <v>282</v>
      </c>
      <c r="D204" s="163"/>
      <c r="E204" s="164"/>
      <c r="G204" s="1023"/>
      <c r="H204" s="1023"/>
      <c r="I204" s="179"/>
      <c r="J204" s="180"/>
      <c r="K204" s="1023"/>
      <c r="L204" s="1024"/>
    </row>
    <row r="205" spans="1:12">
      <c r="A205" s="19"/>
      <c r="B205" s="236" t="s">
        <v>283</v>
      </c>
      <c r="C205" s="1025" t="s">
        <v>312</v>
      </c>
      <c r="D205" s="1025"/>
      <c r="E205" s="1025"/>
      <c r="F205" s="1025"/>
      <c r="G205" s="1025"/>
      <c r="H205" s="1025"/>
      <c r="I205" s="1025"/>
      <c r="J205" s="1025"/>
      <c r="K205" s="1025"/>
      <c r="L205" s="1026"/>
    </row>
    <row r="206" spans="1:12">
      <c r="A206" s="19"/>
      <c r="B206" s="235" t="s">
        <v>284</v>
      </c>
      <c r="C206" s="234" t="s">
        <v>285</v>
      </c>
      <c r="D206" s="226"/>
      <c r="E206" s="226"/>
      <c r="F206" s="226"/>
      <c r="G206" s="226"/>
      <c r="H206" s="226"/>
      <c r="I206" s="226"/>
      <c r="J206" s="226"/>
      <c r="K206" s="226"/>
      <c r="L206" s="245"/>
    </row>
    <row r="207" spans="1:12">
      <c r="A207" s="19"/>
      <c r="B207" s="178"/>
      <c r="C207" t="s">
        <v>313</v>
      </c>
      <c r="D207" s="291" t="e">
        <f>'04-22Master'!#REF!</f>
        <v>#REF!</v>
      </c>
      <c r="E207" s="3"/>
      <c r="F207" s="3"/>
      <c r="G207" s="3"/>
      <c r="L207" s="20"/>
    </row>
    <row r="208" spans="1:12">
      <c r="A208" s="19"/>
      <c r="C208" t="s">
        <v>286</v>
      </c>
      <c r="D208" t="s">
        <v>375</v>
      </c>
      <c r="J208" t="s">
        <v>314</v>
      </c>
      <c r="L208" s="20"/>
    </row>
    <row r="209" spans="1:12">
      <c r="A209" s="19"/>
      <c r="L209" s="20"/>
    </row>
    <row r="210" spans="1:12">
      <c r="A210" s="19"/>
      <c r="F210" s="224" t="s">
        <v>287</v>
      </c>
      <c r="L210" s="20"/>
    </row>
    <row r="211" spans="1:12">
      <c r="A211" s="19" t="s">
        <v>315</v>
      </c>
      <c r="B211" t="s">
        <v>288</v>
      </c>
      <c r="E211" s="227" t="e">
        <f>'04-22Master'!#REF!</f>
        <v>#REF!</v>
      </c>
      <c r="H211" s="1027" t="s">
        <v>289</v>
      </c>
      <c r="I211" s="1027"/>
      <c r="J211" s="228" t="e">
        <f>'04-22Master'!#REF!</f>
        <v>#REF!</v>
      </c>
      <c r="K211" t="s">
        <v>290</v>
      </c>
      <c r="L211" s="20"/>
    </row>
    <row r="212" spans="1:12">
      <c r="A212" s="19"/>
      <c r="B212" s="1028" t="e">
        <f>'04-22Master'!#REF!</f>
        <v>#REF!</v>
      </c>
      <c r="C212" s="1029"/>
      <c r="D212" s="225"/>
      <c r="E212" s="225"/>
      <c r="F212" s="225"/>
      <c r="G212" s="225"/>
      <c r="H212" s="225"/>
      <c r="I212" s="225"/>
      <c r="J212" s="225"/>
      <c r="K212" s="225"/>
      <c r="L212" s="246"/>
    </row>
    <row r="213" spans="1:12">
      <c r="A213" s="19" t="s">
        <v>317</v>
      </c>
      <c r="B213" s="225" t="s">
        <v>291</v>
      </c>
      <c r="C213" s="225"/>
      <c r="D213" s="225"/>
      <c r="E213" s="225"/>
      <c r="F213" s="225"/>
      <c r="G213" s="225"/>
      <c r="H213" s="225"/>
      <c r="I213" s="225"/>
      <c r="J213" s="225"/>
      <c r="K213" s="225"/>
      <c r="L213" s="246"/>
    </row>
    <row r="214" spans="1:12">
      <c r="A214" s="19"/>
      <c r="B214" s="225" t="s">
        <v>316</v>
      </c>
      <c r="C214" s="225"/>
      <c r="D214" s="225"/>
      <c r="E214" s="225"/>
      <c r="F214" s="225"/>
      <c r="G214" s="225"/>
      <c r="H214" s="225"/>
      <c r="I214" s="225"/>
      <c r="J214" s="225"/>
      <c r="K214" s="225"/>
      <c r="L214" s="246"/>
    </row>
    <row r="215" spans="1:12" ht="27.95" customHeight="1">
      <c r="A215" s="19"/>
      <c r="B215" t="s">
        <v>292</v>
      </c>
      <c r="L215" s="20"/>
    </row>
    <row r="216" spans="1:12" ht="27.95" customHeight="1">
      <c r="A216" s="19"/>
      <c r="B216" s="3" t="s">
        <v>293</v>
      </c>
      <c r="F216" s="177"/>
      <c r="L216" s="20"/>
    </row>
    <row r="217" spans="1:12" ht="27.95" customHeight="1">
      <c r="A217" s="19"/>
      <c r="B217" s="3" t="s">
        <v>294</v>
      </c>
      <c r="L217" s="20"/>
    </row>
    <row r="218" spans="1:12" ht="27.95" customHeight="1">
      <c r="A218" s="19"/>
      <c r="B218" t="s">
        <v>295</v>
      </c>
      <c r="L218" s="20"/>
    </row>
    <row r="219" spans="1:12" ht="27.95" customHeight="1">
      <c r="A219" s="19"/>
      <c r="B219" t="s">
        <v>296</v>
      </c>
      <c r="L219" s="20"/>
    </row>
    <row r="220" spans="1:12" ht="27.95" customHeight="1">
      <c r="A220" s="19" t="s">
        <v>306</v>
      </c>
      <c r="B220" t="s">
        <v>297</v>
      </c>
      <c r="L220" s="20"/>
    </row>
    <row r="221" spans="1:12" ht="27.95" customHeight="1">
      <c r="A221" s="19"/>
      <c r="B221" s="237" t="s">
        <v>318</v>
      </c>
      <c r="L221" s="20"/>
    </row>
    <row r="222" spans="1:12" ht="27.95" customHeight="1">
      <c r="A222" s="19"/>
      <c r="B222" t="s">
        <v>292</v>
      </c>
      <c r="L222" s="20"/>
    </row>
    <row r="223" spans="1:12" ht="27.95" customHeight="1">
      <c r="A223" s="19"/>
      <c r="B223" t="s">
        <v>298</v>
      </c>
      <c r="L223" s="20"/>
    </row>
    <row r="224" spans="1:12" ht="27.95" customHeight="1">
      <c r="A224" s="19"/>
      <c r="B224" t="s">
        <v>299</v>
      </c>
      <c r="L224" s="20"/>
    </row>
    <row r="225" spans="1:12" ht="27.95" customHeight="1">
      <c r="A225" s="19"/>
      <c r="B225" s="1030" t="s">
        <v>300</v>
      </c>
      <c r="C225" s="1030"/>
      <c r="D225" s="1030"/>
      <c r="E225" s="1030"/>
      <c r="F225" s="1030"/>
      <c r="G225" s="1030"/>
      <c r="H225" s="1030"/>
      <c r="I225" s="1030"/>
      <c r="J225" s="1030"/>
      <c r="K225" s="1030"/>
      <c r="L225" s="1031"/>
    </row>
    <row r="226" spans="1:12" ht="27.95" customHeight="1">
      <c r="A226" s="19"/>
      <c r="B226" t="s">
        <v>212</v>
      </c>
      <c r="C226" s="286" t="e">
        <f>D207</f>
        <v>#REF!</v>
      </c>
      <c r="D226" s="207"/>
      <c r="E226" s="207"/>
      <c r="F226" s="207"/>
      <c r="G226" s="207"/>
      <c r="H226" s="207"/>
      <c r="I226" t="s">
        <v>319</v>
      </c>
      <c r="J226" s="207"/>
      <c r="K226" s="207"/>
      <c r="L226" s="238"/>
    </row>
    <row r="227" spans="1:12" ht="27.95" customHeight="1" thickBot="1">
      <c r="A227" s="31"/>
      <c r="B227" s="860"/>
      <c r="C227" s="860"/>
      <c r="D227" s="860"/>
      <c r="E227" s="860"/>
      <c r="F227" s="860"/>
      <c r="G227" s="860"/>
      <c r="H227" s="860"/>
      <c r="I227" s="860"/>
      <c r="J227" s="860"/>
      <c r="K227" s="860"/>
      <c r="L227" s="861"/>
    </row>
    <row r="228" spans="1:12" ht="27.95" customHeight="1">
      <c r="A228" s="81"/>
      <c r="B228" s="82"/>
      <c r="C228" s="82"/>
      <c r="D228" s="82"/>
      <c r="E228" s="82"/>
      <c r="F228" s="82"/>
      <c r="G228" s="82"/>
      <c r="H228" s="82"/>
      <c r="I228" s="86" t="s">
        <v>246</v>
      </c>
      <c r="J228" s="82"/>
      <c r="K228" s="82"/>
      <c r="L228" s="83"/>
    </row>
    <row r="229" spans="1:12" ht="27.95" customHeight="1">
      <c r="A229" s="19"/>
      <c r="B229" s="1032" t="s">
        <v>301</v>
      </c>
      <c r="C229" s="1032"/>
      <c r="D229" s="1032"/>
      <c r="E229" s="1032"/>
      <c r="F229" s="1032"/>
      <c r="G229" s="1032"/>
      <c r="H229" s="1032"/>
      <c r="I229" s="1032"/>
      <c r="J229" s="1032"/>
      <c r="K229" s="1032"/>
      <c r="L229" s="1033"/>
    </row>
    <row r="230" spans="1:12" ht="27.95" customHeight="1">
      <c r="A230" s="19"/>
      <c r="B230" s="207"/>
      <c r="C230" s="207"/>
      <c r="D230" s="215" t="s">
        <v>248</v>
      </c>
      <c r="E230" s="207"/>
      <c r="F230" s="207"/>
      <c r="G230" s="207"/>
      <c r="H230" s="207"/>
      <c r="I230" s="209" t="s">
        <v>302</v>
      </c>
      <c r="J230" s="210"/>
      <c r="K230" s="290" t="e">
        <f>'04-22Master'!#REF!</f>
        <v>#REF!</v>
      </c>
      <c r="L230" s="240"/>
    </row>
    <row r="231" spans="1:12" ht="27.95" customHeight="1">
      <c r="A231" s="19"/>
      <c r="B231" s="2"/>
      <c r="C231" s="2" t="s">
        <v>249</v>
      </c>
      <c r="E231" s="2"/>
      <c r="F231" s="2"/>
      <c r="G231" s="2"/>
      <c r="H231" s="2"/>
      <c r="I231" s="208" t="s">
        <v>303</v>
      </c>
      <c r="J231" s="229" t="str">
        <f>'04-22Master'!F5</f>
        <v>Burgeon IT Services Pvt.Ltd.</v>
      </c>
      <c r="K231" s="211"/>
      <c r="L231" s="241"/>
    </row>
    <row r="232" spans="1:12" ht="27.95" customHeight="1">
      <c r="A232" s="19"/>
      <c r="B232" s="216"/>
      <c r="C232" s="185" t="s">
        <v>250</v>
      </c>
      <c r="E232" s="216"/>
      <c r="F232" s="216"/>
      <c r="H232" s="186"/>
      <c r="I232" s="232" t="str">
        <f>'04-22Master'!F6</f>
        <v>Siri Mansion LIGB 436 Dr.A S Rao Nagar,Hyderabad</v>
      </c>
      <c r="J232" s="230"/>
      <c r="K232" s="231"/>
      <c r="L232" s="195"/>
    </row>
    <row r="233" spans="1:12">
      <c r="A233" s="19"/>
      <c r="L233" s="20"/>
    </row>
    <row r="234" spans="1:12" ht="19.5" customHeight="1">
      <c r="A234" s="19">
        <v>1</v>
      </c>
      <c r="B234" s="212" t="s">
        <v>251</v>
      </c>
      <c r="C234" s="69"/>
      <c r="D234" s="69"/>
      <c r="E234" s="69"/>
      <c r="F234" s="69"/>
      <c r="G234" s="70"/>
      <c r="H234" s="988" t="e">
        <f>'04-22Master'!#REF!</f>
        <v>#REF!</v>
      </c>
      <c r="I234" s="1010"/>
      <c r="J234" s="1010"/>
      <c r="K234" s="1010"/>
      <c r="L234" s="1011"/>
    </row>
    <row r="235" spans="1:12">
      <c r="A235" s="19">
        <v>2</v>
      </c>
      <c r="B235" s="1034" t="s">
        <v>252</v>
      </c>
      <c r="C235" s="1035"/>
      <c r="D235" s="1035"/>
      <c r="E235" s="1035"/>
      <c r="F235" s="213" t="s">
        <v>253</v>
      </c>
      <c r="G235" s="197"/>
      <c r="H235" s="1036" t="e">
        <f>'04-22Master'!#REF!</f>
        <v>#REF!</v>
      </c>
      <c r="I235" s="1037"/>
      <c r="J235" s="1037"/>
      <c r="K235" s="1037"/>
      <c r="L235" s="1038"/>
    </row>
    <row r="236" spans="1:12" ht="12" customHeight="1">
      <c r="A236" s="19"/>
      <c r="B236" s="198" t="s">
        <v>254</v>
      </c>
      <c r="C236" s="199"/>
      <c r="D236" s="199"/>
      <c r="E236" s="199"/>
      <c r="F236" s="199" t="s">
        <v>247</v>
      </c>
      <c r="G236" s="200"/>
      <c r="H236" s="1039"/>
      <c r="I236" s="1040"/>
      <c r="J236" s="1040"/>
      <c r="K236" s="1040"/>
      <c r="L236" s="1041"/>
    </row>
    <row r="237" spans="1:12">
      <c r="A237" s="19">
        <v>3</v>
      </c>
      <c r="B237" s="214" t="s">
        <v>255</v>
      </c>
      <c r="C237" s="204"/>
      <c r="D237" s="204"/>
      <c r="E237" s="204"/>
      <c r="F237" s="204"/>
      <c r="G237" s="205"/>
      <c r="H237" s="1014" t="e">
        <f>'04-22Master'!#REF!</f>
        <v>#REF!</v>
      </c>
      <c r="I237" s="1015"/>
      <c r="J237" s="1015"/>
      <c r="K237" s="1015"/>
      <c r="L237" s="1016"/>
    </row>
    <row r="238" spans="1:12">
      <c r="A238" s="19">
        <v>4</v>
      </c>
      <c r="B238" s="190" t="s">
        <v>256</v>
      </c>
      <c r="C238" s="69"/>
      <c r="D238" s="69"/>
      <c r="E238" s="69"/>
      <c r="F238" s="69"/>
      <c r="G238" s="70"/>
      <c r="H238" s="980" t="e">
        <f>'04-22Master'!#REF!</f>
        <v>#REF!</v>
      </c>
      <c r="I238" s="1002"/>
      <c r="J238" s="1002"/>
      <c r="K238" s="1002"/>
      <c r="L238" s="996"/>
    </row>
    <row r="239" spans="1:12">
      <c r="A239" s="19">
        <v>5</v>
      </c>
      <c r="B239" s="1017" t="s">
        <v>304</v>
      </c>
      <c r="C239" s="1018"/>
      <c r="D239" s="1018"/>
      <c r="E239" s="1018"/>
      <c r="F239" s="1018"/>
      <c r="G239" s="70"/>
      <c r="H239" s="1009" t="s">
        <v>383</v>
      </c>
      <c r="I239" s="1010"/>
      <c r="J239" s="1010"/>
      <c r="K239" s="1010"/>
      <c r="L239" s="1011"/>
    </row>
    <row r="240" spans="1:12">
      <c r="A240" s="19">
        <v>6</v>
      </c>
      <c r="B240" s="203" t="s">
        <v>257</v>
      </c>
      <c r="C240" s="204" t="s">
        <v>258</v>
      </c>
      <c r="D240" s="204"/>
      <c r="E240" s="204"/>
      <c r="F240" s="204"/>
      <c r="G240" s="205"/>
      <c r="H240" s="214"/>
      <c r="I240" s="204"/>
      <c r="J240" s="204"/>
      <c r="K240" s="204"/>
      <c r="L240" s="242"/>
    </row>
    <row r="241" spans="1:12">
      <c r="A241" s="19"/>
      <c r="B241" s="203" t="s">
        <v>259</v>
      </c>
      <c r="C241" s="204" t="s">
        <v>260</v>
      </c>
      <c r="D241" s="204"/>
      <c r="E241" s="204"/>
      <c r="F241" s="204"/>
      <c r="G241" s="205"/>
      <c r="H241" s="214"/>
      <c r="I241" s="196"/>
      <c r="J241" s="196"/>
      <c r="K241" s="204"/>
      <c r="L241" s="242"/>
    </row>
    <row r="242" spans="1:12">
      <c r="A242" s="19">
        <v>7</v>
      </c>
      <c r="B242" s="1014" t="s">
        <v>261</v>
      </c>
      <c r="C242" s="1015"/>
      <c r="D242" s="1015"/>
      <c r="E242" s="1015"/>
      <c r="F242" s="1015"/>
      <c r="G242" s="1022"/>
      <c r="H242" s="218" t="s">
        <v>262</v>
      </c>
      <c r="I242" s="219"/>
      <c r="J242" s="220"/>
      <c r="K242" s="218" t="s">
        <v>263</v>
      </c>
      <c r="L242" s="243"/>
    </row>
    <row r="243" spans="1:12">
      <c r="A243" s="19">
        <v>8</v>
      </c>
      <c r="B243" s="1014" t="s">
        <v>305</v>
      </c>
      <c r="C243" s="1015"/>
      <c r="D243" s="1015"/>
      <c r="E243" s="1015"/>
      <c r="F243" s="1015"/>
      <c r="G243" s="1022"/>
      <c r="H243" s="218" t="s">
        <v>262</v>
      </c>
      <c r="I243" s="219"/>
      <c r="J243" s="220"/>
      <c r="K243" s="218" t="s">
        <v>263</v>
      </c>
      <c r="L243" s="243"/>
    </row>
    <row r="244" spans="1:12">
      <c r="A244" s="19"/>
      <c r="B244" s="190"/>
      <c r="C244" s="222"/>
      <c r="D244" s="222"/>
      <c r="E244" s="222"/>
      <c r="F244" s="222" t="s">
        <v>264</v>
      </c>
      <c r="G244" s="222"/>
      <c r="H244" s="222"/>
      <c r="I244" s="222"/>
      <c r="J244" s="222"/>
      <c r="K244" s="222"/>
      <c r="L244" s="244"/>
    </row>
    <row r="245" spans="1:12">
      <c r="A245" s="19">
        <v>9</v>
      </c>
      <c r="B245" s="203" t="s">
        <v>265</v>
      </c>
      <c r="C245" s="204" t="s">
        <v>266</v>
      </c>
      <c r="D245" s="204"/>
      <c r="E245" s="204"/>
      <c r="F245" s="204"/>
      <c r="G245" s="205"/>
      <c r="H245" s="214"/>
      <c r="I245" s="204"/>
      <c r="J245" s="204"/>
      <c r="K245" s="204"/>
      <c r="L245" s="242"/>
    </row>
    <row r="246" spans="1:12">
      <c r="A246" s="92"/>
      <c r="B246" s="203" t="s">
        <v>267</v>
      </c>
      <c r="C246" s="204" t="s">
        <v>268</v>
      </c>
      <c r="D246" s="204"/>
      <c r="E246" s="204"/>
      <c r="F246" s="204"/>
      <c r="G246" s="205"/>
      <c r="H246" s="214"/>
      <c r="I246" s="204"/>
      <c r="J246" s="204"/>
      <c r="K246" s="204"/>
      <c r="L246" s="242"/>
    </row>
    <row r="247" spans="1:12">
      <c r="A247" s="92"/>
      <c r="B247" s="203" t="s">
        <v>306</v>
      </c>
      <c r="C247" s="204" t="s">
        <v>307</v>
      </c>
      <c r="D247" s="204"/>
      <c r="E247" s="204"/>
      <c r="F247" s="204"/>
      <c r="G247" s="205"/>
      <c r="H247" s="214"/>
      <c r="I247" s="204"/>
      <c r="J247" s="204"/>
      <c r="K247" s="204"/>
      <c r="L247" s="242"/>
    </row>
    <row r="248" spans="1:12">
      <c r="A248" s="92"/>
      <c r="B248" s="203" t="s">
        <v>270</v>
      </c>
      <c r="C248" s="204" t="s">
        <v>271</v>
      </c>
      <c r="D248" s="204"/>
      <c r="E248" s="204"/>
      <c r="F248" s="204"/>
      <c r="G248" s="205"/>
      <c r="H248" s="214"/>
      <c r="I248" s="204"/>
      <c r="J248" s="204"/>
      <c r="K248" s="204"/>
      <c r="L248" s="242"/>
    </row>
    <row r="249" spans="1:12">
      <c r="A249" s="92"/>
      <c r="B249" s="203" t="s">
        <v>272</v>
      </c>
      <c r="C249" s="204" t="s">
        <v>273</v>
      </c>
      <c r="D249" s="204"/>
      <c r="E249" s="204"/>
      <c r="F249" s="204"/>
      <c r="G249" s="205"/>
      <c r="H249" s="214"/>
      <c r="I249" s="204"/>
      <c r="J249" s="204"/>
      <c r="K249" s="204"/>
      <c r="L249" s="242"/>
    </row>
    <row r="250" spans="1:12">
      <c r="A250" s="92">
        <v>10</v>
      </c>
      <c r="B250" s="203" t="s">
        <v>265</v>
      </c>
      <c r="C250" s="204" t="s">
        <v>308</v>
      </c>
      <c r="D250" s="204"/>
      <c r="E250" s="204"/>
      <c r="F250" s="204"/>
      <c r="G250" s="205"/>
      <c r="H250" s="218" t="s">
        <v>262</v>
      </c>
      <c r="I250" s="219"/>
      <c r="J250" s="220"/>
      <c r="K250" s="218" t="s">
        <v>263</v>
      </c>
      <c r="L250" s="243"/>
    </row>
    <row r="251" spans="1:12">
      <c r="A251" s="92"/>
      <c r="B251" s="203" t="s">
        <v>267</v>
      </c>
      <c r="C251" s="204" t="s">
        <v>309</v>
      </c>
      <c r="D251" s="204"/>
      <c r="E251" s="204"/>
      <c r="F251" s="204"/>
      <c r="G251" s="205"/>
      <c r="H251" s="214"/>
      <c r="I251" s="204"/>
      <c r="J251" s="204"/>
      <c r="K251" s="204"/>
      <c r="L251" s="242"/>
    </row>
    <row r="252" spans="1:12">
      <c r="A252" s="92"/>
      <c r="B252" s="203" t="s">
        <v>306</v>
      </c>
      <c r="C252" s="204" t="s">
        <v>274</v>
      </c>
      <c r="D252" s="204"/>
      <c r="E252" s="204"/>
      <c r="F252" s="204"/>
      <c r="G252" s="205"/>
      <c r="H252" s="214"/>
      <c r="I252" s="204"/>
      <c r="J252" s="204"/>
      <c r="K252" s="204"/>
      <c r="L252" s="242"/>
    </row>
    <row r="253" spans="1:12">
      <c r="A253" s="92"/>
      <c r="B253" s="203" t="s">
        <v>270</v>
      </c>
      <c r="C253" s="204" t="s">
        <v>310</v>
      </c>
      <c r="D253" s="204"/>
      <c r="E253" s="204"/>
      <c r="F253" s="204"/>
      <c r="G253" s="205"/>
      <c r="H253" s="214"/>
      <c r="I253" s="204"/>
      <c r="J253" s="204"/>
      <c r="K253" s="204"/>
      <c r="L253" s="242"/>
    </row>
    <row r="254" spans="1:12">
      <c r="A254" s="19"/>
      <c r="B254" s="190"/>
      <c r="C254" s="222"/>
      <c r="D254" s="222"/>
      <c r="E254" s="222" t="s">
        <v>311</v>
      </c>
      <c r="F254" s="222"/>
      <c r="G254" s="222"/>
      <c r="H254" s="222"/>
      <c r="I254" s="222"/>
      <c r="J254" s="222"/>
      <c r="K254" s="222"/>
      <c r="L254" s="244"/>
    </row>
    <row r="255" spans="1:12">
      <c r="A255" s="19">
        <v>11</v>
      </c>
      <c r="B255" s="203" t="s">
        <v>265</v>
      </c>
      <c r="C255" s="204" t="s">
        <v>275</v>
      </c>
      <c r="D255" s="204"/>
      <c r="E255" s="204"/>
      <c r="F255" s="204"/>
      <c r="G255" s="205"/>
      <c r="H255" s="214"/>
      <c r="I255" s="204"/>
      <c r="J255" s="204"/>
      <c r="K255" s="204"/>
      <c r="L255" s="242"/>
    </row>
    <row r="256" spans="1:12">
      <c r="A256" s="19"/>
      <c r="B256" s="203" t="s">
        <v>267</v>
      </c>
      <c r="C256" s="204" t="s">
        <v>276</v>
      </c>
      <c r="D256" s="204"/>
      <c r="E256" s="204"/>
      <c r="F256" s="204"/>
      <c r="G256" s="205"/>
      <c r="H256" s="214"/>
      <c r="I256" s="204"/>
      <c r="J256" s="204"/>
      <c r="K256" s="204"/>
      <c r="L256" s="242"/>
    </row>
    <row r="257" spans="1:12">
      <c r="A257" s="19"/>
      <c r="B257" s="203" t="s">
        <v>269</v>
      </c>
      <c r="C257" s="204" t="s">
        <v>277</v>
      </c>
      <c r="D257" s="204"/>
      <c r="E257" s="204"/>
      <c r="F257" s="204"/>
      <c r="G257" s="205"/>
      <c r="H257" s="214"/>
      <c r="I257" s="204"/>
      <c r="J257" s="204"/>
      <c r="K257" s="204"/>
      <c r="L257" s="242"/>
    </row>
    <row r="258" spans="1:12">
      <c r="A258" s="19"/>
      <c r="B258" s="178"/>
      <c r="C258" s="174"/>
      <c r="D258" s="174"/>
      <c r="E258" s="174"/>
      <c r="F258" s="223" t="s">
        <v>278</v>
      </c>
      <c r="G258" s="174"/>
      <c r="H258" s="163"/>
      <c r="I258" s="163"/>
      <c r="J258" s="163"/>
      <c r="K258" s="163"/>
      <c r="L258" s="181"/>
    </row>
    <row r="259" spans="1:12">
      <c r="A259" s="19"/>
      <c r="B259" s="235" t="s">
        <v>279</v>
      </c>
      <c r="C259" s="234" t="s">
        <v>280</v>
      </c>
      <c r="D259" s="174"/>
      <c r="E259" s="174"/>
      <c r="F259" s="174"/>
      <c r="G259" s="174"/>
      <c r="H259" s="163"/>
      <c r="I259" s="163"/>
      <c r="J259" s="164"/>
      <c r="K259" s="163"/>
      <c r="L259" s="181"/>
    </row>
    <row r="260" spans="1:12">
      <c r="A260" s="19"/>
      <c r="B260" s="235" t="s">
        <v>281</v>
      </c>
      <c r="C260" s="233" t="s">
        <v>282</v>
      </c>
      <c r="D260" s="163"/>
      <c r="E260" s="164"/>
      <c r="G260" s="1023"/>
      <c r="H260" s="1023"/>
      <c r="I260" s="179"/>
      <c r="J260" s="180"/>
      <c r="K260" s="1023"/>
      <c r="L260" s="1024"/>
    </row>
    <row r="261" spans="1:12">
      <c r="A261" s="19"/>
      <c r="B261" s="236" t="s">
        <v>283</v>
      </c>
      <c r="C261" s="1025" t="s">
        <v>312</v>
      </c>
      <c r="D261" s="1025"/>
      <c r="E261" s="1025"/>
      <c r="F261" s="1025"/>
      <c r="G261" s="1025"/>
      <c r="H261" s="1025"/>
      <c r="I261" s="1025"/>
      <c r="J261" s="1025"/>
      <c r="K261" s="1025"/>
      <c r="L261" s="1026"/>
    </row>
    <row r="262" spans="1:12">
      <c r="A262" s="19"/>
      <c r="B262" s="235" t="s">
        <v>284</v>
      </c>
      <c r="C262" s="234" t="s">
        <v>285</v>
      </c>
      <c r="D262" s="226"/>
      <c r="E262" s="226"/>
      <c r="F262" s="226"/>
      <c r="G262" s="226"/>
      <c r="H262" s="226"/>
      <c r="I262" s="226"/>
      <c r="J262" s="226"/>
      <c r="K262" s="226"/>
      <c r="L262" s="245"/>
    </row>
    <row r="263" spans="1:12">
      <c r="A263" s="19"/>
      <c r="B263" s="178"/>
      <c r="C263" t="s">
        <v>313</v>
      </c>
      <c r="D263" s="291" t="e">
        <f>'04-22Master'!#REF!</f>
        <v>#REF!</v>
      </c>
      <c r="E263" s="3"/>
      <c r="F263" s="3"/>
      <c r="G263" s="3"/>
      <c r="L263" s="20"/>
    </row>
    <row r="264" spans="1:12">
      <c r="A264" s="19"/>
      <c r="C264" t="s">
        <v>286</v>
      </c>
      <c r="D264" t="s">
        <v>375</v>
      </c>
      <c r="J264" t="s">
        <v>314</v>
      </c>
      <c r="L264" s="20"/>
    </row>
    <row r="265" spans="1:12">
      <c r="A265" s="19"/>
      <c r="L265" s="20"/>
    </row>
    <row r="266" spans="1:12">
      <c r="A266" s="19"/>
      <c r="F266" s="224" t="s">
        <v>287</v>
      </c>
      <c r="L266" s="20"/>
    </row>
    <row r="267" spans="1:12">
      <c r="A267" s="19" t="s">
        <v>315</v>
      </c>
      <c r="B267" t="s">
        <v>288</v>
      </c>
      <c r="E267" s="227" t="e">
        <f>'04-22Master'!#REF!</f>
        <v>#REF!</v>
      </c>
      <c r="H267" s="1027" t="s">
        <v>289</v>
      </c>
      <c r="I267" s="1027"/>
      <c r="J267" s="228" t="e">
        <f>'04-22Master'!#REF!</f>
        <v>#REF!</v>
      </c>
      <c r="K267" t="s">
        <v>290</v>
      </c>
      <c r="L267" s="20"/>
    </row>
    <row r="268" spans="1:12" ht="24" customHeight="1">
      <c r="A268" s="19"/>
      <c r="B268" s="1028" t="e">
        <f>'04-22Master'!#REF!</f>
        <v>#REF!</v>
      </c>
      <c r="C268" s="1029"/>
      <c r="D268" s="225"/>
      <c r="E268" s="225"/>
      <c r="F268" s="225"/>
      <c r="G268" s="225"/>
      <c r="H268" s="225"/>
      <c r="I268" s="225"/>
      <c r="J268" s="225"/>
      <c r="K268" s="225"/>
      <c r="L268" s="246"/>
    </row>
    <row r="269" spans="1:12" ht="24" customHeight="1">
      <c r="A269" s="19" t="s">
        <v>317</v>
      </c>
      <c r="B269" s="225" t="s">
        <v>291</v>
      </c>
      <c r="C269" s="225"/>
      <c r="D269" s="225"/>
      <c r="E269" s="225"/>
      <c r="F269" s="225"/>
      <c r="G269" s="225"/>
      <c r="H269" s="225"/>
      <c r="I269" s="225"/>
      <c r="J269" s="225"/>
      <c r="K269" s="225"/>
      <c r="L269" s="246"/>
    </row>
    <row r="270" spans="1:12" ht="23.25" customHeight="1">
      <c r="A270" s="19"/>
      <c r="B270" s="225" t="s">
        <v>316</v>
      </c>
      <c r="C270" s="225"/>
      <c r="D270" s="225"/>
      <c r="E270" s="225"/>
      <c r="F270" s="225"/>
      <c r="G270" s="225"/>
      <c r="H270" s="225"/>
      <c r="I270" s="225"/>
      <c r="J270" s="225"/>
      <c r="K270" s="225"/>
      <c r="L270" s="246"/>
    </row>
    <row r="271" spans="1:12" ht="21.75" customHeight="1">
      <c r="A271" s="19"/>
      <c r="B271" t="s">
        <v>292</v>
      </c>
      <c r="L271" s="20"/>
    </row>
    <row r="272" spans="1:12" ht="27.95" customHeight="1">
      <c r="A272" s="19"/>
      <c r="B272" s="3" t="s">
        <v>293</v>
      </c>
      <c r="F272" s="177"/>
      <c r="L272" s="20"/>
    </row>
    <row r="273" spans="1:12" ht="21" customHeight="1">
      <c r="A273" s="19"/>
      <c r="B273" s="3" t="s">
        <v>294</v>
      </c>
      <c r="L273" s="20"/>
    </row>
    <row r="274" spans="1:12" ht="27.95" customHeight="1">
      <c r="A274" s="19"/>
      <c r="B274" t="s">
        <v>295</v>
      </c>
      <c r="L274" s="20"/>
    </row>
    <row r="275" spans="1:12" ht="27.95" customHeight="1">
      <c r="A275" s="19"/>
      <c r="B275" t="s">
        <v>296</v>
      </c>
      <c r="L275" s="20"/>
    </row>
    <row r="276" spans="1:12" ht="27.95" customHeight="1">
      <c r="A276" s="19" t="s">
        <v>306</v>
      </c>
      <c r="B276" t="s">
        <v>297</v>
      </c>
      <c r="L276" s="20"/>
    </row>
    <row r="277" spans="1:12" ht="27.95" customHeight="1">
      <c r="A277" s="19"/>
      <c r="B277" s="237" t="s">
        <v>318</v>
      </c>
      <c r="L277" s="20"/>
    </row>
    <row r="278" spans="1:12" ht="27.95" customHeight="1">
      <c r="A278" s="19"/>
      <c r="B278" t="s">
        <v>292</v>
      </c>
      <c r="L278" s="20"/>
    </row>
    <row r="279" spans="1:12" ht="19.5" customHeight="1">
      <c r="A279" s="19"/>
      <c r="B279" t="s">
        <v>298</v>
      </c>
      <c r="L279" s="20"/>
    </row>
    <row r="280" spans="1:12" ht="21.75" customHeight="1">
      <c r="A280" s="19"/>
      <c r="B280" t="s">
        <v>299</v>
      </c>
      <c r="L280" s="20"/>
    </row>
    <row r="281" spans="1:12" ht="18.75" customHeight="1">
      <c r="A281" s="19"/>
      <c r="B281" s="1030" t="s">
        <v>300</v>
      </c>
      <c r="C281" s="1030"/>
      <c r="D281" s="1030"/>
      <c r="E281" s="1030"/>
      <c r="F281" s="1030"/>
      <c r="G281" s="1030"/>
      <c r="H281" s="1030"/>
      <c r="I281" s="1030"/>
      <c r="J281" s="1030"/>
      <c r="K281" s="1030"/>
      <c r="L281" s="1031"/>
    </row>
    <row r="282" spans="1:12" ht="27.95" customHeight="1">
      <c r="A282" s="19"/>
      <c r="B282" t="s">
        <v>212</v>
      </c>
      <c r="C282" s="286" t="e">
        <f>'04-22Master'!#REF!</f>
        <v>#REF!</v>
      </c>
      <c r="D282" s="207"/>
      <c r="E282" s="207"/>
      <c r="F282" s="207"/>
      <c r="G282" s="207"/>
      <c r="H282" s="207"/>
      <c r="I282" t="s">
        <v>319</v>
      </c>
      <c r="J282" s="207"/>
      <c r="K282" s="207"/>
      <c r="L282" s="238"/>
    </row>
    <row r="283" spans="1:12" ht="27.95" customHeight="1" thickBot="1">
      <c r="A283" s="31"/>
      <c r="B283" s="860"/>
      <c r="C283" s="860"/>
      <c r="D283" s="860"/>
      <c r="E283" s="860"/>
      <c r="F283" s="860"/>
      <c r="G283" s="860"/>
      <c r="H283" s="860"/>
      <c r="I283" s="860"/>
      <c r="J283" s="860"/>
      <c r="K283" s="860"/>
      <c r="L283" s="861"/>
    </row>
    <row r="284" spans="1:12" ht="27.95" customHeight="1">
      <c r="A284" s="81"/>
      <c r="B284" s="82"/>
      <c r="C284" s="82"/>
      <c r="D284" s="82"/>
      <c r="E284" s="82"/>
      <c r="F284" s="82"/>
      <c r="G284" s="82"/>
      <c r="H284" s="82"/>
      <c r="I284" s="86" t="s">
        <v>246</v>
      </c>
      <c r="J284" s="82"/>
      <c r="K284" s="82"/>
      <c r="L284" s="83"/>
    </row>
    <row r="285" spans="1:12" ht="27.95" customHeight="1">
      <c r="A285" s="19"/>
      <c r="B285" s="1032" t="s">
        <v>301</v>
      </c>
      <c r="C285" s="1032"/>
      <c r="D285" s="1032"/>
      <c r="E285" s="1032"/>
      <c r="F285" s="1032"/>
      <c r="G285" s="1032"/>
      <c r="H285" s="1032"/>
      <c r="I285" s="1032"/>
      <c r="J285" s="1032"/>
      <c r="K285" s="1032"/>
      <c r="L285" s="1033"/>
    </row>
    <row r="286" spans="1:12" ht="23.25">
      <c r="A286" s="19"/>
      <c r="B286" s="207"/>
      <c r="C286" s="207"/>
      <c r="D286" s="215" t="s">
        <v>248</v>
      </c>
      <c r="E286" s="207"/>
      <c r="F286" s="207"/>
      <c r="G286" s="207"/>
      <c r="H286" s="207"/>
      <c r="I286" s="209" t="s">
        <v>302</v>
      </c>
      <c r="J286" s="210"/>
      <c r="K286" s="290" t="e">
        <f>'04-22Master'!#REF!</f>
        <v>#REF!</v>
      </c>
      <c r="L286" s="240"/>
    </row>
    <row r="287" spans="1:12" ht="15.75">
      <c r="A287" s="19"/>
      <c r="B287" s="2"/>
      <c r="C287" s="2" t="s">
        <v>249</v>
      </c>
      <c r="E287" s="2"/>
      <c r="F287" s="2"/>
      <c r="G287" s="2"/>
      <c r="H287" s="2"/>
      <c r="I287" s="208" t="s">
        <v>303</v>
      </c>
      <c r="J287" s="229" t="str">
        <f>'04-22Master'!F5</f>
        <v>Burgeon IT Services Pvt.Ltd.</v>
      </c>
      <c r="K287" s="211"/>
      <c r="L287" s="241"/>
    </row>
    <row r="288" spans="1:12">
      <c r="A288" s="19"/>
      <c r="B288" s="216"/>
      <c r="C288" s="185" t="s">
        <v>250</v>
      </c>
      <c r="E288" s="216"/>
      <c r="F288" s="216"/>
      <c r="H288" s="186"/>
      <c r="I288" s="232" t="str">
        <f>'04-22Master'!F6</f>
        <v>Siri Mansion LIGB 436 Dr.A S Rao Nagar,Hyderabad</v>
      </c>
      <c r="J288" s="230"/>
      <c r="K288" s="231"/>
      <c r="L288" s="195"/>
    </row>
    <row r="289" spans="1:12">
      <c r="A289" s="19"/>
      <c r="L289" s="20"/>
    </row>
    <row r="290" spans="1:12">
      <c r="A290" s="19">
        <v>1</v>
      </c>
      <c r="B290" s="212" t="s">
        <v>251</v>
      </c>
      <c r="C290" s="69"/>
      <c r="D290" s="69"/>
      <c r="E290" s="69"/>
      <c r="F290" s="69"/>
      <c r="G290" s="70"/>
      <c r="H290" s="988" t="e">
        <f>'04-22Master'!#REF!</f>
        <v>#REF!</v>
      </c>
      <c r="I290" s="1010"/>
      <c r="J290" s="1010"/>
      <c r="K290" s="1010"/>
      <c r="L290" s="1011"/>
    </row>
    <row r="291" spans="1:12">
      <c r="A291" s="19">
        <v>2</v>
      </c>
      <c r="B291" s="1034" t="s">
        <v>252</v>
      </c>
      <c r="C291" s="1035"/>
      <c r="D291" s="1035"/>
      <c r="E291" s="1035"/>
      <c r="F291" s="213" t="s">
        <v>253</v>
      </c>
      <c r="G291" s="197"/>
      <c r="H291" s="1036" t="e">
        <f>'04-22Master'!#REF!</f>
        <v>#REF!</v>
      </c>
      <c r="I291" s="1037"/>
      <c r="J291" s="1037"/>
      <c r="K291" s="1037"/>
      <c r="L291" s="1038"/>
    </row>
    <row r="292" spans="1:12">
      <c r="A292" s="19"/>
      <c r="B292" s="198" t="s">
        <v>254</v>
      </c>
      <c r="C292" s="199"/>
      <c r="D292" s="199"/>
      <c r="E292" s="199"/>
      <c r="F292" s="199" t="s">
        <v>247</v>
      </c>
      <c r="G292" s="200"/>
      <c r="H292" s="1039"/>
      <c r="I292" s="1040"/>
      <c r="J292" s="1040"/>
      <c r="K292" s="1040"/>
      <c r="L292" s="1041"/>
    </row>
    <row r="293" spans="1:12">
      <c r="A293" s="19">
        <v>3</v>
      </c>
      <c r="B293" s="214" t="s">
        <v>255</v>
      </c>
      <c r="C293" s="204"/>
      <c r="D293" s="204"/>
      <c r="E293" s="204"/>
      <c r="F293" s="204"/>
      <c r="G293" s="205"/>
      <c r="H293" s="1014" t="e">
        <f>'04-22Master'!#REF!</f>
        <v>#REF!</v>
      </c>
      <c r="I293" s="1015"/>
      <c r="J293" s="1015"/>
      <c r="K293" s="1015"/>
      <c r="L293" s="1016"/>
    </row>
    <row r="294" spans="1:12">
      <c r="A294" s="19">
        <v>4</v>
      </c>
      <c r="B294" s="190" t="s">
        <v>256</v>
      </c>
      <c r="C294" s="69"/>
      <c r="D294" s="69"/>
      <c r="E294" s="69"/>
      <c r="F294" s="69"/>
      <c r="G294" s="70"/>
      <c r="H294" s="980" t="e">
        <f>'04-22Master'!#REF!</f>
        <v>#REF!</v>
      </c>
      <c r="I294" s="1002"/>
      <c r="J294" s="1002"/>
      <c r="K294" s="1002"/>
      <c r="L294" s="996"/>
    </row>
    <row r="295" spans="1:12">
      <c r="A295" s="19">
        <v>5</v>
      </c>
      <c r="B295" s="1017" t="s">
        <v>304</v>
      </c>
      <c r="C295" s="1018"/>
      <c r="D295" s="1018"/>
      <c r="E295" s="1018"/>
      <c r="F295" s="1018"/>
      <c r="G295" s="70"/>
      <c r="H295" s="1009" t="s">
        <v>383</v>
      </c>
      <c r="I295" s="1010"/>
      <c r="J295" s="1010"/>
      <c r="K295" s="1010"/>
      <c r="L295" s="1011"/>
    </row>
    <row r="296" spans="1:12">
      <c r="A296" s="19">
        <v>6</v>
      </c>
      <c r="B296" s="203" t="s">
        <v>257</v>
      </c>
      <c r="C296" s="204" t="s">
        <v>258</v>
      </c>
      <c r="D296" s="204"/>
      <c r="E296" s="204"/>
      <c r="F296" s="204"/>
      <c r="G296" s="205"/>
      <c r="H296" s="214"/>
      <c r="I296" s="204"/>
      <c r="J296" s="204"/>
      <c r="K296" s="204"/>
      <c r="L296" s="242"/>
    </row>
    <row r="297" spans="1:12">
      <c r="A297" s="19"/>
      <c r="B297" s="203" t="s">
        <v>259</v>
      </c>
      <c r="C297" s="204" t="s">
        <v>260</v>
      </c>
      <c r="D297" s="204"/>
      <c r="E297" s="204"/>
      <c r="F297" s="204"/>
      <c r="G297" s="205"/>
      <c r="H297" s="214"/>
      <c r="I297" s="196"/>
      <c r="J297" s="196"/>
      <c r="K297" s="204"/>
      <c r="L297" s="242"/>
    </row>
    <row r="298" spans="1:12">
      <c r="A298" s="19">
        <v>7</v>
      </c>
      <c r="B298" s="1014" t="s">
        <v>261</v>
      </c>
      <c r="C298" s="1015"/>
      <c r="D298" s="1015"/>
      <c r="E298" s="1015"/>
      <c r="F298" s="1015"/>
      <c r="G298" s="1022"/>
      <c r="H298" s="218" t="s">
        <v>262</v>
      </c>
      <c r="I298" s="219"/>
      <c r="J298" s="220"/>
      <c r="K298" s="218" t="s">
        <v>263</v>
      </c>
      <c r="L298" s="243"/>
    </row>
    <row r="299" spans="1:12">
      <c r="A299" s="19">
        <v>8</v>
      </c>
      <c r="B299" s="1014" t="s">
        <v>305</v>
      </c>
      <c r="C299" s="1015"/>
      <c r="D299" s="1015"/>
      <c r="E299" s="1015"/>
      <c r="F299" s="1015"/>
      <c r="G299" s="1022"/>
      <c r="H299" s="218" t="s">
        <v>262</v>
      </c>
      <c r="I299" s="219"/>
      <c r="J299" s="220"/>
      <c r="K299" s="218" t="s">
        <v>263</v>
      </c>
      <c r="L299" s="243"/>
    </row>
    <row r="300" spans="1:12">
      <c r="A300" s="19"/>
      <c r="B300" s="190"/>
      <c r="C300" s="222"/>
      <c r="D300" s="222"/>
      <c r="E300" s="222"/>
      <c r="F300" s="222" t="s">
        <v>264</v>
      </c>
      <c r="G300" s="222"/>
      <c r="H300" s="222"/>
      <c r="I300" s="222"/>
      <c r="J300" s="222"/>
      <c r="K300" s="222"/>
      <c r="L300" s="244"/>
    </row>
    <row r="301" spans="1:12">
      <c r="A301" s="19">
        <v>9</v>
      </c>
      <c r="B301" s="203" t="s">
        <v>265</v>
      </c>
      <c r="C301" s="204" t="s">
        <v>266</v>
      </c>
      <c r="D301" s="204"/>
      <c r="E301" s="204"/>
      <c r="F301" s="204"/>
      <c r="G301" s="205"/>
      <c r="H301" s="214"/>
      <c r="I301" s="204"/>
      <c r="J301" s="204"/>
      <c r="K301" s="204"/>
      <c r="L301" s="242"/>
    </row>
    <row r="302" spans="1:12">
      <c r="A302" s="92"/>
      <c r="B302" s="203" t="s">
        <v>267</v>
      </c>
      <c r="C302" s="204" t="s">
        <v>268</v>
      </c>
      <c r="D302" s="204"/>
      <c r="E302" s="204"/>
      <c r="F302" s="204"/>
      <c r="G302" s="205"/>
      <c r="H302" s="214"/>
      <c r="I302" s="204"/>
      <c r="J302" s="204"/>
      <c r="K302" s="204"/>
      <c r="L302" s="242"/>
    </row>
    <row r="303" spans="1:12">
      <c r="A303" s="92"/>
      <c r="B303" s="203" t="s">
        <v>306</v>
      </c>
      <c r="C303" s="204" t="s">
        <v>307</v>
      </c>
      <c r="D303" s="204"/>
      <c r="E303" s="204"/>
      <c r="F303" s="204"/>
      <c r="G303" s="205"/>
      <c r="H303" s="214"/>
      <c r="I303" s="204"/>
      <c r="J303" s="204"/>
      <c r="K303" s="204"/>
      <c r="L303" s="242"/>
    </row>
    <row r="304" spans="1:12">
      <c r="A304" s="92"/>
      <c r="B304" s="203" t="s">
        <v>270</v>
      </c>
      <c r="C304" s="204" t="s">
        <v>271</v>
      </c>
      <c r="D304" s="204"/>
      <c r="E304" s="204"/>
      <c r="F304" s="204"/>
      <c r="G304" s="205"/>
      <c r="H304" s="214"/>
      <c r="I304" s="204"/>
      <c r="J304" s="204"/>
      <c r="K304" s="204"/>
      <c r="L304" s="242"/>
    </row>
    <row r="305" spans="1:12">
      <c r="A305" s="92"/>
      <c r="B305" s="203" t="s">
        <v>272</v>
      </c>
      <c r="C305" s="204" t="s">
        <v>273</v>
      </c>
      <c r="D305" s="204"/>
      <c r="E305" s="204"/>
      <c r="F305" s="204"/>
      <c r="G305" s="205"/>
      <c r="H305" s="214"/>
      <c r="I305" s="204"/>
      <c r="J305" s="204"/>
      <c r="K305" s="204"/>
      <c r="L305" s="242"/>
    </row>
    <row r="306" spans="1:12">
      <c r="A306" s="92">
        <v>10</v>
      </c>
      <c r="B306" s="203" t="s">
        <v>265</v>
      </c>
      <c r="C306" s="204" t="s">
        <v>308</v>
      </c>
      <c r="D306" s="204"/>
      <c r="E306" s="204"/>
      <c r="F306" s="204"/>
      <c r="G306" s="205"/>
      <c r="H306" s="218" t="s">
        <v>262</v>
      </c>
      <c r="I306" s="219"/>
      <c r="J306" s="220"/>
      <c r="K306" s="218" t="s">
        <v>263</v>
      </c>
      <c r="L306" s="243"/>
    </row>
    <row r="307" spans="1:12">
      <c r="A307" s="92"/>
      <c r="B307" s="203" t="s">
        <v>267</v>
      </c>
      <c r="C307" s="204" t="s">
        <v>309</v>
      </c>
      <c r="D307" s="204"/>
      <c r="E307" s="204"/>
      <c r="F307" s="204"/>
      <c r="G307" s="205"/>
      <c r="H307" s="214"/>
      <c r="I307" s="204"/>
      <c r="J307" s="204"/>
      <c r="K307" s="204"/>
      <c r="L307" s="242"/>
    </row>
    <row r="308" spans="1:12">
      <c r="A308" s="92"/>
      <c r="B308" s="203" t="s">
        <v>306</v>
      </c>
      <c r="C308" s="204" t="s">
        <v>274</v>
      </c>
      <c r="D308" s="204"/>
      <c r="E308" s="204"/>
      <c r="F308" s="204"/>
      <c r="G308" s="205"/>
      <c r="H308" s="214"/>
      <c r="I308" s="204"/>
      <c r="J308" s="204"/>
      <c r="K308" s="204"/>
      <c r="L308" s="242"/>
    </row>
    <row r="309" spans="1:12">
      <c r="A309" s="92"/>
      <c r="B309" s="203" t="s">
        <v>270</v>
      </c>
      <c r="C309" s="204" t="s">
        <v>310</v>
      </c>
      <c r="D309" s="204"/>
      <c r="E309" s="204"/>
      <c r="F309" s="204"/>
      <c r="G309" s="205"/>
      <c r="H309" s="214"/>
      <c r="I309" s="204"/>
      <c r="J309" s="204"/>
      <c r="K309" s="204"/>
      <c r="L309" s="242"/>
    </row>
    <row r="310" spans="1:12">
      <c r="A310" s="19"/>
      <c r="B310" s="190"/>
      <c r="C310" s="222"/>
      <c r="D310" s="222"/>
      <c r="E310" s="222" t="s">
        <v>311</v>
      </c>
      <c r="F310" s="222"/>
      <c r="G310" s="222"/>
      <c r="H310" s="222"/>
      <c r="I310" s="222"/>
      <c r="J310" s="222"/>
      <c r="K310" s="222"/>
      <c r="L310" s="244"/>
    </row>
    <row r="311" spans="1:12">
      <c r="A311" s="19">
        <v>11</v>
      </c>
      <c r="B311" s="203" t="s">
        <v>265</v>
      </c>
      <c r="C311" s="204" t="s">
        <v>275</v>
      </c>
      <c r="D311" s="204"/>
      <c r="E311" s="204"/>
      <c r="F311" s="204"/>
      <c r="G311" s="205"/>
      <c r="H311" s="214"/>
      <c r="I311" s="204"/>
      <c r="J311" s="204"/>
      <c r="K311" s="204"/>
      <c r="L311" s="242"/>
    </row>
    <row r="312" spans="1:12">
      <c r="A312" s="19"/>
      <c r="B312" s="203" t="s">
        <v>267</v>
      </c>
      <c r="C312" s="204" t="s">
        <v>276</v>
      </c>
      <c r="D312" s="204"/>
      <c r="E312" s="204"/>
      <c r="F312" s="204"/>
      <c r="G312" s="205"/>
      <c r="H312" s="214"/>
      <c r="I312" s="204"/>
      <c r="J312" s="204"/>
      <c r="K312" s="204"/>
      <c r="L312" s="242"/>
    </row>
    <row r="313" spans="1:12">
      <c r="A313" s="19"/>
      <c r="B313" s="203" t="s">
        <v>269</v>
      </c>
      <c r="C313" s="204" t="s">
        <v>277</v>
      </c>
      <c r="D313" s="204"/>
      <c r="E313" s="204"/>
      <c r="F313" s="204"/>
      <c r="G313" s="205"/>
      <c r="H313" s="214"/>
      <c r="I313" s="204"/>
      <c r="J313" s="204"/>
      <c r="K313" s="204"/>
      <c r="L313" s="242"/>
    </row>
    <row r="314" spans="1:12">
      <c r="A314" s="19"/>
      <c r="B314" s="178"/>
      <c r="C314" s="174"/>
      <c r="D314" s="174"/>
      <c r="E314" s="174"/>
      <c r="F314" s="223" t="s">
        <v>278</v>
      </c>
      <c r="G314" s="174"/>
      <c r="H314" s="163"/>
      <c r="I314" s="163"/>
      <c r="J314" s="163"/>
      <c r="K314" s="163"/>
      <c r="L314" s="181"/>
    </row>
    <row r="315" spans="1:12">
      <c r="A315" s="19"/>
      <c r="B315" s="235" t="s">
        <v>279</v>
      </c>
      <c r="C315" s="234" t="s">
        <v>280</v>
      </c>
      <c r="D315" s="174"/>
      <c r="E315" s="174"/>
      <c r="F315" s="174"/>
      <c r="G315" s="174"/>
      <c r="H315" s="163"/>
      <c r="I315" s="163"/>
      <c r="J315" s="164"/>
      <c r="K315" s="163"/>
      <c r="L315" s="181"/>
    </row>
    <row r="316" spans="1:12">
      <c r="A316" s="19"/>
      <c r="B316" s="235" t="s">
        <v>281</v>
      </c>
      <c r="C316" s="233" t="s">
        <v>282</v>
      </c>
      <c r="D316" s="163"/>
      <c r="E316" s="164"/>
      <c r="G316" s="1023"/>
      <c r="H316" s="1023"/>
      <c r="I316" s="179"/>
      <c r="J316" s="180"/>
      <c r="K316" s="1023"/>
      <c r="L316" s="1024"/>
    </row>
    <row r="317" spans="1:12">
      <c r="A317" s="19"/>
      <c r="B317" s="236" t="s">
        <v>283</v>
      </c>
      <c r="C317" s="1025" t="s">
        <v>312</v>
      </c>
      <c r="D317" s="1025"/>
      <c r="E317" s="1025"/>
      <c r="F317" s="1025"/>
      <c r="G317" s="1025"/>
      <c r="H317" s="1025"/>
      <c r="I317" s="1025"/>
      <c r="J317" s="1025"/>
      <c r="K317" s="1025"/>
      <c r="L317" s="1026"/>
    </row>
    <row r="318" spans="1:12">
      <c r="A318" s="19"/>
      <c r="B318" s="235" t="s">
        <v>284</v>
      </c>
      <c r="C318" s="234" t="s">
        <v>285</v>
      </c>
      <c r="D318" s="226"/>
      <c r="E318" s="226"/>
      <c r="F318" s="226"/>
      <c r="G318" s="226"/>
      <c r="H318" s="226"/>
      <c r="I318" s="226"/>
      <c r="J318" s="226"/>
      <c r="K318" s="226"/>
      <c r="L318" s="245"/>
    </row>
    <row r="319" spans="1:12">
      <c r="A319" s="19"/>
      <c r="B319" s="178"/>
      <c r="C319" t="s">
        <v>313</v>
      </c>
      <c r="D319" s="291" t="e">
        <f>'04-22Master'!#REF!</f>
        <v>#REF!</v>
      </c>
      <c r="E319" s="3"/>
      <c r="F319" s="3"/>
      <c r="G319" s="3"/>
      <c r="L319" s="20"/>
    </row>
    <row r="320" spans="1:12">
      <c r="A320" s="19"/>
      <c r="C320" t="s">
        <v>286</v>
      </c>
      <c r="D320" t="s">
        <v>375</v>
      </c>
      <c r="J320" t="s">
        <v>314</v>
      </c>
      <c r="L320" s="20"/>
    </row>
    <row r="321" spans="1:12" ht="16.5" customHeight="1">
      <c r="A321" s="19"/>
      <c r="L321" s="20"/>
    </row>
    <row r="322" spans="1:12" ht="21.75" customHeight="1">
      <c r="A322" s="19"/>
      <c r="F322" s="224" t="s">
        <v>287</v>
      </c>
      <c r="L322" s="20"/>
    </row>
    <row r="323" spans="1:12" ht="27.95" customHeight="1">
      <c r="A323" s="19" t="s">
        <v>315</v>
      </c>
      <c r="B323" t="s">
        <v>288</v>
      </c>
      <c r="E323" s="227" t="e">
        <f>'04-22Master'!#REF!</f>
        <v>#REF!</v>
      </c>
      <c r="H323" s="1027" t="s">
        <v>289</v>
      </c>
      <c r="I323" s="1027"/>
      <c r="J323" s="228" t="e">
        <f>'04-22Master'!#REF!</f>
        <v>#REF!</v>
      </c>
      <c r="K323" t="s">
        <v>290</v>
      </c>
      <c r="L323" s="20"/>
    </row>
    <row r="324" spans="1:12" ht="25.5" customHeight="1">
      <c r="A324" s="19"/>
      <c r="B324" s="1028" t="e">
        <f>'04-22Master'!#REF!</f>
        <v>#REF!</v>
      </c>
      <c r="C324" s="1029"/>
      <c r="D324" s="225"/>
      <c r="E324" s="225"/>
      <c r="F324" s="225"/>
      <c r="G324" s="225"/>
      <c r="H324" s="225"/>
      <c r="I324" s="225"/>
      <c r="J324" s="225"/>
      <c r="K324" s="225"/>
      <c r="L324" s="246"/>
    </row>
    <row r="325" spans="1:12" ht="24.75" customHeight="1">
      <c r="A325" s="19" t="s">
        <v>317</v>
      </c>
      <c r="B325" s="225" t="s">
        <v>291</v>
      </c>
      <c r="C325" s="225"/>
      <c r="D325" s="225"/>
      <c r="E325" s="225"/>
      <c r="F325" s="225"/>
      <c r="G325" s="225"/>
      <c r="H325" s="225"/>
      <c r="I325" s="225"/>
      <c r="J325" s="225"/>
      <c r="K325" s="225"/>
      <c r="L325" s="246"/>
    </row>
    <row r="326" spans="1:12" ht="27.95" customHeight="1">
      <c r="A326" s="19"/>
      <c r="B326" s="225" t="s">
        <v>316</v>
      </c>
      <c r="C326" s="225"/>
      <c r="D326" s="225"/>
      <c r="E326" s="225"/>
      <c r="F326" s="225"/>
      <c r="G326" s="225"/>
      <c r="H326" s="225"/>
      <c r="I326" s="225"/>
      <c r="J326" s="225"/>
      <c r="K326" s="225"/>
      <c r="L326" s="246"/>
    </row>
    <row r="327" spans="1:12" ht="27.95" customHeight="1">
      <c r="A327" s="19"/>
      <c r="B327" t="s">
        <v>292</v>
      </c>
      <c r="L327" s="20"/>
    </row>
    <row r="328" spans="1:12" ht="27.95" customHeight="1">
      <c r="A328" s="19"/>
      <c r="B328" s="3" t="s">
        <v>293</v>
      </c>
      <c r="F328" s="177"/>
      <c r="L328" s="20"/>
    </row>
    <row r="329" spans="1:12" ht="27.95" customHeight="1">
      <c r="A329" s="19"/>
      <c r="B329" s="3" t="s">
        <v>294</v>
      </c>
      <c r="L329" s="20"/>
    </row>
    <row r="330" spans="1:12" ht="27.95" customHeight="1">
      <c r="A330" s="19"/>
      <c r="B330" t="s">
        <v>295</v>
      </c>
      <c r="L330" s="20"/>
    </row>
    <row r="331" spans="1:12" ht="27.95" customHeight="1">
      <c r="A331" s="19"/>
      <c r="B331" t="s">
        <v>296</v>
      </c>
      <c r="L331" s="20"/>
    </row>
    <row r="332" spans="1:12" ht="27.95" customHeight="1">
      <c r="A332" s="19" t="s">
        <v>306</v>
      </c>
      <c r="B332" t="s">
        <v>297</v>
      </c>
      <c r="L332" s="20"/>
    </row>
    <row r="333" spans="1:12" ht="27.95" customHeight="1">
      <c r="A333" s="19"/>
      <c r="B333" s="237" t="s">
        <v>318</v>
      </c>
      <c r="L333" s="20"/>
    </row>
    <row r="334" spans="1:12" ht="27.95" customHeight="1">
      <c r="A334" s="19"/>
      <c r="B334" t="s">
        <v>292</v>
      </c>
      <c r="L334" s="20"/>
    </row>
    <row r="335" spans="1:12" ht="27.95" customHeight="1">
      <c r="A335" s="19"/>
      <c r="B335" t="s">
        <v>298</v>
      </c>
      <c r="L335" s="20"/>
    </row>
    <row r="336" spans="1:12" ht="27.95" customHeight="1">
      <c r="A336" s="19"/>
      <c r="B336" t="s">
        <v>299</v>
      </c>
      <c r="L336" s="20"/>
    </row>
    <row r="337" spans="1:12" ht="27.95" customHeight="1">
      <c r="A337" s="19"/>
      <c r="B337" s="1030" t="s">
        <v>300</v>
      </c>
      <c r="C337" s="1030"/>
      <c r="D337" s="1030"/>
      <c r="E337" s="1030"/>
      <c r="F337" s="1030"/>
      <c r="G337" s="1030"/>
      <c r="H337" s="1030"/>
      <c r="I337" s="1030"/>
      <c r="J337" s="1030"/>
      <c r="K337" s="1030"/>
      <c r="L337" s="1031"/>
    </row>
    <row r="338" spans="1:12" ht="27.95" customHeight="1">
      <c r="A338" s="19"/>
      <c r="B338" t="s">
        <v>212</v>
      </c>
      <c r="C338" s="286" t="e">
        <f>'04-22Master'!#REF!</f>
        <v>#REF!</v>
      </c>
      <c r="D338" s="207"/>
      <c r="E338" s="207"/>
      <c r="F338" s="207"/>
      <c r="G338" s="207"/>
      <c r="H338" s="207"/>
      <c r="I338" t="s">
        <v>319</v>
      </c>
      <c r="J338" s="207"/>
      <c r="K338" s="207"/>
      <c r="L338" s="238"/>
    </row>
    <row r="339" spans="1:12" ht="16.5" thickBot="1">
      <c r="A339" s="31"/>
      <c r="B339" s="860"/>
      <c r="C339" s="860"/>
      <c r="D339" s="860"/>
      <c r="E339" s="860"/>
      <c r="F339" s="860"/>
      <c r="G339" s="860"/>
      <c r="H339" s="860"/>
      <c r="I339" s="860"/>
      <c r="J339" s="860"/>
      <c r="K339" s="860"/>
      <c r="L339" s="861"/>
    </row>
    <row r="340" spans="1:12">
      <c r="A340" s="81"/>
      <c r="B340" s="82"/>
      <c r="C340" s="82"/>
      <c r="D340" s="82"/>
      <c r="E340" s="82"/>
      <c r="F340" s="82"/>
      <c r="G340" s="82"/>
      <c r="H340" s="82"/>
      <c r="I340" s="86" t="s">
        <v>246</v>
      </c>
      <c r="J340" s="82"/>
      <c r="K340" s="82"/>
      <c r="L340" s="83"/>
    </row>
    <row r="341" spans="1:12">
      <c r="A341" s="19"/>
      <c r="B341" s="1032" t="s">
        <v>301</v>
      </c>
      <c r="C341" s="1032"/>
      <c r="D341" s="1032"/>
      <c r="E341" s="1032"/>
      <c r="F341" s="1032"/>
      <c r="G341" s="1032"/>
      <c r="H341" s="1032"/>
      <c r="I341" s="1032"/>
      <c r="J341" s="1032"/>
      <c r="K341" s="1032"/>
      <c r="L341" s="1033"/>
    </row>
    <row r="342" spans="1:12" ht="23.25">
      <c r="A342" s="19"/>
      <c r="B342" s="207"/>
      <c r="C342" s="207"/>
      <c r="D342" s="215" t="s">
        <v>248</v>
      </c>
      <c r="E342" s="207"/>
      <c r="F342" s="207"/>
      <c r="G342" s="207"/>
      <c r="H342" s="207"/>
      <c r="I342" s="209" t="s">
        <v>302</v>
      </c>
      <c r="J342" s="210"/>
      <c r="K342" s="290" t="e">
        <f>'04-22Master'!#REF!</f>
        <v>#REF!</v>
      </c>
      <c r="L342" s="240"/>
    </row>
    <row r="343" spans="1:12" ht="15.75">
      <c r="A343" s="19"/>
      <c r="B343" s="2"/>
      <c r="C343" s="2" t="s">
        <v>249</v>
      </c>
      <c r="E343" s="2"/>
      <c r="F343" s="2"/>
      <c r="G343" s="2"/>
      <c r="H343" s="2"/>
      <c r="I343" s="208" t="s">
        <v>303</v>
      </c>
      <c r="J343" s="229" t="str">
        <f>'04-22Master'!F5</f>
        <v>Burgeon IT Services Pvt.Ltd.</v>
      </c>
      <c r="K343" s="211"/>
      <c r="L343" s="241"/>
    </row>
    <row r="344" spans="1:12">
      <c r="A344" s="19"/>
      <c r="B344" s="216"/>
      <c r="C344" s="185" t="s">
        <v>250</v>
      </c>
      <c r="E344" s="216"/>
      <c r="F344" s="216"/>
      <c r="H344" s="186"/>
      <c r="I344" s="232" t="str">
        <f>'04-22Master'!F6</f>
        <v>Siri Mansion LIGB 436 Dr.A S Rao Nagar,Hyderabad</v>
      </c>
      <c r="J344" s="230"/>
      <c r="K344" s="231"/>
      <c r="L344" s="195"/>
    </row>
    <row r="345" spans="1:12">
      <c r="A345" s="19"/>
      <c r="L345" s="20"/>
    </row>
    <row r="346" spans="1:12" ht="20.25" customHeight="1">
      <c r="A346" s="19">
        <v>1</v>
      </c>
      <c r="B346" s="212" t="s">
        <v>251</v>
      </c>
      <c r="C346" s="69"/>
      <c r="D346" s="69"/>
      <c r="E346" s="69"/>
      <c r="F346" s="69"/>
      <c r="G346" s="70"/>
      <c r="H346" s="988" t="e">
        <f>'04-22Master'!#REF!</f>
        <v>#REF!</v>
      </c>
      <c r="I346" s="1010"/>
      <c r="J346" s="1010"/>
      <c r="K346" s="1010"/>
      <c r="L346" s="1011"/>
    </row>
    <row r="347" spans="1:12" ht="11.25" customHeight="1">
      <c r="A347" s="19">
        <v>2</v>
      </c>
      <c r="B347" s="1034" t="s">
        <v>252</v>
      </c>
      <c r="C347" s="1035"/>
      <c r="D347" s="1035"/>
      <c r="E347" s="1035"/>
      <c r="F347" s="213" t="s">
        <v>253</v>
      </c>
      <c r="G347" s="197"/>
      <c r="H347" s="1036" t="e">
        <f>'04-22Master'!#REF!</f>
        <v>#REF!</v>
      </c>
      <c r="I347" s="1037"/>
      <c r="J347" s="1037"/>
      <c r="K347" s="1037"/>
      <c r="L347" s="1038"/>
    </row>
    <row r="348" spans="1:12" ht="11.25" customHeight="1">
      <c r="A348" s="19"/>
      <c r="B348" s="198" t="s">
        <v>254</v>
      </c>
      <c r="C348" s="199"/>
      <c r="D348" s="199"/>
      <c r="E348" s="199"/>
      <c r="F348" s="199" t="s">
        <v>247</v>
      </c>
      <c r="G348" s="200"/>
      <c r="H348" s="1039"/>
      <c r="I348" s="1040"/>
      <c r="J348" s="1040"/>
      <c r="K348" s="1040"/>
      <c r="L348" s="1041"/>
    </row>
    <row r="349" spans="1:12">
      <c r="A349" s="19">
        <v>3</v>
      </c>
      <c r="B349" s="214" t="s">
        <v>255</v>
      </c>
      <c r="C349" s="204"/>
      <c r="D349" s="204"/>
      <c r="E349" s="204"/>
      <c r="F349" s="204"/>
      <c r="G349" s="205"/>
      <c r="H349" s="1014">
        <f>'04-22Master'!C34</f>
        <v>0</v>
      </c>
      <c r="I349" s="1015"/>
      <c r="J349" s="1015"/>
      <c r="K349" s="1015"/>
      <c r="L349" s="1016"/>
    </row>
    <row r="350" spans="1:12">
      <c r="A350" s="19">
        <v>4</v>
      </c>
      <c r="B350" s="190" t="s">
        <v>256</v>
      </c>
      <c r="C350" s="69"/>
      <c r="D350" s="69"/>
      <c r="E350" s="69"/>
      <c r="F350" s="69"/>
      <c r="G350" s="70"/>
      <c r="H350" s="980">
        <f>'04-22Master'!D34</f>
        <v>0</v>
      </c>
      <c r="I350" s="1002"/>
      <c r="J350" s="1002"/>
      <c r="K350" s="1002"/>
      <c r="L350" s="996"/>
    </row>
    <row r="351" spans="1:12">
      <c r="A351" s="19">
        <v>5</v>
      </c>
      <c r="B351" s="1017" t="s">
        <v>304</v>
      </c>
      <c r="C351" s="1018"/>
      <c r="D351" s="1018"/>
      <c r="E351" s="1018"/>
      <c r="F351" s="1018"/>
      <c r="G351" s="70"/>
      <c r="H351" s="1009" t="s">
        <v>383</v>
      </c>
      <c r="I351" s="1010"/>
      <c r="J351" s="1010"/>
      <c r="K351" s="1010"/>
      <c r="L351" s="1011"/>
    </row>
    <row r="352" spans="1:12">
      <c r="A352" s="19">
        <v>6</v>
      </c>
      <c r="B352" s="203" t="s">
        <v>257</v>
      </c>
      <c r="C352" s="204" t="s">
        <v>258</v>
      </c>
      <c r="D352" s="204"/>
      <c r="E352" s="204"/>
      <c r="F352" s="204"/>
      <c r="G352" s="205"/>
      <c r="H352" s="214"/>
      <c r="I352" s="204"/>
      <c r="J352" s="204"/>
      <c r="K352" s="204"/>
      <c r="L352" s="242"/>
    </row>
    <row r="353" spans="1:12">
      <c r="A353" s="19"/>
      <c r="B353" s="203" t="s">
        <v>259</v>
      </c>
      <c r="C353" s="204" t="s">
        <v>260</v>
      </c>
      <c r="D353" s="204"/>
      <c r="E353" s="204"/>
      <c r="F353" s="204"/>
      <c r="G353" s="205"/>
      <c r="H353" s="214"/>
      <c r="I353" s="196"/>
      <c r="J353" s="196"/>
      <c r="K353" s="204"/>
      <c r="L353" s="242"/>
    </row>
    <row r="354" spans="1:12">
      <c r="A354" s="19">
        <v>7</v>
      </c>
      <c r="B354" s="1014" t="s">
        <v>261</v>
      </c>
      <c r="C354" s="1015"/>
      <c r="D354" s="1015"/>
      <c r="E354" s="1015"/>
      <c r="F354" s="1015"/>
      <c r="G354" s="1022"/>
      <c r="H354" s="218" t="s">
        <v>262</v>
      </c>
      <c r="I354" s="219"/>
      <c r="J354" s="220"/>
      <c r="K354" s="218" t="s">
        <v>263</v>
      </c>
      <c r="L354" s="243"/>
    </row>
    <row r="355" spans="1:12">
      <c r="A355" s="19">
        <v>8</v>
      </c>
      <c r="B355" s="1014" t="s">
        <v>305</v>
      </c>
      <c r="C355" s="1015"/>
      <c r="D355" s="1015"/>
      <c r="E355" s="1015"/>
      <c r="F355" s="1015"/>
      <c r="G355" s="1022"/>
      <c r="H355" s="218" t="s">
        <v>262</v>
      </c>
      <c r="I355" s="219"/>
      <c r="J355" s="220"/>
      <c r="K355" s="218" t="s">
        <v>263</v>
      </c>
      <c r="L355" s="243"/>
    </row>
    <row r="356" spans="1:12">
      <c r="A356" s="19"/>
      <c r="B356" s="190"/>
      <c r="C356" s="222"/>
      <c r="D356" s="222"/>
      <c r="E356" s="222"/>
      <c r="F356" s="222" t="s">
        <v>264</v>
      </c>
      <c r="G356" s="222"/>
      <c r="H356" s="222"/>
      <c r="I356" s="222"/>
      <c r="J356" s="222"/>
      <c r="K356" s="222"/>
      <c r="L356" s="244"/>
    </row>
    <row r="357" spans="1:12">
      <c r="A357" s="19">
        <v>9</v>
      </c>
      <c r="B357" s="203" t="s">
        <v>265</v>
      </c>
      <c r="C357" s="204" t="s">
        <v>266</v>
      </c>
      <c r="D357" s="204"/>
      <c r="E357" s="204"/>
      <c r="F357" s="204"/>
      <c r="G357" s="205"/>
      <c r="H357" s="214"/>
      <c r="I357" s="204"/>
      <c r="J357" s="204"/>
      <c r="K357" s="204"/>
      <c r="L357" s="242"/>
    </row>
    <row r="358" spans="1:12">
      <c r="A358" s="92"/>
      <c r="B358" s="203" t="s">
        <v>267</v>
      </c>
      <c r="C358" s="204" t="s">
        <v>268</v>
      </c>
      <c r="D358" s="204"/>
      <c r="E358" s="204"/>
      <c r="F358" s="204"/>
      <c r="G358" s="205"/>
      <c r="H358" s="214"/>
      <c r="I358" s="204"/>
      <c r="J358" s="204"/>
      <c r="K358" s="204"/>
      <c r="L358" s="242"/>
    </row>
    <row r="359" spans="1:12">
      <c r="A359" s="92"/>
      <c r="B359" s="203" t="s">
        <v>306</v>
      </c>
      <c r="C359" s="204" t="s">
        <v>307</v>
      </c>
      <c r="D359" s="204"/>
      <c r="E359" s="204"/>
      <c r="F359" s="204"/>
      <c r="G359" s="205"/>
      <c r="H359" s="214"/>
      <c r="I359" s="204"/>
      <c r="J359" s="204"/>
      <c r="K359" s="204"/>
      <c r="L359" s="242"/>
    </row>
    <row r="360" spans="1:12">
      <c r="A360" s="92"/>
      <c r="B360" s="203" t="s">
        <v>270</v>
      </c>
      <c r="C360" s="204" t="s">
        <v>271</v>
      </c>
      <c r="D360" s="204"/>
      <c r="E360" s="204"/>
      <c r="F360" s="204"/>
      <c r="G360" s="205"/>
      <c r="H360" s="214"/>
      <c r="I360" s="204"/>
      <c r="J360" s="204"/>
      <c r="K360" s="204"/>
      <c r="L360" s="242"/>
    </row>
    <row r="361" spans="1:12">
      <c r="A361" s="92"/>
      <c r="B361" s="203" t="s">
        <v>272</v>
      </c>
      <c r="C361" s="204" t="s">
        <v>273</v>
      </c>
      <c r="D361" s="204"/>
      <c r="E361" s="204"/>
      <c r="F361" s="204"/>
      <c r="G361" s="205"/>
      <c r="H361" s="214"/>
      <c r="I361" s="204"/>
      <c r="J361" s="204"/>
      <c r="K361" s="204"/>
      <c r="L361" s="242"/>
    </row>
    <row r="362" spans="1:12">
      <c r="A362" s="92">
        <v>10</v>
      </c>
      <c r="B362" s="203" t="s">
        <v>265</v>
      </c>
      <c r="C362" s="204" t="s">
        <v>308</v>
      </c>
      <c r="D362" s="204"/>
      <c r="E362" s="204"/>
      <c r="F362" s="204"/>
      <c r="G362" s="205"/>
      <c r="H362" s="218" t="s">
        <v>262</v>
      </c>
      <c r="I362" s="219"/>
      <c r="J362" s="220"/>
      <c r="K362" s="218" t="s">
        <v>263</v>
      </c>
      <c r="L362" s="243"/>
    </row>
    <row r="363" spans="1:12">
      <c r="A363" s="92"/>
      <c r="B363" s="203" t="s">
        <v>267</v>
      </c>
      <c r="C363" s="204" t="s">
        <v>309</v>
      </c>
      <c r="D363" s="204"/>
      <c r="E363" s="204"/>
      <c r="F363" s="204"/>
      <c r="G363" s="205"/>
      <c r="H363" s="214"/>
      <c r="I363" s="204"/>
      <c r="J363" s="204"/>
      <c r="K363" s="204"/>
      <c r="L363" s="242"/>
    </row>
    <row r="364" spans="1:12">
      <c r="A364" s="92"/>
      <c r="B364" s="203" t="s">
        <v>306</v>
      </c>
      <c r="C364" s="204" t="s">
        <v>274</v>
      </c>
      <c r="D364" s="204"/>
      <c r="E364" s="204"/>
      <c r="F364" s="204"/>
      <c r="G364" s="205"/>
      <c r="H364" s="214"/>
      <c r="I364" s="204"/>
      <c r="J364" s="204"/>
      <c r="K364" s="204"/>
      <c r="L364" s="242"/>
    </row>
    <row r="365" spans="1:12">
      <c r="A365" s="92"/>
      <c r="B365" s="203" t="s">
        <v>270</v>
      </c>
      <c r="C365" s="204" t="s">
        <v>310</v>
      </c>
      <c r="D365" s="204"/>
      <c r="E365" s="204"/>
      <c r="F365" s="204"/>
      <c r="G365" s="205"/>
      <c r="H365" s="214"/>
      <c r="I365" s="204"/>
      <c r="J365" s="204"/>
      <c r="K365" s="204"/>
      <c r="L365" s="242"/>
    </row>
    <row r="366" spans="1:12">
      <c r="A366" s="19"/>
      <c r="B366" s="190"/>
      <c r="C366" s="222"/>
      <c r="D366" s="222"/>
      <c r="E366" s="222" t="s">
        <v>311</v>
      </c>
      <c r="F366" s="222"/>
      <c r="G366" s="222"/>
      <c r="H366" s="222"/>
      <c r="I366" s="222"/>
      <c r="J366" s="222"/>
      <c r="K366" s="222"/>
      <c r="L366" s="244"/>
    </row>
    <row r="367" spans="1:12">
      <c r="A367" s="19">
        <v>11</v>
      </c>
      <c r="B367" s="203" t="s">
        <v>265</v>
      </c>
      <c r="C367" s="204" t="s">
        <v>275</v>
      </c>
      <c r="D367" s="204"/>
      <c r="E367" s="204"/>
      <c r="F367" s="204"/>
      <c r="G367" s="205"/>
      <c r="H367" s="214"/>
      <c r="I367" s="204"/>
      <c r="J367" s="204"/>
      <c r="K367" s="204"/>
      <c r="L367" s="242"/>
    </row>
    <row r="368" spans="1:12">
      <c r="A368" s="19"/>
      <c r="B368" s="203" t="s">
        <v>267</v>
      </c>
      <c r="C368" s="204" t="s">
        <v>276</v>
      </c>
      <c r="D368" s="204"/>
      <c r="E368" s="204"/>
      <c r="F368" s="204"/>
      <c r="G368" s="205"/>
      <c r="H368" s="214"/>
      <c r="I368" s="204"/>
      <c r="J368" s="204"/>
      <c r="K368" s="204"/>
      <c r="L368" s="242"/>
    </row>
    <row r="369" spans="1:12">
      <c r="A369" s="19"/>
      <c r="B369" s="203" t="s">
        <v>269</v>
      </c>
      <c r="C369" s="204" t="s">
        <v>277</v>
      </c>
      <c r="D369" s="204"/>
      <c r="E369" s="204"/>
      <c r="F369" s="204"/>
      <c r="G369" s="205"/>
      <c r="H369" s="214"/>
      <c r="I369" s="204"/>
      <c r="J369" s="204"/>
      <c r="K369" s="204"/>
      <c r="L369" s="242"/>
    </row>
    <row r="370" spans="1:12">
      <c r="A370" s="19"/>
      <c r="B370" s="178"/>
      <c r="C370" s="174"/>
      <c r="D370" s="174"/>
      <c r="E370" s="174"/>
      <c r="F370" s="223" t="s">
        <v>278</v>
      </c>
      <c r="G370" s="174"/>
      <c r="H370" s="163"/>
      <c r="I370" s="163"/>
      <c r="J370" s="163"/>
      <c r="K370" s="163"/>
      <c r="L370" s="181"/>
    </row>
    <row r="371" spans="1:12">
      <c r="A371" s="19"/>
      <c r="B371" s="235" t="s">
        <v>279</v>
      </c>
      <c r="C371" s="234" t="s">
        <v>280</v>
      </c>
      <c r="D371" s="174"/>
      <c r="E371" s="174"/>
      <c r="F371" s="174"/>
      <c r="G371" s="174"/>
      <c r="H371" s="163"/>
      <c r="I371" s="163"/>
      <c r="J371" s="164"/>
      <c r="K371" s="163"/>
      <c r="L371" s="181"/>
    </row>
    <row r="372" spans="1:12">
      <c r="A372" s="19"/>
      <c r="B372" s="235" t="s">
        <v>281</v>
      </c>
      <c r="C372" s="233" t="s">
        <v>282</v>
      </c>
      <c r="D372" s="163"/>
      <c r="E372" s="164"/>
      <c r="G372" s="1023"/>
      <c r="H372" s="1023"/>
      <c r="I372" s="179"/>
      <c r="J372" s="180"/>
      <c r="K372" s="1023"/>
      <c r="L372" s="1024"/>
    </row>
    <row r="373" spans="1:12">
      <c r="A373" s="19"/>
      <c r="B373" s="236" t="s">
        <v>283</v>
      </c>
      <c r="C373" s="1025" t="s">
        <v>312</v>
      </c>
      <c r="D373" s="1025"/>
      <c r="E373" s="1025"/>
      <c r="F373" s="1025"/>
      <c r="G373" s="1025"/>
      <c r="H373" s="1025"/>
      <c r="I373" s="1025"/>
      <c r="J373" s="1025"/>
      <c r="K373" s="1025"/>
      <c r="L373" s="1026"/>
    </row>
    <row r="374" spans="1:12" ht="27.95" customHeight="1">
      <c r="A374" s="19"/>
      <c r="B374" s="235" t="s">
        <v>284</v>
      </c>
      <c r="C374" s="234" t="s">
        <v>285</v>
      </c>
      <c r="D374" s="226"/>
      <c r="E374" s="226"/>
      <c r="F374" s="226"/>
      <c r="G374" s="226"/>
      <c r="H374" s="226"/>
      <c r="I374" s="226"/>
      <c r="J374" s="226"/>
      <c r="K374" s="226"/>
      <c r="L374" s="245"/>
    </row>
    <row r="375" spans="1:12" ht="27.95" customHeight="1">
      <c r="A375" s="19"/>
      <c r="B375" s="178"/>
      <c r="C375" t="s">
        <v>313</v>
      </c>
      <c r="D375" s="291" t="e">
        <f>'04-22Master'!#REF!</f>
        <v>#REF!</v>
      </c>
      <c r="E375" s="3"/>
      <c r="F375" s="3"/>
      <c r="G375" s="3"/>
      <c r="L375" s="20"/>
    </row>
    <row r="376" spans="1:12" ht="27.95" customHeight="1">
      <c r="A376" s="19"/>
      <c r="C376" t="s">
        <v>286</v>
      </c>
      <c r="D376" t="s">
        <v>375</v>
      </c>
      <c r="J376" t="s">
        <v>314</v>
      </c>
      <c r="L376" s="20"/>
    </row>
    <row r="377" spans="1:12" ht="27.95" customHeight="1">
      <c r="A377" s="19"/>
      <c r="F377" s="224" t="s">
        <v>287</v>
      </c>
      <c r="L377" s="20"/>
    </row>
    <row r="378" spans="1:12" ht="27.95" customHeight="1">
      <c r="A378" s="19" t="s">
        <v>315</v>
      </c>
      <c r="B378" t="s">
        <v>288</v>
      </c>
      <c r="E378" s="227" t="e">
        <f>'04-22Master'!#REF!</f>
        <v>#REF!</v>
      </c>
      <c r="H378" s="1027" t="s">
        <v>289</v>
      </c>
      <c r="I378" s="1027"/>
      <c r="J378" s="228" t="e">
        <f>'04-22Master'!#REF!</f>
        <v>#REF!</v>
      </c>
      <c r="K378" t="s">
        <v>290</v>
      </c>
      <c r="L378" s="20"/>
    </row>
    <row r="379" spans="1:12" ht="27.95" customHeight="1">
      <c r="A379" s="19"/>
      <c r="B379" s="1028" t="e">
        <f>'04-22Master'!#REF!</f>
        <v>#REF!</v>
      </c>
      <c r="C379" s="1029"/>
      <c r="D379" s="225"/>
      <c r="E379" s="225"/>
      <c r="F379" s="225"/>
      <c r="G379" s="225"/>
      <c r="H379" s="225"/>
      <c r="I379" s="225"/>
      <c r="J379" s="225"/>
      <c r="K379" s="225"/>
      <c r="L379" s="246"/>
    </row>
    <row r="380" spans="1:12" ht="27.95" customHeight="1">
      <c r="A380" s="19" t="s">
        <v>317</v>
      </c>
      <c r="B380" s="225" t="s">
        <v>291</v>
      </c>
      <c r="C380" s="225"/>
      <c r="D380" s="225"/>
      <c r="E380" s="225"/>
      <c r="F380" s="225"/>
      <c r="G380" s="225"/>
      <c r="H380" s="225"/>
      <c r="I380" s="225"/>
      <c r="J380" s="225"/>
      <c r="K380" s="225"/>
      <c r="L380" s="246"/>
    </row>
    <row r="381" spans="1:12" ht="27.95" customHeight="1">
      <c r="A381" s="19"/>
      <c r="B381" s="225" t="s">
        <v>316</v>
      </c>
      <c r="C381" s="225"/>
      <c r="D381" s="225"/>
      <c r="E381" s="225"/>
      <c r="F381" s="225"/>
      <c r="G381" s="225"/>
      <c r="H381" s="225"/>
      <c r="I381" s="225"/>
      <c r="J381" s="225"/>
      <c r="K381" s="225"/>
      <c r="L381" s="246"/>
    </row>
    <row r="382" spans="1:12" ht="27.95" customHeight="1">
      <c r="A382" s="19"/>
      <c r="B382" t="s">
        <v>292</v>
      </c>
      <c r="L382" s="20"/>
    </row>
    <row r="383" spans="1:12" ht="27.95" customHeight="1">
      <c r="A383" s="19"/>
      <c r="B383" s="3" t="s">
        <v>293</v>
      </c>
      <c r="F383" s="177"/>
      <c r="L383" s="20"/>
    </row>
    <row r="384" spans="1:12" ht="27.95" customHeight="1">
      <c r="A384" s="19"/>
      <c r="B384" s="3" t="s">
        <v>294</v>
      </c>
      <c r="L384" s="20"/>
    </row>
    <row r="385" spans="1:12" ht="27.95" customHeight="1">
      <c r="A385" s="19"/>
      <c r="B385" t="s">
        <v>295</v>
      </c>
      <c r="L385" s="20"/>
    </row>
    <row r="386" spans="1:12" ht="27.95" customHeight="1">
      <c r="A386" s="19"/>
      <c r="B386" t="s">
        <v>296</v>
      </c>
      <c r="L386" s="20"/>
    </row>
    <row r="387" spans="1:12" ht="27.95" customHeight="1">
      <c r="A387" s="19" t="s">
        <v>306</v>
      </c>
      <c r="B387" t="s">
        <v>297</v>
      </c>
      <c r="L387" s="20"/>
    </row>
    <row r="388" spans="1:12" ht="27.95" customHeight="1">
      <c r="A388" s="19"/>
      <c r="B388" s="237" t="s">
        <v>318</v>
      </c>
      <c r="L388" s="20"/>
    </row>
    <row r="389" spans="1:12" ht="27.95" customHeight="1">
      <c r="A389" s="19"/>
      <c r="B389" t="s">
        <v>292</v>
      </c>
      <c r="L389" s="20"/>
    </row>
    <row r="390" spans="1:12" ht="27.95" customHeight="1">
      <c r="A390" s="19"/>
      <c r="B390" t="s">
        <v>298</v>
      </c>
      <c r="L390" s="20"/>
    </row>
    <row r="391" spans="1:12">
      <c r="A391" s="19"/>
      <c r="B391" t="s">
        <v>299</v>
      </c>
      <c r="L391" s="20"/>
    </row>
    <row r="392" spans="1:12">
      <c r="A392" s="19"/>
      <c r="B392" s="1030" t="s">
        <v>300</v>
      </c>
      <c r="C392" s="1030"/>
      <c r="D392" s="1030"/>
      <c r="E392" s="1030"/>
      <c r="F392" s="1030"/>
      <c r="G392" s="1030"/>
      <c r="H392" s="1030"/>
      <c r="I392" s="1030"/>
      <c r="J392" s="1030"/>
      <c r="K392" s="1030"/>
      <c r="L392" s="1031"/>
    </row>
    <row r="393" spans="1:12" ht="23.25">
      <c r="A393" s="19"/>
      <c r="B393" t="s">
        <v>212</v>
      </c>
      <c r="C393" s="286" t="e">
        <f>'04-22Master'!#REF!</f>
        <v>#REF!</v>
      </c>
      <c r="D393" s="207"/>
      <c r="E393" s="207"/>
      <c r="F393" s="207"/>
      <c r="G393" s="207"/>
      <c r="H393" s="207"/>
      <c r="I393" t="s">
        <v>319</v>
      </c>
      <c r="J393" s="207"/>
      <c r="K393" s="207"/>
      <c r="L393" s="238"/>
    </row>
    <row r="394" spans="1:12" ht="16.5" thickBot="1">
      <c r="A394" s="31"/>
      <c r="B394" s="860"/>
      <c r="C394" s="860"/>
      <c r="D394" s="860"/>
      <c r="E394" s="860"/>
      <c r="F394" s="860"/>
      <c r="G394" s="860"/>
      <c r="H394" s="860"/>
      <c r="I394" s="860"/>
      <c r="J394" s="860"/>
      <c r="K394" s="860"/>
      <c r="L394" s="861"/>
    </row>
    <row r="395" spans="1:12" ht="24" thickBot="1">
      <c r="B395" s="982"/>
      <c r="C395" s="982"/>
      <c r="D395" s="982"/>
      <c r="E395" s="982"/>
      <c r="F395" s="982"/>
      <c r="G395" s="982"/>
      <c r="H395" s="982"/>
      <c r="I395" s="982"/>
      <c r="J395" s="982"/>
      <c r="K395" s="982"/>
      <c r="L395" s="982"/>
    </row>
    <row r="396" spans="1:12">
      <c r="A396" s="81"/>
      <c r="B396" s="82"/>
      <c r="C396" s="82"/>
      <c r="D396" s="82"/>
      <c r="E396" s="82"/>
      <c r="F396" s="82"/>
      <c r="G396" s="82"/>
      <c r="H396" s="82"/>
      <c r="I396" s="86" t="s">
        <v>246</v>
      </c>
      <c r="J396" s="82"/>
      <c r="K396" s="82"/>
      <c r="L396" s="83"/>
    </row>
    <row r="397" spans="1:12" ht="15" customHeight="1">
      <c r="A397" s="19"/>
      <c r="B397" s="1032" t="s">
        <v>301</v>
      </c>
      <c r="C397" s="1032"/>
      <c r="D397" s="1032"/>
      <c r="E397" s="1032"/>
      <c r="F397" s="1032"/>
      <c r="G397" s="1032"/>
      <c r="H397" s="1032"/>
      <c r="I397" s="1032"/>
      <c r="J397" s="1032"/>
      <c r="K397" s="1032"/>
      <c r="L397" s="1033"/>
    </row>
    <row r="398" spans="1:12" ht="23.25">
      <c r="A398" s="19"/>
      <c r="B398" s="207"/>
      <c r="C398" s="207"/>
      <c r="D398" s="215" t="s">
        <v>248</v>
      </c>
      <c r="E398" s="207"/>
      <c r="F398" s="207"/>
      <c r="G398" s="207"/>
      <c r="H398" s="207"/>
      <c r="I398" s="209" t="s">
        <v>302</v>
      </c>
      <c r="J398" s="210"/>
      <c r="K398" s="290" t="e">
        <f>'04-22Master'!#REF!</f>
        <v>#REF!</v>
      </c>
      <c r="L398" s="240"/>
    </row>
    <row r="399" spans="1:12" ht="15.75">
      <c r="A399" s="19"/>
      <c r="B399" s="2"/>
      <c r="C399" s="2" t="s">
        <v>249</v>
      </c>
      <c r="E399" s="2"/>
      <c r="F399" s="2"/>
      <c r="G399" s="2"/>
      <c r="H399" s="2"/>
      <c r="I399" s="208" t="s">
        <v>303</v>
      </c>
      <c r="J399" s="229" t="str">
        <f>'04-22Master'!F5</f>
        <v>Burgeon IT Services Pvt.Ltd.</v>
      </c>
      <c r="K399" s="211"/>
      <c r="L399" s="241"/>
    </row>
    <row r="400" spans="1:12">
      <c r="A400" s="19"/>
      <c r="B400" s="216"/>
      <c r="C400" s="185" t="s">
        <v>250</v>
      </c>
      <c r="E400" s="216"/>
      <c r="F400" s="216"/>
      <c r="H400" s="186"/>
      <c r="I400" s="232" t="str">
        <f>'04-22Master'!F6</f>
        <v>Siri Mansion LIGB 436 Dr.A S Rao Nagar,Hyderabad</v>
      </c>
      <c r="J400" s="230"/>
      <c r="K400" s="231"/>
      <c r="L400" s="195"/>
    </row>
    <row r="401" spans="1:12">
      <c r="A401" s="19"/>
      <c r="L401" s="20"/>
    </row>
    <row r="402" spans="1:12">
      <c r="A402" s="19">
        <v>1</v>
      </c>
      <c r="B402" s="212" t="s">
        <v>251</v>
      </c>
      <c r="C402" s="69"/>
      <c r="D402" s="69"/>
      <c r="E402" s="69"/>
      <c r="F402" s="69"/>
      <c r="G402" s="70"/>
      <c r="H402" s="988" t="e">
        <f>'04-22Master'!#REF!</f>
        <v>#REF!</v>
      </c>
      <c r="I402" s="1010"/>
      <c r="J402" s="1010"/>
      <c r="K402" s="1010"/>
      <c r="L402" s="1011"/>
    </row>
    <row r="403" spans="1:12">
      <c r="A403" s="19">
        <v>2</v>
      </c>
      <c r="B403" s="1034" t="s">
        <v>252</v>
      </c>
      <c r="C403" s="1035"/>
      <c r="D403" s="1035"/>
      <c r="E403" s="1035"/>
      <c r="F403" s="213" t="s">
        <v>253</v>
      </c>
      <c r="G403" s="197"/>
      <c r="H403" s="1036" t="e">
        <f>'04-22Master'!#REF!</f>
        <v>#REF!</v>
      </c>
      <c r="I403" s="1037"/>
      <c r="J403" s="1037"/>
      <c r="K403" s="1037"/>
      <c r="L403" s="1038"/>
    </row>
    <row r="404" spans="1:12">
      <c r="A404" s="19"/>
      <c r="B404" s="198" t="s">
        <v>254</v>
      </c>
      <c r="C404" s="199"/>
      <c r="D404" s="199"/>
      <c r="E404" s="199"/>
      <c r="F404" s="199" t="s">
        <v>247</v>
      </c>
      <c r="G404" s="200"/>
      <c r="H404" s="1039"/>
      <c r="I404" s="1040"/>
      <c r="J404" s="1040"/>
      <c r="K404" s="1040"/>
      <c r="L404" s="1041"/>
    </row>
    <row r="405" spans="1:12">
      <c r="A405" s="19">
        <v>3</v>
      </c>
      <c r="B405" s="214" t="s">
        <v>255</v>
      </c>
      <c r="C405" s="204"/>
      <c r="D405" s="204"/>
      <c r="E405" s="204"/>
      <c r="F405" s="204"/>
      <c r="G405" s="205"/>
      <c r="H405" s="1014" t="e">
        <f>'04-22Master'!#REF!</f>
        <v>#REF!</v>
      </c>
      <c r="I405" s="1015"/>
      <c r="J405" s="1015"/>
      <c r="K405" s="1015"/>
      <c r="L405" s="1016"/>
    </row>
    <row r="406" spans="1:12">
      <c r="A406" s="19">
        <v>4</v>
      </c>
      <c r="B406" s="190" t="s">
        <v>256</v>
      </c>
      <c r="C406" s="69"/>
      <c r="D406" s="69"/>
      <c r="E406" s="69"/>
      <c r="F406" s="69"/>
      <c r="G406" s="70"/>
      <c r="H406" s="980" t="e">
        <f>'04-22Master'!#REF!</f>
        <v>#REF!</v>
      </c>
      <c r="I406" s="1002"/>
      <c r="J406" s="1002"/>
      <c r="K406" s="1002"/>
      <c r="L406" s="996"/>
    </row>
    <row r="407" spans="1:12">
      <c r="A407" s="19">
        <v>5</v>
      </c>
      <c r="B407" s="1017" t="s">
        <v>304</v>
      </c>
      <c r="C407" s="1018"/>
      <c r="D407" s="1018"/>
      <c r="E407" s="1018"/>
      <c r="F407" s="1018"/>
      <c r="G407" s="70"/>
      <c r="H407" s="1009" t="s">
        <v>383</v>
      </c>
      <c r="I407" s="1010"/>
      <c r="J407" s="1010"/>
      <c r="K407" s="1010"/>
      <c r="L407" s="1011"/>
    </row>
    <row r="408" spans="1:12">
      <c r="A408" s="19">
        <v>6</v>
      </c>
      <c r="B408" s="203" t="s">
        <v>257</v>
      </c>
      <c r="C408" s="204" t="s">
        <v>258</v>
      </c>
      <c r="D408" s="204"/>
      <c r="E408" s="204"/>
      <c r="F408" s="204"/>
      <c r="G408" s="205"/>
      <c r="H408" s="214"/>
      <c r="I408" s="204"/>
      <c r="J408" s="204"/>
      <c r="K408" s="204"/>
      <c r="L408" s="242"/>
    </row>
    <row r="409" spans="1:12">
      <c r="A409" s="19"/>
      <c r="B409" s="203" t="s">
        <v>259</v>
      </c>
      <c r="C409" s="204" t="s">
        <v>260</v>
      </c>
      <c r="D409" s="204"/>
      <c r="E409" s="204"/>
      <c r="F409" s="204"/>
      <c r="G409" s="205"/>
      <c r="H409" s="214"/>
      <c r="I409" s="196"/>
      <c r="J409" s="196"/>
      <c r="K409" s="204"/>
      <c r="L409" s="242"/>
    </row>
    <row r="410" spans="1:12">
      <c r="A410" s="19">
        <v>7</v>
      </c>
      <c r="B410" s="1014" t="s">
        <v>261</v>
      </c>
      <c r="C410" s="1015"/>
      <c r="D410" s="1015"/>
      <c r="E410" s="1015"/>
      <c r="F410" s="1015"/>
      <c r="G410" s="1022"/>
      <c r="H410" s="218" t="s">
        <v>262</v>
      </c>
      <c r="I410" s="219"/>
      <c r="J410" s="220"/>
      <c r="K410" s="218" t="s">
        <v>263</v>
      </c>
      <c r="L410" s="243"/>
    </row>
    <row r="411" spans="1:12">
      <c r="A411" s="19">
        <v>8</v>
      </c>
      <c r="B411" s="1014" t="s">
        <v>305</v>
      </c>
      <c r="C411" s="1015"/>
      <c r="D411" s="1015"/>
      <c r="E411" s="1015"/>
      <c r="F411" s="1015"/>
      <c r="G411" s="1022"/>
      <c r="H411" s="218" t="s">
        <v>262</v>
      </c>
      <c r="I411" s="219"/>
      <c r="J411" s="220"/>
      <c r="K411" s="218" t="s">
        <v>263</v>
      </c>
      <c r="L411" s="243"/>
    </row>
    <row r="412" spans="1:12" ht="27.95" customHeight="1">
      <c r="A412" s="19"/>
      <c r="B412" s="190"/>
      <c r="C412" s="222"/>
      <c r="D412" s="222"/>
      <c r="E412" s="222"/>
      <c r="F412" s="222" t="s">
        <v>264</v>
      </c>
      <c r="G412" s="222"/>
      <c r="H412" s="222"/>
      <c r="I412" s="222"/>
      <c r="J412" s="222"/>
      <c r="K412" s="222"/>
      <c r="L412" s="244"/>
    </row>
    <row r="413" spans="1:12" ht="27.95" customHeight="1">
      <c r="A413" s="19">
        <v>9</v>
      </c>
      <c r="B413" s="203" t="s">
        <v>265</v>
      </c>
      <c r="C413" s="204" t="s">
        <v>266</v>
      </c>
      <c r="D413" s="204"/>
      <c r="E413" s="204"/>
      <c r="F413" s="204"/>
      <c r="G413" s="205"/>
      <c r="H413" s="214"/>
      <c r="I413" s="204"/>
      <c r="J413" s="204"/>
      <c r="K413" s="204"/>
      <c r="L413" s="242"/>
    </row>
    <row r="414" spans="1:12" ht="27.95" customHeight="1">
      <c r="A414" s="92"/>
      <c r="B414" s="203" t="s">
        <v>267</v>
      </c>
      <c r="C414" s="204" t="s">
        <v>268</v>
      </c>
      <c r="D414" s="204"/>
      <c r="E414" s="204"/>
      <c r="F414" s="204"/>
      <c r="G414" s="205"/>
      <c r="H414" s="214"/>
      <c r="I414" s="204"/>
      <c r="J414" s="204"/>
      <c r="K414" s="204"/>
      <c r="L414" s="242"/>
    </row>
    <row r="415" spans="1:12" ht="27.95" customHeight="1">
      <c r="A415" s="92"/>
      <c r="B415" s="203" t="s">
        <v>306</v>
      </c>
      <c r="C415" s="204" t="s">
        <v>307</v>
      </c>
      <c r="D415" s="204"/>
      <c r="E415" s="204"/>
      <c r="F415" s="204"/>
      <c r="G415" s="205"/>
      <c r="H415" s="214"/>
      <c r="I415" s="204"/>
      <c r="J415" s="204"/>
      <c r="K415" s="204"/>
      <c r="L415" s="242"/>
    </row>
    <row r="416" spans="1:12" ht="27.95" customHeight="1">
      <c r="A416" s="92"/>
      <c r="B416" s="203" t="s">
        <v>270</v>
      </c>
      <c r="C416" s="204" t="s">
        <v>271</v>
      </c>
      <c r="D416" s="204"/>
      <c r="E416" s="204"/>
      <c r="F416" s="204"/>
      <c r="G416" s="205"/>
      <c r="H416" s="214"/>
      <c r="I416" s="204"/>
      <c r="J416" s="204"/>
      <c r="K416" s="204"/>
      <c r="L416" s="242"/>
    </row>
    <row r="417" spans="1:12" ht="27.95" customHeight="1">
      <c r="A417" s="92"/>
      <c r="B417" s="203" t="s">
        <v>272</v>
      </c>
      <c r="C417" s="204" t="s">
        <v>273</v>
      </c>
      <c r="D417" s="204"/>
      <c r="E417" s="204"/>
      <c r="F417" s="204"/>
      <c r="G417" s="205"/>
      <c r="H417" s="214"/>
      <c r="I417" s="204"/>
      <c r="J417" s="204"/>
      <c r="K417" s="204"/>
      <c r="L417" s="242"/>
    </row>
    <row r="418" spans="1:12" ht="27.95" customHeight="1">
      <c r="A418" s="92">
        <v>10</v>
      </c>
      <c r="B418" s="203" t="s">
        <v>265</v>
      </c>
      <c r="C418" s="204" t="s">
        <v>308</v>
      </c>
      <c r="D418" s="204"/>
      <c r="E418" s="204"/>
      <c r="F418" s="204"/>
      <c r="G418" s="205"/>
      <c r="H418" s="218" t="s">
        <v>262</v>
      </c>
      <c r="I418" s="219"/>
      <c r="J418" s="220"/>
      <c r="K418" s="218" t="s">
        <v>263</v>
      </c>
      <c r="L418" s="243"/>
    </row>
    <row r="419" spans="1:12" ht="27.95" customHeight="1">
      <c r="A419" s="92"/>
      <c r="B419" s="203" t="s">
        <v>267</v>
      </c>
      <c r="C419" s="204" t="s">
        <v>309</v>
      </c>
      <c r="D419" s="204"/>
      <c r="E419" s="204"/>
      <c r="F419" s="204"/>
      <c r="G419" s="205"/>
      <c r="H419" s="214"/>
      <c r="I419" s="204"/>
      <c r="J419" s="204"/>
      <c r="K419" s="204"/>
      <c r="L419" s="242"/>
    </row>
    <row r="420" spans="1:12" ht="27.95" customHeight="1">
      <c r="A420" s="92"/>
      <c r="B420" s="203" t="s">
        <v>306</v>
      </c>
      <c r="C420" s="204" t="s">
        <v>274</v>
      </c>
      <c r="D420" s="204"/>
      <c r="E420" s="204"/>
      <c r="F420" s="204"/>
      <c r="G420" s="205"/>
      <c r="H420" s="214"/>
      <c r="I420" s="204"/>
      <c r="J420" s="204"/>
      <c r="K420" s="204"/>
      <c r="L420" s="242"/>
    </row>
    <row r="421" spans="1:12" ht="27.95" customHeight="1">
      <c r="A421" s="92"/>
      <c r="B421" s="203" t="s">
        <v>270</v>
      </c>
      <c r="C421" s="204" t="s">
        <v>310</v>
      </c>
      <c r="D421" s="204"/>
      <c r="E421" s="204"/>
      <c r="F421" s="204"/>
      <c r="G421" s="205"/>
      <c r="H421" s="214"/>
      <c r="I421" s="204"/>
      <c r="J421" s="204"/>
      <c r="K421" s="204"/>
      <c r="L421" s="242"/>
    </row>
    <row r="422" spans="1:12" ht="27.95" customHeight="1">
      <c r="A422" s="19"/>
      <c r="B422" s="190"/>
      <c r="C422" s="222"/>
      <c r="D422" s="222"/>
      <c r="E422" s="222" t="s">
        <v>311</v>
      </c>
      <c r="F422" s="222"/>
      <c r="G422" s="222"/>
      <c r="H422" s="222"/>
      <c r="I422" s="222"/>
      <c r="J422" s="222"/>
      <c r="K422" s="222"/>
      <c r="L422" s="244"/>
    </row>
    <row r="423" spans="1:12" ht="27.95" customHeight="1">
      <c r="A423" s="19">
        <v>11</v>
      </c>
      <c r="B423" s="203" t="s">
        <v>265</v>
      </c>
      <c r="C423" s="204" t="s">
        <v>275</v>
      </c>
      <c r="D423" s="204"/>
      <c r="E423" s="204"/>
      <c r="F423" s="204"/>
      <c r="G423" s="205"/>
      <c r="H423" s="214"/>
      <c r="I423" s="204"/>
      <c r="J423" s="204"/>
      <c r="K423" s="204"/>
      <c r="L423" s="242"/>
    </row>
    <row r="424" spans="1:12" ht="27.95" customHeight="1">
      <c r="A424" s="19"/>
      <c r="B424" s="203" t="s">
        <v>267</v>
      </c>
      <c r="C424" s="204" t="s">
        <v>276</v>
      </c>
      <c r="D424" s="204"/>
      <c r="E424" s="204"/>
      <c r="F424" s="204"/>
      <c r="G424" s="205"/>
      <c r="H424" s="214"/>
      <c r="I424" s="204"/>
      <c r="J424" s="204"/>
      <c r="K424" s="204"/>
      <c r="L424" s="242"/>
    </row>
    <row r="425" spans="1:12" ht="27.95" customHeight="1">
      <c r="A425" s="19"/>
      <c r="B425" s="203" t="s">
        <v>269</v>
      </c>
      <c r="C425" s="204" t="s">
        <v>277</v>
      </c>
      <c r="D425" s="204"/>
      <c r="E425" s="204"/>
      <c r="F425" s="204"/>
      <c r="G425" s="205"/>
      <c r="H425" s="214"/>
      <c r="I425" s="204"/>
      <c r="J425" s="204"/>
      <c r="K425" s="204"/>
      <c r="L425" s="242"/>
    </row>
    <row r="426" spans="1:12" ht="27.95" customHeight="1">
      <c r="A426" s="19"/>
      <c r="B426" s="178"/>
      <c r="C426" s="174"/>
      <c r="D426" s="174"/>
      <c r="E426" s="174"/>
      <c r="F426" s="223" t="s">
        <v>278</v>
      </c>
      <c r="G426" s="174"/>
      <c r="H426" s="163"/>
      <c r="I426" s="163"/>
      <c r="J426" s="163"/>
      <c r="K426" s="163"/>
      <c r="L426" s="181"/>
    </row>
    <row r="427" spans="1:12" ht="27.95" customHeight="1">
      <c r="A427" s="19"/>
      <c r="B427" s="235" t="s">
        <v>279</v>
      </c>
      <c r="C427" s="234" t="s">
        <v>280</v>
      </c>
      <c r="D427" s="174"/>
      <c r="E427" s="174"/>
      <c r="F427" s="174"/>
      <c r="G427" s="174"/>
      <c r="H427" s="163"/>
      <c r="I427" s="163"/>
      <c r="J427" s="164"/>
      <c r="K427" s="163"/>
      <c r="L427" s="181"/>
    </row>
    <row r="428" spans="1:12" ht="27.95" customHeight="1">
      <c r="A428" s="19"/>
      <c r="B428" s="235" t="s">
        <v>281</v>
      </c>
      <c r="C428" s="233" t="s">
        <v>282</v>
      </c>
      <c r="D428" s="163"/>
      <c r="E428" s="164"/>
      <c r="G428" s="1023"/>
      <c r="H428" s="1023"/>
      <c r="I428" s="179"/>
      <c r="J428" s="180"/>
      <c r="K428" s="1023"/>
      <c r="L428" s="1024"/>
    </row>
    <row r="429" spans="1:12" ht="27.95" customHeight="1">
      <c r="A429" s="19"/>
      <c r="B429" s="236" t="s">
        <v>283</v>
      </c>
      <c r="C429" s="1025" t="s">
        <v>312</v>
      </c>
      <c r="D429" s="1025"/>
      <c r="E429" s="1025"/>
      <c r="F429" s="1025"/>
      <c r="G429" s="1025"/>
      <c r="H429" s="1025"/>
      <c r="I429" s="1025"/>
      <c r="J429" s="1025"/>
      <c r="K429" s="1025"/>
      <c r="L429" s="1026"/>
    </row>
    <row r="430" spans="1:12">
      <c r="A430" s="19"/>
      <c r="B430" s="235" t="s">
        <v>284</v>
      </c>
      <c r="C430" s="234" t="s">
        <v>285</v>
      </c>
      <c r="D430" s="226"/>
      <c r="E430" s="226"/>
      <c r="F430" s="226"/>
      <c r="G430" s="226"/>
      <c r="H430" s="226"/>
      <c r="I430" s="226"/>
      <c r="J430" s="226"/>
      <c r="K430" s="226"/>
      <c r="L430" s="245"/>
    </row>
    <row r="431" spans="1:12">
      <c r="A431" s="19"/>
      <c r="B431" s="178"/>
      <c r="C431" t="s">
        <v>313</v>
      </c>
      <c r="D431" s="291" t="e">
        <f>'04-22Master'!#REF!</f>
        <v>#REF!</v>
      </c>
      <c r="E431" s="3"/>
      <c r="F431" s="3"/>
      <c r="G431" s="3"/>
      <c r="L431" s="20"/>
    </row>
    <row r="432" spans="1:12">
      <c r="A432" s="19"/>
      <c r="C432" t="s">
        <v>286</v>
      </c>
      <c r="D432" t="s">
        <v>375</v>
      </c>
      <c r="J432" t="s">
        <v>314</v>
      </c>
      <c r="L432" s="20"/>
    </row>
    <row r="433" spans="1:12">
      <c r="A433" s="19"/>
      <c r="F433" s="224" t="s">
        <v>287</v>
      </c>
      <c r="L433" s="20"/>
    </row>
    <row r="434" spans="1:12">
      <c r="A434" s="19" t="s">
        <v>315</v>
      </c>
      <c r="B434" t="s">
        <v>288</v>
      </c>
      <c r="E434" s="227" t="e">
        <f>'04-22Master'!#REF!</f>
        <v>#REF!</v>
      </c>
      <c r="H434" s="1027" t="s">
        <v>289</v>
      </c>
      <c r="I434" s="1027"/>
      <c r="J434" s="228" t="e">
        <f>'04-22Master'!#REF!</f>
        <v>#REF!</v>
      </c>
      <c r="K434" t="s">
        <v>290</v>
      </c>
      <c r="L434" s="20"/>
    </row>
    <row r="435" spans="1:12">
      <c r="A435" s="19"/>
      <c r="B435" s="1028" t="e">
        <f>'04-22Master'!#REF!</f>
        <v>#REF!</v>
      </c>
      <c r="C435" s="1029"/>
      <c r="D435" s="225"/>
      <c r="E435" s="225"/>
      <c r="F435" s="225"/>
      <c r="G435" s="225"/>
      <c r="H435" s="225"/>
      <c r="I435" s="225"/>
      <c r="J435" s="225"/>
      <c r="K435" s="225"/>
      <c r="L435" s="246"/>
    </row>
    <row r="436" spans="1:12" ht="15" customHeight="1">
      <c r="A436" s="19" t="s">
        <v>317</v>
      </c>
      <c r="B436" s="225" t="s">
        <v>291</v>
      </c>
      <c r="C436" s="225"/>
      <c r="D436" s="225"/>
      <c r="E436" s="225"/>
      <c r="F436" s="225"/>
      <c r="G436" s="225"/>
      <c r="H436" s="225"/>
      <c r="I436" s="225"/>
      <c r="J436" s="225"/>
      <c r="K436" s="225"/>
      <c r="L436" s="246"/>
    </row>
    <row r="437" spans="1:12">
      <c r="A437" s="19"/>
      <c r="B437" s="225" t="s">
        <v>316</v>
      </c>
      <c r="C437" s="225"/>
      <c r="D437" s="225"/>
      <c r="E437" s="225"/>
      <c r="F437" s="225"/>
      <c r="G437" s="225"/>
      <c r="H437" s="225"/>
      <c r="I437" s="225"/>
      <c r="J437" s="225"/>
      <c r="K437" s="225"/>
      <c r="L437" s="246"/>
    </row>
    <row r="438" spans="1:12">
      <c r="A438" s="19"/>
      <c r="B438" t="s">
        <v>292</v>
      </c>
      <c r="L438" s="20"/>
    </row>
    <row r="439" spans="1:12" ht="18.75">
      <c r="A439" s="19"/>
      <c r="B439" s="3" t="s">
        <v>293</v>
      </c>
      <c r="F439" s="177"/>
      <c r="L439" s="20"/>
    </row>
    <row r="440" spans="1:12">
      <c r="A440" s="19"/>
      <c r="B440" s="3" t="s">
        <v>294</v>
      </c>
      <c r="L440" s="20"/>
    </row>
    <row r="441" spans="1:12">
      <c r="A441" s="19"/>
      <c r="B441" t="s">
        <v>295</v>
      </c>
      <c r="L441" s="20"/>
    </row>
    <row r="442" spans="1:12">
      <c r="A442" s="19"/>
      <c r="B442" t="s">
        <v>296</v>
      </c>
      <c r="L442" s="20"/>
    </row>
    <row r="443" spans="1:12">
      <c r="A443" s="19" t="s">
        <v>306</v>
      </c>
      <c r="B443" t="s">
        <v>297</v>
      </c>
      <c r="L443" s="20"/>
    </row>
    <row r="444" spans="1:12">
      <c r="A444" s="19"/>
      <c r="B444" s="237" t="s">
        <v>318</v>
      </c>
      <c r="L444" s="20"/>
    </row>
    <row r="445" spans="1:12">
      <c r="A445" s="19"/>
      <c r="B445" t="s">
        <v>292</v>
      </c>
      <c r="L445" s="20"/>
    </row>
    <row r="446" spans="1:12">
      <c r="A446" s="19"/>
      <c r="B446" t="s">
        <v>298</v>
      </c>
      <c r="L446" s="20"/>
    </row>
    <row r="447" spans="1:12">
      <c r="A447" s="19"/>
      <c r="B447" t="s">
        <v>299</v>
      </c>
      <c r="L447" s="20"/>
    </row>
    <row r="448" spans="1:12">
      <c r="A448" s="19"/>
      <c r="B448" s="1030" t="s">
        <v>300</v>
      </c>
      <c r="C448" s="1030"/>
      <c r="D448" s="1030"/>
      <c r="E448" s="1030"/>
      <c r="F448" s="1030"/>
      <c r="G448" s="1030"/>
      <c r="H448" s="1030"/>
      <c r="I448" s="1030"/>
      <c r="J448" s="1030"/>
      <c r="K448" s="1030"/>
      <c r="L448" s="1031"/>
    </row>
    <row r="449" spans="1:12" ht="23.25">
      <c r="A449" s="19"/>
      <c r="B449" t="s">
        <v>212</v>
      </c>
      <c r="C449" s="286" t="e">
        <f>'04-22Master'!#REF!</f>
        <v>#REF!</v>
      </c>
      <c r="D449" s="207"/>
      <c r="E449" s="207"/>
      <c r="F449" s="207"/>
      <c r="G449" s="207"/>
      <c r="H449" s="207"/>
      <c r="I449" t="s">
        <v>319</v>
      </c>
      <c r="J449" s="207"/>
      <c r="K449" s="207"/>
      <c r="L449" s="238"/>
    </row>
    <row r="450" spans="1:12" ht="16.5" thickBot="1">
      <c r="A450" s="31"/>
      <c r="B450" s="860"/>
      <c r="C450" s="860"/>
      <c r="D450" s="860"/>
      <c r="E450" s="860"/>
      <c r="F450" s="860"/>
      <c r="G450" s="860"/>
      <c r="H450" s="860"/>
      <c r="I450" s="860"/>
      <c r="J450" s="860"/>
      <c r="K450" s="860"/>
      <c r="L450" s="861"/>
    </row>
    <row r="451" spans="1:12" ht="21.75" customHeight="1">
      <c r="A451" s="81"/>
      <c r="B451" s="82"/>
      <c r="C451" s="82"/>
      <c r="D451" s="82"/>
      <c r="E451" s="82"/>
      <c r="F451" s="82"/>
      <c r="G451" s="82"/>
      <c r="H451" s="82"/>
      <c r="I451" s="86" t="s">
        <v>246</v>
      </c>
      <c r="J451" s="82"/>
      <c r="K451" s="82"/>
      <c r="L451" s="83"/>
    </row>
    <row r="452" spans="1:12" ht="12" customHeight="1">
      <c r="A452" s="19"/>
      <c r="B452" s="1032" t="s">
        <v>301</v>
      </c>
      <c r="C452" s="1032"/>
      <c r="D452" s="1032"/>
      <c r="E452" s="1032"/>
      <c r="F452" s="1032"/>
      <c r="G452" s="1032"/>
      <c r="H452" s="1032"/>
      <c r="I452" s="1032"/>
      <c r="J452" s="1032"/>
      <c r="K452" s="1032"/>
      <c r="L452" s="1033"/>
    </row>
    <row r="453" spans="1:12" ht="27.95" customHeight="1">
      <c r="A453" s="19"/>
      <c r="B453" s="207"/>
      <c r="C453" s="207"/>
      <c r="D453" s="215" t="s">
        <v>248</v>
      </c>
      <c r="E453" s="207"/>
      <c r="F453" s="207"/>
      <c r="G453" s="207"/>
      <c r="H453" s="207"/>
      <c r="I453" s="209" t="s">
        <v>302</v>
      </c>
      <c r="J453" s="210"/>
      <c r="K453" s="290" t="e">
        <f>'04-22Master'!#REF!</f>
        <v>#REF!</v>
      </c>
      <c r="L453" s="240"/>
    </row>
    <row r="454" spans="1:12" ht="27.95" customHeight="1">
      <c r="A454" s="19"/>
      <c r="B454" s="2"/>
      <c r="C454" s="2" t="s">
        <v>249</v>
      </c>
      <c r="E454" s="2"/>
      <c r="F454" s="2"/>
      <c r="G454" s="2"/>
      <c r="H454" s="2"/>
      <c r="I454" s="208" t="s">
        <v>303</v>
      </c>
      <c r="J454" s="229" t="str">
        <f>'04-22Master'!F5</f>
        <v>Burgeon IT Services Pvt.Ltd.</v>
      </c>
      <c r="K454" s="211"/>
      <c r="L454" s="241"/>
    </row>
    <row r="455" spans="1:12" ht="24" customHeight="1">
      <c r="A455" s="19"/>
      <c r="B455" s="216"/>
      <c r="C455" s="185" t="s">
        <v>250</v>
      </c>
      <c r="E455" s="216"/>
      <c r="F455" s="216"/>
      <c r="H455" s="186"/>
      <c r="I455" s="232" t="str">
        <f>'04-22Master'!F6</f>
        <v>Siri Mansion LIGB 436 Dr.A S Rao Nagar,Hyderabad</v>
      </c>
      <c r="J455" s="230"/>
      <c r="K455" s="231"/>
      <c r="L455" s="195"/>
    </row>
    <row r="456" spans="1:12" ht="27.95" customHeight="1">
      <c r="A456" s="19">
        <v>1</v>
      </c>
      <c r="B456" s="212" t="s">
        <v>251</v>
      </c>
      <c r="C456" s="69"/>
      <c r="D456" s="69"/>
      <c r="E456" s="69"/>
      <c r="F456" s="69"/>
      <c r="G456" s="70"/>
      <c r="H456" s="988" t="e">
        <f>'04-22Master'!#REF!</f>
        <v>#REF!</v>
      </c>
      <c r="I456" s="1010"/>
      <c r="J456" s="1010"/>
      <c r="K456" s="1010"/>
      <c r="L456" s="1011"/>
    </row>
    <row r="457" spans="1:12" ht="21" customHeight="1">
      <c r="A457" s="19">
        <v>2</v>
      </c>
      <c r="B457" s="1034" t="s">
        <v>252</v>
      </c>
      <c r="C457" s="1035"/>
      <c r="D457" s="1035"/>
      <c r="E457" s="1035"/>
      <c r="F457" s="213" t="s">
        <v>253</v>
      </c>
      <c r="G457" s="197"/>
      <c r="H457" s="1036" t="e">
        <f>'04-22Master'!#REF!</f>
        <v>#REF!</v>
      </c>
      <c r="I457" s="1037"/>
      <c r="J457" s="1037"/>
      <c r="K457" s="1037"/>
      <c r="L457" s="1038"/>
    </row>
    <row r="458" spans="1:12" ht="12" customHeight="1">
      <c r="A458" s="19"/>
      <c r="B458" s="198" t="s">
        <v>254</v>
      </c>
      <c r="C458" s="199"/>
      <c r="D458" s="199"/>
      <c r="E458" s="199"/>
      <c r="F458" s="199" t="s">
        <v>247</v>
      </c>
      <c r="G458" s="200"/>
      <c r="H458" s="1039"/>
      <c r="I458" s="1040"/>
      <c r="J458" s="1040"/>
      <c r="K458" s="1040"/>
      <c r="L458" s="1041"/>
    </row>
    <row r="459" spans="1:12" ht="27.95" customHeight="1">
      <c r="A459" s="19">
        <v>3</v>
      </c>
      <c r="B459" s="214" t="s">
        <v>255</v>
      </c>
      <c r="C459" s="204"/>
      <c r="D459" s="204"/>
      <c r="E459" s="204"/>
      <c r="F459" s="204"/>
      <c r="G459" s="205"/>
      <c r="H459" s="1014" t="e">
        <f>'04-22Master'!#REF!</f>
        <v>#REF!</v>
      </c>
      <c r="I459" s="1015"/>
      <c r="J459" s="1015"/>
      <c r="K459" s="1015"/>
      <c r="L459" s="1016"/>
    </row>
    <row r="460" spans="1:12" ht="23.25" customHeight="1">
      <c r="A460" s="19">
        <v>4</v>
      </c>
      <c r="B460" s="190" t="s">
        <v>256</v>
      </c>
      <c r="C460" s="69"/>
      <c r="D460" s="69"/>
      <c r="E460" s="69"/>
      <c r="F460" s="69"/>
      <c r="G460" s="70"/>
      <c r="H460" s="980" t="e">
        <f>'04-22Master'!#REF!</f>
        <v>#REF!</v>
      </c>
      <c r="I460" s="1002"/>
      <c r="J460" s="1002"/>
      <c r="K460" s="1002"/>
      <c r="L460" s="996"/>
    </row>
    <row r="461" spans="1:12" ht="27.95" customHeight="1">
      <c r="A461" s="19">
        <v>5</v>
      </c>
      <c r="B461" s="1017" t="s">
        <v>304</v>
      </c>
      <c r="C461" s="1018"/>
      <c r="D461" s="1018"/>
      <c r="E461" s="1018"/>
      <c r="F461" s="1018"/>
      <c r="G461" s="70"/>
      <c r="H461" s="1009" t="s">
        <v>383</v>
      </c>
      <c r="I461" s="1010"/>
      <c r="J461" s="1010"/>
      <c r="K461" s="1010"/>
      <c r="L461" s="1011"/>
    </row>
    <row r="462" spans="1:12" ht="27.95" customHeight="1">
      <c r="A462" s="19">
        <v>6</v>
      </c>
      <c r="B462" s="203" t="s">
        <v>257</v>
      </c>
      <c r="C462" s="204" t="s">
        <v>258</v>
      </c>
      <c r="D462" s="204"/>
      <c r="E462" s="204"/>
      <c r="F462" s="204"/>
      <c r="G462" s="205"/>
      <c r="H462" s="214"/>
      <c r="I462" s="204"/>
      <c r="J462" s="204"/>
      <c r="K462" s="204"/>
      <c r="L462" s="242"/>
    </row>
    <row r="463" spans="1:12" ht="27.95" customHeight="1">
      <c r="A463" s="19"/>
      <c r="B463" s="203" t="s">
        <v>259</v>
      </c>
      <c r="C463" s="204" t="s">
        <v>260</v>
      </c>
      <c r="D463" s="204"/>
      <c r="E463" s="204"/>
      <c r="F463" s="204"/>
      <c r="G463" s="205"/>
      <c r="H463" s="214"/>
      <c r="I463" s="196"/>
      <c r="J463" s="196"/>
      <c r="K463" s="204"/>
      <c r="L463" s="242"/>
    </row>
    <row r="464" spans="1:12" ht="27.95" customHeight="1">
      <c r="A464" s="19">
        <v>7</v>
      </c>
      <c r="B464" s="1014" t="s">
        <v>261</v>
      </c>
      <c r="C464" s="1015"/>
      <c r="D464" s="1015"/>
      <c r="E464" s="1015"/>
      <c r="F464" s="1015"/>
      <c r="G464" s="1022"/>
      <c r="H464" s="218" t="s">
        <v>262</v>
      </c>
      <c r="I464" s="219"/>
      <c r="J464" s="220"/>
      <c r="K464" s="218" t="s">
        <v>263</v>
      </c>
      <c r="L464" s="243"/>
    </row>
    <row r="465" spans="1:12" ht="27.95" customHeight="1">
      <c r="A465" s="19">
        <v>8</v>
      </c>
      <c r="B465" s="1014" t="s">
        <v>305</v>
      </c>
      <c r="C465" s="1015"/>
      <c r="D465" s="1015"/>
      <c r="E465" s="1015"/>
      <c r="F465" s="1015"/>
      <c r="G465" s="1022"/>
      <c r="H465" s="218" t="s">
        <v>262</v>
      </c>
      <c r="I465" s="219"/>
      <c r="J465" s="220"/>
      <c r="K465" s="218" t="s">
        <v>263</v>
      </c>
      <c r="L465" s="243"/>
    </row>
    <row r="466" spans="1:12" ht="27.95" customHeight="1">
      <c r="A466" s="19"/>
      <c r="B466" s="190"/>
      <c r="C466" s="222"/>
      <c r="D466" s="222"/>
      <c r="E466" s="222"/>
      <c r="F466" s="222" t="s">
        <v>264</v>
      </c>
      <c r="G466" s="222"/>
      <c r="H466" s="222"/>
      <c r="I466" s="222"/>
      <c r="J466" s="222"/>
      <c r="K466" s="222"/>
      <c r="L466" s="244"/>
    </row>
    <row r="467" spans="1:12" ht="27.95" customHeight="1">
      <c r="A467" s="19">
        <v>9</v>
      </c>
      <c r="B467" s="203" t="s">
        <v>265</v>
      </c>
      <c r="C467" s="204" t="s">
        <v>266</v>
      </c>
      <c r="D467" s="204"/>
      <c r="E467" s="204"/>
      <c r="F467" s="204"/>
      <c r="G467" s="205"/>
      <c r="H467" s="214"/>
      <c r="I467" s="204"/>
      <c r="J467" s="204"/>
      <c r="K467" s="204"/>
      <c r="L467" s="242"/>
    </row>
    <row r="468" spans="1:12">
      <c r="A468" s="92"/>
      <c r="B468" s="203" t="s">
        <v>267</v>
      </c>
      <c r="C468" s="204" t="s">
        <v>268</v>
      </c>
      <c r="D468" s="204"/>
      <c r="E468" s="204"/>
      <c r="F468" s="204"/>
      <c r="G468" s="205"/>
      <c r="H468" s="214"/>
      <c r="I468" s="204"/>
      <c r="J468" s="204"/>
      <c r="K468" s="204"/>
      <c r="L468" s="242"/>
    </row>
    <row r="469" spans="1:12">
      <c r="A469" s="92"/>
      <c r="B469" s="203" t="s">
        <v>306</v>
      </c>
      <c r="C469" s="204" t="s">
        <v>307</v>
      </c>
      <c r="D469" s="204"/>
      <c r="E469" s="204"/>
      <c r="F469" s="204"/>
      <c r="G469" s="205"/>
      <c r="H469" s="214"/>
      <c r="I469" s="204"/>
      <c r="J469" s="204"/>
      <c r="K469" s="204"/>
      <c r="L469" s="242"/>
    </row>
    <row r="470" spans="1:12">
      <c r="A470" s="92"/>
      <c r="B470" s="203" t="s">
        <v>270</v>
      </c>
      <c r="C470" s="204" t="s">
        <v>271</v>
      </c>
      <c r="D470" s="204"/>
      <c r="E470" s="204"/>
      <c r="F470" s="204"/>
      <c r="G470" s="205"/>
      <c r="H470" s="214"/>
      <c r="I470" s="204"/>
      <c r="J470" s="204"/>
      <c r="K470" s="204"/>
      <c r="L470" s="242"/>
    </row>
    <row r="471" spans="1:12">
      <c r="A471" s="92"/>
      <c r="B471" s="203" t="s">
        <v>272</v>
      </c>
      <c r="C471" s="204" t="s">
        <v>273</v>
      </c>
      <c r="D471" s="204"/>
      <c r="E471" s="204"/>
      <c r="F471" s="204"/>
      <c r="G471" s="205"/>
      <c r="H471" s="214"/>
      <c r="I471" s="204"/>
      <c r="J471" s="204"/>
      <c r="K471" s="204"/>
      <c r="L471" s="242"/>
    </row>
    <row r="472" spans="1:12">
      <c r="A472" s="92">
        <v>10</v>
      </c>
      <c r="B472" s="203" t="s">
        <v>265</v>
      </c>
      <c r="C472" s="204" t="s">
        <v>308</v>
      </c>
      <c r="D472" s="204"/>
      <c r="E472" s="204"/>
      <c r="F472" s="204"/>
      <c r="G472" s="205"/>
      <c r="H472" s="218" t="s">
        <v>262</v>
      </c>
      <c r="I472" s="219"/>
      <c r="J472" s="220"/>
      <c r="K472" s="218" t="s">
        <v>263</v>
      </c>
      <c r="L472" s="243"/>
    </row>
    <row r="473" spans="1:12" ht="15" customHeight="1">
      <c r="A473" s="92"/>
      <c r="B473" s="203" t="s">
        <v>267</v>
      </c>
      <c r="C473" s="204" t="s">
        <v>309</v>
      </c>
      <c r="D473" s="204"/>
      <c r="E473" s="204"/>
      <c r="F473" s="204"/>
      <c r="G473" s="205"/>
      <c r="H473" s="214"/>
      <c r="I473" s="204"/>
      <c r="J473" s="204"/>
      <c r="K473" s="204"/>
      <c r="L473" s="242"/>
    </row>
    <row r="474" spans="1:12">
      <c r="A474" s="92"/>
      <c r="B474" s="203" t="s">
        <v>306</v>
      </c>
      <c r="C474" s="204" t="s">
        <v>274</v>
      </c>
      <c r="D474" s="204"/>
      <c r="E474" s="204"/>
      <c r="F474" s="204"/>
      <c r="G474" s="205"/>
      <c r="H474" s="214"/>
      <c r="I474" s="204"/>
      <c r="J474" s="204"/>
      <c r="K474" s="204"/>
      <c r="L474" s="242"/>
    </row>
    <row r="475" spans="1:12">
      <c r="A475" s="92"/>
      <c r="B475" s="203" t="s">
        <v>270</v>
      </c>
      <c r="C475" s="204" t="s">
        <v>310</v>
      </c>
      <c r="D475" s="204"/>
      <c r="E475" s="204"/>
      <c r="F475" s="204"/>
      <c r="G475" s="205"/>
      <c r="H475" s="214"/>
      <c r="I475" s="204"/>
      <c r="J475" s="204"/>
      <c r="K475" s="204"/>
      <c r="L475" s="242"/>
    </row>
    <row r="476" spans="1:12">
      <c r="A476" s="19"/>
      <c r="B476" s="190"/>
      <c r="C476" s="222"/>
      <c r="D476" s="222"/>
      <c r="E476" s="222" t="s">
        <v>311</v>
      </c>
      <c r="F476" s="222"/>
      <c r="G476" s="222"/>
      <c r="H476" s="222"/>
      <c r="I476" s="222"/>
      <c r="J476" s="222"/>
      <c r="K476" s="222"/>
      <c r="L476" s="244"/>
    </row>
    <row r="477" spans="1:12">
      <c r="A477" s="19">
        <v>11</v>
      </c>
      <c r="B477" s="203" t="s">
        <v>265</v>
      </c>
      <c r="C477" s="204" t="s">
        <v>275</v>
      </c>
      <c r="D477" s="204"/>
      <c r="E477" s="204"/>
      <c r="F477" s="204"/>
      <c r="G477" s="205"/>
      <c r="H477" s="214"/>
      <c r="I477" s="204"/>
      <c r="J477" s="204"/>
      <c r="K477" s="204"/>
      <c r="L477" s="242"/>
    </row>
    <row r="478" spans="1:12">
      <c r="A478" s="19"/>
      <c r="B478" s="203" t="s">
        <v>267</v>
      </c>
      <c r="C478" s="204" t="s">
        <v>276</v>
      </c>
      <c r="D478" s="204"/>
      <c r="E478" s="204"/>
      <c r="F478" s="204"/>
      <c r="G478" s="205"/>
      <c r="H478" s="214"/>
      <c r="I478" s="204"/>
      <c r="J478" s="204"/>
      <c r="K478" s="204"/>
      <c r="L478" s="242"/>
    </row>
    <row r="479" spans="1:12">
      <c r="A479" s="19"/>
      <c r="B479" s="203" t="s">
        <v>269</v>
      </c>
      <c r="C479" s="204" t="s">
        <v>277</v>
      </c>
      <c r="D479" s="204"/>
      <c r="E479" s="204"/>
      <c r="F479" s="204"/>
      <c r="G479" s="205"/>
      <c r="H479" s="214"/>
      <c r="I479" s="204"/>
      <c r="J479" s="204"/>
      <c r="K479" s="204"/>
      <c r="L479" s="242"/>
    </row>
    <row r="480" spans="1:12">
      <c r="A480" s="19"/>
      <c r="B480" s="178"/>
      <c r="C480" s="174"/>
      <c r="D480" s="174"/>
      <c r="E480" s="174"/>
      <c r="F480" s="223" t="s">
        <v>278</v>
      </c>
      <c r="G480" s="174"/>
      <c r="H480" s="163"/>
      <c r="I480" s="163"/>
      <c r="J480" s="163"/>
      <c r="K480" s="163"/>
      <c r="L480" s="181"/>
    </row>
    <row r="481" spans="1:12">
      <c r="A481" s="19"/>
      <c r="B481" s="235" t="s">
        <v>279</v>
      </c>
      <c r="C481" s="234" t="s">
        <v>280</v>
      </c>
      <c r="D481" s="174"/>
      <c r="E481" s="174"/>
      <c r="F481" s="174"/>
      <c r="G481" s="174"/>
      <c r="H481" s="163"/>
      <c r="I481" s="163"/>
      <c r="J481" s="164"/>
      <c r="K481" s="163"/>
      <c r="L481" s="181"/>
    </row>
    <row r="482" spans="1:12">
      <c r="A482" s="19"/>
      <c r="B482" s="235" t="s">
        <v>281</v>
      </c>
      <c r="C482" s="233" t="s">
        <v>282</v>
      </c>
      <c r="D482" s="163"/>
      <c r="E482" s="164"/>
      <c r="G482" s="1023"/>
      <c r="H482" s="1023"/>
      <c r="I482" s="179"/>
      <c r="J482" s="180"/>
      <c r="K482" s="1023"/>
      <c r="L482" s="1024"/>
    </row>
    <row r="483" spans="1:12">
      <c r="A483" s="19"/>
      <c r="B483" s="236" t="s">
        <v>283</v>
      </c>
      <c r="C483" s="1025" t="s">
        <v>312</v>
      </c>
      <c r="D483" s="1025"/>
      <c r="E483" s="1025"/>
      <c r="F483" s="1025"/>
      <c r="G483" s="1025"/>
      <c r="H483" s="1025"/>
      <c r="I483" s="1025"/>
      <c r="J483" s="1025"/>
      <c r="K483" s="1025"/>
      <c r="L483" s="1026"/>
    </row>
    <row r="484" spans="1:12">
      <c r="A484" s="19"/>
      <c r="B484" s="235" t="s">
        <v>284</v>
      </c>
      <c r="C484" s="234" t="s">
        <v>285</v>
      </c>
      <c r="D484" s="226"/>
      <c r="E484" s="226"/>
      <c r="F484" s="226"/>
      <c r="G484" s="226"/>
      <c r="H484" s="226"/>
      <c r="I484" s="226"/>
      <c r="J484" s="226"/>
      <c r="K484" s="226"/>
      <c r="L484" s="245"/>
    </row>
    <row r="485" spans="1:12">
      <c r="A485" s="19"/>
      <c r="B485" s="178"/>
      <c r="C485" t="s">
        <v>313</v>
      </c>
      <c r="D485" s="291" t="e">
        <f>'04-22Master'!#REF!</f>
        <v>#REF!</v>
      </c>
      <c r="E485" s="3"/>
      <c r="F485" s="3"/>
      <c r="G485" s="3"/>
      <c r="L485" s="20"/>
    </row>
    <row r="486" spans="1:12">
      <c r="A486" s="19"/>
      <c r="C486" t="s">
        <v>286</v>
      </c>
      <c r="D486" t="s">
        <v>375</v>
      </c>
      <c r="J486" t="s">
        <v>314</v>
      </c>
      <c r="L486" s="20"/>
    </row>
    <row r="487" spans="1:12">
      <c r="A487" s="19"/>
      <c r="F487" s="224" t="s">
        <v>287</v>
      </c>
      <c r="L487" s="20"/>
    </row>
    <row r="488" spans="1:12" ht="27.95" customHeight="1">
      <c r="A488" s="19" t="s">
        <v>315</v>
      </c>
      <c r="B488" t="s">
        <v>288</v>
      </c>
      <c r="E488" s="227" t="e">
        <f>'04-22Master'!#REF!</f>
        <v>#REF!</v>
      </c>
      <c r="H488" s="1027" t="s">
        <v>289</v>
      </c>
      <c r="I488" s="1027"/>
      <c r="J488" s="228" t="e">
        <f>'04-22Master'!#REF!</f>
        <v>#REF!</v>
      </c>
      <c r="K488" t="s">
        <v>290</v>
      </c>
      <c r="L488" s="20"/>
    </row>
    <row r="489" spans="1:12" ht="15.75" customHeight="1">
      <c r="A489" s="19"/>
      <c r="B489" s="1028" t="e">
        <f>'04-22Master'!#REF!</f>
        <v>#REF!</v>
      </c>
      <c r="C489" s="1029"/>
      <c r="D489" s="225"/>
      <c r="E489" s="225"/>
      <c r="F489" s="225"/>
      <c r="G489" s="225"/>
      <c r="H489" s="225"/>
      <c r="I489" s="225"/>
      <c r="J489" s="225"/>
      <c r="K489" s="225"/>
      <c r="L489" s="246"/>
    </row>
    <row r="490" spans="1:12" ht="22.5" customHeight="1">
      <c r="A490" s="19" t="s">
        <v>317</v>
      </c>
      <c r="B490" s="225" t="s">
        <v>291</v>
      </c>
      <c r="C490" s="225"/>
      <c r="D490" s="225"/>
      <c r="E490" s="225"/>
      <c r="F490" s="225"/>
      <c r="G490" s="225"/>
      <c r="H490" s="225"/>
      <c r="I490" s="225"/>
      <c r="J490" s="225"/>
      <c r="K490" s="225"/>
      <c r="L490" s="246"/>
    </row>
    <row r="491" spans="1:12" ht="19.5" customHeight="1">
      <c r="A491" s="19"/>
      <c r="B491" s="225" t="s">
        <v>316</v>
      </c>
      <c r="C491" s="225"/>
      <c r="D491" s="225"/>
      <c r="E491" s="225"/>
      <c r="F491" s="225"/>
      <c r="G491" s="225"/>
      <c r="H491" s="225"/>
      <c r="I491" s="225"/>
      <c r="J491" s="225"/>
      <c r="K491" s="225"/>
      <c r="L491" s="246"/>
    </row>
    <row r="492" spans="1:12" ht="22.5" customHeight="1">
      <c r="A492" s="19"/>
      <c r="B492" t="s">
        <v>292</v>
      </c>
      <c r="L492" s="20"/>
    </row>
    <row r="493" spans="1:12" ht="18" customHeight="1">
      <c r="A493" s="19"/>
      <c r="B493" s="3" t="s">
        <v>293</v>
      </c>
      <c r="F493" s="177"/>
      <c r="L493" s="20"/>
    </row>
    <row r="494" spans="1:12" ht="16.5" customHeight="1">
      <c r="A494" s="19"/>
      <c r="B494" s="3" t="s">
        <v>294</v>
      </c>
      <c r="L494" s="20"/>
    </row>
    <row r="495" spans="1:12" ht="22.5" customHeight="1">
      <c r="A495" s="19"/>
      <c r="B495" t="s">
        <v>295</v>
      </c>
      <c r="L495" s="20"/>
    </row>
    <row r="496" spans="1:12" ht="19.5" customHeight="1">
      <c r="A496" s="19"/>
      <c r="B496" t="s">
        <v>296</v>
      </c>
      <c r="L496" s="20"/>
    </row>
    <row r="497" spans="1:12" ht="20.25" customHeight="1">
      <c r="A497" s="19" t="s">
        <v>306</v>
      </c>
      <c r="B497" t="s">
        <v>297</v>
      </c>
      <c r="L497" s="20"/>
    </row>
    <row r="498" spans="1:12" ht="20.25" customHeight="1">
      <c r="A498" s="19"/>
      <c r="B498" s="237" t="s">
        <v>318</v>
      </c>
      <c r="L498" s="20"/>
    </row>
    <row r="499" spans="1:12" ht="20.25" customHeight="1">
      <c r="A499" s="19"/>
      <c r="B499" t="s">
        <v>292</v>
      </c>
      <c r="L499" s="20"/>
    </row>
    <row r="500" spans="1:12" ht="20.25" customHeight="1">
      <c r="A500" s="19"/>
      <c r="B500" t="s">
        <v>298</v>
      </c>
      <c r="L500" s="20"/>
    </row>
    <row r="501" spans="1:12" ht="20.25" customHeight="1">
      <c r="A501" s="19"/>
      <c r="B501" t="s">
        <v>299</v>
      </c>
      <c r="L501" s="20"/>
    </row>
    <row r="502" spans="1:12" ht="21" customHeight="1">
      <c r="A502" s="19"/>
      <c r="B502" s="1030" t="s">
        <v>300</v>
      </c>
      <c r="C502" s="1030"/>
      <c r="D502" s="1030"/>
      <c r="E502" s="1030"/>
      <c r="F502" s="1030"/>
      <c r="G502" s="1030"/>
      <c r="H502" s="1030"/>
      <c r="I502" s="1030"/>
      <c r="J502" s="1030"/>
      <c r="K502" s="1030"/>
      <c r="L502" s="1031"/>
    </row>
    <row r="503" spans="1:12" ht="27.95" customHeight="1">
      <c r="A503" s="19"/>
      <c r="B503" t="s">
        <v>212</v>
      </c>
      <c r="C503" s="286" t="e">
        <f>'04-22Master'!#REF!</f>
        <v>#REF!</v>
      </c>
      <c r="D503" s="207"/>
      <c r="E503" s="207"/>
      <c r="F503" s="207"/>
      <c r="G503" s="207"/>
      <c r="H503" s="207"/>
      <c r="I503" t="s">
        <v>319</v>
      </c>
      <c r="J503" s="207"/>
      <c r="K503" s="207"/>
      <c r="L503" s="238"/>
    </row>
    <row r="504" spans="1:12" ht="27.95" customHeight="1" thickBot="1">
      <c r="A504" s="31"/>
      <c r="B504" s="860"/>
      <c r="C504" s="860"/>
      <c r="D504" s="860"/>
      <c r="E504" s="860"/>
      <c r="F504" s="860"/>
      <c r="G504" s="860"/>
      <c r="H504" s="860"/>
      <c r="I504" s="860"/>
      <c r="J504" s="860"/>
      <c r="K504" s="860"/>
      <c r="L504" s="861"/>
    </row>
    <row r="505" spans="1:12" ht="27.95" customHeight="1">
      <c r="A505" s="81"/>
      <c r="B505" s="82"/>
      <c r="C505" s="82"/>
      <c r="D505" s="82"/>
      <c r="E505" s="82"/>
      <c r="F505" s="82"/>
      <c r="G505" s="82"/>
      <c r="H505" s="82"/>
      <c r="I505" s="86" t="s">
        <v>246</v>
      </c>
      <c r="J505" s="82"/>
      <c r="K505" s="82"/>
      <c r="L505" s="83"/>
    </row>
    <row r="506" spans="1:12">
      <c r="A506" s="19"/>
      <c r="B506" s="1032" t="s">
        <v>301</v>
      </c>
      <c r="C506" s="1032"/>
      <c r="D506" s="1032"/>
      <c r="E506" s="1032"/>
      <c r="F506" s="1032"/>
      <c r="G506" s="1032"/>
      <c r="H506" s="1032"/>
      <c r="I506" s="1032"/>
      <c r="J506" s="1032"/>
      <c r="K506" s="1032"/>
      <c r="L506" s="1033"/>
    </row>
    <row r="507" spans="1:12" ht="23.25">
      <c r="A507" s="19"/>
      <c r="B507" s="207"/>
      <c r="C507" s="207"/>
      <c r="D507" s="215" t="s">
        <v>248</v>
      </c>
      <c r="E507" s="207"/>
      <c r="F507" s="207"/>
      <c r="G507" s="207"/>
      <c r="H507" s="207"/>
      <c r="I507" s="209" t="s">
        <v>302</v>
      </c>
      <c r="J507" s="210"/>
      <c r="K507" s="210"/>
      <c r="L507" s="240"/>
    </row>
    <row r="508" spans="1:12" ht="15.75">
      <c r="A508" s="19"/>
      <c r="B508" s="2"/>
      <c r="C508" s="2" t="s">
        <v>249</v>
      </c>
      <c r="E508" s="2"/>
      <c r="F508" s="2"/>
      <c r="G508" s="2"/>
      <c r="H508" s="2"/>
      <c r="I508" s="208" t="s">
        <v>303</v>
      </c>
      <c r="J508" s="229">
        <f>'04-22Master'!F462</f>
        <v>0</v>
      </c>
      <c r="K508" s="211"/>
      <c r="L508" s="241"/>
    </row>
    <row r="509" spans="1:12">
      <c r="A509" s="19"/>
      <c r="B509" s="216"/>
      <c r="C509" s="185" t="s">
        <v>250</v>
      </c>
      <c r="E509" s="216"/>
      <c r="F509" s="216"/>
      <c r="H509" s="186"/>
      <c r="I509" s="232">
        <f>'04-22Master'!F463</f>
        <v>0</v>
      </c>
      <c r="J509" s="230"/>
      <c r="K509" s="231"/>
      <c r="L509" s="195"/>
    </row>
    <row r="510" spans="1:12">
      <c r="A510" s="19">
        <v>1</v>
      </c>
      <c r="B510" s="212" t="s">
        <v>251</v>
      </c>
      <c r="C510" s="69"/>
      <c r="D510" s="69"/>
      <c r="E510" s="69"/>
      <c r="F510" s="69"/>
      <c r="G510" s="70"/>
      <c r="H510" s="1009"/>
      <c r="I510" s="1010"/>
      <c r="J510" s="1010"/>
      <c r="K510" s="1010"/>
      <c r="L510" s="1011"/>
    </row>
    <row r="511" spans="1:12" ht="15" customHeight="1">
      <c r="A511" s="19">
        <v>2</v>
      </c>
      <c r="B511" s="1034" t="s">
        <v>252</v>
      </c>
      <c r="C511" s="1035"/>
      <c r="D511" s="1035"/>
      <c r="E511" s="1035"/>
      <c r="F511" s="213" t="s">
        <v>253</v>
      </c>
      <c r="G511" s="197"/>
      <c r="H511" s="1036"/>
      <c r="I511" s="1037"/>
      <c r="J511" s="1037"/>
      <c r="K511" s="1037"/>
      <c r="L511" s="1038"/>
    </row>
    <row r="512" spans="1:12">
      <c r="A512" s="19"/>
      <c r="B512" s="198" t="s">
        <v>254</v>
      </c>
      <c r="C512" s="199"/>
      <c r="D512" s="199"/>
      <c r="E512" s="199"/>
      <c r="F512" s="199" t="s">
        <v>247</v>
      </c>
      <c r="G512" s="200"/>
      <c r="H512" s="1039"/>
      <c r="I512" s="1040"/>
      <c r="J512" s="1040"/>
      <c r="K512" s="1040"/>
      <c r="L512" s="1041"/>
    </row>
    <row r="513" spans="1:12">
      <c r="A513" s="19">
        <v>3</v>
      </c>
      <c r="B513" s="214" t="s">
        <v>255</v>
      </c>
      <c r="C513" s="204"/>
      <c r="D513" s="204"/>
      <c r="E513" s="204"/>
      <c r="F513" s="204"/>
      <c r="G513" s="205"/>
      <c r="H513" s="1014">
        <f>'04-22Master'!C193</f>
        <v>0</v>
      </c>
      <c r="I513" s="1015"/>
      <c r="J513" s="1015"/>
      <c r="K513" s="1015"/>
      <c r="L513" s="1016"/>
    </row>
    <row r="514" spans="1:12">
      <c r="A514" s="19">
        <v>4</v>
      </c>
      <c r="B514" s="190" t="s">
        <v>256</v>
      </c>
      <c r="C514" s="69"/>
      <c r="D514" s="69"/>
      <c r="E514" s="69"/>
      <c r="F514" s="69"/>
      <c r="G514" s="70"/>
      <c r="H514" s="980">
        <f>'04-22Master'!D193</f>
        <v>0</v>
      </c>
      <c r="I514" s="1002"/>
      <c r="J514" s="1002"/>
      <c r="K514" s="1002"/>
      <c r="L514" s="996"/>
    </row>
    <row r="515" spans="1:12">
      <c r="A515" s="19">
        <v>5</v>
      </c>
      <c r="B515" s="1017" t="s">
        <v>304</v>
      </c>
      <c r="C515" s="1018"/>
      <c r="D515" s="1018"/>
      <c r="E515" s="1018"/>
      <c r="F515" s="1018"/>
      <c r="G515" s="70"/>
      <c r="H515" s="1009" t="s">
        <v>383</v>
      </c>
      <c r="I515" s="1010"/>
      <c r="J515" s="1010"/>
      <c r="K515" s="1010"/>
      <c r="L515" s="1011"/>
    </row>
    <row r="516" spans="1:12">
      <c r="A516" s="19">
        <v>6</v>
      </c>
      <c r="B516" s="203" t="s">
        <v>257</v>
      </c>
      <c r="C516" s="204" t="s">
        <v>258</v>
      </c>
      <c r="D516" s="204"/>
      <c r="E516" s="204"/>
      <c r="F516" s="204"/>
      <c r="G516" s="205"/>
      <c r="H516" s="214"/>
      <c r="I516" s="204"/>
      <c r="J516" s="204"/>
      <c r="K516" s="204"/>
      <c r="L516" s="242"/>
    </row>
    <row r="517" spans="1:12">
      <c r="A517" s="19"/>
      <c r="B517" s="203" t="s">
        <v>259</v>
      </c>
      <c r="C517" s="204" t="s">
        <v>260</v>
      </c>
      <c r="D517" s="204"/>
      <c r="E517" s="204"/>
      <c r="F517" s="204"/>
      <c r="G517" s="205"/>
      <c r="H517" s="214"/>
      <c r="I517" s="196"/>
      <c r="J517" s="196"/>
      <c r="K517" s="204"/>
      <c r="L517" s="242"/>
    </row>
    <row r="518" spans="1:12">
      <c r="A518" s="19">
        <v>7</v>
      </c>
      <c r="B518" s="1014" t="s">
        <v>261</v>
      </c>
      <c r="C518" s="1015"/>
      <c r="D518" s="1015"/>
      <c r="E518" s="1015"/>
      <c r="F518" s="1015"/>
      <c r="G518" s="1022"/>
      <c r="H518" s="218" t="s">
        <v>262</v>
      </c>
      <c r="I518" s="219"/>
      <c r="J518" s="220"/>
      <c r="K518" s="218" t="s">
        <v>263</v>
      </c>
      <c r="L518" s="243"/>
    </row>
    <row r="519" spans="1:12">
      <c r="A519" s="19">
        <v>8</v>
      </c>
      <c r="B519" s="1014" t="s">
        <v>305</v>
      </c>
      <c r="C519" s="1015"/>
      <c r="D519" s="1015"/>
      <c r="E519" s="1015"/>
      <c r="F519" s="1015"/>
      <c r="G519" s="1022"/>
      <c r="H519" s="218" t="s">
        <v>262</v>
      </c>
      <c r="I519" s="219"/>
      <c r="J519" s="220"/>
      <c r="K519" s="218" t="s">
        <v>263</v>
      </c>
      <c r="L519" s="243"/>
    </row>
    <row r="520" spans="1:12">
      <c r="A520" s="19"/>
      <c r="B520" s="190"/>
      <c r="C520" s="222"/>
      <c r="D520" s="222"/>
      <c r="E520" s="222"/>
      <c r="F520" s="222" t="s">
        <v>264</v>
      </c>
      <c r="G520" s="222"/>
      <c r="H520" s="222"/>
      <c r="I520" s="222"/>
      <c r="J520" s="222"/>
      <c r="K520" s="222"/>
      <c r="L520" s="244"/>
    </row>
    <row r="521" spans="1:12">
      <c r="A521" s="19">
        <v>9</v>
      </c>
      <c r="B521" s="203" t="s">
        <v>265</v>
      </c>
      <c r="C521" s="204" t="s">
        <v>266</v>
      </c>
      <c r="D521" s="204"/>
      <c r="E521" s="204"/>
      <c r="F521" s="204"/>
      <c r="G521" s="205"/>
      <c r="H521" s="214"/>
      <c r="I521" s="204"/>
      <c r="J521" s="204"/>
      <c r="K521" s="204"/>
      <c r="L521" s="242"/>
    </row>
    <row r="522" spans="1:12">
      <c r="A522" s="92"/>
      <c r="B522" s="203" t="s">
        <v>267</v>
      </c>
      <c r="C522" s="204" t="s">
        <v>268</v>
      </c>
      <c r="D522" s="204"/>
      <c r="E522" s="204"/>
      <c r="F522" s="204"/>
      <c r="G522" s="205"/>
      <c r="H522" s="214"/>
      <c r="I522" s="204"/>
      <c r="J522" s="204"/>
      <c r="K522" s="204"/>
      <c r="L522" s="242"/>
    </row>
    <row r="523" spans="1:12">
      <c r="A523" s="92"/>
      <c r="B523" s="203" t="s">
        <v>306</v>
      </c>
      <c r="C523" s="204" t="s">
        <v>307</v>
      </c>
      <c r="D523" s="204"/>
      <c r="E523" s="204"/>
      <c r="F523" s="204"/>
      <c r="G523" s="205"/>
      <c r="H523" s="214"/>
      <c r="I523" s="204"/>
      <c r="J523" s="204"/>
      <c r="K523" s="204"/>
      <c r="L523" s="242"/>
    </row>
    <row r="524" spans="1:12">
      <c r="A524" s="92"/>
      <c r="B524" s="203" t="s">
        <v>270</v>
      </c>
      <c r="C524" s="204" t="s">
        <v>271</v>
      </c>
      <c r="D524" s="204"/>
      <c r="E524" s="204"/>
      <c r="F524" s="204"/>
      <c r="G524" s="205"/>
      <c r="H524" s="214"/>
      <c r="I524" s="204"/>
      <c r="J524" s="204"/>
      <c r="K524" s="204"/>
      <c r="L524" s="242"/>
    </row>
    <row r="525" spans="1:12">
      <c r="A525" s="92"/>
      <c r="B525" s="203" t="s">
        <v>272</v>
      </c>
      <c r="C525" s="204" t="s">
        <v>273</v>
      </c>
      <c r="D525" s="204"/>
      <c r="E525" s="204"/>
      <c r="F525" s="204"/>
      <c r="G525" s="205"/>
      <c r="H525" s="214"/>
      <c r="I525" s="204"/>
      <c r="J525" s="204"/>
      <c r="K525" s="204"/>
      <c r="L525" s="242"/>
    </row>
    <row r="526" spans="1:12" ht="27.95" customHeight="1">
      <c r="A526" s="92">
        <v>10</v>
      </c>
      <c r="B526" s="203" t="s">
        <v>265</v>
      </c>
      <c r="C526" s="204" t="s">
        <v>308</v>
      </c>
      <c r="D526" s="204"/>
      <c r="E526" s="204"/>
      <c r="F526" s="204"/>
      <c r="G526" s="205"/>
      <c r="H526" s="218" t="s">
        <v>262</v>
      </c>
      <c r="I526" s="219"/>
      <c r="J526" s="220"/>
      <c r="K526" s="218" t="s">
        <v>263</v>
      </c>
      <c r="L526" s="243"/>
    </row>
    <row r="527" spans="1:12" ht="27.95" customHeight="1">
      <c r="A527" s="92"/>
      <c r="B527" s="203" t="s">
        <v>267</v>
      </c>
      <c r="C527" s="204" t="s">
        <v>309</v>
      </c>
      <c r="D527" s="204"/>
      <c r="E527" s="204"/>
      <c r="F527" s="204"/>
      <c r="G527" s="205"/>
      <c r="H527" s="214"/>
      <c r="I527" s="204"/>
      <c r="J527" s="204"/>
      <c r="K527" s="204"/>
      <c r="L527" s="242"/>
    </row>
    <row r="528" spans="1:12" ht="27.95" customHeight="1">
      <c r="A528" s="92"/>
      <c r="B528" s="203" t="s">
        <v>306</v>
      </c>
      <c r="C528" s="204" t="s">
        <v>274</v>
      </c>
      <c r="D528" s="204"/>
      <c r="E528" s="204"/>
      <c r="F528" s="204"/>
      <c r="G528" s="205"/>
      <c r="H528" s="214"/>
      <c r="I528" s="204"/>
      <c r="J528" s="204"/>
      <c r="K528" s="204"/>
      <c r="L528" s="242"/>
    </row>
    <row r="529" spans="1:12" ht="27.95" customHeight="1">
      <c r="A529" s="92"/>
      <c r="B529" s="203" t="s">
        <v>270</v>
      </c>
      <c r="C529" s="204" t="s">
        <v>310</v>
      </c>
      <c r="D529" s="204"/>
      <c r="E529" s="204"/>
      <c r="F529" s="204"/>
      <c r="G529" s="205"/>
      <c r="H529" s="214"/>
      <c r="I529" s="204"/>
      <c r="J529" s="204"/>
      <c r="K529" s="204"/>
      <c r="L529" s="242"/>
    </row>
    <row r="530" spans="1:12" ht="27.95" customHeight="1">
      <c r="A530" s="19"/>
      <c r="B530" s="190"/>
      <c r="C530" s="222"/>
      <c r="D530" s="222"/>
      <c r="E530" s="222" t="s">
        <v>311</v>
      </c>
      <c r="F530" s="222"/>
      <c r="G530" s="222"/>
      <c r="H530" s="222"/>
      <c r="I530" s="222"/>
      <c r="J530" s="222"/>
      <c r="K530" s="222"/>
      <c r="L530" s="244"/>
    </row>
    <row r="531" spans="1:12" ht="27.95" customHeight="1">
      <c r="A531" s="19">
        <v>11</v>
      </c>
      <c r="B531" s="203" t="s">
        <v>265</v>
      </c>
      <c r="C531" s="204" t="s">
        <v>275</v>
      </c>
      <c r="D531" s="204"/>
      <c r="E531" s="204"/>
      <c r="F531" s="204"/>
      <c r="G531" s="205"/>
      <c r="H531" s="214"/>
      <c r="I531" s="204"/>
      <c r="J531" s="204"/>
      <c r="K531" s="204"/>
      <c r="L531" s="242"/>
    </row>
    <row r="532" spans="1:12" ht="27.95" customHeight="1">
      <c r="A532" s="19"/>
      <c r="B532" s="203" t="s">
        <v>267</v>
      </c>
      <c r="C532" s="204" t="s">
        <v>276</v>
      </c>
      <c r="D532" s="204"/>
      <c r="E532" s="204"/>
      <c r="F532" s="204"/>
      <c r="G532" s="205"/>
      <c r="H532" s="214"/>
      <c r="I532" s="204"/>
      <c r="J532" s="204"/>
      <c r="K532" s="204"/>
      <c r="L532" s="242"/>
    </row>
    <row r="533" spans="1:12" ht="27.95" customHeight="1">
      <c r="A533" s="19"/>
      <c r="B533" s="203" t="s">
        <v>269</v>
      </c>
      <c r="C533" s="204" t="s">
        <v>277</v>
      </c>
      <c r="D533" s="204"/>
      <c r="E533" s="204"/>
      <c r="F533" s="204"/>
      <c r="G533" s="205"/>
      <c r="H533" s="214"/>
      <c r="I533" s="204"/>
      <c r="J533" s="204"/>
      <c r="K533" s="204"/>
      <c r="L533" s="242"/>
    </row>
    <row r="534" spans="1:12" ht="27.95" customHeight="1">
      <c r="A534" s="19"/>
      <c r="B534" s="178"/>
      <c r="C534" s="174"/>
      <c r="D534" s="174"/>
      <c r="E534" s="174"/>
      <c r="F534" s="223" t="s">
        <v>278</v>
      </c>
      <c r="G534" s="174"/>
      <c r="H534" s="163"/>
      <c r="I534" s="163"/>
      <c r="J534" s="163"/>
      <c r="K534" s="163"/>
      <c r="L534" s="181"/>
    </row>
    <row r="535" spans="1:12" ht="27.95" customHeight="1">
      <c r="A535" s="19"/>
      <c r="B535" s="235" t="s">
        <v>279</v>
      </c>
      <c r="C535" s="234" t="s">
        <v>280</v>
      </c>
      <c r="D535" s="174"/>
      <c r="E535" s="174"/>
      <c r="F535" s="174"/>
      <c r="G535" s="174"/>
      <c r="H535" s="163"/>
      <c r="I535" s="163"/>
      <c r="J535" s="164"/>
      <c r="K535" s="163"/>
      <c r="L535" s="181"/>
    </row>
    <row r="536" spans="1:12" ht="27.95" customHeight="1">
      <c r="A536" s="19"/>
      <c r="B536" s="235" t="s">
        <v>281</v>
      </c>
      <c r="C536" s="233" t="s">
        <v>282</v>
      </c>
      <c r="D536" s="163"/>
      <c r="E536" s="164"/>
      <c r="G536" s="1023"/>
      <c r="H536" s="1023"/>
      <c r="I536" s="179"/>
      <c r="J536" s="180"/>
      <c r="K536" s="1023"/>
      <c r="L536" s="1024"/>
    </row>
    <row r="537" spans="1:12" ht="27.95" customHeight="1">
      <c r="A537" s="19"/>
      <c r="B537" s="236" t="s">
        <v>283</v>
      </c>
      <c r="C537" s="1025" t="s">
        <v>312</v>
      </c>
      <c r="D537" s="1025"/>
      <c r="E537" s="1025"/>
      <c r="F537" s="1025"/>
      <c r="G537" s="1025"/>
      <c r="H537" s="1025"/>
      <c r="I537" s="1025"/>
      <c r="J537" s="1025"/>
      <c r="K537" s="1025"/>
      <c r="L537" s="1026"/>
    </row>
    <row r="538" spans="1:12" ht="27.95" customHeight="1">
      <c r="A538" s="19"/>
      <c r="B538" s="235" t="s">
        <v>284</v>
      </c>
      <c r="C538" s="234" t="s">
        <v>285</v>
      </c>
      <c r="D538" s="226"/>
      <c r="E538" s="226"/>
      <c r="F538" s="226"/>
      <c r="G538" s="226"/>
      <c r="H538" s="226"/>
      <c r="I538" s="226"/>
      <c r="J538" s="226"/>
      <c r="K538" s="226"/>
      <c r="L538" s="245"/>
    </row>
    <row r="539" spans="1:12" ht="27.95" customHeight="1">
      <c r="A539" s="19"/>
      <c r="B539" s="178"/>
      <c r="C539" t="s">
        <v>313</v>
      </c>
      <c r="D539" s="3"/>
      <c r="E539" s="3"/>
      <c r="F539" s="3"/>
      <c r="G539" s="3"/>
      <c r="L539" s="20"/>
    </row>
    <row r="540" spans="1:12" ht="27.95" customHeight="1">
      <c r="A540" s="19"/>
      <c r="C540" t="s">
        <v>286</v>
      </c>
      <c r="J540" t="s">
        <v>314</v>
      </c>
      <c r="L540" s="20"/>
    </row>
    <row r="541" spans="1:12" ht="27.95" customHeight="1">
      <c r="A541" s="19"/>
      <c r="F541" s="224" t="s">
        <v>287</v>
      </c>
      <c r="L541" s="20"/>
    </row>
    <row r="542" spans="1:12" ht="27.95" customHeight="1">
      <c r="A542" s="19" t="s">
        <v>315</v>
      </c>
      <c r="B542" t="s">
        <v>288</v>
      </c>
      <c r="E542" s="227">
        <f>'04-22Master'!B472</f>
        <v>0</v>
      </c>
      <c r="H542" s="1027" t="s">
        <v>289</v>
      </c>
      <c r="I542" s="1027"/>
      <c r="J542" s="228">
        <f>'04-22Master'!I472</f>
        <v>0</v>
      </c>
      <c r="K542" t="s">
        <v>290</v>
      </c>
      <c r="L542" s="20"/>
    </row>
    <row r="543" spans="1:12" ht="27.95" customHeight="1">
      <c r="A543" s="19"/>
      <c r="B543" s="1028">
        <f>'04-22Master'!N472</f>
        <v>0</v>
      </c>
      <c r="C543" s="1029"/>
      <c r="D543" s="225"/>
      <c r="E543" s="225"/>
      <c r="F543" s="225"/>
      <c r="G543" s="225"/>
      <c r="H543" s="225"/>
      <c r="I543" s="225"/>
      <c r="J543" s="225"/>
      <c r="K543" s="225"/>
      <c r="L543" s="246"/>
    </row>
    <row r="544" spans="1:12">
      <c r="A544" s="19" t="s">
        <v>317</v>
      </c>
      <c r="B544" s="225" t="s">
        <v>291</v>
      </c>
      <c r="C544" s="225"/>
      <c r="D544" s="225"/>
      <c r="E544" s="225"/>
      <c r="F544" s="225"/>
      <c r="G544" s="225"/>
      <c r="H544" s="225"/>
      <c r="I544" s="225"/>
      <c r="J544" s="225"/>
      <c r="K544" s="225"/>
      <c r="L544" s="246"/>
    </row>
    <row r="545" spans="1:12">
      <c r="A545" s="19"/>
      <c r="B545" s="225" t="s">
        <v>316</v>
      </c>
      <c r="C545" s="225"/>
      <c r="D545" s="225"/>
      <c r="E545" s="225"/>
      <c r="F545" s="225"/>
      <c r="G545" s="225"/>
      <c r="H545" s="225"/>
      <c r="I545" s="225"/>
      <c r="J545" s="225"/>
      <c r="K545" s="225"/>
      <c r="L545" s="246"/>
    </row>
    <row r="546" spans="1:12">
      <c r="A546" s="19"/>
      <c r="B546" t="s">
        <v>292</v>
      </c>
      <c r="L546" s="20"/>
    </row>
    <row r="547" spans="1:12" ht="18.75">
      <c r="A547" s="19"/>
      <c r="B547" s="3" t="s">
        <v>293</v>
      </c>
      <c r="F547" s="177"/>
      <c r="L547" s="20"/>
    </row>
    <row r="548" spans="1:12">
      <c r="A548" s="19"/>
      <c r="B548" s="3" t="s">
        <v>294</v>
      </c>
      <c r="L548" s="20"/>
    </row>
    <row r="549" spans="1:12" ht="15" customHeight="1">
      <c r="A549" s="19"/>
      <c r="B549" t="s">
        <v>295</v>
      </c>
      <c r="L549" s="20"/>
    </row>
    <row r="550" spans="1:12">
      <c r="A550" s="19"/>
      <c r="B550" t="s">
        <v>296</v>
      </c>
      <c r="L550" s="20"/>
    </row>
    <row r="551" spans="1:12">
      <c r="A551" s="19" t="s">
        <v>306</v>
      </c>
      <c r="B551" t="s">
        <v>297</v>
      </c>
      <c r="L551" s="20"/>
    </row>
    <row r="552" spans="1:12">
      <c r="A552" s="19"/>
      <c r="B552" s="237" t="s">
        <v>318</v>
      </c>
      <c r="L552" s="20"/>
    </row>
    <row r="553" spans="1:12">
      <c r="A553" s="19"/>
      <c r="B553" t="s">
        <v>292</v>
      </c>
      <c r="L553" s="20"/>
    </row>
    <row r="554" spans="1:12">
      <c r="A554" s="19"/>
      <c r="B554" t="s">
        <v>298</v>
      </c>
      <c r="L554" s="20"/>
    </row>
    <row r="555" spans="1:12">
      <c r="A555" s="19"/>
      <c r="B555" t="s">
        <v>299</v>
      </c>
      <c r="L555" s="20"/>
    </row>
    <row r="556" spans="1:12">
      <c r="A556" s="19"/>
      <c r="B556" s="1030" t="s">
        <v>300</v>
      </c>
      <c r="C556" s="1030"/>
      <c r="D556" s="1030"/>
      <c r="E556" s="1030"/>
      <c r="F556" s="1030"/>
      <c r="G556" s="1030"/>
      <c r="H556" s="1030"/>
      <c r="I556" s="1030"/>
      <c r="J556" s="1030"/>
      <c r="K556" s="1030"/>
      <c r="L556" s="1031"/>
    </row>
    <row r="557" spans="1:12" ht="23.25">
      <c r="A557" s="19"/>
      <c r="B557" t="s">
        <v>212</v>
      </c>
      <c r="C557" s="207"/>
      <c r="D557" s="207"/>
      <c r="E557" s="207"/>
      <c r="F557" s="207"/>
      <c r="G557" s="207"/>
      <c r="H557" s="207"/>
      <c r="I557" t="s">
        <v>319</v>
      </c>
      <c r="J557" s="207"/>
      <c r="K557" s="207"/>
      <c r="L557" s="238"/>
    </row>
    <row r="558" spans="1:12" ht="16.5" thickBot="1">
      <c r="A558" s="31"/>
      <c r="B558" s="860"/>
      <c r="C558" s="860"/>
      <c r="D558" s="860"/>
      <c r="E558" s="860"/>
      <c r="F558" s="860"/>
      <c r="G558" s="860"/>
      <c r="H558" s="860"/>
      <c r="I558" s="860"/>
      <c r="J558" s="860"/>
      <c r="K558" s="860"/>
      <c r="L558" s="861"/>
    </row>
    <row r="559" spans="1:12">
      <c r="A559" s="81"/>
      <c r="B559" s="82"/>
      <c r="C559" s="82"/>
      <c r="D559" s="82"/>
      <c r="E559" s="82"/>
      <c r="F559" s="82"/>
      <c r="G559" s="82"/>
      <c r="H559" s="82"/>
      <c r="I559" s="86" t="s">
        <v>246</v>
      </c>
      <c r="J559" s="82"/>
      <c r="K559" s="82"/>
      <c r="L559" s="83"/>
    </row>
    <row r="560" spans="1:12">
      <c r="A560" s="19"/>
      <c r="B560" s="1032" t="s">
        <v>301</v>
      </c>
      <c r="C560" s="1032"/>
      <c r="D560" s="1032"/>
      <c r="E560" s="1032"/>
      <c r="F560" s="1032"/>
      <c r="G560" s="1032"/>
      <c r="H560" s="1032"/>
      <c r="I560" s="1032"/>
      <c r="J560" s="1032"/>
      <c r="K560" s="1032"/>
      <c r="L560" s="1033"/>
    </row>
    <row r="561" spans="1:12" ht="23.25">
      <c r="A561" s="19"/>
      <c r="B561" s="207"/>
      <c r="C561" s="207"/>
      <c r="D561" s="215" t="s">
        <v>248</v>
      </c>
      <c r="E561" s="207"/>
      <c r="F561" s="207"/>
      <c r="G561" s="207"/>
      <c r="H561" s="207"/>
      <c r="I561" s="209" t="s">
        <v>302</v>
      </c>
      <c r="J561" s="210"/>
      <c r="K561" s="210"/>
      <c r="L561" s="240"/>
    </row>
    <row r="562" spans="1:12" ht="15.75">
      <c r="A562" s="19"/>
      <c r="B562" s="2"/>
      <c r="C562" s="2" t="s">
        <v>249</v>
      </c>
      <c r="E562" s="2"/>
      <c r="F562" s="2"/>
      <c r="G562" s="2"/>
      <c r="H562" s="2"/>
      <c r="I562" s="208" t="s">
        <v>303</v>
      </c>
      <c r="J562" s="229">
        <f>'04-22Master'!F516</f>
        <v>0</v>
      </c>
      <c r="K562" s="211"/>
      <c r="L562" s="241"/>
    </row>
    <row r="563" spans="1:12">
      <c r="A563" s="19"/>
      <c r="B563" s="216"/>
      <c r="C563" s="185" t="s">
        <v>250</v>
      </c>
      <c r="E563" s="216"/>
      <c r="F563" s="216"/>
      <c r="H563" s="186"/>
      <c r="I563" s="232">
        <f>'04-22Master'!F517</f>
        <v>0</v>
      </c>
      <c r="J563" s="230"/>
      <c r="K563" s="231"/>
      <c r="L563" s="195"/>
    </row>
    <row r="564" spans="1:12" ht="23.25" customHeight="1">
      <c r="A564" s="19">
        <v>1</v>
      </c>
      <c r="B564" s="212" t="s">
        <v>251</v>
      </c>
      <c r="C564" s="69"/>
      <c r="D564" s="69"/>
      <c r="E564" s="69"/>
      <c r="F564" s="69"/>
      <c r="G564" s="70"/>
      <c r="H564" s="1009"/>
      <c r="I564" s="1010"/>
      <c r="J564" s="1010"/>
      <c r="K564" s="1010"/>
      <c r="L564" s="1011"/>
    </row>
    <row r="565" spans="1:12" ht="22.5" customHeight="1">
      <c r="A565" s="19">
        <v>2</v>
      </c>
      <c r="B565" s="1034" t="s">
        <v>252</v>
      </c>
      <c r="C565" s="1035"/>
      <c r="D565" s="1035"/>
      <c r="E565" s="1035"/>
      <c r="F565" s="213" t="s">
        <v>253</v>
      </c>
      <c r="G565" s="197"/>
      <c r="H565" s="1036"/>
      <c r="I565" s="1037"/>
      <c r="J565" s="1037"/>
      <c r="K565" s="1037"/>
      <c r="L565" s="1038"/>
    </row>
    <row r="566" spans="1:12" ht="10.5" customHeight="1">
      <c r="A566" s="19"/>
      <c r="B566" s="198" t="s">
        <v>254</v>
      </c>
      <c r="C566" s="199"/>
      <c r="D566" s="199"/>
      <c r="E566" s="199"/>
      <c r="F566" s="199" t="s">
        <v>247</v>
      </c>
      <c r="G566" s="200"/>
      <c r="H566" s="1039"/>
      <c r="I566" s="1040"/>
      <c r="J566" s="1040"/>
      <c r="K566" s="1040"/>
      <c r="L566" s="1041"/>
    </row>
    <row r="567" spans="1:12" ht="24" customHeight="1">
      <c r="A567" s="19">
        <v>3</v>
      </c>
      <c r="B567" s="214" t="s">
        <v>255</v>
      </c>
      <c r="C567" s="204"/>
      <c r="D567" s="204"/>
      <c r="E567" s="204"/>
      <c r="F567" s="204"/>
      <c r="G567" s="205"/>
      <c r="H567" s="214"/>
      <c r="I567" s="204"/>
      <c r="J567" s="204"/>
      <c r="K567" s="204"/>
      <c r="L567" s="242"/>
    </row>
    <row r="568" spans="1:12" ht="27.95" customHeight="1">
      <c r="A568" s="19">
        <v>4</v>
      </c>
      <c r="B568" s="190" t="s">
        <v>256</v>
      </c>
      <c r="C568" s="69"/>
      <c r="D568" s="69"/>
      <c r="E568" s="69"/>
      <c r="F568" s="69"/>
      <c r="G568" s="70"/>
      <c r="H568" s="190"/>
      <c r="I568" s="69"/>
      <c r="J568" s="69"/>
      <c r="K568" s="69"/>
      <c r="L568" s="195"/>
    </row>
    <row r="569" spans="1:12" ht="27.95" customHeight="1">
      <c r="A569" s="19">
        <v>5</v>
      </c>
      <c r="B569" s="1017" t="s">
        <v>304</v>
      </c>
      <c r="C569" s="1018"/>
      <c r="D569" s="1018"/>
      <c r="E569" s="1018"/>
      <c r="F569" s="1018"/>
      <c r="G569" s="70"/>
      <c r="H569" s="1019"/>
      <c r="I569" s="1020"/>
      <c r="J569" s="1020"/>
      <c r="K569" s="1020"/>
      <c r="L569" s="1021"/>
    </row>
    <row r="570" spans="1:12" ht="27.95" customHeight="1">
      <c r="A570" s="19">
        <v>6</v>
      </c>
      <c r="B570" s="203" t="s">
        <v>257</v>
      </c>
      <c r="C570" s="204" t="s">
        <v>258</v>
      </c>
      <c r="D570" s="204"/>
      <c r="E570" s="204"/>
      <c r="F570" s="204"/>
      <c r="G570" s="205"/>
      <c r="H570" s="214"/>
      <c r="I570" s="204"/>
      <c r="J570" s="204"/>
      <c r="K570" s="204"/>
      <c r="L570" s="242"/>
    </row>
    <row r="571" spans="1:12" ht="27.95" customHeight="1">
      <c r="A571" s="19"/>
      <c r="B571" s="203" t="s">
        <v>259</v>
      </c>
      <c r="C571" s="204" t="s">
        <v>260</v>
      </c>
      <c r="D571" s="204"/>
      <c r="E571" s="204"/>
      <c r="F571" s="204"/>
      <c r="G571" s="205"/>
      <c r="H571" s="214"/>
      <c r="I571" s="196"/>
      <c r="J571" s="196"/>
      <c r="K571" s="204"/>
      <c r="L571" s="242"/>
    </row>
    <row r="572" spans="1:12" ht="27.95" customHeight="1">
      <c r="A572" s="19">
        <v>7</v>
      </c>
      <c r="B572" s="1014" t="s">
        <v>261</v>
      </c>
      <c r="C572" s="1015"/>
      <c r="D572" s="1015"/>
      <c r="E572" s="1015"/>
      <c r="F572" s="1015"/>
      <c r="G572" s="1022"/>
      <c r="H572" s="218" t="s">
        <v>262</v>
      </c>
      <c r="I572" s="219"/>
      <c r="J572" s="220"/>
      <c r="K572" s="218" t="s">
        <v>263</v>
      </c>
      <c r="L572" s="243"/>
    </row>
    <row r="573" spans="1:12" ht="27.95" customHeight="1">
      <c r="A573" s="19">
        <v>8</v>
      </c>
      <c r="B573" s="1014" t="s">
        <v>305</v>
      </c>
      <c r="C573" s="1015"/>
      <c r="D573" s="1015"/>
      <c r="E573" s="1015"/>
      <c r="F573" s="1015"/>
      <c r="G573" s="1022"/>
      <c r="H573" s="218" t="s">
        <v>262</v>
      </c>
      <c r="I573" s="219"/>
      <c r="J573" s="220"/>
      <c r="K573" s="218" t="s">
        <v>263</v>
      </c>
      <c r="L573" s="243"/>
    </row>
    <row r="574" spans="1:12" ht="27.95" customHeight="1">
      <c r="A574" s="19"/>
      <c r="B574" s="190"/>
      <c r="C574" s="222"/>
      <c r="D574" s="222"/>
      <c r="E574" s="222"/>
      <c r="F574" s="222" t="s">
        <v>264</v>
      </c>
      <c r="G574" s="222"/>
      <c r="H574" s="222"/>
      <c r="I574" s="222"/>
      <c r="J574" s="222"/>
      <c r="K574" s="222"/>
      <c r="L574" s="244"/>
    </row>
    <row r="575" spans="1:12" ht="27.95" customHeight="1">
      <c r="A575" s="19">
        <v>9</v>
      </c>
      <c r="B575" s="203" t="s">
        <v>265</v>
      </c>
      <c r="C575" s="204" t="s">
        <v>266</v>
      </c>
      <c r="D575" s="204"/>
      <c r="E575" s="204"/>
      <c r="F575" s="204"/>
      <c r="G575" s="205"/>
      <c r="H575" s="214"/>
      <c r="I575" s="204"/>
      <c r="J575" s="204"/>
      <c r="K575" s="204"/>
      <c r="L575" s="242"/>
    </row>
    <row r="576" spans="1:12" ht="24" customHeight="1">
      <c r="A576" s="92"/>
      <c r="B576" s="203" t="s">
        <v>267</v>
      </c>
      <c r="C576" s="204" t="s">
        <v>268</v>
      </c>
      <c r="D576" s="204"/>
      <c r="E576" s="204"/>
      <c r="F576" s="204"/>
      <c r="G576" s="205"/>
      <c r="H576" s="214"/>
      <c r="I576" s="204"/>
      <c r="J576" s="204"/>
      <c r="K576" s="204"/>
      <c r="L576" s="242"/>
    </row>
    <row r="577" spans="1:12" ht="24" customHeight="1">
      <c r="A577" s="92"/>
      <c r="B577" s="203" t="s">
        <v>306</v>
      </c>
      <c r="C577" s="204" t="s">
        <v>307</v>
      </c>
      <c r="D577" s="204"/>
      <c r="E577" s="204"/>
      <c r="F577" s="204"/>
      <c r="G577" s="205"/>
      <c r="H577" s="214"/>
      <c r="I577" s="204"/>
      <c r="J577" s="204"/>
      <c r="K577" s="204"/>
      <c r="L577" s="242"/>
    </row>
    <row r="578" spans="1:12" ht="22.5" customHeight="1">
      <c r="A578" s="92"/>
      <c r="B578" s="203" t="s">
        <v>270</v>
      </c>
      <c r="C578" s="204" t="s">
        <v>271</v>
      </c>
      <c r="D578" s="204"/>
      <c r="E578" s="204"/>
      <c r="F578" s="204"/>
      <c r="G578" s="205"/>
      <c r="H578" s="214"/>
      <c r="I578" s="204"/>
      <c r="J578" s="204"/>
      <c r="K578" s="204"/>
      <c r="L578" s="242"/>
    </row>
    <row r="579" spans="1:12" ht="27.95" customHeight="1">
      <c r="A579" s="92"/>
      <c r="B579" s="203" t="s">
        <v>272</v>
      </c>
      <c r="C579" s="204" t="s">
        <v>273</v>
      </c>
      <c r="D579" s="204"/>
      <c r="E579" s="204"/>
      <c r="F579" s="204"/>
      <c r="G579" s="205"/>
      <c r="H579" s="214"/>
      <c r="I579" s="204"/>
      <c r="J579" s="204"/>
      <c r="K579" s="204"/>
      <c r="L579" s="242"/>
    </row>
    <row r="580" spans="1:12" ht="27.95" customHeight="1">
      <c r="A580" s="92">
        <v>10</v>
      </c>
      <c r="B580" s="203" t="s">
        <v>265</v>
      </c>
      <c r="C580" s="204" t="s">
        <v>308</v>
      </c>
      <c r="D580" s="204"/>
      <c r="E580" s="204"/>
      <c r="F580" s="204"/>
      <c r="G580" s="205"/>
      <c r="H580" s="218" t="s">
        <v>262</v>
      </c>
      <c r="I580" s="219"/>
      <c r="J580" s="220"/>
      <c r="K580" s="218" t="s">
        <v>263</v>
      </c>
      <c r="L580" s="243"/>
    </row>
    <row r="581" spans="1:12" ht="27.95" customHeight="1">
      <c r="A581" s="92"/>
      <c r="B581" s="203" t="s">
        <v>267</v>
      </c>
      <c r="C581" s="204" t="s">
        <v>309</v>
      </c>
      <c r="D581" s="204"/>
      <c r="E581" s="204"/>
      <c r="F581" s="204"/>
      <c r="G581" s="205"/>
      <c r="H581" s="214"/>
      <c r="I581" s="204"/>
      <c r="J581" s="204"/>
      <c r="K581" s="204"/>
      <c r="L581" s="242"/>
    </row>
    <row r="582" spans="1:12">
      <c r="A582" s="92"/>
      <c r="B582" s="203" t="s">
        <v>306</v>
      </c>
      <c r="C582" s="204" t="s">
        <v>274</v>
      </c>
      <c r="D582" s="204"/>
      <c r="E582" s="204"/>
      <c r="F582" s="204"/>
      <c r="G582" s="205"/>
      <c r="H582" s="214"/>
      <c r="I582" s="204"/>
      <c r="J582" s="204"/>
      <c r="K582" s="204"/>
      <c r="L582" s="242"/>
    </row>
    <row r="583" spans="1:12">
      <c r="A583" s="92"/>
      <c r="B583" s="203" t="s">
        <v>270</v>
      </c>
      <c r="C583" s="204" t="s">
        <v>310</v>
      </c>
      <c r="D583" s="204"/>
      <c r="E583" s="204"/>
      <c r="F583" s="204"/>
      <c r="G583" s="205"/>
      <c r="H583" s="214"/>
      <c r="I583" s="204"/>
      <c r="J583" s="204"/>
      <c r="K583" s="204"/>
      <c r="L583" s="242"/>
    </row>
    <row r="584" spans="1:12">
      <c r="A584" s="19"/>
      <c r="B584" s="190"/>
      <c r="C584" s="222"/>
      <c r="D584" s="222"/>
      <c r="E584" s="222" t="s">
        <v>311</v>
      </c>
      <c r="F584" s="222"/>
      <c r="G584" s="222"/>
      <c r="H584" s="222"/>
      <c r="I584" s="222"/>
      <c r="J584" s="222"/>
      <c r="K584" s="222"/>
      <c r="L584" s="244"/>
    </row>
    <row r="585" spans="1:12">
      <c r="A585" s="19">
        <v>11</v>
      </c>
      <c r="B585" s="203" t="s">
        <v>265</v>
      </c>
      <c r="C585" s="204" t="s">
        <v>275</v>
      </c>
      <c r="D585" s="204"/>
      <c r="E585" s="204"/>
      <c r="F585" s="204"/>
      <c r="G585" s="205"/>
      <c r="H585" s="214"/>
      <c r="I585" s="204"/>
      <c r="J585" s="204"/>
      <c r="K585" s="204"/>
      <c r="L585" s="242"/>
    </row>
    <row r="586" spans="1:12">
      <c r="A586" s="19"/>
      <c r="B586" s="203" t="s">
        <v>267</v>
      </c>
      <c r="C586" s="204" t="s">
        <v>276</v>
      </c>
      <c r="D586" s="204"/>
      <c r="E586" s="204"/>
      <c r="F586" s="204"/>
      <c r="G586" s="205"/>
      <c r="H586" s="214"/>
      <c r="I586" s="204"/>
      <c r="J586" s="204"/>
      <c r="K586" s="204"/>
      <c r="L586" s="242"/>
    </row>
    <row r="587" spans="1:12">
      <c r="A587" s="19"/>
      <c r="B587" s="203" t="s">
        <v>269</v>
      </c>
      <c r="C587" s="204" t="s">
        <v>277</v>
      </c>
      <c r="D587" s="204"/>
      <c r="E587" s="204"/>
      <c r="F587" s="204"/>
      <c r="G587" s="205"/>
      <c r="H587" s="214"/>
      <c r="I587" s="204"/>
      <c r="J587" s="204"/>
      <c r="K587" s="204"/>
      <c r="L587" s="242"/>
    </row>
    <row r="588" spans="1:12" ht="15" customHeight="1">
      <c r="A588" s="19"/>
      <c r="B588" s="178"/>
      <c r="C588" s="174"/>
      <c r="D588" s="174"/>
      <c r="E588" s="174"/>
      <c r="F588" s="223" t="s">
        <v>278</v>
      </c>
      <c r="G588" s="174"/>
      <c r="H588" s="163"/>
      <c r="I588" s="163"/>
      <c r="J588" s="163"/>
      <c r="K588" s="163"/>
      <c r="L588" s="181"/>
    </row>
    <row r="589" spans="1:12">
      <c r="A589" s="19"/>
      <c r="B589" s="235" t="s">
        <v>279</v>
      </c>
      <c r="C589" s="234" t="s">
        <v>280</v>
      </c>
      <c r="D589" s="174"/>
      <c r="E589" s="174"/>
      <c r="F589" s="174"/>
      <c r="G589" s="174"/>
      <c r="H589" s="163"/>
      <c r="I589" s="163"/>
      <c r="J589" s="164"/>
      <c r="K589" s="163"/>
      <c r="L589" s="181"/>
    </row>
    <row r="590" spans="1:12">
      <c r="A590" s="19"/>
      <c r="B590" s="235" t="s">
        <v>281</v>
      </c>
      <c r="C590" s="233" t="s">
        <v>282</v>
      </c>
      <c r="D590" s="163"/>
      <c r="E590" s="164"/>
      <c r="G590" s="1023"/>
      <c r="H590" s="1023"/>
      <c r="I590" s="179"/>
      <c r="J590" s="180"/>
      <c r="K590" s="1023"/>
      <c r="L590" s="1024"/>
    </row>
    <row r="591" spans="1:12">
      <c r="A591" s="19"/>
      <c r="B591" s="236" t="s">
        <v>283</v>
      </c>
      <c r="C591" s="1025" t="s">
        <v>312</v>
      </c>
      <c r="D591" s="1025"/>
      <c r="E591" s="1025"/>
      <c r="F591" s="1025"/>
      <c r="G591" s="1025"/>
      <c r="H591" s="1025"/>
      <c r="I591" s="1025"/>
      <c r="J591" s="1025"/>
      <c r="K591" s="1025"/>
      <c r="L591" s="1026"/>
    </row>
    <row r="592" spans="1:12">
      <c r="A592" s="19"/>
      <c r="B592" s="235" t="s">
        <v>284</v>
      </c>
      <c r="C592" s="234" t="s">
        <v>285</v>
      </c>
      <c r="D592" s="226"/>
      <c r="E592" s="226"/>
      <c r="F592" s="226"/>
      <c r="G592" s="226"/>
      <c r="H592" s="226"/>
      <c r="I592" s="226"/>
      <c r="J592" s="226"/>
      <c r="K592" s="226"/>
      <c r="L592" s="245"/>
    </row>
    <row r="593" spans="1:12">
      <c r="A593" s="19"/>
      <c r="B593" s="178"/>
      <c r="C593" t="s">
        <v>313</v>
      </c>
      <c r="D593" s="3"/>
      <c r="E593" s="3"/>
      <c r="F593" s="3"/>
      <c r="G593" s="3"/>
      <c r="L593" s="20"/>
    </row>
    <row r="594" spans="1:12">
      <c r="A594" s="19"/>
      <c r="C594" t="s">
        <v>286</v>
      </c>
      <c r="J594" t="s">
        <v>314</v>
      </c>
      <c r="L594" s="20"/>
    </row>
    <row r="595" spans="1:12">
      <c r="A595" s="19"/>
      <c r="F595" s="224" t="s">
        <v>287</v>
      </c>
      <c r="L595" s="20"/>
    </row>
    <row r="596" spans="1:12">
      <c r="A596" s="19" t="s">
        <v>315</v>
      </c>
      <c r="B596" t="s">
        <v>288</v>
      </c>
      <c r="E596" s="227">
        <f>'04-22Master'!B526</f>
        <v>0</v>
      </c>
      <c r="H596" s="1027" t="s">
        <v>289</v>
      </c>
      <c r="I596" s="1027"/>
      <c r="J596" s="228">
        <f>'04-22Master'!I526</f>
        <v>0</v>
      </c>
      <c r="K596" t="s">
        <v>290</v>
      </c>
      <c r="L596" s="20"/>
    </row>
    <row r="597" spans="1:12">
      <c r="A597" s="19"/>
      <c r="B597" s="1028">
        <f>'04-22Master'!N526</f>
        <v>0</v>
      </c>
      <c r="C597" s="1029"/>
      <c r="D597" s="225"/>
      <c r="E597" s="225"/>
      <c r="F597" s="225"/>
      <c r="G597" s="225"/>
      <c r="H597" s="225"/>
      <c r="I597" s="225"/>
      <c r="J597" s="225"/>
      <c r="K597" s="225"/>
      <c r="L597" s="246"/>
    </row>
    <row r="598" spans="1:12">
      <c r="A598" s="19" t="s">
        <v>317</v>
      </c>
      <c r="B598" s="225" t="s">
        <v>291</v>
      </c>
      <c r="C598" s="225"/>
      <c r="D598" s="225"/>
      <c r="E598" s="225"/>
      <c r="F598" s="225"/>
      <c r="G598" s="225"/>
      <c r="H598" s="225"/>
      <c r="I598" s="225"/>
      <c r="J598" s="225"/>
      <c r="K598" s="225"/>
      <c r="L598" s="246"/>
    </row>
    <row r="599" spans="1:12">
      <c r="A599" s="19"/>
      <c r="B599" s="225" t="s">
        <v>316</v>
      </c>
      <c r="C599" s="225"/>
      <c r="D599" s="225"/>
      <c r="E599" s="225"/>
      <c r="F599" s="225"/>
      <c r="G599" s="225"/>
      <c r="H599" s="225"/>
      <c r="I599" s="225"/>
      <c r="J599" s="225"/>
      <c r="K599" s="225"/>
      <c r="L599" s="246"/>
    </row>
    <row r="600" spans="1:12">
      <c r="A600" s="19"/>
      <c r="B600" t="s">
        <v>292</v>
      </c>
      <c r="L600" s="20"/>
    </row>
    <row r="601" spans="1:12" ht="18.75">
      <c r="A601" s="19"/>
      <c r="B601" s="3" t="s">
        <v>293</v>
      </c>
      <c r="F601" s="177"/>
      <c r="L601" s="20"/>
    </row>
    <row r="602" spans="1:12">
      <c r="A602" s="19"/>
      <c r="B602" s="3" t="s">
        <v>294</v>
      </c>
      <c r="L602" s="20"/>
    </row>
    <row r="603" spans="1:12" ht="21.75" customHeight="1">
      <c r="A603" s="19"/>
      <c r="B603" t="s">
        <v>295</v>
      </c>
      <c r="L603" s="20"/>
    </row>
    <row r="604" spans="1:12" ht="18" customHeight="1">
      <c r="A604" s="19"/>
      <c r="B604" t="s">
        <v>296</v>
      </c>
      <c r="L604" s="20"/>
    </row>
    <row r="605" spans="1:12" ht="17.25" customHeight="1">
      <c r="A605" s="19" t="s">
        <v>306</v>
      </c>
      <c r="B605" t="s">
        <v>297</v>
      </c>
      <c r="L605" s="20"/>
    </row>
    <row r="606" spans="1:12" ht="19.5" customHeight="1">
      <c r="A606" s="19"/>
      <c r="B606" s="237" t="s">
        <v>318</v>
      </c>
      <c r="L606" s="20"/>
    </row>
    <row r="607" spans="1:12" ht="18.75" customHeight="1">
      <c r="A607" s="19"/>
      <c r="B607" t="s">
        <v>292</v>
      </c>
      <c r="L607" s="20"/>
    </row>
    <row r="608" spans="1:12" ht="15" customHeight="1">
      <c r="A608" s="19"/>
      <c r="B608" t="s">
        <v>298</v>
      </c>
      <c r="L608" s="20"/>
    </row>
    <row r="609" spans="1:12" ht="20.25" customHeight="1">
      <c r="A609" s="19"/>
      <c r="B609" t="s">
        <v>299</v>
      </c>
      <c r="L609" s="20"/>
    </row>
    <row r="610" spans="1:12" ht="21" customHeight="1">
      <c r="A610" s="19"/>
      <c r="B610" s="1030" t="s">
        <v>300</v>
      </c>
      <c r="C610" s="1030"/>
      <c r="D610" s="1030"/>
      <c r="E610" s="1030"/>
      <c r="F610" s="1030"/>
      <c r="G610" s="1030"/>
      <c r="H610" s="1030"/>
      <c r="I610" s="1030"/>
      <c r="J610" s="1030"/>
      <c r="K610" s="1030"/>
      <c r="L610" s="1031"/>
    </row>
    <row r="611" spans="1:12" ht="27.95" customHeight="1">
      <c r="A611" s="19"/>
      <c r="B611" t="s">
        <v>212</v>
      </c>
      <c r="C611" s="207"/>
      <c r="D611" s="207"/>
      <c r="E611" s="207"/>
      <c r="F611" s="207"/>
      <c r="G611" s="207"/>
      <c r="H611" s="207"/>
      <c r="I611" t="s">
        <v>319</v>
      </c>
      <c r="J611" s="207"/>
      <c r="K611" s="207"/>
      <c r="L611" s="238"/>
    </row>
    <row r="612" spans="1:12" ht="27.95" customHeight="1" thickBot="1">
      <c r="A612" s="31"/>
      <c r="B612" s="860"/>
      <c r="C612" s="860"/>
      <c r="D612" s="860"/>
      <c r="E612" s="860"/>
      <c r="F612" s="860"/>
      <c r="G612" s="860"/>
      <c r="H612" s="860"/>
      <c r="I612" s="860"/>
      <c r="J612" s="860"/>
      <c r="K612" s="860"/>
      <c r="L612" s="861"/>
    </row>
    <row r="613" spans="1:12" ht="27.95" customHeight="1">
      <c r="B613" s="178"/>
      <c r="C613" s="174"/>
      <c r="D613" s="174"/>
      <c r="E613" s="174"/>
      <c r="F613" s="174"/>
      <c r="G613" s="174"/>
      <c r="H613" s="163"/>
      <c r="I613" s="163"/>
      <c r="J613" s="163"/>
      <c r="K613" s="163"/>
      <c r="L613" s="163"/>
    </row>
    <row r="614" spans="1:12" ht="27.95" customHeight="1">
      <c r="B614" s="178"/>
      <c r="C614" s="174"/>
      <c r="D614" s="174"/>
      <c r="E614" s="174"/>
      <c r="F614" s="174"/>
      <c r="G614" s="174"/>
      <c r="H614" s="163"/>
      <c r="I614" s="163"/>
      <c r="J614" s="164"/>
      <c r="K614" s="163"/>
      <c r="L614" s="163"/>
    </row>
    <row r="615" spans="1:12" ht="27.95" customHeight="1">
      <c r="B615" s="178"/>
      <c r="C615" s="174"/>
      <c r="D615" s="174"/>
      <c r="E615" s="174"/>
      <c r="F615" s="174"/>
      <c r="G615" s="174"/>
      <c r="H615" s="163"/>
      <c r="I615" s="163"/>
      <c r="J615" s="163"/>
      <c r="K615" s="163"/>
      <c r="L615" s="163"/>
    </row>
    <row r="616" spans="1:12" ht="27.95" customHeight="1">
      <c r="B616" s="178"/>
      <c r="C616" s="174"/>
      <c r="D616" s="174"/>
      <c r="E616" s="174"/>
      <c r="F616" s="174"/>
      <c r="G616" s="174"/>
      <c r="H616" s="163"/>
      <c r="I616" s="163"/>
      <c r="J616" s="164"/>
      <c r="K616" s="163"/>
      <c r="L616" s="163"/>
    </row>
    <row r="617" spans="1:12" ht="27.95" customHeight="1">
      <c r="B617" s="178"/>
      <c r="C617" s="174"/>
      <c r="D617" s="163"/>
      <c r="E617" s="164"/>
      <c r="F617" s="163"/>
      <c r="G617" s="164"/>
      <c r="H617" s="163"/>
      <c r="I617" s="164"/>
      <c r="J617" s="163"/>
      <c r="K617" s="164"/>
      <c r="L617" s="164"/>
    </row>
    <row r="618" spans="1:12" ht="27.95" customHeight="1">
      <c r="B618" s="178"/>
      <c r="C618" s="174"/>
      <c r="D618" s="174"/>
      <c r="E618" s="174"/>
      <c r="F618" s="174"/>
      <c r="G618" s="174"/>
      <c r="H618" s="163"/>
      <c r="I618" s="163"/>
      <c r="J618" s="247"/>
      <c r="K618" s="163"/>
      <c r="L618" s="163"/>
    </row>
    <row r="619" spans="1:12" ht="27.95" customHeight="1">
      <c r="B619" s="178"/>
      <c r="C619" s="3"/>
      <c r="D619" s="3"/>
      <c r="E619" s="3"/>
      <c r="F619" s="3"/>
      <c r="G619" s="3"/>
    </row>
    <row r="620" spans="1:12" ht="27.95" customHeight="1">
      <c r="B620" s="178"/>
      <c r="C620" s="3"/>
      <c r="D620" s="3"/>
      <c r="E620" s="3"/>
      <c r="F620" s="3"/>
      <c r="G620" s="3"/>
    </row>
    <row r="623" spans="1:12" ht="32.25">
      <c r="B623" s="1001"/>
      <c r="C623" s="757"/>
      <c r="D623" s="757"/>
      <c r="E623" s="757"/>
      <c r="F623" s="757"/>
      <c r="G623" s="757"/>
      <c r="H623" s="757"/>
      <c r="I623" s="757"/>
      <c r="J623" s="757"/>
      <c r="K623" s="757"/>
      <c r="L623" s="757"/>
    </row>
    <row r="624" spans="1:12" ht="23.25">
      <c r="B624" s="982"/>
      <c r="C624" s="982"/>
      <c r="D624" s="982"/>
      <c r="E624" s="982"/>
      <c r="F624" s="982"/>
      <c r="G624" s="982"/>
      <c r="H624" s="982"/>
      <c r="I624" s="982"/>
      <c r="J624" s="982"/>
      <c r="K624" s="982"/>
      <c r="L624" s="982"/>
    </row>
    <row r="625" spans="2:12" ht="15.75">
      <c r="B625" s="999"/>
      <c r="C625" s="999"/>
      <c r="D625" s="999"/>
      <c r="E625" s="999"/>
      <c r="F625" s="999"/>
      <c r="G625" s="999"/>
      <c r="H625" s="999"/>
      <c r="I625" s="999"/>
      <c r="J625" s="999"/>
      <c r="K625" s="999"/>
      <c r="L625" s="999"/>
    </row>
    <row r="626" spans="2:12" ht="15" customHeight="1">
      <c r="B626" s="983"/>
      <c r="C626" s="983"/>
      <c r="D626" s="983"/>
      <c r="E626" s="983"/>
      <c r="F626" s="983"/>
      <c r="H626" s="984"/>
      <c r="I626" s="984"/>
      <c r="J626" s="984"/>
      <c r="K626" s="984"/>
      <c r="L626" s="984"/>
    </row>
    <row r="627" spans="2:12">
      <c r="B627" s="983"/>
      <c r="C627" s="983"/>
      <c r="D627" s="983"/>
      <c r="E627" s="983"/>
      <c r="F627" s="983"/>
      <c r="H627" s="984"/>
      <c r="I627" s="984"/>
      <c r="J627" s="984"/>
      <c r="K627" s="984"/>
      <c r="L627" s="984"/>
    </row>
    <row r="629" spans="2:12">
      <c r="B629" s="3"/>
      <c r="H629" s="3"/>
    </row>
    <row r="631" spans="2:12">
      <c r="B631" s="3"/>
      <c r="H631" s="3"/>
    </row>
    <row r="634" spans="2:12">
      <c r="B634" s="750"/>
      <c r="C634" s="750"/>
      <c r="D634" s="750"/>
      <c r="E634" s="750"/>
      <c r="F634" s="750"/>
      <c r="H634" s="750"/>
      <c r="I634" s="750"/>
      <c r="J634" s="750"/>
      <c r="K634" s="750"/>
      <c r="L634" s="750"/>
    </row>
    <row r="636" spans="2:12">
      <c r="H636" s="3"/>
      <c r="I636" s="3"/>
      <c r="J636" s="3"/>
      <c r="K636" s="3"/>
      <c r="L636" s="3"/>
    </row>
    <row r="637" spans="2:12">
      <c r="H637" s="3"/>
      <c r="I637" s="3"/>
      <c r="J637" s="3"/>
      <c r="K637" s="3"/>
      <c r="L637" s="3"/>
    </row>
    <row r="638" spans="2:12">
      <c r="B638" s="3"/>
      <c r="H638" s="3"/>
      <c r="I638" s="3"/>
      <c r="J638" s="3"/>
      <c r="K638" s="3"/>
      <c r="L638" s="3"/>
    </row>
    <row r="639" spans="2:12">
      <c r="H639" s="3"/>
      <c r="I639" s="3"/>
      <c r="J639" s="3"/>
      <c r="K639" s="3"/>
      <c r="L639" s="3"/>
    </row>
    <row r="640" spans="2:12">
      <c r="H640" s="3"/>
      <c r="I640" s="3"/>
      <c r="J640" s="3"/>
      <c r="K640" s="3"/>
      <c r="L640" s="3"/>
    </row>
    <row r="641" spans="1:12" ht="27.95" customHeight="1">
      <c r="A641" s="15"/>
      <c r="B641" s="997"/>
      <c r="C641" s="997"/>
      <c r="D641" s="997"/>
      <c r="E641" s="997"/>
      <c r="F641" s="997"/>
      <c r="G641" s="997"/>
      <c r="H641" s="994"/>
      <c r="I641" s="995"/>
      <c r="J641" s="995"/>
      <c r="K641" s="995"/>
      <c r="L641" s="995"/>
    </row>
    <row r="642" spans="1:12" ht="27.95" customHeight="1">
      <c r="A642" s="15"/>
      <c r="B642" s="984"/>
      <c r="C642" s="984"/>
      <c r="D642" s="984"/>
      <c r="E642" s="984"/>
      <c r="F642" s="984"/>
      <c r="G642" s="984"/>
      <c r="H642" s="994"/>
      <c r="I642" s="995"/>
      <c r="J642" s="995"/>
      <c r="K642" s="995"/>
      <c r="L642" s="995"/>
    </row>
    <row r="643" spans="1:12" ht="27.95" customHeight="1">
      <c r="A643" s="15"/>
      <c r="B643" s="997"/>
      <c r="C643" s="997"/>
      <c r="D643" s="997"/>
      <c r="E643" s="997"/>
      <c r="F643" s="997"/>
      <c r="G643" s="997"/>
      <c r="H643" s="994"/>
      <c r="I643" s="995"/>
      <c r="J643" s="995"/>
      <c r="K643" s="995"/>
      <c r="L643" s="995"/>
    </row>
    <row r="644" spans="1:12" ht="27.95" customHeight="1">
      <c r="A644" s="15"/>
      <c r="B644" s="997"/>
      <c r="C644" s="997"/>
      <c r="D644" s="997"/>
      <c r="E644" s="997"/>
      <c r="F644" s="997"/>
      <c r="G644" s="997"/>
      <c r="H644" s="998"/>
      <c r="I644" s="995"/>
      <c r="J644" s="995"/>
      <c r="K644" s="995"/>
      <c r="L644" s="995"/>
    </row>
    <row r="645" spans="1:12" ht="27.95" customHeight="1">
      <c r="A645" s="15"/>
      <c r="B645" s="178"/>
      <c r="C645" s="174"/>
      <c r="D645" s="174"/>
      <c r="E645" s="174"/>
      <c r="F645" s="174"/>
      <c r="G645" s="174"/>
      <c r="H645" s="163"/>
      <c r="I645" s="15"/>
      <c r="J645" s="156"/>
      <c r="K645" s="163"/>
      <c r="L645" s="163"/>
    </row>
    <row r="646" spans="1:12" ht="27.95" customHeight="1">
      <c r="A646" s="15"/>
      <c r="B646" s="178"/>
      <c r="C646" s="174"/>
      <c r="D646" s="174"/>
      <c r="E646" s="174"/>
      <c r="F646" s="174"/>
      <c r="G646" s="174"/>
      <c r="H646" s="163"/>
      <c r="I646" s="163"/>
      <c r="J646" s="156"/>
      <c r="K646" s="163"/>
      <c r="L646" s="163"/>
    </row>
    <row r="647" spans="1:12" ht="27.95" customHeight="1">
      <c r="A647" s="15"/>
      <c r="B647" s="984"/>
      <c r="C647" s="984"/>
      <c r="D647" s="984"/>
      <c r="E647" s="984"/>
      <c r="F647" s="984"/>
      <c r="G647" s="984"/>
      <c r="H647" s="994"/>
      <c r="I647" s="995"/>
      <c r="J647" s="995"/>
      <c r="K647" s="995"/>
      <c r="L647" s="995"/>
    </row>
    <row r="648" spans="1:12" ht="27.95" customHeight="1">
      <c r="A648" s="15"/>
      <c r="B648" s="997"/>
      <c r="C648" s="997"/>
      <c r="D648" s="997"/>
      <c r="E648" s="997"/>
      <c r="F648" s="997"/>
      <c r="G648" s="997"/>
      <c r="H648" s="1000"/>
      <c r="I648" s="995"/>
      <c r="J648" s="995"/>
      <c r="K648" s="995"/>
      <c r="L648" s="995"/>
    </row>
    <row r="649" spans="1:12" ht="27.95" customHeight="1">
      <c r="B649" s="997"/>
      <c r="C649" s="997"/>
      <c r="D649" s="997"/>
      <c r="E649" s="997"/>
      <c r="F649" s="997"/>
      <c r="G649" s="997"/>
      <c r="H649" s="995"/>
      <c r="I649" s="995"/>
      <c r="J649" s="995"/>
      <c r="K649" s="995"/>
      <c r="L649" s="995"/>
    </row>
    <row r="650" spans="1:12" ht="27.95" customHeight="1">
      <c r="B650" s="178"/>
      <c r="C650" s="174"/>
      <c r="D650" s="174"/>
      <c r="E650" s="174"/>
      <c r="F650" s="174"/>
      <c r="G650" s="174"/>
      <c r="H650" s="163"/>
      <c r="I650" s="163"/>
      <c r="J650" s="163"/>
      <c r="K650" s="163"/>
      <c r="L650" s="163"/>
    </row>
    <row r="651" spans="1:12" ht="27.95" customHeight="1">
      <c r="B651" s="178"/>
      <c r="C651" s="174"/>
      <c r="D651" s="174"/>
      <c r="E651" s="174"/>
      <c r="F651" s="174"/>
      <c r="G651" s="174"/>
      <c r="H651" s="163"/>
      <c r="I651" s="163"/>
      <c r="J651" s="163"/>
      <c r="K651" s="163"/>
      <c r="L651" s="163"/>
    </row>
    <row r="652" spans="1:12" ht="27.95" customHeight="1">
      <c r="B652" s="178"/>
      <c r="C652" s="174"/>
      <c r="D652" s="174"/>
      <c r="E652" s="174"/>
      <c r="F652" s="174"/>
      <c r="G652" s="174"/>
      <c r="H652" s="163"/>
      <c r="I652" s="163"/>
      <c r="J652" s="164"/>
      <c r="K652" s="163"/>
      <c r="L652" s="163"/>
    </row>
    <row r="653" spans="1:12" ht="27.95" customHeight="1">
      <c r="B653" s="178"/>
      <c r="C653" s="174"/>
      <c r="D653" s="174"/>
      <c r="E653" s="174"/>
      <c r="F653" s="174"/>
      <c r="G653" s="174"/>
      <c r="H653" s="163"/>
      <c r="I653" s="163"/>
      <c r="J653" s="163"/>
      <c r="K653" s="163"/>
      <c r="L653" s="163"/>
    </row>
    <row r="654" spans="1:12" ht="27.95" customHeight="1">
      <c r="B654" s="178"/>
      <c r="C654" s="174"/>
      <c r="D654" s="174"/>
      <c r="E654" s="174"/>
      <c r="F654" s="174"/>
      <c r="G654" s="174"/>
      <c r="H654" s="163"/>
      <c r="I654" s="163"/>
      <c r="J654" s="164"/>
      <c r="K654" s="163"/>
      <c r="L654" s="163"/>
    </row>
    <row r="655" spans="1:12" ht="27.95" customHeight="1">
      <c r="B655" s="178"/>
      <c r="C655" s="174"/>
      <c r="D655" s="163"/>
      <c r="E655" s="164"/>
      <c r="F655" s="163"/>
      <c r="G655" s="164"/>
      <c r="H655" s="163"/>
      <c r="I655" s="164"/>
      <c r="J655" s="163"/>
      <c r="K655" s="164"/>
      <c r="L655" s="164"/>
    </row>
    <row r="656" spans="1:12" ht="27.95" customHeight="1">
      <c r="B656" s="178"/>
      <c r="C656" s="174"/>
      <c r="D656" s="174"/>
      <c r="E656" s="174"/>
      <c r="F656" s="174"/>
      <c r="G656" s="174"/>
      <c r="H656" s="163"/>
      <c r="I656" s="163"/>
      <c r="J656" s="247"/>
      <c r="K656" s="163"/>
      <c r="L656" s="163"/>
    </row>
    <row r="657" spans="2:12" ht="27.95" customHeight="1">
      <c r="B657" s="178"/>
      <c r="C657" s="3"/>
      <c r="D657" s="3"/>
      <c r="E657" s="3"/>
      <c r="F657" s="3"/>
      <c r="G657" s="3"/>
    </row>
    <row r="658" spans="2:12" ht="27.95" customHeight="1">
      <c r="B658" s="178"/>
      <c r="C658" s="3"/>
      <c r="D658" s="3"/>
      <c r="E658" s="3"/>
      <c r="F658" s="3"/>
      <c r="G658" s="3"/>
    </row>
    <row r="662" spans="2:12" ht="32.25">
      <c r="B662" s="1001"/>
      <c r="C662" s="757"/>
      <c r="D662" s="757"/>
      <c r="E662" s="757"/>
      <c r="F662" s="757"/>
      <c r="G662" s="757"/>
      <c r="H662" s="757"/>
      <c r="I662" s="757"/>
      <c r="J662" s="757"/>
      <c r="K662" s="757"/>
      <c r="L662" s="757"/>
    </row>
    <row r="663" spans="2:12" ht="23.25">
      <c r="B663" s="982"/>
      <c r="C663" s="982"/>
      <c r="D663" s="982"/>
      <c r="E663" s="982"/>
      <c r="F663" s="982"/>
      <c r="G663" s="982"/>
      <c r="H663" s="982"/>
      <c r="I663" s="982"/>
      <c r="J663" s="982"/>
      <c r="K663" s="982"/>
      <c r="L663" s="982"/>
    </row>
    <row r="664" spans="2:12" ht="15.75">
      <c r="B664" s="999"/>
      <c r="C664" s="999"/>
      <c r="D664" s="999"/>
      <c r="E664" s="999"/>
      <c r="F664" s="999"/>
      <c r="G664" s="999"/>
      <c r="H664" s="999"/>
      <c r="I664" s="999"/>
      <c r="J664" s="999"/>
      <c r="K664" s="999"/>
      <c r="L664" s="999"/>
    </row>
    <row r="665" spans="2:12" ht="15" customHeight="1">
      <c r="B665" s="983"/>
      <c r="C665" s="983"/>
      <c r="D665" s="983"/>
      <c r="E665" s="983"/>
      <c r="F665" s="983"/>
      <c r="H665" s="984"/>
      <c r="I665" s="984"/>
      <c r="J665" s="984"/>
      <c r="K665" s="984"/>
      <c r="L665" s="984"/>
    </row>
    <row r="666" spans="2:12">
      <c r="B666" s="983"/>
      <c r="C666" s="983"/>
      <c r="D666" s="983"/>
      <c r="E666" s="983"/>
      <c r="F666" s="983"/>
      <c r="H666" s="984"/>
      <c r="I666" s="984"/>
      <c r="J666" s="984"/>
      <c r="K666" s="984"/>
      <c r="L666" s="984"/>
    </row>
    <row r="668" spans="2:12">
      <c r="B668" s="3"/>
      <c r="H668" s="3"/>
    </row>
    <row r="670" spans="2:12">
      <c r="B670" s="3"/>
      <c r="H670" s="3"/>
    </row>
    <row r="673" spans="1:12">
      <c r="B673" s="750"/>
      <c r="C673" s="750"/>
      <c r="D673" s="750"/>
      <c r="E673" s="750"/>
      <c r="F673" s="750"/>
      <c r="H673" s="750"/>
      <c r="I673" s="750"/>
      <c r="J673" s="750"/>
      <c r="K673" s="750"/>
      <c r="L673" s="750"/>
    </row>
    <row r="675" spans="1:12">
      <c r="H675" s="3"/>
      <c r="I675" s="3"/>
      <c r="J675" s="3"/>
      <c r="K675" s="3"/>
      <c r="L675" s="3"/>
    </row>
    <row r="676" spans="1:12">
      <c r="H676" s="3"/>
      <c r="I676" s="3"/>
      <c r="J676" s="3"/>
      <c r="K676" s="3"/>
      <c r="L676" s="3"/>
    </row>
    <row r="677" spans="1:12">
      <c r="B677" s="3"/>
      <c r="H677" s="3"/>
      <c r="I677" s="3"/>
      <c r="J677" s="3"/>
      <c r="K677" s="3"/>
      <c r="L677" s="3"/>
    </row>
    <row r="678" spans="1:12">
      <c r="H678" s="3"/>
      <c r="I678" s="3"/>
      <c r="J678" s="3"/>
      <c r="K678" s="3"/>
      <c r="L678" s="3"/>
    </row>
    <row r="679" spans="1:12">
      <c r="H679" s="3"/>
      <c r="I679" s="3"/>
      <c r="J679" s="3"/>
      <c r="K679" s="3"/>
      <c r="L679" s="3"/>
    </row>
    <row r="680" spans="1:12" ht="27.95" customHeight="1">
      <c r="A680" s="15"/>
      <c r="B680" s="997"/>
      <c r="C680" s="997"/>
      <c r="D680" s="997"/>
      <c r="E680" s="997"/>
      <c r="F680" s="997"/>
      <c r="G680" s="997"/>
      <c r="H680" s="994"/>
      <c r="I680" s="995"/>
      <c r="J680" s="995"/>
      <c r="K680" s="995"/>
      <c r="L680" s="995"/>
    </row>
    <row r="681" spans="1:12" ht="27.95" customHeight="1">
      <c r="A681" s="15"/>
      <c r="B681" s="984"/>
      <c r="C681" s="984"/>
      <c r="D681" s="984"/>
      <c r="E681" s="984"/>
      <c r="F681" s="984"/>
      <c r="G681" s="984"/>
      <c r="H681" s="994"/>
      <c r="I681" s="995"/>
      <c r="J681" s="995"/>
      <c r="K681" s="995"/>
      <c r="L681" s="995"/>
    </row>
    <row r="682" spans="1:12" ht="27.95" customHeight="1">
      <c r="A682" s="15"/>
      <c r="B682" s="997"/>
      <c r="C682" s="997"/>
      <c r="D682" s="997"/>
      <c r="E682" s="997"/>
      <c r="F682" s="997"/>
      <c r="G682" s="997"/>
      <c r="H682" s="994"/>
      <c r="I682" s="995"/>
      <c r="J682" s="995"/>
      <c r="K682" s="995"/>
      <c r="L682" s="995"/>
    </row>
    <row r="683" spans="1:12" ht="27.95" customHeight="1">
      <c r="A683" s="15"/>
      <c r="B683" s="997"/>
      <c r="C683" s="997"/>
      <c r="D683" s="997"/>
      <c r="E683" s="997"/>
      <c r="F683" s="997"/>
      <c r="G683" s="997"/>
      <c r="H683" s="998"/>
      <c r="I683" s="995"/>
      <c r="J683" s="995"/>
      <c r="K683" s="995"/>
      <c r="L683" s="995"/>
    </row>
    <row r="684" spans="1:12" ht="27.95" customHeight="1">
      <c r="A684" s="15"/>
      <c r="B684" s="178"/>
      <c r="C684" s="174"/>
      <c r="D684" s="174"/>
      <c r="E684" s="174"/>
      <c r="F684" s="174"/>
      <c r="G684" s="174"/>
      <c r="H684" s="163"/>
      <c r="I684" s="15"/>
      <c r="J684" s="156"/>
      <c r="K684" s="163"/>
      <c r="L684" s="163"/>
    </row>
    <row r="685" spans="1:12" ht="27.95" customHeight="1">
      <c r="A685" s="15"/>
      <c r="B685" s="178"/>
      <c r="C685" s="174"/>
      <c r="D685" s="174"/>
      <c r="E685" s="174"/>
      <c r="F685" s="174"/>
      <c r="G685" s="174"/>
      <c r="H685" s="163"/>
      <c r="I685" s="163"/>
      <c r="J685" s="156"/>
      <c r="K685" s="163"/>
      <c r="L685" s="163"/>
    </row>
    <row r="686" spans="1:12" ht="27.95" customHeight="1">
      <c r="A686" s="15"/>
      <c r="B686" s="984"/>
      <c r="C686" s="984"/>
      <c r="D686" s="984"/>
      <c r="E686" s="984"/>
      <c r="F686" s="984"/>
      <c r="G686" s="984"/>
      <c r="H686" s="994"/>
      <c r="I686" s="995"/>
      <c r="J686" s="995"/>
      <c r="K686" s="995"/>
      <c r="L686" s="995"/>
    </row>
    <row r="687" spans="1:12" ht="27.95" customHeight="1">
      <c r="A687" s="15"/>
      <c r="B687" s="997"/>
      <c r="C687" s="997"/>
      <c r="D687" s="997"/>
      <c r="E687" s="997"/>
      <c r="F687" s="997"/>
      <c r="G687" s="997"/>
      <c r="H687" s="1000"/>
      <c r="I687" s="995"/>
      <c r="J687" s="995"/>
      <c r="K687" s="995"/>
      <c r="L687" s="995"/>
    </row>
    <row r="688" spans="1:12" ht="27.95" customHeight="1">
      <c r="B688" s="997"/>
      <c r="C688" s="997"/>
      <c r="D688" s="997"/>
      <c r="E688" s="997"/>
      <c r="F688" s="997"/>
      <c r="G688" s="997"/>
      <c r="H688" s="995"/>
      <c r="I688" s="995"/>
      <c r="J688" s="995"/>
      <c r="K688" s="995"/>
      <c r="L688" s="995"/>
    </row>
    <row r="689" spans="2:12" ht="27.95" customHeight="1">
      <c r="B689" s="178"/>
      <c r="C689" s="174"/>
      <c r="D689" s="174"/>
      <c r="E689" s="174"/>
      <c r="F689" s="174"/>
      <c r="G689" s="174"/>
      <c r="H689" s="163"/>
      <c r="I689" s="163"/>
      <c r="J689" s="163"/>
      <c r="K689" s="163"/>
      <c r="L689" s="163"/>
    </row>
    <row r="690" spans="2:12" ht="27.95" customHeight="1">
      <c r="B690" s="178"/>
      <c r="C690" s="174"/>
      <c r="D690" s="174"/>
      <c r="E690" s="174"/>
      <c r="F690" s="174"/>
      <c r="G690" s="174"/>
      <c r="H690" s="163"/>
      <c r="I690" s="163"/>
      <c r="J690" s="163"/>
      <c r="K690" s="163"/>
      <c r="L690" s="163"/>
    </row>
    <row r="691" spans="2:12" ht="27.95" customHeight="1">
      <c r="B691" s="178"/>
      <c r="C691" s="174"/>
      <c r="D691" s="174"/>
      <c r="E691" s="174"/>
      <c r="F691" s="174"/>
      <c r="G691" s="174"/>
      <c r="H691" s="163"/>
      <c r="I691" s="163"/>
      <c r="J691" s="164"/>
      <c r="K691" s="163"/>
      <c r="L691" s="163"/>
    </row>
    <row r="692" spans="2:12" ht="27.95" customHeight="1">
      <c r="B692" s="178"/>
      <c r="C692" s="174"/>
      <c r="D692" s="174"/>
      <c r="E692" s="174"/>
      <c r="F692" s="174"/>
      <c r="G692" s="174"/>
      <c r="H692" s="163"/>
      <c r="I692" s="163"/>
      <c r="J692" s="163"/>
      <c r="K692" s="163"/>
      <c r="L692" s="163"/>
    </row>
    <row r="693" spans="2:12" ht="27.95" customHeight="1">
      <c r="B693" s="178"/>
      <c r="C693" s="174"/>
      <c r="D693" s="174"/>
      <c r="E693" s="174"/>
      <c r="F693" s="174"/>
      <c r="G693" s="174"/>
      <c r="H693" s="163"/>
      <c r="I693" s="163"/>
      <c r="J693" s="164"/>
      <c r="K693" s="163"/>
      <c r="L693" s="163"/>
    </row>
    <row r="694" spans="2:12" ht="27.95" customHeight="1">
      <c r="B694" s="178"/>
      <c r="C694" s="174"/>
      <c r="D694" s="163"/>
      <c r="E694" s="164"/>
      <c r="F694" s="163"/>
      <c r="G694" s="164"/>
      <c r="H694" s="163"/>
      <c r="I694" s="164"/>
      <c r="J694" s="163"/>
      <c r="K694" s="164"/>
      <c r="L694" s="164"/>
    </row>
    <row r="695" spans="2:12" ht="27.95" customHeight="1">
      <c r="B695" s="178"/>
      <c r="C695" s="174"/>
      <c r="D695" s="174"/>
      <c r="E695" s="174"/>
      <c r="F695" s="174"/>
      <c r="G695" s="174"/>
      <c r="H695" s="163"/>
      <c r="I695" s="163"/>
      <c r="J695" s="247"/>
      <c r="K695" s="163"/>
      <c r="L695" s="163"/>
    </row>
    <row r="696" spans="2:12" ht="27.95" customHeight="1">
      <c r="B696" s="178"/>
      <c r="C696" s="3"/>
      <c r="D696" s="3"/>
      <c r="E696" s="3"/>
      <c r="F696" s="3"/>
      <c r="G696" s="3"/>
    </row>
    <row r="697" spans="2:12" ht="27.95" customHeight="1">
      <c r="B697" s="178"/>
      <c r="C697" s="3"/>
      <c r="D697" s="3"/>
      <c r="E697" s="3"/>
      <c r="F697" s="3"/>
      <c r="G697" s="3"/>
    </row>
    <row r="701" spans="2:12" ht="32.25">
      <c r="B701" s="1001"/>
      <c r="C701" s="757"/>
      <c r="D701" s="757"/>
      <c r="E701" s="757"/>
      <c r="F701" s="757"/>
      <c r="G701" s="757"/>
      <c r="H701" s="757"/>
      <c r="I701" s="757"/>
      <c r="J701" s="757"/>
      <c r="K701" s="757"/>
      <c r="L701" s="757"/>
    </row>
    <row r="702" spans="2:12" ht="23.25">
      <c r="B702" s="982"/>
      <c r="C702" s="982"/>
      <c r="D702" s="982"/>
      <c r="E702" s="982"/>
      <c r="F702" s="982"/>
      <c r="G702" s="982"/>
      <c r="H702" s="982"/>
      <c r="I702" s="982"/>
      <c r="J702" s="982"/>
      <c r="K702" s="982"/>
      <c r="L702" s="982"/>
    </row>
    <row r="703" spans="2:12" ht="15.75">
      <c r="B703" s="999"/>
      <c r="C703" s="999"/>
      <c r="D703" s="999"/>
      <c r="E703" s="999"/>
      <c r="F703" s="999"/>
      <c r="G703" s="999"/>
      <c r="H703" s="999"/>
      <c r="I703" s="999"/>
      <c r="J703" s="999"/>
      <c r="K703" s="999"/>
      <c r="L703" s="999"/>
    </row>
    <row r="704" spans="2:12" ht="15" customHeight="1">
      <c r="B704" s="983"/>
      <c r="C704" s="983"/>
      <c r="D704" s="983"/>
      <c r="E704" s="983"/>
      <c r="F704" s="983"/>
      <c r="H704" s="984"/>
      <c r="I704" s="984"/>
      <c r="J704" s="984"/>
      <c r="K704" s="984"/>
      <c r="L704" s="984"/>
    </row>
    <row r="705" spans="1:12">
      <c r="B705" s="983"/>
      <c r="C705" s="983"/>
      <c r="D705" s="983"/>
      <c r="E705" s="983"/>
      <c r="F705" s="983"/>
      <c r="H705" s="984"/>
      <c r="I705" s="984"/>
      <c r="J705" s="984"/>
      <c r="K705" s="984"/>
      <c r="L705" s="984"/>
    </row>
    <row r="707" spans="1:12">
      <c r="B707" s="3"/>
      <c r="H707" s="3"/>
    </row>
    <row r="709" spans="1:12">
      <c r="B709" s="3"/>
      <c r="H709" s="3"/>
    </row>
    <row r="712" spans="1:12">
      <c r="B712" s="750"/>
      <c r="C712" s="750"/>
      <c r="D712" s="750"/>
      <c r="E712" s="750"/>
      <c r="F712" s="750"/>
      <c r="H712" s="750"/>
      <c r="I712" s="750"/>
      <c r="J712" s="750"/>
      <c r="K712" s="750"/>
      <c r="L712" s="750"/>
    </row>
    <row r="714" spans="1:12">
      <c r="H714" s="3"/>
      <c r="I714" s="3"/>
      <c r="J714" s="3"/>
      <c r="K714" s="3"/>
      <c r="L714" s="3"/>
    </row>
    <row r="715" spans="1:12">
      <c r="H715" s="3"/>
      <c r="I715" s="3"/>
      <c r="J715" s="3"/>
      <c r="K715" s="3"/>
      <c r="L715" s="3"/>
    </row>
    <row r="716" spans="1:12">
      <c r="B716" s="3"/>
      <c r="H716" s="3"/>
      <c r="I716" s="3"/>
      <c r="J716" s="3"/>
      <c r="K716" s="3"/>
      <c r="L716" s="3"/>
    </row>
    <row r="717" spans="1:12">
      <c r="H717" s="3"/>
      <c r="I717" s="3"/>
      <c r="J717" s="3"/>
      <c r="K717" s="3"/>
      <c r="L717" s="3"/>
    </row>
    <row r="718" spans="1:12">
      <c r="H718" s="3"/>
      <c r="I718" s="3"/>
      <c r="J718" s="3"/>
      <c r="K718" s="3"/>
      <c r="L718" s="3"/>
    </row>
    <row r="719" spans="1:12" ht="27.95" customHeight="1">
      <c r="A719" s="15"/>
      <c r="B719" s="997"/>
      <c r="C719" s="997"/>
      <c r="D719" s="997"/>
      <c r="E719" s="997"/>
      <c r="F719" s="997"/>
      <c r="G719" s="997"/>
      <c r="H719" s="994"/>
      <c r="I719" s="995"/>
      <c r="J719" s="995"/>
      <c r="K719" s="995"/>
      <c r="L719" s="995"/>
    </row>
    <row r="720" spans="1:12" ht="27.95" customHeight="1">
      <c r="A720" s="15"/>
      <c r="B720" s="984"/>
      <c r="C720" s="984"/>
      <c r="D720" s="984"/>
      <c r="E720" s="984"/>
      <c r="F720" s="984"/>
      <c r="G720" s="984"/>
      <c r="H720" s="994"/>
      <c r="I720" s="995"/>
      <c r="J720" s="995"/>
      <c r="K720" s="995"/>
      <c r="L720" s="995"/>
    </row>
    <row r="721" spans="1:12" ht="27.95" customHeight="1">
      <c r="A721" s="15"/>
      <c r="B721" s="997"/>
      <c r="C721" s="997"/>
      <c r="D721" s="997"/>
      <c r="E721" s="997"/>
      <c r="F721" s="997"/>
      <c r="G721" s="997"/>
      <c r="H721" s="994"/>
      <c r="I721" s="995"/>
      <c r="J721" s="995"/>
      <c r="K721" s="995"/>
      <c r="L721" s="995"/>
    </row>
    <row r="722" spans="1:12" ht="27.95" customHeight="1">
      <c r="A722" s="15"/>
      <c r="B722" s="997"/>
      <c r="C722" s="997"/>
      <c r="D722" s="997"/>
      <c r="E722" s="997"/>
      <c r="F722" s="997"/>
      <c r="G722" s="997"/>
      <c r="H722" s="998"/>
      <c r="I722" s="995"/>
      <c r="J722" s="995"/>
      <c r="K722" s="995"/>
      <c r="L722" s="995"/>
    </row>
    <row r="723" spans="1:12" ht="27.95" customHeight="1">
      <c r="A723" s="15"/>
      <c r="B723" s="178"/>
      <c r="C723" s="174"/>
      <c r="D723" s="174"/>
      <c r="E723" s="174"/>
      <c r="F723" s="174"/>
      <c r="G723" s="174"/>
      <c r="H723" s="163"/>
      <c r="I723" s="15"/>
      <c r="J723" s="156"/>
      <c r="K723" s="163"/>
      <c r="L723" s="163"/>
    </row>
    <row r="724" spans="1:12" ht="27.95" customHeight="1">
      <c r="A724" s="15"/>
      <c r="B724" s="178"/>
      <c r="C724" s="174"/>
      <c r="D724" s="174"/>
      <c r="E724" s="174"/>
      <c r="F724" s="174"/>
      <c r="G724" s="174"/>
      <c r="H724" s="163"/>
      <c r="I724" s="163"/>
      <c r="J724" s="156"/>
      <c r="K724" s="163"/>
      <c r="L724" s="163"/>
    </row>
    <row r="725" spans="1:12" ht="27.95" customHeight="1">
      <c r="A725" s="15"/>
      <c r="B725" s="984"/>
      <c r="C725" s="984"/>
      <c r="D725" s="984"/>
      <c r="E725" s="984"/>
      <c r="F725" s="984"/>
      <c r="G725" s="984"/>
      <c r="H725" s="994"/>
      <c r="I725" s="995"/>
      <c r="J725" s="995"/>
      <c r="K725" s="995"/>
      <c r="L725" s="995"/>
    </row>
    <row r="726" spans="1:12" ht="27.95" customHeight="1">
      <c r="A726" s="15"/>
      <c r="B726" s="997"/>
      <c r="C726" s="997"/>
      <c r="D726" s="997"/>
      <c r="E726" s="997"/>
      <c r="F726" s="997"/>
      <c r="G726" s="997"/>
      <c r="H726" s="1000"/>
      <c r="I726" s="995"/>
      <c r="J726" s="995"/>
      <c r="K726" s="995"/>
      <c r="L726" s="995"/>
    </row>
    <row r="727" spans="1:12" ht="27.95" customHeight="1">
      <c r="B727" s="997"/>
      <c r="C727" s="997"/>
      <c r="D727" s="997"/>
      <c r="E727" s="997"/>
      <c r="F727" s="997"/>
      <c r="G727" s="997"/>
      <c r="H727" s="995"/>
      <c r="I727" s="995"/>
      <c r="J727" s="995"/>
      <c r="K727" s="995"/>
      <c r="L727" s="995"/>
    </row>
    <row r="728" spans="1:12" ht="27.95" customHeight="1">
      <c r="B728" s="178"/>
      <c r="C728" s="174"/>
      <c r="D728" s="174"/>
      <c r="E728" s="174"/>
      <c r="F728" s="174"/>
      <c r="G728" s="174"/>
      <c r="H728" s="163"/>
      <c r="I728" s="163"/>
      <c r="J728" s="163"/>
      <c r="K728" s="163"/>
      <c r="L728" s="163"/>
    </row>
    <row r="729" spans="1:12" ht="27.95" customHeight="1">
      <c r="B729" s="178"/>
      <c r="C729" s="174"/>
      <c r="D729" s="174"/>
      <c r="E729" s="174"/>
      <c r="F729" s="174"/>
      <c r="G729" s="174"/>
      <c r="H729" s="163"/>
      <c r="I729" s="163"/>
      <c r="J729" s="163"/>
      <c r="K729" s="163"/>
      <c r="L729" s="163"/>
    </row>
    <row r="730" spans="1:12" ht="27.95" customHeight="1">
      <c r="B730" s="178"/>
      <c r="C730" s="174"/>
      <c r="D730" s="174"/>
      <c r="E730" s="174"/>
      <c r="F730" s="174"/>
      <c r="G730" s="174"/>
      <c r="H730" s="163"/>
      <c r="I730" s="163"/>
      <c r="J730" s="164"/>
      <c r="K730" s="163"/>
      <c r="L730" s="163"/>
    </row>
    <row r="731" spans="1:12" ht="27.95" customHeight="1">
      <c r="B731" s="178"/>
      <c r="C731" s="174"/>
      <c r="D731" s="174"/>
      <c r="E731" s="174"/>
      <c r="F731" s="174"/>
      <c r="G731" s="174"/>
      <c r="H731" s="163"/>
      <c r="I731" s="163"/>
      <c r="J731" s="163"/>
      <c r="K731" s="163"/>
      <c r="L731" s="163"/>
    </row>
    <row r="732" spans="1:12" ht="27.95" customHeight="1">
      <c r="B732" s="178"/>
      <c r="C732" s="174"/>
      <c r="D732" s="174"/>
      <c r="E732" s="174"/>
      <c r="F732" s="174"/>
      <c r="G732" s="174"/>
      <c r="H732" s="163"/>
      <c r="I732" s="163"/>
      <c r="J732" s="164"/>
      <c r="K732" s="163"/>
      <c r="L732" s="163"/>
    </row>
    <row r="733" spans="1:12" ht="27.95" customHeight="1">
      <c r="B733" s="178"/>
      <c r="C733" s="174"/>
      <c r="D733" s="163"/>
      <c r="E733" s="164"/>
      <c r="F733" s="163"/>
      <c r="G733" s="164"/>
      <c r="H733" s="163"/>
      <c r="I733" s="164"/>
      <c r="J733" s="163"/>
      <c r="K733" s="164"/>
      <c r="L733" s="164"/>
    </row>
    <row r="734" spans="1:12" ht="27.95" customHeight="1">
      <c r="B734" s="178"/>
      <c r="C734" s="174"/>
      <c r="D734" s="174"/>
      <c r="E734" s="174"/>
      <c r="F734" s="174"/>
      <c r="G734" s="174"/>
      <c r="H734" s="163"/>
      <c r="I734" s="163"/>
      <c r="J734" s="247"/>
      <c r="K734" s="163"/>
      <c r="L734" s="163"/>
    </row>
    <row r="735" spans="1:12" ht="27.95" customHeight="1">
      <c r="B735" s="178"/>
      <c r="C735" s="3"/>
      <c r="D735" s="3"/>
      <c r="E735" s="3"/>
      <c r="F735" s="3"/>
      <c r="G735" s="3"/>
    </row>
    <row r="736" spans="1:12" ht="27.95" customHeight="1">
      <c r="B736" s="178"/>
      <c r="C736" s="3"/>
      <c r="D736" s="3"/>
      <c r="E736" s="3"/>
      <c r="F736" s="3"/>
      <c r="G736" s="3"/>
    </row>
    <row r="740" spans="2:12" ht="32.25">
      <c r="B740" s="1001"/>
      <c r="C740" s="757"/>
      <c r="D740" s="757"/>
      <c r="E740" s="757"/>
      <c r="F740" s="757"/>
      <c r="G740" s="757"/>
      <c r="H740" s="757"/>
      <c r="I740" s="757"/>
      <c r="J740" s="757"/>
      <c r="K740" s="757"/>
      <c r="L740" s="757"/>
    </row>
    <row r="741" spans="2:12" ht="23.25">
      <c r="B741" s="982"/>
      <c r="C741" s="982"/>
      <c r="D741" s="982"/>
      <c r="E741" s="982"/>
      <c r="F741" s="982"/>
      <c r="G741" s="982"/>
      <c r="H741" s="982"/>
      <c r="I741" s="982"/>
      <c r="J741" s="982"/>
      <c r="K741" s="982"/>
      <c r="L741" s="982"/>
    </row>
    <row r="742" spans="2:12" ht="15.75">
      <c r="B742" s="999"/>
      <c r="C742" s="999"/>
      <c r="D742" s="999"/>
      <c r="E742" s="999"/>
      <c r="F742" s="999"/>
      <c r="G742" s="999"/>
      <c r="H742" s="999"/>
      <c r="I742" s="999"/>
      <c r="J742" s="999"/>
      <c r="K742" s="999"/>
      <c r="L742" s="999"/>
    </row>
    <row r="743" spans="2:12" ht="15" customHeight="1">
      <c r="B743" s="983"/>
      <c r="C743" s="983"/>
      <c r="D743" s="983"/>
      <c r="E743" s="983"/>
      <c r="F743" s="983"/>
      <c r="H743" s="984"/>
      <c r="I743" s="984"/>
      <c r="J743" s="984"/>
      <c r="K743" s="984"/>
      <c r="L743" s="984"/>
    </row>
    <row r="744" spans="2:12">
      <c r="B744" s="983"/>
      <c r="C744" s="983"/>
      <c r="D744" s="983"/>
      <c r="E744" s="983"/>
      <c r="F744" s="983"/>
      <c r="H744" s="984"/>
      <c r="I744" s="984"/>
      <c r="J744" s="984"/>
      <c r="K744" s="984"/>
      <c r="L744" s="984"/>
    </row>
    <row r="746" spans="2:12">
      <c r="B746" s="3"/>
      <c r="H746" s="3"/>
    </row>
    <row r="748" spans="2:12">
      <c r="B748" s="3"/>
      <c r="H748" s="3"/>
    </row>
    <row r="749" spans="2:12" ht="15" customHeight="1"/>
    <row r="751" spans="2:12">
      <c r="B751" s="750"/>
      <c r="C751" s="750"/>
      <c r="D751" s="750"/>
      <c r="E751" s="750"/>
      <c r="F751" s="750"/>
      <c r="H751" s="750"/>
      <c r="I751" s="750"/>
      <c r="J751" s="750"/>
      <c r="K751" s="750"/>
      <c r="L751" s="750"/>
    </row>
    <row r="753" spans="1:12">
      <c r="H753" s="3"/>
      <c r="I753" s="3"/>
      <c r="J753" s="3"/>
      <c r="K753" s="3"/>
      <c r="L753" s="3"/>
    </row>
    <row r="754" spans="1:12">
      <c r="H754" s="3"/>
      <c r="I754" s="3"/>
      <c r="J754" s="3"/>
      <c r="K754" s="3"/>
      <c r="L754" s="3"/>
    </row>
    <row r="755" spans="1:12">
      <c r="B755" s="3"/>
      <c r="H755" s="3"/>
      <c r="I755" s="3"/>
      <c r="J755" s="3"/>
      <c r="K755" s="3"/>
      <c r="L755" s="3"/>
    </row>
    <row r="756" spans="1:12">
      <c r="H756" s="3"/>
      <c r="I756" s="3"/>
      <c r="J756" s="3"/>
      <c r="K756" s="3"/>
      <c r="L756" s="3"/>
    </row>
    <row r="757" spans="1:12">
      <c r="H757" s="3"/>
      <c r="I757" s="3"/>
      <c r="J757" s="3"/>
      <c r="K757" s="3"/>
      <c r="L757" s="3"/>
    </row>
    <row r="758" spans="1:12" ht="27.95" customHeight="1">
      <c r="A758" s="15"/>
      <c r="B758" s="997"/>
      <c r="C758" s="997"/>
      <c r="D758" s="997"/>
      <c r="E758" s="997"/>
      <c r="F758" s="997"/>
      <c r="G758" s="997"/>
      <c r="H758" s="994"/>
      <c r="I758" s="995"/>
      <c r="J758" s="995"/>
      <c r="K758" s="995"/>
      <c r="L758" s="995"/>
    </row>
    <row r="759" spans="1:12" ht="27.95" customHeight="1">
      <c r="A759" s="15"/>
      <c r="B759" s="984"/>
      <c r="C759" s="984"/>
      <c r="D759" s="984"/>
      <c r="E759" s="984"/>
      <c r="F759" s="984"/>
      <c r="G759" s="984"/>
      <c r="H759" s="994"/>
      <c r="I759" s="995"/>
      <c r="J759" s="995"/>
      <c r="K759" s="995"/>
      <c r="L759" s="995"/>
    </row>
    <row r="760" spans="1:12" ht="27.95" customHeight="1">
      <c r="A760" s="15"/>
      <c r="B760" s="997"/>
      <c r="C760" s="997"/>
      <c r="D760" s="997"/>
      <c r="E760" s="997"/>
      <c r="F760" s="997"/>
      <c r="G760" s="997"/>
      <c r="H760" s="994"/>
      <c r="I760" s="995"/>
      <c r="J760" s="995"/>
      <c r="K760" s="995"/>
      <c r="L760" s="995"/>
    </row>
    <row r="761" spans="1:12" ht="27.95" customHeight="1">
      <c r="A761" s="15"/>
      <c r="B761" s="997"/>
      <c r="C761" s="997"/>
      <c r="D761" s="997"/>
      <c r="E761" s="997"/>
      <c r="F761" s="997"/>
      <c r="G761" s="997"/>
      <c r="H761" s="998"/>
      <c r="I761" s="995"/>
      <c r="J761" s="995"/>
      <c r="K761" s="995"/>
      <c r="L761" s="995"/>
    </row>
    <row r="762" spans="1:12" ht="27.95" customHeight="1">
      <c r="A762" s="15"/>
      <c r="B762" s="178"/>
      <c r="C762" s="174"/>
      <c r="D762" s="174"/>
      <c r="E762" s="174"/>
      <c r="F762" s="174"/>
      <c r="G762" s="174"/>
      <c r="H762" s="163"/>
      <c r="I762" s="15"/>
      <c r="J762" s="156"/>
      <c r="K762" s="163"/>
      <c r="L762" s="163"/>
    </row>
    <row r="763" spans="1:12" ht="27.95" customHeight="1">
      <c r="A763" s="15"/>
      <c r="B763" s="178"/>
      <c r="C763" s="174"/>
      <c r="D763" s="174"/>
      <c r="E763" s="174"/>
      <c r="F763" s="174"/>
      <c r="G763" s="174"/>
      <c r="H763" s="163"/>
      <c r="I763" s="163"/>
      <c r="J763" s="156"/>
      <c r="K763" s="163"/>
      <c r="L763" s="163"/>
    </row>
    <row r="764" spans="1:12" ht="27.95" customHeight="1">
      <c r="A764" s="15"/>
      <c r="B764" s="984"/>
      <c r="C764" s="984"/>
      <c r="D764" s="984"/>
      <c r="E764" s="984"/>
      <c r="F764" s="984"/>
      <c r="G764" s="984"/>
      <c r="H764" s="994"/>
      <c r="I764" s="995"/>
      <c r="J764" s="995"/>
      <c r="K764" s="995"/>
      <c r="L764" s="995"/>
    </row>
    <row r="765" spans="1:12" ht="27.95" customHeight="1">
      <c r="A765" s="15"/>
      <c r="B765" s="997"/>
      <c r="C765" s="997"/>
      <c r="D765" s="997"/>
      <c r="E765" s="997"/>
      <c r="F765" s="997"/>
      <c r="G765" s="997"/>
      <c r="H765" s="1000"/>
      <c r="I765" s="995"/>
      <c r="J765" s="995"/>
      <c r="K765" s="995"/>
      <c r="L765" s="995"/>
    </row>
    <row r="766" spans="1:12" ht="27.95" customHeight="1">
      <c r="B766" s="997"/>
      <c r="C766" s="997"/>
      <c r="D766" s="997"/>
      <c r="E766" s="997"/>
      <c r="F766" s="997"/>
      <c r="G766" s="997"/>
      <c r="H766" s="995"/>
      <c r="I766" s="995"/>
      <c r="J766" s="995"/>
      <c r="K766" s="995"/>
      <c r="L766" s="995"/>
    </row>
    <row r="767" spans="1:12" ht="27.95" customHeight="1">
      <c r="B767" s="178"/>
      <c r="C767" s="174"/>
      <c r="D767" s="174"/>
      <c r="E767" s="174"/>
      <c r="F767" s="174"/>
      <c r="G767" s="174"/>
      <c r="H767" s="163"/>
      <c r="I767" s="163"/>
      <c r="J767" s="163"/>
      <c r="K767" s="163"/>
      <c r="L767" s="163"/>
    </row>
    <row r="768" spans="1:12" ht="27.95" customHeight="1">
      <c r="B768" s="178"/>
      <c r="C768" s="174"/>
      <c r="D768" s="174"/>
      <c r="E768" s="174"/>
      <c r="F768" s="174"/>
      <c r="G768" s="174"/>
      <c r="H768" s="163"/>
      <c r="I768" s="163"/>
      <c r="J768" s="163"/>
      <c r="K768" s="163"/>
      <c r="L768" s="163"/>
    </row>
    <row r="769" spans="2:12" ht="27.95" customHeight="1">
      <c r="B769" s="178"/>
      <c r="C769" s="174"/>
      <c r="D769" s="174"/>
      <c r="E769" s="174"/>
      <c r="F769" s="174"/>
      <c r="G769" s="174"/>
      <c r="H769" s="163"/>
      <c r="I769" s="163"/>
      <c r="J769" s="164"/>
      <c r="K769" s="163"/>
      <c r="L769" s="163"/>
    </row>
    <row r="770" spans="2:12" ht="27.95" customHeight="1">
      <c r="B770" s="178"/>
      <c r="C770" s="174"/>
      <c r="D770" s="174"/>
      <c r="E770" s="174"/>
      <c r="F770" s="174"/>
      <c r="G770" s="174"/>
      <c r="H770" s="163"/>
      <c r="I770" s="163"/>
      <c r="J770" s="163"/>
      <c r="K770" s="163"/>
      <c r="L770" s="163"/>
    </row>
    <row r="771" spans="2:12" ht="27.95" customHeight="1">
      <c r="B771" s="178"/>
      <c r="C771" s="174"/>
      <c r="D771" s="174"/>
      <c r="E771" s="174"/>
      <c r="F771" s="174"/>
      <c r="G771" s="174"/>
      <c r="H771" s="163"/>
      <c r="I771" s="163"/>
      <c r="J771" s="164"/>
      <c r="K771" s="163"/>
      <c r="L771" s="163"/>
    </row>
    <row r="772" spans="2:12" ht="27.95" customHeight="1">
      <c r="B772" s="178"/>
      <c r="C772" s="174"/>
      <c r="D772" s="163"/>
      <c r="E772" s="164"/>
      <c r="F772" s="163"/>
      <c r="G772" s="164"/>
      <c r="H772" s="163"/>
      <c r="I772" s="164"/>
      <c r="J772" s="163"/>
      <c r="K772" s="164"/>
      <c r="L772" s="164"/>
    </row>
    <row r="773" spans="2:12" ht="27.95" customHeight="1">
      <c r="B773" s="178"/>
      <c r="C773" s="174"/>
      <c r="D773" s="174"/>
      <c r="E773" s="174"/>
      <c r="F773" s="174"/>
      <c r="G773" s="174"/>
      <c r="H773" s="163"/>
      <c r="I773" s="163"/>
      <c r="J773" s="247"/>
      <c r="K773" s="163"/>
      <c r="L773" s="163"/>
    </row>
    <row r="774" spans="2:12" ht="27.95" customHeight="1">
      <c r="B774" s="178"/>
      <c r="C774" s="3"/>
      <c r="D774" s="3"/>
      <c r="E774" s="3"/>
      <c r="F774" s="3"/>
      <c r="G774" s="3"/>
    </row>
    <row r="775" spans="2:12" ht="27.95" customHeight="1">
      <c r="B775" s="178"/>
      <c r="C775" s="3"/>
      <c r="D775" s="3"/>
      <c r="E775" s="3"/>
      <c r="F775" s="3"/>
      <c r="G775" s="3"/>
    </row>
  </sheetData>
  <mergeCells count="27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 ref="B765:G765"/>
    <mergeCell ref="H765:L765"/>
    <mergeCell ref="B766:G766"/>
    <mergeCell ref="H766:L766"/>
    <mergeCell ref="B760:G760"/>
    <mergeCell ref="H760:L760"/>
    <mergeCell ref="B761:G761"/>
    <mergeCell ref="H761:L761"/>
    <mergeCell ref="B764:G764"/>
    <mergeCell ref="H764:L764"/>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464:G464"/>
    <mergeCell ref="B465:G465"/>
    <mergeCell ref="H511:L512"/>
    <mergeCell ref="H510:L510"/>
    <mergeCell ref="B511:E511"/>
    <mergeCell ref="B515:F515"/>
    <mergeCell ref="H515:L515"/>
    <mergeCell ref="B518:G518"/>
    <mergeCell ref="B519:G519"/>
    <mergeCell ref="H513:L513"/>
    <mergeCell ref="H514:L514"/>
    <mergeCell ref="B435:C435"/>
    <mergeCell ref="B448:L448"/>
    <mergeCell ref="B450:L450"/>
    <mergeCell ref="B452:L452"/>
    <mergeCell ref="H456:L456"/>
    <mergeCell ref="B457:E457"/>
    <mergeCell ref="H457:L458"/>
    <mergeCell ref="B461:F461"/>
    <mergeCell ref="H461:L461"/>
    <mergeCell ref="H460:L460"/>
    <mergeCell ref="B354:G354"/>
    <mergeCell ref="B355:G355"/>
    <mergeCell ref="B394:L394"/>
    <mergeCell ref="B298:G298"/>
    <mergeCell ref="B299:G299"/>
    <mergeCell ref="G316:H316"/>
    <mergeCell ref="K316:L316"/>
    <mergeCell ref="C317:L317"/>
    <mergeCell ref="H323:I323"/>
    <mergeCell ref="B324:C324"/>
    <mergeCell ref="B337:L337"/>
    <mergeCell ref="B339:L339"/>
    <mergeCell ref="B169:L169"/>
    <mergeCell ref="B171:L171"/>
    <mergeCell ref="B173:L173"/>
    <mergeCell ref="H178:L178"/>
    <mergeCell ref="B179:E179"/>
    <mergeCell ref="H179:L180"/>
    <mergeCell ref="B183:F183"/>
    <mergeCell ref="H183:L183"/>
    <mergeCell ref="B186:G186"/>
    <mergeCell ref="B99:C99"/>
    <mergeCell ref="B115:G115"/>
    <mergeCell ref="H115:L115"/>
    <mergeCell ref="B112:L112"/>
    <mergeCell ref="B114:L114"/>
    <mergeCell ref="B117:L117"/>
    <mergeCell ref="H122:L122"/>
    <mergeCell ref="B123:E123"/>
    <mergeCell ref="H123:L124"/>
    <mergeCell ref="H58:L58"/>
    <mergeCell ref="B13:F13"/>
    <mergeCell ref="H13:L13"/>
    <mergeCell ref="B55:L55"/>
    <mergeCell ref="B57:L57"/>
    <mergeCell ref="B42:C42"/>
    <mergeCell ref="H65:L65"/>
    <mergeCell ref="C92:L92"/>
    <mergeCell ref="H98:I98"/>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B127:F127"/>
    <mergeCell ref="H127:L127"/>
    <mergeCell ref="B130:G130"/>
    <mergeCell ref="B131:G131"/>
    <mergeCell ref="G148:H148"/>
    <mergeCell ref="K148:L148"/>
    <mergeCell ref="C149:L149"/>
    <mergeCell ref="H155:I155"/>
    <mergeCell ref="B156:C156"/>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744"/>
  <sheetViews>
    <sheetView topLeftCell="A19" workbookViewId="0">
      <selection activeCell="A15" sqref="A15:D15"/>
    </sheetView>
  </sheetViews>
  <sheetFormatPr defaultRowHeight="15"/>
  <cols>
    <col min="1" max="1" width="20.140625" customWidth="1"/>
    <col min="2" max="2" width="30.42578125" customWidth="1"/>
    <col min="3" max="3" width="19.7109375" customWidth="1"/>
    <col min="4" max="4" width="63.28515625" customWidth="1"/>
  </cols>
  <sheetData>
    <row r="1" spans="1:4" ht="20.25">
      <c r="A1" s="1064" t="s">
        <v>320</v>
      </c>
      <c r="B1" s="1065"/>
      <c r="C1" s="1065"/>
      <c r="D1" s="1066"/>
    </row>
    <row r="2" spans="1:4">
      <c r="A2" s="1067" t="s">
        <v>321</v>
      </c>
      <c r="B2" s="1068"/>
      <c r="C2" s="1068"/>
      <c r="D2" s="1069"/>
    </row>
    <row r="3" spans="1:4" ht="18">
      <c r="A3" s="1070" t="s">
        <v>322</v>
      </c>
      <c r="B3" s="1071"/>
      <c r="C3" s="1071"/>
      <c r="D3" s="1072"/>
    </row>
    <row r="4" spans="1:4">
      <c r="A4" s="19" t="s">
        <v>143</v>
      </c>
      <c r="D4" s="20"/>
    </row>
    <row r="5" spans="1:4" ht="18">
      <c r="A5" s="271" t="str">
        <f>'04-22Master'!F5</f>
        <v>Burgeon IT Services Pvt.Ltd.</v>
      </c>
      <c r="B5" s="248"/>
      <c r="D5" s="20"/>
    </row>
    <row r="6" spans="1:4" ht="18">
      <c r="A6" s="271" t="str">
        <f>'04-22Master'!F6</f>
        <v>Siri Mansion LIGB 436 Dr.A S Rao Nagar,Hyderabad</v>
      </c>
      <c r="B6" s="248"/>
      <c r="D6" s="20"/>
    </row>
    <row r="7" spans="1:4" ht="18">
      <c r="A7" s="250"/>
      <c r="B7" s="7"/>
      <c r="D7" s="20"/>
    </row>
    <row r="8" spans="1:4" ht="15.75">
      <c r="A8" s="249" t="s">
        <v>323</v>
      </c>
      <c r="B8" s="272"/>
      <c r="C8" s="273" t="e">
        <f>'04-22Master'!#REF!</f>
        <v>#REF!</v>
      </c>
      <c r="D8" s="88"/>
    </row>
    <row r="9" spans="1:4">
      <c r="A9" s="1061" t="s">
        <v>324</v>
      </c>
      <c r="B9" s="1062"/>
      <c r="C9" s="1062"/>
      <c r="D9" s="1063"/>
    </row>
    <row r="10" spans="1:4">
      <c r="A10" s="19"/>
      <c r="D10" s="20"/>
    </row>
    <row r="11" spans="1:4">
      <c r="A11" s="1061" t="s">
        <v>325</v>
      </c>
      <c r="B11" s="1062"/>
      <c r="C11" s="1062"/>
      <c r="D11" s="1063"/>
    </row>
    <row r="12" spans="1:4">
      <c r="A12" s="251"/>
      <c r="B12" s="252"/>
      <c r="C12" s="252"/>
      <c r="D12" s="253"/>
    </row>
    <row r="13" spans="1:4">
      <c r="A13" s="1055" t="s">
        <v>326</v>
      </c>
      <c r="B13" s="1056"/>
      <c r="C13" s="1056"/>
      <c r="D13" s="1057"/>
    </row>
    <row r="14" spans="1:4">
      <c r="A14" s="19"/>
      <c r="D14" s="20"/>
    </row>
    <row r="15" spans="1:4">
      <c r="A15" s="1055" t="s">
        <v>327</v>
      </c>
      <c r="B15" s="1056"/>
      <c r="C15" s="1056"/>
      <c r="D15" s="1057"/>
    </row>
    <row r="16" spans="1:4">
      <c r="A16" s="1055" t="s">
        <v>328</v>
      </c>
      <c r="B16" s="1056"/>
      <c r="C16" s="1056"/>
      <c r="D16" s="1057"/>
    </row>
    <row r="17" spans="1:4">
      <c r="A17" s="249"/>
      <c r="B17" s="254"/>
      <c r="C17" s="254"/>
      <c r="D17" s="255"/>
    </row>
    <row r="18" spans="1:4">
      <c r="A18" s="1061" t="s">
        <v>329</v>
      </c>
      <c r="B18" s="1062"/>
      <c r="C18" s="1062"/>
      <c r="D18" s="1063"/>
    </row>
    <row r="19" spans="1:4">
      <c r="A19" s="249"/>
      <c r="B19" s="254"/>
      <c r="C19" s="254"/>
      <c r="D19" s="255"/>
    </row>
    <row r="20" spans="1:4">
      <c r="A20" s="1055" t="s">
        <v>330</v>
      </c>
      <c r="B20" s="1056"/>
      <c r="C20" s="1056"/>
      <c r="D20" s="1057"/>
    </row>
    <row r="21" spans="1:4">
      <c r="A21" s="19"/>
      <c r="D21" s="20"/>
    </row>
    <row r="22" spans="1:4">
      <c r="A22" s="1052" t="s">
        <v>331</v>
      </c>
      <c r="B22" s="1053"/>
      <c r="C22" s="1053"/>
      <c r="D22" s="1054"/>
    </row>
    <row r="23" spans="1:4" ht="42.75">
      <c r="A23" s="256" t="s">
        <v>332</v>
      </c>
      <c r="B23" s="257" t="s">
        <v>333</v>
      </c>
      <c r="C23" s="257" t="s">
        <v>334</v>
      </c>
      <c r="D23" s="258" t="s">
        <v>335</v>
      </c>
    </row>
    <row r="24" spans="1:4">
      <c r="A24" s="259">
        <v>1</v>
      </c>
      <c r="B24" s="260">
        <v>2</v>
      </c>
      <c r="C24" s="260">
        <v>3</v>
      </c>
      <c r="D24" s="261">
        <v>4</v>
      </c>
    </row>
    <row r="25" spans="1:4">
      <c r="A25" s="19" t="e">
        <f>'04-22Master'!#REF!</f>
        <v>#REF!</v>
      </c>
      <c r="B25" s="16" t="s">
        <v>377</v>
      </c>
      <c r="C25" s="16" t="s">
        <v>384</v>
      </c>
      <c r="D25" s="293">
        <v>1</v>
      </c>
    </row>
    <row r="26" spans="1:4">
      <c r="A26" s="277"/>
      <c r="B26" s="16"/>
      <c r="C26" s="16"/>
      <c r="D26" s="262"/>
    </row>
    <row r="27" spans="1:4">
      <c r="A27" s="274"/>
      <c r="B27" s="16"/>
      <c r="C27" s="16"/>
      <c r="D27" s="262"/>
    </row>
    <row r="28" spans="1:4">
      <c r="A28" s="19"/>
      <c r="D28" s="20"/>
    </row>
    <row r="29" spans="1:4">
      <c r="A29" s="1052" t="s">
        <v>336</v>
      </c>
      <c r="B29" s="1053"/>
      <c r="C29" s="1053"/>
      <c r="D29" s="1054"/>
    </row>
    <row r="30" spans="1:4">
      <c r="A30" s="166"/>
      <c r="B30" s="8"/>
      <c r="C30" s="8"/>
      <c r="D30" s="167"/>
    </row>
    <row r="31" spans="1:4">
      <c r="A31" s="1058" t="s">
        <v>337</v>
      </c>
      <c r="B31" s="1059"/>
      <c r="C31" s="1073" t="e">
        <f>'04-22Master'!#REF!</f>
        <v>#REF!</v>
      </c>
      <c r="D31" s="1060"/>
    </row>
    <row r="32" spans="1:4">
      <c r="A32" s="1058" t="s">
        <v>338</v>
      </c>
      <c r="B32" s="1059"/>
      <c r="C32" s="924" t="e">
        <f>'04-22Master'!#REF!</f>
        <v>#REF!</v>
      </c>
      <c r="D32" s="1060"/>
    </row>
    <row r="33" spans="1:4">
      <c r="A33" s="1058" t="s">
        <v>339</v>
      </c>
      <c r="B33" s="1059"/>
      <c r="C33" s="924" t="s">
        <v>386</v>
      </c>
      <c r="D33" s="1060"/>
    </row>
    <row r="34" spans="1:4">
      <c r="A34" s="1058" t="s">
        <v>340</v>
      </c>
      <c r="B34" s="1059"/>
      <c r="C34" s="924" t="s">
        <v>383</v>
      </c>
      <c r="D34" s="1060"/>
    </row>
    <row r="35" spans="1:4">
      <c r="A35" s="1058" t="s">
        <v>341</v>
      </c>
      <c r="B35" s="1059"/>
      <c r="C35" s="1073" t="e">
        <f>'04-22Master'!#REF!</f>
        <v>#REF!</v>
      </c>
      <c r="D35" s="1060"/>
    </row>
    <row r="36" spans="1:4">
      <c r="A36" s="1058" t="s">
        <v>342</v>
      </c>
      <c r="B36" s="1059"/>
      <c r="C36" s="1073" t="e">
        <f>'04-22Master'!#REF!</f>
        <v>#REF!</v>
      </c>
      <c r="D36" s="1060"/>
    </row>
    <row r="37" spans="1:4">
      <c r="A37" s="1058" t="s">
        <v>343</v>
      </c>
      <c r="B37" s="1059"/>
      <c r="C37" s="1074" t="e">
        <f>'04-22Master'!#REF!</f>
        <v>#REF!</v>
      </c>
      <c r="D37" s="1060"/>
    </row>
    <row r="38" spans="1:4">
      <c r="A38" s="1058" t="s">
        <v>344</v>
      </c>
      <c r="B38" s="1059"/>
      <c r="C38" s="924"/>
      <c r="D38" s="1060"/>
    </row>
    <row r="39" spans="1:4">
      <c r="A39" s="1058"/>
      <c r="B39" s="1059"/>
      <c r="C39" s="1073" t="e">
        <f>'04-22Master'!#REF!</f>
        <v>#REF!</v>
      </c>
      <c r="D39" s="1060"/>
    </row>
    <row r="40" spans="1:4">
      <c r="A40" s="1058"/>
      <c r="B40" s="1059"/>
      <c r="C40" s="1073" t="e">
        <f>'04-22Master'!#REF!</f>
        <v>#REF!</v>
      </c>
      <c r="D40" s="1060"/>
    </row>
    <row r="41" spans="1:4">
      <c r="A41" s="1058"/>
      <c r="B41" s="1059"/>
      <c r="C41" s="1073" t="e">
        <f>'04-22Master'!#REF!</f>
        <v>#REF!</v>
      </c>
      <c r="D41" s="1060"/>
    </row>
    <row r="42" spans="1:4">
      <c r="A42" s="249" t="s">
        <v>286</v>
      </c>
      <c r="B42" s="254" t="s">
        <v>375</v>
      </c>
      <c r="C42" s="254"/>
      <c r="D42" s="255"/>
    </row>
    <row r="43" spans="1:4">
      <c r="A43" s="249" t="s">
        <v>345</v>
      </c>
      <c r="B43" s="294" t="e">
        <f>'04-22Master'!#REF!</f>
        <v>#REF!</v>
      </c>
      <c r="C43" s="263" t="s">
        <v>346</v>
      </c>
      <c r="D43" s="255"/>
    </row>
    <row r="44" spans="1:4">
      <c r="A44" s="249"/>
      <c r="B44" s="254"/>
      <c r="C44" s="254"/>
      <c r="D44" s="255"/>
    </row>
    <row r="45" spans="1:4">
      <c r="A45" s="1052" t="s">
        <v>347</v>
      </c>
      <c r="B45" s="1053"/>
      <c r="C45" s="1053"/>
      <c r="D45" s="1054"/>
    </row>
    <row r="46" spans="1:4">
      <c r="A46" s="249" t="s">
        <v>348</v>
      </c>
      <c r="B46" s="254"/>
      <c r="C46" s="254"/>
      <c r="D46" s="255"/>
    </row>
    <row r="47" spans="1:4">
      <c r="A47" s="249"/>
      <c r="B47" s="254"/>
      <c r="C47" s="254"/>
      <c r="D47" s="255"/>
    </row>
    <row r="48" spans="1:4">
      <c r="A48" s="1055" t="s">
        <v>349</v>
      </c>
      <c r="B48" s="1056"/>
      <c r="C48" s="1056" t="s">
        <v>350</v>
      </c>
      <c r="D48" s="1057"/>
    </row>
    <row r="49" spans="1:4">
      <c r="A49" s="1042">
        <v>1</v>
      </c>
      <c r="B49" s="1043"/>
      <c r="C49" s="1043">
        <v>1</v>
      </c>
      <c r="D49" s="1044"/>
    </row>
    <row r="50" spans="1:4">
      <c r="A50" s="1042">
        <v>2</v>
      </c>
      <c r="B50" s="1043"/>
      <c r="C50" s="1043">
        <v>2</v>
      </c>
      <c r="D50" s="1044"/>
    </row>
    <row r="51" spans="1:4">
      <c r="A51" s="264"/>
      <c r="C51" s="1045" t="s">
        <v>355</v>
      </c>
      <c r="D51" s="1046"/>
    </row>
    <row r="52" spans="1:4">
      <c r="A52" s="1047" t="s">
        <v>351</v>
      </c>
      <c r="B52" s="1048"/>
      <c r="C52" s="1048"/>
      <c r="D52" s="1049"/>
    </row>
    <row r="53" spans="1:4">
      <c r="A53" s="267" t="s">
        <v>352</v>
      </c>
      <c r="B53" s="268"/>
      <c r="C53" s="268"/>
      <c r="D53" s="269"/>
    </row>
    <row r="54" spans="1:4">
      <c r="A54" s="267"/>
      <c r="B54" s="268"/>
      <c r="C54" s="268"/>
      <c r="D54" s="269"/>
    </row>
    <row r="55" spans="1:4">
      <c r="A55" s="267"/>
      <c r="B55" s="268"/>
      <c r="C55" s="268" t="s">
        <v>353</v>
      </c>
      <c r="D55" s="269"/>
    </row>
    <row r="56" spans="1:4">
      <c r="A56" s="264"/>
      <c r="B56" s="265"/>
      <c r="C56" s="165" t="s">
        <v>153</v>
      </c>
      <c r="D56" s="266"/>
    </row>
    <row r="57" spans="1:4">
      <c r="A57" s="264"/>
      <c r="C57" t="s">
        <v>354</v>
      </c>
      <c r="D57" s="270"/>
    </row>
    <row r="58" spans="1:4" ht="25.5" customHeight="1">
      <c r="A58" s="264"/>
      <c r="C58" s="1050" t="str">
        <f>'04-22Master'!F5</f>
        <v>Burgeon IT Services Pvt.Ltd.</v>
      </c>
      <c r="D58" s="1051"/>
    </row>
    <row r="59" spans="1:4">
      <c r="A59" s="249" t="s">
        <v>286</v>
      </c>
      <c r="B59" t="str">
        <f>B42</f>
        <v>Hyderabad</v>
      </c>
      <c r="C59" s="3" t="str">
        <f>'04-22Master'!F6</f>
        <v>Siri Mansion LIGB 436 Dr.A S Rao Nagar,Hyderabad</v>
      </c>
      <c r="D59" s="20"/>
    </row>
    <row r="60" spans="1:4" ht="15.75" thickBot="1">
      <c r="A60" s="249" t="s">
        <v>345</v>
      </c>
      <c r="B60" s="286" t="e">
        <f>B43</f>
        <v>#REF!</v>
      </c>
      <c r="C60" s="3"/>
      <c r="D60" s="20"/>
    </row>
    <row r="61" spans="1:4" ht="15.75" thickBot="1">
      <c r="A61" s="275"/>
      <c r="B61" s="276" t="s">
        <v>358</v>
      </c>
      <c r="C61" s="276"/>
      <c r="D61" s="34"/>
    </row>
    <row r="62" spans="1:4">
      <c r="A62" s="249" t="s">
        <v>356</v>
      </c>
      <c r="C62" s="3"/>
      <c r="D62" s="20"/>
    </row>
    <row r="63" spans="1:4">
      <c r="A63" s="249" t="s">
        <v>345</v>
      </c>
      <c r="B63" s="286" t="e">
        <f>B60</f>
        <v>#REF!</v>
      </c>
      <c r="C63" s="3"/>
      <c r="D63" s="20"/>
    </row>
    <row r="64" spans="1:4" ht="15.75" thickBot="1">
      <c r="A64" s="278" t="s">
        <v>357</v>
      </c>
      <c r="B64" s="29"/>
      <c r="C64" s="29"/>
      <c r="D64" s="30" t="s">
        <v>144</v>
      </c>
    </row>
    <row r="68" spans="1:4" ht="15.75" thickBot="1"/>
    <row r="69" spans="1:4" ht="20.25">
      <c r="A69" s="1064" t="s">
        <v>320</v>
      </c>
      <c r="B69" s="1065"/>
      <c r="C69" s="1065"/>
      <c r="D69" s="1066"/>
    </row>
    <row r="70" spans="1:4">
      <c r="A70" s="1067" t="s">
        <v>321</v>
      </c>
      <c r="B70" s="1068"/>
      <c r="C70" s="1068"/>
      <c r="D70" s="1069"/>
    </row>
    <row r="71" spans="1:4" ht="18">
      <c r="A71" s="1070" t="s">
        <v>322</v>
      </c>
      <c r="B71" s="1071"/>
      <c r="C71" s="1071"/>
      <c r="D71" s="1072"/>
    </row>
    <row r="72" spans="1:4">
      <c r="A72" s="19" t="s">
        <v>143</v>
      </c>
      <c r="D72" s="20"/>
    </row>
    <row r="73" spans="1:4" ht="18">
      <c r="A73" s="271" t="str">
        <f>'04-22Master'!F5</f>
        <v>Burgeon IT Services Pvt.Ltd.</v>
      </c>
      <c r="B73" s="248"/>
      <c r="D73" s="20"/>
    </row>
    <row r="74" spans="1:4" ht="18">
      <c r="A74" s="271" t="str">
        <f>'04-22Master'!F6</f>
        <v>Siri Mansion LIGB 436 Dr.A S Rao Nagar,Hyderabad</v>
      </c>
      <c r="B74" s="248"/>
      <c r="D74" s="20"/>
    </row>
    <row r="75" spans="1:4" ht="18">
      <c r="A75" s="250"/>
      <c r="B75" s="7"/>
      <c r="D75" s="20"/>
    </row>
    <row r="76" spans="1:4" ht="15.75">
      <c r="A76" s="249" t="s">
        <v>323</v>
      </c>
      <c r="B76" s="272"/>
      <c r="C76" s="273" t="e">
        <f>'04-22Master'!#REF!</f>
        <v>#REF!</v>
      </c>
      <c r="D76" s="88"/>
    </row>
    <row r="77" spans="1:4">
      <c r="A77" s="1061" t="s">
        <v>324</v>
      </c>
      <c r="B77" s="1062"/>
      <c r="C77" s="1062"/>
      <c r="D77" s="1063"/>
    </row>
    <row r="78" spans="1:4">
      <c r="A78" s="19"/>
      <c r="D78" s="20"/>
    </row>
    <row r="79" spans="1:4">
      <c r="A79" s="1061" t="s">
        <v>325</v>
      </c>
      <c r="B79" s="1062"/>
      <c r="C79" s="1062"/>
      <c r="D79" s="1063"/>
    </row>
    <row r="80" spans="1:4">
      <c r="A80" s="251"/>
      <c r="B80" s="252"/>
      <c r="C80" s="252"/>
      <c r="D80" s="253"/>
    </row>
    <row r="81" spans="1:4">
      <c r="A81" s="1055" t="s">
        <v>326</v>
      </c>
      <c r="B81" s="1056"/>
      <c r="C81" s="1056"/>
      <c r="D81" s="1057"/>
    </row>
    <row r="82" spans="1:4">
      <c r="A82" s="19"/>
      <c r="D82" s="20"/>
    </row>
    <row r="83" spans="1:4">
      <c r="A83" s="1055" t="s">
        <v>327</v>
      </c>
      <c r="B83" s="1056"/>
      <c r="C83" s="1056"/>
      <c r="D83" s="1057"/>
    </row>
    <row r="84" spans="1:4">
      <c r="A84" s="1055" t="s">
        <v>328</v>
      </c>
      <c r="B84" s="1056"/>
      <c r="C84" s="1056"/>
      <c r="D84" s="1057"/>
    </row>
    <row r="85" spans="1:4">
      <c r="A85" s="249"/>
      <c r="B85" s="254"/>
      <c r="C85" s="254"/>
      <c r="D85" s="255"/>
    </row>
    <row r="86" spans="1:4">
      <c r="A86" s="1061" t="s">
        <v>329</v>
      </c>
      <c r="B86" s="1062"/>
      <c r="C86" s="1062"/>
      <c r="D86" s="1063"/>
    </row>
    <row r="87" spans="1:4">
      <c r="A87" s="249"/>
      <c r="B87" s="254"/>
      <c r="C87" s="254"/>
      <c r="D87" s="255"/>
    </row>
    <row r="88" spans="1:4">
      <c r="A88" s="1055" t="s">
        <v>330</v>
      </c>
      <c r="B88" s="1056"/>
      <c r="C88" s="1056"/>
      <c r="D88" s="1057"/>
    </row>
    <row r="89" spans="1:4">
      <c r="A89" s="19"/>
      <c r="D89" s="20"/>
    </row>
    <row r="90" spans="1:4">
      <c r="A90" s="1052" t="s">
        <v>331</v>
      </c>
      <c r="B90" s="1053"/>
      <c r="C90" s="1053"/>
      <c r="D90" s="1054"/>
    </row>
    <row r="91" spans="1:4" ht="42.75">
      <c r="A91" s="256" t="s">
        <v>332</v>
      </c>
      <c r="B91" s="257" t="s">
        <v>333</v>
      </c>
      <c r="C91" s="257" t="s">
        <v>334</v>
      </c>
      <c r="D91" s="258" t="s">
        <v>335</v>
      </c>
    </row>
    <row r="92" spans="1:4">
      <c r="A92" s="259">
        <v>1</v>
      </c>
      <c r="B92" s="260">
        <v>2</v>
      </c>
      <c r="C92" s="260">
        <v>3</v>
      </c>
      <c r="D92" s="261">
        <v>4</v>
      </c>
    </row>
    <row r="93" spans="1:4">
      <c r="A93" s="19" t="e">
        <f>'04-22Master'!#REF!</f>
        <v>#REF!</v>
      </c>
      <c r="B93" s="16" t="s">
        <v>377</v>
      </c>
      <c r="C93" s="16" t="s">
        <v>384</v>
      </c>
      <c r="D93" s="293">
        <v>1</v>
      </c>
    </row>
    <row r="94" spans="1:4">
      <c r="A94" s="277"/>
      <c r="B94" s="16"/>
      <c r="C94" s="16"/>
      <c r="D94" s="262"/>
    </row>
    <row r="95" spans="1:4">
      <c r="A95" s="274"/>
      <c r="B95" s="16"/>
      <c r="C95" s="16"/>
      <c r="D95" s="262"/>
    </row>
    <row r="96" spans="1:4">
      <c r="A96" s="19"/>
      <c r="D96" s="20"/>
    </row>
    <row r="97" spans="1:4">
      <c r="A97" s="1052" t="s">
        <v>336</v>
      </c>
      <c r="B97" s="1053"/>
      <c r="C97" s="1053"/>
      <c r="D97" s="1054"/>
    </row>
    <row r="98" spans="1:4">
      <c r="A98" s="166"/>
      <c r="B98" s="8"/>
      <c r="C98" s="8"/>
      <c r="D98" s="167"/>
    </row>
    <row r="99" spans="1:4">
      <c r="A99" s="1058" t="s">
        <v>337</v>
      </c>
      <c r="B99" s="1059"/>
      <c r="C99" s="1073" t="e">
        <f>'04-22Master'!#REF!</f>
        <v>#REF!</v>
      </c>
      <c r="D99" s="1060"/>
    </row>
    <row r="100" spans="1:4">
      <c r="A100" s="1058" t="s">
        <v>338</v>
      </c>
      <c r="B100" s="1059"/>
      <c r="C100" s="924" t="e">
        <f>'04-22Master'!#REF!</f>
        <v>#REF!</v>
      </c>
      <c r="D100" s="1060"/>
    </row>
    <row r="101" spans="1:4">
      <c r="A101" s="1058" t="s">
        <v>339</v>
      </c>
      <c r="B101" s="1059"/>
      <c r="C101" s="924" t="s">
        <v>385</v>
      </c>
      <c r="D101" s="1060"/>
    </row>
    <row r="102" spans="1:4">
      <c r="A102" s="1058" t="s">
        <v>340</v>
      </c>
      <c r="B102" s="1059"/>
      <c r="C102" s="924" t="s">
        <v>383</v>
      </c>
      <c r="D102" s="1060"/>
    </row>
    <row r="103" spans="1:4">
      <c r="A103" s="1058" t="s">
        <v>341</v>
      </c>
      <c r="B103" s="1059"/>
      <c r="C103" s="1073" t="e">
        <f>'04-22Master'!#REF!</f>
        <v>#REF!</v>
      </c>
      <c r="D103" s="1060"/>
    </row>
    <row r="104" spans="1:4">
      <c r="A104" s="1058" t="s">
        <v>342</v>
      </c>
      <c r="B104" s="1059"/>
      <c r="C104" s="1073" t="e">
        <f>'04-22Master'!#REF!</f>
        <v>#REF!</v>
      </c>
      <c r="D104" s="1060"/>
    </row>
    <row r="105" spans="1:4">
      <c r="A105" s="1058" t="s">
        <v>343</v>
      </c>
      <c r="B105" s="1059"/>
      <c r="C105" s="1074" t="e">
        <f>'04-22Master'!#REF!</f>
        <v>#REF!</v>
      </c>
      <c r="D105" s="1060"/>
    </row>
    <row r="106" spans="1:4">
      <c r="A106" s="1058" t="s">
        <v>344</v>
      </c>
      <c r="B106" s="1059"/>
      <c r="C106" s="924"/>
      <c r="D106" s="1060"/>
    </row>
    <row r="107" spans="1:4">
      <c r="A107" s="1058"/>
      <c r="B107" s="1059"/>
      <c r="C107" s="1073" t="e">
        <f>'04-22Master'!#REF!</f>
        <v>#REF!</v>
      </c>
      <c r="D107" s="1060"/>
    </row>
    <row r="108" spans="1:4">
      <c r="A108" s="1058"/>
      <c r="B108" s="1059"/>
      <c r="C108" s="1073" t="e">
        <f>'04-22Master'!#REF!</f>
        <v>#REF!</v>
      </c>
      <c r="D108" s="1060"/>
    </row>
    <row r="109" spans="1:4">
      <c r="A109" s="1058"/>
      <c r="B109" s="1059"/>
      <c r="C109" s="1073" t="e">
        <f>'04-22Master'!#REF!</f>
        <v>#REF!</v>
      </c>
      <c r="D109" s="1060"/>
    </row>
    <row r="110" spans="1:4">
      <c r="A110" s="249" t="s">
        <v>286</v>
      </c>
      <c r="B110" s="254" t="s">
        <v>375</v>
      </c>
      <c r="C110" s="254"/>
      <c r="D110" s="255"/>
    </row>
    <row r="111" spans="1:4">
      <c r="A111" s="249" t="s">
        <v>345</v>
      </c>
      <c r="B111" s="294" t="e">
        <f>'04-22Master'!#REF!</f>
        <v>#REF!</v>
      </c>
      <c r="C111" s="263" t="s">
        <v>346</v>
      </c>
      <c r="D111" s="255"/>
    </row>
    <row r="112" spans="1:4">
      <c r="A112" s="249"/>
      <c r="B112" s="254"/>
      <c r="C112" s="254"/>
      <c r="D112" s="255"/>
    </row>
    <row r="113" spans="1:4">
      <c r="A113" s="1052" t="s">
        <v>347</v>
      </c>
      <c r="B113" s="1053"/>
      <c r="C113" s="1053"/>
      <c r="D113" s="1054"/>
    </row>
    <row r="114" spans="1:4">
      <c r="A114" s="249" t="s">
        <v>348</v>
      </c>
      <c r="B114" s="254"/>
      <c r="C114" s="254"/>
      <c r="D114" s="255"/>
    </row>
    <row r="115" spans="1:4">
      <c r="A115" s="249"/>
      <c r="B115" s="254"/>
      <c r="C115" s="254"/>
      <c r="D115" s="255"/>
    </row>
    <row r="116" spans="1:4">
      <c r="A116" s="1055" t="s">
        <v>349</v>
      </c>
      <c r="B116" s="1056"/>
      <c r="C116" s="1056" t="s">
        <v>350</v>
      </c>
      <c r="D116" s="1057"/>
    </row>
    <row r="117" spans="1:4">
      <c r="A117" s="1042">
        <v>1</v>
      </c>
      <c r="B117" s="1043"/>
      <c r="C117" s="1043">
        <v>1</v>
      </c>
      <c r="D117" s="1044"/>
    </row>
    <row r="118" spans="1:4">
      <c r="A118" s="1042">
        <v>2</v>
      </c>
      <c r="B118" s="1043"/>
      <c r="C118" s="1043">
        <v>2</v>
      </c>
      <c r="D118" s="1044"/>
    </row>
    <row r="119" spans="1:4">
      <c r="A119" s="264"/>
      <c r="C119" s="1045" t="s">
        <v>355</v>
      </c>
      <c r="D119" s="1046"/>
    </row>
    <row r="120" spans="1:4">
      <c r="A120" s="1047" t="s">
        <v>351</v>
      </c>
      <c r="B120" s="1048"/>
      <c r="C120" s="1048"/>
      <c r="D120" s="1049"/>
    </row>
    <row r="121" spans="1:4">
      <c r="A121" s="267" t="s">
        <v>352</v>
      </c>
      <c r="B121" s="268"/>
      <c r="C121" s="268"/>
      <c r="D121" s="269"/>
    </row>
    <row r="122" spans="1:4">
      <c r="A122" s="267"/>
      <c r="B122" s="268"/>
      <c r="C122" s="268"/>
      <c r="D122" s="269"/>
    </row>
    <row r="123" spans="1:4">
      <c r="A123" s="267"/>
      <c r="B123" s="268"/>
      <c r="C123" s="268" t="s">
        <v>353</v>
      </c>
      <c r="D123" s="269"/>
    </row>
    <row r="124" spans="1:4">
      <c r="A124" s="264"/>
      <c r="B124" s="265"/>
      <c r="C124" s="165" t="s">
        <v>153</v>
      </c>
      <c r="D124" s="266"/>
    </row>
    <row r="125" spans="1:4">
      <c r="A125" s="264"/>
      <c r="C125" t="s">
        <v>354</v>
      </c>
      <c r="D125" s="270"/>
    </row>
    <row r="126" spans="1:4">
      <c r="A126" s="264"/>
      <c r="C126" s="1050" t="str">
        <f>'04-22Master'!F5</f>
        <v>Burgeon IT Services Pvt.Ltd.</v>
      </c>
      <c r="D126" s="1051"/>
    </row>
    <row r="127" spans="1:4">
      <c r="A127" s="249" t="s">
        <v>286</v>
      </c>
      <c r="B127" t="str">
        <f>B110</f>
        <v>Hyderabad</v>
      </c>
      <c r="C127" s="3" t="str">
        <f>'04-22Master'!F6</f>
        <v>Siri Mansion LIGB 436 Dr.A S Rao Nagar,Hyderabad</v>
      </c>
      <c r="D127" s="20"/>
    </row>
    <row r="128" spans="1:4" ht="15.75" thickBot="1">
      <c r="A128" s="249" t="s">
        <v>345</v>
      </c>
      <c r="B128" s="286" t="e">
        <f>B111</f>
        <v>#REF!</v>
      </c>
      <c r="C128" s="3"/>
      <c r="D128" s="20"/>
    </row>
    <row r="129" spans="1:4" ht="15.75" thickBot="1">
      <c r="A129" s="275"/>
      <c r="B129" s="276" t="s">
        <v>358</v>
      </c>
      <c r="C129" s="276"/>
      <c r="D129" s="34"/>
    </row>
    <row r="130" spans="1:4">
      <c r="A130" s="249" t="s">
        <v>356</v>
      </c>
      <c r="C130" s="3"/>
      <c r="D130" s="20"/>
    </row>
    <row r="131" spans="1:4">
      <c r="A131" s="249" t="s">
        <v>345</v>
      </c>
      <c r="B131" s="286" t="e">
        <f>B128</f>
        <v>#REF!</v>
      </c>
      <c r="C131" s="3"/>
      <c r="D131" s="20"/>
    </row>
    <row r="132" spans="1:4" ht="15.75" thickBot="1">
      <c r="A132" s="278" t="s">
        <v>357</v>
      </c>
      <c r="B132" s="29"/>
      <c r="C132" s="29"/>
      <c r="D132" s="30" t="s">
        <v>144</v>
      </c>
    </row>
    <row r="136" spans="1:4" ht="15.75" thickBot="1"/>
    <row r="137" spans="1:4" ht="20.25">
      <c r="A137" s="1064" t="s">
        <v>320</v>
      </c>
      <c r="B137" s="1065"/>
      <c r="C137" s="1065"/>
      <c r="D137" s="1066"/>
    </row>
    <row r="138" spans="1:4">
      <c r="A138" s="1067" t="s">
        <v>321</v>
      </c>
      <c r="B138" s="1068"/>
      <c r="C138" s="1068"/>
      <c r="D138" s="1069"/>
    </row>
    <row r="139" spans="1:4" ht="18">
      <c r="A139" s="1070" t="s">
        <v>322</v>
      </c>
      <c r="B139" s="1071"/>
      <c r="C139" s="1071"/>
      <c r="D139" s="1072"/>
    </row>
    <row r="140" spans="1:4">
      <c r="A140" s="19" t="s">
        <v>143</v>
      </c>
      <c r="D140" s="20"/>
    </row>
    <row r="141" spans="1:4" ht="18">
      <c r="A141" s="271" t="str">
        <f>'04-22Master'!F5</f>
        <v>Burgeon IT Services Pvt.Ltd.</v>
      </c>
      <c r="B141" s="248"/>
      <c r="D141" s="20"/>
    </row>
    <row r="142" spans="1:4" ht="18">
      <c r="A142" s="271" t="str">
        <f>'04-22Master'!F6</f>
        <v>Siri Mansion LIGB 436 Dr.A S Rao Nagar,Hyderabad</v>
      </c>
      <c r="B142" s="248"/>
      <c r="D142" s="20"/>
    </row>
    <row r="143" spans="1:4" ht="18">
      <c r="A143" s="250"/>
      <c r="B143" s="7"/>
      <c r="D143" s="20"/>
    </row>
    <row r="144" spans="1:4" ht="15.75">
      <c r="A144" s="249" t="s">
        <v>323</v>
      </c>
      <c r="B144" s="272"/>
      <c r="C144" s="273" t="e">
        <f>'04-22Master'!#REF!</f>
        <v>#REF!</v>
      </c>
      <c r="D144" s="88"/>
    </row>
    <row r="145" spans="1:4">
      <c r="A145" s="1061" t="s">
        <v>324</v>
      </c>
      <c r="B145" s="1062"/>
      <c r="C145" s="1062"/>
      <c r="D145" s="1063"/>
    </row>
    <row r="146" spans="1:4">
      <c r="A146" s="19"/>
      <c r="D146" s="20"/>
    </row>
    <row r="147" spans="1:4">
      <c r="A147" s="1061" t="s">
        <v>325</v>
      </c>
      <c r="B147" s="1062"/>
      <c r="C147" s="1062"/>
      <c r="D147" s="1063"/>
    </row>
    <row r="148" spans="1:4">
      <c r="A148" s="251"/>
      <c r="B148" s="252"/>
      <c r="C148" s="252"/>
      <c r="D148" s="253"/>
    </row>
    <row r="149" spans="1:4">
      <c r="A149" s="1055" t="s">
        <v>326</v>
      </c>
      <c r="B149" s="1056"/>
      <c r="C149" s="1056"/>
      <c r="D149" s="1057"/>
    </row>
    <row r="150" spans="1:4">
      <c r="A150" s="19"/>
      <c r="D150" s="20"/>
    </row>
    <row r="151" spans="1:4">
      <c r="A151" s="1055" t="s">
        <v>327</v>
      </c>
      <c r="B151" s="1056"/>
      <c r="C151" s="1056"/>
      <c r="D151" s="1057"/>
    </row>
    <row r="152" spans="1:4">
      <c r="A152" s="1055" t="s">
        <v>328</v>
      </c>
      <c r="B152" s="1056"/>
      <c r="C152" s="1056"/>
      <c r="D152" s="1057"/>
    </row>
    <row r="153" spans="1:4">
      <c r="A153" s="249"/>
      <c r="B153" s="254"/>
      <c r="C153" s="254"/>
      <c r="D153" s="255"/>
    </row>
    <row r="154" spans="1:4">
      <c r="A154" s="1061" t="s">
        <v>329</v>
      </c>
      <c r="B154" s="1062"/>
      <c r="C154" s="1062"/>
      <c r="D154" s="1063"/>
    </row>
    <row r="155" spans="1:4">
      <c r="A155" s="249"/>
      <c r="B155" s="254"/>
      <c r="C155" s="254"/>
      <c r="D155" s="255"/>
    </row>
    <row r="156" spans="1:4">
      <c r="A156" s="1055" t="s">
        <v>330</v>
      </c>
      <c r="B156" s="1056"/>
      <c r="C156" s="1056"/>
      <c r="D156" s="1057"/>
    </row>
    <row r="157" spans="1:4">
      <c r="A157" s="19"/>
      <c r="D157" s="20"/>
    </row>
    <row r="158" spans="1:4">
      <c r="A158" s="1052" t="s">
        <v>331</v>
      </c>
      <c r="B158" s="1053"/>
      <c r="C158" s="1053"/>
      <c r="D158" s="1054"/>
    </row>
    <row r="159" spans="1:4" ht="42.75">
      <c r="A159" s="256" t="s">
        <v>332</v>
      </c>
      <c r="B159" s="257" t="s">
        <v>333</v>
      </c>
      <c r="C159" s="257" t="s">
        <v>334</v>
      </c>
      <c r="D159" s="258" t="s">
        <v>335</v>
      </c>
    </row>
    <row r="160" spans="1:4">
      <c r="A160" s="259">
        <v>1</v>
      </c>
      <c r="B160" s="260">
        <v>2</v>
      </c>
      <c r="C160" s="260">
        <v>3</v>
      </c>
      <c r="D160" s="261">
        <v>4</v>
      </c>
    </row>
    <row r="161" spans="1:4">
      <c r="A161" s="295" t="e">
        <f>'04-22Master'!#REF!</f>
        <v>#REF!</v>
      </c>
      <c r="B161" s="16" t="s">
        <v>377</v>
      </c>
      <c r="C161" s="16" t="s">
        <v>384</v>
      </c>
      <c r="D161" s="293">
        <v>1</v>
      </c>
    </row>
    <row r="162" spans="1:4">
      <c r="A162" s="277"/>
      <c r="B162" s="16"/>
      <c r="C162" s="16"/>
      <c r="D162" s="262"/>
    </row>
    <row r="163" spans="1:4">
      <c r="A163" s="274"/>
      <c r="B163" s="16"/>
      <c r="C163" s="16"/>
      <c r="D163" s="262"/>
    </row>
    <row r="164" spans="1:4">
      <c r="A164" s="19"/>
      <c r="D164" s="20"/>
    </row>
    <row r="165" spans="1:4">
      <c r="A165" s="1052" t="s">
        <v>336</v>
      </c>
      <c r="B165" s="1053"/>
      <c r="C165" s="1053"/>
      <c r="D165" s="1054"/>
    </row>
    <row r="166" spans="1:4">
      <c r="A166" s="166"/>
      <c r="B166" s="8"/>
      <c r="C166" s="8"/>
      <c r="D166" s="167"/>
    </row>
    <row r="167" spans="1:4">
      <c r="A167" s="1058" t="s">
        <v>337</v>
      </c>
      <c r="B167" s="1059"/>
      <c r="C167" s="1073" t="e">
        <f>'04-22Master'!#REF!</f>
        <v>#REF!</v>
      </c>
      <c r="D167" s="1060"/>
    </row>
    <row r="168" spans="1:4">
      <c r="A168" s="1058" t="s">
        <v>338</v>
      </c>
      <c r="B168" s="1059"/>
      <c r="C168" s="924" t="e">
        <f>'04-22Master'!#REF!</f>
        <v>#REF!</v>
      </c>
      <c r="D168" s="1060"/>
    </row>
    <row r="169" spans="1:4">
      <c r="A169" s="1058" t="s">
        <v>339</v>
      </c>
      <c r="B169" s="1059"/>
      <c r="C169" s="924" t="s">
        <v>386</v>
      </c>
      <c r="D169" s="1060"/>
    </row>
    <row r="170" spans="1:4">
      <c r="A170" s="1058" t="s">
        <v>340</v>
      </c>
      <c r="B170" s="1059"/>
      <c r="C170" s="924" t="s">
        <v>383</v>
      </c>
      <c r="D170" s="1060"/>
    </row>
    <row r="171" spans="1:4">
      <c r="A171" s="1058" t="s">
        <v>341</v>
      </c>
      <c r="B171" s="1059"/>
      <c r="C171" s="1073" t="e">
        <f>'04-22Master'!#REF!</f>
        <v>#REF!</v>
      </c>
      <c r="D171" s="1060"/>
    </row>
    <row r="172" spans="1:4">
      <c r="A172" s="1058" t="s">
        <v>342</v>
      </c>
      <c r="B172" s="1059"/>
      <c r="C172" s="1073" t="e">
        <f>'04-22Master'!#REF!</f>
        <v>#REF!</v>
      </c>
      <c r="D172" s="1060"/>
    </row>
    <row r="173" spans="1:4">
      <c r="A173" s="1058" t="s">
        <v>343</v>
      </c>
      <c r="B173" s="1059"/>
      <c r="C173" s="1074" t="e">
        <f>'04-22Master'!#REF!</f>
        <v>#REF!</v>
      </c>
      <c r="D173" s="1060"/>
    </row>
    <row r="174" spans="1:4">
      <c r="A174" s="1058" t="s">
        <v>344</v>
      </c>
      <c r="B174" s="1059"/>
      <c r="C174" s="924"/>
      <c r="D174" s="1060"/>
    </row>
    <row r="175" spans="1:4">
      <c r="A175" s="1058"/>
      <c r="B175" s="1059"/>
      <c r="C175" s="1073" t="e">
        <f>'04-22Master'!#REF!</f>
        <v>#REF!</v>
      </c>
      <c r="D175" s="1060"/>
    </row>
    <row r="176" spans="1:4">
      <c r="A176" s="1058"/>
      <c r="B176" s="1059"/>
      <c r="C176" s="1073" t="e">
        <f>'04-22Master'!#REF!</f>
        <v>#REF!</v>
      </c>
      <c r="D176" s="1060"/>
    </row>
    <row r="177" spans="1:4">
      <c r="A177" s="1058"/>
      <c r="B177" s="1059"/>
      <c r="C177" s="1073" t="e">
        <f>'04-22Master'!#REF!</f>
        <v>#REF!</v>
      </c>
      <c r="D177" s="1060"/>
    </row>
    <row r="178" spans="1:4">
      <c r="A178" s="249" t="s">
        <v>286</v>
      </c>
      <c r="B178" s="254" t="s">
        <v>375</v>
      </c>
      <c r="C178" s="254"/>
      <c r="D178" s="255"/>
    </row>
    <row r="179" spans="1:4">
      <c r="A179" s="249" t="s">
        <v>345</v>
      </c>
      <c r="B179" s="294" t="e">
        <f>'04-22Master'!#REF!</f>
        <v>#REF!</v>
      </c>
      <c r="C179" s="263" t="s">
        <v>346</v>
      </c>
      <c r="D179" s="255"/>
    </row>
    <row r="180" spans="1:4">
      <c r="A180" s="249"/>
      <c r="B180" s="254"/>
      <c r="C180" s="254"/>
      <c r="D180" s="255"/>
    </row>
    <row r="181" spans="1:4">
      <c r="A181" s="1052" t="s">
        <v>347</v>
      </c>
      <c r="B181" s="1053"/>
      <c r="C181" s="1053"/>
      <c r="D181" s="1054"/>
    </row>
    <row r="182" spans="1:4">
      <c r="A182" s="249" t="s">
        <v>348</v>
      </c>
      <c r="B182" s="254"/>
      <c r="C182" s="254"/>
      <c r="D182" s="255"/>
    </row>
    <row r="183" spans="1:4">
      <c r="A183" s="249"/>
      <c r="B183" s="254"/>
      <c r="C183" s="254"/>
      <c r="D183" s="255"/>
    </row>
    <row r="184" spans="1:4">
      <c r="A184" s="1055" t="s">
        <v>349</v>
      </c>
      <c r="B184" s="1056"/>
      <c r="C184" s="1056" t="s">
        <v>350</v>
      </c>
      <c r="D184" s="1057"/>
    </row>
    <row r="185" spans="1:4">
      <c r="A185" s="1042">
        <v>1</v>
      </c>
      <c r="B185" s="1043"/>
      <c r="C185" s="1043">
        <v>1</v>
      </c>
      <c r="D185" s="1044"/>
    </row>
    <row r="186" spans="1:4">
      <c r="A186" s="1042">
        <v>2</v>
      </c>
      <c r="B186" s="1043"/>
      <c r="C186" s="1043">
        <v>2</v>
      </c>
      <c r="D186" s="1044"/>
    </row>
    <row r="187" spans="1:4">
      <c r="A187" s="264"/>
      <c r="C187" s="1045" t="s">
        <v>355</v>
      </c>
      <c r="D187" s="1046"/>
    </row>
    <row r="188" spans="1:4">
      <c r="A188" s="1047" t="s">
        <v>351</v>
      </c>
      <c r="B188" s="1048"/>
      <c r="C188" s="1048"/>
      <c r="D188" s="1049"/>
    </row>
    <row r="189" spans="1:4">
      <c r="A189" s="267" t="s">
        <v>352</v>
      </c>
      <c r="B189" s="268"/>
      <c r="C189" s="268"/>
      <c r="D189" s="269"/>
    </row>
    <row r="190" spans="1:4">
      <c r="A190" s="267"/>
      <c r="B190" s="268"/>
      <c r="C190" s="268"/>
      <c r="D190" s="269"/>
    </row>
    <row r="191" spans="1:4">
      <c r="A191" s="267"/>
      <c r="B191" s="268"/>
      <c r="C191" s="268" t="s">
        <v>353</v>
      </c>
      <c r="D191" s="269"/>
    </row>
    <row r="192" spans="1:4">
      <c r="A192" s="264"/>
      <c r="B192" s="265"/>
      <c r="C192" s="165" t="s">
        <v>153</v>
      </c>
      <c r="D192" s="266"/>
    </row>
    <row r="193" spans="1:4">
      <c r="A193" s="264"/>
      <c r="C193" t="s">
        <v>354</v>
      </c>
      <c r="D193" s="270"/>
    </row>
    <row r="194" spans="1:4">
      <c r="A194" s="264"/>
      <c r="C194" s="1050" t="str">
        <f>'04-22Master'!F5</f>
        <v>Burgeon IT Services Pvt.Ltd.</v>
      </c>
      <c r="D194" s="1051"/>
    </row>
    <row r="195" spans="1:4">
      <c r="A195" s="249" t="s">
        <v>286</v>
      </c>
      <c r="B195" t="str">
        <f>B178</f>
        <v>Hyderabad</v>
      </c>
      <c r="C195" s="3" t="str">
        <f>'04-22Master'!F6</f>
        <v>Siri Mansion LIGB 436 Dr.A S Rao Nagar,Hyderabad</v>
      </c>
      <c r="D195" s="20"/>
    </row>
    <row r="196" spans="1:4" ht="15.75" thickBot="1">
      <c r="A196" s="249" t="s">
        <v>345</v>
      </c>
      <c r="B196" s="286" t="e">
        <f>B179</f>
        <v>#REF!</v>
      </c>
      <c r="C196" s="3"/>
      <c r="D196" s="20"/>
    </row>
    <row r="197" spans="1:4" ht="15.75" thickBot="1">
      <c r="A197" s="275"/>
      <c r="B197" s="276" t="s">
        <v>358</v>
      </c>
      <c r="C197" s="276"/>
      <c r="D197" s="34"/>
    </row>
    <row r="198" spans="1:4">
      <c r="A198" s="249" t="s">
        <v>356</v>
      </c>
      <c r="C198" s="3"/>
      <c r="D198" s="20"/>
    </row>
    <row r="199" spans="1:4">
      <c r="A199" s="249" t="s">
        <v>345</v>
      </c>
      <c r="B199" s="286" t="e">
        <f>B196</f>
        <v>#REF!</v>
      </c>
      <c r="C199" s="3"/>
      <c r="D199" s="20"/>
    </row>
    <row r="200" spans="1:4" ht="15.75" thickBot="1">
      <c r="A200" s="278" t="s">
        <v>357</v>
      </c>
      <c r="B200" s="29"/>
      <c r="C200" s="29"/>
      <c r="D200" s="30" t="s">
        <v>144</v>
      </c>
    </row>
    <row r="204" spans="1:4" ht="15.75" thickBot="1"/>
    <row r="205" spans="1:4" ht="20.25">
      <c r="A205" s="1064" t="s">
        <v>320</v>
      </c>
      <c r="B205" s="1065"/>
      <c r="C205" s="1065"/>
      <c r="D205" s="1066"/>
    </row>
    <row r="206" spans="1:4">
      <c r="A206" s="1067" t="s">
        <v>321</v>
      </c>
      <c r="B206" s="1068"/>
      <c r="C206" s="1068"/>
      <c r="D206" s="1069"/>
    </row>
    <row r="207" spans="1:4" ht="18">
      <c r="A207" s="1070" t="s">
        <v>322</v>
      </c>
      <c r="B207" s="1071"/>
      <c r="C207" s="1071"/>
      <c r="D207" s="1072"/>
    </row>
    <row r="208" spans="1:4">
      <c r="A208" s="19" t="s">
        <v>143</v>
      </c>
      <c r="D208" s="20"/>
    </row>
    <row r="209" spans="1:4" ht="18">
      <c r="A209" s="271" t="str">
        <f>'04-22Master'!F5</f>
        <v>Burgeon IT Services Pvt.Ltd.</v>
      </c>
      <c r="B209" s="248"/>
      <c r="D209" s="20"/>
    </row>
    <row r="210" spans="1:4" ht="18">
      <c r="A210" s="271" t="str">
        <f>'04-22Master'!F6</f>
        <v>Siri Mansion LIGB 436 Dr.A S Rao Nagar,Hyderabad</v>
      </c>
      <c r="B210" s="248"/>
      <c r="D210" s="20"/>
    </row>
    <row r="211" spans="1:4" ht="18">
      <c r="A211" s="250"/>
      <c r="B211" s="7"/>
      <c r="D211" s="20"/>
    </row>
    <row r="212" spans="1:4" ht="15.75">
      <c r="A212" s="249" t="s">
        <v>323</v>
      </c>
      <c r="B212" s="272"/>
      <c r="C212" s="273" t="e">
        <f>'04-22Master'!#REF!</f>
        <v>#REF!</v>
      </c>
      <c r="D212" s="88"/>
    </row>
    <row r="213" spans="1:4">
      <c r="A213" s="1061" t="s">
        <v>324</v>
      </c>
      <c r="B213" s="1062"/>
      <c r="C213" s="1062"/>
      <c r="D213" s="1063"/>
    </row>
    <row r="214" spans="1:4">
      <c r="A214" s="19"/>
      <c r="D214" s="20"/>
    </row>
    <row r="215" spans="1:4">
      <c r="A215" s="1061" t="s">
        <v>325</v>
      </c>
      <c r="B215" s="1062"/>
      <c r="C215" s="1062"/>
      <c r="D215" s="1063"/>
    </row>
    <row r="216" spans="1:4">
      <c r="A216" s="251"/>
      <c r="B216" s="252"/>
      <c r="C216" s="252"/>
      <c r="D216" s="253"/>
    </row>
    <row r="217" spans="1:4">
      <c r="A217" s="1055" t="s">
        <v>326</v>
      </c>
      <c r="B217" s="1056"/>
      <c r="C217" s="1056"/>
      <c r="D217" s="1057"/>
    </row>
    <row r="218" spans="1:4">
      <c r="A218" s="19"/>
      <c r="D218" s="20"/>
    </row>
    <row r="219" spans="1:4">
      <c r="A219" s="1055" t="s">
        <v>327</v>
      </c>
      <c r="B219" s="1056"/>
      <c r="C219" s="1056"/>
      <c r="D219" s="1057"/>
    </row>
    <row r="220" spans="1:4">
      <c r="A220" s="1055" t="s">
        <v>328</v>
      </c>
      <c r="B220" s="1056"/>
      <c r="C220" s="1056"/>
      <c r="D220" s="1057"/>
    </row>
    <row r="221" spans="1:4">
      <c r="A221" s="249"/>
      <c r="B221" s="254"/>
      <c r="C221" s="254"/>
      <c r="D221" s="255"/>
    </row>
    <row r="222" spans="1:4">
      <c r="A222" s="1061" t="s">
        <v>329</v>
      </c>
      <c r="B222" s="1062"/>
      <c r="C222" s="1062"/>
      <c r="D222" s="1063"/>
    </row>
    <row r="223" spans="1:4">
      <c r="A223" s="249"/>
      <c r="B223" s="254"/>
      <c r="C223" s="254"/>
      <c r="D223" s="255"/>
    </row>
    <row r="224" spans="1:4">
      <c r="A224" s="1055" t="s">
        <v>330</v>
      </c>
      <c r="B224" s="1056"/>
      <c r="C224" s="1056"/>
      <c r="D224" s="1057"/>
    </row>
    <row r="225" spans="1:4">
      <c r="A225" s="19"/>
      <c r="D225" s="20"/>
    </row>
    <row r="226" spans="1:4">
      <c r="A226" s="1052" t="s">
        <v>331</v>
      </c>
      <c r="B226" s="1053"/>
      <c r="C226" s="1053"/>
      <c r="D226" s="1054"/>
    </row>
    <row r="227" spans="1:4" ht="42.75">
      <c r="A227" s="256" t="s">
        <v>332</v>
      </c>
      <c r="B227" s="257" t="s">
        <v>333</v>
      </c>
      <c r="C227" s="257" t="s">
        <v>334</v>
      </c>
      <c r="D227" s="258" t="s">
        <v>335</v>
      </c>
    </row>
    <row r="228" spans="1:4">
      <c r="A228" s="259">
        <v>1</v>
      </c>
      <c r="B228" s="260">
        <v>2</v>
      </c>
      <c r="C228" s="260">
        <v>3</v>
      </c>
      <c r="D228" s="261">
        <v>4</v>
      </c>
    </row>
    <row r="229" spans="1:4">
      <c r="A229" s="19" t="e">
        <f>'04-22Master'!#REF!</f>
        <v>#REF!</v>
      </c>
      <c r="B229" s="16" t="s">
        <v>377</v>
      </c>
      <c r="C229" s="16" t="s">
        <v>384</v>
      </c>
      <c r="D229" s="293">
        <v>1</v>
      </c>
    </row>
    <row r="230" spans="1:4">
      <c r="A230" s="277"/>
      <c r="B230" s="16"/>
      <c r="C230" s="16"/>
      <c r="D230" s="262"/>
    </row>
    <row r="231" spans="1:4">
      <c r="A231" s="274"/>
      <c r="B231" s="16"/>
      <c r="C231" s="16"/>
      <c r="D231" s="262"/>
    </row>
    <row r="232" spans="1:4">
      <c r="A232" s="19"/>
      <c r="D232" s="20"/>
    </row>
    <row r="233" spans="1:4">
      <c r="A233" s="1052" t="s">
        <v>336</v>
      </c>
      <c r="B233" s="1053"/>
      <c r="C233" s="1053"/>
      <c r="D233" s="1054"/>
    </row>
    <row r="234" spans="1:4">
      <c r="A234" s="166"/>
      <c r="B234" s="8"/>
      <c r="C234" s="8"/>
      <c r="D234" s="167"/>
    </row>
    <row r="235" spans="1:4">
      <c r="A235" s="1058" t="s">
        <v>337</v>
      </c>
      <c r="B235" s="1059"/>
      <c r="C235" s="1073" t="e">
        <f>'04-22Master'!#REF!</f>
        <v>#REF!</v>
      </c>
      <c r="D235" s="1060"/>
    </row>
    <row r="236" spans="1:4">
      <c r="A236" s="1058" t="s">
        <v>338</v>
      </c>
      <c r="B236" s="1059"/>
      <c r="C236" s="924" t="e">
        <f>'04-22Master'!#REF!</f>
        <v>#REF!</v>
      </c>
      <c r="D236" s="1060"/>
    </row>
    <row r="237" spans="1:4">
      <c r="A237" s="1058" t="s">
        <v>339</v>
      </c>
      <c r="B237" s="1059"/>
      <c r="C237" s="924" t="s">
        <v>385</v>
      </c>
      <c r="D237" s="1060"/>
    </row>
    <row r="238" spans="1:4">
      <c r="A238" s="1058" t="s">
        <v>340</v>
      </c>
      <c r="B238" s="1059"/>
      <c r="C238" s="924" t="s">
        <v>383</v>
      </c>
      <c r="D238" s="1060"/>
    </row>
    <row r="239" spans="1:4">
      <c r="A239" s="1058" t="s">
        <v>341</v>
      </c>
      <c r="B239" s="1059"/>
      <c r="C239" s="1073" t="e">
        <f>'04-22Master'!#REF!</f>
        <v>#REF!</v>
      </c>
      <c r="D239" s="1060"/>
    </row>
    <row r="240" spans="1:4">
      <c r="A240" s="1058" t="s">
        <v>342</v>
      </c>
      <c r="B240" s="1059"/>
      <c r="C240" s="1073" t="e">
        <f>'04-22Master'!#REF!</f>
        <v>#REF!</v>
      </c>
      <c r="D240" s="1060"/>
    </row>
    <row r="241" spans="1:4">
      <c r="A241" s="1058" t="s">
        <v>343</v>
      </c>
      <c r="B241" s="1059"/>
      <c r="C241" s="1074" t="e">
        <f>'04-22Master'!#REF!</f>
        <v>#REF!</v>
      </c>
      <c r="D241" s="1060"/>
    </row>
    <row r="242" spans="1:4">
      <c r="A242" s="1058" t="s">
        <v>344</v>
      </c>
      <c r="B242" s="1059"/>
      <c r="C242" s="924"/>
      <c r="D242" s="1060"/>
    </row>
    <row r="243" spans="1:4">
      <c r="A243" s="1058"/>
      <c r="B243" s="1059"/>
      <c r="C243" s="1073" t="e">
        <f>'04-22Master'!#REF!</f>
        <v>#REF!</v>
      </c>
      <c r="D243" s="1060"/>
    </row>
    <row r="244" spans="1:4">
      <c r="A244" s="1058"/>
      <c r="B244" s="1059"/>
      <c r="C244" s="1073" t="e">
        <f>'04-22Master'!#REF!</f>
        <v>#REF!</v>
      </c>
      <c r="D244" s="1060"/>
    </row>
    <row r="245" spans="1:4">
      <c r="A245" s="1058"/>
      <c r="B245" s="1059"/>
      <c r="C245" s="1073" t="e">
        <f>'04-22Master'!#REF!</f>
        <v>#REF!</v>
      </c>
      <c r="D245" s="1060"/>
    </row>
    <row r="246" spans="1:4">
      <c r="A246" s="249" t="s">
        <v>286</v>
      </c>
      <c r="B246" s="254" t="s">
        <v>375</v>
      </c>
      <c r="C246" s="254"/>
      <c r="D246" s="255"/>
    </row>
    <row r="247" spans="1:4">
      <c r="A247" s="249" t="s">
        <v>345</v>
      </c>
      <c r="B247" s="294" t="e">
        <f>'04-22Master'!#REF!</f>
        <v>#REF!</v>
      </c>
      <c r="C247" s="263" t="s">
        <v>346</v>
      </c>
      <c r="D247" s="255"/>
    </row>
    <row r="248" spans="1:4">
      <c r="A248" s="249"/>
      <c r="B248" s="254"/>
      <c r="C248" s="254"/>
      <c r="D248" s="255"/>
    </row>
    <row r="249" spans="1:4">
      <c r="A249" s="1052" t="s">
        <v>347</v>
      </c>
      <c r="B249" s="1053"/>
      <c r="C249" s="1053"/>
      <c r="D249" s="1054"/>
    </row>
    <row r="250" spans="1:4">
      <c r="A250" s="249" t="s">
        <v>348</v>
      </c>
      <c r="B250" s="254"/>
      <c r="C250" s="254"/>
      <c r="D250" s="255"/>
    </row>
    <row r="251" spans="1:4">
      <c r="A251" s="249"/>
      <c r="B251" s="254"/>
      <c r="C251" s="254"/>
      <c r="D251" s="255"/>
    </row>
    <row r="252" spans="1:4">
      <c r="A252" s="1055" t="s">
        <v>349</v>
      </c>
      <c r="B252" s="1056"/>
      <c r="C252" s="1056" t="s">
        <v>350</v>
      </c>
      <c r="D252" s="1057"/>
    </row>
    <row r="253" spans="1:4">
      <c r="A253" s="1042">
        <v>1</v>
      </c>
      <c r="B253" s="1043"/>
      <c r="C253" s="1043">
        <v>1</v>
      </c>
      <c r="D253" s="1044"/>
    </row>
    <row r="254" spans="1:4">
      <c r="A254" s="1042">
        <v>2</v>
      </c>
      <c r="B254" s="1043"/>
      <c r="C254" s="1043">
        <v>2</v>
      </c>
      <c r="D254" s="1044"/>
    </row>
    <row r="255" spans="1:4">
      <c r="A255" s="264"/>
      <c r="C255" s="1045" t="s">
        <v>355</v>
      </c>
      <c r="D255" s="1046"/>
    </row>
    <row r="256" spans="1:4">
      <c r="A256" s="1047" t="s">
        <v>351</v>
      </c>
      <c r="B256" s="1048"/>
      <c r="C256" s="1048"/>
      <c r="D256" s="1049"/>
    </row>
    <row r="257" spans="1:4">
      <c r="A257" s="267" t="s">
        <v>352</v>
      </c>
      <c r="B257" s="268"/>
      <c r="C257" s="268"/>
      <c r="D257" s="269"/>
    </row>
    <row r="258" spans="1:4">
      <c r="A258" s="267"/>
      <c r="B258" s="268"/>
      <c r="C258" s="268"/>
      <c r="D258" s="269"/>
    </row>
    <row r="259" spans="1:4">
      <c r="A259" s="267"/>
      <c r="B259" s="268"/>
      <c r="C259" s="268" t="s">
        <v>353</v>
      </c>
      <c r="D259" s="269"/>
    </row>
    <row r="260" spans="1:4">
      <c r="A260" s="264"/>
      <c r="B260" s="265"/>
      <c r="C260" s="165" t="s">
        <v>153</v>
      </c>
      <c r="D260" s="266"/>
    </row>
    <row r="261" spans="1:4">
      <c r="A261" s="264"/>
      <c r="C261" t="s">
        <v>354</v>
      </c>
      <c r="D261" s="270"/>
    </row>
    <row r="262" spans="1:4">
      <c r="A262" s="264"/>
      <c r="C262" s="1050" t="str">
        <f>'04-22Master'!F5</f>
        <v>Burgeon IT Services Pvt.Ltd.</v>
      </c>
      <c r="D262" s="1051"/>
    </row>
    <row r="263" spans="1:4">
      <c r="A263" s="249" t="s">
        <v>286</v>
      </c>
      <c r="B263" t="str">
        <f>B246</f>
        <v>Hyderabad</v>
      </c>
      <c r="C263" s="3" t="str">
        <f>'04-22Master'!F6</f>
        <v>Siri Mansion LIGB 436 Dr.A S Rao Nagar,Hyderabad</v>
      </c>
      <c r="D263" s="20"/>
    </row>
    <row r="264" spans="1:4" ht="15.75" thickBot="1">
      <c r="A264" s="249" t="s">
        <v>345</v>
      </c>
      <c r="B264" s="286" t="e">
        <f>B247</f>
        <v>#REF!</v>
      </c>
      <c r="C264" s="3"/>
      <c r="D264" s="20"/>
    </row>
    <row r="265" spans="1:4" ht="15.75" thickBot="1">
      <c r="A265" s="275"/>
      <c r="B265" s="276" t="s">
        <v>358</v>
      </c>
      <c r="C265" s="276"/>
      <c r="D265" s="34"/>
    </row>
    <row r="266" spans="1:4">
      <c r="A266" s="249" t="s">
        <v>356</v>
      </c>
      <c r="C266" s="3"/>
      <c r="D266" s="20"/>
    </row>
    <row r="267" spans="1:4">
      <c r="A267" s="249" t="s">
        <v>345</v>
      </c>
      <c r="B267" s="286" t="e">
        <f>B264</f>
        <v>#REF!</v>
      </c>
      <c r="C267" s="3"/>
      <c r="D267" s="20"/>
    </row>
    <row r="268" spans="1:4" ht="15.75" thickBot="1">
      <c r="A268" s="278" t="s">
        <v>357</v>
      </c>
      <c r="B268" s="29"/>
      <c r="C268" s="29"/>
      <c r="D268" s="30" t="s">
        <v>144</v>
      </c>
    </row>
    <row r="272" spans="1:4" ht="15.75" thickBot="1"/>
    <row r="273" spans="1:4" ht="20.25">
      <c r="A273" s="1064" t="s">
        <v>320</v>
      </c>
      <c r="B273" s="1065"/>
      <c r="C273" s="1065"/>
      <c r="D273" s="1066"/>
    </row>
    <row r="274" spans="1:4">
      <c r="A274" s="1067" t="s">
        <v>321</v>
      </c>
      <c r="B274" s="1068"/>
      <c r="C274" s="1068"/>
      <c r="D274" s="1069"/>
    </row>
    <row r="275" spans="1:4" ht="18">
      <c r="A275" s="1070" t="s">
        <v>322</v>
      </c>
      <c r="B275" s="1071"/>
      <c r="C275" s="1071"/>
      <c r="D275" s="1072"/>
    </row>
    <row r="276" spans="1:4">
      <c r="A276" s="19" t="s">
        <v>143</v>
      </c>
      <c r="D276" s="20"/>
    </row>
    <row r="277" spans="1:4" ht="18">
      <c r="A277" s="271" t="str">
        <f>'04-22Master'!F5</f>
        <v>Burgeon IT Services Pvt.Ltd.</v>
      </c>
      <c r="B277" s="248"/>
      <c r="D277" s="20"/>
    </row>
    <row r="278" spans="1:4" ht="18">
      <c r="A278" s="271" t="str">
        <f>'04-22Master'!F6</f>
        <v>Siri Mansion LIGB 436 Dr.A S Rao Nagar,Hyderabad</v>
      </c>
      <c r="B278" s="248"/>
      <c r="D278" s="20"/>
    </row>
    <row r="279" spans="1:4" ht="18">
      <c r="A279" s="250"/>
      <c r="B279" s="7"/>
      <c r="D279" s="20"/>
    </row>
    <row r="280" spans="1:4" ht="15.75">
      <c r="A280" s="249" t="s">
        <v>323</v>
      </c>
      <c r="B280" s="272"/>
      <c r="C280" s="273" t="e">
        <f>'04-22Master'!#REF!</f>
        <v>#REF!</v>
      </c>
      <c r="D280" s="88"/>
    </row>
    <row r="281" spans="1:4">
      <c r="A281" s="1061" t="s">
        <v>324</v>
      </c>
      <c r="B281" s="1062"/>
      <c r="C281" s="1062"/>
      <c r="D281" s="1063"/>
    </row>
    <row r="282" spans="1:4">
      <c r="A282" s="19"/>
      <c r="D282" s="20"/>
    </row>
    <row r="283" spans="1:4">
      <c r="A283" s="1061" t="s">
        <v>325</v>
      </c>
      <c r="B283" s="1062"/>
      <c r="C283" s="1062"/>
      <c r="D283" s="1063"/>
    </row>
    <row r="284" spans="1:4">
      <c r="A284" s="251"/>
      <c r="B284" s="252"/>
      <c r="C284" s="252"/>
      <c r="D284" s="253"/>
    </row>
    <row r="285" spans="1:4">
      <c r="A285" s="1055" t="s">
        <v>326</v>
      </c>
      <c r="B285" s="1056"/>
      <c r="C285" s="1056"/>
      <c r="D285" s="1057"/>
    </row>
    <row r="286" spans="1:4">
      <c r="A286" s="19"/>
      <c r="D286" s="20"/>
    </row>
    <row r="287" spans="1:4">
      <c r="A287" s="1055" t="s">
        <v>327</v>
      </c>
      <c r="B287" s="1056"/>
      <c r="C287" s="1056"/>
      <c r="D287" s="1057"/>
    </row>
    <row r="288" spans="1:4">
      <c r="A288" s="1055" t="s">
        <v>328</v>
      </c>
      <c r="B288" s="1056"/>
      <c r="C288" s="1056"/>
      <c r="D288" s="1057"/>
    </row>
    <row r="289" spans="1:4">
      <c r="A289" s="249"/>
      <c r="B289" s="254"/>
      <c r="C289" s="254"/>
      <c r="D289" s="255"/>
    </row>
    <row r="290" spans="1:4">
      <c r="A290" s="1061" t="s">
        <v>329</v>
      </c>
      <c r="B290" s="1062"/>
      <c r="C290" s="1062"/>
      <c r="D290" s="1063"/>
    </row>
    <row r="291" spans="1:4">
      <c r="A291" s="249"/>
      <c r="B291" s="254"/>
      <c r="C291" s="254"/>
      <c r="D291" s="255"/>
    </row>
    <row r="292" spans="1:4">
      <c r="A292" s="1055" t="s">
        <v>330</v>
      </c>
      <c r="B292" s="1056"/>
      <c r="C292" s="1056"/>
      <c r="D292" s="1057"/>
    </row>
    <row r="293" spans="1:4">
      <c r="A293" s="19"/>
      <c r="D293" s="20"/>
    </row>
    <row r="294" spans="1:4">
      <c r="A294" s="1052" t="s">
        <v>331</v>
      </c>
      <c r="B294" s="1053"/>
      <c r="C294" s="1053"/>
      <c r="D294" s="1054"/>
    </row>
    <row r="295" spans="1:4" ht="42.75">
      <c r="A295" s="256" t="s">
        <v>332</v>
      </c>
      <c r="B295" s="257" t="s">
        <v>333</v>
      </c>
      <c r="C295" s="257" t="s">
        <v>334</v>
      </c>
      <c r="D295" s="258" t="s">
        <v>335</v>
      </c>
    </row>
    <row r="296" spans="1:4">
      <c r="A296" s="259">
        <v>1</v>
      </c>
      <c r="B296" s="260">
        <v>2</v>
      </c>
      <c r="C296" s="260">
        <v>3</v>
      </c>
      <c r="D296" s="261">
        <v>4</v>
      </c>
    </row>
    <row r="297" spans="1:4">
      <c r="A297" s="19" t="e">
        <f>'04-22Master'!#REF!</f>
        <v>#REF!</v>
      </c>
      <c r="B297" s="16" t="s">
        <v>377</v>
      </c>
      <c r="C297" s="16" t="s">
        <v>384</v>
      </c>
      <c r="D297" s="293">
        <v>1</v>
      </c>
    </row>
    <row r="298" spans="1:4">
      <c r="A298" s="277"/>
      <c r="B298" s="16"/>
      <c r="C298" s="16"/>
      <c r="D298" s="262"/>
    </row>
    <row r="299" spans="1:4">
      <c r="A299" s="274"/>
      <c r="B299" s="16"/>
      <c r="C299" s="16"/>
      <c r="D299" s="262"/>
    </row>
    <row r="300" spans="1:4">
      <c r="A300" s="19"/>
      <c r="D300" s="20"/>
    </row>
    <row r="301" spans="1:4">
      <c r="A301" s="1052" t="s">
        <v>336</v>
      </c>
      <c r="B301" s="1053"/>
      <c r="C301" s="1053"/>
      <c r="D301" s="1054"/>
    </row>
    <row r="302" spans="1:4">
      <c r="A302" s="166"/>
      <c r="B302" s="8"/>
      <c r="C302" s="8"/>
      <c r="D302" s="167"/>
    </row>
    <row r="303" spans="1:4">
      <c r="A303" s="1058" t="s">
        <v>337</v>
      </c>
      <c r="B303" s="1059"/>
      <c r="C303" s="1073" t="e">
        <f>'04-22Master'!#REF!</f>
        <v>#REF!</v>
      </c>
      <c r="D303" s="1060"/>
    </row>
    <row r="304" spans="1:4">
      <c r="A304" s="1058" t="s">
        <v>338</v>
      </c>
      <c r="B304" s="1059"/>
      <c r="C304" s="924" t="e">
        <f>'04-22Master'!#REF!</f>
        <v>#REF!</v>
      </c>
      <c r="D304" s="1060"/>
    </row>
    <row r="305" spans="1:4">
      <c r="A305" s="1058" t="s">
        <v>339</v>
      </c>
      <c r="B305" s="1059"/>
      <c r="C305" s="924" t="s">
        <v>385</v>
      </c>
      <c r="D305" s="1060"/>
    </row>
    <row r="306" spans="1:4">
      <c r="A306" s="1058" t="s">
        <v>340</v>
      </c>
      <c r="B306" s="1059"/>
      <c r="C306" s="924" t="s">
        <v>383</v>
      </c>
      <c r="D306" s="1060"/>
    </row>
    <row r="307" spans="1:4">
      <c r="A307" s="1058" t="s">
        <v>341</v>
      </c>
      <c r="B307" s="1059"/>
      <c r="C307" s="1073" t="e">
        <f>'04-22Master'!#REF!</f>
        <v>#REF!</v>
      </c>
      <c r="D307" s="1060"/>
    </row>
    <row r="308" spans="1:4">
      <c r="A308" s="1058" t="s">
        <v>342</v>
      </c>
      <c r="B308" s="1059"/>
      <c r="C308" s="1073" t="e">
        <f>'04-22Master'!#REF!</f>
        <v>#REF!</v>
      </c>
      <c r="D308" s="1060"/>
    </row>
    <row r="309" spans="1:4">
      <c r="A309" s="1058" t="s">
        <v>343</v>
      </c>
      <c r="B309" s="1059"/>
      <c r="C309" s="1074" t="e">
        <f>'04-22Master'!#REF!</f>
        <v>#REF!</v>
      </c>
      <c r="D309" s="1060"/>
    </row>
    <row r="310" spans="1:4">
      <c r="A310" s="1058" t="s">
        <v>344</v>
      </c>
      <c r="B310" s="1059"/>
      <c r="C310" s="924"/>
      <c r="D310" s="1060"/>
    </row>
    <row r="311" spans="1:4">
      <c r="A311" s="1058"/>
      <c r="B311" s="1059"/>
      <c r="C311" s="1073" t="e">
        <f>'04-22Master'!#REF!</f>
        <v>#REF!</v>
      </c>
      <c r="D311" s="1060"/>
    </row>
    <row r="312" spans="1:4">
      <c r="A312" s="1058"/>
      <c r="B312" s="1059"/>
      <c r="C312" s="1073" t="e">
        <f>'04-22Master'!#REF!</f>
        <v>#REF!</v>
      </c>
      <c r="D312" s="1060"/>
    </row>
    <row r="313" spans="1:4">
      <c r="A313" s="1058"/>
      <c r="B313" s="1059"/>
      <c r="C313" s="1073" t="e">
        <f>'04-22Master'!#REF!</f>
        <v>#REF!</v>
      </c>
      <c r="D313" s="1060"/>
    </row>
    <row r="314" spans="1:4">
      <c r="A314" s="249" t="s">
        <v>286</v>
      </c>
      <c r="B314" s="254" t="s">
        <v>375</v>
      </c>
      <c r="C314" s="254"/>
      <c r="D314" s="255"/>
    </row>
    <row r="315" spans="1:4">
      <c r="A315" s="249" t="s">
        <v>345</v>
      </c>
      <c r="B315" s="294" t="e">
        <f>'04-22Master'!#REF!</f>
        <v>#REF!</v>
      </c>
      <c r="C315" s="263" t="s">
        <v>346</v>
      </c>
      <c r="D315" s="255"/>
    </row>
    <row r="316" spans="1:4">
      <c r="A316" s="249"/>
      <c r="B316" s="254"/>
      <c r="C316" s="254"/>
      <c r="D316" s="255"/>
    </row>
    <row r="317" spans="1:4">
      <c r="A317" s="1052" t="s">
        <v>347</v>
      </c>
      <c r="B317" s="1053"/>
      <c r="C317" s="1053"/>
      <c r="D317" s="1054"/>
    </row>
    <row r="318" spans="1:4">
      <c r="A318" s="249" t="s">
        <v>348</v>
      </c>
      <c r="B318" s="254"/>
      <c r="C318" s="254"/>
      <c r="D318" s="255"/>
    </row>
    <row r="319" spans="1:4">
      <c r="A319" s="249"/>
      <c r="B319" s="254"/>
      <c r="C319" s="254"/>
      <c r="D319" s="255"/>
    </row>
    <row r="320" spans="1:4">
      <c r="A320" s="1055" t="s">
        <v>349</v>
      </c>
      <c r="B320" s="1056"/>
      <c r="C320" s="1056" t="s">
        <v>350</v>
      </c>
      <c r="D320" s="1057"/>
    </row>
    <row r="321" spans="1:4">
      <c r="A321" s="1042">
        <v>1</v>
      </c>
      <c r="B321" s="1043"/>
      <c r="C321" s="1043">
        <v>1</v>
      </c>
      <c r="D321" s="1044"/>
    </row>
    <row r="322" spans="1:4">
      <c r="A322" s="1042">
        <v>2</v>
      </c>
      <c r="B322" s="1043"/>
      <c r="C322" s="1043">
        <v>2</v>
      </c>
      <c r="D322" s="1044"/>
    </row>
    <row r="323" spans="1:4">
      <c r="A323" s="264"/>
      <c r="C323" s="1045" t="s">
        <v>355</v>
      </c>
      <c r="D323" s="1046"/>
    </row>
    <row r="324" spans="1:4">
      <c r="A324" s="1047" t="s">
        <v>351</v>
      </c>
      <c r="B324" s="1048"/>
      <c r="C324" s="1048"/>
      <c r="D324" s="1049"/>
    </row>
    <row r="325" spans="1:4">
      <c r="A325" s="267" t="s">
        <v>352</v>
      </c>
      <c r="B325" s="268"/>
      <c r="C325" s="268"/>
      <c r="D325" s="269"/>
    </row>
    <row r="326" spans="1:4">
      <c r="A326" s="267"/>
      <c r="B326" s="268"/>
      <c r="C326" s="268"/>
      <c r="D326" s="269"/>
    </row>
    <row r="327" spans="1:4">
      <c r="A327" s="267"/>
      <c r="B327" s="268"/>
      <c r="C327" s="268" t="s">
        <v>353</v>
      </c>
      <c r="D327" s="269"/>
    </row>
    <row r="328" spans="1:4">
      <c r="A328" s="264"/>
      <c r="B328" s="265"/>
      <c r="C328" s="165" t="s">
        <v>153</v>
      </c>
      <c r="D328" s="266"/>
    </row>
    <row r="329" spans="1:4">
      <c r="A329" s="264"/>
      <c r="C329" t="s">
        <v>354</v>
      </c>
      <c r="D329" s="270"/>
    </row>
    <row r="330" spans="1:4">
      <c r="A330" s="264"/>
      <c r="C330" s="1050" t="str">
        <f>'04-22Master'!F5</f>
        <v>Burgeon IT Services Pvt.Ltd.</v>
      </c>
      <c r="D330" s="1051"/>
    </row>
    <row r="331" spans="1:4">
      <c r="A331" s="249" t="s">
        <v>286</v>
      </c>
      <c r="B331" t="str">
        <f>B314</f>
        <v>Hyderabad</v>
      </c>
      <c r="C331" s="3" t="str">
        <f>'04-22Master'!F6</f>
        <v>Siri Mansion LIGB 436 Dr.A S Rao Nagar,Hyderabad</v>
      </c>
      <c r="D331" s="20"/>
    </row>
    <row r="332" spans="1:4" ht="15.75" thickBot="1">
      <c r="A332" s="249" t="s">
        <v>345</v>
      </c>
      <c r="B332" s="286" t="e">
        <f>B315</f>
        <v>#REF!</v>
      </c>
      <c r="C332" s="3"/>
      <c r="D332" s="20"/>
    </row>
    <row r="333" spans="1:4" ht="15.75" thickBot="1">
      <c r="A333" s="275"/>
      <c r="B333" s="276" t="s">
        <v>358</v>
      </c>
      <c r="C333" s="276"/>
      <c r="D333" s="34"/>
    </row>
    <row r="334" spans="1:4">
      <c r="A334" s="249" t="s">
        <v>356</v>
      </c>
      <c r="C334" s="3"/>
      <c r="D334" s="20"/>
    </row>
    <row r="335" spans="1:4">
      <c r="A335" s="249" t="s">
        <v>345</v>
      </c>
      <c r="B335" s="286" t="e">
        <f>B332</f>
        <v>#REF!</v>
      </c>
      <c r="C335" s="3"/>
      <c r="D335" s="20"/>
    </row>
    <row r="336" spans="1:4" ht="15.75" thickBot="1">
      <c r="A336" s="278" t="s">
        <v>357</v>
      </c>
      <c r="B336" s="29"/>
      <c r="C336" s="29"/>
      <c r="D336" s="30" t="s">
        <v>144</v>
      </c>
    </row>
    <row r="340" spans="1:4" ht="15.75" thickBot="1"/>
    <row r="341" spans="1:4" ht="20.25">
      <c r="A341" s="1064" t="s">
        <v>320</v>
      </c>
      <c r="B341" s="1065"/>
      <c r="C341" s="1065"/>
      <c r="D341" s="1066"/>
    </row>
    <row r="342" spans="1:4">
      <c r="A342" s="1067" t="s">
        <v>321</v>
      </c>
      <c r="B342" s="1068"/>
      <c r="C342" s="1068"/>
      <c r="D342" s="1069"/>
    </row>
    <row r="343" spans="1:4" ht="18">
      <c r="A343" s="1070" t="s">
        <v>322</v>
      </c>
      <c r="B343" s="1071"/>
      <c r="C343" s="1071"/>
      <c r="D343" s="1072"/>
    </row>
    <row r="344" spans="1:4">
      <c r="A344" s="19" t="s">
        <v>143</v>
      </c>
      <c r="D344" s="20"/>
    </row>
    <row r="345" spans="1:4" ht="18">
      <c r="A345" s="271" t="str">
        <f>'04-22Master'!F5</f>
        <v>Burgeon IT Services Pvt.Ltd.</v>
      </c>
      <c r="B345" s="248"/>
      <c r="D345" s="20"/>
    </row>
    <row r="346" spans="1:4" ht="18">
      <c r="A346" s="271" t="str">
        <f>'04-22Master'!F6</f>
        <v>Siri Mansion LIGB 436 Dr.A S Rao Nagar,Hyderabad</v>
      </c>
      <c r="B346" s="248"/>
      <c r="D346" s="20"/>
    </row>
    <row r="347" spans="1:4" ht="18">
      <c r="A347" s="250"/>
      <c r="B347" s="7"/>
      <c r="D347" s="20"/>
    </row>
    <row r="348" spans="1:4" ht="15.75">
      <c r="A348" s="249" t="s">
        <v>323</v>
      </c>
      <c r="B348" s="272"/>
      <c r="C348" s="273" t="e">
        <f>'04-22Master'!#REF!</f>
        <v>#REF!</v>
      </c>
      <c r="D348" s="88"/>
    </row>
    <row r="349" spans="1:4">
      <c r="A349" s="1061" t="s">
        <v>324</v>
      </c>
      <c r="B349" s="1062"/>
      <c r="C349" s="1062"/>
      <c r="D349" s="1063"/>
    </row>
    <row r="350" spans="1:4">
      <c r="A350" s="19"/>
      <c r="D350" s="20"/>
    </row>
    <row r="351" spans="1:4">
      <c r="A351" s="1061" t="s">
        <v>325</v>
      </c>
      <c r="B351" s="1062"/>
      <c r="C351" s="1062"/>
      <c r="D351" s="1063"/>
    </row>
    <row r="352" spans="1:4">
      <c r="A352" s="251"/>
      <c r="B352" s="252"/>
      <c r="C352" s="252"/>
      <c r="D352" s="253"/>
    </row>
    <row r="353" spans="1:4">
      <c r="A353" s="1055" t="s">
        <v>326</v>
      </c>
      <c r="B353" s="1056"/>
      <c r="C353" s="1056"/>
      <c r="D353" s="1057"/>
    </row>
    <row r="354" spans="1:4">
      <c r="A354" s="19"/>
      <c r="D354" s="20"/>
    </row>
    <row r="355" spans="1:4">
      <c r="A355" s="1055" t="s">
        <v>327</v>
      </c>
      <c r="B355" s="1056"/>
      <c r="C355" s="1056"/>
      <c r="D355" s="1057"/>
    </row>
    <row r="356" spans="1:4">
      <c r="A356" s="1055" t="s">
        <v>328</v>
      </c>
      <c r="B356" s="1056"/>
      <c r="C356" s="1056"/>
      <c r="D356" s="1057"/>
    </row>
    <row r="357" spans="1:4">
      <c r="A357" s="249"/>
      <c r="B357" s="254"/>
      <c r="C357" s="254"/>
      <c r="D357" s="255"/>
    </row>
    <row r="358" spans="1:4">
      <c r="A358" s="1061" t="s">
        <v>329</v>
      </c>
      <c r="B358" s="1062"/>
      <c r="C358" s="1062"/>
      <c r="D358" s="1063"/>
    </row>
    <row r="359" spans="1:4">
      <c r="A359" s="249"/>
      <c r="B359" s="254"/>
      <c r="C359" s="254"/>
      <c r="D359" s="255"/>
    </row>
    <row r="360" spans="1:4">
      <c r="A360" s="1055" t="s">
        <v>330</v>
      </c>
      <c r="B360" s="1056"/>
      <c r="C360" s="1056"/>
      <c r="D360" s="1057"/>
    </row>
    <row r="361" spans="1:4">
      <c r="A361" s="19"/>
      <c r="D361" s="20"/>
    </row>
    <row r="362" spans="1:4">
      <c r="A362" s="1052" t="s">
        <v>331</v>
      </c>
      <c r="B362" s="1053"/>
      <c r="C362" s="1053"/>
      <c r="D362" s="1054"/>
    </row>
    <row r="363" spans="1:4" ht="42.75">
      <c r="A363" s="256" t="s">
        <v>332</v>
      </c>
      <c r="B363" s="257" t="s">
        <v>333</v>
      </c>
      <c r="C363" s="257" t="s">
        <v>334</v>
      </c>
      <c r="D363" s="258" t="s">
        <v>335</v>
      </c>
    </row>
    <row r="364" spans="1:4">
      <c r="A364" s="259">
        <v>1</v>
      </c>
      <c r="B364" s="260">
        <v>2</v>
      </c>
      <c r="C364" s="260">
        <v>3</v>
      </c>
      <c r="D364" s="261">
        <v>4</v>
      </c>
    </row>
    <row r="365" spans="1:4">
      <c r="A365" s="19" t="e">
        <f>'04-22Master'!#REF!</f>
        <v>#REF!</v>
      </c>
      <c r="B365" s="16" t="s">
        <v>377</v>
      </c>
      <c r="C365" s="16" t="s">
        <v>384</v>
      </c>
      <c r="D365" s="293">
        <v>1</v>
      </c>
    </row>
    <row r="366" spans="1:4">
      <c r="A366" s="277"/>
      <c r="B366" s="16"/>
      <c r="C366" s="16"/>
      <c r="D366" s="262"/>
    </row>
    <row r="367" spans="1:4">
      <c r="A367" s="274"/>
      <c r="B367" s="16"/>
      <c r="C367" s="16"/>
      <c r="D367" s="262"/>
    </row>
    <row r="368" spans="1:4">
      <c r="A368" s="19"/>
      <c r="D368" s="20"/>
    </row>
    <row r="369" spans="1:4">
      <c r="A369" s="1052" t="s">
        <v>336</v>
      </c>
      <c r="B369" s="1053"/>
      <c r="C369" s="1053"/>
      <c r="D369" s="1054"/>
    </row>
    <row r="370" spans="1:4">
      <c r="A370" s="166"/>
      <c r="B370" s="8"/>
      <c r="C370" s="8"/>
      <c r="D370" s="167"/>
    </row>
    <row r="371" spans="1:4">
      <c r="A371" s="1058" t="s">
        <v>337</v>
      </c>
      <c r="B371" s="1059"/>
      <c r="C371" s="1073" t="e">
        <f>'04-22Master'!#REF!</f>
        <v>#REF!</v>
      </c>
      <c r="D371" s="1060"/>
    </row>
    <row r="372" spans="1:4">
      <c r="A372" s="1058" t="s">
        <v>338</v>
      </c>
      <c r="B372" s="1059"/>
      <c r="C372" s="924" t="e">
        <f>'04-22Master'!#REF!</f>
        <v>#REF!</v>
      </c>
      <c r="D372" s="1060"/>
    </row>
    <row r="373" spans="1:4">
      <c r="A373" s="1058" t="s">
        <v>339</v>
      </c>
      <c r="B373" s="1059"/>
      <c r="C373" s="924" t="s">
        <v>385</v>
      </c>
      <c r="D373" s="1060"/>
    </row>
    <row r="374" spans="1:4">
      <c r="A374" s="1058" t="s">
        <v>340</v>
      </c>
      <c r="B374" s="1059"/>
      <c r="C374" s="924" t="s">
        <v>383</v>
      </c>
      <c r="D374" s="1060"/>
    </row>
    <row r="375" spans="1:4">
      <c r="A375" s="1058" t="s">
        <v>341</v>
      </c>
      <c r="B375" s="1059"/>
      <c r="C375" s="1073" t="e">
        <f>'04-22Master'!#REF!</f>
        <v>#REF!</v>
      </c>
      <c r="D375" s="1060"/>
    </row>
    <row r="376" spans="1:4">
      <c r="A376" s="1058" t="s">
        <v>342</v>
      </c>
      <c r="B376" s="1059"/>
      <c r="C376" s="1073" t="e">
        <f>'04-22Master'!#REF!</f>
        <v>#REF!</v>
      </c>
      <c r="D376" s="1060"/>
    </row>
    <row r="377" spans="1:4">
      <c r="A377" s="1058" t="s">
        <v>343</v>
      </c>
      <c r="B377" s="1059"/>
      <c r="C377" s="1074" t="e">
        <f>'04-22Master'!#REF!</f>
        <v>#REF!</v>
      </c>
      <c r="D377" s="1060"/>
    </row>
    <row r="378" spans="1:4">
      <c r="A378" s="1058" t="s">
        <v>344</v>
      </c>
      <c r="B378" s="1059"/>
      <c r="C378" s="924"/>
      <c r="D378" s="1060"/>
    </row>
    <row r="379" spans="1:4">
      <c r="A379" s="1058"/>
      <c r="B379" s="1059"/>
      <c r="C379" s="1073" t="e">
        <f>'04-22Master'!#REF!</f>
        <v>#REF!</v>
      </c>
      <c r="D379" s="1060"/>
    </row>
    <row r="380" spans="1:4">
      <c r="A380" s="1058"/>
      <c r="B380" s="1059"/>
      <c r="C380" s="1073" t="e">
        <f>'04-22Master'!#REF!</f>
        <v>#REF!</v>
      </c>
      <c r="D380" s="1060"/>
    </row>
    <row r="381" spans="1:4">
      <c r="A381" s="1058"/>
      <c r="B381" s="1059"/>
      <c r="C381" s="1073" t="e">
        <f>'04-22Master'!#REF!</f>
        <v>#REF!</v>
      </c>
      <c r="D381" s="1060"/>
    </row>
    <row r="382" spans="1:4">
      <c r="A382" s="249" t="s">
        <v>286</v>
      </c>
      <c r="B382" s="254" t="s">
        <v>375</v>
      </c>
      <c r="C382" s="254"/>
      <c r="D382" s="255"/>
    </row>
    <row r="383" spans="1:4">
      <c r="A383" s="249" t="s">
        <v>345</v>
      </c>
      <c r="B383" s="294" t="e">
        <f>'04-22Master'!#REF!</f>
        <v>#REF!</v>
      </c>
      <c r="C383" s="263" t="s">
        <v>346</v>
      </c>
      <c r="D383" s="255"/>
    </row>
    <row r="384" spans="1:4">
      <c r="A384" s="249"/>
      <c r="B384" s="254"/>
      <c r="C384" s="254"/>
      <c r="D384" s="255"/>
    </row>
    <row r="385" spans="1:4">
      <c r="A385" s="1052" t="s">
        <v>347</v>
      </c>
      <c r="B385" s="1053"/>
      <c r="C385" s="1053"/>
      <c r="D385" s="1054"/>
    </row>
    <row r="386" spans="1:4">
      <c r="A386" s="249" t="s">
        <v>348</v>
      </c>
      <c r="B386" s="254"/>
      <c r="C386" s="254"/>
      <c r="D386" s="255"/>
    </row>
    <row r="387" spans="1:4">
      <c r="A387" s="249"/>
      <c r="B387" s="254"/>
      <c r="C387" s="254"/>
      <c r="D387" s="255"/>
    </row>
    <row r="388" spans="1:4">
      <c r="A388" s="1055" t="s">
        <v>349</v>
      </c>
      <c r="B388" s="1056"/>
      <c r="C388" s="1056" t="s">
        <v>350</v>
      </c>
      <c r="D388" s="1057"/>
    </row>
    <row r="389" spans="1:4">
      <c r="A389" s="1042">
        <v>1</v>
      </c>
      <c r="B389" s="1043"/>
      <c r="C389" s="1043">
        <v>1</v>
      </c>
      <c r="D389" s="1044"/>
    </row>
    <row r="390" spans="1:4">
      <c r="A390" s="1042">
        <v>2</v>
      </c>
      <c r="B390" s="1043"/>
      <c r="C390" s="1043">
        <v>2</v>
      </c>
      <c r="D390" s="1044"/>
    </row>
    <row r="391" spans="1:4">
      <c r="A391" s="264"/>
      <c r="C391" s="1045" t="s">
        <v>355</v>
      </c>
      <c r="D391" s="1046"/>
    </row>
    <row r="392" spans="1:4">
      <c r="A392" s="1047" t="s">
        <v>351</v>
      </c>
      <c r="B392" s="1048"/>
      <c r="C392" s="1048"/>
      <c r="D392" s="1049"/>
    </row>
    <row r="393" spans="1:4">
      <c r="A393" s="267" t="s">
        <v>352</v>
      </c>
      <c r="B393" s="268"/>
      <c r="C393" s="268"/>
      <c r="D393" s="269"/>
    </row>
    <row r="394" spans="1:4">
      <c r="A394" s="267"/>
      <c r="B394" s="268"/>
      <c r="C394" s="268"/>
      <c r="D394" s="269"/>
    </row>
    <row r="395" spans="1:4">
      <c r="A395" s="267"/>
      <c r="B395" s="268"/>
      <c r="C395" s="268" t="s">
        <v>353</v>
      </c>
      <c r="D395" s="269"/>
    </row>
    <row r="396" spans="1:4">
      <c r="A396" s="264"/>
      <c r="B396" s="265"/>
      <c r="C396" s="165" t="s">
        <v>153</v>
      </c>
      <c r="D396" s="266"/>
    </row>
    <row r="397" spans="1:4">
      <c r="A397" s="264"/>
      <c r="C397" t="s">
        <v>354</v>
      </c>
      <c r="D397" s="270"/>
    </row>
    <row r="398" spans="1:4">
      <c r="A398" s="264"/>
      <c r="C398" s="1050" t="str">
        <f>'04-22Master'!F5</f>
        <v>Burgeon IT Services Pvt.Ltd.</v>
      </c>
      <c r="D398" s="1051"/>
    </row>
    <row r="399" spans="1:4">
      <c r="A399" s="249" t="s">
        <v>286</v>
      </c>
      <c r="B399" t="str">
        <f>B382</f>
        <v>Hyderabad</v>
      </c>
      <c r="C399" s="3" t="str">
        <f>'04-22Master'!F6</f>
        <v>Siri Mansion LIGB 436 Dr.A S Rao Nagar,Hyderabad</v>
      </c>
      <c r="D399" s="20"/>
    </row>
    <row r="400" spans="1:4" ht="15.75" thickBot="1">
      <c r="A400" s="249" t="s">
        <v>345</v>
      </c>
      <c r="B400" s="286" t="e">
        <f>B383</f>
        <v>#REF!</v>
      </c>
      <c r="C400" s="3"/>
      <c r="D400" s="20"/>
    </row>
    <row r="401" spans="1:4" ht="15.75" thickBot="1">
      <c r="A401" s="275"/>
      <c r="B401" s="276" t="s">
        <v>358</v>
      </c>
      <c r="C401" s="276"/>
      <c r="D401" s="34"/>
    </row>
    <row r="402" spans="1:4">
      <c r="A402" s="249" t="s">
        <v>356</v>
      </c>
      <c r="C402" s="3"/>
      <c r="D402" s="20"/>
    </row>
    <row r="403" spans="1:4">
      <c r="A403" s="249" t="s">
        <v>345</v>
      </c>
      <c r="B403" s="286" t="e">
        <f>B400</f>
        <v>#REF!</v>
      </c>
      <c r="C403" s="3"/>
      <c r="D403" s="20"/>
    </row>
    <row r="404" spans="1:4" ht="15.75" thickBot="1">
      <c r="A404" s="278" t="s">
        <v>357</v>
      </c>
      <c r="B404" s="29"/>
      <c r="C404" s="29"/>
      <c r="D404" s="30" t="s">
        <v>144</v>
      </c>
    </row>
    <row r="408" spans="1:4" ht="15.75" thickBot="1"/>
    <row r="409" spans="1:4" ht="20.25">
      <c r="A409" s="1064" t="s">
        <v>320</v>
      </c>
      <c r="B409" s="1065"/>
      <c r="C409" s="1065"/>
      <c r="D409" s="1066"/>
    </row>
    <row r="410" spans="1:4">
      <c r="A410" s="1067" t="s">
        <v>321</v>
      </c>
      <c r="B410" s="1068"/>
      <c r="C410" s="1068"/>
      <c r="D410" s="1069"/>
    </row>
    <row r="411" spans="1:4" ht="18">
      <c r="A411" s="1070" t="s">
        <v>322</v>
      </c>
      <c r="B411" s="1071"/>
      <c r="C411" s="1071"/>
      <c r="D411" s="1072"/>
    </row>
    <row r="412" spans="1:4">
      <c r="A412" s="19" t="s">
        <v>143</v>
      </c>
      <c r="D412" s="20"/>
    </row>
    <row r="413" spans="1:4" ht="18">
      <c r="A413" s="271" t="str">
        <f>'04-22Master'!F5</f>
        <v>Burgeon IT Services Pvt.Ltd.</v>
      </c>
      <c r="B413" s="248"/>
      <c r="D413" s="20"/>
    </row>
    <row r="414" spans="1:4" ht="18">
      <c r="A414" s="271" t="str">
        <f>'04-22Master'!F6</f>
        <v>Siri Mansion LIGB 436 Dr.A S Rao Nagar,Hyderabad</v>
      </c>
      <c r="B414" s="248"/>
      <c r="D414" s="20"/>
    </row>
    <row r="415" spans="1:4" ht="18">
      <c r="A415" s="250"/>
      <c r="B415" s="7"/>
      <c r="D415" s="20"/>
    </row>
    <row r="416" spans="1:4" ht="15.75">
      <c r="A416" s="249" t="s">
        <v>323</v>
      </c>
      <c r="B416" s="272"/>
      <c r="C416" s="273" t="e">
        <f>'04-22Master'!#REF!</f>
        <v>#REF!</v>
      </c>
      <c r="D416" s="88"/>
    </row>
    <row r="417" spans="1:4">
      <c r="A417" s="1061" t="s">
        <v>324</v>
      </c>
      <c r="B417" s="1062"/>
      <c r="C417" s="1062"/>
      <c r="D417" s="1063"/>
    </row>
    <row r="418" spans="1:4">
      <c r="A418" s="19"/>
      <c r="D418" s="20"/>
    </row>
    <row r="419" spans="1:4">
      <c r="A419" s="1061" t="s">
        <v>325</v>
      </c>
      <c r="B419" s="1062"/>
      <c r="C419" s="1062"/>
      <c r="D419" s="1063"/>
    </row>
    <row r="420" spans="1:4">
      <c r="A420" s="251"/>
      <c r="B420" s="252"/>
      <c r="C420" s="252"/>
      <c r="D420" s="253"/>
    </row>
    <row r="421" spans="1:4">
      <c r="A421" s="1055" t="s">
        <v>326</v>
      </c>
      <c r="B421" s="1056"/>
      <c r="C421" s="1056"/>
      <c r="D421" s="1057"/>
    </row>
    <row r="422" spans="1:4">
      <c r="A422" s="19"/>
      <c r="D422" s="20"/>
    </row>
    <row r="423" spans="1:4">
      <c r="A423" s="1055" t="s">
        <v>327</v>
      </c>
      <c r="B423" s="1056"/>
      <c r="C423" s="1056"/>
      <c r="D423" s="1057"/>
    </row>
    <row r="424" spans="1:4">
      <c r="A424" s="1055" t="s">
        <v>328</v>
      </c>
      <c r="B424" s="1056"/>
      <c r="C424" s="1056"/>
      <c r="D424" s="1057"/>
    </row>
    <row r="425" spans="1:4">
      <c r="A425" s="249"/>
      <c r="B425" s="254"/>
      <c r="C425" s="254"/>
      <c r="D425" s="255"/>
    </row>
    <row r="426" spans="1:4">
      <c r="A426" s="1061" t="s">
        <v>329</v>
      </c>
      <c r="B426" s="1062"/>
      <c r="C426" s="1062"/>
      <c r="D426" s="1063"/>
    </row>
    <row r="427" spans="1:4">
      <c r="A427" s="249"/>
      <c r="B427" s="254"/>
      <c r="C427" s="254"/>
      <c r="D427" s="255"/>
    </row>
    <row r="428" spans="1:4">
      <c r="A428" s="1055" t="s">
        <v>330</v>
      </c>
      <c r="B428" s="1056"/>
      <c r="C428" s="1056"/>
      <c r="D428" s="1057"/>
    </row>
    <row r="429" spans="1:4">
      <c r="A429" s="19"/>
      <c r="D429" s="20"/>
    </row>
    <row r="430" spans="1:4">
      <c r="A430" s="1052" t="s">
        <v>331</v>
      </c>
      <c r="B430" s="1053"/>
      <c r="C430" s="1053"/>
      <c r="D430" s="1054"/>
    </row>
    <row r="431" spans="1:4" ht="42.75">
      <c r="A431" s="256" t="s">
        <v>332</v>
      </c>
      <c r="B431" s="257" t="s">
        <v>333</v>
      </c>
      <c r="C431" s="257" t="s">
        <v>334</v>
      </c>
      <c r="D431" s="258" t="s">
        <v>335</v>
      </c>
    </row>
    <row r="432" spans="1:4">
      <c r="A432" s="259">
        <v>1</v>
      </c>
      <c r="B432" s="260">
        <v>2</v>
      </c>
      <c r="C432" s="260">
        <v>3</v>
      </c>
      <c r="D432" s="261">
        <v>4</v>
      </c>
    </row>
    <row r="433" spans="1:4">
      <c r="A433" s="19" t="e">
        <f>'04-22Master'!#REF!</f>
        <v>#REF!</v>
      </c>
      <c r="B433" s="16" t="s">
        <v>377</v>
      </c>
      <c r="C433" s="16" t="s">
        <v>384</v>
      </c>
      <c r="D433" s="293">
        <v>1</v>
      </c>
    </row>
    <row r="434" spans="1:4">
      <c r="A434" s="277"/>
      <c r="B434" s="16"/>
      <c r="C434" s="16"/>
      <c r="D434" s="262"/>
    </row>
    <row r="435" spans="1:4">
      <c r="A435" s="274"/>
      <c r="B435" s="16"/>
      <c r="C435" s="16"/>
      <c r="D435" s="262"/>
    </row>
    <row r="436" spans="1:4">
      <c r="A436" s="19"/>
      <c r="D436" s="20"/>
    </row>
    <row r="437" spans="1:4">
      <c r="A437" s="1052" t="s">
        <v>336</v>
      </c>
      <c r="B437" s="1053"/>
      <c r="C437" s="1053"/>
      <c r="D437" s="1054"/>
    </row>
    <row r="438" spans="1:4">
      <c r="A438" s="166"/>
      <c r="B438" s="8"/>
      <c r="C438" s="8"/>
      <c r="D438" s="167"/>
    </row>
    <row r="439" spans="1:4">
      <c r="A439" s="1058" t="s">
        <v>337</v>
      </c>
      <c r="B439" s="1059"/>
      <c r="C439" s="1073" t="e">
        <f>'04-22Master'!#REF!</f>
        <v>#REF!</v>
      </c>
      <c r="D439" s="1060"/>
    </row>
    <row r="440" spans="1:4">
      <c r="A440" s="1058" t="s">
        <v>338</v>
      </c>
      <c r="B440" s="1059"/>
      <c r="C440" s="924" t="e">
        <f>'04-22Master'!#REF!</f>
        <v>#REF!</v>
      </c>
      <c r="D440" s="1060"/>
    </row>
    <row r="441" spans="1:4">
      <c r="A441" s="1058" t="s">
        <v>339</v>
      </c>
      <c r="B441" s="1059"/>
      <c r="C441" s="924" t="s">
        <v>385</v>
      </c>
      <c r="D441" s="1060"/>
    </row>
    <row r="442" spans="1:4">
      <c r="A442" s="1058" t="s">
        <v>340</v>
      </c>
      <c r="B442" s="1059"/>
      <c r="C442" s="924" t="s">
        <v>383</v>
      </c>
      <c r="D442" s="1060"/>
    </row>
    <row r="443" spans="1:4">
      <c r="A443" s="1058" t="s">
        <v>341</v>
      </c>
      <c r="B443" s="1059"/>
      <c r="C443" s="1073" t="e">
        <f>'04-22Master'!#REF!</f>
        <v>#REF!</v>
      </c>
      <c r="D443" s="1060"/>
    </row>
    <row r="444" spans="1:4">
      <c r="A444" s="1058" t="s">
        <v>342</v>
      </c>
      <c r="B444" s="1059"/>
      <c r="C444" s="1073" t="e">
        <f>'04-22Master'!#REF!</f>
        <v>#REF!</v>
      </c>
      <c r="D444" s="1060"/>
    </row>
    <row r="445" spans="1:4">
      <c r="A445" s="1058" t="s">
        <v>343</v>
      </c>
      <c r="B445" s="1059"/>
      <c r="C445" s="1074" t="e">
        <f>'04-22Master'!#REF!</f>
        <v>#REF!</v>
      </c>
      <c r="D445" s="1060"/>
    </row>
    <row r="446" spans="1:4">
      <c r="A446" s="1058" t="s">
        <v>344</v>
      </c>
      <c r="B446" s="1059"/>
      <c r="C446" s="924"/>
      <c r="D446" s="1060"/>
    </row>
    <row r="447" spans="1:4">
      <c r="A447" s="1058"/>
      <c r="B447" s="1059"/>
      <c r="C447" s="1073" t="e">
        <f>'04-22Master'!#REF!</f>
        <v>#REF!</v>
      </c>
      <c r="D447" s="1060"/>
    </row>
    <row r="448" spans="1:4">
      <c r="A448" s="1058"/>
      <c r="B448" s="1059"/>
      <c r="C448" s="1073" t="e">
        <f>'04-22Master'!#REF!</f>
        <v>#REF!</v>
      </c>
      <c r="D448" s="1060"/>
    </row>
    <row r="449" spans="1:4">
      <c r="A449" s="1058"/>
      <c r="B449" s="1059"/>
      <c r="C449" s="1073" t="e">
        <f>'04-22Master'!#REF!</f>
        <v>#REF!</v>
      </c>
      <c r="D449" s="1060"/>
    </row>
    <row r="450" spans="1:4">
      <c r="A450" s="249" t="s">
        <v>286</v>
      </c>
      <c r="B450" s="254" t="s">
        <v>375</v>
      </c>
      <c r="C450" s="254"/>
      <c r="D450" s="255"/>
    </row>
    <row r="451" spans="1:4">
      <c r="A451" s="249" t="s">
        <v>345</v>
      </c>
      <c r="B451" s="294" t="e">
        <f>'04-22Master'!#REF!</f>
        <v>#REF!</v>
      </c>
      <c r="C451" s="263" t="s">
        <v>346</v>
      </c>
      <c r="D451" s="255"/>
    </row>
    <row r="452" spans="1:4">
      <c r="A452" s="249"/>
      <c r="B452" s="254"/>
      <c r="C452" s="254"/>
      <c r="D452" s="255"/>
    </row>
    <row r="453" spans="1:4">
      <c r="A453" s="1052" t="s">
        <v>347</v>
      </c>
      <c r="B453" s="1053"/>
      <c r="C453" s="1053"/>
      <c r="D453" s="1054"/>
    </row>
    <row r="454" spans="1:4">
      <c r="A454" s="249" t="s">
        <v>348</v>
      </c>
      <c r="B454" s="254"/>
      <c r="C454" s="254"/>
      <c r="D454" s="255"/>
    </row>
    <row r="455" spans="1:4">
      <c r="A455" s="249"/>
      <c r="B455" s="254"/>
      <c r="C455" s="254"/>
      <c r="D455" s="255"/>
    </row>
    <row r="456" spans="1:4">
      <c r="A456" s="1055" t="s">
        <v>349</v>
      </c>
      <c r="B456" s="1056"/>
      <c r="C456" s="1056" t="s">
        <v>350</v>
      </c>
      <c r="D456" s="1057"/>
    </row>
    <row r="457" spans="1:4">
      <c r="A457" s="1042">
        <v>1</v>
      </c>
      <c r="B457" s="1043"/>
      <c r="C457" s="1043">
        <v>1</v>
      </c>
      <c r="D457" s="1044"/>
    </row>
    <row r="458" spans="1:4">
      <c r="A458" s="1042">
        <v>2</v>
      </c>
      <c r="B458" s="1043"/>
      <c r="C458" s="1043">
        <v>2</v>
      </c>
      <c r="D458" s="1044"/>
    </row>
    <row r="459" spans="1:4">
      <c r="A459" s="264"/>
      <c r="C459" s="1045" t="s">
        <v>355</v>
      </c>
      <c r="D459" s="1046"/>
    </row>
    <row r="460" spans="1:4">
      <c r="A460" s="1047" t="s">
        <v>351</v>
      </c>
      <c r="B460" s="1048"/>
      <c r="C460" s="1048"/>
      <c r="D460" s="1049"/>
    </row>
    <row r="461" spans="1:4">
      <c r="A461" s="267" t="s">
        <v>352</v>
      </c>
      <c r="B461" s="268"/>
      <c r="C461" s="268"/>
      <c r="D461" s="269"/>
    </row>
    <row r="462" spans="1:4">
      <c r="A462" s="267"/>
      <c r="B462" s="268"/>
      <c r="C462" s="268"/>
      <c r="D462" s="269"/>
    </row>
    <row r="463" spans="1:4">
      <c r="A463" s="267"/>
      <c r="B463" s="268"/>
      <c r="C463" s="268" t="s">
        <v>353</v>
      </c>
      <c r="D463" s="269"/>
    </row>
    <row r="464" spans="1:4">
      <c r="A464" s="264"/>
      <c r="B464" s="265"/>
      <c r="C464" s="165" t="s">
        <v>153</v>
      </c>
      <c r="D464" s="266"/>
    </row>
    <row r="465" spans="1:4">
      <c r="A465" s="264"/>
      <c r="C465" t="s">
        <v>354</v>
      </c>
      <c r="D465" s="270"/>
    </row>
    <row r="466" spans="1:4">
      <c r="A466" s="264"/>
      <c r="C466" s="1050" t="str">
        <f>'04-22Master'!F5</f>
        <v>Burgeon IT Services Pvt.Ltd.</v>
      </c>
      <c r="D466" s="1051"/>
    </row>
    <row r="467" spans="1:4">
      <c r="A467" s="249" t="s">
        <v>286</v>
      </c>
      <c r="B467" t="str">
        <f>B450</f>
        <v>Hyderabad</v>
      </c>
      <c r="C467" s="3" t="str">
        <f>'04-22Master'!F6</f>
        <v>Siri Mansion LIGB 436 Dr.A S Rao Nagar,Hyderabad</v>
      </c>
      <c r="D467" s="20"/>
    </row>
    <row r="468" spans="1:4" ht="15.75" thickBot="1">
      <c r="A468" s="249" t="s">
        <v>345</v>
      </c>
      <c r="B468" s="286" t="e">
        <f>B451</f>
        <v>#REF!</v>
      </c>
      <c r="C468" s="3"/>
      <c r="D468" s="20"/>
    </row>
    <row r="469" spans="1:4" ht="15.75" thickBot="1">
      <c r="A469" s="275"/>
      <c r="B469" s="276" t="s">
        <v>358</v>
      </c>
      <c r="C469" s="276"/>
      <c r="D469" s="34"/>
    </row>
    <row r="470" spans="1:4">
      <c r="A470" s="249" t="s">
        <v>356</v>
      </c>
      <c r="C470" s="3"/>
      <c r="D470" s="20"/>
    </row>
    <row r="471" spans="1:4">
      <c r="A471" s="249" t="s">
        <v>345</v>
      </c>
      <c r="B471" s="286" t="e">
        <f>B468</f>
        <v>#REF!</v>
      </c>
      <c r="C471" s="3"/>
      <c r="D471" s="20"/>
    </row>
    <row r="472" spans="1:4" ht="15.75" thickBot="1">
      <c r="A472" s="278" t="s">
        <v>357</v>
      </c>
      <c r="B472" s="29"/>
      <c r="C472" s="29"/>
      <c r="D472" s="30" t="s">
        <v>144</v>
      </c>
    </row>
    <row r="476" spans="1:4" ht="15.75" thickBot="1"/>
    <row r="477" spans="1:4" ht="20.25">
      <c r="A477" s="1064" t="s">
        <v>320</v>
      </c>
      <c r="B477" s="1065"/>
      <c r="C477" s="1065"/>
      <c r="D477" s="1066"/>
    </row>
    <row r="478" spans="1:4">
      <c r="A478" s="1067" t="s">
        <v>321</v>
      </c>
      <c r="B478" s="1068"/>
      <c r="C478" s="1068"/>
      <c r="D478" s="1069"/>
    </row>
    <row r="479" spans="1:4" ht="18">
      <c r="A479" s="1070" t="s">
        <v>322</v>
      </c>
      <c r="B479" s="1071"/>
      <c r="C479" s="1071"/>
      <c r="D479" s="1072"/>
    </row>
    <row r="480" spans="1:4">
      <c r="A480" s="19" t="s">
        <v>143</v>
      </c>
      <c r="D480" s="20"/>
    </row>
    <row r="481" spans="1:4" ht="18">
      <c r="A481" s="271" t="str">
        <f>'04-22Master'!F5</f>
        <v>Burgeon IT Services Pvt.Ltd.</v>
      </c>
      <c r="B481" s="248"/>
      <c r="D481" s="20"/>
    </row>
    <row r="482" spans="1:4" ht="18">
      <c r="A482" s="271" t="str">
        <f>'04-22Master'!F6</f>
        <v>Siri Mansion LIGB 436 Dr.A S Rao Nagar,Hyderabad</v>
      </c>
      <c r="B482" s="248"/>
      <c r="D482" s="20"/>
    </row>
    <row r="483" spans="1:4" ht="18">
      <c r="A483" s="250"/>
      <c r="B483" s="7"/>
      <c r="D483" s="20"/>
    </row>
    <row r="484" spans="1:4" ht="15.75">
      <c r="A484" s="249" t="s">
        <v>323</v>
      </c>
      <c r="B484" s="272"/>
      <c r="C484" s="273" t="e">
        <f>'04-22Master'!#REF!</f>
        <v>#REF!</v>
      </c>
      <c r="D484" s="88"/>
    </row>
    <row r="485" spans="1:4">
      <c r="A485" s="1061" t="s">
        <v>324</v>
      </c>
      <c r="B485" s="1062"/>
      <c r="C485" s="1062"/>
      <c r="D485" s="1063"/>
    </row>
    <row r="486" spans="1:4">
      <c r="A486" s="19"/>
      <c r="D486" s="20"/>
    </row>
    <row r="487" spans="1:4">
      <c r="A487" s="1061" t="s">
        <v>325</v>
      </c>
      <c r="B487" s="1062"/>
      <c r="C487" s="1062"/>
      <c r="D487" s="1063"/>
    </row>
    <row r="488" spans="1:4">
      <c r="A488" s="251"/>
      <c r="B488" s="252"/>
      <c r="C488" s="252"/>
      <c r="D488" s="253"/>
    </row>
    <row r="489" spans="1:4">
      <c r="A489" s="1055" t="s">
        <v>326</v>
      </c>
      <c r="B489" s="1056"/>
      <c r="C489" s="1056"/>
      <c r="D489" s="1057"/>
    </row>
    <row r="490" spans="1:4">
      <c r="A490" s="19"/>
      <c r="D490" s="20"/>
    </row>
    <row r="491" spans="1:4">
      <c r="A491" s="1055" t="s">
        <v>327</v>
      </c>
      <c r="B491" s="1056"/>
      <c r="C491" s="1056"/>
      <c r="D491" s="1057"/>
    </row>
    <row r="492" spans="1:4">
      <c r="A492" s="1055" t="s">
        <v>328</v>
      </c>
      <c r="B492" s="1056"/>
      <c r="C492" s="1056"/>
      <c r="D492" s="1057"/>
    </row>
    <row r="493" spans="1:4">
      <c r="A493" s="249"/>
      <c r="B493" s="254"/>
      <c r="C493" s="254"/>
      <c r="D493" s="255"/>
    </row>
    <row r="494" spans="1:4">
      <c r="A494" s="1061" t="s">
        <v>329</v>
      </c>
      <c r="B494" s="1062"/>
      <c r="C494" s="1062"/>
      <c r="D494" s="1063"/>
    </row>
    <row r="495" spans="1:4">
      <c r="A495" s="249"/>
      <c r="B495" s="254"/>
      <c r="C495" s="254"/>
      <c r="D495" s="255"/>
    </row>
    <row r="496" spans="1:4">
      <c r="A496" s="1055" t="s">
        <v>330</v>
      </c>
      <c r="B496" s="1056"/>
      <c r="C496" s="1056"/>
      <c r="D496" s="1057"/>
    </row>
    <row r="497" spans="1:4">
      <c r="A497" s="19"/>
      <c r="D497" s="20"/>
    </row>
    <row r="498" spans="1:4">
      <c r="A498" s="1052" t="s">
        <v>331</v>
      </c>
      <c r="B498" s="1053"/>
      <c r="C498" s="1053"/>
      <c r="D498" s="1054"/>
    </row>
    <row r="499" spans="1:4" ht="42.75">
      <c r="A499" s="256" t="s">
        <v>332</v>
      </c>
      <c r="B499" s="257" t="s">
        <v>333</v>
      </c>
      <c r="C499" s="257" t="s">
        <v>334</v>
      </c>
      <c r="D499" s="258" t="s">
        <v>335</v>
      </c>
    </row>
    <row r="500" spans="1:4">
      <c r="A500" s="259">
        <v>1</v>
      </c>
      <c r="B500" s="260">
        <v>2</v>
      </c>
      <c r="C500" s="260">
        <v>3</v>
      </c>
      <c r="D500" s="261">
        <v>4</v>
      </c>
    </row>
    <row r="501" spans="1:4">
      <c r="A501" s="19" t="e">
        <f>'04-22Master'!#REF!</f>
        <v>#REF!</v>
      </c>
      <c r="B501" s="16" t="s">
        <v>377</v>
      </c>
      <c r="C501" s="16" t="s">
        <v>384</v>
      </c>
      <c r="D501" s="293">
        <v>1</v>
      </c>
    </row>
    <row r="502" spans="1:4">
      <c r="A502" s="277"/>
      <c r="B502" s="16"/>
      <c r="C502" s="16"/>
      <c r="D502" s="262"/>
    </row>
    <row r="503" spans="1:4">
      <c r="A503" s="274"/>
      <c r="B503" s="16"/>
      <c r="C503" s="16"/>
      <c r="D503" s="262"/>
    </row>
    <row r="504" spans="1:4">
      <c r="A504" s="19"/>
      <c r="D504" s="20"/>
    </row>
    <row r="505" spans="1:4">
      <c r="A505" s="1052" t="s">
        <v>336</v>
      </c>
      <c r="B505" s="1053"/>
      <c r="C505" s="1053"/>
      <c r="D505" s="1054"/>
    </row>
    <row r="506" spans="1:4">
      <c r="A506" s="166"/>
      <c r="B506" s="8"/>
      <c r="C506" s="8"/>
      <c r="D506" s="167"/>
    </row>
    <row r="507" spans="1:4">
      <c r="A507" s="1058" t="s">
        <v>337</v>
      </c>
      <c r="B507" s="1059"/>
      <c r="C507" s="1073" t="e">
        <f>'04-22Master'!#REF!</f>
        <v>#REF!</v>
      </c>
      <c r="D507" s="1060"/>
    </row>
    <row r="508" spans="1:4">
      <c r="A508" s="1058" t="s">
        <v>338</v>
      </c>
      <c r="B508" s="1059"/>
      <c r="C508" s="924" t="e">
        <f>'04-22Master'!#REF!</f>
        <v>#REF!</v>
      </c>
      <c r="D508" s="1060"/>
    </row>
    <row r="509" spans="1:4">
      <c r="A509" s="1058" t="s">
        <v>339</v>
      </c>
      <c r="B509" s="1059"/>
      <c r="C509" s="924" t="s">
        <v>385</v>
      </c>
      <c r="D509" s="1060"/>
    </row>
    <row r="510" spans="1:4">
      <c r="A510" s="1058" t="s">
        <v>340</v>
      </c>
      <c r="B510" s="1059"/>
      <c r="C510" s="924" t="s">
        <v>383</v>
      </c>
      <c r="D510" s="1060"/>
    </row>
    <row r="511" spans="1:4">
      <c r="A511" s="1058" t="s">
        <v>341</v>
      </c>
      <c r="B511" s="1059"/>
      <c r="C511" s="1073" t="e">
        <f>'04-22Master'!#REF!</f>
        <v>#REF!</v>
      </c>
      <c r="D511" s="1060"/>
    </row>
    <row r="512" spans="1:4">
      <c r="A512" s="1058" t="s">
        <v>342</v>
      </c>
      <c r="B512" s="1059"/>
      <c r="C512" s="1073" t="e">
        <f>'04-22Master'!#REF!</f>
        <v>#REF!</v>
      </c>
      <c r="D512" s="1060"/>
    </row>
    <row r="513" spans="1:4">
      <c r="A513" s="1058" t="s">
        <v>343</v>
      </c>
      <c r="B513" s="1059"/>
      <c r="C513" s="1074" t="e">
        <f>'04-22Master'!#REF!</f>
        <v>#REF!</v>
      </c>
      <c r="D513" s="1060"/>
    </row>
    <row r="514" spans="1:4">
      <c r="A514" s="1058" t="s">
        <v>344</v>
      </c>
      <c r="B514" s="1059"/>
      <c r="C514" s="924"/>
      <c r="D514" s="1060"/>
    </row>
    <row r="515" spans="1:4">
      <c r="A515" s="1058"/>
      <c r="B515" s="1059"/>
      <c r="C515" s="1073" t="e">
        <f>'04-22Master'!#REF!</f>
        <v>#REF!</v>
      </c>
      <c r="D515" s="1060"/>
    </row>
    <row r="516" spans="1:4">
      <c r="A516" s="1058"/>
      <c r="B516" s="1059"/>
      <c r="C516" s="1073" t="e">
        <f>'04-22Master'!#REF!</f>
        <v>#REF!</v>
      </c>
      <c r="D516" s="1060"/>
    </row>
    <row r="517" spans="1:4">
      <c r="A517" s="1058"/>
      <c r="B517" s="1059"/>
      <c r="C517" s="1073" t="e">
        <f>'04-22Master'!#REF!</f>
        <v>#REF!</v>
      </c>
      <c r="D517" s="1060"/>
    </row>
    <row r="518" spans="1:4">
      <c r="A518" s="249" t="s">
        <v>286</v>
      </c>
      <c r="B518" s="254" t="s">
        <v>375</v>
      </c>
      <c r="C518" s="254"/>
      <c r="D518" s="255"/>
    </row>
    <row r="519" spans="1:4">
      <c r="A519" s="249" t="s">
        <v>345</v>
      </c>
      <c r="B519" s="294" t="e">
        <f>'04-22Master'!#REF!</f>
        <v>#REF!</v>
      </c>
      <c r="C519" s="263" t="s">
        <v>346</v>
      </c>
      <c r="D519" s="255"/>
    </row>
    <row r="520" spans="1:4">
      <c r="A520" s="249"/>
      <c r="B520" s="254"/>
      <c r="C520" s="254"/>
      <c r="D520" s="255"/>
    </row>
    <row r="521" spans="1:4">
      <c r="A521" s="1052" t="s">
        <v>347</v>
      </c>
      <c r="B521" s="1053"/>
      <c r="C521" s="1053"/>
      <c r="D521" s="1054"/>
    </row>
    <row r="522" spans="1:4">
      <c r="A522" s="249" t="s">
        <v>348</v>
      </c>
      <c r="B522" s="254"/>
      <c r="C522" s="254"/>
      <c r="D522" s="255"/>
    </row>
    <row r="523" spans="1:4">
      <c r="A523" s="249"/>
      <c r="B523" s="254"/>
      <c r="C523" s="254"/>
      <c r="D523" s="255"/>
    </row>
    <row r="524" spans="1:4">
      <c r="A524" s="1055" t="s">
        <v>349</v>
      </c>
      <c r="B524" s="1056"/>
      <c r="C524" s="1056" t="s">
        <v>350</v>
      </c>
      <c r="D524" s="1057"/>
    </row>
    <row r="525" spans="1:4">
      <c r="A525" s="1042">
        <v>1</v>
      </c>
      <c r="B525" s="1043"/>
      <c r="C525" s="1043">
        <v>1</v>
      </c>
      <c r="D525" s="1044"/>
    </row>
    <row r="526" spans="1:4">
      <c r="A526" s="1042">
        <v>2</v>
      </c>
      <c r="B526" s="1043"/>
      <c r="C526" s="1043">
        <v>2</v>
      </c>
      <c r="D526" s="1044"/>
    </row>
    <row r="527" spans="1:4">
      <c r="A527" s="264"/>
      <c r="C527" s="1045" t="s">
        <v>355</v>
      </c>
      <c r="D527" s="1046"/>
    </row>
    <row r="528" spans="1:4">
      <c r="A528" s="1047" t="s">
        <v>351</v>
      </c>
      <c r="B528" s="1048"/>
      <c r="C528" s="1048"/>
      <c r="D528" s="1049"/>
    </row>
    <row r="529" spans="1:4">
      <c r="A529" s="267" t="s">
        <v>352</v>
      </c>
      <c r="B529" s="268"/>
      <c r="C529" s="268"/>
      <c r="D529" s="269"/>
    </row>
    <row r="530" spans="1:4">
      <c r="A530" s="267"/>
      <c r="B530" s="268"/>
      <c r="C530" s="268"/>
      <c r="D530" s="269"/>
    </row>
    <row r="531" spans="1:4">
      <c r="A531" s="267"/>
      <c r="B531" s="268"/>
      <c r="C531" s="268" t="s">
        <v>353</v>
      </c>
      <c r="D531" s="269"/>
    </row>
    <row r="532" spans="1:4">
      <c r="A532" s="264"/>
      <c r="B532" s="265"/>
      <c r="C532" s="165" t="s">
        <v>153</v>
      </c>
      <c r="D532" s="266"/>
    </row>
    <row r="533" spans="1:4">
      <c r="A533" s="264"/>
      <c r="C533" t="s">
        <v>354</v>
      </c>
      <c r="D533" s="270"/>
    </row>
    <row r="534" spans="1:4">
      <c r="A534" s="264"/>
      <c r="C534" s="1050" t="str">
        <f>'04-22Master'!F5</f>
        <v>Burgeon IT Services Pvt.Ltd.</v>
      </c>
      <c r="D534" s="1051"/>
    </row>
    <row r="535" spans="1:4">
      <c r="A535" s="249" t="s">
        <v>286</v>
      </c>
      <c r="B535" t="str">
        <f>B518</f>
        <v>Hyderabad</v>
      </c>
      <c r="C535" s="3" t="str">
        <f>'04-22Master'!F6</f>
        <v>Siri Mansion LIGB 436 Dr.A S Rao Nagar,Hyderabad</v>
      </c>
      <c r="D535" s="20"/>
    </row>
    <row r="536" spans="1:4" ht="15.75" thickBot="1">
      <c r="A536" s="249" t="s">
        <v>345</v>
      </c>
      <c r="B536" s="286" t="e">
        <f>B519</f>
        <v>#REF!</v>
      </c>
      <c r="C536" s="3"/>
      <c r="D536" s="20"/>
    </row>
    <row r="537" spans="1:4" ht="15.75" thickBot="1">
      <c r="A537" s="275"/>
      <c r="B537" s="276" t="s">
        <v>358</v>
      </c>
      <c r="C537" s="276"/>
      <c r="D537" s="34"/>
    </row>
    <row r="538" spans="1:4">
      <c r="A538" s="249" t="s">
        <v>356</v>
      </c>
      <c r="C538" s="3"/>
      <c r="D538" s="20"/>
    </row>
    <row r="539" spans="1:4">
      <c r="A539" s="249" t="s">
        <v>345</v>
      </c>
      <c r="B539" s="286" t="e">
        <f>B536</f>
        <v>#REF!</v>
      </c>
      <c r="C539" s="3"/>
      <c r="D539" s="20"/>
    </row>
    <row r="540" spans="1:4" ht="15.75" thickBot="1">
      <c r="A540" s="278" t="s">
        <v>357</v>
      </c>
      <c r="B540" s="29"/>
      <c r="C540" s="29"/>
      <c r="D540" s="30" t="s">
        <v>144</v>
      </c>
    </row>
    <row r="544" spans="1:4" ht="15.75" thickBot="1"/>
    <row r="545" spans="1:4" ht="20.25">
      <c r="A545" s="1064" t="s">
        <v>320</v>
      </c>
      <c r="B545" s="1065"/>
      <c r="C545" s="1065"/>
      <c r="D545" s="1066"/>
    </row>
    <row r="546" spans="1:4">
      <c r="A546" s="1067" t="s">
        <v>321</v>
      </c>
      <c r="B546" s="1068"/>
      <c r="C546" s="1068"/>
      <c r="D546" s="1069"/>
    </row>
    <row r="547" spans="1:4" ht="18">
      <c r="A547" s="1070" t="s">
        <v>322</v>
      </c>
      <c r="B547" s="1071"/>
      <c r="C547" s="1071"/>
      <c r="D547" s="1072"/>
    </row>
    <row r="548" spans="1:4">
      <c r="A548" s="19" t="s">
        <v>143</v>
      </c>
      <c r="D548" s="20"/>
    </row>
    <row r="549" spans="1:4" ht="18">
      <c r="A549" s="271" t="str">
        <f>'04-22Master'!F5</f>
        <v>Burgeon IT Services Pvt.Ltd.</v>
      </c>
      <c r="B549" s="248"/>
      <c r="D549" s="20"/>
    </row>
    <row r="550" spans="1:4" ht="18">
      <c r="A550" s="271" t="str">
        <f>'04-22Master'!F6</f>
        <v>Siri Mansion LIGB 436 Dr.A S Rao Nagar,Hyderabad</v>
      </c>
      <c r="B550" s="248"/>
      <c r="D550" s="20"/>
    </row>
    <row r="551" spans="1:4" ht="18">
      <c r="A551" s="250"/>
      <c r="B551" s="7"/>
      <c r="D551" s="20"/>
    </row>
    <row r="552" spans="1:4" ht="15.75">
      <c r="A552" s="249" t="s">
        <v>323</v>
      </c>
      <c r="B552" s="272"/>
      <c r="C552" s="273" t="e">
        <f>'04-22Master'!#REF!</f>
        <v>#REF!</v>
      </c>
      <c r="D552" s="88"/>
    </row>
    <row r="553" spans="1:4">
      <c r="A553" s="1061" t="s">
        <v>324</v>
      </c>
      <c r="B553" s="1062"/>
      <c r="C553" s="1062"/>
      <c r="D553" s="1063"/>
    </row>
    <row r="554" spans="1:4">
      <c r="A554" s="19"/>
      <c r="D554" s="20"/>
    </row>
    <row r="555" spans="1:4">
      <c r="A555" s="1061" t="s">
        <v>325</v>
      </c>
      <c r="B555" s="1062"/>
      <c r="C555" s="1062"/>
      <c r="D555" s="1063"/>
    </row>
    <row r="556" spans="1:4">
      <c r="A556" s="251"/>
      <c r="B556" s="252"/>
      <c r="C556" s="252"/>
      <c r="D556" s="253"/>
    </row>
    <row r="557" spans="1:4">
      <c r="A557" s="1055" t="s">
        <v>326</v>
      </c>
      <c r="B557" s="1056"/>
      <c r="C557" s="1056"/>
      <c r="D557" s="1057"/>
    </row>
    <row r="558" spans="1:4">
      <c r="A558" s="19"/>
      <c r="D558" s="20"/>
    </row>
    <row r="559" spans="1:4">
      <c r="A559" s="1055" t="s">
        <v>327</v>
      </c>
      <c r="B559" s="1056"/>
      <c r="C559" s="1056"/>
      <c r="D559" s="1057"/>
    </row>
    <row r="560" spans="1:4">
      <c r="A560" s="1055" t="s">
        <v>328</v>
      </c>
      <c r="B560" s="1056"/>
      <c r="C560" s="1056"/>
      <c r="D560" s="1057"/>
    </row>
    <row r="561" spans="1:4">
      <c r="A561" s="249"/>
      <c r="B561" s="254"/>
      <c r="C561" s="254"/>
      <c r="D561" s="255"/>
    </row>
    <row r="562" spans="1:4">
      <c r="A562" s="1061" t="s">
        <v>329</v>
      </c>
      <c r="B562" s="1062"/>
      <c r="C562" s="1062"/>
      <c r="D562" s="1063"/>
    </row>
    <row r="563" spans="1:4">
      <c r="A563" s="249"/>
      <c r="B563" s="254"/>
      <c r="C563" s="254"/>
      <c r="D563" s="255"/>
    </row>
    <row r="564" spans="1:4">
      <c r="A564" s="1055" t="s">
        <v>330</v>
      </c>
      <c r="B564" s="1056"/>
      <c r="C564" s="1056"/>
      <c r="D564" s="1057"/>
    </row>
    <row r="565" spans="1:4">
      <c r="A565" s="19"/>
      <c r="D565" s="20"/>
    </row>
    <row r="566" spans="1:4">
      <c r="A566" s="1052" t="s">
        <v>331</v>
      </c>
      <c r="B566" s="1053"/>
      <c r="C566" s="1053"/>
      <c r="D566" s="1054"/>
    </row>
    <row r="567" spans="1:4" ht="42.75">
      <c r="A567" s="256" t="s">
        <v>332</v>
      </c>
      <c r="B567" s="257" t="s">
        <v>333</v>
      </c>
      <c r="C567" s="257" t="s">
        <v>334</v>
      </c>
      <c r="D567" s="258" t="s">
        <v>335</v>
      </c>
    </row>
    <row r="568" spans="1:4">
      <c r="A568" s="259">
        <v>1</v>
      </c>
      <c r="B568" s="260">
        <v>2</v>
      </c>
      <c r="C568" s="260">
        <v>3</v>
      </c>
      <c r="D568" s="261">
        <v>4</v>
      </c>
    </row>
    <row r="569" spans="1:4">
      <c r="A569" s="19" t="e">
        <f>'04-22Master'!#REF!</f>
        <v>#REF!</v>
      </c>
      <c r="B569" s="16" t="s">
        <v>377</v>
      </c>
      <c r="C569" s="16" t="s">
        <v>384</v>
      </c>
      <c r="D569" s="293">
        <v>1</v>
      </c>
    </row>
    <row r="570" spans="1:4">
      <c r="A570" s="277"/>
      <c r="B570" s="16"/>
      <c r="C570" s="16"/>
      <c r="D570" s="262"/>
    </row>
    <row r="571" spans="1:4">
      <c r="A571" s="274"/>
      <c r="B571" s="16"/>
      <c r="C571" s="16"/>
      <c r="D571" s="262"/>
    </row>
    <row r="572" spans="1:4">
      <c r="A572" s="19"/>
      <c r="D572" s="20"/>
    </row>
    <row r="573" spans="1:4">
      <c r="A573" s="1052" t="s">
        <v>336</v>
      </c>
      <c r="B573" s="1053"/>
      <c r="C573" s="1053"/>
      <c r="D573" s="1054"/>
    </row>
    <row r="574" spans="1:4">
      <c r="A574" s="166"/>
      <c r="B574" s="8"/>
      <c r="C574" s="8"/>
      <c r="D574" s="167"/>
    </row>
    <row r="575" spans="1:4">
      <c r="A575" s="1058" t="s">
        <v>337</v>
      </c>
      <c r="B575" s="1059"/>
      <c r="C575" s="1073" t="e">
        <f>'04-22Master'!#REF!</f>
        <v>#REF!</v>
      </c>
      <c r="D575" s="1060"/>
    </row>
    <row r="576" spans="1:4">
      <c r="A576" s="1058" t="s">
        <v>338</v>
      </c>
      <c r="B576" s="1059"/>
      <c r="C576" s="924" t="e">
        <f>'04-22Master'!#REF!</f>
        <v>#REF!</v>
      </c>
      <c r="D576" s="1060"/>
    </row>
    <row r="577" spans="1:4">
      <c r="A577" s="1058" t="s">
        <v>339</v>
      </c>
      <c r="B577" s="1059"/>
      <c r="C577" s="924" t="s">
        <v>385</v>
      </c>
      <c r="D577" s="1060"/>
    </row>
    <row r="578" spans="1:4">
      <c r="A578" s="1058" t="s">
        <v>340</v>
      </c>
      <c r="B578" s="1059"/>
      <c r="C578" s="924" t="s">
        <v>383</v>
      </c>
      <c r="D578" s="1060"/>
    </row>
    <row r="579" spans="1:4">
      <c r="A579" s="1058" t="s">
        <v>341</v>
      </c>
      <c r="B579" s="1059"/>
      <c r="C579" s="1073" t="e">
        <f>'04-22Master'!#REF!</f>
        <v>#REF!</v>
      </c>
      <c r="D579" s="1060"/>
    </row>
    <row r="580" spans="1:4">
      <c r="A580" s="1058" t="s">
        <v>342</v>
      </c>
      <c r="B580" s="1059"/>
      <c r="C580" s="1073" t="e">
        <f>'04-22Master'!#REF!</f>
        <v>#REF!</v>
      </c>
      <c r="D580" s="1060"/>
    </row>
    <row r="581" spans="1:4">
      <c r="A581" s="1058" t="s">
        <v>343</v>
      </c>
      <c r="B581" s="1059"/>
      <c r="C581" s="1074" t="e">
        <f>'04-22Master'!#REF!</f>
        <v>#REF!</v>
      </c>
      <c r="D581" s="1060"/>
    </row>
    <row r="582" spans="1:4">
      <c r="A582" s="1058" t="s">
        <v>344</v>
      </c>
      <c r="B582" s="1059"/>
      <c r="C582" s="924"/>
      <c r="D582" s="1060"/>
    </row>
    <row r="583" spans="1:4">
      <c r="A583" s="1058"/>
      <c r="B583" s="1059"/>
      <c r="C583" s="1073" t="e">
        <f>'04-22Master'!#REF!</f>
        <v>#REF!</v>
      </c>
      <c r="D583" s="1060"/>
    </row>
    <row r="584" spans="1:4">
      <c r="A584" s="1058"/>
      <c r="B584" s="1059"/>
      <c r="C584" s="1073" t="e">
        <f>'04-22Master'!#REF!</f>
        <v>#REF!</v>
      </c>
      <c r="D584" s="1060"/>
    </row>
    <row r="585" spans="1:4">
      <c r="A585" s="1058"/>
      <c r="B585" s="1059"/>
      <c r="C585" s="1073" t="e">
        <f>'04-22Master'!#REF!</f>
        <v>#REF!</v>
      </c>
      <c r="D585" s="1060"/>
    </row>
    <row r="586" spans="1:4">
      <c r="A586" s="249" t="s">
        <v>286</v>
      </c>
      <c r="B586" s="254" t="s">
        <v>375</v>
      </c>
      <c r="C586" s="254"/>
      <c r="D586" s="255"/>
    </row>
    <row r="587" spans="1:4">
      <c r="A587" s="249" t="s">
        <v>345</v>
      </c>
      <c r="B587" s="294" t="e">
        <f>'04-22Master'!#REF!</f>
        <v>#REF!</v>
      </c>
      <c r="C587" s="263" t="s">
        <v>346</v>
      </c>
      <c r="D587" s="255"/>
    </row>
    <row r="588" spans="1:4">
      <c r="A588" s="249"/>
      <c r="B588" s="254"/>
      <c r="C588" s="254"/>
      <c r="D588" s="255"/>
    </row>
    <row r="589" spans="1:4">
      <c r="A589" s="1052" t="s">
        <v>347</v>
      </c>
      <c r="B589" s="1053"/>
      <c r="C589" s="1053"/>
      <c r="D589" s="1054"/>
    </row>
    <row r="590" spans="1:4">
      <c r="A590" s="249" t="s">
        <v>348</v>
      </c>
      <c r="B590" s="254"/>
      <c r="C590" s="254"/>
      <c r="D590" s="255"/>
    </row>
    <row r="591" spans="1:4">
      <c r="A591" s="249"/>
      <c r="B591" s="254"/>
      <c r="C591" s="254"/>
      <c r="D591" s="255"/>
    </row>
    <row r="592" spans="1:4">
      <c r="A592" s="1055" t="s">
        <v>349</v>
      </c>
      <c r="B592" s="1056"/>
      <c r="C592" s="1056" t="s">
        <v>350</v>
      </c>
      <c r="D592" s="1057"/>
    </row>
    <row r="593" spans="1:4">
      <c r="A593" s="1042">
        <v>1</v>
      </c>
      <c r="B593" s="1043"/>
      <c r="C593" s="1043">
        <v>1</v>
      </c>
      <c r="D593" s="1044"/>
    </row>
    <row r="594" spans="1:4">
      <c r="A594" s="1042">
        <v>2</v>
      </c>
      <c r="B594" s="1043"/>
      <c r="C594" s="1043">
        <v>2</v>
      </c>
      <c r="D594" s="1044"/>
    </row>
    <row r="595" spans="1:4">
      <c r="A595" s="264"/>
      <c r="C595" s="1045" t="s">
        <v>355</v>
      </c>
      <c r="D595" s="1046"/>
    </row>
    <row r="596" spans="1:4">
      <c r="A596" s="1047" t="s">
        <v>351</v>
      </c>
      <c r="B596" s="1048"/>
      <c r="C596" s="1048"/>
      <c r="D596" s="1049"/>
    </row>
    <row r="597" spans="1:4">
      <c r="A597" s="267" t="s">
        <v>352</v>
      </c>
      <c r="B597" s="268"/>
      <c r="C597" s="268"/>
      <c r="D597" s="269"/>
    </row>
    <row r="598" spans="1:4">
      <c r="A598" s="267"/>
      <c r="B598" s="268"/>
      <c r="C598" s="268"/>
      <c r="D598" s="269"/>
    </row>
    <row r="599" spans="1:4">
      <c r="A599" s="267"/>
      <c r="B599" s="268"/>
      <c r="C599" s="268" t="s">
        <v>353</v>
      </c>
      <c r="D599" s="269"/>
    </row>
    <row r="600" spans="1:4">
      <c r="A600" s="264"/>
      <c r="B600" s="265"/>
      <c r="C600" s="165" t="s">
        <v>153</v>
      </c>
      <c r="D600" s="266"/>
    </row>
    <row r="601" spans="1:4">
      <c r="A601" s="264"/>
      <c r="C601" t="s">
        <v>354</v>
      </c>
      <c r="D601" s="270"/>
    </row>
    <row r="602" spans="1:4">
      <c r="A602" s="264"/>
      <c r="C602" s="1050">
        <f>'04-22Master'!F502</f>
        <v>0</v>
      </c>
      <c r="D602" s="1051"/>
    </row>
    <row r="603" spans="1:4">
      <c r="A603" s="249" t="s">
        <v>286</v>
      </c>
      <c r="B603" t="str">
        <f>B586</f>
        <v>Hyderabad</v>
      </c>
      <c r="C603" s="3">
        <f>'04-22Master'!F503</f>
        <v>0</v>
      </c>
      <c r="D603" s="20"/>
    </row>
    <row r="604" spans="1:4" ht="15.75" thickBot="1">
      <c r="A604" s="249" t="s">
        <v>345</v>
      </c>
      <c r="B604" s="286" t="e">
        <f>B587</f>
        <v>#REF!</v>
      </c>
      <c r="C604" s="3"/>
      <c r="D604" s="20"/>
    </row>
    <row r="605" spans="1:4" ht="15.75" thickBot="1">
      <c r="A605" s="275"/>
      <c r="B605" s="276" t="s">
        <v>358</v>
      </c>
      <c r="C605" s="276"/>
      <c r="D605" s="34"/>
    </row>
    <row r="606" spans="1:4">
      <c r="A606" s="249" t="s">
        <v>356</v>
      </c>
      <c r="C606" s="3"/>
      <c r="D606" s="20"/>
    </row>
    <row r="607" spans="1:4">
      <c r="A607" s="249" t="s">
        <v>345</v>
      </c>
      <c r="B607" s="286" t="e">
        <f>B604</f>
        <v>#REF!</v>
      </c>
      <c r="C607" s="3"/>
      <c r="D607" s="20"/>
    </row>
    <row r="608" spans="1:4" ht="15.75" thickBot="1">
      <c r="A608" s="278" t="s">
        <v>357</v>
      </c>
      <c r="B608" s="29"/>
      <c r="C608" s="29"/>
      <c r="D608" s="30" t="s">
        <v>144</v>
      </c>
    </row>
    <row r="612" spans="1:4" ht="15.75" thickBot="1"/>
    <row r="613" spans="1:4" ht="20.25">
      <c r="A613" s="1064" t="s">
        <v>320</v>
      </c>
      <c r="B613" s="1065"/>
      <c r="C613" s="1065"/>
      <c r="D613" s="1066"/>
    </row>
    <row r="614" spans="1:4">
      <c r="A614" s="1067" t="s">
        <v>321</v>
      </c>
      <c r="B614" s="1068"/>
      <c r="C614" s="1068"/>
      <c r="D614" s="1069"/>
    </row>
    <row r="615" spans="1:4" ht="18">
      <c r="A615" s="1070" t="s">
        <v>322</v>
      </c>
      <c r="B615" s="1071"/>
      <c r="C615" s="1071"/>
      <c r="D615" s="1072"/>
    </row>
    <row r="616" spans="1:4">
      <c r="A616" s="19" t="s">
        <v>143</v>
      </c>
      <c r="D616" s="20"/>
    </row>
    <row r="617" spans="1:4" ht="18">
      <c r="A617" s="271">
        <f>'04-22Master'!F570</f>
        <v>0</v>
      </c>
      <c r="B617" s="248"/>
      <c r="D617" s="20"/>
    </row>
    <row r="618" spans="1:4" ht="18">
      <c r="A618" s="271">
        <f>'04-22Master'!F571</f>
        <v>0</v>
      </c>
      <c r="B618" s="248"/>
      <c r="D618" s="20"/>
    </row>
    <row r="619" spans="1:4" ht="18">
      <c r="A619" s="250"/>
      <c r="B619" s="7"/>
      <c r="D619" s="20"/>
    </row>
    <row r="620" spans="1:4" ht="15.75">
      <c r="A620" s="249" t="s">
        <v>323</v>
      </c>
      <c r="B620" s="272"/>
      <c r="C620" s="273">
        <f>'04-22Master'!B580</f>
        <v>0</v>
      </c>
      <c r="D620" s="88"/>
    </row>
    <row r="621" spans="1:4">
      <c r="A621" s="1061" t="s">
        <v>324</v>
      </c>
      <c r="B621" s="1062"/>
      <c r="C621" s="1062"/>
      <c r="D621" s="1063"/>
    </row>
    <row r="622" spans="1:4">
      <c r="A622" s="19"/>
      <c r="D622" s="20"/>
    </row>
    <row r="623" spans="1:4">
      <c r="A623" s="1061" t="s">
        <v>325</v>
      </c>
      <c r="B623" s="1062"/>
      <c r="C623" s="1062"/>
      <c r="D623" s="1063"/>
    </row>
    <row r="624" spans="1:4">
      <c r="A624" s="251"/>
      <c r="B624" s="252"/>
      <c r="C624" s="252"/>
      <c r="D624" s="253"/>
    </row>
    <row r="625" spans="1:4">
      <c r="A625" s="1055" t="s">
        <v>326</v>
      </c>
      <c r="B625" s="1056"/>
      <c r="C625" s="1056"/>
      <c r="D625" s="1057"/>
    </row>
    <row r="626" spans="1:4">
      <c r="A626" s="19"/>
      <c r="D626" s="20"/>
    </row>
    <row r="627" spans="1:4">
      <c r="A627" s="1055" t="s">
        <v>327</v>
      </c>
      <c r="B627" s="1056"/>
      <c r="C627" s="1056"/>
      <c r="D627" s="1057"/>
    </row>
    <row r="628" spans="1:4">
      <c r="A628" s="1055" t="s">
        <v>328</v>
      </c>
      <c r="B628" s="1056"/>
      <c r="C628" s="1056"/>
      <c r="D628" s="1057"/>
    </row>
    <row r="629" spans="1:4">
      <c r="A629" s="249"/>
      <c r="B629" s="254"/>
      <c r="C629" s="254"/>
      <c r="D629" s="255"/>
    </row>
    <row r="630" spans="1:4">
      <c r="A630" s="1061" t="s">
        <v>329</v>
      </c>
      <c r="B630" s="1062"/>
      <c r="C630" s="1062"/>
      <c r="D630" s="1063"/>
    </row>
    <row r="631" spans="1:4">
      <c r="A631" s="249"/>
      <c r="B631" s="254"/>
      <c r="C631" s="254"/>
      <c r="D631" s="255"/>
    </row>
    <row r="632" spans="1:4">
      <c r="A632" s="1055" t="s">
        <v>330</v>
      </c>
      <c r="B632" s="1056"/>
      <c r="C632" s="1056"/>
      <c r="D632" s="1057"/>
    </row>
    <row r="633" spans="1:4">
      <c r="A633" s="19"/>
      <c r="D633" s="20"/>
    </row>
    <row r="634" spans="1:4">
      <c r="A634" s="1052" t="s">
        <v>331</v>
      </c>
      <c r="B634" s="1053"/>
      <c r="C634" s="1053"/>
      <c r="D634" s="1054"/>
    </row>
    <row r="635" spans="1:4" ht="42.75">
      <c r="A635" s="256" t="s">
        <v>332</v>
      </c>
      <c r="B635" s="257" t="s">
        <v>333</v>
      </c>
      <c r="C635" s="257" t="s">
        <v>334</v>
      </c>
      <c r="D635" s="258" t="s">
        <v>335</v>
      </c>
    </row>
    <row r="636" spans="1:4">
      <c r="A636" s="259">
        <v>1</v>
      </c>
      <c r="B636" s="260">
        <v>2</v>
      </c>
      <c r="C636" s="260">
        <v>3</v>
      </c>
      <c r="D636" s="261">
        <v>4</v>
      </c>
    </row>
    <row r="637" spans="1:4">
      <c r="A637" s="19"/>
      <c r="B637" s="16" t="s">
        <v>377</v>
      </c>
      <c r="C637" s="16" t="s">
        <v>384</v>
      </c>
      <c r="D637" s="293">
        <v>1</v>
      </c>
    </row>
    <row r="638" spans="1:4">
      <c r="A638" s="277"/>
      <c r="B638" s="16"/>
      <c r="C638" s="16"/>
      <c r="D638" s="262"/>
    </row>
    <row r="639" spans="1:4">
      <c r="A639" s="274"/>
      <c r="B639" s="16"/>
      <c r="C639" s="16"/>
      <c r="D639" s="262"/>
    </row>
    <row r="640" spans="1:4">
      <c r="A640" s="19"/>
      <c r="D640" s="20"/>
    </row>
    <row r="641" spans="1:4">
      <c r="A641" s="1052" t="s">
        <v>336</v>
      </c>
      <c r="B641" s="1053"/>
      <c r="C641" s="1053"/>
      <c r="D641" s="1054"/>
    </row>
    <row r="642" spans="1:4">
      <c r="A642" s="166"/>
      <c r="B642" s="8"/>
      <c r="C642" s="8"/>
      <c r="D642" s="167"/>
    </row>
    <row r="643" spans="1:4">
      <c r="A643" s="1058" t="s">
        <v>337</v>
      </c>
      <c r="B643" s="1059"/>
      <c r="C643" s="924"/>
      <c r="D643" s="1060"/>
    </row>
    <row r="644" spans="1:4">
      <c r="A644" s="1058" t="s">
        <v>338</v>
      </c>
      <c r="B644" s="1059"/>
      <c r="C644" s="924"/>
      <c r="D644" s="1060"/>
    </row>
    <row r="645" spans="1:4">
      <c r="A645" s="1058" t="s">
        <v>339</v>
      </c>
      <c r="B645" s="1059"/>
      <c r="C645" s="924"/>
      <c r="D645" s="1060"/>
    </row>
    <row r="646" spans="1:4">
      <c r="A646" s="1058" t="s">
        <v>340</v>
      </c>
      <c r="B646" s="1059"/>
      <c r="C646" s="924"/>
      <c r="D646" s="1060"/>
    </row>
    <row r="647" spans="1:4">
      <c r="A647" s="1058" t="s">
        <v>341</v>
      </c>
      <c r="B647" s="1059"/>
      <c r="C647" s="924"/>
      <c r="D647" s="1060"/>
    </row>
    <row r="648" spans="1:4">
      <c r="A648" s="1058" t="s">
        <v>342</v>
      </c>
      <c r="B648" s="1059"/>
      <c r="C648" s="924"/>
      <c r="D648" s="1060"/>
    </row>
    <row r="649" spans="1:4">
      <c r="A649" s="1058" t="s">
        <v>343</v>
      </c>
      <c r="B649" s="1059"/>
      <c r="C649" s="924"/>
      <c r="D649" s="1060"/>
    </row>
    <row r="650" spans="1:4">
      <c r="A650" s="1058" t="s">
        <v>344</v>
      </c>
      <c r="B650" s="1059"/>
      <c r="C650" s="924"/>
      <c r="D650" s="1060"/>
    </row>
    <row r="651" spans="1:4">
      <c r="A651" s="1058"/>
      <c r="B651" s="1059"/>
      <c r="C651" s="924"/>
      <c r="D651" s="1060"/>
    </row>
    <row r="652" spans="1:4">
      <c r="A652" s="1058"/>
      <c r="B652" s="1059"/>
      <c r="C652" s="924"/>
      <c r="D652" s="1060"/>
    </row>
    <row r="653" spans="1:4">
      <c r="A653" s="1058"/>
      <c r="B653" s="1059"/>
      <c r="C653" s="924"/>
      <c r="D653" s="1060"/>
    </row>
    <row r="654" spans="1:4">
      <c r="A654" s="249" t="s">
        <v>286</v>
      </c>
      <c r="B654" s="254"/>
      <c r="C654" s="254"/>
      <c r="D654" s="255"/>
    </row>
    <row r="655" spans="1:4">
      <c r="A655" s="249" t="s">
        <v>345</v>
      </c>
      <c r="B655" s="254"/>
      <c r="C655" s="263" t="s">
        <v>346</v>
      </c>
      <c r="D655" s="255"/>
    </row>
    <row r="656" spans="1:4">
      <c r="A656" s="249"/>
      <c r="B656" s="254"/>
      <c r="C656" s="254"/>
      <c r="D656" s="255"/>
    </row>
    <row r="657" spans="1:4">
      <c r="A657" s="1052" t="s">
        <v>347</v>
      </c>
      <c r="B657" s="1053"/>
      <c r="C657" s="1053"/>
      <c r="D657" s="1054"/>
    </row>
    <row r="658" spans="1:4">
      <c r="A658" s="249" t="s">
        <v>348</v>
      </c>
      <c r="B658" s="254"/>
      <c r="C658" s="254"/>
      <c r="D658" s="255"/>
    </row>
    <row r="659" spans="1:4">
      <c r="A659" s="249"/>
      <c r="B659" s="254"/>
      <c r="C659" s="254"/>
      <c r="D659" s="255"/>
    </row>
    <row r="660" spans="1:4">
      <c r="A660" s="1055" t="s">
        <v>349</v>
      </c>
      <c r="B660" s="1056"/>
      <c r="C660" s="1056" t="s">
        <v>350</v>
      </c>
      <c r="D660" s="1057"/>
    </row>
    <row r="661" spans="1:4">
      <c r="A661" s="1042">
        <v>1</v>
      </c>
      <c r="B661" s="1043"/>
      <c r="C661" s="1043">
        <v>1</v>
      </c>
      <c r="D661" s="1044"/>
    </row>
    <row r="662" spans="1:4">
      <c r="A662" s="1042">
        <v>2</v>
      </c>
      <c r="B662" s="1043"/>
      <c r="C662" s="1043">
        <v>2</v>
      </c>
      <c r="D662" s="1044"/>
    </row>
    <row r="663" spans="1:4">
      <c r="A663" s="264"/>
      <c r="C663" s="1045" t="s">
        <v>355</v>
      </c>
      <c r="D663" s="1046"/>
    </row>
    <row r="664" spans="1:4">
      <c r="A664" s="1047" t="s">
        <v>351</v>
      </c>
      <c r="B664" s="1048"/>
      <c r="C664" s="1048"/>
      <c r="D664" s="1049"/>
    </row>
    <row r="665" spans="1:4">
      <c r="A665" s="267" t="s">
        <v>352</v>
      </c>
      <c r="B665" s="268"/>
      <c r="C665" s="268"/>
      <c r="D665" s="269"/>
    </row>
    <row r="666" spans="1:4">
      <c r="A666" s="267"/>
      <c r="B666" s="268"/>
      <c r="C666" s="268"/>
      <c r="D666" s="269"/>
    </row>
    <row r="667" spans="1:4">
      <c r="A667" s="267"/>
      <c r="B667" s="268"/>
      <c r="C667" s="268" t="s">
        <v>353</v>
      </c>
      <c r="D667" s="269"/>
    </row>
    <row r="668" spans="1:4">
      <c r="A668" s="264"/>
      <c r="B668" s="265"/>
      <c r="C668" s="165" t="s">
        <v>153</v>
      </c>
      <c r="D668" s="266"/>
    </row>
    <row r="669" spans="1:4">
      <c r="A669" s="264"/>
      <c r="C669" t="s">
        <v>354</v>
      </c>
      <c r="D669" s="270"/>
    </row>
    <row r="670" spans="1:4">
      <c r="A670" s="264"/>
      <c r="C670" s="1050">
        <f>'04-22Master'!F570</f>
        <v>0</v>
      </c>
      <c r="D670" s="1051"/>
    </row>
    <row r="671" spans="1:4">
      <c r="A671" s="249" t="s">
        <v>286</v>
      </c>
      <c r="C671" s="3">
        <f>'04-22Master'!F571</f>
        <v>0</v>
      </c>
      <c r="D671" s="20"/>
    </row>
    <row r="672" spans="1:4" ht="15.75" thickBot="1">
      <c r="A672" s="249" t="s">
        <v>345</v>
      </c>
      <c r="C672" s="3"/>
      <c r="D672" s="20"/>
    </row>
    <row r="673" spans="1:4" ht="15.75" thickBot="1">
      <c r="A673" s="275"/>
      <c r="B673" s="276" t="s">
        <v>358</v>
      </c>
      <c r="C673" s="276"/>
      <c r="D673" s="34"/>
    </row>
    <row r="674" spans="1:4">
      <c r="A674" s="249" t="s">
        <v>356</v>
      </c>
      <c r="C674" s="3"/>
      <c r="D674" s="20"/>
    </row>
    <row r="675" spans="1:4">
      <c r="A675" s="249" t="s">
        <v>345</v>
      </c>
      <c r="C675" s="3"/>
      <c r="D675" s="20"/>
    </row>
    <row r="676" spans="1:4" ht="15.75" thickBot="1">
      <c r="A676" s="278" t="s">
        <v>357</v>
      </c>
      <c r="B676" s="29"/>
      <c r="C676" s="29"/>
      <c r="D676" s="30" t="s">
        <v>144</v>
      </c>
    </row>
    <row r="680" spans="1:4" ht="15.75" thickBot="1"/>
    <row r="681" spans="1:4" ht="20.25">
      <c r="A681" s="1064" t="s">
        <v>320</v>
      </c>
      <c r="B681" s="1065"/>
      <c r="C681" s="1065"/>
      <c r="D681" s="1066"/>
    </row>
    <row r="682" spans="1:4">
      <c r="A682" s="1067" t="s">
        <v>321</v>
      </c>
      <c r="B682" s="1068"/>
      <c r="C682" s="1068"/>
      <c r="D682" s="1069"/>
    </row>
    <row r="683" spans="1:4" ht="18">
      <c r="A683" s="1070" t="s">
        <v>322</v>
      </c>
      <c r="B683" s="1071"/>
      <c r="C683" s="1071"/>
      <c r="D683" s="1072"/>
    </row>
    <row r="684" spans="1:4">
      <c r="A684" s="19" t="s">
        <v>143</v>
      </c>
      <c r="D684" s="20"/>
    </row>
    <row r="685" spans="1:4" ht="18">
      <c r="A685" s="271">
        <f>'04-22Master'!F638</f>
        <v>0</v>
      </c>
      <c r="B685" s="248"/>
      <c r="D685" s="20"/>
    </row>
    <row r="686" spans="1:4" ht="18">
      <c r="A686" s="271">
        <f>'04-22Master'!F639</f>
        <v>0</v>
      </c>
      <c r="B686" s="248"/>
      <c r="D686" s="20"/>
    </row>
    <row r="687" spans="1:4" ht="18">
      <c r="A687" s="250"/>
      <c r="B687" s="7"/>
      <c r="D687" s="20"/>
    </row>
    <row r="688" spans="1:4" ht="15.75">
      <c r="A688" s="249" t="s">
        <v>323</v>
      </c>
      <c r="B688" s="272"/>
      <c r="C688" s="273">
        <f>'04-22Master'!B648</f>
        <v>0</v>
      </c>
      <c r="D688" s="88"/>
    </row>
    <row r="689" spans="1:4">
      <c r="A689" s="1061" t="s">
        <v>324</v>
      </c>
      <c r="B689" s="1062"/>
      <c r="C689" s="1062"/>
      <c r="D689" s="1063"/>
    </row>
    <row r="690" spans="1:4">
      <c r="A690" s="19"/>
      <c r="D690" s="20"/>
    </row>
    <row r="691" spans="1:4">
      <c r="A691" s="1061" t="s">
        <v>325</v>
      </c>
      <c r="B691" s="1062"/>
      <c r="C691" s="1062"/>
      <c r="D691" s="1063"/>
    </row>
    <row r="692" spans="1:4">
      <c r="A692" s="251"/>
      <c r="B692" s="252"/>
      <c r="C692" s="252"/>
      <c r="D692" s="253"/>
    </row>
    <row r="693" spans="1:4">
      <c r="A693" s="1055" t="s">
        <v>326</v>
      </c>
      <c r="B693" s="1056"/>
      <c r="C693" s="1056"/>
      <c r="D693" s="1057"/>
    </row>
    <row r="694" spans="1:4">
      <c r="A694" s="19"/>
      <c r="D694" s="20"/>
    </row>
    <row r="695" spans="1:4">
      <c r="A695" s="1055" t="s">
        <v>327</v>
      </c>
      <c r="B695" s="1056"/>
      <c r="C695" s="1056"/>
      <c r="D695" s="1057"/>
    </row>
    <row r="696" spans="1:4">
      <c r="A696" s="1055" t="s">
        <v>328</v>
      </c>
      <c r="B696" s="1056"/>
      <c r="C696" s="1056"/>
      <c r="D696" s="1057"/>
    </row>
    <row r="697" spans="1:4">
      <c r="A697" s="249"/>
      <c r="B697" s="254"/>
      <c r="C697" s="254"/>
      <c r="D697" s="255"/>
    </row>
    <row r="698" spans="1:4">
      <c r="A698" s="1061" t="s">
        <v>329</v>
      </c>
      <c r="B698" s="1062"/>
      <c r="C698" s="1062"/>
      <c r="D698" s="1063"/>
    </row>
    <row r="699" spans="1:4">
      <c r="A699" s="249"/>
      <c r="B699" s="254"/>
      <c r="C699" s="254"/>
      <c r="D699" s="255"/>
    </row>
    <row r="700" spans="1:4">
      <c r="A700" s="1055" t="s">
        <v>330</v>
      </c>
      <c r="B700" s="1056"/>
      <c r="C700" s="1056"/>
      <c r="D700" s="1057"/>
    </row>
    <row r="701" spans="1:4">
      <c r="A701" s="19"/>
      <c r="D701" s="20"/>
    </row>
    <row r="702" spans="1:4">
      <c r="A702" s="1052" t="s">
        <v>331</v>
      </c>
      <c r="B702" s="1053"/>
      <c r="C702" s="1053"/>
      <c r="D702" s="1054"/>
    </row>
    <row r="703" spans="1:4" ht="42.75">
      <c r="A703" s="256" t="s">
        <v>332</v>
      </c>
      <c r="B703" s="257" t="s">
        <v>333</v>
      </c>
      <c r="C703" s="257" t="s">
        <v>334</v>
      </c>
      <c r="D703" s="258" t="s">
        <v>335</v>
      </c>
    </row>
    <row r="704" spans="1:4">
      <c r="A704" s="259">
        <v>1</v>
      </c>
      <c r="B704" s="260">
        <v>2</v>
      </c>
      <c r="C704" s="260">
        <v>3</v>
      </c>
      <c r="D704" s="261">
        <v>4</v>
      </c>
    </row>
    <row r="705" spans="1:4">
      <c r="A705" s="19"/>
      <c r="B705" s="16" t="s">
        <v>377</v>
      </c>
      <c r="C705" s="16" t="s">
        <v>384</v>
      </c>
      <c r="D705" s="293">
        <v>1</v>
      </c>
    </row>
    <row r="706" spans="1:4">
      <c r="A706" s="277"/>
      <c r="B706" s="16"/>
      <c r="C706" s="16"/>
      <c r="D706" s="262"/>
    </row>
    <row r="707" spans="1:4">
      <c r="A707" s="274"/>
      <c r="B707" s="16"/>
      <c r="C707" s="16"/>
      <c r="D707" s="262"/>
    </row>
    <row r="708" spans="1:4">
      <c r="A708" s="19"/>
      <c r="D708" s="20"/>
    </row>
    <row r="709" spans="1:4">
      <c r="A709" s="1052" t="s">
        <v>336</v>
      </c>
      <c r="B709" s="1053"/>
      <c r="C709" s="1053"/>
      <c r="D709" s="1054"/>
    </row>
    <row r="710" spans="1:4">
      <c r="A710" s="166"/>
      <c r="B710" s="8"/>
      <c r="C710" s="8"/>
      <c r="D710" s="167"/>
    </row>
    <row r="711" spans="1:4">
      <c r="A711" s="1058" t="s">
        <v>337</v>
      </c>
      <c r="B711" s="1059"/>
      <c r="C711" s="924"/>
      <c r="D711" s="1060"/>
    </row>
    <row r="712" spans="1:4">
      <c r="A712" s="1058" t="s">
        <v>338</v>
      </c>
      <c r="B712" s="1059"/>
      <c r="C712" s="924"/>
      <c r="D712" s="1060"/>
    </row>
    <row r="713" spans="1:4">
      <c r="A713" s="1058" t="s">
        <v>339</v>
      </c>
      <c r="B713" s="1059"/>
      <c r="C713" s="924"/>
      <c r="D713" s="1060"/>
    </row>
    <row r="714" spans="1:4">
      <c r="A714" s="1058" t="s">
        <v>340</v>
      </c>
      <c r="B714" s="1059"/>
      <c r="C714" s="924"/>
      <c r="D714" s="1060"/>
    </row>
    <row r="715" spans="1:4">
      <c r="A715" s="1058" t="s">
        <v>341</v>
      </c>
      <c r="B715" s="1059"/>
      <c r="C715" s="924"/>
      <c r="D715" s="1060"/>
    </row>
    <row r="716" spans="1:4">
      <c r="A716" s="1058" t="s">
        <v>342</v>
      </c>
      <c r="B716" s="1059"/>
      <c r="C716" s="924"/>
      <c r="D716" s="1060"/>
    </row>
    <row r="717" spans="1:4">
      <c r="A717" s="1058" t="s">
        <v>343</v>
      </c>
      <c r="B717" s="1059"/>
      <c r="C717" s="924"/>
      <c r="D717" s="1060"/>
    </row>
    <row r="718" spans="1:4">
      <c r="A718" s="1058" t="s">
        <v>344</v>
      </c>
      <c r="B718" s="1059"/>
      <c r="C718" s="924"/>
      <c r="D718" s="1060"/>
    </row>
    <row r="719" spans="1:4">
      <c r="A719" s="1058"/>
      <c r="B719" s="1059"/>
      <c r="C719" s="924"/>
      <c r="D719" s="1060"/>
    </row>
    <row r="720" spans="1:4">
      <c r="A720" s="1058"/>
      <c r="B720" s="1059"/>
      <c r="C720" s="924"/>
      <c r="D720" s="1060"/>
    </row>
    <row r="721" spans="1:4">
      <c r="A721" s="1058"/>
      <c r="B721" s="1059"/>
      <c r="C721" s="924"/>
      <c r="D721" s="1060"/>
    </row>
    <row r="722" spans="1:4">
      <c r="A722" s="249" t="s">
        <v>286</v>
      </c>
      <c r="B722" s="254"/>
      <c r="C722" s="254"/>
      <c r="D722" s="255"/>
    </row>
    <row r="723" spans="1:4">
      <c r="A723" s="249" t="s">
        <v>345</v>
      </c>
      <c r="B723" s="254"/>
      <c r="C723" s="263" t="s">
        <v>346</v>
      </c>
      <c r="D723" s="255"/>
    </row>
    <row r="724" spans="1:4">
      <c r="A724" s="249"/>
      <c r="B724" s="254"/>
      <c r="C724" s="254"/>
      <c r="D724" s="255"/>
    </row>
    <row r="725" spans="1:4">
      <c r="A725" s="1052" t="s">
        <v>347</v>
      </c>
      <c r="B725" s="1053"/>
      <c r="C725" s="1053"/>
      <c r="D725" s="1054"/>
    </row>
    <row r="726" spans="1:4">
      <c r="A726" s="249" t="s">
        <v>348</v>
      </c>
      <c r="B726" s="254"/>
      <c r="C726" s="254"/>
      <c r="D726" s="255"/>
    </row>
    <row r="727" spans="1:4">
      <c r="A727" s="249"/>
      <c r="B727" s="254"/>
      <c r="C727" s="254"/>
      <c r="D727" s="255"/>
    </row>
    <row r="728" spans="1:4">
      <c r="A728" s="1055" t="s">
        <v>349</v>
      </c>
      <c r="B728" s="1056"/>
      <c r="C728" s="1056" t="s">
        <v>350</v>
      </c>
      <c r="D728" s="1057"/>
    </row>
    <row r="729" spans="1:4">
      <c r="A729" s="1042">
        <v>1</v>
      </c>
      <c r="B729" s="1043"/>
      <c r="C729" s="1043">
        <v>1</v>
      </c>
      <c r="D729" s="1044"/>
    </row>
    <row r="730" spans="1:4">
      <c r="A730" s="1042">
        <v>2</v>
      </c>
      <c r="B730" s="1043"/>
      <c r="C730" s="1043">
        <v>2</v>
      </c>
      <c r="D730" s="1044"/>
    </row>
    <row r="731" spans="1:4">
      <c r="A731" s="264"/>
      <c r="C731" s="1045" t="s">
        <v>355</v>
      </c>
      <c r="D731" s="1046"/>
    </row>
    <row r="732" spans="1:4">
      <c r="A732" s="1047" t="s">
        <v>351</v>
      </c>
      <c r="B732" s="1048"/>
      <c r="C732" s="1048"/>
      <c r="D732" s="1049"/>
    </row>
    <row r="733" spans="1:4">
      <c r="A733" s="267" t="s">
        <v>352</v>
      </c>
      <c r="B733" s="268"/>
      <c r="C733" s="268"/>
      <c r="D733" s="269"/>
    </row>
    <row r="734" spans="1:4">
      <c r="A734" s="267"/>
      <c r="B734" s="268"/>
      <c r="C734" s="268"/>
      <c r="D734" s="269"/>
    </row>
    <row r="735" spans="1:4">
      <c r="A735" s="267"/>
      <c r="B735" s="268"/>
      <c r="C735" s="268" t="s">
        <v>353</v>
      </c>
      <c r="D735" s="269"/>
    </row>
    <row r="736" spans="1:4">
      <c r="A736" s="264"/>
      <c r="B736" s="265"/>
      <c r="C736" s="165" t="s">
        <v>153</v>
      </c>
      <c r="D736" s="266"/>
    </row>
    <row r="737" spans="1:4">
      <c r="A737" s="264"/>
      <c r="C737" t="s">
        <v>354</v>
      </c>
      <c r="D737" s="270"/>
    </row>
    <row r="738" spans="1:4">
      <c r="A738" s="264"/>
      <c r="C738" s="1050">
        <f>'04-22Master'!F638</f>
        <v>0</v>
      </c>
      <c r="D738" s="1051"/>
    </row>
    <row r="739" spans="1:4">
      <c r="A739" s="249" t="s">
        <v>286</v>
      </c>
      <c r="C739" s="3">
        <f>'04-22Master'!F639</f>
        <v>0</v>
      </c>
      <c r="D739" s="20"/>
    </row>
    <row r="740" spans="1:4" ht="15.75" thickBot="1">
      <c r="A740" s="249" t="s">
        <v>345</v>
      </c>
      <c r="C740" s="3"/>
      <c r="D740" s="20"/>
    </row>
    <row r="741" spans="1:4" ht="15.75" thickBot="1">
      <c r="A741" s="275"/>
      <c r="B741" s="276" t="s">
        <v>358</v>
      </c>
      <c r="C741" s="276"/>
      <c r="D741" s="34"/>
    </row>
    <row r="742" spans="1:4">
      <c r="A742" s="249" t="s">
        <v>356</v>
      </c>
      <c r="C742" s="3"/>
      <c r="D742" s="20"/>
    </row>
    <row r="743" spans="1:4">
      <c r="A743" s="249" t="s">
        <v>345</v>
      </c>
      <c r="C743" s="3"/>
      <c r="D743" s="20"/>
    </row>
    <row r="744" spans="1:4" ht="15.75" thickBot="1">
      <c r="A744" s="278" t="s">
        <v>357</v>
      </c>
      <c r="B744" s="29"/>
      <c r="C744" s="29"/>
      <c r="D744" s="30" t="s">
        <v>144</v>
      </c>
    </row>
  </sheetData>
  <mergeCells count="484">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 ref="A35:B35"/>
    <mergeCell ref="C35:D35"/>
    <mergeCell ref="A36:B36"/>
    <mergeCell ref="C36:D36"/>
    <mergeCell ref="A37:B37"/>
    <mergeCell ref="C37:D37"/>
    <mergeCell ref="A38:B38"/>
    <mergeCell ref="C38:D38"/>
    <mergeCell ref="A39:B39"/>
    <mergeCell ref="C39:D39"/>
    <mergeCell ref="A29:D29"/>
    <mergeCell ref="A31:B31"/>
    <mergeCell ref="C31:D31"/>
    <mergeCell ref="A32:B32"/>
    <mergeCell ref="C32:D32"/>
    <mergeCell ref="A33:B33"/>
    <mergeCell ref="C33:D33"/>
    <mergeCell ref="A34:B34"/>
    <mergeCell ref="C34:D34"/>
    <mergeCell ref="A22:D22"/>
    <mergeCell ref="A1:D1"/>
    <mergeCell ref="A2:D2"/>
    <mergeCell ref="A3:D3"/>
    <mergeCell ref="A9:D9"/>
    <mergeCell ref="A11:D11"/>
    <mergeCell ref="A13:D13"/>
    <mergeCell ref="A15:D15"/>
    <mergeCell ref="A16:D16"/>
    <mergeCell ref="A18:D18"/>
    <mergeCell ref="A20:D20"/>
    <mergeCell ref="A81:D81"/>
    <mergeCell ref="A83:D83"/>
    <mergeCell ref="A84:D84"/>
    <mergeCell ref="A86:D86"/>
    <mergeCell ref="A88:D88"/>
    <mergeCell ref="A69:D69"/>
    <mergeCell ref="A70:D70"/>
    <mergeCell ref="A71:D71"/>
    <mergeCell ref="A77:D77"/>
    <mergeCell ref="A79:D79"/>
    <mergeCell ref="A101:B101"/>
    <mergeCell ref="C101:D101"/>
    <mergeCell ref="A102:B102"/>
    <mergeCell ref="C102:D102"/>
    <mergeCell ref="A103:B103"/>
    <mergeCell ref="C103:D103"/>
    <mergeCell ref="A90:D90"/>
    <mergeCell ref="A97:D97"/>
    <mergeCell ref="A99:B99"/>
    <mergeCell ref="C99:D99"/>
    <mergeCell ref="A100:B100"/>
    <mergeCell ref="C100:D100"/>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18:B118"/>
    <mergeCell ref="C118:D118"/>
    <mergeCell ref="C119:D119"/>
    <mergeCell ref="A120:D120"/>
    <mergeCell ref="C126:D126"/>
    <mergeCell ref="A113:D113"/>
    <mergeCell ref="A116:B116"/>
    <mergeCell ref="C116:D116"/>
    <mergeCell ref="A117:B117"/>
    <mergeCell ref="C117:D117"/>
    <mergeCell ref="A149:D149"/>
    <mergeCell ref="A151:D151"/>
    <mergeCell ref="A152:D152"/>
    <mergeCell ref="A154:D154"/>
    <mergeCell ref="A156:D156"/>
    <mergeCell ref="A137:D137"/>
    <mergeCell ref="A138:D138"/>
    <mergeCell ref="A139:D139"/>
    <mergeCell ref="A145:D145"/>
    <mergeCell ref="A147:D147"/>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86:B186"/>
    <mergeCell ref="C186:D186"/>
    <mergeCell ref="C187:D187"/>
    <mergeCell ref="A188:D188"/>
    <mergeCell ref="C194:D194"/>
    <mergeCell ref="A181:D181"/>
    <mergeCell ref="A184:B184"/>
    <mergeCell ref="C184:D184"/>
    <mergeCell ref="A185:B185"/>
    <mergeCell ref="C185:D185"/>
    <mergeCell ref="A217:D217"/>
    <mergeCell ref="A219:D219"/>
    <mergeCell ref="A220:D220"/>
    <mergeCell ref="A222:D222"/>
    <mergeCell ref="A224:D224"/>
    <mergeCell ref="A205:D205"/>
    <mergeCell ref="A206:D206"/>
    <mergeCell ref="A207:D207"/>
    <mergeCell ref="A213:D213"/>
    <mergeCell ref="A215:D215"/>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54:B254"/>
    <mergeCell ref="C254:D254"/>
    <mergeCell ref="C255:D255"/>
    <mergeCell ref="A256:D256"/>
    <mergeCell ref="C262:D262"/>
    <mergeCell ref="A249:D249"/>
    <mergeCell ref="A252:B252"/>
    <mergeCell ref="C252:D252"/>
    <mergeCell ref="A253:B253"/>
    <mergeCell ref="C253:D253"/>
    <mergeCell ref="A285:D285"/>
    <mergeCell ref="A287:D287"/>
    <mergeCell ref="A288:D288"/>
    <mergeCell ref="A290:D290"/>
    <mergeCell ref="A292:D292"/>
    <mergeCell ref="A273:D273"/>
    <mergeCell ref="A274:D274"/>
    <mergeCell ref="A275:D275"/>
    <mergeCell ref="A281:D281"/>
    <mergeCell ref="A283:D283"/>
    <mergeCell ref="A305:B305"/>
    <mergeCell ref="C305:D305"/>
    <mergeCell ref="A306:B306"/>
    <mergeCell ref="C306:D306"/>
    <mergeCell ref="A307:B307"/>
    <mergeCell ref="C307:D307"/>
    <mergeCell ref="A294:D294"/>
    <mergeCell ref="A301:D301"/>
    <mergeCell ref="A303:B303"/>
    <mergeCell ref="C303:D303"/>
    <mergeCell ref="A304:B304"/>
    <mergeCell ref="C304:D304"/>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22:B322"/>
    <mergeCell ref="C322:D322"/>
    <mergeCell ref="C323:D323"/>
    <mergeCell ref="A324:D324"/>
    <mergeCell ref="C330:D330"/>
    <mergeCell ref="A317:D317"/>
    <mergeCell ref="A320:B320"/>
    <mergeCell ref="C320:D320"/>
    <mergeCell ref="A321:B321"/>
    <mergeCell ref="C321:D321"/>
    <mergeCell ref="A353:D353"/>
    <mergeCell ref="A355:D355"/>
    <mergeCell ref="A356:D356"/>
    <mergeCell ref="A358:D358"/>
    <mergeCell ref="A360:D360"/>
    <mergeCell ref="A341:D341"/>
    <mergeCell ref="A342:D342"/>
    <mergeCell ref="A343:D343"/>
    <mergeCell ref="A349:D349"/>
    <mergeCell ref="A351:D351"/>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90:B390"/>
    <mergeCell ref="C390:D390"/>
    <mergeCell ref="C391:D391"/>
    <mergeCell ref="A392:D392"/>
    <mergeCell ref="C398:D398"/>
    <mergeCell ref="A385:D385"/>
    <mergeCell ref="A388:B388"/>
    <mergeCell ref="C388:D388"/>
    <mergeCell ref="A389:B389"/>
    <mergeCell ref="C389:D389"/>
    <mergeCell ref="A421:D421"/>
    <mergeCell ref="A423:D423"/>
    <mergeCell ref="A424:D424"/>
    <mergeCell ref="A426:D426"/>
    <mergeCell ref="A428:D428"/>
    <mergeCell ref="A409:D409"/>
    <mergeCell ref="A410:D410"/>
    <mergeCell ref="A411:D411"/>
    <mergeCell ref="A417:D417"/>
    <mergeCell ref="A419:D419"/>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58:B458"/>
    <mergeCell ref="C458:D458"/>
    <mergeCell ref="C459:D459"/>
    <mergeCell ref="A460:D460"/>
    <mergeCell ref="C466:D466"/>
    <mergeCell ref="A453:D453"/>
    <mergeCell ref="A456:B456"/>
    <mergeCell ref="C456:D456"/>
    <mergeCell ref="A457:B457"/>
    <mergeCell ref="C457:D457"/>
    <mergeCell ref="A489:D489"/>
    <mergeCell ref="A491:D491"/>
    <mergeCell ref="A492:D492"/>
    <mergeCell ref="A494:D494"/>
    <mergeCell ref="A496:D496"/>
    <mergeCell ref="A477:D477"/>
    <mergeCell ref="A478:D478"/>
    <mergeCell ref="A479:D479"/>
    <mergeCell ref="A485:D485"/>
    <mergeCell ref="A487:D487"/>
    <mergeCell ref="A509:B509"/>
    <mergeCell ref="C509:D509"/>
    <mergeCell ref="A510:B510"/>
    <mergeCell ref="C510:D510"/>
    <mergeCell ref="A511:B511"/>
    <mergeCell ref="C511:D511"/>
    <mergeCell ref="A498:D498"/>
    <mergeCell ref="A505:D505"/>
    <mergeCell ref="A507:B507"/>
    <mergeCell ref="C507:D507"/>
    <mergeCell ref="A508:B508"/>
    <mergeCell ref="C508:D508"/>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26:B526"/>
    <mergeCell ref="C526:D526"/>
    <mergeCell ref="C527:D527"/>
    <mergeCell ref="A528:D528"/>
    <mergeCell ref="C534:D534"/>
    <mergeCell ref="A521:D521"/>
    <mergeCell ref="A524:B524"/>
    <mergeCell ref="C524:D524"/>
    <mergeCell ref="A525:B525"/>
    <mergeCell ref="C525:D525"/>
    <mergeCell ref="A557:D557"/>
    <mergeCell ref="A559:D559"/>
    <mergeCell ref="A560:D560"/>
    <mergeCell ref="A562:D562"/>
    <mergeCell ref="A564:D564"/>
    <mergeCell ref="A545:D545"/>
    <mergeCell ref="A546:D546"/>
    <mergeCell ref="A547:D547"/>
    <mergeCell ref="A553:D553"/>
    <mergeCell ref="A555:D555"/>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94:B594"/>
    <mergeCell ref="C594:D594"/>
    <mergeCell ref="C595:D595"/>
    <mergeCell ref="A596:D596"/>
    <mergeCell ref="C602:D602"/>
    <mergeCell ref="A589:D589"/>
    <mergeCell ref="A592:B592"/>
    <mergeCell ref="C592:D592"/>
    <mergeCell ref="A593:B593"/>
    <mergeCell ref="C593:D593"/>
    <mergeCell ref="A625:D625"/>
    <mergeCell ref="A627:D627"/>
    <mergeCell ref="A628:D628"/>
    <mergeCell ref="A630:D630"/>
    <mergeCell ref="A632:D632"/>
    <mergeCell ref="A613:D613"/>
    <mergeCell ref="A614:D614"/>
    <mergeCell ref="A615:D615"/>
    <mergeCell ref="A621:D621"/>
    <mergeCell ref="A623:D623"/>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62:B662"/>
    <mergeCell ref="C662:D662"/>
    <mergeCell ref="C663:D663"/>
    <mergeCell ref="A664:D664"/>
    <mergeCell ref="C670:D670"/>
    <mergeCell ref="A657:D657"/>
    <mergeCell ref="A660:B660"/>
    <mergeCell ref="C660:D660"/>
    <mergeCell ref="A661:B661"/>
    <mergeCell ref="C661:D661"/>
    <mergeCell ref="A693:D693"/>
    <mergeCell ref="A695:D695"/>
    <mergeCell ref="A696:D696"/>
    <mergeCell ref="A698:D698"/>
    <mergeCell ref="A700:D700"/>
    <mergeCell ref="A681:D681"/>
    <mergeCell ref="A682:D682"/>
    <mergeCell ref="A683:D683"/>
    <mergeCell ref="A689:D689"/>
    <mergeCell ref="A691:D691"/>
    <mergeCell ref="A713:B713"/>
    <mergeCell ref="C713:D713"/>
    <mergeCell ref="A714:B714"/>
    <mergeCell ref="C714:D714"/>
    <mergeCell ref="A715:B715"/>
    <mergeCell ref="C715:D715"/>
    <mergeCell ref="A702:D702"/>
    <mergeCell ref="A709:D709"/>
    <mergeCell ref="A711:B711"/>
    <mergeCell ref="C711:D711"/>
    <mergeCell ref="A712:B712"/>
    <mergeCell ref="C712:D712"/>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30:B730"/>
    <mergeCell ref="C730:D730"/>
    <mergeCell ref="C731:D731"/>
    <mergeCell ref="A732:D732"/>
    <mergeCell ref="C738:D738"/>
    <mergeCell ref="A725:D725"/>
    <mergeCell ref="A728:B728"/>
    <mergeCell ref="C728:D728"/>
    <mergeCell ref="A729:B729"/>
    <mergeCell ref="C729:D729"/>
  </mergeCells>
  <pageMargins left="0.78" right="0.70866141732283472" top="0.74803149606299213" bottom="0.74803149606299213" header="0.31496062992125984" footer="0.31496062992125984"/>
  <pageSetup scale="6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topLeftCell="A16"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GUREGOAN APRIL 22WM Reg</vt:lpstr>
      <vt:lpstr>04-22Master</vt:lpstr>
      <vt:lpstr>Eql remn</vt:lpstr>
      <vt:lpstr>04-22 Muster Roll</vt:lpstr>
      <vt:lpstr>04-22Leave Regr</vt:lpstr>
      <vt:lpstr>wages Reg</vt:lpstr>
      <vt:lpstr>04-22Empl Cards</vt:lpstr>
      <vt:lpstr>wage sllips</vt:lpstr>
      <vt:lpstr>04-22Bonus</vt:lpstr>
      <vt:lpstr>Ser Certi</vt:lpstr>
      <vt:lpstr>Deductions</vt:lpstr>
      <vt:lpstr>Fines</vt:lpstr>
      <vt:lpstr>Advances</vt:lpstr>
      <vt:lpstr>Overtime</vt:lpstr>
      <vt:lpstr>Accident</vt:lpstr>
      <vt:lpstr>ESI cards Reg</vt:lpstr>
      <vt:lpstr>Form-I</vt:lpstr>
      <vt:lpstr>Form-2</vt:lpstr>
      <vt:lpstr>Form 11</vt:lpstr>
      <vt:lpstr>Form-F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2021-12-03T09:29:36Z</cp:lastPrinted>
  <dcterms:created xsi:type="dcterms:W3CDTF">2018-12-21T09:44:49Z</dcterms:created>
  <dcterms:modified xsi:type="dcterms:W3CDTF">2022-06-04T11:48:32Z</dcterms:modified>
</cp:coreProperties>
</file>