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BURGEON-PUNJAB-APRIL 22\"/>
    </mc:Choice>
  </mc:AlternateContent>
  <xr:revisionPtr revIDLastSave="0" documentId="13_ncr:1_{3C9734CD-59F2-407E-AD20-4A2C4C8CD209}" xr6:coauthVersionLast="46" xr6:coauthVersionMax="46" xr10:uidLastSave="{00000000-0000-0000-0000-000000000000}"/>
  <bookViews>
    <workbookView xWindow="-120" yWindow="-120" windowWidth="15600" windowHeight="11160" tabRatio="795" firstSheet="5" activeTab="11" xr2:uid="{00000000-000D-0000-FFFF-FFFF00000000}"/>
  </bookViews>
  <sheets>
    <sheet name="PUNJAB APRIL 22-WMn Reg" sheetId="15" r:id="rId1"/>
    <sheet name="PUNJAB 04-22Master" sheetId="1" r:id="rId2"/>
    <sheet name="Eq reM " sheetId="13" r:id="rId3"/>
    <sheet name="04-22 Muster Roll" sheetId="2" r:id="rId4"/>
    <sheet name="Leave Reg" sheetId="11" r:id="rId5"/>
    <sheet name="04-22wages Reg" sheetId="3" r:id="rId6"/>
    <sheet name="Emp  Cards" sheetId="10" r:id="rId7"/>
    <sheet name="wage sllips" sheetId="4" r:id="rId8"/>
    <sheet name="Ser  Cer ." sheetId="24" r:id="rId9"/>
    <sheet name="Deductions" sheetId="5" r:id="rId10"/>
    <sheet name="Fines" sheetId="7" r:id="rId11"/>
    <sheet name="Advances" sheetId="6" r:id="rId12"/>
    <sheet name="Overtime" sheetId="8" r:id="rId13"/>
    <sheet name="Accident" sheetId="9" r:id="rId14"/>
    <sheet name="Form-I" sheetId="19" r:id="rId15"/>
    <sheet name="Form-2" sheetId="20" r:id="rId16"/>
    <sheet name="Form 11" sheetId="17" r:id="rId17"/>
    <sheet name="Form-F" sheetId="18" r:id="rId18"/>
    <sheet name="Form-E" sheetId="22" r:id="rId19"/>
  </sheets>
  <externalReferences>
    <externalReference r:id="rId20"/>
  </externalReferences>
  <definedNames>
    <definedName name="_xlnm._FilterDatabase" localSheetId="1" hidden="1">'PUNJAB 04-22Master'!$A$14:$JZ$18</definedName>
    <definedName name="_xlnm.Print_Area" localSheetId="11">Advances!$A$1:$K$39</definedName>
    <definedName name="_xlnm.Print_Area" localSheetId="12">Overtime!$A$1:$L$40</definedName>
  </definedNames>
  <calcPr calcId="191029"/>
</workbook>
</file>

<file path=xl/calcChain.xml><?xml version="1.0" encoding="utf-8"?>
<calcChain xmlns="http://schemas.openxmlformats.org/spreadsheetml/2006/main">
  <c r="J19" i="11" l="1"/>
  <c r="J20" i="11" s="1"/>
  <c r="J21" i="11" s="1"/>
  <c r="F9" i="8" l="1"/>
  <c r="E9" i="6"/>
  <c r="E9" i="7"/>
  <c r="E9" i="5"/>
  <c r="AA10" i="3"/>
  <c r="H17" i="10"/>
  <c r="Z10" i="2"/>
  <c r="F13" i="13"/>
  <c r="AI15" i="2"/>
  <c r="F20" i="13"/>
  <c r="L13" i="11"/>
  <c r="C8" i="11"/>
  <c r="E7" i="11"/>
  <c r="C16" i="13"/>
  <c r="D21" i="13"/>
  <c r="H16" i="1"/>
  <c r="I16" i="1"/>
  <c r="J16" i="1"/>
  <c r="K16" i="1"/>
  <c r="L16" i="1"/>
  <c r="M16" i="1"/>
  <c r="AE15" i="3" l="1"/>
  <c r="AD15" i="3"/>
  <c r="AC15" i="3"/>
  <c r="Z15" i="3"/>
  <c r="Y15" i="3"/>
  <c r="X15" i="3"/>
  <c r="V15" i="3"/>
  <c r="T15" i="3"/>
  <c r="S15" i="3"/>
  <c r="R15" i="3"/>
  <c r="Q15" i="3"/>
  <c r="N15" i="3"/>
  <c r="M15" i="3"/>
  <c r="J15" i="3"/>
  <c r="I15" i="3"/>
  <c r="H15" i="3"/>
  <c r="G15" i="3"/>
  <c r="F15" i="3"/>
  <c r="E15" i="3"/>
  <c r="W15" i="3"/>
  <c r="G16" i="1"/>
  <c r="F16" i="1"/>
  <c r="A20" i="13" s="1"/>
  <c r="E16" i="1"/>
  <c r="H8" i="4" s="1"/>
  <c r="R8" i="4" s="1"/>
  <c r="D16" i="1"/>
  <c r="D15" i="2" s="1"/>
  <c r="C16" i="1"/>
  <c r="B16" i="1"/>
  <c r="U16" i="1" s="1"/>
  <c r="B15" i="3" s="1"/>
  <c r="A16" i="1"/>
  <c r="C15" i="3" s="1"/>
  <c r="C15" i="2" l="1"/>
  <c r="I12" i="11"/>
  <c r="AR16" i="1"/>
  <c r="AA15" i="3"/>
  <c r="B15" i="2"/>
  <c r="I8" i="11"/>
  <c r="D15" i="3"/>
  <c r="O4" i="15" l="1"/>
  <c r="O3" i="15"/>
  <c r="F4" i="15"/>
  <c r="F3" i="15"/>
  <c r="E33" i="13" l="1"/>
  <c r="F6" i="8" l="1"/>
  <c r="F5" i="8"/>
  <c r="E6" i="6"/>
  <c r="E5" i="6"/>
  <c r="E6" i="7"/>
  <c r="E5" i="7"/>
  <c r="F11" i="13"/>
  <c r="F10" i="13"/>
  <c r="D9" i="13"/>
  <c r="D8" i="13"/>
  <c r="H9" i="10" l="1"/>
  <c r="H7" i="10"/>
  <c r="K2" i="4" l="1"/>
  <c r="B42" i="24" l="1"/>
  <c r="C42" i="24"/>
  <c r="D42" i="24"/>
  <c r="J42" i="24"/>
  <c r="H20" i="10"/>
  <c r="F12" i="9"/>
  <c r="G42" i="24" l="1"/>
  <c r="E42" i="24"/>
  <c r="F35" i="24"/>
  <c r="F31" i="24"/>
  <c r="G27" i="24"/>
  <c r="F26" i="24"/>
  <c r="G21" i="24"/>
  <c r="B21" i="24"/>
  <c r="G19" i="24"/>
  <c r="A33" i="13" l="1"/>
  <c r="D6" i="13"/>
  <c r="C14" i="13"/>
  <c r="C21" i="13"/>
  <c r="F12" i="13"/>
  <c r="D25" i="4" l="1"/>
  <c r="N25" i="4" s="1"/>
  <c r="H25" i="4"/>
  <c r="R25" i="4" s="1"/>
  <c r="G25" i="4"/>
  <c r="Q25" i="4" s="1"/>
  <c r="F25" i="4"/>
  <c r="P25" i="4" s="1"/>
  <c r="E25" i="4"/>
  <c r="O25" i="4" s="1"/>
  <c r="E14" i="4"/>
  <c r="O14" i="4" s="1"/>
  <c r="E12" i="4"/>
  <c r="O12" i="4" s="1"/>
  <c r="E10" i="4"/>
  <c r="O10" i="4" s="1"/>
  <c r="E8" i="4"/>
  <c r="O8" i="4" s="1"/>
  <c r="O19" i="4"/>
  <c r="I25" i="4" l="1"/>
  <c r="S25" i="4" l="1"/>
  <c r="L34" i="10"/>
  <c r="K34" i="10"/>
  <c r="I34" i="10"/>
  <c r="G34" i="10"/>
  <c r="E34" i="10"/>
  <c r="J29" i="10"/>
  <c r="H27" i="10"/>
  <c r="H26" i="10"/>
  <c r="H25" i="10"/>
  <c r="H23" i="10"/>
  <c r="H22" i="10"/>
  <c r="H21" i="10"/>
  <c r="H19" i="10"/>
  <c r="H15" i="10" l="1"/>
  <c r="B16" i="10"/>
  <c r="H24" i="10"/>
  <c r="X5" i="2" l="1"/>
  <c r="X6" i="2"/>
  <c r="D7" i="2"/>
  <c r="D9" i="2"/>
  <c r="Z9" i="2"/>
  <c r="B11" i="24" l="1"/>
  <c r="B13" i="24"/>
  <c r="D4" i="4"/>
  <c r="N4" i="4" s="1"/>
  <c r="B7" i="10"/>
  <c r="B5" i="4"/>
  <c r="L5" i="4" s="1"/>
  <c r="B9" i="10"/>
  <c r="B6" i="4"/>
  <c r="L6" i="4" s="1"/>
  <c r="D5" i="2"/>
  <c r="D6" i="2"/>
  <c r="B6" i="8" l="1"/>
  <c r="B6" i="6"/>
  <c r="B6" i="7"/>
  <c r="B6" i="5"/>
  <c r="B5" i="5"/>
  <c r="A617" i="18" l="1"/>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F5" i="15" l="1"/>
  <c r="Q49" i="15"/>
  <c r="Q48" i="15"/>
  <c r="Q47" i="15"/>
  <c r="Q46" i="15"/>
  <c r="Q45" i="15"/>
  <c r="Q44" i="15"/>
  <c r="P49" i="15"/>
  <c r="P48" i="15"/>
  <c r="P47" i="15"/>
  <c r="P46" i="15"/>
  <c r="P45" i="15"/>
  <c r="P44" i="15"/>
  <c r="O49" i="15"/>
  <c r="O48" i="15"/>
  <c r="O47" i="15"/>
  <c r="O46" i="15"/>
  <c r="O45" i="15"/>
  <c r="O44" i="15"/>
  <c r="N49" i="15"/>
  <c r="N48" i="15"/>
  <c r="N47" i="15"/>
  <c r="N46" i="15"/>
  <c r="N45" i="15"/>
  <c r="N44" i="15"/>
  <c r="M49" i="15"/>
  <c r="M48" i="15"/>
  <c r="M47" i="15"/>
  <c r="M46" i="15"/>
  <c r="M45" i="15"/>
  <c r="M44" i="15"/>
  <c r="L49" i="15"/>
  <c r="L48" i="15"/>
  <c r="L47" i="15"/>
  <c r="L46" i="15"/>
  <c r="L45" i="15"/>
  <c r="L44" i="15"/>
  <c r="K49" i="15"/>
  <c r="K48" i="15"/>
  <c r="K47" i="15"/>
  <c r="K46" i="15"/>
  <c r="K45" i="15"/>
  <c r="K44" i="15"/>
  <c r="J49" i="15"/>
  <c r="J48" i="15"/>
  <c r="J47" i="15"/>
  <c r="J46" i="15"/>
  <c r="J45" i="15"/>
  <c r="J44" i="15"/>
  <c r="I49" i="15"/>
  <c r="I48" i="15"/>
  <c r="I47" i="15"/>
  <c r="I46" i="15"/>
  <c r="I45" i="15"/>
  <c r="I44" i="15"/>
  <c r="H49" i="15"/>
  <c r="H48" i="15"/>
  <c r="H47" i="15"/>
  <c r="H46" i="15"/>
  <c r="H45" i="15"/>
  <c r="H44" i="15"/>
  <c r="G49" i="15"/>
  <c r="G48" i="15"/>
  <c r="G47" i="15"/>
  <c r="G46" i="15"/>
  <c r="G45" i="15"/>
  <c r="G44" i="15"/>
  <c r="F49" i="15"/>
  <c r="F48" i="15"/>
  <c r="F47" i="15"/>
  <c r="F46" i="15"/>
  <c r="F45" i="15"/>
  <c r="F44" i="15"/>
  <c r="E49" i="15"/>
  <c r="E48" i="15"/>
  <c r="E47" i="15"/>
  <c r="E46" i="15"/>
  <c r="E45" i="15"/>
  <c r="E44" i="15"/>
  <c r="D49" i="15"/>
  <c r="D48" i="15"/>
  <c r="D47" i="15"/>
  <c r="D46" i="15"/>
  <c r="D45" i="15"/>
  <c r="D44" i="15"/>
  <c r="C49" i="15"/>
  <c r="C48" i="15"/>
  <c r="C47" i="15"/>
  <c r="C46" i="15"/>
  <c r="C45" i="15"/>
  <c r="C44" i="15"/>
  <c r="B49" i="15"/>
  <c r="B48" i="15"/>
  <c r="B47" i="15"/>
  <c r="B46" i="15"/>
  <c r="B45" i="15"/>
  <c r="B44" i="15"/>
  <c r="A49" i="15"/>
  <c r="A48" i="15"/>
  <c r="A47" i="15"/>
  <c r="A46" i="15"/>
  <c r="A45" i="15"/>
  <c r="A44" i="15"/>
  <c r="O7" i="15"/>
  <c r="H430" i="19" l="1"/>
  <c r="H378" i="19"/>
  <c r="H325" i="19"/>
  <c r="H272" i="19"/>
  <c r="H219" i="19"/>
  <c r="H166" i="19"/>
  <c r="H113" i="19"/>
  <c r="H59" i="19"/>
  <c r="F50" i="19"/>
  <c r="B5" i="8" l="1"/>
  <c r="D4" i="8"/>
  <c r="F8" i="8"/>
  <c r="D7" i="8"/>
  <c r="F16" i="8"/>
  <c r="F16" i="6"/>
  <c r="E8" i="6"/>
  <c r="D7" i="6"/>
  <c r="B5" i="6"/>
  <c r="D4" i="6"/>
  <c r="H16" i="7"/>
  <c r="E8" i="7"/>
  <c r="D7" i="7"/>
  <c r="B5" i="7"/>
  <c r="D4" i="7"/>
  <c r="H16" i="5"/>
  <c r="E8" i="5"/>
  <c r="D4" i="5"/>
  <c r="D7" i="5"/>
  <c r="AA9" i="3" l="1"/>
  <c r="AA6" i="3"/>
  <c r="AA5" i="3"/>
  <c r="D9" i="3"/>
  <c r="D7" i="3"/>
  <c r="D6" i="3"/>
  <c r="D5" i="3"/>
  <c r="H17" i="19"/>
  <c r="H15" i="19"/>
  <c r="B16" i="19"/>
  <c r="B9" i="19" l="1"/>
  <c r="H9" i="19"/>
  <c r="B7" i="19"/>
  <c r="H7" i="19"/>
  <c r="H25" i="3"/>
  <c r="I25" i="3"/>
  <c r="J25" i="3"/>
  <c r="M25" i="3"/>
  <c r="N25" i="3"/>
  <c r="Q25" i="3"/>
  <c r="R25" i="3"/>
  <c r="S25" i="3"/>
  <c r="T25" i="3"/>
  <c r="X25" i="3"/>
  <c r="Y25" i="3"/>
  <c r="Z25" i="3"/>
  <c r="V25" i="3" l="1"/>
  <c r="W25" i="3"/>
  <c r="AA25" i="3" l="1"/>
  <c r="H33" i="13" l="1"/>
  <c r="G20" i="13" l="1"/>
  <c r="L15" i="3"/>
  <c r="L25" i="3" s="1"/>
  <c r="O15" i="3"/>
  <c r="O25" i="3" s="1"/>
  <c r="AB16" i="1"/>
  <c r="AG16" i="1"/>
  <c r="AL16" i="1" s="1"/>
  <c r="J33" i="10" s="1"/>
  <c r="J35" i="10" s="1"/>
  <c r="E20" i="13" l="1"/>
  <c r="H20" i="13" s="1"/>
  <c r="AS16" i="1"/>
  <c r="AB15" i="3" s="1"/>
  <c r="AB25" i="3" s="1"/>
  <c r="K15" i="3"/>
  <c r="E23" i="4"/>
  <c r="E27" i="4" l="1"/>
  <c r="O27" i="4" s="1"/>
  <c r="O23" i="4"/>
  <c r="P15" i="3"/>
  <c r="K25" i="3"/>
  <c r="P25" i="3" l="1"/>
  <c r="U15" i="3"/>
  <c r="U25" i="3" s="1"/>
</calcChain>
</file>

<file path=xl/sharedStrings.xml><?xml version="1.0" encoding="utf-8"?>
<sst xmlns="http://schemas.openxmlformats.org/spreadsheetml/2006/main" count="3031" uniqueCount="461">
  <si>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</si>
  <si>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</si>
  <si>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</si>
  <si>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</si>
  <si>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</si>
  <si>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</si>
  <si>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</si>
  <si>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</si>
  <si>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</si>
  <si>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</si>
  <si>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</si>
  <si>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</si>
  <si>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</si>
  <si>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</si>
  <si>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</si>
  <si>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</si>
  <si>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</si>
  <si>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</si>
  <si>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</si>
  <si>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</si>
  <si>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</si>
  <si>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</si>
  <si>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</si>
  <si>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</si>
  <si>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</si>
  <si>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</si>
  <si>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</si>
  <si>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</si>
  <si>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</si>
  <si>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</si>
  <si>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</si>
  <si>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</si>
  <si>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</si>
  <si>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</si>
  <si>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</si>
  <si>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</si>
  <si>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</si>
  <si>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</si>
  <si>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</si>
  <si>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Father's/ 
Husband's Name</t>
  </si>
  <si>
    <t>Sex</t>
  </si>
  <si>
    <t>Remarks</t>
  </si>
  <si>
    <t>P</t>
  </si>
  <si>
    <t>Father's /Husband Name</t>
  </si>
  <si>
    <t>Permanent Address</t>
  </si>
  <si>
    <t>Local Address</t>
  </si>
  <si>
    <t>Date of Commencement of Employment</t>
  </si>
  <si>
    <t>Signature or thumb impression of Workman</t>
  </si>
  <si>
    <t>Date of termination of Employment</t>
  </si>
  <si>
    <t>Reasons for termination</t>
  </si>
  <si>
    <t>(Vide Rule 75 of Contract Labour (Regulation and Abolition) Central/Telangana/A.P. Rules 1971)</t>
  </si>
  <si>
    <r>
      <t xml:space="preserve">                                                                                         </t>
    </r>
    <r>
      <rPr>
        <b/>
        <sz val="25"/>
        <color indexed="8"/>
        <rFont val="Calibri"/>
        <family val="2"/>
      </rPr>
      <t xml:space="preserve">FORM - XIII REGISTER OF WORKMEN EMPLOYED BY CONTRACTOR
</t>
    </r>
  </si>
  <si>
    <t xml:space="preserve">Age </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</si>
  <si>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</si>
  <si>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</si>
  <si>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</si>
  <si>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</si>
  <si>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</si>
  <si>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</si>
  <si>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</si>
  <si>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</si>
  <si>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</si>
  <si>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</si>
  <si>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</si>
  <si>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</si>
  <si>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</si>
  <si>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</si>
  <si>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</si>
  <si>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</si>
  <si>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</si>
  <si>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</si>
  <si>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</si>
  <si>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</si>
  <si>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</si>
  <si>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</si>
  <si>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</si>
  <si>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</si>
  <si>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</si>
  <si>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</si>
  <si>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</si>
  <si>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</si>
  <si>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</si>
  <si>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</si>
  <si>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</si>
  <si>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</si>
  <si>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</si>
  <si>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</si>
  <si>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</si>
  <si>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</si>
  <si>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</si>
  <si>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</si>
  <si>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</si>
  <si>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</si>
  <si>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</si>
  <si>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</si>
  <si>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</si>
  <si>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</si>
  <si>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</si>
  <si>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</si>
  <si>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</si>
  <si>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</si>
  <si>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t>FORM XXIII- REGISTER OF OVERTIME</t>
  </si>
  <si>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</si>
  <si>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</si>
  <si>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</si>
  <si>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</si>
  <si>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</si>
  <si>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</si>
  <si>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</si>
  <si>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</si>
  <si>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</si>
  <si>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</si>
  <si>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</si>
  <si>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</si>
  <si>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</si>
  <si>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</si>
  <si>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</si>
  <si>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</si>
  <si>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</si>
  <si>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</si>
  <si>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</si>
  <si>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</si>
  <si>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</si>
  <si>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</si>
  <si>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</si>
  <si>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</si>
  <si>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</si>
  <si>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</si>
  <si>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</si>
  <si>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</si>
  <si>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</si>
  <si>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</si>
  <si>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</si>
  <si>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</si>
  <si>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</si>
  <si>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</si>
  <si>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</si>
  <si>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</si>
  <si>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</si>
  <si>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</si>
  <si>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</si>
  <si>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</si>
  <si>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FORM XV- REGISTER OF LEAVE</t>
  </si>
  <si>
    <t xml:space="preserve">Name of the Employee: </t>
  </si>
  <si>
    <t>Registration Number:</t>
  </si>
  <si>
    <t>Father’s / Husband’s Name:</t>
  </si>
  <si>
    <t>Date of appointment :</t>
  </si>
  <si>
    <t>Date of Application</t>
  </si>
  <si>
    <t xml:space="preserve">Applied From </t>
  </si>
  <si>
    <t>To</t>
  </si>
  <si>
    <t xml:space="preserve">No. of
Days </t>
  </si>
  <si>
    <t>No. of
Days to
which the
employee
is entitled</t>
  </si>
  <si>
    <t>Leave
granted
from</t>
  </si>
  <si>
    <t>TO</t>
  </si>
  <si>
    <t>No.
of
days</t>
  </si>
  <si>
    <t xml:space="preserve">Balance </t>
  </si>
  <si>
    <t>If
refused
in part
or full
From</t>
  </si>
  <si>
    <t>REASONS</t>
  </si>
  <si>
    <t>Signature of the Employee</t>
  </si>
  <si>
    <t>Signature of the Employer</t>
  </si>
  <si>
    <t>Designation</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</si>
  <si>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</si>
  <si>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</si>
  <si>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</si>
  <si>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</si>
  <si>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</si>
  <si>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</si>
  <si>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</si>
  <si>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</si>
  <si>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</si>
  <si>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</si>
  <si>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</si>
  <si>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</si>
  <si>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</si>
  <si>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</si>
  <si>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</si>
  <si>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</si>
  <si>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</si>
  <si>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</si>
  <si>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</si>
  <si>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</si>
  <si>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Infosys Limited</t>
  </si>
  <si>
    <t>Name and address of Establishemnt in/ under which conctract is carried on:</t>
  </si>
  <si>
    <t>Name of the Establishment:</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</si>
  <si>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</si>
  <si>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</si>
  <si>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</si>
  <si>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</si>
  <si>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</si>
  <si>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</si>
  <si>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</si>
  <si>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</si>
  <si>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</si>
  <si>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</si>
  <si>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</si>
  <si>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</si>
  <si>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</si>
  <si>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</si>
  <si>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</si>
  <si>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</si>
  <si>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</si>
  <si>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</si>
  <si>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</si>
  <si>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</si>
  <si>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</si>
  <si>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</si>
  <si>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</si>
  <si>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</si>
  <si>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</si>
  <si>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</si>
  <si>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</si>
  <si>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</si>
  <si>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</si>
  <si>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</si>
  <si>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</si>
  <si>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</si>
  <si>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</si>
  <si>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</si>
  <si>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</si>
  <si>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</si>
  <si>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</si>
  <si>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</si>
  <si>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</si>
  <si>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</si>
  <si>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</si>
  <si>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</si>
  <si>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</si>
  <si>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</si>
  <si>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</si>
  <si>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</si>
  <si>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</si>
  <si>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</si>
  <si>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</si>
  <si>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</si>
  <si>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</si>
  <si>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</si>
  <si>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</si>
  <si>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</si>
  <si>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</si>
  <si>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</si>
  <si>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</si>
  <si>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</si>
  <si>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</si>
  <si>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</si>
  <si>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</si>
  <si>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</si>
  <si>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</si>
  <si>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</si>
  <si>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</si>
  <si>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</si>
  <si>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</si>
  <si>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</si>
  <si>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</si>
  <si>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</si>
  <si>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</si>
  <si>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</si>
  <si>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</si>
  <si>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</si>
  <si>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</si>
  <si>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</si>
  <si>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</si>
  <si>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</si>
  <si>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</si>
  <si>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</si>
  <si>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</si>
  <si>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</si>
  <si>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</si>
  <si>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</si>
  <si>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</si>
  <si>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</si>
  <si>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</si>
  <si>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</si>
  <si>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</si>
  <si>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</si>
  <si>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</si>
  <si>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</si>
  <si>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</si>
  <si>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</si>
  <si>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</si>
  <si>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</si>
  <si>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</si>
  <si>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</si>
  <si>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</si>
  <si>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</si>
  <si>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</si>
  <si>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</si>
  <si>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</si>
  <si>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</si>
  <si>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</si>
  <si>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</si>
  <si>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</si>
  <si>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</si>
  <si>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</si>
  <si>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</si>
  <si>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</si>
  <si>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</si>
  <si>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</si>
  <si>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</si>
  <si>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</si>
  <si>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</si>
  <si>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</si>
  <si>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</si>
  <si>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</si>
  <si>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</si>
  <si>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</si>
  <si>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</si>
  <si>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</si>
  <si>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</si>
  <si>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</si>
  <si>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</si>
  <si>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</si>
  <si>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</si>
  <si>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</si>
  <si>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</si>
  <si>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</si>
  <si>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</si>
  <si>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</si>
  <si>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</si>
  <si>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</si>
  <si>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</si>
  <si>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</si>
  <si>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</si>
  <si>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</si>
  <si>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</si>
  <si>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</si>
  <si>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</si>
  <si>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</si>
  <si>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</si>
  <si>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</si>
  <si>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</si>
  <si>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</si>
  <si>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</si>
  <si>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</si>
  <si>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</si>
  <si>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</si>
  <si>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</si>
  <si>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</si>
  <si>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</si>
  <si>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</si>
  <si>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</si>
  <si>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</si>
  <si>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</si>
  <si>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</si>
  <si>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</si>
  <si>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</si>
  <si>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</si>
  <si>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</si>
  <si>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</si>
  <si>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</si>
  <si>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</si>
  <si>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</si>
  <si>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</si>
  <si>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</si>
  <si>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</si>
  <si>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</si>
  <si>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</si>
  <si>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</si>
  <si>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</si>
  <si>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</si>
  <si>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</si>
  <si>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</si>
  <si>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</si>
  <si>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</si>
  <si>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</si>
  <si>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</si>
  <si>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</si>
  <si>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</si>
  <si>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</si>
  <si>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</si>
  <si>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</si>
  <si>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</si>
  <si>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</si>
  <si>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</si>
  <si>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</si>
  <si>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</si>
  <si>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</si>
  <si>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</si>
  <si>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</si>
  <si>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</si>
  <si>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</si>
  <si>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</si>
  <si>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Saransh Software Solutions Private Limited</t>
  </si>
  <si>
    <t>PROVIDING IT SUPPORTIVE</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</si>
  <si>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</si>
  <si>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</si>
  <si>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</si>
  <si>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</si>
  <si>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</si>
  <si>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</si>
  <si>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</si>
  <si>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</si>
  <si>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</si>
  <si>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</si>
  <si>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</si>
  <si>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</si>
  <si>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</si>
  <si>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</si>
  <si>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</si>
  <si>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</si>
  <si>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The Welfare commissioner,</t>
  </si>
  <si>
    <t>Telangana Welfare Board,Labour department</t>
  </si>
  <si>
    <t>RTC X road,Hyderabad 500023</t>
  </si>
  <si>
    <t>FORM   E</t>
  </si>
  <si>
    <t>[See sub-rule (2) of Rule 4]</t>
  </si>
  <si>
    <t>Register of Fines Realised and unpaid accumulations for the year 2019</t>
  </si>
  <si>
    <t>Sl. No.</t>
  </si>
  <si>
    <t>During</t>
  </si>
  <si>
    <t>Quarter ending 31st March</t>
  </si>
  <si>
    <t>Quarter ending 30th June</t>
  </si>
  <si>
    <t>Quarter ending 30th September</t>
  </si>
  <si>
    <t>Quarter ending 31st December</t>
  </si>
  <si>
    <t>Total realisation under fines</t>
  </si>
  <si>
    <t>NIL</t>
  </si>
  <si>
    <t xml:space="preserve">Total amount becoming unpaid accumulations* of </t>
  </si>
  <si>
    <t>(i) Basic Wage</t>
  </si>
  <si>
    <t>(ii) Overtime</t>
  </si>
  <si>
    <t>(iii) Dearness Allowance and other allowances</t>
  </si>
  <si>
    <t>Total of (1) and (2) ………….</t>
  </si>
  <si>
    <t>*See definition of “unpaid Accumulation” under sub-section (11) of Section 2 of the Act.</t>
  </si>
  <si>
    <t>Modern Profound Techpark Office No: 201, 2nd Floor, Kondapur,Hyderabad  500032 Telangana</t>
  </si>
  <si>
    <r>
      <t xml:space="preserve">                                                                                                                                               </t>
    </r>
    <r>
      <rPr>
        <b/>
        <sz val="10"/>
        <color indexed="8"/>
        <rFont val="Arial Black"/>
        <family val="2"/>
      </rPr>
      <t xml:space="preserve">FORM - XIII REGISTER OF WORKMEN EMPLOYED BY CONTRACTOR
</t>
    </r>
  </si>
  <si>
    <t xml:space="preserve">                                                           (Vide Rule 75 of Contract Labour (Regulation and Abolition) Central/Punjab Rules 1973)</t>
  </si>
  <si>
    <t>(Vide Rule 76 of Contract Labour (R&amp;A) Punjab Rules, 1973)</t>
  </si>
  <si>
    <t>[Vide rule 77 of Contract Labour (Regul. &amp; Abolition) Central &amp;Punjab Rules, 1973]</t>
  </si>
  <si>
    <r>
      <rPr>
        <b/>
        <sz val="25"/>
        <color indexed="8"/>
        <rFont val="Calibri"/>
        <family val="2"/>
      </rPr>
      <t xml:space="preserve">FORM - XVI MUSTER ROLL
</t>
    </r>
    <r>
      <rPr>
        <sz val="11"/>
        <color theme="1"/>
        <rFont val="Calibri"/>
        <family val="2"/>
        <scheme val="minor"/>
      </rPr>
      <t>[Vide Rule 78 (1) (a) (i) of Contract Labour (Reg. &amp; Abolition) Central &amp; Punjab Rules 1973]</t>
    </r>
  </si>
  <si>
    <r>
      <rPr>
        <b/>
        <sz val="25"/>
        <color indexed="8"/>
        <rFont val="Calibri"/>
        <family val="2"/>
      </rPr>
      <t xml:space="preserve">FORM - XVII REGISTER OF WAGES
</t>
    </r>
    <r>
      <rPr>
        <sz val="11"/>
        <color theme="1"/>
        <rFont val="Calibri"/>
        <family val="2"/>
        <scheme val="minor"/>
      </rPr>
      <t>[Vide Rule 78 (1) (a) (i) of Contract Labour (Reg. &amp; Abolition) Central &amp; Punjab Rules 1973]</t>
    </r>
  </si>
  <si>
    <t>[Vide rule 78 (1) (b) of the Contract Labour (Regulation and Abolition) Central and Punjab Rules, 1973]</t>
  </si>
  <si>
    <t>(Vide Rule 78(1) (a) (ii) of Contract Labour (Regulation and Abolition) Central /Punjab Rules 1973)</t>
  </si>
  <si>
    <t>(Vide Rule 78(1) (a) (iii) of Contract Labour (Regulation and Abolition) Central /Punjab Rules 1973)</t>
  </si>
  <si>
    <r>
      <t xml:space="preserve">Name and address of Contractor: </t>
    </r>
    <r>
      <rPr>
        <b/>
        <sz val="10"/>
        <rFont val="Arial"/>
        <family val="2"/>
      </rPr>
      <t/>
    </r>
  </si>
  <si>
    <t>Active</t>
  </si>
  <si>
    <t>IT SUPPORTIVE SERVICES&amp;Chandigarh</t>
  </si>
  <si>
    <t>Chandigarh</t>
  </si>
  <si>
    <t>Burgeon IT Services Pvt.Ltd.</t>
  </si>
  <si>
    <t>Siri Mansion LIGB 436 Dr.A S Rao Nagar,Hyderabad</t>
  </si>
  <si>
    <t>No.45&amp;46,3rd Cross,Electronic City,BANGALORE,KARNATAKA</t>
  </si>
  <si>
    <t>Dheeraj Miglani</t>
  </si>
  <si>
    <t>M</t>
  </si>
  <si>
    <t>Arjun Miglani</t>
  </si>
  <si>
    <t>90B,NEW R-BLOCK,
DILSHAD GARDEN,NEW DELHI-110095</t>
  </si>
  <si>
    <t>Data Platform Lead</t>
  </si>
  <si>
    <t>WO</t>
  </si>
  <si>
    <t>(As per Shops and Establishment Punjab rules, 1954)</t>
  </si>
  <si>
    <t>INSURANCE</t>
  </si>
  <si>
    <t>Resignation</t>
  </si>
  <si>
    <t>Resigned</t>
  </si>
  <si>
    <t>Gopi reddy chirra</t>
  </si>
  <si>
    <t>Madhava Reddy</t>
  </si>
  <si>
    <t>1-322,Erraguntlapadu,Guntur,Andhra pradesh 522529</t>
  </si>
  <si>
    <t>ICICI Bank</t>
  </si>
  <si>
    <t>A/C No.285201500195</t>
  </si>
  <si>
    <t>101739082876</t>
  </si>
  <si>
    <t>EL</t>
  </si>
  <si>
    <t>Technical Consultant</t>
  </si>
  <si>
    <t xml:space="preserve">INFOSYS  LTD.IL </t>
  </si>
  <si>
    <t>IL Chandigarh SEZ Unit - I Rajiv Gandhi Chandigarh tech Park, Kishangarh, Chandigarh-160101</t>
  </si>
  <si>
    <t>JAN'22</t>
  </si>
  <si>
    <t>FEB'22</t>
  </si>
  <si>
    <t>ARIL'22</t>
  </si>
  <si>
    <t>MAR'22</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</si>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</sst>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mmmm/yyyy"/>
    <numFmt numFmtId="166" formatCode="[$-409]d/mmm/yy;@"/>
    <numFmt numFmtId="167" formatCode="[$-409]d\-mmm\-yy;@"/>
  </numFmts>
  <fonts count="89">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4"/>
      <name val="Calibri"/>
      <family val="2"/>
      <scheme val="minor"/>
    </font>
    <font>
      <sz val="10"/>
      <name val="Arial Narrow"/>
      <family val="2"/>
    </font>
    <font>
      <sz val="10"/>
      <name val="VERDANA"/>
      <family val="2"/>
    </font>
    <font>
      <sz val="12"/>
      <name val="Calibri"/>
      <family val="2"/>
      <scheme val="min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b/>
      <sz val="10"/>
      <name val="Cambria"/>
      <family val="1"/>
      <scheme val="major"/>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sz val="14"/>
      <color theme="1"/>
      <name val="Calibri"/>
      <family val="2"/>
      <scheme val="minor"/>
    </font>
    <font>
      <sz val="12"/>
      <color theme="1"/>
      <name val="Calibri"/>
      <family val="2"/>
    </font>
    <font>
      <sz val="12"/>
      <color theme="1"/>
      <name val="Arial"/>
      <family val="2"/>
    </font>
    <font>
      <sz val="12"/>
      <color rgb="FF333333"/>
      <name val="Times New Roman"/>
      <family val="1"/>
    </font>
    <font>
      <sz val="12"/>
      <color rgb="FF222222"/>
      <name val="Arial"/>
      <family val="2"/>
    </font>
    <font>
      <b/>
      <sz val="10"/>
      <color theme="1"/>
      <name val="Calibri"/>
      <family val="2"/>
      <scheme val="minor"/>
    </font>
    <font>
      <b/>
      <sz val="12"/>
      <name val="Calibri"/>
      <family val="2"/>
      <scheme val="minor"/>
    </font>
    <font>
      <sz val="10"/>
      <color theme="1"/>
      <name val="Arial Black"/>
      <family val="2"/>
    </font>
    <font>
      <b/>
      <sz val="10"/>
      <color indexed="8"/>
      <name val="Arial Black"/>
      <family val="2"/>
    </font>
    <font>
      <sz val="11"/>
      <name val="Calibri"/>
      <family val="2"/>
    </font>
    <font>
      <sz val="12"/>
      <color rgb="FF202124"/>
      <name val="Arial"/>
      <family val="2"/>
    </font>
    <font>
      <sz val="12"/>
      <color theme="1"/>
      <name val="Cambria"/>
      <family val="1"/>
      <scheme val="major"/>
    </font>
    <font>
      <b/>
      <sz val="16"/>
      <color theme="1"/>
      <name val="Calibri"/>
      <family val="2"/>
      <scheme val="minor"/>
    </font>
    <font>
      <b/>
      <sz val="8"/>
      <color theme="1"/>
      <name val="Arial"/>
      <family val="2"/>
    </font>
    <font>
      <b/>
      <sz val="10"/>
      <name val="Calibri"/>
      <family val="2"/>
      <scheme val="minor"/>
    </font>
    <font>
      <b/>
      <sz val="14"/>
      <name val="Cambria"/>
      <family val="1"/>
      <scheme val="major"/>
    </font>
    <font>
      <b/>
      <i/>
      <sz val="10"/>
      <name val="Arial"/>
      <family val="2"/>
    </font>
    <font>
      <b/>
      <sz val="12"/>
      <color rgb="FFFF0000"/>
      <name val="Calibri"/>
      <family val="2"/>
      <scheme val="minor"/>
    </font>
    <font>
      <b/>
      <sz val="12"/>
      <color rgb="FFFF0000"/>
      <name val="Cambria"/>
      <family val="1"/>
      <scheme val="major"/>
    </font>
    <font>
      <b/>
      <sz val="12"/>
      <color rgb="FFFF0000"/>
      <name val="Arial"/>
      <family val="2"/>
    </font>
    <font>
      <b/>
      <sz val="18"/>
      <name val="Calibri"/>
      <family val="2"/>
      <scheme val="minor"/>
    </font>
    <font>
      <b/>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s>
  <borders count="64">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theme="1"/>
      </left>
      <right style="thin">
        <color indexed="64"/>
      </right>
      <top/>
      <bottom/>
      <diagonal/>
    </border>
    <border>
      <left style="thin">
        <color indexed="64"/>
      </left>
      <right style="thin">
        <color theme="1"/>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8">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4" fillId="0" borderId="0"/>
    <xf numFmtId="0" fontId="65" fillId="0" borderId="0"/>
  </cellStyleXfs>
  <cellXfs count="945">
    <xf numFmtId="0" fontId="0" fillId="0" borderId="0" xfId="0"/>
    <xf numFmtId="0" fontId="4" fillId="0" borderId="0" xfId="0" applyFont="1"/>
    <xf numFmtId="0" fontId="5" fillId="0" borderId="0" xfId="0" applyFont="1"/>
    <xf numFmtId="0" fontId="6" fillId="0" borderId="0" xfId="0" applyFont="1"/>
    <xf numFmtId="0" fontId="2" fillId="0" borderId="0" xfId="0" applyFont="1" applyAlignment="1"/>
    <xf numFmtId="0" fontId="7" fillId="0" borderId="0" xfId="0" applyFont="1" applyBorder="1" applyAlignme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Border="1" applyAlignment="1">
      <alignment horizontal="center"/>
    </xf>
    <xf numFmtId="0" fontId="9" fillId="0" borderId="0" xfId="0" applyFont="1"/>
    <xf numFmtId="0" fontId="10" fillId="0" borderId="0" xfId="0" applyFont="1" applyBorder="1" applyAlignment="1">
      <alignment horizontal="left"/>
    </xf>
    <xf numFmtId="17" fontId="2" fillId="0" borderId="0" xfId="0" applyNumberFormat="1" applyFont="1"/>
    <xf numFmtId="0" fontId="2" fillId="0" borderId="0" xfId="0" applyFont="1" applyAlignment="1">
      <alignment horizontal="left"/>
    </xf>
    <xf numFmtId="0" fontId="10" fillId="0" borderId="0" xfId="0" applyFont="1" applyBorder="1" applyAlignment="1"/>
    <xf numFmtId="0" fontId="10" fillId="0" borderId="0" xfId="0" applyFont="1" applyBorder="1" applyAlignment="1">
      <alignment horizontal="center"/>
    </xf>
    <xf numFmtId="0" fontId="0" fillId="2" borderId="0" xfId="0" applyFill="1"/>
    <xf numFmtId="0" fontId="12" fillId="3" borderId="2"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0" xfId="0" applyAlignment="1">
      <alignment vertical="center"/>
    </xf>
    <xf numFmtId="0" fontId="12" fillId="3" borderId="9"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10" xfId="0" applyFont="1" applyFill="1" applyBorder="1" applyAlignment="1">
      <alignment horizontal="center"/>
    </xf>
    <xf numFmtId="0" fontId="2" fillId="3" borderId="10" xfId="0" applyFont="1" applyFill="1" applyBorder="1" applyAlignment="1">
      <alignment horizontal="center" wrapText="1"/>
    </xf>
    <xf numFmtId="0" fontId="2" fillId="3" borderId="9" xfId="0" applyFont="1" applyFill="1" applyBorder="1" applyAlignment="1">
      <alignment horizontal="center" vertical="center" wrapText="1"/>
    </xf>
    <xf numFmtId="1" fontId="13" fillId="2" borderId="10" xfId="0" applyNumberFormat="1" applyFont="1" applyFill="1" applyBorder="1" applyAlignment="1">
      <alignment horizontal="center"/>
    </xf>
    <xf numFmtId="0" fontId="15" fillId="2" borderId="10" xfId="0" applyFont="1" applyFill="1" applyBorder="1" applyAlignment="1"/>
    <xf numFmtId="1" fontId="13" fillId="2" borderId="10" xfId="0" applyNumberFormat="1" applyFont="1" applyFill="1" applyBorder="1"/>
    <xf numFmtId="0" fontId="0" fillId="0" borderId="10" xfId="0" applyBorder="1"/>
    <xf numFmtId="1" fontId="13" fillId="2" borderId="10" xfId="1" applyNumberFormat="1" applyFont="1" applyFill="1" applyBorder="1" applyAlignment="1">
      <alignment horizontal="center"/>
    </xf>
    <xf numFmtId="1" fontId="13" fillId="2" borderId="10" xfId="1" applyNumberFormat="1" applyFont="1" applyFill="1" applyBorder="1"/>
    <xf numFmtId="1" fontId="13" fillId="2" borderId="10" xfId="0" applyNumberFormat="1" applyFont="1" applyFill="1" applyBorder="1" applyAlignment="1">
      <alignment horizontal="center" vertical="center"/>
    </xf>
    <xf numFmtId="1" fontId="16" fillId="2" borderId="10" xfId="2" quotePrefix="1" applyNumberFormat="1" applyFont="1" applyFill="1" applyBorder="1" applyAlignment="1">
      <alignment horizontal="left"/>
    </xf>
    <xf numFmtId="1" fontId="16" fillId="2" borderId="10" xfId="0" applyNumberFormat="1" applyFont="1" applyFill="1" applyBorder="1"/>
    <xf numFmtId="1" fontId="16" fillId="2" borderId="10" xfId="2" quotePrefix="1" applyNumberFormat="1" applyFont="1" applyFill="1" applyBorder="1" applyAlignment="1">
      <alignment wrapText="1"/>
    </xf>
    <xf numFmtId="1" fontId="19" fillId="2" borderId="10" xfId="2" quotePrefix="1" applyNumberFormat="1" applyFont="1" applyFill="1" applyBorder="1" applyAlignment="1"/>
    <xf numFmtId="1" fontId="10" fillId="2" borderId="10" xfId="0" applyNumberFormat="1" applyFont="1" applyFill="1" applyBorder="1"/>
    <xf numFmtId="0" fontId="8" fillId="0" borderId="0" xfId="3" applyAlignment="1">
      <alignment horizontal="center"/>
    </xf>
    <xf numFmtId="0" fontId="9" fillId="0" borderId="0" xfId="3" applyFont="1" applyAlignment="1">
      <alignment vertical="center"/>
    </xf>
    <xf numFmtId="0" fontId="20" fillId="0" borderId="0" xfId="3" applyFont="1" applyAlignment="1">
      <alignment vertical="center"/>
    </xf>
    <xf numFmtId="0" fontId="8" fillId="0" borderId="0" xfId="3"/>
    <xf numFmtId="1" fontId="13" fillId="2" borderId="0" xfId="0" applyNumberFormat="1" applyFont="1" applyFill="1" applyBorder="1" applyAlignment="1">
      <alignment horizontal="center"/>
    </xf>
    <xf numFmtId="1" fontId="14" fillId="2" borderId="0" xfId="0" applyNumberFormat="1" applyFont="1" applyFill="1" applyBorder="1" applyAlignment="1">
      <alignment horizontal="left"/>
    </xf>
    <xf numFmtId="0" fontId="15" fillId="2" borderId="0" xfId="0" applyFont="1" applyFill="1" applyBorder="1" applyAlignment="1"/>
    <xf numFmtId="1" fontId="13" fillId="2" borderId="0" xfId="0" applyNumberFormat="1" applyFont="1" applyFill="1" applyBorder="1"/>
    <xf numFmtId="0" fontId="0" fillId="0" borderId="0" xfId="0" applyBorder="1"/>
    <xf numFmtId="1" fontId="14" fillId="2" borderId="0" xfId="1" applyNumberFormat="1" applyFont="1" applyFill="1" applyBorder="1" applyAlignment="1">
      <alignment horizontal="center"/>
    </xf>
    <xf numFmtId="1" fontId="13" fillId="2" borderId="0" xfId="1" applyNumberFormat="1" applyFont="1" applyFill="1" applyBorder="1" applyAlignment="1">
      <alignment horizontal="center"/>
    </xf>
    <xf numFmtId="1" fontId="13" fillId="2" borderId="0" xfId="0" applyNumberFormat="1" applyFont="1" applyFill="1" applyBorder="1" applyAlignment="1">
      <alignment horizontal="center" vertical="center"/>
    </xf>
    <xf numFmtId="1" fontId="13" fillId="2" borderId="0" xfId="1" applyNumberFormat="1" applyFont="1" applyFill="1" applyBorder="1"/>
    <xf numFmtId="1" fontId="10" fillId="2" borderId="0" xfId="0" applyNumberFormat="1" applyFont="1" applyFill="1" applyBorder="1"/>
    <xf numFmtId="1" fontId="22" fillId="0" borderId="10" xfId="0" applyNumberFormat="1" applyFont="1" applyFill="1" applyBorder="1" applyAlignment="1">
      <alignment horizontal="center" vertical="top"/>
    </xf>
    <xf numFmtId="0" fontId="0" fillId="2" borderId="10" xfId="0" applyFill="1" applyBorder="1" applyAlignment="1">
      <alignment horizontal="center" vertical="top"/>
    </xf>
    <xf numFmtId="1" fontId="0" fillId="0" borderId="10" xfId="0" applyNumberFormat="1" applyFill="1" applyBorder="1" applyAlignment="1">
      <alignment horizontal="center"/>
    </xf>
    <xf numFmtId="0" fontId="9" fillId="3" borderId="20" xfId="0" applyFont="1" applyFill="1" applyBorder="1" applyAlignment="1">
      <alignment horizontal="center" wrapText="1"/>
    </xf>
    <xf numFmtId="0" fontId="2" fillId="0" borderId="0" xfId="0" applyFont="1" applyAlignment="1">
      <alignment wrapText="1"/>
    </xf>
    <xf numFmtId="0" fontId="2" fillId="0" borderId="0" xfId="0" applyFont="1" applyAlignment="1">
      <alignment vertical="center"/>
    </xf>
    <xf numFmtId="0" fontId="15" fillId="2" borderId="9" xfId="0" applyFont="1" applyFill="1" applyBorder="1" applyAlignment="1"/>
    <xf numFmtId="0" fontId="0" fillId="0" borderId="0" xfId="0" applyAlignment="1"/>
    <xf numFmtId="1" fontId="15" fillId="2" borderId="10" xfId="0" applyNumberFormat="1" applyFont="1" applyFill="1" applyBorder="1" applyAlignment="1"/>
    <xf numFmtId="0" fontId="0" fillId="0" borderId="30" xfId="0" applyBorder="1"/>
    <xf numFmtId="0" fontId="0" fillId="0" borderId="31" xfId="0" applyBorder="1"/>
    <xf numFmtId="0" fontId="9" fillId="0" borderId="0" xfId="0" applyFont="1" applyBorder="1"/>
    <xf numFmtId="0" fontId="8" fillId="0" borderId="30" xfId="0" applyFont="1" applyBorder="1"/>
    <xf numFmtId="0" fontId="8" fillId="0" borderId="0" xfId="0" applyFont="1" applyBorder="1"/>
    <xf numFmtId="0" fontId="8" fillId="0" borderId="27" xfId="0" applyFont="1" applyBorder="1"/>
    <xf numFmtId="0" fontId="0" fillId="0" borderId="27" xfId="0" applyBorder="1"/>
    <xf numFmtId="17" fontId="9" fillId="0" borderId="27" xfId="0" applyNumberFormat="1" applyFont="1" applyBorder="1" applyAlignment="1"/>
    <xf numFmtId="0" fontId="9" fillId="0" borderId="30" xfId="0" applyFont="1" applyBorder="1"/>
    <xf numFmtId="2" fontId="8" fillId="0" borderId="27" xfId="0" applyNumberFormat="1" applyFont="1" applyBorder="1"/>
    <xf numFmtId="0" fontId="9" fillId="0" borderId="27" xfId="0" applyFont="1" applyBorder="1"/>
    <xf numFmtId="1" fontId="8" fillId="0" borderId="27" xfId="0" applyNumberFormat="1" applyFont="1" applyBorder="1"/>
    <xf numFmtId="0" fontId="0" fillId="0" borderId="33" xfId="0" applyBorder="1"/>
    <xf numFmtId="0" fontId="0" fillId="0" borderId="34" xfId="0" applyBorder="1"/>
    <xf numFmtId="0" fontId="0" fillId="0" borderId="35" xfId="0" applyBorder="1"/>
    <xf numFmtId="0" fontId="0" fillId="0" borderId="33" xfId="0" applyBorder="1" applyAlignment="1"/>
    <xf numFmtId="0" fontId="0" fillId="0" borderId="17" xfId="0" applyBorder="1" applyAlignment="1"/>
    <xf numFmtId="0" fontId="0" fillId="0" borderId="18" xfId="0" applyBorder="1" applyAlignment="1"/>
    <xf numFmtId="0" fontId="24" fillId="0" borderId="36" xfId="0" applyNumberFormat="1" applyFont="1" applyFill="1" applyBorder="1" applyAlignment="1" applyProtection="1">
      <alignment vertical="top"/>
    </xf>
    <xf numFmtId="0" fontId="8" fillId="0" borderId="37" xfId="0" applyNumberFormat="1" applyFont="1" applyFill="1" applyBorder="1" applyAlignment="1" applyProtection="1">
      <alignment vertical="top"/>
    </xf>
    <xf numFmtId="0" fontId="8" fillId="0" borderId="38"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39" xfId="0" applyNumberFormat="1" applyFont="1" applyFill="1" applyBorder="1" applyAlignment="1" applyProtection="1">
      <alignment vertical="top"/>
    </xf>
    <xf numFmtId="0" fontId="8" fillId="0" borderId="14" xfId="0" applyNumberFormat="1" applyFont="1" applyFill="1" applyBorder="1" applyAlignment="1" applyProtection="1">
      <alignment vertical="top"/>
    </xf>
    <xf numFmtId="0" fontId="8" fillId="0" borderId="27"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8" fillId="0" borderId="36" xfId="0" applyNumberFormat="1" applyFont="1" applyFill="1" applyBorder="1" applyAlignment="1" applyProtection="1">
      <alignment vertical="top"/>
    </xf>
    <xf numFmtId="0" fontId="9" fillId="0" borderId="23" xfId="0" applyNumberFormat="1" applyFont="1" applyFill="1" applyBorder="1" applyAlignment="1" applyProtection="1">
      <alignment vertical="top"/>
    </xf>
    <xf numFmtId="0" fontId="9" fillId="3" borderId="40" xfId="0" applyNumberFormat="1" applyFont="1" applyFill="1" applyBorder="1" applyAlignment="1" applyProtection="1">
      <alignment horizontal="center" vertical="top" wrapText="1"/>
    </xf>
    <xf numFmtId="0" fontId="9" fillId="3" borderId="10" xfId="0" applyNumberFormat="1" applyFont="1" applyFill="1" applyBorder="1" applyAlignment="1" applyProtection="1">
      <alignment vertical="top" wrapText="1"/>
    </xf>
    <xf numFmtId="0" fontId="9" fillId="3" borderId="9" xfId="0" applyNumberFormat="1" applyFont="1" applyFill="1" applyBorder="1" applyAlignment="1" applyProtection="1">
      <alignment vertical="top"/>
    </xf>
    <xf numFmtId="0" fontId="9" fillId="3" borderId="10" xfId="0" applyNumberFormat="1" applyFont="1" applyFill="1" applyBorder="1" applyAlignment="1" applyProtection="1">
      <alignment horizontal="center" vertical="top" wrapText="1"/>
    </xf>
    <xf numFmtId="0" fontId="9" fillId="3" borderId="10" xfId="0" applyNumberFormat="1" applyFont="1" applyFill="1" applyBorder="1" applyAlignment="1" applyProtection="1">
      <alignment vertical="top"/>
    </xf>
    <xf numFmtId="0" fontId="9" fillId="3" borderId="10" xfId="0" applyNumberFormat="1" applyFont="1" applyFill="1" applyBorder="1" applyAlignment="1" applyProtection="1">
      <alignment horizontal="center" vertical="top"/>
    </xf>
    <xf numFmtId="0" fontId="26" fillId="0" borderId="10" xfId="0" applyNumberFormat="1" applyFont="1" applyFill="1" applyBorder="1" applyAlignment="1" applyProtection="1">
      <alignment vertical="top"/>
    </xf>
    <xf numFmtId="0" fontId="8" fillId="0" borderId="10" xfId="0" applyNumberFormat="1" applyFont="1" applyFill="1" applyBorder="1" applyAlignment="1" applyProtection="1">
      <alignment vertical="top"/>
    </xf>
    <xf numFmtId="0" fontId="26" fillId="0" borderId="10" xfId="0" applyNumberFormat="1" applyFont="1" applyFill="1" applyBorder="1" applyAlignment="1" applyProtection="1">
      <alignment vertical="top"/>
      <protection locked="0"/>
    </xf>
    <xf numFmtId="0" fontId="26" fillId="0" borderId="22" xfId="0" applyNumberFormat="1" applyFont="1" applyFill="1" applyBorder="1" applyAlignment="1" applyProtection="1">
      <alignment vertical="top"/>
    </xf>
    <xf numFmtId="0" fontId="26" fillId="0" borderId="40" xfId="0" applyNumberFormat="1" applyFont="1" applyFill="1" applyBorder="1" applyAlignment="1" applyProtection="1">
      <alignment vertical="top"/>
    </xf>
    <xf numFmtId="0" fontId="26" fillId="0" borderId="9" xfId="0" applyNumberFormat="1" applyFont="1" applyFill="1" applyBorder="1" applyAlignment="1" applyProtection="1">
      <alignment vertical="top"/>
    </xf>
    <xf numFmtId="17" fontId="26" fillId="0" borderId="24" xfId="0" applyNumberFormat="1" applyFont="1" applyFill="1" applyBorder="1" applyAlignment="1" applyProtection="1">
      <alignment vertical="top"/>
    </xf>
    <xf numFmtId="0" fontId="8" fillId="0" borderId="16" xfId="0" applyNumberFormat="1" applyFont="1" applyFill="1" applyBorder="1" applyAlignment="1" applyProtection="1">
      <alignment vertical="top"/>
    </xf>
    <xf numFmtId="0" fontId="26" fillId="0" borderId="17" xfId="0" applyNumberFormat="1" applyFont="1" applyFill="1" applyBorder="1" applyAlignment="1" applyProtection="1">
      <alignment vertical="top"/>
    </xf>
    <xf numFmtId="0" fontId="26" fillId="0" borderId="18" xfId="0" applyNumberFormat="1" applyFont="1" applyFill="1" applyBorder="1" applyAlignment="1" applyProtection="1">
      <alignment vertical="top"/>
    </xf>
    <xf numFmtId="0" fontId="9" fillId="3" borderId="9" xfId="0" applyNumberFormat="1" applyFont="1" applyFill="1" applyBorder="1" applyAlignment="1" applyProtection="1">
      <alignment horizontal="center" vertical="top"/>
    </xf>
    <xf numFmtId="0" fontId="9" fillId="3" borderId="21" xfId="0" applyNumberFormat="1" applyFont="1" applyFill="1" applyBorder="1" applyAlignment="1" applyProtection="1">
      <alignment horizontal="center" vertical="top" wrapText="1"/>
    </xf>
    <xf numFmtId="0" fontId="9" fillId="3" borderId="20" xfId="0" applyNumberFormat="1" applyFont="1" applyFill="1" applyBorder="1" applyAlignment="1" applyProtection="1">
      <alignment horizontal="center" vertical="top" wrapText="1"/>
    </xf>
    <xf numFmtId="0" fontId="9" fillId="3" borderId="14" xfId="0" applyNumberFormat="1" applyFont="1" applyFill="1" applyBorder="1" applyAlignment="1" applyProtection="1">
      <alignment horizontal="center" vertical="top"/>
    </xf>
    <xf numFmtId="0" fontId="9" fillId="3" borderId="9" xfId="0" applyNumberFormat="1" applyFont="1" applyFill="1" applyBorder="1" applyAlignment="1" applyProtection="1">
      <alignment vertical="top" wrapText="1"/>
    </xf>
    <xf numFmtId="0" fontId="9" fillId="3" borderId="19" xfId="0" applyNumberFormat="1" applyFont="1" applyFill="1" applyBorder="1" applyAlignment="1" applyProtection="1">
      <alignment horizontal="center" vertical="top"/>
    </xf>
    <xf numFmtId="0" fontId="9" fillId="3" borderId="21" xfId="0" applyNumberFormat="1" applyFont="1" applyFill="1" applyBorder="1" applyAlignment="1" applyProtection="1">
      <alignment vertical="top"/>
    </xf>
    <xf numFmtId="0" fontId="0" fillId="0" borderId="38" xfId="0" applyBorder="1"/>
    <xf numFmtId="0" fontId="8" fillId="0" borderId="40" xfId="0" applyNumberFormat="1" applyFont="1" applyFill="1" applyBorder="1" applyAlignment="1" applyProtection="1">
      <alignment vertical="top"/>
    </xf>
    <xf numFmtId="0" fontId="0" fillId="0" borderId="39" xfId="0" applyBorder="1"/>
    <xf numFmtId="0" fontId="8" fillId="0" borderId="9" xfId="0" applyNumberFormat="1" applyFont="1" applyFill="1" applyBorder="1" applyAlignment="1" applyProtection="1">
      <alignment vertical="top"/>
    </xf>
    <xf numFmtId="0" fontId="0" fillId="0" borderId="32" xfId="0" applyBorder="1"/>
    <xf numFmtId="0" fontId="0" fillId="0" borderId="24" xfId="0" applyBorder="1"/>
    <xf numFmtId="0" fontId="8" fillId="0" borderId="22" xfId="0" applyNumberFormat="1" applyFont="1" applyFill="1" applyBorder="1" applyAlignment="1" applyProtection="1">
      <alignment vertical="top"/>
    </xf>
    <xf numFmtId="0" fontId="8" fillId="0" borderId="32" xfId="0" applyNumberFormat="1" applyFont="1" applyFill="1" applyBorder="1" applyAlignment="1" applyProtection="1">
      <alignment vertical="top"/>
    </xf>
    <xf numFmtId="0" fontId="8" fillId="0" borderId="24" xfId="0" applyNumberFormat="1" applyFont="1" applyFill="1" applyBorder="1" applyAlignment="1" applyProtection="1">
      <alignment vertical="top"/>
    </xf>
    <xf numFmtId="0" fontId="28" fillId="0" borderId="10" xfId="0" applyNumberFormat="1" applyFont="1" applyFill="1" applyBorder="1" applyAlignment="1" applyProtection="1">
      <alignment vertical="top"/>
    </xf>
    <xf numFmtId="17" fontId="9" fillId="0" borderId="24" xfId="0" applyNumberFormat="1" applyFont="1" applyFill="1" applyBorder="1" applyAlignment="1" applyProtection="1">
      <alignment vertical="top"/>
    </xf>
    <xf numFmtId="0" fontId="9" fillId="3" borderId="9" xfId="0" applyNumberFormat="1" applyFont="1" applyFill="1" applyBorder="1" applyAlignment="1" applyProtection="1">
      <alignment horizontal="center" vertical="top" wrapText="1"/>
    </xf>
    <xf numFmtId="0" fontId="0" fillId="0" borderId="23" xfId="0" applyBorder="1"/>
    <xf numFmtId="0" fontId="0" fillId="0" borderId="14" xfId="0" applyBorder="1"/>
    <xf numFmtId="0" fontId="0" fillId="0" borderId="19" xfId="0" applyBorder="1"/>
    <xf numFmtId="0" fontId="9" fillId="3" borderId="9" xfId="0" applyNumberFormat="1" applyFont="1" applyFill="1" applyBorder="1" applyAlignment="1" applyProtection="1">
      <alignment horizontal="center" vertical="center" textRotation="90"/>
    </xf>
    <xf numFmtId="0" fontId="8" fillId="0" borderId="37" xfId="0" applyNumberFormat="1" applyFont="1" applyFill="1" applyBorder="1" applyAlignment="1" applyProtection="1">
      <alignment vertical="top" wrapText="1"/>
    </xf>
    <xf numFmtId="0" fontId="8" fillId="0" borderId="23" xfId="0" applyNumberFormat="1" applyFont="1" applyFill="1" applyBorder="1" applyAlignment="1" applyProtection="1">
      <alignment vertical="top" wrapText="1"/>
    </xf>
    <xf numFmtId="0" fontId="8" fillId="0" borderId="0" xfId="0" applyNumberFormat="1" applyFont="1" applyFill="1" applyBorder="1" applyAlignment="1" applyProtection="1">
      <alignment vertical="top" wrapText="1"/>
    </xf>
    <xf numFmtId="0" fontId="8" fillId="0" borderId="14" xfId="0" applyNumberFormat="1" applyFont="1" applyFill="1" applyBorder="1" applyAlignment="1" applyProtection="1">
      <alignment vertical="top" wrapText="1"/>
    </xf>
    <xf numFmtId="0" fontId="8" fillId="0" borderId="27" xfId="0" applyNumberFormat="1" applyFont="1" applyFill="1" applyBorder="1" applyAlignment="1" applyProtection="1">
      <alignment vertical="top" wrapText="1"/>
    </xf>
    <xf numFmtId="0" fontId="8" fillId="0" borderId="41" xfId="0" applyNumberFormat="1" applyFont="1" applyFill="1" applyBorder="1" applyAlignment="1" applyProtection="1">
      <alignment vertical="top"/>
    </xf>
    <xf numFmtId="0" fontId="8" fillId="0" borderId="42" xfId="0" applyNumberFormat="1" applyFont="1" applyFill="1" applyBorder="1" applyAlignment="1" applyProtection="1">
      <alignment vertical="top"/>
    </xf>
    <xf numFmtId="0" fontId="8" fillId="0" borderId="43" xfId="0" applyNumberFormat="1" applyFont="1" applyFill="1" applyBorder="1" applyAlignment="1" applyProtection="1">
      <alignment vertical="top"/>
    </xf>
    <xf numFmtId="0" fontId="9" fillId="3" borderId="9" xfId="0" applyNumberFormat="1" applyFont="1" applyFill="1" applyBorder="1" applyAlignment="1" applyProtection="1">
      <alignment vertical="center" textRotation="90" wrapText="1"/>
    </xf>
    <xf numFmtId="0" fontId="9" fillId="3" borderId="19" xfId="0" applyNumberFormat="1" applyFont="1" applyFill="1" applyBorder="1" applyAlignment="1" applyProtection="1">
      <alignment horizontal="center" vertical="top" textRotation="90"/>
    </xf>
    <xf numFmtId="0" fontId="0" fillId="0" borderId="28" xfId="0" applyBorder="1"/>
    <xf numFmtId="0" fontId="0" fillId="0" borderId="15" xfId="0" applyBorder="1"/>
    <xf numFmtId="0" fontId="0" fillId="0" borderId="29" xfId="0" applyBorder="1"/>
    <xf numFmtId="0" fontId="0" fillId="0" borderId="30" xfId="0" applyBorder="1" applyAlignment="1"/>
    <xf numFmtId="0" fontId="0" fillId="0" borderId="0" xfId="0" applyBorder="1" applyAlignment="1"/>
    <xf numFmtId="0" fontId="0" fillId="0" borderId="31" xfId="0" applyBorder="1" applyAlignment="1"/>
    <xf numFmtId="0" fontId="2" fillId="0" borderId="30" xfId="0" applyFont="1" applyBorder="1" applyAlignment="1"/>
    <xf numFmtId="0" fontId="0" fillId="0" borderId="35" xfId="0" applyBorder="1" applyAlignment="1"/>
    <xf numFmtId="0" fontId="0" fillId="0" borderId="34" xfId="0" applyBorder="1" applyAlignment="1"/>
    <xf numFmtId="0" fontId="2" fillId="0" borderId="28" xfId="0" applyFont="1" applyBorder="1"/>
    <xf numFmtId="0" fontId="2" fillId="0" borderId="15" xfId="0" applyFont="1" applyBorder="1"/>
    <xf numFmtId="0" fontId="2" fillId="0" borderId="29" xfId="0" applyFont="1" applyBorder="1"/>
    <xf numFmtId="0" fontId="2" fillId="0" borderId="0" xfId="0" applyFont="1" applyBorder="1" applyAlignment="1"/>
    <xf numFmtId="0" fontId="2" fillId="0" borderId="31" xfId="0" applyFont="1" applyBorder="1" applyAlignment="1"/>
    <xf numFmtId="0" fontId="2" fillId="0" borderId="35" xfId="0" applyFont="1" applyBorder="1" applyAlignment="1"/>
    <xf numFmtId="0" fontId="2" fillId="0" borderId="33" xfId="0" applyFont="1" applyBorder="1" applyAlignment="1"/>
    <xf numFmtId="0" fontId="2" fillId="0" borderId="34" xfId="0" applyFont="1" applyBorder="1" applyAlignment="1"/>
    <xf numFmtId="0" fontId="0" fillId="0" borderId="30" xfId="0" applyBorder="1" applyAlignment="1">
      <alignment vertical="center"/>
    </xf>
    <xf numFmtId="0" fontId="32" fillId="0" borderId="22" xfId="0" applyFont="1" applyBorder="1"/>
    <xf numFmtId="0" fontId="2" fillId="0" borderId="27" xfId="0" applyFont="1" applyBorder="1" applyAlignment="1">
      <alignment horizontal="center" vertical="center"/>
    </xf>
    <xf numFmtId="0" fontId="2" fillId="0" borderId="46" xfId="0" applyFont="1" applyBorder="1" applyAlignment="1">
      <alignment horizontal="center" vertical="center"/>
    </xf>
    <xf numFmtId="0" fontId="32" fillId="0" borderId="36" xfId="0" applyFont="1" applyBorder="1"/>
    <xf numFmtId="0" fontId="2" fillId="0" borderId="37" xfId="0" applyFont="1" applyBorder="1"/>
    <xf numFmtId="0" fontId="2" fillId="0" borderId="38" xfId="0" applyFont="1" applyBorder="1"/>
    <xf numFmtId="0" fontId="0" fillId="0" borderId="36" xfId="0" applyBorder="1"/>
    <xf numFmtId="0" fontId="0" fillId="0" borderId="37" xfId="0" applyBorder="1"/>
    <xf numFmtId="0" fontId="0" fillId="0" borderId="48" xfId="0" applyBorder="1"/>
    <xf numFmtId="0" fontId="32" fillId="0" borderId="14" xfId="0" applyFont="1" applyBorder="1"/>
    <xf numFmtId="0" fontId="2" fillId="0" borderId="27" xfId="0" applyFont="1" applyBorder="1"/>
    <xf numFmtId="0" fontId="2" fillId="0" borderId="19" xfId="0" applyFont="1" applyBorder="1"/>
    <xf numFmtId="0" fontId="0" fillId="0" borderId="46" xfId="0" applyBorder="1"/>
    <xf numFmtId="1" fontId="2" fillId="0" borderId="44" xfId="0" applyNumberFormat="1" applyFont="1" applyBorder="1" applyAlignment="1">
      <alignment horizontal="center" vertical="center"/>
    </xf>
    <xf numFmtId="14" fontId="8" fillId="0" borderId="27" xfId="0" applyNumberFormat="1" applyFont="1" applyFill="1" applyBorder="1" applyAlignment="1" applyProtection="1">
      <alignment vertical="top"/>
    </xf>
    <xf numFmtId="164" fontId="8" fillId="0" borderId="10" xfId="0" applyNumberFormat="1" applyFont="1" applyFill="1" applyBorder="1" applyAlignment="1" applyProtection="1">
      <alignment vertical="top"/>
    </xf>
    <xf numFmtId="0" fontId="0" fillId="0" borderId="28" xfId="0" applyBorder="1" applyAlignment="1"/>
    <xf numFmtId="0" fontId="8" fillId="0" borderId="48" xfId="0" applyNumberFormat="1" applyFont="1" applyFill="1" applyBorder="1" applyAlignment="1" applyProtection="1">
      <alignment vertical="top" wrapText="1"/>
    </xf>
    <xf numFmtId="0" fontId="8" fillId="0" borderId="31" xfId="0" applyNumberFormat="1" applyFont="1" applyFill="1" applyBorder="1" applyAlignment="1" applyProtection="1">
      <alignment vertical="top" wrapText="1"/>
    </xf>
    <xf numFmtId="0" fontId="8" fillId="0" borderId="46" xfId="0" applyNumberFormat="1" applyFont="1" applyFill="1" applyBorder="1" applyAlignment="1" applyProtection="1">
      <alignment vertical="top" wrapText="1"/>
    </xf>
    <xf numFmtId="0" fontId="8" fillId="0" borderId="48" xfId="0" applyNumberFormat="1" applyFont="1" applyFill="1" applyBorder="1" applyAlignment="1" applyProtection="1">
      <alignment vertical="top"/>
    </xf>
    <xf numFmtId="0" fontId="8" fillId="0" borderId="31" xfId="0" applyNumberFormat="1" applyFont="1" applyFill="1" applyBorder="1" applyAlignment="1" applyProtection="1">
      <alignment vertical="top"/>
    </xf>
    <xf numFmtId="0" fontId="8" fillId="0" borderId="46" xfId="0" applyNumberFormat="1" applyFont="1" applyFill="1" applyBorder="1" applyAlignment="1" applyProtection="1">
      <alignment vertical="top"/>
    </xf>
    <xf numFmtId="0" fontId="9" fillId="3" borderId="44" xfId="0" applyNumberFormat="1" applyFont="1" applyFill="1" applyBorder="1" applyAlignment="1" applyProtection="1">
      <alignment horizontal="center" vertical="top"/>
    </xf>
    <xf numFmtId="0" fontId="8" fillId="0" borderId="44" xfId="0" applyNumberFormat="1" applyFont="1" applyFill="1" applyBorder="1" applyAlignment="1" applyProtection="1">
      <alignment vertical="top"/>
    </xf>
    <xf numFmtId="0" fontId="33" fillId="2" borderId="15" xfId="0" applyFont="1" applyFill="1" applyBorder="1" applyAlignment="1">
      <alignment horizontal="center" vertical="top" wrapText="1"/>
    </xf>
    <xf numFmtId="0" fontId="33" fillId="2" borderId="29" xfId="0" applyFont="1" applyFill="1" applyBorder="1" applyAlignment="1">
      <alignment horizontal="center" vertical="top" wrapText="1"/>
    </xf>
    <xf numFmtId="0" fontId="33" fillId="2" borderId="31" xfId="0" applyFont="1" applyFill="1" applyBorder="1" applyAlignment="1">
      <alignment horizontal="center" vertical="top" wrapText="1"/>
    </xf>
    <xf numFmtId="0" fontId="0" fillId="2" borderId="31" xfId="0" applyFont="1" applyFill="1" applyBorder="1" applyAlignment="1">
      <alignment horizontal="center" vertical="top" wrapText="1"/>
    </xf>
    <xf numFmtId="0" fontId="34" fillId="2" borderId="31" xfId="0" applyFont="1" applyFill="1" applyBorder="1" applyAlignment="1">
      <alignment horizontal="center" vertical="top" wrapText="1"/>
    </xf>
    <xf numFmtId="0" fontId="35" fillId="2" borderId="30" xfId="0" applyFont="1" applyFill="1" applyBorder="1" applyAlignment="1">
      <alignment horizontal="center" vertical="top" wrapText="1"/>
    </xf>
    <xf numFmtId="0" fontId="35" fillId="2" borderId="0" xfId="0" applyFont="1" applyFill="1" applyBorder="1" applyAlignment="1">
      <alignment horizontal="center" vertical="top" wrapText="1"/>
    </xf>
    <xf numFmtId="0" fontId="35" fillId="2" borderId="31" xfId="0" applyFont="1" applyFill="1" applyBorder="1" applyAlignment="1">
      <alignment horizontal="center" vertical="top" wrapText="1"/>
    </xf>
    <xf numFmtId="0" fontId="36" fillId="2" borderId="30" xfId="0" applyFont="1" applyFill="1" applyBorder="1" applyAlignment="1">
      <alignment horizontal="left" vertical="center"/>
    </xf>
    <xf numFmtId="0" fontId="36" fillId="2" borderId="0" xfId="0" applyFont="1" applyFill="1" applyBorder="1" applyAlignment="1">
      <alignment horizontal="left" vertical="center"/>
    </xf>
    <xf numFmtId="0" fontId="10" fillId="0" borderId="0" xfId="0" applyFont="1" applyBorder="1" applyAlignment="1">
      <alignment horizontal="left" vertical="center"/>
    </xf>
    <xf numFmtId="0" fontId="36" fillId="2" borderId="30" xfId="0" applyFont="1" applyFill="1" applyBorder="1" applyAlignment="1"/>
    <xf numFmtId="0" fontId="36" fillId="2" borderId="0" xfId="0" applyFont="1" applyFill="1" applyBorder="1" applyAlignment="1">
      <alignment horizontal="center"/>
    </xf>
    <xf numFmtId="0" fontId="36" fillId="0" borderId="0" xfId="0" applyFont="1" applyBorder="1" applyAlignment="1">
      <alignment horizontal="center"/>
    </xf>
    <xf numFmtId="0" fontId="36" fillId="2" borderId="0" xfId="0" applyFont="1" applyFill="1" applyBorder="1" applyAlignment="1"/>
    <xf numFmtId="0" fontId="36" fillId="2" borderId="31" xfId="0" applyFont="1" applyFill="1" applyBorder="1" applyAlignment="1"/>
    <xf numFmtId="0" fontId="37" fillId="2" borderId="30" xfId="0" applyFont="1" applyFill="1" applyBorder="1" applyAlignment="1"/>
    <xf numFmtId="0" fontId="37" fillId="2" borderId="0" xfId="0" applyFont="1" applyFill="1" applyBorder="1" applyAlignment="1">
      <alignment horizontal="center"/>
    </xf>
    <xf numFmtId="0" fontId="37" fillId="2" borderId="0" xfId="0" applyFont="1" applyFill="1" applyBorder="1" applyAlignment="1">
      <alignment vertical="center"/>
    </xf>
    <xf numFmtId="0" fontId="37" fillId="2" borderId="0" xfId="0" applyFont="1" applyFill="1" applyBorder="1"/>
    <xf numFmtId="0" fontId="37" fillId="2" borderId="31" xfId="0" applyFont="1" applyFill="1" applyBorder="1"/>
    <xf numFmtId="0" fontId="33" fillId="2" borderId="0" xfId="0" applyFont="1" applyFill="1" applyBorder="1" applyAlignment="1">
      <alignment vertical="top" wrapText="1"/>
    </xf>
    <xf numFmtId="0" fontId="38" fillId="2" borderId="0" xfId="0" applyFont="1" applyFill="1" applyBorder="1" applyAlignment="1">
      <alignment vertical="top" wrapText="1"/>
    </xf>
    <xf numFmtId="0" fontId="38" fillId="2" borderId="0" xfId="0" applyFont="1" applyFill="1" applyBorder="1" applyAlignment="1">
      <alignment horizontal="justify" vertical="top" wrapText="1"/>
    </xf>
    <xf numFmtId="0" fontId="38" fillId="2" borderId="31" xfId="0" applyFont="1" applyFill="1" applyBorder="1" applyAlignment="1">
      <alignment horizontal="justify" vertical="top" wrapText="1"/>
    </xf>
    <xf numFmtId="0" fontId="0" fillId="2" borderId="31" xfId="0" applyFont="1" applyFill="1" applyBorder="1" applyAlignment="1">
      <alignment horizontal="justify" vertical="top" wrapText="1"/>
    </xf>
    <xf numFmtId="0" fontId="39" fillId="2" borderId="30" xfId="0" applyFont="1" applyFill="1" applyBorder="1" applyAlignment="1">
      <alignment horizontal="center" vertical="top" wrapText="1"/>
    </xf>
    <xf numFmtId="0" fontId="39" fillId="2" borderId="31" xfId="0" applyFont="1" applyFill="1" applyBorder="1" applyAlignment="1">
      <alignment horizontal="center" vertical="top" wrapText="1"/>
    </xf>
    <xf numFmtId="0" fontId="39" fillId="2" borderId="50" xfId="0" applyFont="1" applyFill="1" applyBorder="1" applyAlignment="1">
      <alignment horizontal="center" vertical="center" wrapText="1"/>
    </xf>
    <xf numFmtId="0" fontId="39" fillId="2" borderId="45" xfId="0" applyFont="1" applyFill="1" applyBorder="1" applyAlignment="1">
      <alignment horizontal="center" vertical="center" wrapText="1"/>
    </xf>
    <xf numFmtId="0" fontId="0" fillId="0" borderId="44" xfId="0" applyBorder="1" applyAlignment="1">
      <alignment horizontal="center" vertical="center"/>
    </xf>
    <xf numFmtId="0" fontId="8" fillId="2" borderId="0" xfId="0" applyFont="1" applyFill="1"/>
    <xf numFmtId="1" fontId="21" fillId="2" borderId="10" xfId="0" applyNumberFormat="1" applyFont="1" applyFill="1" applyBorder="1" applyAlignment="1">
      <alignment horizontal="center" vertical="top"/>
    </xf>
    <xf numFmtId="1" fontId="24" fillId="2" borderId="23" xfId="1" applyNumberFormat="1" applyFont="1" applyFill="1" applyBorder="1" applyAlignment="1"/>
    <xf numFmtId="1" fontId="24" fillId="2" borderId="0" xfId="1" applyNumberFormat="1" applyFont="1" applyFill="1" applyBorder="1" applyAlignment="1"/>
    <xf numFmtId="1" fontId="15" fillId="2" borderId="10" xfId="0" applyNumberFormat="1" applyFont="1" applyFill="1" applyBorder="1" applyAlignment="1">
      <alignment horizontal="left"/>
    </xf>
    <xf numFmtId="1" fontId="2" fillId="0" borderId="30" xfId="0" applyNumberFormat="1" applyFont="1" applyBorder="1" applyAlignment="1"/>
    <xf numFmtId="1" fontId="0" fillId="0" borderId="0" xfId="0" applyNumberFormat="1"/>
    <xf numFmtId="0" fontId="2" fillId="0" borderId="37" xfId="0" applyFont="1" applyBorder="1" applyAlignment="1">
      <alignment horizontal="left" vertical="center"/>
    </xf>
    <xf numFmtId="0" fontId="2" fillId="0" borderId="38" xfId="0" applyFont="1" applyBorder="1" applyAlignment="1">
      <alignment horizontal="left"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1" fontId="2" fillId="0" borderId="37" xfId="0" applyNumberFormat="1" applyFont="1" applyBorder="1" applyAlignment="1">
      <alignment horizontal="center" vertical="center"/>
    </xf>
    <xf numFmtId="0" fontId="2" fillId="0" borderId="48" xfId="0" applyFont="1" applyBorder="1" applyAlignment="1">
      <alignment horizontal="center" vertical="center"/>
    </xf>
    <xf numFmtId="0" fontId="2" fillId="0" borderId="0" xfId="0" applyFont="1" applyBorder="1" applyAlignment="1">
      <alignment horizontal="center" vertical="center"/>
    </xf>
    <xf numFmtId="1" fontId="2" fillId="0" borderId="0" xfId="0" applyNumberFormat="1" applyFont="1" applyBorder="1" applyAlignment="1">
      <alignment horizontal="center" vertical="center"/>
    </xf>
    <xf numFmtId="0" fontId="2" fillId="0" borderId="0" xfId="0" applyFont="1" applyBorder="1"/>
    <xf numFmtId="1" fontId="2" fillId="0" borderId="10" xfId="0" applyNumberFormat="1" applyFont="1" applyBorder="1" applyAlignment="1">
      <alignment horizontal="center" vertical="center"/>
    </xf>
    <xf numFmtId="0" fontId="8" fillId="0" borderId="0" xfId="0" applyFont="1" applyBorder="1" applyAlignment="1">
      <alignment horizontal="left" vertical="center" wrapText="1"/>
    </xf>
    <xf numFmtId="0" fontId="0" fillId="0" borderId="30" xfId="0" applyBorder="1" applyAlignment="1">
      <alignment horizontal="center"/>
    </xf>
    <xf numFmtId="0" fontId="0" fillId="0" borderId="0" xfId="0" applyBorder="1" applyAlignment="1">
      <alignment horizontal="center"/>
    </xf>
    <xf numFmtId="0" fontId="0" fillId="0" borderId="31" xfId="0" applyBorder="1" applyAlignment="1">
      <alignment horizontal="center"/>
    </xf>
    <xf numFmtId="1" fontId="2" fillId="0" borderId="10" xfId="0" applyNumberFormat="1" applyFont="1" applyBorder="1" applyAlignment="1">
      <alignment horizontal="center" vertical="center" wrapText="1"/>
    </xf>
    <xf numFmtId="1" fontId="2" fillId="0" borderId="22" xfId="0" applyNumberFormat="1" applyFont="1" applyBorder="1" applyAlignment="1">
      <alignment horizontal="center" vertical="center"/>
    </xf>
    <xf numFmtId="1" fontId="2" fillId="0" borderId="32" xfId="0" applyNumberFormat="1" applyFont="1" applyBorder="1" applyAlignment="1">
      <alignment horizontal="center" vertical="center"/>
    </xf>
    <xf numFmtId="1" fontId="2" fillId="0" borderId="22" xfId="0" applyNumberFormat="1" applyFont="1" applyBorder="1" applyAlignment="1">
      <alignment horizontal="center" vertical="center" wrapText="1"/>
    </xf>
    <xf numFmtId="0" fontId="2" fillId="0" borderId="10" xfId="0" applyFont="1" applyBorder="1" applyAlignment="1">
      <alignment horizontal="center" wrapText="1"/>
    </xf>
    <xf numFmtId="0" fontId="32" fillId="0" borderId="22" xfId="5" applyNumberFormat="1" applyFont="1" applyBorder="1"/>
    <xf numFmtId="1" fontId="2" fillId="0" borderId="24" xfId="0" applyNumberFormat="1" applyFont="1" applyBorder="1" applyAlignment="1">
      <alignment horizontal="center" vertical="center" wrapText="1"/>
    </xf>
    <xf numFmtId="0" fontId="2" fillId="0" borderId="0" xfId="0" applyFont="1" applyBorder="1" applyAlignment="1">
      <alignment horizontal="left" vertical="center"/>
    </xf>
    <xf numFmtId="0" fontId="2" fillId="0" borderId="22" xfId="0" applyFont="1" applyBorder="1" applyAlignment="1">
      <alignment horizontal="right" vertical="center"/>
    </xf>
    <xf numFmtId="1" fontId="0" fillId="0" borderId="32" xfId="0" applyNumberFormat="1" applyBorder="1"/>
    <xf numFmtId="0" fontId="2" fillId="0" borderId="22" xfId="0" applyFont="1" applyBorder="1" applyAlignment="1">
      <alignment horizontal="center" vertical="center"/>
    </xf>
    <xf numFmtId="0" fontId="2" fillId="0" borderId="32" xfId="0" applyFont="1" applyBorder="1" applyAlignment="1">
      <alignment horizontal="center" vertical="center"/>
    </xf>
    <xf numFmtId="0" fontId="2" fillId="0" borderId="47" xfId="0" applyFont="1" applyBorder="1" applyAlignment="1">
      <alignment horizontal="center" vertical="center"/>
    </xf>
    <xf numFmtId="0" fontId="43" fillId="0" borderId="0" xfId="0" applyFont="1" applyBorder="1"/>
    <xf numFmtId="0" fontId="0" fillId="0" borderId="33" xfId="0" applyFont="1" applyBorder="1"/>
    <xf numFmtId="0" fontId="0" fillId="0" borderId="0" xfId="0" applyFont="1" applyBorder="1"/>
    <xf numFmtId="0" fontId="32" fillId="0" borderId="0" xfId="0" applyFont="1" applyBorder="1"/>
    <xf numFmtId="1" fontId="2" fillId="0" borderId="0" xfId="0" applyNumberFormat="1" applyFont="1" applyBorder="1" applyAlignment="1">
      <alignment horizontal="center" vertical="center" wrapText="1"/>
    </xf>
    <xf numFmtId="0" fontId="2" fillId="0" borderId="0" xfId="0" applyFont="1" applyBorder="1" applyAlignment="1">
      <alignment horizontal="center" wrapText="1"/>
    </xf>
    <xf numFmtId="0" fontId="2" fillId="0" borderId="31" xfId="0" applyFont="1" applyBorder="1" applyAlignment="1">
      <alignment horizontal="center" vertical="center"/>
    </xf>
    <xf numFmtId="0" fontId="30" fillId="0" borderId="15" xfId="0" applyFont="1" applyBorder="1" applyAlignment="1"/>
    <xf numFmtId="0" fontId="30" fillId="0" borderId="29" xfId="0" applyFont="1" applyBorder="1" applyAlignment="1"/>
    <xf numFmtId="0" fontId="44" fillId="0" borderId="15" xfId="0" applyFont="1" applyBorder="1" applyAlignment="1"/>
    <xf numFmtId="0" fontId="0" fillId="0" borderId="0" xfId="0" applyFont="1" applyBorder="1" applyAlignment="1">
      <alignment vertical="top"/>
    </xf>
    <xf numFmtId="0" fontId="2" fillId="0" borderId="0" xfId="0" applyFont="1" applyBorder="1" applyAlignment="1">
      <alignment vertical="center" wrapText="1"/>
    </xf>
    <xf numFmtId="0" fontId="0" fillId="0" borderId="0" xfId="0" applyBorder="1" applyAlignment="1">
      <alignment vertical="top"/>
    </xf>
    <xf numFmtId="0" fontId="2" fillId="0" borderId="32" xfId="0" applyFont="1" applyBorder="1"/>
    <xf numFmtId="0" fontId="2" fillId="0" borderId="24" xfId="0" applyFont="1" applyBorder="1"/>
    <xf numFmtId="0" fontId="2" fillId="0" borderId="22" xfId="0" applyFont="1" applyBorder="1"/>
    <xf numFmtId="0" fontId="0" fillId="0" borderId="22" xfId="0" applyBorder="1"/>
    <xf numFmtId="0" fontId="0" fillId="0" borderId="32" xfId="0" applyBorder="1" applyAlignment="1"/>
    <xf numFmtId="0" fontId="2" fillId="0" borderId="24" xfId="0" applyFont="1" applyBorder="1" applyAlignment="1">
      <alignment horizontal="center" vertical="center"/>
    </xf>
    <xf numFmtId="0" fontId="2" fillId="0" borderId="22" xfId="0" applyFont="1" applyBorder="1" applyAlignment="1">
      <alignment horizontal="center" wrapText="1"/>
    </xf>
    <xf numFmtId="0" fontId="2" fillId="0" borderId="22" xfId="0" applyFont="1" applyBorder="1" applyAlignment="1">
      <alignment horizontal="left" wrapText="1"/>
    </xf>
    <xf numFmtId="0" fontId="0" fillId="0" borderId="0" xfId="0" applyFill="1" applyBorder="1"/>
    <xf numFmtId="0" fontId="2" fillId="0" borderId="31" xfId="0" applyFont="1" applyBorder="1" applyAlignment="1">
      <alignment vertical="center" wrapText="1"/>
    </xf>
    <xf numFmtId="0" fontId="0" fillId="0" borderId="47" xfId="0" applyBorder="1"/>
    <xf numFmtId="0" fontId="46" fillId="2" borderId="37" xfId="0" applyFont="1" applyFill="1" applyBorder="1" applyAlignment="1" applyProtection="1">
      <alignment vertical="center"/>
    </xf>
    <xf numFmtId="0" fontId="46" fillId="2" borderId="38" xfId="0" applyFont="1" applyFill="1" applyBorder="1" applyAlignment="1" applyProtection="1">
      <alignment vertical="center"/>
    </xf>
    <xf numFmtId="0" fontId="46" fillId="2" borderId="14" xfId="0" applyFont="1" applyFill="1" applyBorder="1" applyAlignment="1" applyProtection="1">
      <alignment vertical="center"/>
    </xf>
    <xf numFmtId="0" fontId="46" fillId="2" borderId="27" xfId="0" applyFont="1" applyFill="1" applyBorder="1" applyAlignment="1" applyProtection="1">
      <alignment vertical="center"/>
    </xf>
    <xf numFmtId="0" fontId="46" fillId="2" borderId="19" xfId="0" applyFont="1" applyFill="1" applyBorder="1" applyAlignment="1" applyProtection="1">
      <alignment vertical="center"/>
    </xf>
    <xf numFmtId="0" fontId="46" fillId="2" borderId="0" xfId="0" applyFont="1" applyFill="1" applyBorder="1" applyAlignment="1" applyProtection="1">
      <alignment vertical="center"/>
    </xf>
    <xf numFmtId="0" fontId="46" fillId="2" borderId="0" xfId="0" applyFont="1" applyFill="1" applyBorder="1" applyAlignment="1" applyProtection="1">
      <alignment horizontal="center" vertical="center"/>
    </xf>
    <xf numFmtId="0" fontId="46" fillId="2" borderId="22" xfId="0" applyFont="1" applyFill="1" applyBorder="1" applyAlignment="1" applyProtection="1">
      <alignment horizontal="center" vertical="center"/>
    </xf>
    <xf numFmtId="0" fontId="46" fillId="2" borderId="32" xfId="0" applyFont="1" applyFill="1" applyBorder="1" applyAlignment="1" applyProtection="1">
      <alignment vertical="center"/>
    </xf>
    <xf numFmtId="0" fontId="46" fillId="2" borderId="24" xfId="0" applyFont="1" applyFill="1" applyBorder="1" applyAlignment="1" applyProtection="1">
      <alignment vertical="center"/>
    </xf>
    <xf numFmtId="0" fontId="2" fillId="0" borderId="22" xfId="0" applyFont="1" applyBorder="1" applyAlignment="1">
      <alignment horizontal="left" vertical="center"/>
    </xf>
    <xf numFmtId="0" fontId="2" fillId="0" borderId="32" xfId="0" applyFont="1" applyBorder="1" applyAlignment="1">
      <alignment horizontal="left" vertical="center"/>
    </xf>
    <xf numFmtId="0" fontId="2" fillId="0" borderId="24" xfId="0" applyFont="1" applyBorder="1" applyAlignment="1">
      <alignment horizontal="left" vertical="center"/>
    </xf>
    <xf numFmtId="0" fontId="31" fillId="0" borderId="0" xfId="0" applyFont="1" applyBorder="1" applyAlignment="1"/>
    <xf numFmtId="0" fontId="5" fillId="0" borderId="0" xfId="0" applyFont="1" applyBorder="1" applyAlignment="1"/>
    <xf numFmtId="0" fontId="5" fillId="0" borderId="22" xfId="0" applyFont="1" applyBorder="1" applyAlignment="1"/>
    <xf numFmtId="0" fontId="5" fillId="0" borderId="36" xfId="0" applyFont="1" applyBorder="1" applyAlignment="1"/>
    <xf numFmtId="0" fontId="31" fillId="0" borderId="37" xfId="0" applyFont="1" applyBorder="1" applyAlignment="1"/>
    <xf numFmtId="0" fontId="5" fillId="0" borderId="32" xfId="0" applyFont="1" applyBorder="1" applyAlignment="1"/>
    <xf numFmtId="0" fontId="46" fillId="0" borderId="22" xfId="0" applyFont="1" applyFill="1" applyBorder="1" applyAlignment="1" applyProtection="1">
      <alignment vertical="center"/>
    </xf>
    <xf numFmtId="0" fontId="47" fillId="2" borderId="37" xfId="0" applyFont="1" applyFill="1" applyBorder="1" applyAlignment="1" applyProtection="1">
      <alignment horizontal="center" vertical="center"/>
      <protection locked="0"/>
    </xf>
    <xf numFmtId="0" fontId="46" fillId="2" borderId="22" xfId="0" applyFont="1" applyFill="1" applyBorder="1" applyAlignment="1" applyProtection="1">
      <alignment vertical="center"/>
    </xf>
    <xf numFmtId="0" fontId="11" fillId="0" borderId="0" xfId="0" applyFont="1" applyBorder="1" applyAlignment="1"/>
    <xf numFmtId="0" fontId="2" fillId="0" borderId="0" xfId="0" applyFont="1" applyBorder="1" applyAlignment="1">
      <alignment vertical="top"/>
    </xf>
    <xf numFmtId="0" fontId="46" fillId="2" borderId="0" xfId="0" applyFont="1" applyFill="1" applyBorder="1" applyAlignment="1" applyProtection="1">
      <alignment vertical="center" wrapText="1"/>
    </xf>
    <xf numFmtId="0" fontId="46" fillId="2" borderId="10" xfId="0" applyFont="1" applyFill="1" applyBorder="1" applyAlignment="1" applyProtection="1">
      <alignment vertical="center" wrapText="1"/>
    </xf>
    <xf numFmtId="0" fontId="46" fillId="2" borderId="22" xfId="0" applyFont="1" applyFill="1" applyBorder="1" applyAlignment="1" applyProtection="1">
      <alignment vertical="center" wrapText="1"/>
    </xf>
    <xf numFmtId="0" fontId="46" fillId="2" borderId="24" xfId="0" applyFont="1" applyFill="1" applyBorder="1" applyAlignment="1" applyProtection="1">
      <alignment vertical="center" wrapText="1"/>
    </xf>
    <xf numFmtId="0" fontId="49" fillId="2" borderId="0" xfId="0" applyFont="1" applyFill="1" applyBorder="1" applyAlignment="1" applyProtection="1">
      <alignment vertical="center"/>
    </xf>
    <xf numFmtId="0" fontId="49" fillId="2" borderId="32" xfId="0" applyFont="1" applyFill="1" applyBorder="1" applyAlignment="1" applyProtection="1">
      <alignment vertical="center"/>
    </xf>
    <xf numFmtId="0" fontId="52" fillId="0" borderId="0" xfId="0" applyFont="1" applyBorder="1" applyAlignment="1">
      <alignment horizontal="left" vertical="center"/>
    </xf>
    <xf numFmtId="0" fontId="52" fillId="0" borderId="0" xfId="0" applyFont="1" applyBorder="1"/>
    <xf numFmtId="0" fontId="48" fillId="2" borderId="0" xfId="0" applyFont="1" applyFill="1" applyBorder="1" applyAlignment="1" applyProtection="1">
      <alignment vertical="center"/>
    </xf>
    <xf numFmtId="0" fontId="53" fillId="0" borderId="0" xfId="0" applyFont="1" applyBorder="1" applyAlignment="1">
      <alignment horizontal="left" vertical="top" wrapText="1"/>
    </xf>
    <xf numFmtId="1" fontId="2" fillId="0" borderId="0" xfId="0" applyNumberFormat="1" applyFont="1" applyBorder="1"/>
    <xf numFmtId="14" fontId="2" fillId="0" borderId="0" xfId="0" applyNumberFormat="1" applyFont="1" applyBorder="1" applyAlignment="1">
      <alignment horizontal="center"/>
    </xf>
    <xf numFmtId="0" fontId="11" fillId="0" borderId="32" xfId="0" applyFont="1" applyBorder="1" applyAlignment="1"/>
    <xf numFmtId="0" fontId="56" fillId="0" borderId="32" xfId="0" applyFont="1" applyBorder="1" applyAlignment="1">
      <alignment horizontal="left" vertical="center"/>
    </xf>
    <xf numFmtId="0" fontId="56" fillId="0" borderId="24" xfId="0" applyFont="1" applyBorder="1" applyAlignment="1">
      <alignment horizontal="left" vertical="center"/>
    </xf>
    <xf numFmtId="0" fontId="57" fillId="0" borderId="22" xfId="0" applyFont="1" applyBorder="1" applyAlignment="1">
      <alignment horizontal="left" vertical="center"/>
    </xf>
    <xf numFmtId="0" fontId="57" fillId="0" borderId="0" xfId="0" applyFont="1" applyBorder="1" applyAlignment="1">
      <alignment horizontal="left" vertical="center"/>
    </xf>
    <xf numFmtId="0" fontId="57" fillId="0" borderId="0" xfId="0" applyFont="1" applyBorder="1"/>
    <xf numFmtId="0" fontId="58" fillId="0" borderId="0" xfId="0" applyFont="1" applyBorder="1"/>
    <xf numFmtId="0" fontId="58" fillId="0" borderId="0" xfId="5" applyNumberFormat="1" applyFont="1" applyBorder="1"/>
    <xf numFmtId="0" fontId="59" fillId="0" borderId="0" xfId="0" applyFont="1" applyBorder="1"/>
    <xf numFmtId="0" fontId="31" fillId="0" borderId="31" xfId="0" applyFont="1" applyBorder="1" applyAlignment="1"/>
    <xf numFmtId="0" fontId="0" fillId="0" borderId="0" xfId="0" applyFont="1" applyBorder="1" applyAlignment="1"/>
    <xf numFmtId="0" fontId="56" fillId="0" borderId="0" xfId="0" applyFont="1" applyBorder="1" applyAlignment="1">
      <alignment horizontal="left" vertical="center"/>
    </xf>
    <xf numFmtId="0" fontId="31" fillId="0" borderId="48" xfId="0" applyFont="1" applyBorder="1" applyAlignment="1"/>
    <xf numFmtId="0" fontId="5" fillId="0" borderId="47" xfId="0" applyFont="1" applyBorder="1" applyAlignment="1"/>
    <xf numFmtId="0" fontId="46" fillId="2" borderId="47" xfId="0" applyFont="1" applyFill="1" applyBorder="1" applyAlignment="1" applyProtection="1">
      <alignment vertical="center"/>
    </xf>
    <xf numFmtId="0" fontId="0" fillId="0" borderId="30" xfId="0" applyFill="1" applyBorder="1"/>
    <xf numFmtId="0" fontId="46" fillId="2" borderId="44" xfId="0" applyFont="1" applyFill="1" applyBorder="1" applyAlignment="1" applyProtection="1">
      <alignment horizontal="center" vertical="center"/>
    </xf>
    <xf numFmtId="0" fontId="49" fillId="2" borderId="47" xfId="0" applyFont="1" applyFill="1" applyBorder="1" applyAlignment="1" applyProtection="1">
      <alignment vertical="center"/>
    </xf>
    <xf numFmtId="0" fontId="53" fillId="0" borderId="31" xfId="0" applyFont="1" applyBorder="1" applyAlignment="1">
      <alignment horizontal="left" vertical="top" wrapText="1"/>
    </xf>
    <xf numFmtId="0" fontId="48" fillId="2" borderId="31" xfId="0" applyFont="1" applyFill="1" applyBorder="1" applyAlignment="1" applyProtection="1">
      <alignment vertical="center"/>
    </xf>
    <xf numFmtId="1" fontId="2" fillId="0" borderId="10" xfId="0" applyNumberFormat="1" applyFont="1" applyBorder="1" applyAlignment="1">
      <alignment horizontal="center" vertical="center"/>
    </xf>
    <xf numFmtId="0" fontId="0" fillId="0" borderId="30" xfId="0" applyBorder="1" applyAlignment="1">
      <alignment horizontal="center"/>
    </xf>
    <xf numFmtId="0" fontId="0" fillId="0" borderId="0" xfId="0" applyBorder="1" applyAlignment="1">
      <alignment horizontal="center"/>
    </xf>
    <xf numFmtId="0" fontId="0" fillId="0" borderId="31" xfId="0" applyBorder="1" applyAlignment="1">
      <alignment horizontal="center"/>
    </xf>
    <xf numFmtId="0" fontId="8" fillId="0" borderId="0" xfId="0" applyFont="1" applyBorder="1" applyAlignment="1">
      <alignment horizontal="left" vertical="center" wrapText="1"/>
    </xf>
    <xf numFmtId="0" fontId="46" fillId="2" borderId="37" xfId="0" applyFont="1" applyFill="1" applyBorder="1" applyAlignment="1" applyProtection="1">
      <alignment vertical="center"/>
    </xf>
    <xf numFmtId="0" fontId="46" fillId="2" borderId="22" xfId="0" applyFont="1" applyFill="1" applyBorder="1" applyAlignment="1" applyProtection="1">
      <alignment horizontal="center" vertical="center"/>
    </xf>
    <xf numFmtId="1" fontId="2" fillId="0" borderId="22" xfId="0" applyNumberFormat="1" applyFont="1" applyBorder="1" applyAlignment="1">
      <alignment horizontal="center" vertical="center" wrapText="1"/>
    </xf>
    <xf numFmtId="1" fontId="2" fillId="0" borderId="24" xfId="0" applyNumberFormat="1" applyFont="1" applyBorder="1" applyAlignment="1">
      <alignment horizontal="center" vertical="center" wrapText="1"/>
    </xf>
    <xf numFmtId="0" fontId="2" fillId="0" borderId="22" xfId="0" applyFont="1" applyBorder="1" applyAlignment="1">
      <alignment horizontal="center" vertical="center"/>
    </xf>
    <xf numFmtId="0" fontId="2" fillId="0" borderId="32" xfId="0" applyFont="1" applyBorder="1" applyAlignment="1">
      <alignment horizontal="center" vertical="center"/>
    </xf>
    <xf numFmtId="0" fontId="2" fillId="0" borderId="24" xfId="0" applyFont="1" applyBorder="1" applyAlignment="1">
      <alignment horizontal="center" vertical="center"/>
    </xf>
    <xf numFmtId="1" fontId="2" fillId="0" borderId="0" xfId="0" applyNumberFormat="1" applyFont="1" applyBorder="1" applyAlignment="1">
      <alignment horizontal="center" vertical="center" wrapText="1"/>
    </xf>
    <xf numFmtId="1" fontId="2" fillId="0" borderId="22" xfId="0" applyNumberFormat="1" applyFont="1" applyBorder="1" applyAlignment="1">
      <alignment horizontal="center" vertical="center"/>
    </xf>
    <xf numFmtId="0" fontId="2" fillId="0" borderId="47" xfId="0" applyFont="1" applyBorder="1" applyAlignment="1">
      <alignment horizontal="center" vertical="center"/>
    </xf>
    <xf numFmtId="0" fontId="0" fillId="0" borderId="0" xfId="0" applyBorder="1" applyAlignment="1">
      <alignment vertical="center"/>
    </xf>
    <xf numFmtId="0" fontId="2" fillId="0" borderId="0" xfId="0" applyFont="1" applyBorder="1" applyAlignment="1">
      <alignment horizontal="left" vertical="center"/>
    </xf>
    <xf numFmtId="1" fontId="2" fillId="0" borderId="0" xfId="0" applyNumberFormat="1" applyFont="1" applyBorder="1" applyAlignment="1">
      <alignment horizontal="center" vertical="center"/>
    </xf>
    <xf numFmtId="1" fontId="0" fillId="0" borderId="0" xfId="0" applyNumberFormat="1" applyBorder="1"/>
    <xf numFmtId="0" fontId="2" fillId="0" borderId="0" xfId="0" applyFont="1" applyBorder="1" applyAlignment="1">
      <alignment horizontal="center" vertical="center"/>
    </xf>
    <xf numFmtId="2" fontId="2" fillId="0" borderId="0" xfId="0" applyNumberFormat="1" applyFont="1" applyBorder="1" applyAlignment="1">
      <alignment horizontal="center" vertical="center"/>
    </xf>
    <xf numFmtId="0" fontId="62" fillId="0" borderId="0" xfId="0" applyFont="1" applyBorder="1" applyAlignment="1">
      <alignment vertical="center"/>
    </xf>
    <xf numFmtId="0" fontId="28" fillId="0" borderId="30" xfId="0" applyFont="1" applyBorder="1"/>
    <xf numFmtId="0" fontId="28" fillId="0" borderId="30" xfId="0" applyFont="1" applyBorder="1" applyAlignment="1"/>
    <xf numFmtId="0" fontId="62" fillId="0" borderId="30" xfId="0" applyFont="1" applyBorder="1" applyAlignment="1">
      <alignment horizontal="left" vertical="center" wrapText="1"/>
    </xf>
    <xf numFmtId="0" fontId="0" fillId="0" borderId="0" xfId="0" applyBorder="1" applyAlignment="1">
      <alignment horizontal="left"/>
    </xf>
    <xf numFmtId="0" fontId="0" fillId="0" borderId="30" xfId="0" applyBorder="1" applyAlignment="1">
      <alignment vertical="center" wrapText="1"/>
    </xf>
    <xf numFmtId="0" fontId="0" fillId="0" borderId="0" xfId="0" applyBorder="1" applyAlignment="1">
      <alignment vertical="center" wrapText="1"/>
    </xf>
    <xf numFmtId="0" fontId="0" fillId="0" borderId="31" xfId="0" applyBorder="1" applyAlignment="1">
      <alignment vertical="center" wrapText="1"/>
    </xf>
    <xf numFmtId="0" fontId="28" fillId="0" borderId="0" xfId="0" applyFont="1" applyBorder="1"/>
    <xf numFmtId="0" fontId="28" fillId="0" borderId="31" xfId="0" applyFont="1" applyBorder="1"/>
    <xf numFmtId="0" fontId="28" fillId="0" borderId="51"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44" xfId="0" applyFont="1" applyBorder="1" applyAlignment="1">
      <alignment horizontal="center" vertical="center" wrapText="1"/>
    </xf>
    <xf numFmtId="0" fontId="0" fillId="0" borderId="51" xfId="0" applyBorder="1" applyAlignment="1">
      <alignment horizontal="center"/>
    </xf>
    <xf numFmtId="0" fontId="0" fillId="0" borderId="10" xfId="0" applyBorder="1" applyAlignment="1">
      <alignment horizontal="center"/>
    </xf>
    <xf numFmtId="0" fontId="0" fillId="0" borderId="44" xfId="0" applyBorder="1" applyAlignment="1">
      <alignment horizontal="center"/>
    </xf>
    <xf numFmtId="0" fontId="0" fillId="0" borderId="44" xfId="0" applyBorder="1"/>
    <xf numFmtId="0" fontId="0" fillId="0" borderId="10" xfId="0" applyBorder="1" applyAlignment="1">
      <alignment horizontal="center"/>
    </xf>
    <xf numFmtId="0" fontId="0" fillId="0" borderId="44" xfId="0" applyBorder="1" applyAlignment="1">
      <alignment horizontal="center"/>
    </xf>
    <xf numFmtId="0" fontId="24" fillId="0" borderId="0" xfId="0" applyFont="1" applyBorder="1"/>
    <xf numFmtId="0" fontId="0" fillId="0" borderId="30" xfId="0" applyBorder="1" applyAlignment="1">
      <alignment horizontal="left" vertical="center" wrapText="1"/>
    </xf>
    <xf numFmtId="0" fontId="0" fillId="0" borderId="0" xfId="0" applyBorder="1" applyAlignment="1">
      <alignment horizontal="left" vertical="center" wrapText="1"/>
    </xf>
    <xf numFmtId="0" fontId="0" fillId="0" borderId="31" xfId="0" applyBorder="1" applyAlignment="1">
      <alignment horizontal="left" vertical="center" wrapText="1"/>
    </xf>
    <xf numFmtId="0" fontId="8" fillId="0" borderId="30" xfId="0" applyFont="1" applyBorder="1" applyAlignment="1">
      <alignment horizontal="left" vertical="center"/>
    </xf>
    <xf numFmtId="0" fontId="8" fillId="0" borderId="0" xfId="0" applyFont="1" applyBorder="1" applyAlignment="1">
      <alignment horizontal="left" vertical="center"/>
    </xf>
    <xf numFmtId="0" fontId="8" fillId="0" borderId="31" xfId="0" applyFont="1" applyBorder="1" applyAlignment="1">
      <alignment horizontal="left" vertical="center"/>
    </xf>
    <xf numFmtId="0" fontId="0" fillId="0" borderId="31" xfId="0" applyBorder="1" applyAlignment="1">
      <alignment horizontal="left" vertical="center"/>
    </xf>
    <xf numFmtId="0" fontId="9" fillId="0" borderId="30" xfId="0" applyFont="1" applyBorder="1" applyAlignment="1">
      <alignment vertical="center"/>
    </xf>
    <xf numFmtId="0" fontId="28" fillId="0" borderId="0" xfId="0" applyFont="1" applyBorder="1" applyAlignment="1">
      <alignment horizontal="center"/>
    </xf>
    <xf numFmtId="1" fontId="11" fillId="0" borderId="0" xfId="0" applyNumberFormat="1" applyFont="1" applyBorder="1" applyAlignment="1"/>
    <xf numFmtId="0" fontId="0" fillId="0" borderId="8" xfId="0" applyBorder="1" applyAlignment="1"/>
    <xf numFmtId="0" fontId="28" fillId="0" borderId="16" xfId="0" applyFont="1" applyBorder="1" applyAlignment="1"/>
    <xf numFmtId="0" fontId="2" fillId="0" borderId="17" xfId="0" applyFont="1" applyBorder="1" applyAlignment="1"/>
    <xf numFmtId="0" fontId="0" fillId="0" borderId="51" xfId="0" applyBorder="1" applyAlignment="1"/>
    <xf numFmtId="0" fontId="28" fillId="0" borderId="35" xfId="0" applyFont="1" applyFill="1" applyBorder="1"/>
    <xf numFmtId="0" fontId="63" fillId="0" borderId="51" xfId="0" applyFont="1" applyBorder="1" applyAlignment="1">
      <alignment horizontal="center"/>
    </xf>
    <xf numFmtId="0" fontId="63" fillId="0" borderId="44" xfId="0" applyFont="1" applyBorder="1" applyAlignment="1">
      <alignment horizontal="center"/>
    </xf>
    <xf numFmtId="0" fontId="8" fillId="0" borderId="17" xfId="0" applyFont="1" applyBorder="1" applyAlignment="1"/>
    <xf numFmtId="0" fontId="0" fillId="0" borderId="15" xfId="0" applyBorder="1" applyAlignment="1"/>
    <xf numFmtId="0" fontId="0" fillId="0" borderId="29" xfId="0" applyBorder="1" applyAlignment="1"/>
    <xf numFmtId="14" fontId="0" fillId="0" borderId="0" xfId="0" applyNumberFormat="1" applyBorder="1"/>
    <xf numFmtId="9" fontId="0" fillId="0" borderId="10" xfId="0" applyNumberFormat="1" applyBorder="1"/>
    <xf numFmtId="0" fontId="58" fillId="0" borderId="22" xfId="0" applyFont="1" applyBorder="1"/>
    <xf numFmtId="0" fontId="0" fillId="0" borderId="22" xfId="0" applyFont="1" applyBorder="1"/>
    <xf numFmtId="14" fontId="0" fillId="0" borderId="33" xfId="0" applyNumberFormat="1" applyBorder="1"/>
    <xf numFmtId="14" fontId="0" fillId="0" borderId="0" xfId="0" applyNumberFormat="1" applyFont="1" applyBorder="1" applyAlignment="1"/>
    <xf numFmtId="1" fontId="31" fillId="0" borderId="37" xfId="0" applyNumberFormat="1" applyFont="1" applyBorder="1" applyAlignment="1"/>
    <xf numFmtId="14" fontId="2" fillId="0" borderId="0" xfId="0" applyNumberFormat="1" applyFont="1" applyBorder="1"/>
    <xf numFmtId="1" fontId="11" fillId="0" borderId="32" xfId="0" applyNumberFormat="1" applyFont="1" applyBorder="1" applyAlignment="1"/>
    <xf numFmtId="9" fontId="0" fillId="0" borderId="31" xfId="0" applyNumberFormat="1" applyBorder="1" applyAlignment="1">
      <alignment horizontal="center"/>
    </xf>
    <xf numFmtId="14" fontId="28" fillId="0" borderId="0" xfId="0" applyNumberFormat="1" applyFont="1" applyBorder="1"/>
    <xf numFmtId="1" fontId="0" fillId="0" borderId="30" xfId="0" applyNumberFormat="1" applyBorder="1"/>
    <xf numFmtId="0" fontId="0" fillId="0" borderId="53" xfId="0" applyBorder="1"/>
    <xf numFmtId="1" fontId="22" fillId="0" borderId="53" xfId="0" applyNumberFormat="1" applyFont="1" applyFill="1" applyBorder="1" applyAlignment="1">
      <alignment horizontal="center" vertical="top"/>
    </xf>
    <xf numFmtId="0" fontId="8" fillId="0" borderId="30" xfId="0" applyFont="1" applyBorder="1" applyAlignment="1"/>
    <xf numFmtId="0" fontId="8" fillId="0" borderId="0" xfId="0" applyFont="1" applyBorder="1" applyAlignment="1"/>
    <xf numFmtId="1" fontId="8" fillId="0" borderId="0" xfId="0" applyNumberFormat="1" applyFont="1" applyBorder="1"/>
    <xf numFmtId="0" fontId="8" fillId="0" borderId="53" xfId="0" applyFont="1" applyBorder="1"/>
    <xf numFmtId="0" fontId="8" fillId="0" borderId="53" xfId="0" applyFont="1" applyFill="1" applyBorder="1"/>
    <xf numFmtId="1" fontId="8" fillId="0" borderId="53" xfId="0" applyNumberFormat="1" applyFont="1" applyBorder="1"/>
    <xf numFmtId="1" fontId="0" fillId="0" borderId="53" xfId="0" applyNumberFormat="1" applyBorder="1"/>
    <xf numFmtId="14" fontId="15" fillId="2" borderId="9" xfId="0" applyNumberFormat="1" applyFont="1" applyFill="1" applyBorder="1" applyAlignment="1"/>
    <xf numFmtId="0" fontId="0" fillId="2" borderId="0" xfId="0" applyFill="1" applyAlignment="1"/>
    <xf numFmtId="0" fontId="0" fillId="2" borderId="0" xfId="0" applyFill="1" applyAlignment="1">
      <alignment horizontal="center"/>
    </xf>
    <xf numFmtId="0" fontId="2" fillId="2" borderId="0" xfId="0" applyFont="1" applyFill="1" applyAlignment="1"/>
    <xf numFmtId="0" fontId="7" fillId="2" borderId="0" xfId="0" applyFont="1" applyFill="1" applyBorder="1" applyAlignment="1"/>
    <xf numFmtId="0" fontId="2" fillId="2" borderId="0" xfId="0" applyFont="1" applyFill="1" applyAlignment="1">
      <alignment horizontal="center"/>
    </xf>
    <xf numFmtId="0" fontId="0" fillId="2" borderId="0" xfId="0" applyFill="1" applyAlignment="1">
      <alignment horizontal="left"/>
    </xf>
    <xf numFmtId="0" fontId="7" fillId="2" borderId="0" xfId="0" applyFont="1" applyFill="1" applyBorder="1" applyAlignment="1">
      <alignment horizontal="center"/>
    </xf>
    <xf numFmtId="0" fontId="10" fillId="2" borderId="0" xfId="0" applyFont="1" applyFill="1" applyBorder="1" applyAlignment="1">
      <alignment horizontal="left"/>
    </xf>
    <xf numFmtId="0" fontId="10" fillId="2" borderId="0" xfId="0" applyFont="1" applyFill="1" applyBorder="1" applyAlignment="1"/>
    <xf numFmtId="0" fontId="10" fillId="2" borderId="0" xfId="0" applyFont="1" applyFill="1" applyBorder="1" applyAlignment="1">
      <alignment horizontal="center"/>
    </xf>
    <xf numFmtId="0" fontId="2" fillId="2" borderId="3" xfId="0" applyFont="1" applyFill="1" applyBorder="1" applyAlignment="1">
      <alignment horizontal="center" vertical="center"/>
    </xf>
    <xf numFmtId="0" fontId="0" fillId="2" borderId="0" xfId="0" applyFill="1" applyAlignment="1">
      <alignment vertical="center"/>
    </xf>
    <xf numFmtId="0" fontId="8" fillId="2" borderId="0" xfId="3" applyFill="1" applyAlignment="1">
      <alignment horizontal="center"/>
    </xf>
    <xf numFmtId="0" fontId="8" fillId="2" borderId="0" xfId="3" applyFill="1"/>
    <xf numFmtId="0" fontId="57" fillId="2" borderId="0" xfId="0" applyFont="1" applyFill="1"/>
    <xf numFmtId="0" fontId="2" fillId="2" borderId="20" xfId="0" applyFont="1" applyFill="1" applyBorder="1" applyAlignment="1">
      <alignment horizontal="left" vertical="center"/>
    </xf>
    <xf numFmtId="0" fontId="2" fillId="2" borderId="10" xfId="0" applyFont="1" applyFill="1" applyBorder="1" applyAlignment="1">
      <alignment horizontal="left" vertical="center" wrapText="1"/>
    </xf>
    <xf numFmtId="1" fontId="13" fillId="2" borderId="0" xfId="0" applyNumberFormat="1" applyFont="1" applyFill="1" applyBorder="1" applyAlignment="1">
      <alignment horizontal="left" vertical="center"/>
    </xf>
    <xf numFmtId="0" fontId="20" fillId="2" borderId="0" xfId="3"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5" fillId="2" borderId="0" xfId="0" applyFont="1" applyFill="1" applyAlignment="1">
      <alignment horizontal="left" vertical="center"/>
    </xf>
    <xf numFmtId="0" fontId="2" fillId="2" borderId="0" xfId="0" applyFont="1" applyFill="1" applyAlignment="1">
      <alignment horizontal="left" vertical="center"/>
    </xf>
    <xf numFmtId="0" fontId="4" fillId="2" borderId="0" xfId="0" applyFont="1" applyFill="1" applyAlignment="1">
      <alignment horizontal="left" vertical="center"/>
    </xf>
    <xf numFmtId="0" fontId="66" fillId="2" borderId="0" xfId="0" applyFont="1" applyFill="1" applyAlignment="1">
      <alignment horizontal="left" vertical="center"/>
    </xf>
    <xf numFmtId="0" fontId="8" fillId="2" borderId="0" xfId="0" applyFont="1" applyFill="1" applyAlignment="1">
      <alignment horizontal="left" vertical="center"/>
    </xf>
    <xf numFmtId="0" fontId="9" fillId="2" borderId="0" xfId="0" applyFont="1" applyFill="1" applyAlignment="1">
      <alignment horizontal="left" vertical="center"/>
    </xf>
    <xf numFmtId="17" fontId="2" fillId="2" borderId="0" xfId="0" applyNumberFormat="1" applyFont="1" applyFill="1" applyAlignment="1">
      <alignment horizontal="left" vertical="center"/>
    </xf>
    <xf numFmtId="1" fontId="14" fillId="2" borderId="0" xfId="0" applyNumberFormat="1" applyFont="1" applyFill="1" applyBorder="1" applyAlignment="1">
      <alignment horizontal="left" vertical="center"/>
    </xf>
    <xf numFmtId="0" fontId="15" fillId="2" borderId="0" xfId="0" applyFont="1" applyFill="1" applyBorder="1" applyAlignment="1">
      <alignment horizontal="left" vertical="center"/>
    </xf>
    <xf numFmtId="0" fontId="0" fillId="2" borderId="0" xfId="0" applyFill="1" applyBorder="1" applyAlignment="1">
      <alignment horizontal="left" vertical="center"/>
    </xf>
    <xf numFmtId="1" fontId="14" fillId="2" borderId="0" xfId="1" applyNumberFormat="1" applyFont="1" applyFill="1" applyBorder="1" applyAlignment="1">
      <alignment horizontal="left" vertical="center"/>
    </xf>
    <xf numFmtId="1" fontId="13" fillId="2" borderId="0" xfId="1" applyNumberFormat="1" applyFont="1" applyFill="1" applyBorder="1" applyAlignment="1">
      <alignment horizontal="left" vertical="center"/>
    </xf>
    <xf numFmtId="0" fontId="8" fillId="2" borderId="0" xfId="3" applyFill="1" applyAlignment="1">
      <alignment horizontal="left" vertical="center"/>
    </xf>
    <xf numFmtId="0" fontId="57" fillId="2" borderId="0" xfId="0" applyFont="1" applyFill="1" applyBorder="1"/>
    <xf numFmtId="1" fontId="16" fillId="2" borderId="0" xfId="2" quotePrefix="1" applyNumberFormat="1" applyFont="1" applyFill="1" applyBorder="1" applyAlignment="1">
      <alignment horizontal="left"/>
    </xf>
    <xf numFmtId="1" fontId="55" fillId="2" borderId="0" xfId="0" applyNumberFormat="1" applyFont="1" applyFill="1" applyBorder="1" applyAlignment="1">
      <alignment horizontal="left" vertical="center"/>
    </xf>
    <xf numFmtId="14" fontId="22" fillId="2" borderId="0" xfId="0" applyNumberFormat="1" applyFont="1" applyFill="1" applyBorder="1" applyAlignment="1">
      <alignment horizontal="left" vertical="center"/>
    </xf>
    <xf numFmtId="1" fontId="21" fillId="2" borderId="0" xfId="0" applyNumberFormat="1" applyFont="1" applyFill="1" applyBorder="1" applyAlignment="1">
      <alignment horizontal="left" vertical="center"/>
    </xf>
    <xf numFmtId="1" fontId="17" fillId="2" borderId="0" xfId="0" applyNumberFormat="1" applyFont="1" applyFill="1" applyBorder="1" applyAlignment="1">
      <alignment horizontal="left" vertical="center"/>
    </xf>
    <xf numFmtId="1" fontId="18" fillId="2" borderId="0" xfId="0" applyNumberFormat="1" applyFont="1" applyFill="1" applyBorder="1" applyAlignment="1">
      <alignment horizontal="left" vertical="center"/>
    </xf>
    <xf numFmtId="0" fontId="0" fillId="2" borderId="0" xfId="0" applyFill="1" applyBorder="1"/>
    <xf numFmtId="1" fontId="13" fillId="2" borderId="0" xfId="0" applyNumberFormat="1" applyFont="1" applyFill="1" applyBorder="1" applyAlignment="1">
      <alignment horizontal="left" vertical="center" wrapText="1"/>
    </xf>
    <xf numFmtId="1" fontId="21" fillId="2" borderId="10" xfId="0" applyNumberFormat="1" applyFont="1" applyFill="1" applyBorder="1" applyAlignment="1">
      <alignment horizontal="left" vertical="top"/>
    </xf>
    <xf numFmtId="0" fontId="0" fillId="2" borderId="25" xfId="0" applyFill="1" applyBorder="1" applyAlignment="1">
      <alignment horizontal="left" vertical="center"/>
    </xf>
    <xf numFmtId="0" fontId="2" fillId="2" borderId="54" xfId="0" applyFont="1" applyFill="1" applyBorder="1" applyAlignment="1">
      <alignment horizontal="left" vertical="center" wrapText="1"/>
    </xf>
    <xf numFmtId="1" fontId="16" fillId="2" borderId="53" xfId="0" applyNumberFormat="1" applyFont="1" applyFill="1" applyBorder="1" applyAlignment="1">
      <alignment horizontal="center" vertical="center"/>
    </xf>
    <xf numFmtId="1" fontId="16" fillId="2" borderId="53" xfId="0" applyNumberFormat="1" applyFont="1" applyFill="1" applyBorder="1" applyAlignment="1">
      <alignment horizontal="center"/>
    </xf>
    <xf numFmtId="0" fontId="68" fillId="2" borderId="53" xfId="0" applyFont="1" applyFill="1" applyBorder="1" applyAlignment="1">
      <alignment horizontal="left" vertical="center"/>
    </xf>
    <xf numFmtId="0" fontId="15" fillId="2" borderId="53" xfId="0" applyFont="1" applyFill="1" applyBorder="1" applyAlignment="1">
      <alignment horizontal="left" vertical="center"/>
    </xf>
    <xf numFmtId="0" fontId="69" fillId="2" borderId="53" xfId="0" applyFont="1" applyFill="1" applyBorder="1" applyAlignment="1">
      <alignment horizontal="left" vertical="center"/>
    </xf>
    <xf numFmtId="0" fontId="19" fillId="2" borderId="53" xfId="0" applyFont="1" applyFill="1" applyBorder="1" applyAlignment="1">
      <alignment horizontal="left" vertical="center" wrapText="1"/>
    </xf>
    <xf numFmtId="1" fontId="19" fillId="2" borderId="53" xfId="0" applyNumberFormat="1" applyFont="1" applyFill="1" applyBorder="1" applyAlignment="1">
      <alignment horizontal="left" vertical="center"/>
    </xf>
    <xf numFmtId="1" fontId="69" fillId="2" borderId="53" xfId="0" applyNumberFormat="1" applyFont="1" applyFill="1" applyBorder="1" applyAlignment="1">
      <alignment horizontal="left" vertical="center"/>
    </xf>
    <xf numFmtId="15" fontId="5" fillId="2" borderId="53" xfId="0" applyNumberFormat="1" applyFont="1" applyFill="1" applyBorder="1" applyAlignment="1">
      <alignment horizontal="left" vertical="center"/>
    </xf>
    <xf numFmtId="1" fontId="19" fillId="2" borderId="53" xfId="1" applyNumberFormat="1" applyFont="1" applyFill="1" applyBorder="1" applyAlignment="1">
      <alignment horizontal="left" vertical="center"/>
    </xf>
    <xf numFmtId="3" fontId="5" fillId="2" borderId="53" xfId="0" applyNumberFormat="1" applyFont="1" applyFill="1" applyBorder="1" applyAlignment="1">
      <alignment horizontal="left" vertical="center"/>
    </xf>
    <xf numFmtId="1" fontId="5" fillId="2" borderId="53" xfId="0" applyNumberFormat="1" applyFont="1" applyFill="1" applyBorder="1" applyAlignment="1">
      <alignment horizontal="left" vertical="center"/>
    </xf>
    <xf numFmtId="1" fontId="19" fillId="2" borderId="53" xfId="1" applyNumberFormat="1" applyFont="1" applyFill="1" applyBorder="1" applyAlignment="1">
      <alignment horizontal="center" vertical="center"/>
    </xf>
    <xf numFmtId="1" fontId="5" fillId="2" borderId="53" xfId="0" applyNumberFormat="1" applyFont="1" applyFill="1" applyBorder="1" applyAlignment="1">
      <alignment horizontal="center" vertical="center"/>
    </xf>
    <xf numFmtId="14" fontId="19" fillId="2" borderId="53" xfId="0" applyNumberFormat="1" applyFont="1" applyFill="1" applyBorder="1" applyAlignment="1">
      <alignment vertical="center"/>
    </xf>
    <xf numFmtId="1" fontId="19" fillId="2" borderId="53" xfId="0" applyNumberFormat="1" applyFont="1" applyFill="1" applyBorder="1" applyAlignment="1">
      <alignment horizontal="center" vertical="center"/>
    </xf>
    <xf numFmtId="1" fontId="19" fillId="2" borderId="53" xfId="1" applyNumberFormat="1" applyFont="1" applyFill="1" applyBorder="1"/>
    <xf numFmtId="1" fontId="19" fillId="2" borderId="53" xfId="0" applyNumberFormat="1" applyFont="1" applyFill="1" applyBorder="1"/>
    <xf numFmtId="0" fontId="70" fillId="2" borderId="53" xfId="0" applyFont="1" applyFill="1" applyBorder="1" applyAlignment="1">
      <alignment horizontal="left" vertical="center" wrapText="1"/>
    </xf>
    <xf numFmtId="0" fontId="70" fillId="2" borderId="53" xfId="0" quotePrefix="1" applyFont="1" applyFill="1" applyBorder="1" applyAlignment="1">
      <alignment horizontal="left" vertical="center" wrapText="1"/>
    </xf>
    <xf numFmtId="1" fontId="5" fillId="2" borderId="53" xfId="0" applyNumberFormat="1" applyFont="1" applyFill="1" applyBorder="1" applyAlignment="1">
      <alignment horizontal="center"/>
    </xf>
    <xf numFmtId="14" fontId="15" fillId="2" borderId="53" xfId="0" applyNumberFormat="1" applyFont="1" applyFill="1" applyBorder="1" applyAlignment="1">
      <alignment horizontal="left" vertical="center"/>
    </xf>
    <xf numFmtId="14" fontId="19" fillId="2" borderId="53" xfId="0" applyNumberFormat="1" applyFont="1" applyFill="1" applyBorder="1" applyAlignment="1">
      <alignment horizontal="left" vertical="center"/>
    </xf>
    <xf numFmtId="0" fontId="5" fillId="2" borderId="53" xfId="0" applyFont="1" applyFill="1" applyBorder="1" applyAlignment="1">
      <alignment horizontal="left" vertical="center"/>
    </xf>
    <xf numFmtId="0" fontId="5" fillId="2" borderId="53" xfId="0" quotePrefix="1" applyFont="1" applyFill="1" applyBorder="1"/>
    <xf numFmtId="1" fontId="19" fillId="2" borderId="53" xfId="1" applyNumberFormat="1" applyFont="1" applyFill="1" applyBorder="1" applyAlignment="1">
      <alignment horizontal="right" vertical="center"/>
    </xf>
    <xf numFmtId="0" fontId="15" fillId="2" borderId="53" xfId="0" applyFont="1" applyFill="1" applyBorder="1" applyAlignment="1"/>
    <xf numFmtId="1" fontId="19" fillId="2" borderId="53" xfId="2" quotePrefix="1" applyNumberFormat="1" applyFont="1" applyFill="1" applyBorder="1" applyAlignment="1">
      <alignment vertical="center"/>
    </xf>
    <xf numFmtId="1" fontId="19" fillId="2" borderId="53" xfId="2" quotePrefix="1" applyNumberFormat="1" applyFont="1" applyFill="1" applyBorder="1" applyAlignment="1"/>
    <xf numFmtId="0" fontId="2" fillId="0" borderId="10" xfId="0" applyFont="1" applyBorder="1" applyAlignment="1">
      <alignment horizontal="center" vertical="center"/>
    </xf>
    <xf numFmtId="1" fontId="2" fillId="0" borderId="10" xfId="0" applyNumberFormat="1" applyFont="1" applyBorder="1" applyAlignment="1">
      <alignment horizontal="center" vertical="center"/>
    </xf>
    <xf numFmtId="0" fontId="2" fillId="0" borderId="32" xfId="0" applyFont="1" applyBorder="1" applyAlignment="1">
      <alignment horizontal="center" vertical="center"/>
    </xf>
    <xf numFmtId="0" fontId="2" fillId="0" borderId="47" xfId="0" applyFont="1" applyBorder="1" applyAlignment="1">
      <alignment horizontal="center" vertical="center"/>
    </xf>
    <xf numFmtId="0" fontId="2" fillId="0" borderId="22" xfId="0" applyFont="1" applyBorder="1" applyAlignment="1">
      <alignment horizontal="center" vertical="center"/>
    </xf>
    <xf numFmtId="0" fontId="72" fillId="2" borderId="53" xfId="0" applyFont="1" applyFill="1" applyBorder="1" applyAlignment="1">
      <alignment horizontal="left" vertical="center"/>
    </xf>
    <xf numFmtId="1" fontId="13" fillId="2" borderId="53" xfId="0" applyNumberFormat="1" applyFont="1" applyFill="1" applyBorder="1" applyAlignment="1">
      <alignment horizontal="center"/>
    </xf>
    <xf numFmtId="14" fontId="13" fillId="2" borderId="10" xfId="0" applyNumberFormat="1" applyFont="1" applyFill="1" applyBorder="1"/>
    <xf numFmtId="0" fontId="8" fillId="0" borderId="0" xfId="0" applyFont="1" applyBorder="1" applyAlignment="1">
      <alignment horizontal="left"/>
    </xf>
    <xf numFmtId="0" fontId="9" fillId="3" borderId="15" xfId="0" applyFont="1" applyFill="1" applyBorder="1" applyAlignment="1">
      <alignment horizontal="center" vertical="center" wrapText="1"/>
    </xf>
    <xf numFmtId="0" fontId="9" fillId="3" borderId="31" xfId="0" applyFont="1" applyFill="1" applyBorder="1" applyAlignment="1">
      <alignment horizontal="center" wrapText="1"/>
    </xf>
    <xf numFmtId="0" fontId="9" fillId="3" borderId="28" xfId="0" applyFont="1" applyFill="1" applyBorder="1" applyAlignment="1">
      <alignment horizontal="center" vertical="center" wrapText="1"/>
    </xf>
    <xf numFmtId="0" fontId="9" fillId="3" borderId="53" xfId="0" applyFont="1" applyFill="1" applyBorder="1" applyAlignment="1">
      <alignment horizontal="center" vertical="center" wrapText="1"/>
    </xf>
    <xf numFmtId="0" fontId="9" fillId="3" borderId="22" xfId="0" applyFont="1" applyFill="1" applyBorder="1" applyAlignment="1">
      <alignment horizontal="center" vertical="center" wrapText="1"/>
    </xf>
    <xf numFmtId="1" fontId="21" fillId="2" borderId="53" xfId="0" applyNumberFormat="1" applyFont="1" applyFill="1" applyBorder="1" applyAlignment="1">
      <alignment horizontal="left" vertical="top"/>
    </xf>
    <xf numFmtId="0" fontId="21" fillId="2" borderId="53" xfId="0" applyFont="1" applyFill="1" applyBorder="1" applyAlignment="1">
      <alignment horizontal="center" vertical="center"/>
    </xf>
    <xf numFmtId="0" fontId="39" fillId="2" borderId="54" xfId="0" applyFont="1" applyFill="1" applyBorder="1" applyAlignment="1">
      <alignment horizontal="center" vertical="center" wrapText="1"/>
    </xf>
    <xf numFmtId="1" fontId="55" fillId="2" borderId="53" xfId="0" applyNumberFormat="1" applyFont="1" applyFill="1" applyBorder="1" applyAlignment="1">
      <alignment horizontal="left" vertical="center"/>
    </xf>
    <xf numFmtId="1" fontId="68" fillId="2" borderId="53" xfId="0" applyNumberFormat="1" applyFont="1" applyFill="1" applyBorder="1" applyAlignment="1">
      <alignment horizontal="left" vertical="center"/>
    </xf>
    <xf numFmtId="0" fontId="9" fillId="3" borderId="38"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39" fillId="2" borderId="0" xfId="0" applyFont="1" applyFill="1" applyBorder="1" applyAlignment="1">
      <alignment horizontal="center" vertical="top" wrapText="1"/>
    </xf>
    <xf numFmtId="0" fontId="38" fillId="2" borderId="30" xfId="0" applyFont="1" applyFill="1" applyBorder="1" applyAlignment="1">
      <alignment horizontal="left" vertical="top" wrapText="1"/>
    </xf>
    <xf numFmtId="0" fontId="38" fillId="2" borderId="0" xfId="0" applyFont="1" applyFill="1" applyBorder="1" applyAlignment="1">
      <alignment horizontal="left" vertical="top" wrapText="1"/>
    </xf>
    <xf numFmtId="0" fontId="0" fillId="2" borderId="0" xfId="0" applyFont="1" applyFill="1" applyBorder="1" applyAlignment="1">
      <alignment horizontal="justify" vertical="top" wrapText="1"/>
    </xf>
    <xf numFmtId="0" fontId="33" fillId="2" borderId="0" xfId="0" applyFont="1" applyFill="1" applyBorder="1" applyAlignment="1">
      <alignment horizontal="center" vertical="top" wrapText="1"/>
    </xf>
    <xf numFmtId="0" fontId="0" fillId="2" borderId="0" xfId="0" applyFont="1" applyFill="1" applyBorder="1" applyAlignment="1">
      <alignment horizontal="center" vertical="top" wrapText="1"/>
    </xf>
    <xf numFmtId="0" fontId="34" fillId="2" borderId="30" xfId="0" applyFont="1" applyFill="1" applyBorder="1" applyAlignment="1">
      <alignment horizontal="center" vertical="top" wrapText="1"/>
    </xf>
    <xf numFmtId="0" fontId="34" fillId="2" borderId="0" xfId="0" applyFont="1" applyFill="1" applyBorder="1" applyAlignment="1">
      <alignment horizontal="center" vertical="top" wrapText="1"/>
    </xf>
    <xf numFmtId="0" fontId="9" fillId="0" borderId="36" xfId="0" applyNumberFormat="1" applyFont="1" applyFill="1" applyBorder="1" applyAlignment="1" applyProtection="1">
      <alignment horizontal="center" vertical="top"/>
    </xf>
    <xf numFmtId="0" fontId="9" fillId="3" borderId="36" xfId="0" applyNumberFormat="1" applyFont="1" applyFill="1" applyBorder="1" applyAlignment="1" applyProtection="1">
      <alignment horizontal="left" vertical="center" textRotation="90" wrapText="1"/>
    </xf>
    <xf numFmtId="0" fontId="9" fillId="3" borderId="19" xfId="0" applyNumberFormat="1" applyFont="1" applyFill="1" applyBorder="1" applyAlignment="1" applyProtection="1">
      <alignment horizontal="center" vertical="top" textRotation="90" wrapText="1"/>
    </xf>
    <xf numFmtId="0" fontId="9" fillId="3" borderId="53" xfId="0" applyNumberFormat="1" applyFont="1" applyFill="1" applyBorder="1" applyAlignment="1" applyProtection="1">
      <alignment horizontal="center" vertical="top"/>
    </xf>
    <xf numFmtId="0" fontId="8" fillId="4" borderId="53" xfId="0" applyNumberFormat="1" applyFont="1" applyFill="1" applyBorder="1" applyAlignment="1" applyProtection="1">
      <alignment vertical="top"/>
    </xf>
    <xf numFmtId="0" fontId="8" fillId="4" borderId="9" xfId="0" applyNumberFormat="1" applyFont="1" applyFill="1" applyBorder="1" applyAlignment="1" applyProtection="1">
      <alignment vertical="top"/>
    </xf>
    <xf numFmtId="0" fontId="8" fillId="0" borderId="53" xfId="0" applyNumberFormat="1" applyFont="1" applyFill="1" applyBorder="1" applyAlignment="1" applyProtection="1">
      <alignment vertical="top"/>
    </xf>
    <xf numFmtId="0" fontId="8" fillId="0" borderId="54" xfId="0" applyNumberFormat="1" applyFont="1" applyFill="1" applyBorder="1" applyAlignment="1" applyProtection="1">
      <alignment vertical="top"/>
    </xf>
    <xf numFmtId="1" fontId="22" fillId="0" borderId="51" xfId="0" applyNumberFormat="1" applyFont="1" applyFill="1" applyBorder="1" applyAlignment="1">
      <alignment horizontal="center" vertical="top"/>
    </xf>
    <xf numFmtId="0" fontId="0" fillId="0" borderId="53" xfId="0" applyBorder="1" applyAlignment="1">
      <alignment horizontal="center" vertical="center"/>
    </xf>
    <xf numFmtId="0" fontId="0" fillId="0" borderId="53" xfId="0" applyFont="1" applyBorder="1" applyAlignment="1">
      <alignment vertical="center"/>
    </xf>
    <xf numFmtId="15" fontId="0" fillId="0" borderId="27" xfId="0" applyNumberFormat="1" applyBorder="1"/>
    <xf numFmtId="1" fontId="63" fillId="0" borderId="10" xfId="0" applyNumberFormat="1" applyFont="1" applyBorder="1" applyAlignment="1">
      <alignment horizontal="center"/>
    </xf>
    <xf numFmtId="0" fontId="0" fillId="0" borderId="0" xfId="0" applyBorder="1" applyAlignment="1">
      <alignment horizontal="center"/>
    </xf>
    <xf numFmtId="0" fontId="63" fillId="0" borderId="10" xfId="0" applyFont="1" applyBorder="1" applyAlignment="1">
      <alignment horizontal="center"/>
    </xf>
    <xf numFmtId="0" fontId="9" fillId="0" borderId="0" xfId="0" applyFont="1" applyBorder="1" applyAlignment="1">
      <alignment horizontal="left"/>
    </xf>
    <xf numFmtId="0" fontId="0" fillId="0" borderId="10" xfId="0" applyBorder="1" applyAlignment="1">
      <alignment horizontal="center" vertical="center" wrapText="1"/>
    </xf>
    <xf numFmtId="0" fontId="0" fillId="0" borderId="0" xfId="0" applyBorder="1" applyAlignment="1">
      <alignment horizontal="center" vertical="center"/>
    </xf>
    <xf numFmtId="0" fontId="19" fillId="0" borderId="0" xfId="0" applyFont="1"/>
    <xf numFmtId="0" fontId="19" fillId="0" borderId="28" xfId="0" applyFont="1" applyBorder="1"/>
    <xf numFmtId="0" fontId="19" fillId="0" borderId="15" xfId="0" applyFont="1" applyBorder="1"/>
    <xf numFmtId="0" fontId="19" fillId="0" borderId="29" xfId="0" applyFont="1" applyBorder="1"/>
    <xf numFmtId="0" fontId="19" fillId="0" borderId="30" xfId="0" applyFont="1" applyBorder="1"/>
    <xf numFmtId="0" fontId="19" fillId="0" borderId="0" xfId="0" applyFont="1" applyBorder="1"/>
    <xf numFmtId="0" fontId="19" fillId="0" borderId="31" xfId="0" applyFont="1" applyBorder="1"/>
    <xf numFmtId="0" fontId="73" fillId="0" borderId="0" xfId="0" applyFont="1" applyBorder="1"/>
    <xf numFmtId="0" fontId="19" fillId="0" borderId="31" xfId="0" applyFont="1" applyBorder="1" applyAlignment="1">
      <alignment horizontal="center"/>
    </xf>
    <xf numFmtId="0" fontId="73" fillId="0" borderId="0" xfId="0" applyFont="1" applyBorder="1" applyAlignment="1">
      <alignment horizontal="center"/>
    </xf>
    <xf numFmtId="0" fontId="73" fillId="0" borderId="0" xfId="0" applyFont="1" applyBorder="1" applyAlignment="1">
      <alignment vertical="center" wrapText="1"/>
    </xf>
    <xf numFmtId="0" fontId="73" fillId="0" borderId="31" xfId="0" applyFont="1" applyBorder="1" applyAlignment="1">
      <alignment vertical="center" wrapText="1"/>
    </xf>
    <xf numFmtId="0" fontId="19" fillId="0" borderId="31"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56" xfId="0" applyFont="1" applyBorder="1" applyAlignment="1">
      <alignment horizontal="center" vertical="center"/>
    </xf>
    <xf numFmtId="0" fontId="19" fillId="0" borderId="12" xfId="0" applyFont="1" applyBorder="1" applyAlignment="1">
      <alignment horizontal="center" vertical="center"/>
    </xf>
    <xf numFmtId="0" fontId="19" fillId="0" borderId="57" xfId="0" applyFont="1" applyBorder="1" applyAlignment="1">
      <alignment horizontal="center" vertical="center"/>
    </xf>
    <xf numFmtId="0" fontId="19" fillId="0" borderId="58" xfId="0" applyFont="1" applyBorder="1" applyAlignment="1">
      <alignment horizontal="center" vertical="center"/>
    </xf>
    <xf numFmtId="0" fontId="19" fillId="0" borderId="59" xfId="0" applyFont="1" applyBorder="1" applyAlignment="1">
      <alignment horizontal="left" vertical="center"/>
    </xf>
    <xf numFmtId="0" fontId="73" fillId="0" borderId="53" xfId="0" applyFont="1" applyBorder="1" applyAlignment="1">
      <alignment horizontal="center"/>
    </xf>
    <xf numFmtId="0" fontId="19" fillId="0" borderId="53" xfId="0" applyFont="1" applyBorder="1"/>
    <xf numFmtId="0" fontId="19" fillId="0" borderId="58" xfId="0" applyFont="1" applyBorder="1" applyAlignment="1">
      <alignment horizontal="center"/>
    </xf>
    <xf numFmtId="0" fontId="19" fillId="0" borderId="60" xfId="0" applyFont="1" applyBorder="1"/>
    <xf numFmtId="0" fontId="19" fillId="0" borderId="58" xfId="0" applyFont="1" applyBorder="1"/>
    <xf numFmtId="0" fontId="19" fillId="0" borderId="58" xfId="0" applyFont="1" applyBorder="1" applyAlignment="1">
      <alignment horizontal="left" vertical="center"/>
    </xf>
    <xf numFmtId="0" fontId="19" fillId="0" borderId="31" xfId="0" applyFont="1" applyBorder="1" applyAlignment="1">
      <alignment horizontal="left" vertical="center" wrapText="1"/>
    </xf>
    <xf numFmtId="0" fontId="19" fillId="0" borderId="0" xfId="0" applyFont="1" applyBorder="1" applyAlignment="1">
      <alignment horizontal="left" vertical="center" wrapText="1"/>
    </xf>
    <xf numFmtId="0" fontId="73" fillId="0" borderId="0" xfId="0" applyFont="1" applyBorder="1" applyAlignment="1">
      <alignment horizontal="left" vertical="center" wrapText="1"/>
    </xf>
    <xf numFmtId="0" fontId="73" fillId="0" borderId="0" xfId="0" applyFont="1" applyBorder="1" applyAlignment="1">
      <alignment horizontal="left" vertical="center"/>
    </xf>
    <xf numFmtId="167" fontId="0" fillId="0" borderId="27" xfId="0" applyNumberFormat="1" applyBorder="1"/>
    <xf numFmtId="0" fontId="2" fillId="0" borderId="14" xfId="0" applyFont="1" applyBorder="1" applyAlignment="1">
      <alignment horizontal="left" vertical="center"/>
    </xf>
    <xf numFmtId="0" fontId="2" fillId="0" borderId="27" xfId="0" applyFont="1" applyBorder="1" applyAlignment="1">
      <alignment horizontal="left" vertical="center"/>
    </xf>
    <xf numFmtId="0" fontId="2" fillId="2" borderId="53" xfId="0" applyFont="1" applyFill="1" applyBorder="1" applyAlignment="1">
      <alignment horizontal="center"/>
    </xf>
    <xf numFmtId="0" fontId="2" fillId="2" borderId="53" xfId="0" applyFont="1" applyFill="1" applyBorder="1" applyAlignment="1">
      <alignment horizontal="center" wrapText="1"/>
    </xf>
    <xf numFmtId="0" fontId="39" fillId="2" borderId="53" xfId="0" applyFont="1" applyFill="1" applyBorder="1" applyAlignment="1">
      <alignment horizontal="center" vertical="center" wrapText="1"/>
    </xf>
    <xf numFmtId="0" fontId="40" fillId="0" borderId="53" xfId="0" applyFont="1" applyBorder="1" applyAlignment="1">
      <alignment horizontal="center" vertical="center"/>
    </xf>
    <xf numFmtId="0" fontId="0" fillId="0" borderId="24" xfId="0" applyFont="1" applyBorder="1" applyAlignment="1">
      <alignment horizontal="center" vertical="center"/>
    </xf>
    <xf numFmtId="1" fontId="39" fillId="2" borderId="53" xfId="0" applyNumberFormat="1" applyFont="1" applyFill="1" applyBorder="1" applyAlignment="1">
      <alignment horizontal="center" vertical="center" wrapText="1"/>
    </xf>
    <xf numFmtId="0" fontId="2" fillId="2" borderId="53" xfId="0" applyFont="1" applyFill="1" applyBorder="1" applyAlignment="1">
      <alignment horizontal="left" vertical="center" wrapText="1"/>
    </xf>
    <xf numFmtId="0" fontId="9" fillId="3" borderId="40" xfId="0" applyNumberFormat="1" applyFont="1" applyFill="1" applyBorder="1" applyAlignment="1" applyProtection="1">
      <alignment horizontal="center" vertical="top" wrapText="1"/>
    </xf>
    <xf numFmtId="0" fontId="9" fillId="3" borderId="9" xfId="0" applyNumberFormat="1" applyFont="1" applyFill="1" applyBorder="1" applyAlignment="1" applyProtection="1">
      <alignment horizontal="center" vertical="top" wrapText="1"/>
    </xf>
    <xf numFmtId="0" fontId="0" fillId="2" borderId="24" xfId="0" applyFill="1" applyBorder="1"/>
    <xf numFmtId="14" fontId="15" fillId="2" borderId="9" xfId="0" applyNumberFormat="1" applyFont="1" applyFill="1" applyBorder="1" applyAlignment="1">
      <alignment horizontal="center"/>
    </xf>
    <xf numFmtId="1" fontId="19" fillId="2" borderId="53" xfId="0" applyNumberFormat="1" applyFont="1" applyFill="1" applyBorder="1" applyAlignment="1">
      <alignment horizontal="center" vertical="center" wrapText="1"/>
    </xf>
    <xf numFmtId="14" fontId="19" fillId="2" borderId="53" xfId="0" applyNumberFormat="1" applyFont="1" applyFill="1" applyBorder="1" applyAlignment="1">
      <alignment horizontal="center" vertical="center"/>
    </xf>
    <xf numFmtId="0" fontId="15" fillId="2" borderId="53" xfId="0" applyFont="1" applyFill="1" applyBorder="1" applyAlignment="1">
      <alignment horizontal="center" vertical="center"/>
    </xf>
    <xf numFmtId="0" fontId="19" fillId="2" borderId="53" xfId="0" applyFont="1" applyFill="1" applyBorder="1" applyAlignment="1">
      <alignment horizontal="center" vertical="center"/>
    </xf>
    <xf numFmtId="1" fontId="72" fillId="2" borderId="53" xfId="0" applyNumberFormat="1" applyFont="1" applyFill="1" applyBorder="1" applyAlignment="1">
      <alignment horizontal="center" vertical="center" wrapText="1"/>
    </xf>
    <xf numFmtId="0" fontId="22" fillId="0" borderId="53" xfId="0" applyFont="1" applyBorder="1" applyAlignment="1">
      <alignment horizontal="center" vertical="center"/>
    </xf>
    <xf numFmtId="0" fontId="0" fillId="2" borderId="30" xfId="0" applyFill="1" applyBorder="1" applyAlignment="1"/>
    <xf numFmtId="14" fontId="8" fillId="2" borderId="53" xfId="0" applyNumberFormat="1" applyFont="1" applyFill="1" applyBorder="1" applyAlignment="1" applyProtection="1">
      <alignment vertical="top"/>
    </xf>
    <xf numFmtId="0" fontId="8" fillId="2" borderId="53" xfId="0" applyNumberFormat="1" applyFont="1" applyFill="1" applyBorder="1" applyAlignment="1" applyProtection="1">
      <alignment vertical="top"/>
    </xf>
    <xf numFmtId="0" fontId="8" fillId="2" borderId="10" xfId="0" applyNumberFormat="1" applyFont="1" applyFill="1" applyBorder="1" applyAlignment="1" applyProtection="1">
      <alignment vertical="top"/>
    </xf>
    <xf numFmtId="0" fontId="8" fillId="2" borderId="44" xfId="0" applyNumberFormat="1" applyFont="1" applyFill="1" applyBorder="1" applyAlignment="1" applyProtection="1">
      <alignment vertical="top"/>
    </xf>
    <xf numFmtId="17" fontId="8" fillId="2" borderId="10" xfId="0" applyNumberFormat="1" applyFont="1" applyFill="1" applyBorder="1" applyAlignment="1" applyProtection="1">
      <alignment horizontal="left" vertical="top"/>
    </xf>
    <xf numFmtId="17" fontId="79" fillId="2" borderId="53" xfId="0" applyNumberFormat="1" applyFont="1" applyFill="1" applyBorder="1" applyAlignment="1">
      <alignment horizontal="left" vertical="center"/>
    </xf>
    <xf numFmtId="0" fontId="2" fillId="2" borderId="3" xfId="0" applyFont="1" applyFill="1" applyBorder="1" applyAlignment="1">
      <alignment horizontal="center" vertical="center" wrapText="1"/>
    </xf>
    <xf numFmtId="0" fontId="72" fillId="2" borderId="53" xfId="0" applyFont="1" applyFill="1" applyBorder="1" applyAlignment="1">
      <alignment horizontal="center" wrapText="1"/>
    </xf>
    <xf numFmtId="14" fontId="14" fillId="2" borderId="9" xfId="0" applyNumberFormat="1" applyFont="1" applyFill="1" applyBorder="1" applyAlignment="1">
      <alignment horizontal="center" wrapText="1"/>
    </xf>
    <xf numFmtId="0" fontId="2" fillId="2" borderId="0" xfId="0" applyFont="1" applyFill="1" applyAlignment="1">
      <alignment horizontal="left"/>
    </xf>
    <xf numFmtId="0" fontId="9" fillId="2" borderId="0" xfId="3" applyFont="1" applyFill="1" applyAlignment="1">
      <alignment horizontal="left" vertical="center"/>
    </xf>
    <xf numFmtId="0" fontId="12" fillId="2" borderId="2" xfId="0" applyFont="1" applyFill="1" applyBorder="1" applyAlignment="1">
      <alignment horizontal="left" vertical="center" wrapText="1"/>
    </xf>
    <xf numFmtId="0" fontId="12" fillId="2" borderId="12" xfId="0" applyFont="1" applyFill="1" applyBorder="1" applyAlignment="1">
      <alignment horizontal="left" vertical="center" wrapText="1"/>
    </xf>
    <xf numFmtId="0" fontId="2" fillId="2" borderId="12" xfId="0" applyFont="1" applyFill="1" applyBorder="1" applyAlignment="1">
      <alignment horizontal="center" vertical="center"/>
    </xf>
    <xf numFmtId="0" fontId="2" fillId="2" borderId="53" xfId="0" applyFont="1" applyFill="1" applyBorder="1" applyAlignment="1">
      <alignment horizontal="center" vertical="center" wrapText="1"/>
    </xf>
    <xf numFmtId="0" fontId="2" fillId="2" borderId="26" xfId="0" applyFont="1" applyFill="1" applyBorder="1" applyAlignment="1">
      <alignment horizontal="left" vertical="center" wrapText="1"/>
    </xf>
    <xf numFmtId="0" fontId="2" fillId="2" borderId="39" xfId="0" applyFont="1" applyFill="1" applyBorder="1" applyAlignment="1">
      <alignment horizontal="left" vertical="center" wrapText="1"/>
    </xf>
    <xf numFmtId="0" fontId="74" fillId="2" borderId="0" xfId="0" applyFont="1" applyFill="1" applyAlignment="1">
      <alignment vertical="center"/>
    </xf>
    <xf numFmtId="0" fontId="42" fillId="2" borderId="0" xfId="0" applyFont="1" applyFill="1" applyAlignment="1">
      <alignment vertical="center"/>
    </xf>
    <xf numFmtId="0" fontId="42" fillId="2" borderId="0" xfId="0" applyFont="1" applyFill="1" applyAlignment="1"/>
    <xf numFmtId="0" fontId="6" fillId="2" borderId="22" xfId="0" applyFont="1" applyFill="1" applyBorder="1"/>
    <xf numFmtId="0" fontId="4" fillId="2" borderId="0" xfId="0" applyFont="1" applyFill="1"/>
    <xf numFmtId="0" fontId="71" fillId="2" borderId="22" xfId="0" applyFont="1" applyFill="1" applyBorder="1"/>
    <xf numFmtId="0" fontId="77" fillId="2" borderId="0" xfId="0" applyFont="1" applyFill="1"/>
    <xf numFmtId="0" fontId="9" fillId="2" borderId="0" xfId="0" applyFont="1" applyFill="1"/>
    <xf numFmtId="17" fontId="2" fillId="2" borderId="0" xfId="0" applyNumberFormat="1" applyFont="1" applyFill="1" applyAlignment="1">
      <alignment horizontal="center"/>
    </xf>
    <xf numFmtId="17" fontId="2" fillId="2" borderId="0" xfId="0" applyNumberFormat="1" applyFont="1" applyFill="1"/>
    <xf numFmtId="0" fontId="2" fillId="2" borderId="20" xfId="0" applyFont="1" applyFill="1" applyBorder="1" applyAlignment="1">
      <alignment vertical="center"/>
    </xf>
    <xf numFmtId="0" fontId="2" fillId="2" borderId="26" xfId="0" applyFont="1" applyFill="1" applyBorder="1" applyAlignment="1">
      <alignment horizontal="center" vertical="center" wrapText="1"/>
    </xf>
    <xf numFmtId="0" fontId="0" fillId="2" borderId="21" xfId="0" applyFill="1" applyBorder="1"/>
    <xf numFmtId="0" fontId="2" fillId="2" borderId="19" xfId="0" applyFont="1" applyFill="1" applyBorder="1" applyAlignment="1">
      <alignment horizontal="center" vertical="center" wrapText="1"/>
    </xf>
    <xf numFmtId="1" fontId="22" fillId="2" borderId="10" xfId="0" applyNumberFormat="1" applyFont="1" applyFill="1" applyBorder="1" applyAlignment="1">
      <alignment horizontal="center" vertical="top"/>
    </xf>
    <xf numFmtId="14" fontId="22" fillId="2" borderId="10" xfId="0" applyNumberFormat="1" applyFont="1" applyFill="1" applyBorder="1" applyAlignment="1">
      <alignment horizontal="center" vertical="top"/>
    </xf>
    <xf numFmtId="0" fontId="9" fillId="2" borderId="0" xfId="3" applyFont="1" applyFill="1" applyAlignment="1">
      <alignment horizontal="center" vertical="center"/>
    </xf>
    <xf numFmtId="0" fontId="8" fillId="2" borderId="22" xfId="0" applyFont="1" applyFill="1" applyBorder="1"/>
    <xf numFmtId="0" fontId="0" fillId="2" borderId="53" xfId="0" applyFill="1" applyBorder="1" applyAlignment="1">
      <alignment horizontal="left" vertical="center"/>
    </xf>
    <xf numFmtId="1" fontId="22" fillId="2" borderId="10" xfId="0" applyNumberFormat="1" applyFont="1" applyFill="1" applyBorder="1" applyAlignment="1">
      <alignment horizontal="left"/>
    </xf>
    <xf numFmtId="14" fontId="14" fillId="2" borderId="53" xfId="0" applyNumberFormat="1" applyFont="1" applyFill="1" applyBorder="1" applyAlignment="1">
      <alignment horizontal="center"/>
    </xf>
    <xf numFmtId="14" fontId="24" fillId="2" borderId="53" xfId="0" applyNumberFormat="1" applyFont="1" applyFill="1" applyBorder="1" applyAlignment="1" applyProtection="1">
      <alignment vertical="top"/>
    </xf>
    <xf numFmtId="14" fontId="63" fillId="2" borderId="53" xfId="0" applyNumberFormat="1" applyFont="1" applyFill="1" applyBorder="1" applyAlignment="1" applyProtection="1">
      <alignment vertical="top"/>
    </xf>
    <xf numFmtId="1" fontId="80" fillId="0" borderId="10" xfId="0" applyNumberFormat="1" applyFont="1" applyFill="1" applyBorder="1" applyAlignment="1">
      <alignment horizontal="center" vertical="top"/>
    </xf>
    <xf numFmtId="1" fontId="15" fillId="2" borderId="10" xfId="0" applyNumberFormat="1" applyFont="1" applyFill="1" applyBorder="1" applyAlignment="1">
      <alignment horizontal="center"/>
    </xf>
    <xf numFmtId="1" fontId="81" fillId="2" borderId="10" xfId="1" applyNumberFormat="1" applyFont="1" applyFill="1" applyBorder="1" applyAlignment="1">
      <alignment horizontal="center"/>
    </xf>
    <xf numFmtId="14" fontId="13" fillId="2" borderId="10" xfId="0" applyNumberFormat="1" applyFont="1" applyFill="1" applyBorder="1" applyAlignment="1">
      <alignment horizontal="center"/>
    </xf>
    <xf numFmtId="14" fontId="15" fillId="2" borderId="9" xfId="0" applyNumberFormat="1" applyFont="1" applyFill="1" applyBorder="1" applyAlignment="1">
      <alignment horizontal="left"/>
    </xf>
    <xf numFmtId="14" fontId="15" fillId="2" borderId="9" xfId="0" applyNumberFormat="1" applyFont="1" applyFill="1" applyBorder="1" applyAlignment="1">
      <alignment horizontal="center" wrapText="1"/>
    </xf>
    <xf numFmtId="1" fontId="19" fillId="2" borderId="53" xfId="2" applyNumberFormat="1" applyFont="1" applyFill="1" applyBorder="1" applyAlignment="1">
      <alignment vertical="center"/>
    </xf>
    <xf numFmtId="1" fontId="0" fillId="2" borderId="24" xfId="0" applyNumberFormat="1" applyFill="1" applyBorder="1"/>
    <xf numFmtId="0" fontId="0" fillId="0" borderId="53" xfId="0" applyFill="1" applyBorder="1" applyAlignment="1">
      <alignment horizontal="left"/>
    </xf>
    <xf numFmtId="14" fontId="8" fillId="0" borderId="10" xfId="0" applyNumberFormat="1" applyFont="1" applyFill="1" applyBorder="1" applyAlignment="1" applyProtection="1">
      <alignment vertical="top"/>
    </xf>
    <xf numFmtId="1" fontId="22" fillId="0" borderId="22" xfId="0" applyNumberFormat="1" applyFont="1" applyFill="1" applyBorder="1" applyAlignment="1">
      <alignment horizontal="center" vertical="center"/>
    </xf>
    <xf numFmtId="1" fontId="21" fillId="2" borderId="10" xfId="0" applyNumberFormat="1" applyFont="1" applyFill="1" applyBorder="1" applyAlignment="1">
      <alignment horizontal="center"/>
    </xf>
    <xf numFmtId="1" fontId="84" fillId="2" borderId="10" xfId="0" applyNumberFormat="1" applyFont="1" applyFill="1" applyBorder="1" applyAlignment="1">
      <alignment horizontal="center" vertical="center"/>
    </xf>
    <xf numFmtId="0" fontId="85" fillId="2" borderId="53" xfId="0" applyFont="1" applyFill="1" applyBorder="1" applyAlignment="1">
      <alignment horizontal="left" vertical="center"/>
    </xf>
    <xf numFmtId="15" fontId="85" fillId="2" borderId="9" xfId="0" applyNumberFormat="1" applyFont="1" applyFill="1" applyBorder="1" applyAlignment="1">
      <alignment vertical="center" wrapText="1"/>
    </xf>
    <xf numFmtId="0" fontId="85" fillId="2" borderId="9" xfId="0" applyFont="1" applyFill="1" applyBorder="1" applyAlignment="1">
      <alignment vertical="center"/>
    </xf>
    <xf numFmtId="1" fontId="86" fillId="2" borderId="10" xfId="0" applyNumberFormat="1" applyFont="1" applyFill="1" applyBorder="1" applyAlignment="1">
      <alignment horizontal="center" vertical="center" wrapText="1"/>
    </xf>
    <xf numFmtId="1" fontId="86" fillId="2" borderId="10" xfId="0" applyNumberFormat="1" applyFont="1" applyFill="1" applyBorder="1" applyAlignment="1">
      <alignment horizontal="center" vertical="center"/>
    </xf>
    <xf numFmtId="14" fontId="86" fillId="2" borderId="10" xfId="0" applyNumberFormat="1" applyFont="1" applyFill="1" applyBorder="1" applyAlignment="1">
      <alignment horizontal="center" vertical="center"/>
    </xf>
    <xf numFmtId="0" fontId="84" fillId="2" borderId="53" xfId="0" applyFont="1" applyFill="1" applyBorder="1" applyAlignment="1">
      <alignment vertical="center"/>
    </xf>
    <xf numFmtId="0" fontId="84" fillId="2" borderId="0" xfId="0" applyFont="1" applyFill="1" applyAlignment="1">
      <alignment vertical="center"/>
    </xf>
    <xf numFmtId="1" fontId="82" fillId="2" borderId="54" xfId="1" applyNumberFormat="1" applyFont="1" applyFill="1" applyBorder="1" applyAlignment="1">
      <alignment vertical="center"/>
    </xf>
    <xf numFmtId="14" fontId="8" fillId="0" borderId="53" xfId="0" applyNumberFormat="1" applyFont="1" applyFill="1" applyBorder="1" applyAlignment="1" applyProtection="1">
      <alignment vertical="top"/>
    </xf>
    <xf numFmtId="14" fontId="14" fillId="2" borderId="53" xfId="0" applyNumberFormat="1" applyFont="1" applyFill="1" applyBorder="1" applyAlignment="1">
      <alignment horizontal="left" vertical="center"/>
    </xf>
    <xf numFmtId="1" fontId="10" fillId="2" borderId="53" xfId="0" quotePrefix="1" applyNumberFormat="1" applyFont="1" applyFill="1" applyBorder="1" applyAlignment="1">
      <alignment horizontal="left" vertical="center"/>
    </xf>
    <xf numFmtId="1" fontId="15" fillId="2" borderId="53" xfId="1" applyNumberFormat="1" applyFont="1" applyFill="1" applyBorder="1" applyAlignment="1">
      <alignment horizontal="center" vertical="center"/>
    </xf>
    <xf numFmtId="0" fontId="78" fillId="0" borderId="54" xfId="0" applyFont="1" applyFill="1" applyBorder="1" applyAlignment="1">
      <alignment vertical="center"/>
    </xf>
    <xf numFmtId="0" fontId="15" fillId="2" borderId="53" xfId="1" applyFont="1" applyFill="1" applyBorder="1" applyAlignment="1">
      <alignment horizontal="center" vertical="center"/>
    </xf>
    <xf numFmtId="1" fontId="8" fillId="2" borderId="53" xfId="0" applyNumberFormat="1" applyFont="1" applyFill="1" applyBorder="1" applyAlignment="1">
      <alignment horizontal="center" vertical="center"/>
    </xf>
    <xf numFmtId="14" fontId="76" fillId="2" borderId="53" xfId="0" applyNumberFormat="1" applyFont="1" applyFill="1" applyBorder="1" applyAlignment="1">
      <alignment horizontal="center" vertical="center"/>
    </xf>
    <xf numFmtId="0" fontId="67" fillId="2" borderId="0" xfId="0" applyFont="1" applyFill="1" applyAlignment="1">
      <alignment vertical="center"/>
    </xf>
    <xf numFmtId="1" fontId="87" fillId="2" borderId="53" xfId="1" applyNumberFormat="1" applyFont="1" applyFill="1" applyBorder="1" applyAlignment="1">
      <alignment horizontal="center" vertical="center"/>
    </xf>
    <xf numFmtId="0" fontId="88" fillId="5" borderId="53" xfId="0" applyFont="1" applyFill="1" applyBorder="1" applyAlignment="1">
      <alignment horizontal="center" vertical="center"/>
    </xf>
    <xf numFmtId="0" fontId="2" fillId="2" borderId="26"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9" fillId="2" borderId="0" xfId="3" applyFont="1" applyFill="1" applyAlignment="1">
      <alignment horizontal="center" vertical="center"/>
    </xf>
    <xf numFmtId="0" fontId="2" fillId="2" borderId="0" xfId="0" applyFont="1" applyFill="1" applyAlignment="1">
      <alignment horizontal="left"/>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2" borderId="0" xfId="0" applyFont="1" applyFill="1" applyAlignment="1">
      <alignment horizontal="right" vertical="center" wrapText="1"/>
    </xf>
    <xf numFmtId="0" fontId="2" fillId="2" borderId="0" xfId="0" applyFont="1" applyFill="1" applyAlignment="1">
      <alignment horizontal="center" wrapText="1"/>
    </xf>
    <xf numFmtId="0" fontId="2" fillId="2" borderId="12" xfId="0" applyFont="1" applyFill="1" applyBorder="1" applyAlignment="1">
      <alignment horizontal="center" vertical="center" wrapText="1"/>
    </xf>
    <xf numFmtId="0" fontId="2" fillId="2" borderId="26" xfId="0" applyFont="1" applyFill="1" applyBorder="1" applyAlignment="1">
      <alignment horizontal="left" vertical="center" wrapText="1"/>
    </xf>
    <xf numFmtId="0" fontId="2" fillId="2" borderId="39"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2" borderId="55" xfId="0" applyFont="1" applyFill="1" applyBorder="1" applyAlignment="1">
      <alignment horizontal="center" vertical="center" wrapText="1"/>
    </xf>
    <xf numFmtId="0" fontId="9" fillId="2" borderId="0" xfId="3" applyFont="1" applyFill="1" applyAlignment="1">
      <alignment horizontal="left" vertical="center"/>
    </xf>
    <xf numFmtId="0" fontId="9" fillId="2" borderId="0" xfId="3" applyFont="1" applyFill="1" applyBorder="1" applyAlignment="1">
      <alignment horizontal="center" vertical="center"/>
    </xf>
    <xf numFmtId="0" fontId="2" fillId="2" borderId="3" xfId="0" applyFont="1" applyFill="1" applyBorder="1" applyAlignment="1">
      <alignment horizontal="left" vertical="center" wrapText="1"/>
    </xf>
    <xf numFmtId="0" fontId="2" fillId="2" borderId="23" xfId="0" applyFont="1" applyFill="1" applyBorder="1" applyAlignment="1">
      <alignment horizontal="left" vertical="center"/>
    </xf>
    <xf numFmtId="0" fontId="11" fillId="2" borderId="2" xfId="0" applyFont="1" applyFill="1" applyBorder="1" applyAlignment="1">
      <alignment horizontal="left" vertical="center" wrapText="1"/>
    </xf>
    <xf numFmtId="0" fontId="11" fillId="2" borderId="1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2"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53" xfId="0" applyFont="1" applyFill="1" applyBorder="1" applyAlignment="1">
      <alignment horizontal="center" vertical="center" wrapText="1"/>
    </xf>
    <xf numFmtId="166" fontId="36" fillId="0" borderId="0" xfId="0" applyNumberFormat="1" applyFont="1" applyBorder="1" applyAlignment="1">
      <alignment horizontal="center" vertical="center" wrapText="1"/>
    </xf>
    <xf numFmtId="0" fontId="41" fillId="2" borderId="28" xfId="0" applyFont="1" applyFill="1" applyBorder="1" applyAlignment="1">
      <alignment horizontal="center" vertical="top" wrapText="1"/>
    </xf>
    <xf numFmtId="0" fontId="41" fillId="2" borderId="15" xfId="0" applyFont="1" applyFill="1" applyBorder="1" applyAlignment="1">
      <alignment horizontal="center" vertical="top" wrapText="1"/>
    </xf>
    <xf numFmtId="0" fontId="33" fillId="2" borderId="30" xfId="0" applyFont="1" applyFill="1" applyBorder="1" applyAlignment="1">
      <alignment horizontal="center" vertical="top" wrapText="1"/>
    </xf>
    <xf numFmtId="0" fontId="33" fillId="2" borderId="0" xfId="0" applyFont="1" applyFill="1" applyBorder="1" applyAlignment="1">
      <alignment horizontal="center" vertical="top" wrapText="1"/>
    </xf>
    <xf numFmtId="0" fontId="0" fillId="2" borderId="30" xfId="0" applyFont="1" applyFill="1" applyBorder="1" applyAlignment="1">
      <alignment horizontal="center" vertical="top" wrapText="1"/>
    </xf>
    <xf numFmtId="0" fontId="0" fillId="2" borderId="0" xfId="0" applyFont="1" applyFill="1" applyBorder="1" applyAlignment="1">
      <alignment horizontal="center" vertical="top" wrapText="1"/>
    </xf>
    <xf numFmtId="0" fontId="34" fillId="2" borderId="30" xfId="0" applyFont="1" applyFill="1" applyBorder="1" applyAlignment="1">
      <alignment horizontal="center" vertical="top" wrapText="1"/>
    </xf>
    <xf numFmtId="0" fontId="34" fillId="2" borderId="0" xfId="0" applyFont="1" applyFill="1" applyBorder="1" applyAlignment="1">
      <alignment horizontal="center" vertical="top" wrapText="1"/>
    </xf>
    <xf numFmtId="165" fontId="35" fillId="2" borderId="0" xfId="0" applyNumberFormat="1" applyFont="1" applyFill="1" applyBorder="1" applyAlignment="1">
      <alignment horizontal="center" vertical="top" wrapText="1"/>
    </xf>
    <xf numFmtId="0" fontId="39" fillId="2" borderId="27" xfId="0" applyFont="1" applyFill="1" applyBorder="1" applyAlignment="1">
      <alignment horizontal="center" vertical="top" wrapText="1"/>
    </xf>
    <xf numFmtId="0" fontId="39" fillId="2" borderId="0" xfId="0" applyFont="1" applyFill="1" applyBorder="1" applyAlignment="1">
      <alignment horizontal="center" vertical="top" wrapText="1"/>
    </xf>
    <xf numFmtId="166" fontId="36" fillId="0" borderId="0" xfId="0" applyNumberFormat="1" applyFont="1" applyBorder="1" applyAlignment="1">
      <alignment horizontal="left" vertical="center" wrapText="1"/>
    </xf>
    <xf numFmtId="166" fontId="36" fillId="0" borderId="31" xfId="0" applyNumberFormat="1" applyFont="1" applyBorder="1" applyAlignment="1">
      <alignment horizontal="left" vertical="center" wrapText="1"/>
    </xf>
    <xf numFmtId="0" fontId="38" fillId="2" borderId="30" xfId="0" applyFont="1" applyFill="1" applyBorder="1" applyAlignment="1">
      <alignment horizontal="left" vertical="top" wrapText="1"/>
    </xf>
    <xf numFmtId="0" fontId="38" fillId="2" borderId="0" xfId="0" applyFont="1" applyFill="1" applyBorder="1" applyAlignment="1">
      <alignment horizontal="left" vertical="top" wrapText="1"/>
    </xf>
    <xf numFmtId="0" fontId="0" fillId="2" borderId="30" xfId="0" applyFont="1" applyFill="1" applyBorder="1" applyAlignment="1">
      <alignment horizontal="justify" vertical="top" wrapText="1"/>
    </xf>
    <xf numFmtId="0" fontId="0" fillId="2" borderId="0" xfId="0" applyFont="1" applyFill="1" applyBorder="1" applyAlignment="1">
      <alignment horizontal="justify" vertical="top" wrapText="1"/>
    </xf>
    <xf numFmtId="0" fontId="0" fillId="0" borderId="0" xfId="0" applyAlignment="1">
      <alignment horizontal="center" wrapText="1"/>
    </xf>
    <xf numFmtId="0" fontId="2" fillId="0" borderId="0" xfId="0" applyFont="1" applyAlignment="1">
      <alignment horizontal="left"/>
    </xf>
    <xf numFmtId="0" fontId="9" fillId="0" borderId="0" xfId="3" applyFont="1" applyAlignment="1">
      <alignment horizontal="center" vertical="center"/>
    </xf>
    <xf numFmtId="0" fontId="9" fillId="0" borderId="0" xfId="3" applyFont="1" applyBorder="1" applyAlignment="1">
      <alignment horizontal="center" vertical="center"/>
    </xf>
    <xf numFmtId="0" fontId="2" fillId="3" borderId="1"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2" xfId="0" applyFont="1" applyFill="1" applyBorder="1" applyAlignment="1">
      <alignment horizontal="left" vertical="center" wrapText="1"/>
    </xf>
    <xf numFmtId="0" fontId="2" fillId="3" borderId="9" xfId="0" applyFont="1" applyFill="1" applyBorder="1" applyAlignment="1">
      <alignment horizontal="left" vertical="center" wrapText="1"/>
    </xf>
    <xf numFmtId="0" fontId="9" fillId="3" borderId="2"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9" fillId="3" borderId="14" xfId="0" applyFont="1" applyFill="1" applyBorder="1" applyAlignment="1">
      <alignment horizontal="center" vertical="center" wrapText="1"/>
    </xf>
    <xf numFmtId="17" fontId="2" fillId="0" borderId="0" xfId="0" applyNumberFormat="1" applyFont="1" applyAlignment="1">
      <alignment horizontal="center"/>
    </xf>
    <xf numFmtId="0" fontId="9" fillId="3" borderId="40" xfId="0" applyNumberFormat="1" applyFont="1" applyFill="1" applyBorder="1" applyAlignment="1" applyProtection="1">
      <alignment horizontal="center" vertical="top" wrapText="1"/>
    </xf>
    <xf numFmtId="0" fontId="9" fillId="3" borderId="9" xfId="0" applyNumberFormat="1" applyFont="1" applyFill="1" applyBorder="1" applyAlignment="1" applyProtection="1">
      <alignment horizontal="center" vertical="top" wrapText="1"/>
    </xf>
    <xf numFmtId="0" fontId="9" fillId="3" borderId="10" xfId="0" applyNumberFormat="1" applyFont="1" applyFill="1" applyBorder="1" applyAlignment="1" applyProtection="1">
      <alignment horizontal="center" vertical="top" wrapText="1"/>
    </xf>
    <xf numFmtId="0" fontId="9" fillId="3" borderId="44" xfId="0" applyNumberFormat="1" applyFont="1" applyFill="1" applyBorder="1" applyAlignment="1" applyProtection="1">
      <alignment horizontal="center" vertical="top" wrapText="1"/>
    </xf>
    <xf numFmtId="0" fontId="29" fillId="0" borderId="13" xfId="0" applyNumberFormat="1" applyFont="1" applyFill="1" applyBorder="1" applyAlignment="1" applyProtection="1">
      <alignment horizontal="center" vertical="center"/>
    </xf>
    <xf numFmtId="0" fontId="29" fillId="0" borderId="49" xfId="0" applyNumberFormat="1" applyFont="1" applyFill="1" applyBorder="1" applyAlignment="1" applyProtection="1">
      <alignment horizontal="center" vertical="center"/>
    </xf>
    <xf numFmtId="0" fontId="29" fillId="0" borderId="10" xfId="0" applyNumberFormat="1" applyFont="1" applyFill="1" applyBorder="1" applyAlignment="1" applyProtection="1">
      <alignment horizontal="center" vertical="center"/>
    </xf>
    <xf numFmtId="0" fontId="29" fillId="0" borderId="44" xfId="0" applyNumberFormat="1" applyFont="1" applyFill="1" applyBorder="1" applyAlignment="1" applyProtection="1">
      <alignment horizontal="center" vertical="center"/>
    </xf>
    <xf numFmtId="0" fontId="8" fillId="0" borderId="10" xfId="0" applyNumberFormat="1" applyFont="1" applyFill="1" applyBorder="1" applyAlignment="1" applyProtection="1">
      <alignment horizontal="center" vertical="top"/>
    </xf>
    <xf numFmtId="0" fontId="8" fillId="0" borderId="44" xfId="0" applyNumberFormat="1" applyFont="1" applyFill="1" applyBorder="1" applyAlignment="1" applyProtection="1">
      <alignment horizontal="center" vertical="top"/>
    </xf>
    <xf numFmtId="0" fontId="8" fillId="0" borderId="10" xfId="0" applyNumberFormat="1" applyFont="1" applyFill="1" applyBorder="1" applyAlignment="1" applyProtection="1">
      <alignment horizontal="left" vertical="top"/>
    </xf>
    <xf numFmtId="0" fontId="9" fillId="3" borderId="10" xfId="0" applyNumberFormat="1" applyFont="1" applyFill="1" applyBorder="1" applyAlignment="1" applyProtection="1">
      <alignment horizontal="left" vertical="top" wrapText="1"/>
    </xf>
    <xf numFmtId="0" fontId="0" fillId="0" borderId="0" xfId="0" applyAlignment="1">
      <alignment horizontal="center"/>
    </xf>
    <xf numFmtId="0" fontId="2" fillId="0" borderId="0" xfId="0" applyFont="1" applyAlignment="1">
      <alignment horizontal="center" wrapText="1"/>
    </xf>
    <xf numFmtId="0" fontId="2" fillId="3" borderId="2"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0" fillId="0" borderId="15" xfId="0" applyFont="1" applyBorder="1" applyAlignment="1">
      <alignment horizontal="center"/>
    </xf>
    <xf numFmtId="0" fontId="0" fillId="0" borderId="15" xfId="0" applyBorder="1" applyAlignment="1">
      <alignment horizontal="center"/>
    </xf>
    <xf numFmtId="0" fontId="0" fillId="0" borderId="29" xfId="0" applyBorder="1" applyAlignment="1">
      <alignment horizontal="center"/>
    </xf>
    <xf numFmtId="0" fontId="31" fillId="0" borderId="0" xfId="0" applyFont="1" applyBorder="1" applyAlignment="1">
      <alignment horizontal="center"/>
    </xf>
    <xf numFmtId="0" fontId="31" fillId="0" borderId="31"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2" fillId="0" borderId="54" xfId="0" applyFont="1" applyBorder="1" applyAlignment="1">
      <alignment horizontal="left" vertical="center"/>
    </xf>
    <xf numFmtId="1"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2" fillId="0" borderId="44" xfId="0" applyFont="1" applyBorder="1" applyAlignment="1">
      <alignment horizontal="center" vertical="center"/>
    </xf>
    <xf numFmtId="0" fontId="2" fillId="0" borderId="10" xfId="0" applyFont="1" applyBorder="1" applyAlignment="1">
      <alignment horizontal="left" vertical="center" wrapText="1"/>
    </xf>
    <xf numFmtId="0" fontId="2" fillId="0" borderId="2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31" xfId="0" applyFont="1" applyBorder="1" applyAlignment="1">
      <alignment horizontal="left" vertical="center" wrapText="1"/>
    </xf>
    <xf numFmtId="0" fontId="2" fillId="0" borderId="0" xfId="0" applyFont="1" applyBorder="1" applyAlignment="1">
      <alignment horizontal="left"/>
    </xf>
    <xf numFmtId="0" fontId="2" fillId="0" borderId="31" xfId="0" applyFont="1" applyBorder="1" applyAlignment="1">
      <alignment horizontal="left"/>
    </xf>
    <xf numFmtId="0" fontId="2" fillId="0" borderId="10" xfId="0" applyFont="1" applyBorder="1" applyAlignment="1">
      <alignment horizontal="left" vertical="center"/>
    </xf>
    <xf numFmtId="17" fontId="2" fillId="0" borderId="10" xfId="0" applyNumberFormat="1" applyFont="1" applyBorder="1" applyAlignment="1">
      <alignment horizontal="center" vertical="center"/>
    </xf>
    <xf numFmtId="1" fontId="0" fillId="0" borderId="22" xfId="0" applyNumberFormat="1" applyBorder="1" applyAlignment="1">
      <alignment horizontal="center"/>
    </xf>
    <xf numFmtId="1" fontId="0" fillId="0" borderId="32" xfId="0" applyNumberFormat="1" applyBorder="1" applyAlignment="1">
      <alignment horizontal="center"/>
    </xf>
    <xf numFmtId="1" fontId="0" fillId="0" borderId="47" xfId="0" applyNumberFormat="1" applyBorder="1" applyAlignment="1">
      <alignment horizontal="center"/>
    </xf>
    <xf numFmtId="1"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14" fontId="2" fillId="0" borderId="40" xfId="0" applyNumberFormat="1" applyFont="1" applyBorder="1" applyAlignment="1">
      <alignment horizontal="center" vertical="center"/>
    </xf>
    <xf numFmtId="0" fontId="2" fillId="0" borderId="40" xfId="0" applyFont="1" applyBorder="1" applyAlignment="1">
      <alignment horizontal="center" vertical="center"/>
    </xf>
    <xf numFmtId="0" fontId="2" fillId="0" borderId="45" xfId="0" applyFont="1" applyBorder="1" applyAlignment="1">
      <alignment horizontal="center" vertical="center"/>
    </xf>
    <xf numFmtId="0" fontId="2" fillId="0" borderId="9" xfId="0" applyFont="1" applyBorder="1" applyAlignment="1">
      <alignment horizontal="left" vertical="center" wrapText="1"/>
    </xf>
    <xf numFmtId="0" fontId="23" fillId="0" borderId="28" xfId="0" applyFont="1" applyBorder="1" applyAlignment="1">
      <alignment horizontal="center"/>
    </xf>
    <xf numFmtId="0" fontId="23" fillId="0" borderId="15" xfId="0" applyFont="1" applyBorder="1" applyAlignment="1">
      <alignment horizontal="center"/>
    </xf>
    <xf numFmtId="0" fontId="23" fillId="0" borderId="29" xfId="0" applyFont="1" applyBorder="1" applyAlignment="1">
      <alignment horizontal="center"/>
    </xf>
    <xf numFmtId="0" fontId="51" fillId="0" borderId="30" xfId="0" applyFont="1" applyBorder="1" applyAlignment="1">
      <alignment horizontal="center"/>
    </xf>
    <xf numFmtId="0" fontId="51" fillId="0" borderId="0" xfId="0" applyFont="1" applyBorder="1" applyAlignment="1">
      <alignment horizontal="center"/>
    </xf>
    <xf numFmtId="0" fontId="51" fillId="0" borderId="31" xfId="0" applyFont="1" applyBorder="1" applyAlignment="1">
      <alignment horizontal="center"/>
    </xf>
    <xf numFmtId="0" fontId="8" fillId="0" borderId="30" xfId="0" applyFont="1" applyBorder="1" applyAlignment="1">
      <alignment horizontal="left" vertical="center" wrapText="1"/>
    </xf>
    <xf numFmtId="0" fontId="8" fillId="0" borderId="0" xfId="0" applyFont="1" applyBorder="1" applyAlignment="1">
      <alignment horizontal="left" vertical="center" wrapText="1"/>
    </xf>
    <xf numFmtId="0" fontId="8" fillId="0" borderId="30" xfId="0" applyFont="1" applyBorder="1" applyAlignment="1">
      <alignment horizontal="left"/>
    </xf>
    <xf numFmtId="0" fontId="8" fillId="0" borderId="0" xfId="0" applyFont="1" applyBorder="1" applyAlignment="1">
      <alignment horizontal="left"/>
    </xf>
    <xf numFmtId="0" fontId="51" fillId="0" borderId="33" xfId="0" applyFont="1" applyBorder="1" applyAlignment="1">
      <alignment horizontal="center"/>
    </xf>
    <xf numFmtId="0" fontId="51" fillId="0" borderId="34" xfId="0" applyFont="1" applyBorder="1" applyAlignment="1">
      <alignment horizontal="center"/>
    </xf>
    <xf numFmtId="0" fontId="0" fillId="0" borderId="0" xfId="0" applyBorder="1" applyAlignment="1">
      <alignment horizontal="center"/>
    </xf>
    <xf numFmtId="0" fontId="29" fillId="0" borderId="0" xfId="0" applyFont="1" applyBorder="1" applyAlignment="1">
      <alignment horizontal="center"/>
    </xf>
    <xf numFmtId="0" fontId="0" fillId="0" borderId="0" xfId="0" applyBorder="1" applyAlignment="1">
      <alignment horizontal="center" vertical="center"/>
    </xf>
    <xf numFmtId="0" fontId="0" fillId="0" borderId="0" xfId="0" applyBorder="1" applyAlignment="1">
      <alignment horizontal="center" wrapText="1"/>
    </xf>
    <xf numFmtId="0" fontId="0" fillId="0" borderId="49" xfId="0" applyBorder="1" applyAlignment="1">
      <alignment horizontal="center" vertical="center" wrapText="1"/>
    </xf>
    <xf numFmtId="0" fontId="0" fillId="0" borderId="44" xfId="0" applyBorder="1" applyAlignment="1">
      <alignment horizontal="center" vertical="center" wrapText="1"/>
    </xf>
    <xf numFmtId="0" fontId="9" fillId="0" borderId="0" xfId="0" applyFont="1" applyBorder="1" applyAlignment="1">
      <alignment horizontal="left"/>
    </xf>
    <xf numFmtId="1" fontId="0" fillId="0" borderId="27" xfId="0" applyNumberFormat="1" applyBorder="1" applyAlignment="1">
      <alignment horizontal="center"/>
    </xf>
    <xf numFmtId="0" fontId="0" fillId="0" borderId="27" xfId="0" applyBorder="1" applyAlignment="1">
      <alignment horizontal="center"/>
    </xf>
    <xf numFmtId="0" fontId="0" fillId="0" borderId="52" xfId="0" applyBorder="1" applyAlignment="1">
      <alignment horizontal="center" vertical="center" wrapText="1"/>
    </xf>
    <xf numFmtId="0" fontId="0" fillId="0" borderId="51"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63" fillId="0" borderId="10" xfId="0" applyFont="1" applyBorder="1" applyAlignment="1">
      <alignment horizontal="center"/>
    </xf>
    <xf numFmtId="0" fontId="0" fillId="0" borderId="10" xfId="0" applyBorder="1" applyAlignment="1">
      <alignment horizontal="center"/>
    </xf>
    <xf numFmtId="3" fontId="0" fillId="0" borderId="10" xfId="0" applyNumberFormat="1" applyBorder="1" applyAlignment="1">
      <alignment horizontal="center"/>
    </xf>
    <xf numFmtId="0" fontId="0" fillId="0" borderId="33" xfId="0" applyBorder="1" applyAlignment="1">
      <alignment horizontal="center"/>
    </xf>
    <xf numFmtId="0" fontId="23" fillId="0" borderId="10" xfId="0" applyNumberFormat="1" applyFont="1" applyFill="1" applyBorder="1" applyAlignment="1" applyProtection="1">
      <alignment horizontal="center" vertical="center"/>
    </xf>
    <xf numFmtId="0" fontId="8" fillId="0" borderId="16" xfId="0" applyNumberFormat="1" applyFont="1" applyFill="1" applyBorder="1" applyAlignment="1" applyProtection="1">
      <alignment horizontal="right" vertical="top"/>
    </xf>
    <xf numFmtId="0" fontId="8" fillId="0" borderId="17" xfId="0" applyNumberFormat="1" applyFont="1" applyFill="1" applyBorder="1" applyAlignment="1" applyProtection="1">
      <alignment horizontal="right" vertical="top"/>
    </xf>
    <xf numFmtId="0" fontId="8" fillId="0" borderId="18" xfId="0" applyNumberFormat="1" applyFont="1" applyFill="1" applyBorder="1" applyAlignment="1" applyProtection="1">
      <alignment horizontal="right" vertical="top"/>
    </xf>
    <xf numFmtId="0" fontId="9" fillId="3" borderId="20" xfId="0" applyNumberFormat="1" applyFont="1" applyFill="1" applyBorder="1" applyAlignment="1" applyProtection="1">
      <alignment horizontal="center" vertical="top" wrapText="1"/>
    </xf>
    <xf numFmtId="0" fontId="9" fillId="3" borderId="21" xfId="0" applyNumberFormat="1" applyFont="1" applyFill="1" applyBorder="1" applyAlignment="1" applyProtection="1">
      <alignment horizontal="center" vertical="top" wrapText="1"/>
    </xf>
    <xf numFmtId="0" fontId="27" fillId="0" borderId="10" xfId="0" applyNumberFormat="1" applyFont="1" applyFill="1" applyBorder="1" applyAlignment="1" applyProtection="1">
      <alignment horizontal="center" vertical="center"/>
    </xf>
    <xf numFmtId="0" fontId="9" fillId="3" borderId="20" xfId="0" applyNumberFormat="1" applyFont="1" applyFill="1" applyBorder="1" applyAlignment="1" applyProtection="1">
      <alignment horizontal="left" vertical="top" wrapText="1"/>
    </xf>
    <xf numFmtId="0" fontId="9" fillId="3" borderId="21" xfId="0" applyNumberFormat="1" applyFont="1" applyFill="1" applyBorder="1" applyAlignment="1" applyProtection="1">
      <alignment horizontal="left" vertical="top" wrapText="1"/>
    </xf>
    <xf numFmtId="0" fontId="9" fillId="0" borderId="22" xfId="0" applyNumberFormat="1" applyFont="1" applyFill="1" applyBorder="1" applyAlignment="1" applyProtection="1">
      <alignment horizontal="right" vertical="top"/>
    </xf>
    <xf numFmtId="0" fontId="9" fillId="0" borderId="32" xfId="0" applyNumberFormat="1" applyFont="1" applyFill="1" applyBorder="1" applyAlignment="1" applyProtection="1">
      <alignment horizontal="right" vertical="top"/>
    </xf>
    <xf numFmtId="0" fontId="9" fillId="0" borderId="24" xfId="0" applyNumberFormat="1" applyFont="1" applyFill="1" applyBorder="1" applyAlignment="1" applyProtection="1">
      <alignment horizontal="right" vertical="top"/>
    </xf>
    <xf numFmtId="0" fontId="8" fillId="0" borderId="40" xfId="0" applyNumberFormat="1" applyFont="1" applyFill="1" applyBorder="1" applyAlignment="1" applyProtection="1">
      <alignment horizontal="center" vertical="top"/>
    </xf>
    <xf numFmtId="0" fontId="9" fillId="3" borderId="9" xfId="0" applyNumberFormat="1" applyFont="1" applyFill="1" applyBorder="1" applyAlignment="1" applyProtection="1">
      <alignment horizontal="left" vertical="top" wrapText="1"/>
    </xf>
    <xf numFmtId="0" fontId="9" fillId="3" borderId="12" xfId="0" applyNumberFormat="1" applyFont="1" applyFill="1" applyBorder="1" applyAlignment="1" applyProtection="1">
      <alignment horizontal="center" vertical="top" wrapText="1"/>
    </xf>
    <xf numFmtId="0" fontId="8" fillId="0" borderId="22" xfId="0" applyNumberFormat="1" applyFont="1" applyFill="1" applyBorder="1" applyAlignment="1" applyProtection="1">
      <alignment horizontal="right" vertical="top"/>
    </xf>
    <xf numFmtId="0" fontId="8" fillId="0" borderId="32" xfId="0" applyNumberFormat="1" applyFont="1" applyFill="1" applyBorder="1" applyAlignment="1" applyProtection="1">
      <alignment horizontal="right" vertical="top"/>
    </xf>
    <xf numFmtId="0" fontId="8" fillId="0" borderId="24" xfId="0" applyNumberFormat="1" applyFont="1" applyFill="1" applyBorder="1" applyAlignment="1" applyProtection="1">
      <alignment horizontal="right" vertical="top"/>
    </xf>
    <xf numFmtId="0" fontId="9" fillId="3" borderId="22" xfId="0" applyNumberFormat="1" applyFont="1" applyFill="1" applyBorder="1" applyAlignment="1" applyProtection="1">
      <alignment horizontal="center" vertical="top" wrapText="1"/>
    </xf>
    <xf numFmtId="0" fontId="9" fillId="3" borderId="24" xfId="0" applyNumberFormat="1" applyFont="1" applyFill="1" applyBorder="1" applyAlignment="1" applyProtection="1">
      <alignment horizontal="left" vertical="top" wrapText="1"/>
    </xf>
    <xf numFmtId="0" fontId="23" fillId="0" borderId="36" xfId="0" applyNumberFormat="1" applyFont="1" applyFill="1" applyBorder="1" applyAlignment="1" applyProtection="1">
      <alignment horizontal="center" vertical="center"/>
    </xf>
    <xf numFmtId="0" fontId="23" fillId="0" borderId="37" xfId="0" applyNumberFormat="1" applyFont="1" applyFill="1" applyBorder="1" applyAlignment="1" applyProtection="1">
      <alignment horizontal="center" vertical="center"/>
    </xf>
    <xf numFmtId="0" fontId="23" fillId="0" borderId="38" xfId="0" applyNumberFormat="1" applyFont="1" applyFill="1" applyBorder="1" applyAlignment="1" applyProtection="1">
      <alignment horizontal="center" vertical="center"/>
    </xf>
    <xf numFmtId="0" fontId="23" fillId="0" borderId="14" xfId="0" applyNumberFormat="1" applyFont="1" applyFill="1" applyBorder="1" applyAlignment="1" applyProtection="1">
      <alignment horizontal="center" vertical="center"/>
    </xf>
    <xf numFmtId="0" fontId="23" fillId="0" borderId="27" xfId="0" applyNumberFormat="1" applyFont="1" applyFill="1" applyBorder="1" applyAlignment="1" applyProtection="1">
      <alignment horizontal="center" vertical="center"/>
    </xf>
    <xf numFmtId="0" fontId="23" fillId="0" borderId="19" xfId="0" applyNumberFormat="1" applyFont="1" applyFill="1" applyBorder="1" applyAlignment="1" applyProtection="1">
      <alignment horizontal="center" vertical="center"/>
    </xf>
    <xf numFmtId="0" fontId="9" fillId="0" borderId="53" xfId="0" applyNumberFormat="1" applyFont="1" applyFill="1" applyBorder="1" applyAlignment="1" applyProtection="1">
      <alignment horizontal="center" vertical="top"/>
    </xf>
    <xf numFmtId="0" fontId="8" fillId="0" borderId="53" xfId="0" applyNumberFormat="1" applyFont="1" applyFill="1" applyBorder="1" applyAlignment="1" applyProtection="1">
      <alignment horizontal="left" vertical="top"/>
    </xf>
    <xf numFmtId="0" fontId="8" fillId="0" borderId="54" xfId="0" applyNumberFormat="1" applyFont="1" applyFill="1" applyBorder="1" applyAlignment="1" applyProtection="1">
      <alignment horizontal="left" vertical="top"/>
    </xf>
    <xf numFmtId="0" fontId="9" fillId="3" borderId="54" xfId="0" applyNumberFormat="1" applyFont="1" applyFill="1" applyBorder="1" applyAlignment="1" applyProtection="1">
      <alignment horizontal="center" vertical="center" textRotation="90"/>
    </xf>
    <xf numFmtId="0" fontId="9" fillId="3" borderId="12" xfId="0" applyNumberFormat="1" applyFont="1" applyFill="1" applyBorder="1" applyAlignment="1" applyProtection="1">
      <alignment horizontal="center" vertical="center" textRotation="90"/>
    </xf>
    <xf numFmtId="0" fontId="9" fillId="3" borderId="9" xfId="0" applyNumberFormat="1" applyFont="1" applyFill="1" applyBorder="1" applyAlignment="1" applyProtection="1">
      <alignment horizontal="center" vertical="center" textRotation="90"/>
    </xf>
    <xf numFmtId="0" fontId="9" fillId="3" borderId="54" xfId="0" applyNumberFormat="1" applyFont="1" applyFill="1" applyBorder="1" applyAlignment="1" applyProtection="1">
      <alignment horizontal="center" vertical="center" textRotation="90" wrapText="1"/>
    </xf>
    <xf numFmtId="0" fontId="9" fillId="3" borderId="12"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9" fillId="3" borderId="54" xfId="0" applyNumberFormat="1" applyFont="1" applyFill="1" applyBorder="1" applyAlignment="1" applyProtection="1">
      <alignment horizontal="center" vertical="top" textRotation="90" wrapText="1"/>
    </xf>
    <xf numFmtId="0" fontId="9" fillId="3" borderId="12" xfId="0" applyNumberFormat="1" applyFont="1" applyFill="1" applyBorder="1" applyAlignment="1" applyProtection="1">
      <alignment horizontal="center" vertical="top" textRotation="90" wrapText="1"/>
    </xf>
    <xf numFmtId="0" fontId="9" fillId="3" borderId="9" xfId="0" applyNumberFormat="1" applyFont="1" applyFill="1" applyBorder="1" applyAlignment="1" applyProtection="1">
      <alignment horizontal="center" vertical="top" textRotation="90" wrapText="1"/>
    </xf>
    <xf numFmtId="0" fontId="9" fillId="3" borderId="36" xfId="0" applyNumberFormat="1" applyFont="1" applyFill="1" applyBorder="1" applyAlignment="1" applyProtection="1">
      <alignment horizontal="center" vertical="center" wrapText="1"/>
    </xf>
    <xf numFmtId="0" fontId="9" fillId="3" borderId="37" xfId="0" applyNumberFormat="1" applyFont="1" applyFill="1" applyBorder="1" applyAlignment="1" applyProtection="1">
      <alignment horizontal="center" vertical="center" wrapText="1"/>
    </xf>
    <xf numFmtId="0" fontId="9" fillId="3" borderId="14" xfId="0" applyNumberFormat="1" applyFont="1" applyFill="1" applyBorder="1" applyAlignment="1" applyProtection="1">
      <alignment horizontal="center" vertical="center" wrapText="1"/>
    </xf>
    <xf numFmtId="0" fontId="9" fillId="3" borderId="27" xfId="0" applyNumberFormat="1" applyFont="1" applyFill="1" applyBorder="1" applyAlignment="1" applyProtection="1">
      <alignment horizontal="center" vertical="center" wrapText="1"/>
    </xf>
    <xf numFmtId="0" fontId="9" fillId="3" borderId="24" xfId="0" applyNumberFormat="1" applyFont="1" applyFill="1" applyBorder="1" applyAlignment="1" applyProtection="1">
      <alignment horizontal="left" vertical="top" textRotation="90" wrapText="1"/>
    </xf>
    <xf numFmtId="0" fontId="9" fillId="3" borderId="53" xfId="0" applyNumberFormat="1" applyFont="1" applyFill="1" applyBorder="1" applyAlignment="1" applyProtection="1">
      <alignment horizontal="left" vertical="top" textRotation="90" wrapText="1"/>
    </xf>
    <xf numFmtId="1" fontId="2" fillId="0" borderId="22" xfId="0" applyNumberFormat="1" applyFont="1" applyBorder="1" applyAlignment="1">
      <alignment horizontal="center" vertical="center"/>
    </xf>
    <xf numFmtId="0" fontId="2" fillId="0" borderId="32" xfId="0" applyFont="1" applyBorder="1" applyAlignment="1">
      <alignment horizontal="center" vertical="center"/>
    </xf>
    <xf numFmtId="0" fontId="2" fillId="0" borderId="47" xfId="0" applyFont="1" applyBorder="1" applyAlignment="1">
      <alignment horizontal="center" vertical="center"/>
    </xf>
    <xf numFmtId="1" fontId="2" fillId="0" borderId="22" xfId="0" applyNumberFormat="1" applyFont="1" applyBorder="1" applyAlignment="1">
      <alignment horizontal="center" vertical="center" wrapText="1"/>
    </xf>
    <xf numFmtId="1" fontId="2" fillId="0" borderId="24" xfId="0" applyNumberFormat="1" applyFont="1" applyBorder="1" applyAlignment="1">
      <alignment horizontal="center" vertical="center" wrapText="1"/>
    </xf>
    <xf numFmtId="1" fontId="2" fillId="0" borderId="47" xfId="0" applyNumberFormat="1" applyFont="1" applyBorder="1" applyAlignment="1">
      <alignment horizontal="center" vertical="center" wrapText="1"/>
    </xf>
    <xf numFmtId="0" fontId="0" fillId="0" borderId="22" xfId="0" applyBorder="1" applyAlignment="1">
      <alignment horizontal="center"/>
    </xf>
    <xf numFmtId="0" fontId="0" fillId="0" borderId="24" xfId="0" applyBorder="1" applyAlignment="1">
      <alignment horizontal="center"/>
    </xf>
    <xf numFmtId="14" fontId="2" fillId="0" borderId="10" xfId="0" applyNumberFormat="1" applyFont="1" applyBorder="1" applyAlignment="1">
      <alignment horizontal="center" vertical="center"/>
    </xf>
    <xf numFmtId="1" fontId="2" fillId="0" borderId="22" xfId="0" applyNumberFormat="1" applyFont="1" applyBorder="1" applyAlignment="1">
      <alignment horizontal="center"/>
    </xf>
    <xf numFmtId="1" fontId="2" fillId="0" borderId="32" xfId="0" applyNumberFormat="1" applyFont="1" applyBorder="1" applyAlignment="1">
      <alignment horizontal="center"/>
    </xf>
    <xf numFmtId="1" fontId="2" fillId="0" borderId="47" xfId="0" applyNumberFormat="1" applyFont="1" applyBorder="1" applyAlignment="1">
      <alignment horizontal="center"/>
    </xf>
    <xf numFmtId="1"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0" fillId="0" borderId="47" xfId="0" applyBorder="1" applyAlignment="1">
      <alignment horizontal="center"/>
    </xf>
    <xf numFmtId="0" fontId="2" fillId="0" borderId="0" xfId="0" applyFont="1" applyBorder="1" applyAlignment="1">
      <alignment horizontal="left" vertical="center"/>
    </xf>
    <xf numFmtId="14" fontId="2" fillId="0" borderId="0" xfId="0" applyNumberFormat="1" applyFont="1" applyBorder="1" applyAlignment="1">
      <alignment horizontal="center" vertical="center"/>
    </xf>
    <xf numFmtId="0" fontId="5" fillId="0" borderId="0" xfId="0" applyFont="1" applyBorder="1" applyAlignment="1">
      <alignment horizontal="center"/>
    </xf>
    <xf numFmtId="17" fontId="2" fillId="0" borderId="0" xfId="0" applyNumberFormat="1" applyFont="1" applyBorder="1" applyAlignment="1">
      <alignment horizontal="center" vertical="center"/>
    </xf>
    <xf numFmtId="0" fontId="30" fillId="0" borderId="0" xfId="0" applyFont="1" applyBorder="1" applyAlignment="1">
      <alignment horizontal="center"/>
    </xf>
    <xf numFmtId="0" fontId="0" fillId="0" borderId="32" xfId="0" applyBorder="1" applyAlignment="1">
      <alignment horizontal="center"/>
    </xf>
    <xf numFmtId="1" fontId="2" fillId="0" borderId="32" xfId="0" applyNumberFormat="1" applyFont="1" applyBorder="1" applyAlignment="1">
      <alignment horizontal="center" vertical="center" wrapText="1"/>
    </xf>
    <xf numFmtId="0" fontId="45" fillId="0" borderId="0" xfId="0" applyFont="1" applyBorder="1" applyAlignment="1">
      <alignment horizontal="center"/>
    </xf>
    <xf numFmtId="0" fontId="45" fillId="0" borderId="31" xfId="0" applyFont="1" applyBorder="1" applyAlignment="1">
      <alignment horizontal="center"/>
    </xf>
    <xf numFmtId="0" fontId="5" fillId="0" borderId="31" xfId="0" applyFont="1" applyBorder="1" applyAlignment="1">
      <alignment horizontal="center"/>
    </xf>
    <xf numFmtId="0" fontId="2" fillId="0" borderId="22" xfId="0" applyFont="1" applyBorder="1" applyAlignment="1">
      <alignment horizontal="center" vertical="center"/>
    </xf>
    <xf numFmtId="0" fontId="2" fillId="0" borderId="24" xfId="0" applyFont="1" applyBorder="1" applyAlignment="1">
      <alignment horizontal="center" vertical="center"/>
    </xf>
    <xf numFmtId="0" fontId="2" fillId="0" borderId="22" xfId="0" applyFont="1" applyBorder="1" applyAlignment="1">
      <alignment horizontal="center"/>
    </xf>
    <xf numFmtId="0" fontId="2" fillId="0" borderId="32" xfId="0" applyFont="1" applyBorder="1" applyAlignment="1">
      <alignment horizontal="center"/>
    </xf>
    <xf numFmtId="0" fontId="2" fillId="0" borderId="47" xfId="0" applyFont="1" applyBorder="1" applyAlignment="1">
      <alignment horizontal="center"/>
    </xf>
    <xf numFmtId="1" fontId="2" fillId="0" borderId="32" xfId="0" applyNumberFormat="1" applyFont="1" applyBorder="1" applyAlignment="1">
      <alignment horizontal="left" vertical="center" wrapText="1"/>
    </xf>
    <xf numFmtId="1" fontId="2" fillId="0" borderId="47" xfId="0" applyNumberFormat="1" applyFont="1" applyBorder="1" applyAlignment="1">
      <alignment horizontal="left" vertical="center" wrapText="1"/>
    </xf>
    <xf numFmtId="0" fontId="46" fillId="2" borderId="22" xfId="0" applyFont="1" applyFill="1" applyBorder="1" applyAlignment="1" applyProtection="1">
      <alignment horizontal="center" vertical="center"/>
    </xf>
    <xf numFmtId="0" fontId="46" fillId="2" borderId="32" xfId="0" applyFont="1" applyFill="1" applyBorder="1" applyAlignment="1" applyProtection="1">
      <alignment horizontal="center" vertical="center"/>
    </xf>
    <xf numFmtId="0" fontId="46" fillId="2" borderId="47" xfId="0" applyFont="1" applyFill="1" applyBorder="1" applyAlignment="1" applyProtection="1">
      <alignment horizontal="center" vertical="center"/>
    </xf>
    <xf numFmtId="0" fontId="0" fillId="0" borderId="22" xfId="0" applyFont="1" applyBorder="1" applyAlignment="1">
      <alignment horizontal="left"/>
    </xf>
    <xf numFmtId="0" fontId="0" fillId="0" borderId="32" xfId="0" applyFont="1" applyBorder="1" applyAlignment="1">
      <alignment horizontal="left"/>
    </xf>
    <xf numFmtId="0" fontId="2" fillId="0" borderId="22" xfId="0" applyFont="1" applyBorder="1" applyAlignment="1">
      <alignment horizontal="left"/>
    </xf>
    <xf numFmtId="0" fontId="2" fillId="0" borderId="32" xfId="0" applyFont="1" applyBorder="1" applyAlignment="1">
      <alignment horizontal="left"/>
    </xf>
    <xf numFmtId="0" fontId="2" fillId="0" borderId="47" xfId="0" applyFont="1" applyBorder="1" applyAlignment="1">
      <alignment horizontal="left"/>
    </xf>
    <xf numFmtId="0" fontId="46" fillId="2" borderId="24" xfId="0" applyFont="1" applyFill="1" applyBorder="1" applyAlignment="1" applyProtection="1">
      <alignment horizontal="center" vertical="center"/>
    </xf>
    <xf numFmtId="1" fontId="2" fillId="0" borderId="0" xfId="0" applyNumberFormat="1" applyFont="1" applyBorder="1" applyAlignment="1">
      <alignment horizontal="center" vertical="center" wrapText="1"/>
    </xf>
    <xf numFmtId="1" fontId="2" fillId="0" borderId="31" xfId="0" applyNumberFormat="1" applyFont="1" applyBorder="1" applyAlignment="1">
      <alignment horizontal="center" vertical="center" wrapText="1"/>
    </xf>
    <xf numFmtId="0" fontId="57" fillId="0" borderId="0" xfId="0" applyFont="1" applyBorder="1" applyAlignment="1">
      <alignment vertical="center" wrapText="1"/>
    </xf>
    <xf numFmtId="0" fontId="57" fillId="0" borderId="31" xfId="0" applyFont="1" applyBorder="1" applyAlignment="1">
      <alignment vertical="center" wrapText="1"/>
    </xf>
    <xf numFmtId="0" fontId="0" fillId="0" borderId="0" xfId="0" applyBorder="1" applyAlignment="1">
      <alignment horizontal="right"/>
    </xf>
    <xf numFmtId="1" fontId="54" fillId="2" borderId="0" xfId="0" applyNumberFormat="1" applyFont="1" applyFill="1" applyBorder="1" applyAlignment="1" applyProtection="1">
      <alignment horizontal="center" vertical="center"/>
    </xf>
    <xf numFmtId="0" fontId="54" fillId="2" borderId="0" xfId="0" applyFont="1" applyFill="1" applyBorder="1" applyAlignment="1" applyProtection="1">
      <alignment horizontal="center" vertical="center"/>
    </xf>
    <xf numFmtId="0" fontId="0" fillId="0" borderId="0" xfId="0" applyFont="1" applyBorder="1" applyAlignment="1">
      <alignment horizontal="left"/>
    </xf>
    <xf numFmtId="0" fontId="0" fillId="0" borderId="31" xfId="0" applyFont="1" applyBorder="1" applyAlignment="1">
      <alignment horizontal="left"/>
    </xf>
    <xf numFmtId="0" fontId="46" fillId="2" borderId="36" xfId="0" applyFont="1" applyFill="1" applyBorder="1" applyAlignment="1" applyProtection="1">
      <alignment vertical="center"/>
    </xf>
    <xf numFmtId="0" fontId="46" fillId="2" borderId="37" xfId="0" applyFont="1" applyFill="1" applyBorder="1" applyAlignment="1" applyProtection="1">
      <alignment vertical="center"/>
    </xf>
    <xf numFmtId="0" fontId="46" fillId="2" borderId="36" xfId="0" applyFont="1" applyFill="1" applyBorder="1" applyAlignment="1" applyProtection="1">
      <alignment horizontal="center" vertical="center"/>
    </xf>
    <xf numFmtId="0" fontId="46" fillId="2" borderId="37" xfId="0" applyFont="1" applyFill="1" applyBorder="1" applyAlignment="1" applyProtection="1">
      <alignment horizontal="center" vertical="center"/>
    </xf>
    <xf numFmtId="0" fontId="46" fillId="2" borderId="48" xfId="0" applyFont="1" applyFill="1" applyBorder="1" applyAlignment="1" applyProtection="1">
      <alignment horizontal="center" vertical="center"/>
    </xf>
    <xf numFmtId="0" fontId="46" fillId="2" borderId="14" xfId="0" applyFont="1" applyFill="1" applyBorder="1" applyAlignment="1" applyProtection="1">
      <alignment horizontal="center" vertical="center"/>
    </xf>
    <xf numFmtId="0" fontId="46" fillId="2" borderId="27" xfId="0" applyFont="1" applyFill="1" applyBorder="1" applyAlignment="1" applyProtection="1">
      <alignment horizontal="center" vertical="center"/>
    </xf>
    <xf numFmtId="0" fontId="46" fillId="2" borderId="46" xfId="0" applyFont="1" applyFill="1" applyBorder="1" applyAlignment="1" applyProtection="1">
      <alignment horizontal="center" vertical="center"/>
    </xf>
    <xf numFmtId="0" fontId="0" fillId="0" borderId="30" xfId="0" applyBorder="1" applyAlignment="1">
      <alignment horizontal="left" vertical="center" wrapText="1"/>
    </xf>
    <xf numFmtId="0" fontId="0" fillId="0" borderId="0" xfId="0" applyBorder="1" applyAlignment="1">
      <alignment horizontal="left" vertical="center" wrapText="1"/>
    </xf>
    <xf numFmtId="0" fontId="0" fillId="0" borderId="31" xfId="0" applyBorder="1" applyAlignment="1">
      <alignment horizontal="left" vertical="center" wrapText="1"/>
    </xf>
    <xf numFmtId="0" fontId="40" fillId="0" borderId="0" xfId="0" applyFont="1" applyBorder="1" applyAlignment="1">
      <alignment horizontal="left"/>
    </xf>
    <xf numFmtId="0" fontId="40" fillId="0" borderId="31" xfId="0" applyFont="1" applyBorder="1" applyAlignment="1">
      <alignment horizontal="left"/>
    </xf>
    <xf numFmtId="0" fontId="8" fillId="0" borderId="30" xfId="0" applyFont="1" applyBorder="1" applyAlignment="1">
      <alignment horizontal="left" vertical="center"/>
    </xf>
    <xf numFmtId="0" fontId="8" fillId="0" borderId="0" xfId="0" applyFont="1" applyBorder="1" applyAlignment="1">
      <alignment horizontal="left" vertical="center"/>
    </xf>
    <xf numFmtId="0" fontId="8" fillId="0" borderId="31" xfId="0" applyFont="1" applyBorder="1" applyAlignment="1">
      <alignment horizontal="left" vertical="center"/>
    </xf>
    <xf numFmtId="0" fontId="9" fillId="0" borderId="0" xfId="0" applyFont="1" applyBorder="1" applyAlignment="1">
      <alignment horizontal="left" vertical="center" wrapText="1"/>
    </xf>
    <xf numFmtId="0" fontId="9" fillId="0" borderId="31" xfId="0" applyFont="1" applyBorder="1" applyAlignment="1">
      <alignment horizontal="left" vertical="center" wrapText="1"/>
    </xf>
    <xf numFmtId="0" fontId="40" fillId="0" borderId="30" xfId="0" applyFont="1" applyBorder="1" applyAlignment="1">
      <alignment horizontal="center"/>
    </xf>
    <xf numFmtId="0" fontId="40" fillId="0" borderId="0" xfId="0" applyFont="1" applyBorder="1" applyAlignment="1">
      <alignment horizontal="center"/>
    </xf>
    <xf numFmtId="0" fontId="40" fillId="0" borderId="31" xfId="0" applyFont="1" applyBorder="1" applyAlignment="1">
      <alignment horizontal="center"/>
    </xf>
    <xf numFmtId="0" fontId="28" fillId="0" borderId="30" xfId="0" applyFont="1" applyBorder="1" applyAlignment="1">
      <alignment horizontal="left"/>
    </xf>
    <xf numFmtId="0" fontId="28" fillId="0" borderId="0" xfId="0" applyFont="1" applyBorder="1" applyAlignment="1">
      <alignment horizontal="left"/>
    </xf>
    <xf numFmtId="0" fontId="28" fillId="0" borderId="31" xfId="0" applyFont="1" applyBorder="1" applyAlignment="1">
      <alignment horizontal="left"/>
    </xf>
    <xf numFmtId="0" fontId="28" fillId="0" borderId="51" xfId="0" applyFont="1" applyBorder="1" applyAlignment="1">
      <alignment horizontal="left"/>
    </xf>
    <xf numFmtId="0" fontId="28" fillId="0" borderId="10" xfId="0" applyFont="1" applyBorder="1" applyAlignment="1">
      <alignment horizontal="left"/>
    </xf>
    <xf numFmtId="0" fontId="0" fillId="0" borderId="44" xfId="0" applyBorder="1" applyAlignment="1">
      <alignment horizontal="center"/>
    </xf>
    <xf numFmtId="0" fontId="28" fillId="0" borderId="30" xfId="0" applyFont="1" applyBorder="1" applyAlignment="1">
      <alignment horizontal="justify" vertical="justify" wrapText="1"/>
    </xf>
    <xf numFmtId="0" fontId="28" fillId="0" borderId="0" xfId="0" applyFont="1" applyBorder="1" applyAlignment="1">
      <alignment horizontal="justify" vertical="justify" wrapText="1"/>
    </xf>
    <xf numFmtId="0" fontId="28" fillId="0" borderId="31" xfId="0" applyFont="1" applyBorder="1" applyAlignment="1">
      <alignment horizontal="justify" vertical="justify" wrapText="1"/>
    </xf>
    <xf numFmtId="0" fontId="60" fillId="0" borderId="28" xfId="0" applyFont="1" applyBorder="1" applyAlignment="1">
      <alignment horizontal="center"/>
    </xf>
    <xf numFmtId="0" fontId="60" fillId="0" borderId="15" xfId="0" applyFont="1" applyBorder="1" applyAlignment="1">
      <alignment horizontal="center"/>
    </xf>
    <xf numFmtId="0" fontId="60" fillId="0" borderId="29" xfId="0" applyFont="1" applyBorder="1" applyAlignment="1">
      <alignment horizontal="center"/>
    </xf>
    <xf numFmtId="0" fontId="61" fillId="0" borderId="30" xfId="0" applyFont="1" applyBorder="1" applyAlignment="1">
      <alignment horizontal="center"/>
    </xf>
    <xf numFmtId="0" fontId="61" fillId="0" borderId="0" xfId="0" applyFont="1" applyBorder="1" applyAlignment="1">
      <alignment horizontal="center"/>
    </xf>
    <xf numFmtId="0" fontId="61" fillId="0" borderId="31" xfId="0" applyFont="1" applyBorder="1" applyAlignment="1">
      <alignment horizontal="center"/>
    </xf>
    <xf numFmtId="0" fontId="62" fillId="0" borderId="30" xfId="0" applyFont="1" applyBorder="1" applyAlignment="1">
      <alignment horizontal="center"/>
    </xf>
    <xf numFmtId="0" fontId="62" fillId="0" borderId="0" xfId="0" applyFont="1" applyBorder="1" applyAlignment="1">
      <alignment horizontal="center"/>
    </xf>
    <xf numFmtId="0" fontId="62" fillId="0" borderId="31" xfId="0" applyFont="1" applyBorder="1" applyAlignment="1">
      <alignment horizontal="center"/>
    </xf>
    <xf numFmtId="1" fontId="0" fillId="0" borderId="10" xfId="0" applyNumberFormat="1" applyBorder="1" applyAlignment="1">
      <alignment horizontal="center"/>
    </xf>
    <xf numFmtId="14" fontId="0" fillId="0" borderId="10" xfId="0" applyNumberFormat="1" applyBorder="1" applyAlignment="1">
      <alignment horizontal="center"/>
    </xf>
    <xf numFmtId="0" fontId="19" fillId="0" borderId="61" xfId="0" applyFont="1" applyBorder="1" applyAlignment="1">
      <alignment horizontal="left" vertical="center" wrapText="1"/>
    </xf>
    <xf numFmtId="0" fontId="19" fillId="0" borderId="62" xfId="0" applyFont="1" applyBorder="1" applyAlignment="1">
      <alignment horizontal="left" vertical="center" wrapText="1"/>
    </xf>
    <xf numFmtId="0" fontId="19" fillId="0" borderId="63" xfId="0" applyFont="1" applyBorder="1" applyAlignment="1">
      <alignment horizontal="left" vertical="center" wrapText="1"/>
    </xf>
    <xf numFmtId="0" fontId="19" fillId="0" borderId="0" xfId="0" applyFont="1" applyBorder="1" applyAlignment="1">
      <alignment horizontal="center" vertical="center"/>
    </xf>
    <xf numFmtId="0" fontId="73" fillId="0" borderId="0" xfId="0" applyFont="1" applyBorder="1" applyAlignment="1">
      <alignment horizontal="center"/>
    </xf>
    <xf numFmtId="0" fontId="73" fillId="0" borderId="0" xfId="0" applyFont="1" applyBorder="1" applyAlignment="1">
      <alignment horizontal="center" vertical="center" wrapText="1"/>
    </xf>
    <xf numFmtId="0" fontId="19" fillId="0" borderId="53" xfId="0" applyFont="1" applyBorder="1" applyAlignment="1">
      <alignment horizontal="center" vertical="center" wrapText="1"/>
    </xf>
  </cellXfs>
  <cellStyles count="8">
    <cellStyle name="Comma 2" xfId="1" xr:uid="{00000000-0005-0000-0000-000000000000}"/>
    <cellStyle name="Excel Built-in Normal 1" xfId="6" xr:uid="{00000000-0005-0000-0000-000001000000}"/>
    <cellStyle name="Excel Built-in Normal 2" xfId="7" xr:uid="{00000000-0005-0000-0000-000002000000}"/>
    <cellStyle name="Normal" xfId="0" builtinId="0"/>
    <cellStyle name="Normal 2" xfId="3" xr:uid="{00000000-0005-0000-0000-000004000000}"/>
    <cellStyle name="Normal 4 3 3 2 2" xfId="2" xr:uid="{00000000-0005-0000-0000-000005000000}"/>
    <cellStyle name="Normal 4 3 3 2 2 2" xfId="4" xr:uid="{00000000-0005-0000-0000-000006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0F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0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uditors/Desktop/Audit%20docs-Nov19/SARANSH%20%20Hyderabad%20Audit%20Nov-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Serive Certificate"/>
      <sheetName val="Serive Certificate (2)"/>
      <sheetName val="Serive Certificate (3)"/>
      <sheetName val="Serive Certificate (4)"/>
      <sheetName val="ESI cards Reg"/>
      <sheetName val="Form-I"/>
      <sheetName val="Form-2"/>
      <sheetName val="Form 11"/>
      <sheetName val="Form-F"/>
      <sheetName val="Sheet1"/>
    </sheetNames>
    <sheetDataSet>
      <sheetData sheetId="0">
        <row r="5">
          <cell r="F5" t="str">
            <v>Saransh Software Solutions Private Limited</v>
          </cell>
        </row>
        <row r="10">
          <cell r="AO10" t="str">
            <v>INFOSYS LIMITED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H49"/>
  <sheetViews>
    <sheetView topLeftCell="A7" workbookViewId="0">
      <selection activeCell="B14" sqref="B14"/>
    </sheetView>
  </sheetViews>
  <sheetFormatPr defaultColWidth="8.7109375" defaultRowHeight="15"/>
  <cols>
    <col min="1" max="1" width="11" style="412" customWidth="1"/>
    <col min="2" max="2" width="31.42578125" style="17" customWidth="1"/>
    <col min="3" max="3" width="16.7109375" style="17" customWidth="1"/>
    <col min="4" max="4" width="9.85546875" style="17" customWidth="1"/>
    <col min="5" max="5" width="28.140625" style="17" customWidth="1"/>
    <col min="6" max="6" width="20.5703125" style="17" customWidth="1"/>
    <col min="7" max="7" width="39.42578125" style="17" bestFit="1" customWidth="1"/>
    <col min="8" max="8" width="23.42578125" style="17" customWidth="1"/>
    <col min="9" max="9" width="25.5703125" style="17" customWidth="1"/>
    <col min="10" max="10" width="31.42578125" style="17" customWidth="1"/>
    <col min="11" max="11" width="31.140625" style="17" customWidth="1"/>
    <col min="12" max="12" width="28.5703125" style="17" customWidth="1"/>
    <col min="13" max="13" width="26.7109375" style="17" customWidth="1"/>
    <col min="14" max="14" width="23" style="17" customWidth="1"/>
    <col min="15" max="15" width="26.5703125" style="17" customWidth="1"/>
    <col min="16" max="17" width="23" style="17" customWidth="1"/>
    <col min="18" max="18" width="31.42578125" style="17" customWidth="1"/>
    <col min="19" max="16384" width="8.7109375" style="17"/>
  </cols>
  <sheetData>
    <row r="1" spans="1:18" s="602" customFormat="1" ht="37.15" customHeight="1">
      <c r="A1" s="600" t="s">
        <v>420</v>
      </c>
      <c r="B1" s="601"/>
      <c r="C1" s="601"/>
      <c r="D1" s="601"/>
      <c r="E1" s="601"/>
      <c r="F1" s="601"/>
      <c r="G1" s="601"/>
      <c r="H1" s="601"/>
      <c r="I1" s="601"/>
      <c r="J1" s="601"/>
      <c r="K1" s="601"/>
      <c r="L1" s="601"/>
      <c r="M1" s="601"/>
      <c r="N1" s="601"/>
      <c r="O1" s="601"/>
      <c r="P1" s="601"/>
      <c r="Q1" s="601"/>
      <c r="R1" s="601"/>
    </row>
    <row r="2" spans="1:18" ht="28.5" customHeight="1">
      <c r="E2" s="411" t="s">
        <v>421</v>
      </c>
    </row>
    <row r="3" spans="1:18" ht="43.5" customHeight="1">
      <c r="A3" s="659" t="s">
        <v>0</v>
      </c>
      <c r="B3" s="659"/>
      <c r="C3" s="659"/>
      <c r="D3" s="592"/>
      <c r="E3" s="592"/>
      <c r="F3" s="603" t="str">
        <f>'PUNJAB 04-22Master'!F5</f>
        <v>Burgeon IT Services Pvt.Ltd.</v>
      </c>
      <c r="G3" s="604"/>
      <c r="H3" s="604"/>
      <c r="I3" s="604"/>
      <c r="J3" s="604"/>
      <c r="L3" s="604" t="s">
        <v>182</v>
      </c>
      <c r="N3" s="604"/>
      <c r="O3" s="605" t="str">
        <f>'PUNJAB 04-22Master'!AO5</f>
        <v>Burgeon IT Services Pvt.Ltd.</v>
      </c>
      <c r="P3" s="604"/>
      <c r="Q3" s="604"/>
      <c r="R3" s="604"/>
    </row>
    <row r="4" spans="1:18" ht="20.45" customHeight="1">
      <c r="A4" s="415"/>
      <c r="F4" s="603" t="str">
        <f>'PUNJAB 04-22Master'!F6</f>
        <v>Siri Mansion LIGB 436 Dr.A S Rao Nagar,Hyderabad</v>
      </c>
      <c r="G4" s="214"/>
      <c r="H4" s="214"/>
      <c r="I4" s="214"/>
      <c r="J4" s="214"/>
      <c r="K4" s="214"/>
      <c r="L4" s="214"/>
      <c r="N4" s="214"/>
      <c r="O4" s="606" t="str">
        <f>'PUNJAB 04-22Master'!AO6</f>
        <v>Siri Mansion LIGB 436 Dr.A S Rao Nagar,Hyderabad</v>
      </c>
      <c r="P4" s="214"/>
      <c r="Q4" s="214"/>
      <c r="R4" s="214"/>
    </row>
    <row r="5" spans="1:18">
      <c r="A5" s="659" t="s">
        <v>2</v>
      </c>
      <c r="B5" s="659"/>
      <c r="C5" s="659"/>
      <c r="D5" s="592"/>
      <c r="E5" s="592"/>
      <c r="F5" s="607" t="str">
        <f>'PUNJAB 04-22Master'!F8</f>
        <v>IT SUPPORTIVE SERVICES&amp;Chandigarh</v>
      </c>
      <c r="G5" s="607"/>
      <c r="H5" s="607"/>
      <c r="I5" s="607"/>
      <c r="J5" s="607"/>
      <c r="K5" s="607"/>
      <c r="L5" s="607"/>
      <c r="M5" s="607"/>
      <c r="N5" s="607"/>
      <c r="O5" s="607"/>
      <c r="P5" s="607"/>
      <c r="Q5" s="607"/>
      <c r="R5" s="607"/>
    </row>
    <row r="6" spans="1:18">
      <c r="A6" s="415"/>
    </row>
    <row r="7" spans="1:18" ht="15" customHeight="1">
      <c r="A7" s="659"/>
      <c r="B7" s="659"/>
      <c r="C7" s="659"/>
      <c r="E7" s="592"/>
      <c r="F7" s="608"/>
      <c r="G7" s="609"/>
      <c r="H7" s="609"/>
      <c r="I7" s="609"/>
      <c r="J7" s="609"/>
      <c r="L7" s="609" t="s">
        <v>4</v>
      </c>
      <c r="N7" s="609"/>
      <c r="O7" s="609" t="str">
        <f>'PUNJAB 04-22Master'!AO10</f>
        <v xml:space="preserve">INFOSYS  LTD.IL </v>
      </c>
      <c r="P7" s="609"/>
      <c r="Q7" s="609"/>
      <c r="R7" s="609"/>
    </row>
    <row r="8" spans="1:18" ht="17.45" customHeight="1">
      <c r="O8" s="17" t="s">
        <v>455</v>
      </c>
    </row>
    <row r="10" spans="1:18" ht="15.75" thickBot="1"/>
    <row r="11" spans="1:18" s="422" customFormat="1" ht="36.6" customHeight="1">
      <c r="A11" s="660" t="s">
        <v>7</v>
      </c>
      <c r="B11" s="662" t="s">
        <v>6</v>
      </c>
      <c r="C11" s="610" t="s">
        <v>52</v>
      </c>
      <c r="D11" s="610" t="s">
        <v>40</v>
      </c>
      <c r="E11" s="610" t="s">
        <v>43</v>
      </c>
      <c r="F11" s="656" t="s">
        <v>8</v>
      </c>
      <c r="G11" s="611" t="s">
        <v>44</v>
      </c>
      <c r="H11" s="611"/>
      <c r="I11" s="611"/>
      <c r="J11" s="611" t="s">
        <v>45</v>
      </c>
      <c r="K11" s="611"/>
      <c r="L11" s="611"/>
      <c r="M11" s="611"/>
      <c r="N11" s="611" t="s">
        <v>46</v>
      </c>
      <c r="O11" s="611" t="s">
        <v>47</v>
      </c>
      <c r="P11" s="611" t="s">
        <v>48</v>
      </c>
      <c r="Q11" s="611" t="s">
        <v>49</v>
      </c>
      <c r="R11" s="611" t="s">
        <v>41</v>
      </c>
    </row>
    <row r="12" spans="1:18" ht="47.25" customHeight="1" thickBot="1">
      <c r="A12" s="661"/>
      <c r="B12" s="663"/>
      <c r="C12" s="612"/>
      <c r="D12" s="612"/>
      <c r="E12" s="612"/>
      <c r="F12" s="657"/>
      <c r="G12" s="613"/>
      <c r="H12" s="613"/>
      <c r="I12" s="613"/>
      <c r="J12" s="613"/>
      <c r="K12" s="613"/>
      <c r="L12" s="613"/>
      <c r="M12" s="613"/>
      <c r="N12" s="613"/>
      <c r="O12" s="613"/>
      <c r="P12" s="613"/>
      <c r="Q12" s="613"/>
      <c r="R12" s="613"/>
    </row>
    <row r="13" spans="1:18" s="643" customFormat="1" ht="43.5" customHeight="1">
      <c r="A13" s="635">
        <v>1</v>
      </c>
      <c r="B13" s="636" t="s">
        <v>436</v>
      </c>
      <c r="C13" s="637">
        <v>29990</v>
      </c>
      <c r="D13" s="638" t="s">
        <v>437</v>
      </c>
      <c r="E13" s="638" t="s">
        <v>438</v>
      </c>
      <c r="F13" s="639" t="s">
        <v>440</v>
      </c>
      <c r="G13" s="639" t="s">
        <v>439</v>
      </c>
      <c r="H13" s="639"/>
      <c r="I13" s="639"/>
      <c r="J13" s="639" t="s">
        <v>439</v>
      </c>
      <c r="K13" s="640"/>
      <c r="L13" s="640"/>
      <c r="M13" s="640"/>
      <c r="N13" s="641">
        <v>43885</v>
      </c>
      <c r="O13" s="640"/>
      <c r="P13" s="642" t="s">
        <v>444</v>
      </c>
      <c r="Q13" s="642" t="s">
        <v>445</v>
      </c>
      <c r="R13" s="640"/>
    </row>
    <row r="14" spans="1:18" ht="32.1" customHeight="1">
      <c r="A14" s="492">
        <v>2</v>
      </c>
      <c r="B14" s="631" t="s">
        <v>446</v>
      </c>
      <c r="C14" s="410">
        <v>34495</v>
      </c>
      <c r="D14" s="627" t="s">
        <v>437</v>
      </c>
      <c r="E14" s="627" t="s">
        <v>447</v>
      </c>
      <c r="F14" s="591" t="s">
        <v>453</v>
      </c>
      <c r="G14" s="628" t="s">
        <v>448</v>
      </c>
      <c r="H14" s="575"/>
      <c r="I14" s="575"/>
      <c r="J14" s="628" t="s">
        <v>448</v>
      </c>
      <c r="K14" s="614"/>
      <c r="L14" s="614"/>
      <c r="M14" s="614"/>
      <c r="N14" s="620">
        <v>44454</v>
      </c>
      <c r="O14" s="614"/>
      <c r="P14" s="619" t="s">
        <v>430</v>
      </c>
      <c r="Q14" s="619" t="s">
        <v>430</v>
      </c>
      <c r="R14" s="614"/>
    </row>
    <row r="15" spans="1:18" ht="25.15" customHeight="1">
      <c r="A15" s="27"/>
      <c r="B15" s="454"/>
      <c r="C15" s="410"/>
      <c r="D15" s="59"/>
      <c r="E15" s="59"/>
      <c r="F15" s="614"/>
      <c r="G15" s="614"/>
      <c r="H15" s="614"/>
      <c r="I15" s="614"/>
      <c r="J15" s="614"/>
      <c r="K15" s="614"/>
      <c r="L15" s="614"/>
      <c r="M15" s="614"/>
      <c r="N15" s="615"/>
      <c r="O15" s="614"/>
      <c r="P15" s="614"/>
      <c r="Q15" s="614"/>
      <c r="R15" s="29"/>
    </row>
    <row r="16" spans="1:18" ht="25.15" customHeight="1">
      <c r="A16" s="27"/>
      <c r="B16" s="454"/>
      <c r="C16" s="410"/>
      <c r="D16" s="59"/>
      <c r="E16" s="59"/>
      <c r="F16" s="614"/>
      <c r="G16" s="614"/>
      <c r="H16" s="614"/>
      <c r="I16" s="614"/>
      <c r="J16" s="614"/>
      <c r="K16" s="614"/>
      <c r="L16" s="614"/>
      <c r="M16" s="614"/>
      <c r="N16" s="615"/>
      <c r="O16" s="614"/>
      <c r="P16" s="614"/>
      <c r="Q16" s="614"/>
      <c r="R16" s="29"/>
    </row>
    <row r="17" spans="1:242" ht="22.5" customHeight="1">
      <c r="A17" s="27"/>
      <c r="B17" s="454"/>
      <c r="C17" s="410"/>
      <c r="D17" s="59"/>
      <c r="E17" s="59"/>
      <c r="F17" s="614"/>
      <c r="G17" s="614"/>
      <c r="H17" s="614"/>
      <c r="I17" s="614"/>
      <c r="J17" s="614"/>
      <c r="K17" s="614"/>
      <c r="L17" s="614"/>
      <c r="M17" s="614"/>
      <c r="N17" s="615"/>
      <c r="O17" s="614"/>
      <c r="P17" s="614"/>
      <c r="Q17" s="614"/>
      <c r="R17" s="29"/>
    </row>
    <row r="18" spans="1:242" ht="22.5" customHeight="1">
      <c r="A18" s="43"/>
      <c r="B18" s="44"/>
      <c r="C18" s="45"/>
      <c r="D18" s="45"/>
      <c r="E18" s="45"/>
      <c r="F18" s="46"/>
      <c r="G18" s="46"/>
      <c r="H18" s="46"/>
      <c r="I18" s="46"/>
      <c r="J18" s="46"/>
      <c r="K18" s="46"/>
      <c r="L18" s="46"/>
      <c r="M18" s="46"/>
      <c r="N18" s="46"/>
      <c r="O18" s="46"/>
      <c r="P18" s="46"/>
      <c r="Q18" s="46"/>
      <c r="R18" s="46"/>
    </row>
    <row r="19" spans="1:242">
      <c r="A19" s="423"/>
      <c r="B19" s="658"/>
      <c r="C19" s="658"/>
      <c r="D19" s="616"/>
      <c r="E19" s="616"/>
      <c r="F19" s="423"/>
      <c r="G19" s="423"/>
      <c r="H19" s="423"/>
      <c r="I19" s="423"/>
      <c r="J19" s="423"/>
      <c r="K19" s="423"/>
      <c r="L19" s="423"/>
      <c r="M19" s="423"/>
      <c r="N19" s="423"/>
      <c r="O19" s="423"/>
      <c r="P19" s="423"/>
      <c r="Q19" s="423"/>
      <c r="R19" s="423"/>
      <c r="S19" s="424"/>
      <c r="T19" s="424"/>
      <c r="U19" s="424"/>
      <c r="V19" s="424"/>
      <c r="W19" s="424"/>
      <c r="X19" s="424"/>
      <c r="Y19" s="424"/>
      <c r="Z19" s="424"/>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4"/>
      <c r="BK19" s="424"/>
      <c r="BL19" s="424"/>
      <c r="BM19" s="424"/>
      <c r="BN19" s="424"/>
      <c r="BO19" s="424"/>
      <c r="BP19" s="424"/>
      <c r="BQ19" s="424"/>
      <c r="BR19" s="424"/>
      <c r="BS19" s="424"/>
      <c r="BT19" s="424"/>
      <c r="BU19" s="424"/>
      <c r="BV19" s="424"/>
      <c r="BW19" s="424"/>
      <c r="BX19" s="424"/>
      <c r="BY19" s="424"/>
      <c r="BZ19" s="424"/>
      <c r="CA19" s="424"/>
      <c r="CB19" s="424"/>
      <c r="CC19" s="424"/>
      <c r="CD19" s="424"/>
      <c r="CE19" s="424"/>
      <c r="CF19" s="424"/>
      <c r="CG19" s="424"/>
      <c r="CH19" s="424"/>
      <c r="CI19" s="424"/>
      <c r="CJ19" s="424"/>
      <c r="CK19" s="424"/>
      <c r="CL19" s="424"/>
      <c r="CM19" s="424"/>
      <c r="CN19" s="424"/>
      <c r="CO19" s="424"/>
      <c r="CP19" s="424"/>
      <c r="CQ19" s="424"/>
      <c r="CR19" s="424"/>
      <c r="CS19" s="424"/>
      <c r="CT19" s="424"/>
      <c r="CU19" s="424"/>
      <c r="CV19" s="424"/>
      <c r="CW19" s="424"/>
      <c r="CX19" s="424"/>
      <c r="CY19" s="424"/>
      <c r="CZ19" s="424"/>
      <c r="DA19" s="424"/>
      <c r="DB19" s="424"/>
      <c r="DC19" s="424"/>
      <c r="DD19" s="424"/>
      <c r="DE19" s="424"/>
      <c r="DF19" s="424"/>
      <c r="DG19" s="424"/>
      <c r="DH19" s="424"/>
      <c r="DI19" s="424"/>
      <c r="DJ19" s="424"/>
      <c r="DK19" s="424"/>
      <c r="DL19" s="424"/>
      <c r="DM19" s="424"/>
      <c r="DN19" s="424"/>
      <c r="DO19" s="424"/>
      <c r="DP19" s="424"/>
      <c r="DQ19" s="424"/>
      <c r="DR19" s="424"/>
      <c r="DS19" s="424"/>
      <c r="DT19" s="424"/>
      <c r="DU19" s="424"/>
      <c r="DV19" s="424"/>
      <c r="DW19" s="424"/>
      <c r="DX19" s="424"/>
      <c r="DY19" s="424"/>
      <c r="DZ19" s="424"/>
      <c r="EA19" s="424"/>
      <c r="EB19" s="424"/>
      <c r="EC19" s="424"/>
      <c r="ED19" s="424"/>
      <c r="EE19" s="424"/>
      <c r="EF19" s="424"/>
      <c r="EG19" s="424"/>
      <c r="EH19" s="424"/>
      <c r="EI19" s="424"/>
      <c r="EJ19" s="424"/>
      <c r="EK19" s="424"/>
      <c r="EL19" s="424"/>
      <c r="EM19" s="424"/>
      <c r="EN19" s="424"/>
      <c r="EO19" s="424"/>
      <c r="EP19" s="424"/>
      <c r="EQ19" s="424"/>
      <c r="ER19" s="424"/>
      <c r="ES19" s="424"/>
      <c r="ET19" s="424"/>
      <c r="EU19" s="424"/>
      <c r="EV19" s="424"/>
      <c r="EW19" s="424"/>
      <c r="EX19" s="424"/>
      <c r="EY19" s="424"/>
      <c r="EZ19" s="424"/>
      <c r="FA19" s="424"/>
      <c r="FB19" s="424"/>
      <c r="FC19" s="424"/>
      <c r="FD19" s="424"/>
      <c r="FE19" s="424"/>
      <c r="FF19" s="424"/>
      <c r="FG19" s="424"/>
      <c r="FH19" s="424"/>
      <c r="FI19" s="424"/>
      <c r="FJ19" s="424"/>
      <c r="FK19" s="424"/>
      <c r="FL19" s="424"/>
      <c r="FM19" s="424"/>
      <c r="FN19" s="424"/>
      <c r="FO19" s="424"/>
      <c r="FP19" s="424"/>
      <c r="FQ19" s="424"/>
      <c r="FR19" s="424"/>
      <c r="FS19" s="424"/>
      <c r="FT19" s="424"/>
      <c r="FU19" s="424"/>
      <c r="FV19" s="424"/>
      <c r="FW19" s="424"/>
      <c r="FX19" s="424"/>
      <c r="FY19" s="424"/>
      <c r="FZ19" s="424"/>
      <c r="GA19" s="424"/>
      <c r="GB19" s="424"/>
      <c r="GC19" s="424"/>
      <c r="GD19" s="424"/>
      <c r="GE19" s="424"/>
      <c r="GF19" s="424"/>
      <c r="GG19" s="424"/>
      <c r="GH19" s="424"/>
      <c r="GI19" s="424"/>
      <c r="GJ19" s="424"/>
      <c r="GK19" s="424"/>
      <c r="GL19" s="424"/>
      <c r="GM19" s="424"/>
      <c r="GN19" s="424"/>
      <c r="GO19" s="424"/>
      <c r="GP19" s="424"/>
      <c r="GQ19" s="424"/>
      <c r="GR19" s="424"/>
      <c r="GS19" s="424"/>
      <c r="GT19" s="424"/>
      <c r="GU19" s="424"/>
      <c r="GV19" s="424"/>
      <c r="GW19" s="424"/>
      <c r="GX19" s="424"/>
      <c r="GY19" s="424"/>
      <c r="GZ19" s="424"/>
      <c r="HA19" s="424"/>
      <c r="HB19" s="424"/>
      <c r="HC19" s="424"/>
      <c r="HD19" s="424"/>
      <c r="HE19" s="424"/>
      <c r="HF19" s="424"/>
      <c r="HG19" s="424"/>
      <c r="HH19" s="424"/>
      <c r="HI19" s="424"/>
      <c r="HJ19" s="424"/>
      <c r="HK19" s="424"/>
      <c r="HL19" s="424"/>
      <c r="HM19" s="424"/>
      <c r="HN19" s="424"/>
      <c r="HO19" s="424"/>
      <c r="HP19" s="424"/>
      <c r="HQ19" s="424"/>
      <c r="HR19" s="424"/>
      <c r="HS19" s="424"/>
      <c r="HT19" s="424"/>
      <c r="HU19" s="424"/>
      <c r="HV19" s="424"/>
      <c r="HW19" s="424"/>
      <c r="HX19" s="424"/>
      <c r="HY19" s="424"/>
      <c r="HZ19" s="424"/>
      <c r="IA19" s="424"/>
      <c r="IB19" s="424"/>
      <c r="IC19" s="424"/>
      <c r="ID19" s="424"/>
      <c r="IE19" s="424"/>
      <c r="IF19" s="424"/>
      <c r="IG19" s="424"/>
      <c r="IH19" s="424"/>
    </row>
    <row r="44" spans="1:18" ht="25.15" customHeight="1">
      <c r="A44" s="27" t="e">
        <f>'PUNJAB 04-22Master'!#REF!</f>
        <v>#REF!</v>
      </c>
      <c r="B44" s="215" t="e">
        <f>'PUNJAB 04-22Master'!#REF!</f>
        <v>#REF!</v>
      </c>
      <c r="C44" s="410" t="e">
        <f>'PUNJAB 04-22Master'!#REF!</f>
        <v>#REF!</v>
      </c>
      <c r="D44" s="59" t="e">
        <f>'PUNJAB 04-22Master'!#REF!</f>
        <v>#REF!</v>
      </c>
      <c r="E44" s="59" t="e">
        <f>'PUNJAB 04-22Master'!#REF!</f>
        <v>#REF!</v>
      </c>
      <c r="F44" s="614" t="e">
        <f>'PUNJAB 04-22Master'!#REF!</f>
        <v>#REF!</v>
      </c>
      <c r="G44" s="614" t="e">
        <f>'PUNJAB 04-22Master'!#REF!</f>
        <v>#REF!</v>
      </c>
      <c r="H44" s="614" t="e">
        <f>'PUNJAB 04-22Master'!#REF!</f>
        <v>#REF!</v>
      </c>
      <c r="I44" s="614" t="e">
        <f>'PUNJAB 04-22Master'!#REF!</f>
        <v>#REF!</v>
      </c>
      <c r="J44" s="614" t="e">
        <f>'PUNJAB 04-22Master'!#REF!</f>
        <v>#REF!</v>
      </c>
      <c r="K44" s="614" t="e">
        <f>'PUNJAB 04-22Master'!#REF!</f>
        <v>#REF!</v>
      </c>
      <c r="L44" s="614" t="e">
        <f>'PUNJAB 04-22Master'!#REF!</f>
        <v>#REF!</v>
      </c>
      <c r="M44" s="614" t="e">
        <f>'PUNJAB 04-22Master'!#REF!</f>
        <v>#REF!</v>
      </c>
      <c r="N44" s="615" t="e">
        <f>'PUNJAB 04-22Master'!#REF!</f>
        <v>#REF!</v>
      </c>
      <c r="O44" s="614" t="e">
        <f>'PUNJAB 04-22Master'!#REF!</f>
        <v>#REF!</v>
      </c>
      <c r="P44" s="614" t="e">
        <f>'PUNJAB 04-22Master'!#REF!</f>
        <v>#REF!</v>
      </c>
      <c r="Q44" s="614" t="e">
        <f>'PUNJAB 04-22Master'!#REF!</f>
        <v>#REF!</v>
      </c>
      <c r="R44" s="614"/>
    </row>
    <row r="45" spans="1:18" ht="25.15" customHeight="1">
      <c r="A45" s="27" t="e">
        <f>'PUNJAB 04-22Master'!#REF!</f>
        <v>#REF!</v>
      </c>
      <c r="B45" s="215" t="e">
        <f>'PUNJAB 04-22Master'!#REF!</f>
        <v>#REF!</v>
      </c>
      <c r="C45" s="59" t="e">
        <f>'PUNJAB 04-22Master'!#REF!</f>
        <v>#REF!</v>
      </c>
      <c r="D45" s="59" t="e">
        <f>'PUNJAB 04-22Master'!#REF!</f>
        <v>#REF!</v>
      </c>
      <c r="E45" s="59" t="e">
        <f>'PUNJAB 04-22Master'!#REF!</f>
        <v>#REF!</v>
      </c>
      <c r="F45" s="614" t="e">
        <f>'PUNJAB 04-22Master'!#REF!</f>
        <v>#REF!</v>
      </c>
      <c r="G45" s="614" t="e">
        <f>'PUNJAB 04-22Master'!#REF!</f>
        <v>#REF!</v>
      </c>
      <c r="H45" s="614" t="e">
        <f>'PUNJAB 04-22Master'!#REF!</f>
        <v>#REF!</v>
      </c>
      <c r="I45" s="614" t="e">
        <f>'PUNJAB 04-22Master'!#REF!</f>
        <v>#REF!</v>
      </c>
      <c r="J45" s="614" t="e">
        <f>'PUNJAB 04-22Master'!#REF!</f>
        <v>#REF!</v>
      </c>
      <c r="K45" s="614" t="e">
        <f>'PUNJAB 04-22Master'!#REF!</f>
        <v>#REF!</v>
      </c>
      <c r="L45" s="614" t="e">
        <f>'PUNJAB 04-22Master'!#REF!</f>
        <v>#REF!</v>
      </c>
      <c r="M45" s="614" t="e">
        <f>'PUNJAB 04-22Master'!#REF!</f>
        <v>#REF!</v>
      </c>
      <c r="N45" s="615" t="e">
        <f>'PUNJAB 04-22Master'!#REF!</f>
        <v>#REF!</v>
      </c>
      <c r="O45" s="614" t="e">
        <f>'PUNJAB 04-22Master'!#REF!</f>
        <v>#REF!</v>
      </c>
      <c r="P45" s="614" t="e">
        <f>'PUNJAB 04-22Master'!#REF!</f>
        <v>#REF!</v>
      </c>
      <c r="Q45" s="614" t="e">
        <f>'PUNJAB 04-22Master'!#REF!</f>
        <v>#REF!</v>
      </c>
      <c r="R45" s="29"/>
    </row>
    <row r="46" spans="1:18" ht="25.15" customHeight="1">
      <c r="A46" s="27" t="e">
        <f>'PUNJAB 04-22Master'!#REF!</f>
        <v>#REF!</v>
      </c>
      <c r="B46" s="215" t="e">
        <f>'PUNJAB 04-22Master'!#REF!</f>
        <v>#REF!</v>
      </c>
      <c r="C46" s="59" t="e">
        <f>'PUNJAB 04-22Master'!#REF!</f>
        <v>#REF!</v>
      </c>
      <c r="D46" s="59" t="e">
        <f>'PUNJAB 04-22Master'!#REF!</f>
        <v>#REF!</v>
      </c>
      <c r="E46" s="59" t="e">
        <f>'PUNJAB 04-22Master'!#REF!</f>
        <v>#REF!</v>
      </c>
      <c r="F46" s="614" t="e">
        <f>'PUNJAB 04-22Master'!#REF!</f>
        <v>#REF!</v>
      </c>
      <c r="G46" s="614" t="e">
        <f>'PUNJAB 04-22Master'!#REF!</f>
        <v>#REF!</v>
      </c>
      <c r="H46" s="614" t="e">
        <f>'PUNJAB 04-22Master'!#REF!</f>
        <v>#REF!</v>
      </c>
      <c r="I46" s="614" t="e">
        <f>'PUNJAB 04-22Master'!#REF!</f>
        <v>#REF!</v>
      </c>
      <c r="J46" s="614" t="e">
        <f>'PUNJAB 04-22Master'!#REF!</f>
        <v>#REF!</v>
      </c>
      <c r="K46" s="614" t="e">
        <f>'PUNJAB 04-22Master'!#REF!</f>
        <v>#REF!</v>
      </c>
      <c r="L46" s="614" t="e">
        <f>'PUNJAB 04-22Master'!#REF!</f>
        <v>#REF!</v>
      </c>
      <c r="M46" s="614" t="e">
        <f>'PUNJAB 04-22Master'!#REF!</f>
        <v>#REF!</v>
      </c>
      <c r="N46" s="615" t="e">
        <f>'PUNJAB 04-22Master'!#REF!</f>
        <v>#REF!</v>
      </c>
      <c r="O46" s="614" t="e">
        <f>'PUNJAB 04-22Master'!#REF!</f>
        <v>#REF!</v>
      </c>
      <c r="P46" s="614" t="e">
        <f>'PUNJAB 04-22Master'!#REF!</f>
        <v>#REF!</v>
      </c>
      <c r="Q46" s="614" t="e">
        <f>'PUNJAB 04-22Master'!#REF!</f>
        <v>#REF!</v>
      </c>
      <c r="R46" s="29"/>
    </row>
    <row r="47" spans="1:18" ht="25.15" customHeight="1">
      <c r="A47" s="27" t="e">
        <f>'PUNJAB 04-22Master'!#REF!</f>
        <v>#REF!</v>
      </c>
      <c r="B47" s="215" t="e">
        <f>'PUNJAB 04-22Master'!#REF!</f>
        <v>#REF!</v>
      </c>
      <c r="C47" s="59" t="e">
        <f>'PUNJAB 04-22Master'!#REF!</f>
        <v>#REF!</v>
      </c>
      <c r="D47" s="59" t="e">
        <f>'PUNJAB 04-22Master'!#REF!</f>
        <v>#REF!</v>
      </c>
      <c r="E47" s="59" t="e">
        <f>'PUNJAB 04-22Master'!#REF!</f>
        <v>#REF!</v>
      </c>
      <c r="F47" s="614" t="e">
        <f>'PUNJAB 04-22Master'!#REF!</f>
        <v>#REF!</v>
      </c>
      <c r="G47" s="614" t="e">
        <f>'PUNJAB 04-22Master'!#REF!</f>
        <v>#REF!</v>
      </c>
      <c r="H47" s="614" t="e">
        <f>'PUNJAB 04-22Master'!#REF!</f>
        <v>#REF!</v>
      </c>
      <c r="I47" s="614" t="e">
        <f>'PUNJAB 04-22Master'!#REF!</f>
        <v>#REF!</v>
      </c>
      <c r="J47" s="614" t="e">
        <f>'PUNJAB 04-22Master'!#REF!</f>
        <v>#REF!</v>
      </c>
      <c r="K47" s="614" t="e">
        <f>'PUNJAB 04-22Master'!#REF!</f>
        <v>#REF!</v>
      </c>
      <c r="L47" s="614" t="e">
        <f>'PUNJAB 04-22Master'!#REF!</f>
        <v>#REF!</v>
      </c>
      <c r="M47" s="614" t="e">
        <f>'PUNJAB 04-22Master'!#REF!</f>
        <v>#REF!</v>
      </c>
      <c r="N47" s="615" t="e">
        <f>'PUNJAB 04-22Master'!#REF!</f>
        <v>#REF!</v>
      </c>
      <c r="O47" s="614" t="e">
        <f>'PUNJAB 04-22Master'!#REF!</f>
        <v>#REF!</v>
      </c>
      <c r="P47" s="614" t="e">
        <f>'PUNJAB 04-22Master'!#REF!</f>
        <v>#REF!</v>
      </c>
      <c r="Q47" s="614" t="e">
        <f>'PUNJAB 04-22Master'!#REF!</f>
        <v>#REF!</v>
      </c>
      <c r="R47" s="29"/>
    </row>
    <row r="48" spans="1:18" ht="25.15" customHeight="1">
      <c r="A48" s="27" t="e">
        <f>'PUNJAB 04-22Master'!#REF!</f>
        <v>#REF!</v>
      </c>
      <c r="B48" s="215" t="e">
        <f>'PUNJAB 04-22Master'!#REF!</f>
        <v>#REF!</v>
      </c>
      <c r="C48" s="59" t="e">
        <f>'PUNJAB 04-22Master'!#REF!</f>
        <v>#REF!</v>
      </c>
      <c r="D48" s="59" t="e">
        <f>'PUNJAB 04-22Master'!#REF!</f>
        <v>#REF!</v>
      </c>
      <c r="E48" s="59" t="e">
        <f>'PUNJAB 04-22Master'!#REF!</f>
        <v>#REF!</v>
      </c>
      <c r="F48" s="614" t="e">
        <f>'PUNJAB 04-22Master'!#REF!</f>
        <v>#REF!</v>
      </c>
      <c r="G48" s="614" t="e">
        <f>'PUNJAB 04-22Master'!#REF!</f>
        <v>#REF!</v>
      </c>
      <c r="H48" s="614" t="e">
        <f>'PUNJAB 04-22Master'!#REF!</f>
        <v>#REF!</v>
      </c>
      <c r="I48" s="614" t="e">
        <f>'PUNJAB 04-22Master'!#REF!</f>
        <v>#REF!</v>
      </c>
      <c r="J48" s="614" t="e">
        <f>'PUNJAB 04-22Master'!#REF!</f>
        <v>#REF!</v>
      </c>
      <c r="K48" s="614" t="e">
        <f>'PUNJAB 04-22Master'!#REF!</f>
        <v>#REF!</v>
      </c>
      <c r="L48" s="614" t="e">
        <f>'PUNJAB 04-22Master'!#REF!</f>
        <v>#REF!</v>
      </c>
      <c r="M48" s="614" t="e">
        <f>'PUNJAB 04-22Master'!#REF!</f>
        <v>#REF!</v>
      </c>
      <c r="N48" s="615" t="e">
        <f>'PUNJAB 04-22Master'!#REF!</f>
        <v>#REF!</v>
      </c>
      <c r="O48" s="614" t="e">
        <f>'PUNJAB 04-22Master'!#REF!</f>
        <v>#REF!</v>
      </c>
      <c r="P48" s="614" t="e">
        <f>'PUNJAB 04-22Master'!#REF!</f>
        <v>#REF!</v>
      </c>
      <c r="Q48" s="614" t="e">
        <f>'PUNJAB 04-22Master'!#REF!</f>
        <v>#REF!</v>
      </c>
      <c r="R48" s="29"/>
    </row>
    <row r="49" spans="1:18" ht="25.15" customHeight="1">
      <c r="A49" s="27" t="e">
        <f>'PUNJAB 04-22Master'!#REF!</f>
        <v>#REF!</v>
      </c>
      <c r="B49" s="215" t="e">
        <f>'PUNJAB 04-22Master'!#REF!</f>
        <v>#REF!</v>
      </c>
      <c r="C49" s="59" t="e">
        <f>'PUNJAB 04-22Master'!#REF!</f>
        <v>#REF!</v>
      </c>
      <c r="D49" s="59" t="e">
        <f>'PUNJAB 04-22Master'!#REF!</f>
        <v>#REF!</v>
      </c>
      <c r="E49" s="59" t="e">
        <f>'PUNJAB 04-22Master'!#REF!</f>
        <v>#REF!</v>
      </c>
      <c r="F49" s="614" t="e">
        <f>'PUNJAB 04-22Master'!#REF!</f>
        <v>#REF!</v>
      </c>
      <c r="G49" s="614" t="e">
        <f>'PUNJAB 04-22Master'!#REF!</f>
        <v>#REF!</v>
      </c>
      <c r="H49" s="614" t="e">
        <f>'PUNJAB 04-22Master'!#REF!</f>
        <v>#REF!</v>
      </c>
      <c r="I49" s="614" t="e">
        <f>'PUNJAB 04-22Master'!#REF!</f>
        <v>#REF!</v>
      </c>
      <c r="J49" s="614" t="e">
        <f>'PUNJAB 04-22Master'!#REF!</f>
        <v>#REF!</v>
      </c>
      <c r="K49" s="614" t="e">
        <f>'PUNJAB 04-22Master'!#REF!</f>
        <v>#REF!</v>
      </c>
      <c r="L49" s="614" t="e">
        <f>'PUNJAB 04-22Master'!#REF!</f>
        <v>#REF!</v>
      </c>
      <c r="M49" s="614" t="e">
        <f>'PUNJAB 04-22Master'!#REF!</f>
        <v>#REF!</v>
      </c>
      <c r="N49" s="615" t="e">
        <f>'PUNJAB 04-22Master'!#REF!</f>
        <v>#REF!</v>
      </c>
      <c r="O49" s="614" t="e">
        <f>'PUNJAB 04-22Master'!#REF!</f>
        <v>#REF!</v>
      </c>
      <c r="P49" s="614" t="e">
        <f>'PUNJAB 04-22Master'!#REF!</f>
        <v>#REF!</v>
      </c>
      <c r="Q49" s="614" t="e">
        <f>'PUNJAB 04-22Master'!#REF!</f>
        <v>#REF!</v>
      </c>
      <c r="R49" s="29"/>
    </row>
  </sheetData>
  <mergeCells count="7">
    <mergeCell ref="F11:F12"/>
    <mergeCell ref="B19:C19"/>
    <mergeCell ref="A3:C3"/>
    <mergeCell ref="A5:C5"/>
    <mergeCell ref="A7:C7"/>
    <mergeCell ref="A11:A12"/>
    <mergeCell ref="B11:B12"/>
  </mergeCells>
  <printOptions horizontalCentered="1" verticalCentered="1"/>
  <pageMargins left="0" right="0" top="0" bottom="0" header="0.31496062992126" footer="0.31496062992126"/>
  <pageSetup paperSize="9" scale="35" orientation="landscape" horizontalDpi="4294967293"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Z25"/>
  <sheetViews>
    <sheetView topLeftCell="A13" workbookViewId="0">
      <pane xSplit="2" ySplit="2" topLeftCell="AM15" activePane="bottomRight" state="frozen"/>
      <selection activeCell="A13" sqref="A13"/>
      <selection pane="topRight" activeCell="C13" sqref="C13"/>
      <selection pane="bottomLeft" activeCell="A15" sqref="A15"/>
      <selection pane="bottomRight" activeCell="AG16" sqref="AG16"/>
    </sheetView>
  </sheetViews>
  <sheetFormatPr defaultColWidth="9.140625" defaultRowHeight="44.25" customHeight="1"/>
  <cols>
    <col min="1" max="1" width="10" style="412" customWidth="1"/>
    <col min="2" max="2" width="34.28515625" style="430" customWidth="1"/>
    <col min="3" max="3" width="21.140625" style="430" customWidth="1"/>
    <col min="4" max="4" width="12" style="430" customWidth="1"/>
    <col min="5" max="5" width="30.5703125" style="430" customWidth="1"/>
    <col min="6" max="6" width="26" style="430" customWidth="1"/>
    <col min="7" max="7" width="28.5703125" style="430" customWidth="1"/>
    <col min="8" max="8" width="26.5703125" style="430" customWidth="1"/>
    <col min="9" max="9" width="25.5703125" style="430" customWidth="1"/>
    <col min="10" max="10" width="31.42578125" style="430" customWidth="1"/>
    <col min="11" max="11" width="31.140625" style="430" customWidth="1"/>
    <col min="12" max="12" width="28.5703125" style="430" customWidth="1"/>
    <col min="13" max="13" width="26.7109375" style="430" customWidth="1"/>
    <col min="14" max="14" width="23" style="430" customWidth="1"/>
    <col min="15" max="15" width="26.5703125" style="430" customWidth="1"/>
    <col min="16" max="17" width="23" style="430" customWidth="1"/>
    <col min="18" max="20" width="31.42578125" style="430" customWidth="1"/>
    <col min="21" max="21" width="27.5703125" style="430" customWidth="1"/>
    <col min="22" max="22" width="6.85546875" style="430" customWidth="1"/>
    <col min="23" max="23" width="6" style="430" customWidth="1"/>
    <col min="24" max="24" width="11" style="432" customWidth="1"/>
    <col min="25" max="25" width="13.5703125" style="430" customWidth="1"/>
    <col min="26" max="26" width="8.7109375" style="430" customWidth="1"/>
    <col min="27" max="27" width="5.5703125" style="430" customWidth="1"/>
    <col min="28" max="28" width="14.85546875" style="430" customWidth="1"/>
    <col min="29" max="29" width="13.5703125" style="430" customWidth="1"/>
    <col min="30" max="31" width="11.7109375" style="430" customWidth="1"/>
    <col min="32" max="32" width="11.85546875" style="430" customWidth="1"/>
    <col min="33" max="33" width="15.28515625" style="17" customWidth="1"/>
    <col min="34" max="35" width="11.42578125" style="17" customWidth="1"/>
    <col min="36" max="36" width="11.7109375" style="17" customWidth="1"/>
    <col min="37" max="37" width="5.85546875" style="17" customWidth="1"/>
    <col min="38" max="38" width="11.140625" style="17" customWidth="1"/>
    <col min="39" max="39" width="7.5703125" style="412" customWidth="1"/>
    <col min="40" max="40" width="11.7109375" style="412" customWidth="1"/>
    <col min="41" max="41" width="10.85546875" style="412" customWidth="1"/>
    <col min="42" max="42" width="13.140625" style="412" customWidth="1"/>
    <col min="43" max="43" width="8.7109375" style="412" customWidth="1"/>
    <col min="44" max="44" width="13.28515625" style="412" customWidth="1"/>
    <col min="45" max="45" width="11.140625" style="17" customWidth="1"/>
    <col min="46" max="46" width="15.140625" style="17" customWidth="1"/>
    <col min="47" max="47" width="18.42578125" style="17" customWidth="1"/>
    <col min="48" max="48" width="32.85546875" style="17" bestFit="1" customWidth="1"/>
    <col min="49" max="49" width="14.85546875" style="17" customWidth="1"/>
    <col min="50" max="16384" width="9.140625" style="17"/>
  </cols>
  <sheetData>
    <row r="2" spans="1:53" ht="33" customHeight="1"/>
    <row r="3" spans="1:53" s="411" customFormat="1" ht="86.25" customHeight="1">
      <c r="A3" s="411" t="s">
        <v>51</v>
      </c>
      <c r="B3" s="430"/>
      <c r="C3" s="430"/>
      <c r="D3" s="430"/>
      <c r="E3" s="430"/>
      <c r="F3" s="430"/>
      <c r="G3" s="430"/>
      <c r="H3" s="430"/>
      <c r="I3" s="430"/>
      <c r="J3" s="430"/>
      <c r="K3" s="431"/>
      <c r="L3" s="430"/>
      <c r="M3" s="430"/>
      <c r="N3" s="430"/>
      <c r="O3" s="430"/>
      <c r="P3" s="430"/>
      <c r="Q3" s="430"/>
      <c r="R3" s="430"/>
      <c r="S3" s="430"/>
      <c r="T3" s="430"/>
      <c r="U3" s="430"/>
      <c r="V3" s="430"/>
      <c r="W3" s="430"/>
      <c r="X3" s="430"/>
      <c r="Y3" s="430"/>
      <c r="Z3" s="430"/>
      <c r="AA3" s="430"/>
      <c r="AB3" s="430"/>
      <c r="AC3" s="430"/>
      <c r="AD3" s="430"/>
      <c r="AE3" s="430"/>
      <c r="AF3" s="430"/>
    </row>
    <row r="4" spans="1:53" ht="44.25" customHeight="1">
      <c r="B4" s="430" t="s">
        <v>50</v>
      </c>
    </row>
    <row r="5" spans="1:53" ht="44.25" customHeight="1">
      <c r="A5" s="659" t="s">
        <v>0</v>
      </c>
      <c r="B5" s="659"/>
      <c r="C5" s="659"/>
      <c r="D5" s="433"/>
      <c r="E5" s="433"/>
      <c r="F5" s="603" t="s">
        <v>433</v>
      </c>
      <c r="G5" s="433"/>
      <c r="H5" s="433"/>
      <c r="I5" s="434"/>
      <c r="J5" s="434"/>
      <c r="K5" s="434"/>
      <c r="L5" s="434"/>
      <c r="M5" s="434"/>
      <c r="N5" s="434"/>
      <c r="O5" s="434"/>
      <c r="P5" s="434"/>
      <c r="Q5" s="434"/>
      <c r="R5" s="434"/>
      <c r="S5" s="434"/>
      <c r="T5" s="434"/>
      <c r="U5" s="434"/>
      <c r="AA5" s="664" t="s">
        <v>1</v>
      </c>
      <c r="AB5" s="664"/>
      <c r="AC5" s="664"/>
      <c r="AD5" s="664"/>
      <c r="AE5" s="664"/>
      <c r="AF5" s="664"/>
      <c r="AG5" s="664"/>
      <c r="AH5" s="664"/>
      <c r="AI5" s="664"/>
      <c r="AJ5" s="664"/>
      <c r="AK5" s="664"/>
      <c r="AL5" s="664"/>
      <c r="AM5" s="664"/>
      <c r="AN5" s="664"/>
      <c r="AO5" s="605" t="s">
        <v>433</v>
      </c>
      <c r="AP5" s="413"/>
      <c r="AQ5" s="413"/>
      <c r="AR5" s="413"/>
      <c r="AS5" s="413"/>
      <c r="AT5" s="413"/>
      <c r="AU5" s="413"/>
      <c r="AV5" s="413"/>
      <c r="AW5" s="413"/>
      <c r="AX5" s="414"/>
      <c r="AY5" s="414"/>
      <c r="AZ5" s="414"/>
      <c r="BA5" s="414"/>
    </row>
    <row r="6" spans="1:53" ht="44.25" customHeight="1">
      <c r="A6" s="415"/>
      <c r="F6" s="617" t="s">
        <v>434</v>
      </c>
      <c r="I6" s="436"/>
      <c r="J6" s="436"/>
      <c r="K6" s="436"/>
      <c r="L6" s="436"/>
      <c r="M6" s="436"/>
      <c r="N6" s="436"/>
      <c r="O6" s="436"/>
      <c r="P6" s="436"/>
      <c r="Q6" s="436"/>
      <c r="R6" s="436"/>
      <c r="S6" s="436"/>
      <c r="T6" s="436"/>
      <c r="U6" s="436"/>
      <c r="AG6" s="416"/>
      <c r="AH6" s="416"/>
      <c r="AI6" s="416"/>
      <c r="AJ6" s="416"/>
      <c r="AK6" s="416"/>
      <c r="AL6" s="416"/>
      <c r="AO6" s="606" t="s">
        <v>434</v>
      </c>
      <c r="AP6" s="17"/>
      <c r="AQ6" s="17"/>
      <c r="AR6" s="417"/>
      <c r="AS6" s="417"/>
      <c r="AT6" s="417"/>
      <c r="AU6" s="417"/>
      <c r="AV6" s="417"/>
      <c r="AW6" s="417"/>
      <c r="AX6" s="417"/>
      <c r="AY6" s="417"/>
      <c r="AZ6" s="417"/>
      <c r="BA6" s="417"/>
    </row>
    <row r="7" spans="1:53" ht="44.25" customHeight="1">
      <c r="A7" s="415"/>
      <c r="F7" s="435"/>
      <c r="I7" s="436"/>
      <c r="J7" s="436"/>
      <c r="K7" s="436"/>
      <c r="L7" s="436"/>
      <c r="M7" s="436"/>
      <c r="N7" s="436"/>
      <c r="O7" s="436"/>
      <c r="P7" s="436"/>
      <c r="Q7" s="436"/>
      <c r="R7" s="436"/>
      <c r="S7" s="436"/>
      <c r="T7" s="436"/>
      <c r="U7" s="436"/>
      <c r="AG7" s="416"/>
      <c r="AH7" s="416"/>
      <c r="AI7" s="416"/>
      <c r="AJ7" s="416"/>
      <c r="AK7" s="416"/>
      <c r="AL7" s="416"/>
      <c r="AO7" s="214"/>
      <c r="AP7" s="17"/>
      <c r="AQ7" s="17"/>
      <c r="AR7" s="417"/>
      <c r="AS7" s="417"/>
      <c r="AT7" s="417"/>
      <c r="AU7" s="417"/>
      <c r="AV7" s="417"/>
      <c r="AW7" s="417"/>
      <c r="AX7" s="417"/>
      <c r="AY7" s="417"/>
      <c r="AZ7" s="417"/>
      <c r="BA7" s="417"/>
    </row>
    <row r="8" spans="1:53" ht="44.25" customHeight="1">
      <c r="A8" s="659" t="s">
        <v>2</v>
      </c>
      <c r="B8" s="659"/>
      <c r="C8" s="659"/>
      <c r="D8" s="433"/>
      <c r="E8" s="433"/>
      <c r="F8" s="437" t="s">
        <v>431</v>
      </c>
      <c r="G8" s="437"/>
      <c r="H8" s="437"/>
      <c r="I8" s="437"/>
      <c r="J8" s="437"/>
      <c r="K8" s="437"/>
      <c r="L8" s="437"/>
      <c r="M8" s="437"/>
      <c r="N8" s="437"/>
      <c r="O8" s="437"/>
      <c r="P8" s="437"/>
      <c r="Q8" s="437"/>
      <c r="R8" s="437"/>
      <c r="S8" s="437"/>
      <c r="T8" s="437"/>
      <c r="U8" s="437"/>
      <c r="AG8" s="416"/>
      <c r="AH8" s="416"/>
      <c r="AI8" s="416"/>
      <c r="AJ8" s="416"/>
      <c r="AK8" s="416"/>
      <c r="AL8" s="416"/>
      <c r="AO8" s="418"/>
      <c r="AP8" s="418"/>
      <c r="AQ8" s="418"/>
      <c r="AR8" s="418"/>
      <c r="AS8" s="418"/>
      <c r="AT8" s="418"/>
      <c r="AU8" s="418"/>
      <c r="AV8" s="418"/>
      <c r="AW8" s="418"/>
      <c r="AX8" s="418"/>
      <c r="AY8" s="418"/>
      <c r="AZ8" s="418"/>
      <c r="BA8" s="418"/>
    </row>
    <row r="9" spans="1:53" ht="43.9" customHeight="1">
      <c r="A9" s="415"/>
      <c r="AG9" s="416"/>
      <c r="AH9" s="416"/>
      <c r="AI9" s="416"/>
      <c r="AJ9" s="416"/>
      <c r="AK9" s="416"/>
      <c r="AL9" s="416"/>
      <c r="AO9" s="665"/>
      <c r="AP9" s="665"/>
      <c r="AQ9" s="665"/>
      <c r="AR9" s="665"/>
      <c r="AS9" s="665"/>
      <c r="AT9" s="665"/>
      <c r="AU9" s="665"/>
      <c r="AV9" s="665"/>
      <c r="AW9" s="665"/>
    </row>
    <row r="10" spans="1:53" ht="43.9" customHeight="1">
      <c r="A10" s="659" t="s">
        <v>3</v>
      </c>
      <c r="B10" s="659"/>
      <c r="C10" s="659"/>
      <c r="D10" s="588">
        <v>44652</v>
      </c>
      <c r="E10" s="433"/>
      <c r="G10" s="438"/>
      <c r="H10" s="438"/>
      <c r="I10" s="438"/>
      <c r="J10" s="438"/>
      <c r="K10" s="438"/>
      <c r="L10" s="438"/>
      <c r="M10" s="438"/>
      <c r="N10" s="438"/>
      <c r="O10" s="438"/>
      <c r="P10" s="438"/>
      <c r="Q10" s="438"/>
      <c r="R10" s="438"/>
      <c r="S10" s="438"/>
      <c r="T10" s="438"/>
      <c r="U10" s="438"/>
      <c r="AB10" s="433"/>
      <c r="AC10" s="433"/>
      <c r="AD10" s="433"/>
      <c r="AE10" s="433"/>
      <c r="AF10" s="433"/>
      <c r="AH10" s="415"/>
      <c r="AI10" s="415"/>
      <c r="AJ10" s="592" t="s">
        <v>4</v>
      </c>
      <c r="AK10" s="415"/>
      <c r="AL10" s="415"/>
      <c r="AM10" s="415"/>
      <c r="AN10" s="415"/>
      <c r="AO10" s="592" t="s">
        <v>454</v>
      </c>
      <c r="AP10" s="413"/>
      <c r="AQ10" s="413"/>
      <c r="AR10" s="413"/>
      <c r="AS10" s="413"/>
      <c r="AT10" s="413"/>
      <c r="AU10" s="413"/>
      <c r="AV10" s="414"/>
      <c r="AW10" s="414"/>
      <c r="AX10" s="414"/>
      <c r="AY10" s="414"/>
    </row>
    <row r="11" spans="1:53" ht="43.9" hidden="1" customHeight="1">
      <c r="AO11" s="419" t="s">
        <v>435</v>
      </c>
      <c r="AP11" s="420"/>
      <c r="AQ11" s="420"/>
      <c r="AR11" s="417"/>
      <c r="AS11" s="417"/>
      <c r="AT11" s="417"/>
      <c r="AU11" s="417"/>
      <c r="AV11" s="417"/>
      <c r="AW11" s="417"/>
      <c r="AX11" s="417"/>
      <c r="AY11" s="417"/>
    </row>
    <row r="12" spans="1:53" ht="43.9" customHeight="1">
      <c r="V12" s="618"/>
      <c r="AO12" s="412" t="s">
        <v>455</v>
      </c>
    </row>
    <row r="13" spans="1:53" ht="43.9" customHeight="1" thickBot="1">
      <c r="V13" s="618"/>
    </row>
    <row r="14" spans="1:53" s="422" customFormat="1" ht="44.25" customHeight="1">
      <c r="A14" s="660" t="s">
        <v>7</v>
      </c>
      <c r="B14" s="675" t="s">
        <v>6</v>
      </c>
      <c r="C14" s="426" t="s">
        <v>52</v>
      </c>
      <c r="D14" s="426" t="s">
        <v>40</v>
      </c>
      <c r="E14" s="426" t="s">
        <v>43</v>
      </c>
      <c r="F14" s="667" t="s">
        <v>8</v>
      </c>
      <c r="G14" s="598" t="s">
        <v>44</v>
      </c>
      <c r="H14" s="598"/>
      <c r="I14" s="598"/>
      <c r="J14" s="598" t="s">
        <v>45</v>
      </c>
      <c r="K14" s="598"/>
      <c r="L14" s="598"/>
      <c r="M14" s="598"/>
      <c r="N14" s="598" t="s">
        <v>46</v>
      </c>
      <c r="O14" s="598" t="s">
        <v>47</v>
      </c>
      <c r="P14" s="598" t="s">
        <v>48</v>
      </c>
      <c r="Q14" s="598" t="s">
        <v>49</v>
      </c>
      <c r="R14" s="598" t="s">
        <v>41</v>
      </c>
      <c r="S14" s="427" t="s">
        <v>140</v>
      </c>
      <c r="T14" s="427" t="s">
        <v>141</v>
      </c>
      <c r="U14" s="675" t="s">
        <v>6</v>
      </c>
      <c r="V14" s="669" t="s">
        <v>9</v>
      </c>
      <c r="W14" s="670" t="s">
        <v>10</v>
      </c>
      <c r="X14" s="677" t="s">
        <v>184</v>
      </c>
      <c r="Y14" s="670" t="s">
        <v>11</v>
      </c>
      <c r="Z14" s="670" t="s">
        <v>12</v>
      </c>
      <c r="AA14" s="670" t="s">
        <v>13</v>
      </c>
      <c r="AB14" s="679" t="s">
        <v>14</v>
      </c>
      <c r="AC14" s="594" t="s">
        <v>15</v>
      </c>
      <c r="AD14" s="594" t="s">
        <v>16</v>
      </c>
      <c r="AE14" s="594" t="s">
        <v>17</v>
      </c>
      <c r="AF14" s="594" t="s">
        <v>18</v>
      </c>
      <c r="AG14" s="681" t="s">
        <v>19</v>
      </c>
      <c r="AH14" s="421" t="s">
        <v>20</v>
      </c>
      <c r="AI14" s="421" t="s">
        <v>21</v>
      </c>
      <c r="AJ14" s="421" t="s">
        <v>22</v>
      </c>
      <c r="AK14" s="589" t="s">
        <v>23</v>
      </c>
      <c r="AL14" s="589" t="s">
        <v>24</v>
      </c>
      <c r="AM14" s="683" t="s">
        <v>25</v>
      </c>
      <c r="AN14" s="683"/>
      <c r="AO14" s="683"/>
      <c r="AP14" s="683"/>
      <c r="AQ14" s="683"/>
      <c r="AR14" s="683"/>
      <c r="AS14" s="683" t="s">
        <v>26</v>
      </c>
      <c r="AT14" s="683" t="s">
        <v>27</v>
      </c>
      <c r="AU14" s="597" t="s">
        <v>28</v>
      </c>
      <c r="AV14" s="683" t="s">
        <v>29</v>
      </c>
      <c r="AW14" s="671" t="s">
        <v>30</v>
      </c>
    </row>
    <row r="15" spans="1:53" ht="28.15" customHeight="1">
      <c r="A15" s="666"/>
      <c r="B15" s="676"/>
      <c r="C15" s="455"/>
      <c r="D15" s="455"/>
      <c r="E15" s="455"/>
      <c r="F15" s="668"/>
      <c r="G15" s="599"/>
      <c r="H15" s="599"/>
      <c r="I15" s="599"/>
      <c r="J15" s="599"/>
      <c r="K15" s="599"/>
      <c r="L15" s="599"/>
      <c r="M15" s="599"/>
      <c r="N15" s="571"/>
      <c r="O15" s="599"/>
      <c r="P15" s="599"/>
      <c r="Q15" s="599"/>
      <c r="R15" s="599"/>
      <c r="S15" s="456"/>
      <c r="T15" s="456"/>
      <c r="U15" s="676"/>
      <c r="V15" s="669"/>
      <c r="W15" s="669"/>
      <c r="X15" s="678"/>
      <c r="Y15" s="669"/>
      <c r="Z15" s="669"/>
      <c r="AA15" s="669"/>
      <c r="AB15" s="680"/>
      <c r="AC15" s="595"/>
      <c r="AD15" s="595"/>
      <c r="AE15" s="595"/>
      <c r="AF15" s="595"/>
      <c r="AG15" s="682"/>
      <c r="AH15" s="596"/>
      <c r="AI15" s="596"/>
      <c r="AJ15" s="596"/>
      <c r="AK15" s="596"/>
      <c r="AL15" s="596"/>
      <c r="AM15" s="565" t="s">
        <v>31</v>
      </c>
      <c r="AN15" s="565" t="s">
        <v>32</v>
      </c>
      <c r="AO15" s="565" t="s">
        <v>33</v>
      </c>
      <c r="AP15" s="565" t="s">
        <v>34</v>
      </c>
      <c r="AQ15" s="590" t="s">
        <v>443</v>
      </c>
      <c r="AR15" s="566" t="s">
        <v>36</v>
      </c>
      <c r="AS15" s="683"/>
      <c r="AT15" s="683"/>
      <c r="AU15" s="597"/>
      <c r="AV15" s="683"/>
      <c r="AW15" s="672"/>
    </row>
    <row r="16" spans="1:53" s="653" customFormat="1" ht="33.75" customHeight="1">
      <c r="A16" s="457">
        <f>'PUNJAB APRIL 22-WMn Reg'!A14</f>
        <v>2</v>
      </c>
      <c r="B16" s="459" t="str">
        <f>'PUNJAB APRIL 22-WMn Reg'!B14</f>
        <v>Gopi reddy chirra</v>
      </c>
      <c r="C16" s="577">
        <f>'PUNJAB APRIL 22-WMn Reg'!C14</f>
        <v>34495</v>
      </c>
      <c r="D16" s="578" t="str">
        <f>'PUNJAB APRIL 22-WMn Reg'!D14</f>
        <v>M</v>
      </c>
      <c r="E16" s="579" t="str">
        <f>'PUNJAB APRIL 22-WMn Reg'!E14</f>
        <v>Madhava Reddy</v>
      </c>
      <c r="F16" s="580" t="str">
        <f>'PUNJAB APRIL 22-WMn Reg'!F14</f>
        <v>Technical Consultant</v>
      </c>
      <c r="G16" s="576" t="str">
        <f>'PUNJAB APRIL 22-WMn Reg'!G14</f>
        <v>1-322,Erraguntlapadu,Guntur,Andhra pradesh 522529</v>
      </c>
      <c r="H16" s="576">
        <f>'PUNJAB APRIL 22-WMn Reg'!H14</f>
        <v>0</v>
      </c>
      <c r="I16" s="576">
        <f>'PUNJAB APRIL 22-WMn Reg'!I14</f>
        <v>0</v>
      </c>
      <c r="J16" s="576" t="str">
        <f>'PUNJAB APRIL 22-WMn Reg'!J14</f>
        <v>1-322,Erraguntlapadu,Guntur,Andhra pradesh 522529</v>
      </c>
      <c r="K16" s="576">
        <f>'PUNJAB APRIL 22-WMn Reg'!K14</f>
        <v>0</v>
      </c>
      <c r="L16" s="576">
        <f>'PUNJAB APRIL 22-WMn Reg'!L14</f>
        <v>0</v>
      </c>
      <c r="M16" s="576">
        <f>'PUNJAB APRIL 22-WMn Reg'!M14</f>
        <v>0</v>
      </c>
      <c r="N16" s="646">
        <v>44454</v>
      </c>
      <c r="O16" s="464"/>
      <c r="P16" s="464"/>
      <c r="Q16" s="464"/>
      <c r="R16" s="464"/>
      <c r="S16" s="647" t="s">
        <v>451</v>
      </c>
      <c r="T16" s="459" t="s">
        <v>37</v>
      </c>
      <c r="U16" s="459" t="str">
        <f>B16</f>
        <v>Gopi reddy chirra</v>
      </c>
      <c r="V16" s="648">
        <v>30</v>
      </c>
      <c r="W16" s="466">
        <v>0</v>
      </c>
      <c r="X16" s="649">
        <v>58032</v>
      </c>
      <c r="Y16" s="468">
        <v>34819</v>
      </c>
      <c r="Z16" s="463">
        <v>0</v>
      </c>
      <c r="AA16" s="463">
        <v>0</v>
      </c>
      <c r="AB16" s="466">
        <f>AF16+AE16+AD16+AC16</f>
        <v>23325.68</v>
      </c>
      <c r="AC16" s="644">
        <v>13927.68</v>
      </c>
      <c r="AD16" s="644">
        <v>2083</v>
      </c>
      <c r="AE16" s="644">
        <v>2083</v>
      </c>
      <c r="AF16" s="644">
        <v>5232</v>
      </c>
      <c r="AG16" s="469">
        <f>Y16+Z16+AA16+AC16+AD16+AE16+AF16</f>
        <v>58144.68</v>
      </c>
      <c r="AH16" s="470">
        <v>1554.6089999999999</v>
      </c>
      <c r="AI16" s="470">
        <v>1674.8035199999999</v>
      </c>
      <c r="AJ16" s="470">
        <v>2901.6</v>
      </c>
      <c r="AK16" s="470">
        <v>0</v>
      </c>
      <c r="AL16" s="469">
        <f>AG16+AH16+AI16+AJ16+AK16</f>
        <v>64275.692519999997</v>
      </c>
      <c r="AM16" s="470">
        <v>0</v>
      </c>
      <c r="AN16" s="650">
        <v>1800</v>
      </c>
      <c r="AO16" s="650">
        <v>200</v>
      </c>
      <c r="AP16" s="651">
        <v>0</v>
      </c>
      <c r="AQ16" s="651">
        <v>224</v>
      </c>
      <c r="AR16" s="469">
        <f>SUM(AM16:AQ16)</f>
        <v>2224</v>
      </c>
      <c r="AS16" s="654">
        <f>AL16-AR16</f>
        <v>62051.692519999997</v>
      </c>
      <c r="AT16" s="652">
        <v>44686</v>
      </c>
      <c r="AU16" s="463" t="s">
        <v>449</v>
      </c>
      <c r="AV16" s="629" t="s">
        <v>450</v>
      </c>
      <c r="AW16" s="472"/>
    </row>
    <row r="17" spans="1:286" s="425" customFormat="1" ht="54" customHeight="1">
      <c r="A17" s="458"/>
      <c r="B17" s="459"/>
      <c r="C17" s="478"/>
      <c r="D17" s="460"/>
      <c r="E17" s="475"/>
      <c r="F17" s="461"/>
      <c r="G17" s="462"/>
      <c r="H17" s="463"/>
      <c r="I17" s="463"/>
      <c r="J17" s="462"/>
      <c r="K17" s="463"/>
      <c r="L17" s="463"/>
      <c r="M17" s="463"/>
      <c r="N17" s="479"/>
      <c r="O17" s="463"/>
      <c r="P17" s="463"/>
      <c r="Q17" s="463"/>
      <c r="R17" s="463"/>
      <c r="S17" s="481"/>
      <c r="T17" s="480"/>
      <c r="U17" s="459"/>
      <c r="V17" s="466"/>
      <c r="W17" s="466"/>
      <c r="X17" s="467"/>
      <c r="Y17" s="468"/>
      <c r="Z17" s="463"/>
      <c r="AA17" s="463"/>
      <c r="AB17" s="466"/>
      <c r="AC17" s="466"/>
      <c r="AD17" s="466"/>
      <c r="AE17" s="466"/>
      <c r="AF17" s="466"/>
      <c r="AG17" s="469"/>
      <c r="AH17" s="470"/>
      <c r="AI17" s="470"/>
      <c r="AJ17" s="470"/>
      <c r="AK17" s="470"/>
      <c r="AL17" s="469"/>
      <c r="AM17" s="477"/>
      <c r="AN17" s="469"/>
      <c r="AO17" s="473"/>
      <c r="AP17" s="477"/>
      <c r="AQ17" s="477"/>
      <c r="AR17" s="469"/>
      <c r="AS17" s="482"/>
      <c r="AT17" s="471"/>
      <c r="AU17" s="474"/>
      <c r="AV17" s="484"/>
      <c r="AW17" s="474"/>
      <c r="AX17" s="445"/>
      <c r="AY17" s="445"/>
      <c r="AZ17" s="445"/>
      <c r="BA17" s="445"/>
      <c r="BB17" s="445"/>
    </row>
    <row r="18" spans="1:286" s="425" customFormat="1" ht="54" customHeight="1">
      <c r="A18" s="458"/>
      <c r="B18" s="459"/>
      <c r="C18" s="478"/>
      <c r="D18" s="460"/>
      <c r="E18" s="475"/>
      <c r="F18" s="491"/>
      <c r="G18" s="462"/>
      <c r="H18" s="463"/>
      <c r="I18" s="463"/>
      <c r="J18" s="462"/>
      <c r="K18" s="463"/>
      <c r="L18" s="463"/>
      <c r="M18" s="463"/>
      <c r="N18" s="479"/>
      <c r="O18" s="463"/>
      <c r="P18" s="463"/>
      <c r="Q18" s="463"/>
      <c r="R18" s="463"/>
      <c r="S18" s="476"/>
      <c r="T18" s="480"/>
      <c r="U18" s="459"/>
      <c r="V18" s="466"/>
      <c r="W18" s="466"/>
      <c r="X18" s="467"/>
      <c r="Y18" s="468"/>
      <c r="Z18" s="463"/>
      <c r="AA18" s="463"/>
      <c r="AB18" s="466"/>
      <c r="AC18" s="466"/>
      <c r="AD18" s="466"/>
      <c r="AE18" s="466"/>
      <c r="AF18" s="466"/>
      <c r="AG18" s="469"/>
      <c r="AH18" s="470"/>
      <c r="AI18" s="470"/>
      <c r="AJ18" s="470"/>
      <c r="AK18" s="470"/>
      <c r="AL18" s="469"/>
      <c r="AM18" s="477"/>
      <c r="AN18" s="469"/>
      <c r="AO18" s="473"/>
      <c r="AP18" s="477"/>
      <c r="AQ18" s="477"/>
      <c r="AR18" s="469"/>
      <c r="AS18" s="482"/>
      <c r="AT18" s="471"/>
      <c r="AU18" s="474"/>
      <c r="AV18" s="485"/>
      <c r="AW18" s="474"/>
      <c r="AX18" s="445"/>
      <c r="AY18" s="445"/>
      <c r="AZ18" s="445"/>
      <c r="BA18" s="445"/>
      <c r="BB18" s="445"/>
    </row>
    <row r="19" spans="1:286" s="452" customFormat="1" ht="44.25" customHeight="1">
      <c r="A19" s="492"/>
      <c r="B19" s="503"/>
      <c r="C19" s="478"/>
      <c r="D19" s="460"/>
      <c r="E19" s="475"/>
      <c r="F19" s="491"/>
      <c r="G19" s="462"/>
      <c r="H19" s="463"/>
      <c r="I19" s="463"/>
      <c r="J19" s="462"/>
      <c r="K19" s="463"/>
      <c r="L19" s="463"/>
      <c r="M19" s="463"/>
      <c r="N19" s="465"/>
      <c r="O19" s="463"/>
      <c r="P19" s="464"/>
      <c r="Q19" s="464"/>
      <c r="R19" s="463"/>
      <c r="S19" s="476"/>
      <c r="T19" s="480"/>
      <c r="U19" s="504"/>
      <c r="V19" s="466"/>
      <c r="W19" s="466"/>
      <c r="X19" s="467"/>
      <c r="Y19" s="468"/>
      <c r="Z19" s="463"/>
      <c r="AA19" s="463"/>
      <c r="AB19" s="466"/>
      <c r="AC19" s="466"/>
      <c r="AD19" s="466"/>
      <c r="AE19" s="466"/>
      <c r="AF19" s="466"/>
      <c r="AG19" s="469"/>
      <c r="AH19" s="470"/>
      <c r="AI19" s="470"/>
      <c r="AJ19" s="470"/>
      <c r="AK19" s="470"/>
      <c r="AL19" s="469"/>
      <c r="AM19" s="477"/>
      <c r="AN19" s="469"/>
      <c r="AO19" s="473"/>
      <c r="AP19" s="477"/>
      <c r="AQ19" s="477"/>
      <c r="AR19" s="469"/>
      <c r="AS19" s="482"/>
      <c r="AT19" s="471"/>
      <c r="AU19" s="474"/>
      <c r="AV19" s="485"/>
      <c r="AW19" s="474"/>
    </row>
    <row r="20" spans="1:286" s="452" customFormat="1" ht="44.25" customHeight="1">
      <c r="A20" s="43"/>
      <c r="B20" s="447"/>
      <c r="C20" s="440"/>
      <c r="D20" s="440"/>
      <c r="E20" s="440"/>
      <c r="F20" s="453"/>
      <c r="G20" s="428"/>
      <c r="H20" s="428"/>
      <c r="I20" s="428"/>
      <c r="J20" s="428"/>
      <c r="K20" s="428"/>
      <c r="L20" s="428"/>
      <c r="M20" s="428"/>
      <c r="N20" s="448"/>
      <c r="O20" s="428"/>
      <c r="P20" s="428"/>
      <c r="Q20" s="428"/>
      <c r="R20" s="428"/>
      <c r="S20" s="428"/>
      <c r="T20" s="428"/>
      <c r="U20" s="449"/>
      <c r="V20" s="441"/>
      <c r="W20" s="443"/>
      <c r="X20" s="443"/>
      <c r="Y20" s="450"/>
      <c r="Z20" s="428"/>
      <c r="AA20" s="428"/>
      <c r="AB20" s="443"/>
      <c r="AC20" s="451"/>
      <c r="AD20" s="443"/>
      <c r="AE20" s="443"/>
      <c r="AF20" s="443"/>
      <c r="AG20" s="51"/>
      <c r="AH20" s="43"/>
      <c r="AI20" s="43"/>
      <c r="AJ20" s="43"/>
      <c r="AK20" s="51"/>
      <c r="AL20" s="51"/>
      <c r="AM20" s="46"/>
      <c r="AN20" s="46"/>
      <c r="AO20" s="51"/>
      <c r="AP20" s="51"/>
      <c r="AQ20" s="51"/>
      <c r="AR20" s="51"/>
      <c r="AS20" s="51"/>
      <c r="AT20" s="46"/>
      <c r="AU20" s="46"/>
      <c r="AV20" s="446"/>
      <c r="AW20" s="52"/>
    </row>
    <row r="21" spans="1:286" s="452" customFormat="1" ht="44.25" customHeight="1">
      <c r="A21" s="43"/>
      <c r="B21" s="447"/>
      <c r="C21" s="440"/>
      <c r="D21" s="440"/>
      <c r="E21" s="440"/>
      <c r="F21" s="428"/>
      <c r="G21" s="428"/>
      <c r="H21" s="428"/>
      <c r="I21" s="428"/>
      <c r="J21" s="428"/>
      <c r="K21" s="428"/>
      <c r="L21" s="428"/>
      <c r="M21" s="428"/>
      <c r="N21" s="448"/>
      <c r="O21" s="428"/>
      <c r="P21" s="428"/>
      <c r="Q21" s="428"/>
      <c r="R21" s="428"/>
      <c r="S21" s="428"/>
      <c r="T21" s="428"/>
      <c r="U21" s="449"/>
      <c r="V21" s="441"/>
      <c r="W21" s="443"/>
      <c r="X21" s="443"/>
      <c r="Y21" s="450"/>
      <c r="Z21" s="428"/>
      <c r="AA21" s="428"/>
      <c r="AB21" s="443"/>
      <c r="AC21" s="451"/>
      <c r="AD21" s="443"/>
      <c r="AE21" s="443"/>
      <c r="AF21" s="443"/>
      <c r="AG21" s="51"/>
      <c r="AH21" s="43"/>
      <c r="AI21" s="43"/>
      <c r="AJ21" s="43"/>
      <c r="AK21" s="51"/>
      <c r="AL21" s="51"/>
      <c r="AM21" s="46"/>
      <c r="AN21" s="46"/>
      <c r="AO21" s="51"/>
      <c r="AP21" s="51"/>
      <c r="AQ21" s="51"/>
      <c r="AR21" s="51"/>
      <c r="AS21" s="51"/>
      <c r="AT21" s="46"/>
      <c r="AU21" s="46"/>
      <c r="AV21" s="446"/>
      <c r="AW21" s="52"/>
    </row>
    <row r="22" spans="1:286" s="452" customFormat="1" ht="44.25" customHeight="1">
      <c r="A22" s="43"/>
      <c r="B22" s="447"/>
      <c r="C22" s="440"/>
      <c r="D22" s="440"/>
      <c r="E22" s="440"/>
      <c r="F22" s="428"/>
      <c r="G22" s="428"/>
      <c r="H22" s="428"/>
      <c r="I22" s="428"/>
      <c r="J22" s="428"/>
      <c r="K22" s="428"/>
      <c r="L22" s="428"/>
      <c r="M22" s="428"/>
      <c r="N22" s="448"/>
      <c r="O22" s="428"/>
      <c r="P22" s="428"/>
      <c r="Q22" s="428"/>
      <c r="R22" s="428"/>
      <c r="S22" s="428"/>
      <c r="T22" s="428"/>
      <c r="U22" s="449"/>
      <c r="V22" s="441"/>
      <c r="W22" s="443"/>
      <c r="X22" s="443"/>
      <c r="Y22" s="428"/>
      <c r="Z22" s="428"/>
      <c r="AA22" s="428"/>
      <c r="AB22" s="443"/>
      <c r="AC22" s="428"/>
      <c r="AD22" s="443"/>
      <c r="AE22" s="443"/>
      <c r="AF22" s="443"/>
      <c r="AG22" s="51"/>
      <c r="AH22" s="43"/>
      <c r="AI22" s="43"/>
      <c r="AJ22" s="43"/>
      <c r="AK22" s="51"/>
      <c r="AL22" s="51"/>
      <c r="AM22" s="46"/>
      <c r="AN22" s="46"/>
      <c r="AO22" s="51"/>
      <c r="AP22" s="51"/>
      <c r="AQ22" s="51"/>
      <c r="AR22" s="51"/>
      <c r="AS22" s="51"/>
      <c r="AT22" s="46"/>
      <c r="AU22" s="46"/>
      <c r="AV22" s="446"/>
      <c r="AW22" s="52"/>
    </row>
    <row r="23" spans="1:286" s="452" customFormat="1" ht="44.25" customHeight="1">
      <c r="A23" s="43"/>
      <c r="B23" s="447"/>
      <c r="C23" s="440"/>
      <c r="D23" s="440"/>
      <c r="E23" s="440"/>
      <c r="F23" s="428"/>
      <c r="G23" s="428"/>
      <c r="H23" s="428"/>
      <c r="I23" s="428"/>
      <c r="J23" s="428"/>
      <c r="K23" s="428"/>
      <c r="L23" s="428"/>
      <c r="M23" s="428"/>
      <c r="N23" s="448"/>
      <c r="O23" s="428"/>
      <c r="P23" s="428"/>
      <c r="Q23" s="428"/>
      <c r="R23" s="428"/>
      <c r="S23" s="428"/>
      <c r="T23" s="428"/>
      <c r="U23" s="449"/>
      <c r="V23" s="441"/>
      <c r="W23" s="443"/>
      <c r="X23" s="443"/>
      <c r="Y23" s="428"/>
      <c r="Z23" s="428"/>
      <c r="AA23" s="428"/>
      <c r="AB23" s="443"/>
      <c r="AC23" s="428"/>
      <c r="AD23" s="443"/>
      <c r="AE23" s="443"/>
      <c r="AF23" s="443"/>
      <c r="AG23" s="51"/>
      <c r="AH23" s="43"/>
      <c r="AI23" s="43"/>
      <c r="AJ23" s="43"/>
      <c r="AK23" s="51"/>
      <c r="AL23" s="51"/>
      <c r="AM23" s="46"/>
      <c r="AN23" s="46"/>
      <c r="AO23" s="51"/>
      <c r="AP23" s="51"/>
      <c r="AQ23" s="51"/>
      <c r="AR23" s="51"/>
      <c r="AS23" s="51"/>
      <c r="AT23" s="46"/>
      <c r="AU23" s="46"/>
      <c r="AV23" s="446"/>
      <c r="AW23" s="52"/>
    </row>
    <row r="24" spans="1:286" ht="44.25" customHeight="1">
      <c r="A24" s="43"/>
      <c r="B24" s="439"/>
      <c r="C24" s="440"/>
      <c r="D24" s="440"/>
      <c r="E24" s="440"/>
      <c r="F24" s="428"/>
      <c r="G24" s="428"/>
      <c r="H24" s="428"/>
      <c r="I24" s="428"/>
      <c r="J24" s="428"/>
      <c r="K24" s="428"/>
      <c r="L24" s="428"/>
      <c r="M24" s="428"/>
      <c r="N24" s="428"/>
      <c r="O24" s="428"/>
      <c r="P24" s="428"/>
      <c r="Q24" s="428"/>
      <c r="R24" s="428"/>
      <c r="S24" s="428"/>
      <c r="T24" s="428"/>
      <c r="U24" s="428"/>
      <c r="V24" s="441"/>
      <c r="W24" s="442"/>
      <c r="X24" s="443"/>
      <c r="Y24" s="428"/>
      <c r="Z24" s="428"/>
      <c r="AA24" s="428"/>
      <c r="AB24" s="443"/>
      <c r="AC24" s="428"/>
      <c r="AD24" s="428"/>
      <c r="AE24" s="428"/>
      <c r="AF24" s="428"/>
      <c r="AG24" s="46"/>
      <c r="AH24" s="43"/>
      <c r="AI24" s="43"/>
      <c r="AJ24" s="46"/>
      <c r="AK24" s="51"/>
      <c r="AL24" s="51"/>
      <c r="AM24" s="46"/>
      <c r="AN24" s="46"/>
      <c r="AO24" s="46"/>
      <c r="AP24" s="46"/>
      <c r="AQ24" s="46"/>
      <c r="AR24" s="46"/>
      <c r="AS24" s="46"/>
      <c r="AT24" s="46"/>
      <c r="AU24" s="46"/>
      <c r="AV24" s="52"/>
      <c r="AW24" s="52"/>
    </row>
    <row r="25" spans="1:286" ht="44.25" customHeight="1">
      <c r="A25" s="423"/>
      <c r="B25" s="673"/>
      <c r="C25" s="673"/>
      <c r="D25" s="593"/>
      <c r="E25" s="593"/>
      <c r="F25" s="444"/>
      <c r="G25" s="444"/>
      <c r="H25" s="444"/>
      <c r="I25" s="444"/>
      <c r="J25" s="444"/>
      <c r="K25" s="444"/>
      <c r="L25" s="444"/>
      <c r="M25" s="444"/>
      <c r="N25" s="444"/>
      <c r="O25" s="444"/>
      <c r="P25" s="444"/>
      <c r="Q25" s="444"/>
      <c r="R25" s="444"/>
      <c r="S25" s="444"/>
      <c r="T25" s="444"/>
      <c r="U25" s="444"/>
      <c r="V25" s="593"/>
      <c r="W25" s="593"/>
      <c r="X25" s="429"/>
      <c r="Y25" s="593"/>
      <c r="Z25" s="593"/>
      <c r="AA25" s="674"/>
      <c r="AB25" s="674"/>
      <c r="AC25" s="674"/>
      <c r="AD25" s="674"/>
      <c r="AE25" s="674"/>
      <c r="AF25" s="674"/>
      <c r="AG25" s="674"/>
      <c r="AH25" s="674"/>
      <c r="AI25" s="674"/>
      <c r="AJ25" s="674"/>
      <c r="AK25" s="674"/>
      <c r="AL25" s="674"/>
      <c r="AM25" s="674"/>
      <c r="AN25" s="674"/>
      <c r="AO25" s="674"/>
      <c r="AP25" s="674"/>
      <c r="AQ25" s="674"/>
      <c r="AR25" s="674"/>
      <c r="AS25" s="674"/>
      <c r="AT25" s="674"/>
      <c r="AU25" s="674"/>
      <c r="AV25" s="674"/>
      <c r="AW25" s="424"/>
      <c r="AX25" s="424"/>
      <c r="AY25" s="424"/>
      <c r="AZ25" s="424"/>
      <c r="BA25" s="424"/>
      <c r="BB25" s="424"/>
      <c r="BC25" s="424"/>
      <c r="BD25" s="424"/>
      <c r="BE25" s="424"/>
      <c r="BF25" s="424"/>
      <c r="BG25" s="424"/>
      <c r="BH25" s="424"/>
      <c r="BI25" s="424"/>
      <c r="BJ25" s="424"/>
      <c r="BK25" s="424"/>
      <c r="BL25" s="424"/>
      <c r="BM25" s="424"/>
      <c r="BN25" s="424"/>
      <c r="BO25" s="424"/>
      <c r="BP25" s="424"/>
      <c r="BQ25" s="424"/>
      <c r="BR25" s="424"/>
      <c r="BS25" s="424"/>
      <c r="BT25" s="424"/>
      <c r="BU25" s="424"/>
      <c r="BV25" s="424"/>
      <c r="BW25" s="424"/>
      <c r="BX25" s="424"/>
      <c r="BY25" s="424"/>
      <c r="BZ25" s="424"/>
      <c r="CA25" s="424"/>
      <c r="CB25" s="424"/>
      <c r="CC25" s="424"/>
      <c r="CD25" s="424"/>
      <c r="CE25" s="424"/>
      <c r="CF25" s="424"/>
      <c r="CG25" s="424"/>
      <c r="CH25" s="424"/>
      <c r="CI25" s="424"/>
      <c r="CJ25" s="424"/>
      <c r="CK25" s="424"/>
      <c r="CL25" s="424"/>
      <c r="CM25" s="424"/>
      <c r="CN25" s="424"/>
      <c r="CO25" s="424"/>
      <c r="CP25" s="424"/>
      <c r="CQ25" s="424"/>
      <c r="CR25" s="424"/>
      <c r="CS25" s="424"/>
      <c r="CT25" s="424"/>
      <c r="CU25" s="424"/>
      <c r="CV25" s="424"/>
      <c r="CW25" s="424"/>
      <c r="CX25" s="424"/>
      <c r="CY25" s="424"/>
      <c r="CZ25" s="424"/>
      <c r="DA25" s="424"/>
      <c r="DB25" s="424"/>
      <c r="DC25" s="424"/>
      <c r="DD25" s="424"/>
      <c r="DE25" s="424"/>
      <c r="DF25" s="424"/>
      <c r="DG25" s="424"/>
      <c r="DH25" s="424"/>
      <c r="DI25" s="424"/>
      <c r="DJ25" s="424"/>
      <c r="DK25" s="424"/>
      <c r="DL25" s="424"/>
      <c r="DM25" s="424"/>
      <c r="DN25" s="424"/>
      <c r="DO25" s="424"/>
      <c r="DP25" s="424"/>
      <c r="DQ25" s="424"/>
      <c r="DR25" s="424"/>
      <c r="DS25" s="424"/>
      <c r="DT25" s="424"/>
      <c r="DU25" s="424"/>
      <c r="DV25" s="424"/>
      <c r="DW25" s="424"/>
      <c r="DX25" s="424"/>
      <c r="DY25" s="424"/>
      <c r="DZ25" s="424"/>
      <c r="EA25" s="424"/>
      <c r="EB25" s="424"/>
      <c r="EC25" s="424"/>
      <c r="ED25" s="424"/>
      <c r="EE25" s="424"/>
      <c r="EF25" s="424"/>
      <c r="EG25" s="424"/>
      <c r="EH25" s="424"/>
      <c r="EI25" s="424"/>
      <c r="EJ25" s="424"/>
      <c r="EK25" s="424"/>
      <c r="EL25" s="424"/>
      <c r="EM25" s="424"/>
      <c r="EN25" s="424"/>
      <c r="EO25" s="424"/>
      <c r="EP25" s="424"/>
      <c r="EQ25" s="424"/>
      <c r="ER25" s="424"/>
      <c r="ES25" s="424"/>
      <c r="ET25" s="424"/>
      <c r="EU25" s="424"/>
      <c r="EV25" s="424"/>
      <c r="EW25" s="424"/>
      <c r="EX25" s="424"/>
      <c r="EY25" s="424"/>
      <c r="EZ25" s="424"/>
      <c r="FA25" s="424"/>
      <c r="FB25" s="424"/>
      <c r="FC25" s="424"/>
      <c r="FD25" s="424"/>
      <c r="FE25" s="424"/>
      <c r="FF25" s="424"/>
      <c r="FG25" s="424"/>
      <c r="FH25" s="424"/>
      <c r="FI25" s="424"/>
      <c r="FJ25" s="424"/>
      <c r="FK25" s="424"/>
      <c r="FL25" s="424"/>
      <c r="FM25" s="424"/>
      <c r="FN25" s="424"/>
      <c r="FO25" s="424"/>
      <c r="FP25" s="424"/>
      <c r="FQ25" s="424"/>
      <c r="FR25" s="424"/>
      <c r="FS25" s="424"/>
      <c r="FT25" s="424"/>
      <c r="FU25" s="424"/>
      <c r="FV25" s="424"/>
      <c r="FW25" s="424"/>
      <c r="FX25" s="424"/>
      <c r="FY25" s="424"/>
      <c r="FZ25" s="424"/>
      <c r="GA25" s="424"/>
      <c r="GB25" s="424"/>
      <c r="GC25" s="424"/>
      <c r="GD25" s="424"/>
      <c r="GE25" s="424"/>
      <c r="GF25" s="424"/>
      <c r="GG25" s="424"/>
      <c r="GH25" s="424"/>
      <c r="GI25" s="424"/>
      <c r="GJ25" s="424"/>
      <c r="GK25" s="424"/>
      <c r="GL25" s="424"/>
      <c r="GM25" s="424"/>
      <c r="GN25" s="424"/>
      <c r="GO25" s="424"/>
      <c r="GP25" s="424"/>
      <c r="GQ25" s="424"/>
      <c r="GR25" s="424"/>
      <c r="GS25" s="424"/>
      <c r="GT25" s="424"/>
      <c r="GU25" s="424"/>
      <c r="GV25" s="424"/>
      <c r="GW25" s="424"/>
      <c r="GX25" s="424"/>
      <c r="GY25" s="424"/>
      <c r="GZ25" s="424"/>
      <c r="HA25" s="424"/>
      <c r="HB25" s="424"/>
      <c r="HC25" s="424"/>
      <c r="HD25" s="424"/>
      <c r="HE25" s="424"/>
      <c r="HF25" s="424"/>
      <c r="HG25" s="424"/>
      <c r="HH25" s="424"/>
      <c r="HI25" s="424"/>
      <c r="HJ25" s="424"/>
      <c r="HK25" s="424"/>
      <c r="HL25" s="424"/>
      <c r="HM25" s="424"/>
      <c r="HN25" s="424"/>
      <c r="HO25" s="424"/>
      <c r="HP25" s="424"/>
      <c r="HQ25" s="424"/>
      <c r="HR25" s="424"/>
      <c r="HS25" s="424"/>
      <c r="HT25" s="424"/>
      <c r="HU25" s="424"/>
      <c r="HV25" s="424"/>
      <c r="HW25" s="424"/>
      <c r="HX25" s="424"/>
      <c r="HY25" s="424"/>
      <c r="HZ25" s="424"/>
      <c r="IA25" s="424"/>
      <c r="IB25" s="424"/>
      <c r="IC25" s="424"/>
      <c r="ID25" s="424"/>
      <c r="IE25" s="424"/>
      <c r="IF25" s="424"/>
      <c r="IG25" s="424"/>
      <c r="IH25" s="424"/>
      <c r="II25" s="424"/>
      <c r="IJ25" s="424"/>
      <c r="IK25" s="424"/>
      <c r="IL25" s="424"/>
      <c r="IM25" s="424"/>
      <c r="IN25" s="424"/>
      <c r="IO25" s="424"/>
      <c r="IP25" s="424"/>
      <c r="IQ25" s="424"/>
      <c r="IR25" s="424"/>
      <c r="IS25" s="424"/>
      <c r="IT25" s="424"/>
      <c r="IU25" s="424"/>
      <c r="IV25" s="424"/>
      <c r="IW25" s="424"/>
      <c r="IX25" s="424"/>
      <c r="IY25" s="424"/>
      <c r="IZ25" s="424"/>
      <c r="JA25" s="424"/>
      <c r="JB25" s="424"/>
      <c r="JC25" s="424"/>
      <c r="JD25" s="424"/>
      <c r="JE25" s="424"/>
      <c r="JF25" s="424"/>
      <c r="JG25" s="424"/>
      <c r="JH25" s="424"/>
      <c r="JI25" s="424"/>
      <c r="JJ25" s="424"/>
      <c r="JK25" s="424"/>
      <c r="JL25" s="424"/>
      <c r="JM25" s="424"/>
      <c r="JN25" s="424"/>
      <c r="JO25" s="424"/>
      <c r="JP25" s="424"/>
      <c r="JQ25" s="424"/>
      <c r="JR25" s="424"/>
      <c r="JS25" s="424"/>
      <c r="JT25" s="424"/>
      <c r="JU25" s="424"/>
      <c r="JV25" s="424"/>
      <c r="JW25" s="424"/>
      <c r="JX25" s="424"/>
      <c r="JY25" s="424"/>
      <c r="JZ25" s="424"/>
    </row>
  </sheetData>
  <mergeCells count="24">
    <mergeCell ref="B25:C25"/>
    <mergeCell ref="AA25:AV25"/>
    <mergeCell ref="U14:U15"/>
    <mergeCell ref="X14:X15"/>
    <mergeCell ref="Y14:Y15"/>
    <mergeCell ref="Z14:Z15"/>
    <mergeCell ref="AA14:AA15"/>
    <mergeCell ref="AB14:AB15"/>
    <mergeCell ref="AG14:AG15"/>
    <mergeCell ref="B14:B15"/>
    <mergeCell ref="AM14:AR14"/>
    <mergeCell ref="AS14:AS15"/>
    <mergeCell ref="AT14:AT15"/>
    <mergeCell ref="AV14:AV15"/>
    <mergeCell ref="AA5:AN5"/>
    <mergeCell ref="A8:C8"/>
    <mergeCell ref="AO9:AW9"/>
    <mergeCell ref="A10:C10"/>
    <mergeCell ref="A14:A15"/>
    <mergeCell ref="F14:F15"/>
    <mergeCell ref="V14:V15"/>
    <mergeCell ref="W14:W15"/>
    <mergeCell ref="A5:C5"/>
    <mergeCell ref="AW14:AW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
  <sheetViews>
    <sheetView topLeftCell="A13" workbookViewId="0">
      <selection activeCell="A20" sqref="A20"/>
    </sheetView>
  </sheetViews>
  <sheetFormatPr defaultRowHeight="15"/>
  <cols>
    <col min="1" max="1" width="26.28515625" customWidth="1"/>
    <col min="2" max="2" width="25.140625" customWidth="1"/>
    <col min="3" max="3" width="11.28515625" customWidth="1"/>
    <col min="4" max="4" width="11.85546875" customWidth="1"/>
    <col min="10" max="10" width="15" customWidth="1"/>
    <col min="11" max="11" width="12.85546875" customWidth="1"/>
  </cols>
  <sheetData>
    <row r="1" spans="1:11">
      <c r="A1" s="685" t="s">
        <v>161</v>
      </c>
      <c r="B1" s="686"/>
      <c r="C1" s="686"/>
      <c r="D1" s="686"/>
      <c r="E1" s="686"/>
      <c r="F1" s="686"/>
      <c r="G1" s="686"/>
      <c r="H1" s="686"/>
      <c r="I1" s="686"/>
      <c r="J1" s="183"/>
      <c r="K1" s="184"/>
    </row>
    <row r="2" spans="1:11">
      <c r="A2" s="687" t="s">
        <v>162</v>
      </c>
      <c r="B2" s="688"/>
      <c r="C2" s="688"/>
      <c r="D2" s="688"/>
      <c r="E2" s="688"/>
      <c r="F2" s="688"/>
      <c r="G2" s="688"/>
      <c r="H2" s="688"/>
      <c r="I2" s="688"/>
      <c r="J2" s="511"/>
      <c r="K2" s="185"/>
    </row>
    <row r="3" spans="1:11">
      <c r="A3" s="689"/>
      <c r="B3" s="690"/>
      <c r="C3" s="690"/>
      <c r="D3" s="690"/>
      <c r="E3" s="690"/>
      <c r="F3" s="690"/>
      <c r="G3" s="690"/>
      <c r="H3" s="690"/>
      <c r="I3" s="690"/>
      <c r="J3" s="512"/>
      <c r="K3" s="186"/>
    </row>
    <row r="4" spans="1:11">
      <c r="A4" s="691" t="s">
        <v>163</v>
      </c>
      <c r="B4" s="692"/>
      <c r="C4" s="692"/>
      <c r="D4" s="692"/>
      <c r="E4" s="692"/>
      <c r="F4" s="692"/>
      <c r="G4" s="692"/>
      <c r="H4" s="692"/>
      <c r="I4" s="692"/>
      <c r="J4" s="514"/>
      <c r="K4" s="187"/>
    </row>
    <row r="5" spans="1:11">
      <c r="A5" s="513"/>
      <c r="B5" s="514"/>
      <c r="C5" s="514"/>
      <c r="D5" s="514"/>
      <c r="E5" s="514"/>
      <c r="F5" s="514"/>
      <c r="G5" s="514"/>
      <c r="H5" s="514"/>
      <c r="I5" s="514"/>
      <c r="J5" s="514"/>
      <c r="K5" s="187"/>
    </row>
    <row r="6" spans="1:11" ht="18.75">
      <c r="A6" s="188"/>
      <c r="B6" s="189"/>
      <c r="C6" s="189"/>
      <c r="D6" s="693">
        <f>'PUNJAB 04-22Master'!D10</f>
        <v>44652</v>
      </c>
      <c r="E6" s="693"/>
      <c r="F6" s="189"/>
      <c r="G6" s="189"/>
      <c r="H6" s="189"/>
      <c r="I6" s="189"/>
      <c r="J6" s="189"/>
      <c r="K6" s="190"/>
    </row>
    <row r="7" spans="1:11">
      <c r="A7" s="513"/>
      <c r="B7" s="514"/>
      <c r="C7" s="514"/>
      <c r="D7" s="514"/>
      <c r="E7" s="514"/>
      <c r="F7" s="514"/>
      <c r="G7" s="514"/>
      <c r="H7" s="514"/>
      <c r="I7" s="514"/>
      <c r="J7" s="514"/>
      <c r="K7" s="187"/>
    </row>
    <row r="8" spans="1:11" ht="15" customHeight="1">
      <c r="A8" s="191" t="s">
        <v>164</v>
      </c>
      <c r="B8" s="192"/>
      <c r="C8" s="192"/>
      <c r="D8" s="684" t="str">
        <f>'PUNJAB 04-22Master'!F5</f>
        <v>Burgeon IT Services Pvt.Ltd.</v>
      </c>
      <c r="E8" s="684"/>
      <c r="F8" s="684"/>
      <c r="G8" s="684"/>
      <c r="H8" s="684"/>
      <c r="I8" s="684"/>
      <c r="J8" s="684"/>
      <c r="K8" s="63"/>
    </row>
    <row r="9" spans="1:11">
      <c r="A9" s="194"/>
      <c r="B9" s="195"/>
      <c r="C9" s="196"/>
      <c r="D9" s="197" t="str">
        <f>'PUNJAB 04-22Master'!F6</f>
        <v>Siri Mansion LIGB 436 Dr.A S Rao Nagar,Hyderabad</v>
      </c>
      <c r="E9" s="47"/>
      <c r="F9" s="47"/>
      <c r="G9" s="195"/>
      <c r="H9" s="195"/>
      <c r="I9" s="195"/>
      <c r="J9" s="197"/>
      <c r="K9" s="198"/>
    </row>
    <row r="10" spans="1:11">
      <c r="A10" s="191" t="s">
        <v>165</v>
      </c>
      <c r="B10" s="192"/>
      <c r="C10" s="192"/>
      <c r="D10" s="192"/>
      <c r="E10" s="193"/>
      <c r="F10" s="696" t="str">
        <f>'PUNJAB 04-22Master'!AO5</f>
        <v>Burgeon IT Services Pvt.Ltd.</v>
      </c>
      <c r="G10" s="696"/>
      <c r="H10" s="696"/>
      <c r="I10" s="696"/>
      <c r="J10" s="696"/>
      <c r="K10" s="697"/>
    </row>
    <row r="11" spans="1:11">
      <c r="A11" s="194"/>
      <c r="B11" s="195"/>
      <c r="C11" s="195"/>
      <c r="D11" s="195"/>
      <c r="E11" s="197"/>
      <c r="F11" s="47" t="str">
        <f>'PUNJAB 04-22Master'!AO6</f>
        <v>Siri Mansion LIGB 436 Dr.A S Rao Nagar,Hyderabad</v>
      </c>
      <c r="G11" s="195"/>
      <c r="H11" s="195"/>
      <c r="I11" s="195"/>
      <c r="J11" s="197"/>
      <c r="K11" s="198"/>
    </row>
    <row r="12" spans="1:11">
      <c r="A12" s="191" t="s">
        <v>166</v>
      </c>
      <c r="B12" s="192"/>
      <c r="C12" s="192"/>
      <c r="D12" s="192"/>
      <c r="E12" s="193"/>
      <c r="F12" s="696" t="str">
        <f>[1]Master!AO10</f>
        <v>INFOSYS LIMITED</v>
      </c>
      <c r="G12" s="696"/>
      <c r="H12" s="696"/>
      <c r="I12" s="696"/>
      <c r="J12" s="696"/>
      <c r="K12" s="697"/>
    </row>
    <row r="13" spans="1:11" ht="21">
      <c r="A13" s="199"/>
      <c r="B13" s="200"/>
      <c r="C13" s="200"/>
      <c r="D13" s="200"/>
      <c r="E13" s="201"/>
      <c r="F13" s="15" t="str">
        <f>'PUNJAB 04-22Master'!AO12</f>
        <v>IL Chandigarh SEZ Unit - I Rajiv Gandhi Chandigarh tech Park, Kishangarh, Chandigarh-160101</v>
      </c>
      <c r="G13" s="200"/>
      <c r="H13" s="200"/>
      <c r="I13" s="200"/>
      <c r="J13" s="202"/>
      <c r="K13" s="203"/>
    </row>
    <row r="14" spans="1:11">
      <c r="A14" s="698" t="s">
        <v>167</v>
      </c>
      <c r="B14" s="699"/>
      <c r="C14" s="204">
        <f>D21</f>
        <v>1</v>
      </c>
      <c r="D14" s="205"/>
      <c r="E14" s="205"/>
      <c r="F14" s="205"/>
      <c r="G14" s="205"/>
      <c r="H14" s="205"/>
      <c r="I14" s="205"/>
      <c r="J14" s="206"/>
      <c r="K14" s="207"/>
    </row>
    <row r="15" spans="1:11">
      <c r="A15" s="508"/>
      <c r="B15" s="509"/>
      <c r="C15" s="205"/>
      <c r="D15" s="205"/>
      <c r="E15" s="205"/>
      <c r="F15" s="205"/>
      <c r="G15" s="205"/>
      <c r="H15" s="205"/>
      <c r="I15" s="205"/>
      <c r="J15" s="206"/>
      <c r="K15" s="207"/>
    </row>
    <row r="16" spans="1:11">
      <c r="A16" s="698" t="s">
        <v>168</v>
      </c>
      <c r="B16" s="699"/>
      <c r="C16" s="204">
        <f>C219</f>
        <v>0</v>
      </c>
      <c r="D16" s="205"/>
      <c r="E16" s="205"/>
      <c r="F16" s="205"/>
      <c r="G16" s="205"/>
      <c r="H16" s="205"/>
      <c r="I16" s="205"/>
      <c r="J16" s="206"/>
      <c r="K16" s="207"/>
    </row>
    <row r="17" spans="1:11">
      <c r="A17" s="700"/>
      <c r="B17" s="701"/>
      <c r="C17" s="701"/>
      <c r="D17" s="701"/>
      <c r="E17" s="701"/>
      <c r="F17" s="701"/>
      <c r="G17" s="701"/>
      <c r="H17" s="701"/>
      <c r="I17" s="701"/>
      <c r="J17" s="510"/>
      <c r="K17" s="208"/>
    </row>
    <row r="18" spans="1:11">
      <c r="A18" s="209"/>
      <c r="B18" s="507"/>
      <c r="C18" s="694" t="s">
        <v>169</v>
      </c>
      <c r="D18" s="694"/>
      <c r="E18" s="694"/>
      <c r="F18" s="694"/>
      <c r="G18" s="694"/>
      <c r="H18" s="694"/>
      <c r="I18" s="695"/>
      <c r="J18" s="507"/>
      <c r="K18" s="210"/>
    </row>
    <row r="19" spans="1:11" ht="105">
      <c r="A19" s="211" t="s">
        <v>170</v>
      </c>
      <c r="B19" s="502" t="s">
        <v>171</v>
      </c>
      <c r="C19" s="502" t="s">
        <v>172</v>
      </c>
      <c r="D19" s="502" t="s">
        <v>173</v>
      </c>
      <c r="E19" s="502" t="s">
        <v>174</v>
      </c>
      <c r="F19" s="502" t="s">
        <v>175</v>
      </c>
      <c r="G19" s="502" t="s">
        <v>176</v>
      </c>
      <c r="H19" s="502" t="s">
        <v>177</v>
      </c>
      <c r="I19" s="502" t="s">
        <v>178</v>
      </c>
      <c r="J19" s="502" t="s">
        <v>179</v>
      </c>
      <c r="K19" s="212" t="s">
        <v>180</v>
      </c>
    </row>
    <row r="20" spans="1:11">
      <c r="A20" s="523" t="str">
        <f>+'PUNJAB 04-22Master'!F16</f>
        <v>Technical Consultant</v>
      </c>
      <c r="B20" s="524" t="s">
        <v>382</v>
      </c>
      <c r="C20" s="502">
        <v>0</v>
      </c>
      <c r="D20" s="567">
        <v>1</v>
      </c>
      <c r="E20" s="570">
        <f>'PUNJAB 04-22Master'!AL16</f>
        <v>64275.692519999997</v>
      </c>
      <c r="F20" s="570">
        <f>'PUNJAB 04-22Master'!Y16</f>
        <v>34819</v>
      </c>
      <c r="G20" s="570">
        <f>'PUNJAB 04-22Master'!AC16</f>
        <v>13927.68</v>
      </c>
      <c r="H20" s="570">
        <f>E20-(F20+G20)</f>
        <v>15529.012519999997</v>
      </c>
      <c r="I20" s="525">
        <v>0</v>
      </c>
      <c r="J20" s="569" t="s">
        <v>181</v>
      </c>
      <c r="K20" s="213" t="s">
        <v>432</v>
      </c>
    </row>
    <row r="21" spans="1:11">
      <c r="A21" s="62"/>
      <c r="B21" s="47"/>
      <c r="C21" s="568">
        <f>SUM(C33:C33)</f>
        <v>0</v>
      </c>
      <c r="D21" s="568">
        <f>SUM(D20:D20)</f>
        <v>1</v>
      </c>
      <c r="E21" s="401"/>
      <c r="F21" s="401"/>
      <c r="G21" s="401"/>
      <c r="H21" s="401"/>
      <c r="I21" s="401"/>
      <c r="J21" s="47"/>
      <c r="K21" s="63"/>
    </row>
    <row r="22" spans="1:11">
      <c r="A22" s="62"/>
      <c r="B22" s="47"/>
      <c r="C22" s="47"/>
      <c r="D22" s="47"/>
      <c r="E22" s="47"/>
      <c r="F22" s="47"/>
      <c r="G22" s="47"/>
      <c r="H22" s="47"/>
      <c r="I22" s="47"/>
      <c r="J22" s="47"/>
      <c r="K22" s="63"/>
    </row>
    <row r="23" spans="1:11">
      <c r="A23" s="62"/>
      <c r="B23" s="47"/>
      <c r="C23" s="47"/>
      <c r="D23" s="47"/>
      <c r="E23" s="47"/>
      <c r="F23" s="47"/>
      <c r="G23" s="47"/>
      <c r="H23" s="47"/>
      <c r="I23" s="47"/>
      <c r="J23" s="47"/>
      <c r="K23" s="63"/>
    </row>
    <row r="24" spans="1:11">
      <c r="A24" s="62"/>
      <c r="B24" s="47"/>
      <c r="C24" s="47"/>
      <c r="D24" s="47"/>
      <c r="E24" s="47"/>
      <c r="F24" s="47"/>
      <c r="G24" s="47"/>
      <c r="H24" s="47"/>
      <c r="I24" s="47"/>
      <c r="J24" s="47"/>
      <c r="K24" s="63"/>
    </row>
    <row r="25" spans="1:11">
      <c r="A25" s="62"/>
      <c r="B25" s="47"/>
      <c r="C25" s="47"/>
      <c r="D25" s="47"/>
      <c r="E25" s="229" t="s">
        <v>38</v>
      </c>
      <c r="F25" s="47"/>
      <c r="G25" s="47"/>
      <c r="H25" s="47"/>
      <c r="I25" s="47"/>
      <c r="J25" s="47"/>
      <c r="K25" s="63"/>
    </row>
    <row r="26" spans="1:11">
      <c r="A26" s="62"/>
      <c r="B26" s="47"/>
      <c r="C26" s="47"/>
      <c r="D26" s="47"/>
      <c r="E26" s="47"/>
      <c r="F26" s="47"/>
      <c r="G26" s="47"/>
      <c r="H26" s="47"/>
      <c r="I26" s="47"/>
      <c r="J26" s="47"/>
      <c r="K26" s="63"/>
    </row>
    <row r="27" spans="1:11">
      <c r="A27" s="62"/>
      <c r="B27" s="47"/>
      <c r="C27" s="47"/>
      <c r="D27" s="47"/>
      <c r="E27" s="47"/>
      <c r="F27" s="47"/>
      <c r="G27" s="47"/>
      <c r="H27" s="47"/>
      <c r="I27" s="47"/>
      <c r="J27" s="47"/>
      <c r="K27" s="63"/>
    </row>
    <row r="28" spans="1:11">
      <c r="A28" s="62"/>
      <c r="B28" s="47"/>
      <c r="C28" s="47"/>
      <c r="D28" s="47"/>
      <c r="E28" s="47"/>
      <c r="F28" s="47"/>
      <c r="G28" s="47"/>
      <c r="H28" s="47"/>
      <c r="I28" s="47"/>
      <c r="J28" s="47"/>
      <c r="K28" s="63"/>
    </row>
    <row r="29" spans="1:11" ht="15.75" thickBot="1">
      <c r="A29" s="76"/>
      <c r="B29" s="74"/>
      <c r="C29" s="74"/>
      <c r="D29" s="74"/>
      <c r="E29" s="74"/>
      <c r="F29" s="74"/>
      <c r="G29" s="74"/>
      <c r="H29" s="74"/>
      <c r="I29" s="74"/>
      <c r="J29" s="74"/>
      <c r="K29" s="75"/>
    </row>
    <row r="33" spans="1:11">
      <c r="A33" s="523" t="e">
        <f>+'PUNJAB 04-22Master'!#REF!</f>
        <v>#REF!</v>
      </c>
      <c r="B33" s="524" t="s">
        <v>382</v>
      </c>
      <c r="C33" s="502">
        <v>0</v>
      </c>
      <c r="D33" s="567">
        <v>0</v>
      </c>
      <c r="E33" s="570" t="e">
        <f>'PUNJAB 04-22Master'!#REF!</f>
        <v>#REF!</v>
      </c>
      <c r="F33" s="570">
        <v>87096.71428571429</v>
      </c>
      <c r="G33" s="570">
        <v>35009.333333333336</v>
      </c>
      <c r="H33" s="570" t="e">
        <f>E33-(F33+G33)</f>
        <v>#REF!</v>
      </c>
      <c r="I33" s="525">
        <v>0</v>
      </c>
      <c r="J33" s="569" t="s">
        <v>181</v>
      </c>
      <c r="K33" s="213" t="s">
        <v>432</v>
      </c>
    </row>
  </sheetData>
  <mergeCells count="12">
    <mergeCell ref="C18:I18"/>
    <mergeCell ref="F10:K10"/>
    <mergeCell ref="F12:K12"/>
    <mergeCell ref="A14:B14"/>
    <mergeCell ref="A16:B16"/>
    <mergeCell ref="A17:I17"/>
    <mergeCell ref="D8:J8"/>
    <mergeCell ref="A1:I1"/>
    <mergeCell ref="A2:I2"/>
    <mergeCell ref="A3:I3"/>
    <mergeCell ref="A4:I4"/>
    <mergeCell ref="D6:E6"/>
  </mergeCells>
  <pageMargins left="0.88" right="0.7" top="0.75" bottom="0.75" header="0.3" footer="0.3"/>
  <pageSetup scale="8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JC19"/>
  <sheetViews>
    <sheetView topLeftCell="A7" workbookViewId="0">
      <selection activeCell="B15" sqref="B15"/>
    </sheetView>
  </sheetViews>
  <sheetFormatPr defaultRowHeight="15.75"/>
  <cols>
    <col min="1" max="1" width="7.140625" style="9" customWidth="1"/>
    <col min="2" max="2" width="29" style="8" customWidth="1"/>
    <col min="3" max="3" width="21.140625" customWidth="1"/>
    <col min="4" max="4" width="9.7109375" customWidth="1"/>
    <col min="5" max="6" width="4.7109375" customWidth="1"/>
    <col min="7" max="7" width="4.7109375" style="2" customWidth="1"/>
    <col min="8" max="34" width="4.7109375" customWidth="1"/>
    <col min="35" max="35" width="9.7109375" customWidth="1"/>
    <col min="36" max="36" width="3.7109375" customWidth="1"/>
  </cols>
  <sheetData>
    <row r="3" spans="1:35" ht="43.5" customHeight="1">
      <c r="A3" s="702" t="s">
        <v>424</v>
      </c>
      <c r="B3" s="702"/>
      <c r="C3" s="702"/>
      <c r="D3" s="702"/>
      <c r="E3" s="702"/>
      <c r="F3" s="702"/>
      <c r="G3" s="702"/>
      <c r="H3" s="702"/>
      <c r="I3" s="702"/>
      <c r="J3" s="702"/>
      <c r="K3" s="702"/>
      <c r="L3" s="702"/>
      <c r="M3" s="702"/>
      <c r="N3" s="702"/>
      <c r="O3" s="702"/>
      <c r="P3" s="702"/>
      <c r="Q3" s="702"/>
      <c r="R3" s="702"/>
      <c r="S3" s="702"/>
      <c r="T3" s="702"/>
      <c r="U3" s="702"/>
      <c r="V3" s="702"/>
      <c r="W3" s="702"/>
      <c r="X3" s="702"/>
      <c r="Y3" s="702"/>
      <c r="Z3" s="702"/>
      <c r="AA3" s="702"/>
      <c r="AB3" s="702"/>
      <c r="AC3" s="702"/>
      <c r="AD3" s="702"/>
      <c r="AE3" s="702"/>
      <c r="AF3" s="702"/>
      <c r="AG3" s="702"/>
      <c r="AH3" s="702"/>
      <c r="AI3" s="702"/>
    </row>
    <row r="5" spans="1:35" ht="43.5" customHeight="1">
      <c r="A5" s="703" t="s">
        <v>0</v>
      </c>
      <c r="B5" s="703"/>
      <c r="C5" s="703"/>
      <c r="D5" s="1" t="str">
        <f>'PUNJAB 04-22Master'!F5</f>
        <v>Burgeon IT Services Pvt.Ltd.</v>
      </c>
      <c r="J5" s="58" t="s">
        <v>1</v>
      </c>
      <c r="K5" s="58"/>
      <c r="L5" s="58"/>
      <c r="M5" s="58"/>
      <c r="N5" s="58"/>
      <c r="O5" s="58"/>
      <c r="P5" s="58"/>
      <c r="Q5" s="58"/>
      <c r="R5" s="58"/>
      <c r="S5" s="58"/>
      <c r="T5" s="58"/>
      <c r="U5" s="58"/>
      <c r="V5" s="58"/>
      <c r="X5" s="3" t="str">
        <f>'PUNJAB 04-22Master'!AO5</f>
        <v>Burgeon IT Services Pvt.Ltd.</v>
      </c>
      <c r="Y5" s="58"/>
      <c r="AA5" s="58"/>
      <c r="AB5" s="58"/>
      <c r="AC5" s="58"/>
      <c r="AD5" s="58"/>
      <c r="AE5" s="58"/>
      <c r="AF5" s="58"/>
      <c r="AG5" s="58"/>
      <c r="AH5" s="58"/>
      <c r="AI5" s="58"/>
    </row>
    <row r="6" spans="1:35" ht="20.45" customHeight="1">
      <c r="A6" s="6"/>
      <c r="D6" s="7" t="str">
        <f>'PUNJAB 04-22Master'!F6</f>
        <v>Siri Mansion LIGB 436 Dr.A S Rao Nagar,Hyderabad</v>
      </c>
      <c r="K6" s="8"/>
      <c r="L6" s="8"/>
      <c r="M6" s="8"/>
      <c r="N6" s="8"/>
      <c r="O6" s="8"/>
      <c r="P6" s="8"/>
      <c r="Q6" s="8"/>
      <c r="R6" s="8"/>
      <c r="S6" s="8"/>
      <c r="T6" s="8"/>
      <c r="U6" s="8"/>
      <c r="V6" s="8"/>
      <c r="X6" s="7" t="str">
        <f>'PUNJAB 04-22Master'!AO6</f>
        <v>Siri Mansion LIGB 436 Dr.A S Rao Nagar,Hyderabad</v>
      </c>
      <c r="Y6" s="8"/>
      <c r="AA6" s="8"/>
      <c r="AB6" s="8"/>
      <c r="AC6" s="8"/>
      <c r="AD6" s="8"/>
      <c r="AE6" s="8"/>
      <c r="AF6" s="8"/>
      <c r="AG6" s="8"/>
      <c r="AH6" s="8"/>
      <c r="AI6" s="8"/>
    </row>
    <row r="7" spans="1:35">
      <c r="A7" s="703" t="s">
        <v>2</v>
      </c>
      <c r="B7" s="703"/>
      <c r="C7" s="703"/>
      <c r="D7" s="11" t="str">
        <f>'PUNJAB 04-22Master'!F8</f>
        <v>IT SUPPORTIVE SERVICES&amp;Chandigarh</v>
      </c>
      <c r="K7" s="8"/>
      <c r="L7" s="8"/>
      <c r="M7" s="8"/>
      <c r="N7" s="8"/>
      <c r="O7" s="8"/>
      <c r="P7" s="8"/>
      <c r="Q7" s="8"/>
      <c r="R7" s="8"/>
      <c r="S7" s="8"/>
      <c r="T7" s="8"/>
      <c r="U7" s="8"/>
      <c r="V7" s="8"/>
      <c r="X7" s="8"/>
      <c r="Y7" s="8"/>
      <c r="Z7" s="12"/>
      <c r="AA7" s="8"/>
      <c r="AB7" s="8"/>
      <c r="AC7" s="8"/>
      <c r="AD7" s="8"/>
      <c r="AE7" s="8"/>
      <c r="AF7" s="8"/>
      <c r="AG7" s="8"/>
      <c r="AH7" s="8"/>
      <c r="AI7" s="8"/>
    </row>
    <row r="8" spans="1:35">
      <c r="A8" s="6"/>
      <c r="K8" s="8"/>
      <c r="L8" s="8"/>
      <c r="M8" s="8"/>
      <c r="N8" s="8"/>
      <c r="O8" s="8"/>
      <c r="P8" s="8"/>
      <c r="Q8" s="8"/>
      <c r="R8" s="8"/>
      <c r="S8" s="8"/>
      <c r="T8" s="8"/>
      <c r="U8" s="8"/>
      <c r="V8" s="8"/>
      <c r="X8" s="8"/>
      <c r="Y8" s="8"/>
      <c r="Z8" s="57"/>
      <c r="AA8" s="8"/>
      <c r="AB8" s="8"/>
      <c r="AC8" s="8"/>
      <c r="AD8" s="8"/>
      <c r="AE8" s="8"/>
      <c r="AF8" s="8"/>
      <c r="AG8" s="8"/>
      <c r="AH8" s="8"/>
      <c r="AI8" s="8"/>
    </row>
    <row r="9" spans="1:35" ht="15" customHeight="1">
      <c r="A9" s="703" t="s">
        <v>3</v>
      </c>
      <c r="B9" s="703"/>
      <c r="C9" s="703"/>
      <c r="D9" s="714">
        <f>'PUNJAB 04-22Master'!D10</f>
        <v>44652</v>
      </c>
      <c r="E9" s="714"/>
      <c r="F9" s="714"/>
      <c r="K9" s="14"/>
      <c r="M9" s="14" t="s">
        <v>4</v>
      </c>
      <c r="N9" s="14"/>
      <c r="O9" s="14"/>
      <c r="P9" s="6"/>
      <c r="Q9" s="6"/>
      <c r="R9" s="6"/>
      <c r="S9" s="6"/>
      <c r="T9" s="6"/>
      <c r="U9" s="6"/>
      <c r="V9" s="6"/>
      <c r="X9" s="6"/>
      <c r="Y9" s="6"/>
      <c r="Z9" s="14" t="str">
        <f>'PUNJAB 04-22Master'!AO10</f>
        <v xml:space="preserve">INFOSYS  LTD.IL </v>
      </c>
      <c r="AA9" s="6"/>
      <c r="AB9" s="6"/>
      <c r="AC9" s="6"/>
      <c r="AD9" s="6"/>
      <c r="AE9" s="6"/>
      <c r="AF9" s="6"/>
      <c r="AG9" s="6"/>
      <c r="AH9" s="6"/>
      <c r="AI9" s="6"/>
    </row>
    <row r="10" spans="1:35" ht="17.45" customHeight="1">
      <c r="Z10" s="15" t="str">
        <f>'PUNJAB APRIL 22-WMn Reg'!O8</f>
        <v>IL Chandigarh SEZ Unit - I Rajiv Gandhi Chandigarh tech Park, Kishangarh, Chandigarh-160101</v>
      </c>
    </row>
    <row r="11" spans="1:35">
      <c r="C11" s="17"/>
      <c r="Z11" s="9"/>
    </row>
    <row r="12" spans="1:35" ht="16.5" thickBot="1">
      <c r="W12" s="9"/>
    </row>
    <row r="13" spans="1:35" s="21" customFormat="1" ht="36.6" customHeight="1">
      <c r="A13" s="706" t="s">
        <v>5</v>
      </c>
      <c r="B13" s="708" t="s">
        <v>6</v>
      </c>
      <c r="C13" s="710" t="s">
        <v>39</v>
      </c>
      <c r="D13" s="712" t="s">
        <v>40</v>
      </c>
      <c r="E13" s="497"/>
      <c r="F13" s="495"/>
      <c r="G13" s="495"/>
      <c r="H13" s="495"/>
      <c r="I13" s="495"/>
      <c r="J13" s="495"/>
      <c r="K13" s="495"/>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56" t="s">
        <v>41</v>
      </c>
    </row>
    <row r="14" spans="1:35" ht="47.25" customHeight="1">
      <c r="A14" s="707"/>
      <c r="B14" s="709"/>
      <c r="C14" s="711"/>
      <c r="D14" s="713"/>
      <c r="E14" s="498">
        <v>1</v>
      </c>
      <c r="F14" s="498">
        <v>2</v>
      </c>
      <c r="G14" s="498">
        <v>3</v>
      </c>
      <c r="H14" s="498">
        <v>4</v>
      </c>
      <c r="I14" s="498">
        <v>5</v>
      </c>
      <c r="J14" s="498">
        <v>6</v>
      </c>
      <c r="K14" s="498">
        <v>7</v>
      </c>
      <c r="L14" s="498">
        <v>8</v>
      </c>
      <c r="M14" s="498">
        <v>9</v>
      </c>
      <c r="N14" s="498">
        <v>10</v>
      </c>
      <c r="O14" s="498">
        <v>11</v>
      </c>
      <c r="P14" s="498">
        <v>12</v>
      </c>
      <c r="Q14" s="498">
        <v>13</v>
      </c>
      <c r="R14" s="498">
        <v>14</v>
      </c>
      <c r="S14" s="498">
        <v>15</v>
      </c>
      <c r="T14" s="498">
        <v>16</v>
      </c>
      <c r="U14" s="498">
        <v>17</v>
      </c>
      <c r="V14" s="498">
        <v>18</v>
      </c>
      <c r="W14" s="498">
        <v>19</v>
      </c>
      <c r="X14" s="498">
        <v>20</v>
      </c>
      <c r="Y14" s="498">
        <v>21</v>
      </c>
      <c r="Z14" s="498">
        <v>22</v>
      </c>
      <c r="AA14" s="498">
        <v>23</v>
      </c>
      <c r="AB14" s="498">
        <v>24</v>
      </c>
      <c r="AC14" s="499">
        <v>25</v>
      </c>
      <c r="AD14" s="499">
        <v>26</v>
      </c>
      <c r="AE14" s="499">
        <v>27</v>
      </c>
      <c r="AF14" s="499">
        <v>28</v>
      </c>
      <c r="AG14" s="499">
        <v>29</v>
      </c>
      <c r="AH14" s="499">
        <v>30</v>
      </c>
      <c r="AI14" s="496"/>
    </row>
    <row r="15" spans="1:35" ht="30" customHeight="1">
      <c r="A15" s="27">
        <v>1</v>
      </c>
      <c r="B15" s="634" t="str">
        <f>'PUNJAB 04-22Master'!U16</f>
        <v>Gopi reddy chirra</v>
      </c>
      <c r="C15" s="28" t="str">
        <f>'PUNJAB 04-22Master'!E16</f>
        <v>Madhava Reddy</v>
      </c>
      <c r="D15" s="633" t="str">
        <f>'PUNJAB 04-22Master'!D16</f>
        <v>M</v>
      </c>
      <c r="E15" s="581" t="s">
        <v>42</v>
      </c>
      <c r="F15" s="581" t="s">
        <v>441</v>
      </c>
      <c r="G15" s="581" t="s">
        <v>441</v>
      </c>
      <c r="H15" s="581" t="s">
        <v>42</v>
      </c>
      <c r="I15" s="581" t="s">
        <v>42</v>
      </c>
      <c r="J15" s="581" t="s">
        <v>42</v>
      </c>
      <c r="K15" s="581" t="s">
        <v>42</v>
      </c>
      <c r="L15" s="581" t="s">
        <v>42</v>
      </c>
      <c r="M15" s="581" t="s">
        <v>441</v>
      </c>
      <c r="N15" s="581" t="s">
        <v>441</v>
      </c>
      <c r="O15" s="581" t="s">
        <v>42</v>
      </c>
      <c r="P15" s="581" t="s">
        <v>42</v>
      </c>
      <c r="Q15" s="581" t="s">
        <v>42</v>
      </c>
      <c r="R15" s="581" t="s">
        <v>42</v>
      </c>
      <c r="S15" s="581" t="s">
        <v>460</v>
      </c>
      <c r="T15" s="581" t="s">
        <v>441</v>
      </c>
      <c r="U15" s="581" t="s">
        <v>441</v>
      </c>
      <c r="V15" s="655" t="s">
        <v>452</v>
      </c>
      <c r="W15" s="581" t="s">
        <v>42</v>
      </c>
      <c r="X15" s="581" t="s">
        <v>42</v>
      </c>
      <c r="Y15" s="581" t="s">
        <v>42</v>
      </c>
      <c r="Z15" s="581" t="s">
        <v>42</v>
      </c>
      <c r="AA15" s="581" t="s">
        <v>441</v>
      </c>
      <c r="AB15" s="581" t="s">
        <v>441</v>
      </c>
      <c r="AC15" s="581" t="s">
        <v>42</v>
      </c>
      <c r="AD15" s="581" t="s">
        <v>42</v>
      </c>
      <c r="AE15" s="581" t="s">
        <v>42</v>
      </c>
      <c r="AF15" s="581" t="s">
        <v>42</v>
      </c>
      <c r="AG15" s="581" t="s">
        <v>42</v>
      </c>
      <c r="AH15" s="581" t="s">
        <v>441</v>
      </c>
      <c r="AI15" s="630">
        <f>'PUNJAB 04-22Master'!V16</f>
        <v>30</v>
      </c>
    </row>
    <row r="16" spans="1:35" ht="30" customHeight="1">
      <c r="A16" s="27"/>
      <c r="B16" s="500"/>
      <c r="C16" s="483"/>
      <c r="D16" s="402"/>
      <c r="E16" s="501"/>
      <c r="F16" s="501"/>
      <c r="G16" s="501"/>
      <c r="H16" s="501"/>
      <c r="I16" s="501"/>
      <c r="J16" s="501"/>
      <c r="K16" s="501"/>
      <c r="L16" s="501"/>
      <c r="M16" s="501"/>
      <c r="N16" s="501"/>
      <c r="O16" s="501"/>
      <c r="P16" s="501"/>
      <c r="Q16" s="501"/>
      <c r="R16" s="501"/>
      <c r="S16" s="501"/>
      <c r="T16" s="501"/>
      <c r="U16" s="501"/>
      <c r="V16" s="501"/>
      <c r="W16" s="501"/>
      <c r="X16" s="501"/>
      <c r="Y16" s="501"/>
      <c r="Z16" s="501"/>
      <c r="AA16" s="501"/>
      <c r="AB16" s="501"/>
      <c r="AC16" s="501"/>
      <c r="AD16" s="501"/>
      <c r="AE16" s="501"/>
      <c r="AF16" s="501"/>
      <c r="AG16" s="501"/>
      <c r="AH16" s="501"/>
      <c r="AI16" s="574"/>
    </row>
    <row r="17" spans="1:263" ht="30" customHeight="1">
      <c r="A17" s="27"/>
      <c r="B17" s="500"/>
      <c r="C17" s="483"/>
      <c r="D17" s="402"/>
      <c r="E17" s="501"/>
      <c r="F17" s="501"/>
      <c r="G17" s="501"/>
      <c r="H17" s="501"/>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501"/>
      <c r="AG17" s="501"/>
      <c r="AH17" s="501"/>
      <c r="AI17" s="574"/>
    </row>
    <row r="18" spans="1:263" ht="22.5" customHeight="1">
      <c r="A18" s="43"/>
      <c r="B18" s="44"/>
      <c r="C18" s="45"/>
      <c r="D18" s="46"/>
      <c r="E18" s="47"/>
      <c r="F18" s="48"/>
      <c r="G18" s="49"/>
      <c r="H18" s="46"/>
      <c r="I18" s="50"/>
      <c r="J18" s="50"/>
      <c r="K18" s="51"/>
      <c r="L18" s="46"/>
      <c r="M18" s="46"/>
      <c r="N18" s="46"/>
      <c r="O18" s="46"/>
      <c r="P18" s="46"/>
      <c r="Q18" s="43"/>
      <c r="R18" s="43"/>
      <c r="S18" s="46"/>
      <c r="T18" s="51"/>
      <c r="U18" s="51"/>
      <c r="V18" s="51"/>
      <c r="W18" s="51"/>
      <c r="X18" s="51"/>
      <c r="Y18" s="51"/>
      <c r="Z18" s="51"/>
      <c r="AA18" s="51"/>
      <c r="AB18" s="51"/>
      <c r="AC18" s="51"/>
      <c r="AD18" s="51"/>
      <c r="AE18" s="51"/>
      <c r="AF18" s="51"/>
      <c r="AG18" s="51"/>
      <c r="AH18" s="51"/>
      <c r="AI18" s="51"/>
    </row>
    <row r="19" spans="1:263">
      <c r="A19" s="39"/>
      <c r="B19" s="704"/>
      <c r="C19" s="704"/>
      <c r="D19" s="39"/>
      <c r="E19" s="40"/>
      <c r="F19" s="40"/>
      <c r="G19" s="41"/>
      <c r="H19" s="40"/>
      <c r="I19" s="40"/>
      <c r="J19" s="705" t="s">
        <v>38</v>
      </c>
      <c r="K19" s="705"/>
      <c r="L19" s="705"/>
      <c r="M19" s="705"/>
      <c r="N19" s="705"/>
      <c r="O19" s="705"/>
      <c r="P19" s="705"/>
      <c r="Q19" s="705"/>
      <c r="R19" s="705"/>
      <c r="S19" s="705"/>
      <c r="T19" s="705"/>
      <c r="U19" s="705"/>
      <c r="V19" s="705"/>
      <c r="W19" s="705"/>
      <c r="X19" s="705"/>
      <c r="Y19" s="705"/>
      <c r="Z19" s="705"/>
      <c r="AA19" s="705"/>
      <c r="AB19" s="705"/>
      <c r="AC19" s="705"/>
      <c r="AD19" s="705"/>
      <c r="AE19" s="705"/>
      <c r="AF19" s="705"/>
      <c r="AG19" s="705"/>
      <c r="AH19" s="705"/>
      <c r="AI19" s="705"/>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row>
  </sheetData>
  <mergeCells count="11">
    <mergeCell ref="A3:AI3"/>
    <mergeCell ref="A5:C5"/>
    <mergeCell ref="A7:C7"/>
    <mergeCell ref="A9:C9"/>
    <mergeCell ref="B19:C19"/>
    <mergeCell ref="J19:AI19"/>
    <mergeCell ref="A13:A14"/>
    <mergeCell ref="B13:B14"/>
    <mergeCell ref="C13:C14"/>
    <mergeCell ref="D13:D14"/>
    <mergeCell ref="D9:F9"/>
  </mergeCells>
  <printOptions horizontalCentered="1" verticalCentered="1"/>
  <pageMargins left="0" right="0" top="0" bottom="0" header="0.31496062992125984" footer="0.31496062992125984"/>
  <pageSetup paperSize="9" scale="74"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P42"/>
  <sheetViews>
    <sheetView topLeftCell="A7" workbookViewId="0">
      <selection activeCell="H21" sqref="H21"/>
    </sheetView>
  </sheetViews>
  <sheetFormatPr defaultRowHeight="15"/>
  <cols>
    <col min="2" max="2" width="8.7109375" customWidth="1"/>
    <col min="3" max="3" width="10.28515625" bestFit="1" customWidth="1"/>
    <col min="4" max="4" width="10.85546875" customWidth="1"/>
    <col min="6" max="6" width="11.140625" customWidth="1"/>
    <col min="7" max="7" width="13.85546875" customWidth="1"/>
    <col min="8" max="8" width="11.5703125" customWidth="1"/>
    <col min="12" max="12" width="12.28515625" customWidth="1"/>
  </cols>
  <sheetData>
    <row r="3" spans="1:16" ht="15.75" thickBot="1"/>
    <row r="4" spans="1:16">
      <c r="A4" s="174"/>
      <c r="B4" s="719" t="s">
        <v>142</v>
      </c>
      <c r="C4" s="719"/>
      <c r="D4" s="719"/>
      <c r="E4" s="719"/>
      <c r="F4" s="719"/>
      <c r="G4" s="719"/>
      <c r="H4" s="719"/>
      <c r="I4" s="719"/>
      <c r="J4" s="719"/>
      <c r="K4" s="719"/>
      <c r="L4" s="719"/>
      <c r="M4" s="719"/>
      <c r="N4" s="719"/>
      <c r="O4" s="719"/>
      <c r="P4" s="720"/>
    </row>
    <row r="5" spans="1:16">
      <c r="A5" s="143"/>
      <c r="B5" s="721"/>
      <c r="C5" s="721"/>
      <c r="D5" s="721"/>
      <c r="E5" s="721"/>
      <c r="F5" s="721"/>
      <c r="G5" s="721"/>
      <c r="H5" s="721"/>
      <c r="I5" s="721"/>
      <c r="J5" s="721"/>
      <c r="K5" s="721"/>
      <c r="L5" s="721"/>
      <c r="M5" s="721"/>
      <c r="N5" s="721"/>
      <c r="O5" s="721"/>
      <c r="P5" s="722"/>
    </row>
    <row r="6" spans="1:16">
      <c r="A6" s="143"/>
      <c r="B6" s="723" t="s">
        <v>442</v>
      </c>
      <c r="C6" s="723"/>
      <c r="D6" s="723"/>
      <c r="E6" s="723"/>
      <c r="F6" s="723"/>
      <c r="G6" s="723"/>
      <c r="H6" s="723"/>
      <c r="I6" s="723"/>
      <c r="J6" s="723"/>
      <c r="K6" s="723"/>
      <c r="L6" s="723"/>
      <c r="M6" s="723"/>
      <c r="N6" s="723"/>
      <c r="O6" s="723"/>
      <c r="P6" s="724"/>
    </row>
    <row r="7" spans="1:16">
      <c r="A7" s="143"/>
      <c r="B7" s="80" t="s">
        <v>183</v>
      </c>
      <c r="C7" s="81"/>
      <c r="D7" s="81"/>
      <c r="E7" t="str">
        <f>'PUNJAB 04-22Master'!F5</f>
        <v>Burgeon IT Services Pvt.Ltd.</v>
      </c>
      <c r="F7" s="82"/>
      <c r="G7" s="81"/>
      <c r="H7" s="81"/>
      <c r="I7" s="89" t="s">
        <v>143</v>
      </c>
      <c r="J7" s="130"/>
      <c r="K7" s="130"/>
      <c r="L7" s="130"/>
      <c r="M7" s="130"/>
      <c r="N7" s="130"/>
      <c r="O7" s="130"/>
      <c r="P7" s="175"/>
    </row>
    <row r="8" spans="1:16" ht="15.75">
      <c r="A8" s="143"/>
      <c r="B8" s="83"/>
      <c r="C8" s="84" t="str">
        <f>'PUNJAB 04-22Master'!F6</f>
        <v>Siri Mansion LIGB 436 Dr.A S Rao Nagar,Hyderabad</v>
      </c>
      <c r="D8" s="84"/>
      <c r="E8" s="85"/>
      <c r="F8" s="131"/>
      <c r="G8" s="132"/>
      <c r="I8" s="218" t="str">
        <f>'PUNJAB 04-22Master'!B16</f>
        <v>Gopi reddy chirra</v>
      </c>
      <c r="J8" s="132"/>
      <c r="K8" s="132"/>
      <c r="L8" s="132"/>
      <c r="M8" s="132"/>
      <c r="N8" s="132"/>
      <c r="O8" s="132"/>
      <c r="P8" s="176"/>
    </row>
    <row r="9" spans="1:16">
      <c r="A9" s="143"/>
      <c r="B9" s="86"/>
      <c r="C9" s="87"/>
      <c r="D9" s="87"/>
      <c r="E9" s="88"/>
      <c r="F9" s="133"/>
      <c r="G9" s="134"/>
      <c r="H9" s="134"/>
      <c r="I9" s="134"/>
      <c r="J9" s="134"/>
      <c r="K9" s="134"/>
      <c r="L9" s="134"/>
      <c r="M9" s="134"/>
      <c r="N9" s="134"/>
      <c r="O9" s="134"/>
      <c r="P9" s="177"/>
    </row>
    <row r="10" spans="1:16">
      <c r="A10" s="143"/>
      <c r="B10" s="725" t="s">
        <v>144</v>
      </c>
      <c r="C10" s="725"/>
      <c r="D10" s="725"/>
      <c r="E10" s="725"/>
      <c r="F10" s="89"/>
      <c r="G10" s="81"/>
      <c r="H10" s="81"/>
      <c r="I10" s="81"/>
      <c r="J10" s="81"/>
      <c r="K10" s="81"/>
      <c r="L10" s="81"/>
      <c r="M10" s="81"/>
      <c r="N10" s="81"/>
      <c r="O10" s="81"/>
      <c r="P10" s="178"/>
    </row>
    <row r="11" spans="1:16">
      <c r="A11" s="143"/>
      <c r="B11" s="725"/>
      <c r="C11" s="725"/>
      <c r="D11" s="725"/>
      <c r="E11" s="725"/>
      <c r="G11" s="84"/>
      <c r="H11" s="216"/>
      <c r="I11" s="144" t="s">
        <v>145</v>
      </c>
      <c r="J11" s="217"/>
      <c r="K11" s="217"/>
      <c r="L11" s="84"/>
      <c r="M11" s="84"/>
      <c r="N11" s="84"/>
      <c r="O11" s="84"/>
      <c r="P11" s="179"/>
    </row>
    <row r="12" spans="1:16">
      <c r="A12" s="143"/>
      <c r="B12" s="725"/>
      <c r="C12" s="725"/>
      <c r="D12" s="725"/>
      <c r="E12" s="725"/>
      <c r="F12" s="83"/>
      <c r="G12" s="84"/>
      <c r="H12" s="84"/>
      <c r="I12" s="84" t="str">
        <f>'PUNJAB 04-22Master'!E16</f>
        <v>Madhava Reddy</v>
      </c>
      <c r="J12" s="84"/>
      <c r="K12" s="84"/>
      <c r="L12" s="84"/>
      <c r="M12" s="84"/>
      <c r="N12" s="84"/>
      <c r="O12" s="84"/>
      <c r="P12" s="179"/>
    </row>
    <row r="13" spans="1:16">
      <c r="A13" s="143"/>
      <c r="B13" s="725"/>
      <c r="C13" s="725"/>
      <c r="D13" s="725"/>
      <c r="E13" s="725"/>
      <c r="G13" s="87"/>
      <c r="H13" s="172"/>
      <c r="I13" s="144" t="s">
        <v>146</v>
      </c>
      <c r="J13" s="87"/>
      <c r="K13" s="87"/>
      <c r="L13" s="172">
        <f>'PUNJAB 04-22Master'!N16</f>
        <v>44454</v>
      </c>
      <c r="M13" s="87"/>
      <c r="N13" s="87"/>
      <c r="O13" s="87"/>
      <c r="P13" s="180"/>
    </row>
    <row r="14" spans="1:16" ht="25.5">
      <c r="A14" s="143"/>
      <c r="B14" s="717" t="s">
        <v>147</v>
      </c>
      <c r="C14" s="717" t="s">
        <v>148</v>
      </c>
      <c r="D14" s="717" t="s">
        <v>149</v>
      </c>
      <c r="E14" s="715" t="s">
        <v>150</v>
      </c>
      <c r="F14" s="715" t="s">
        <v>151</v>
      </c>
      <c r="G14" s="726" t="s">
        <v>152</v>
      </c>
      <c r="H14" s="726" t="s">
        <v>153</v>
      </c>
      <c r="I14" s="726" t="s">
        <v>154</v>
      </c>
      <c r="J14" s="726" t="s">
        <v>155</v>
      </c>
      <c r="K14" s="717" t="s">
        <v>156</v>
      </c>
      <c r="L14" s="717" t="s">
        <v>153</v>
      </c>
      <c r="M14" s="715" t="s">
        <v>150</v>
      </c>
      <c r="N14" s="572" t="s">
        <v>157</v>
      </c>
      <c r="O14" s="717" t="s">
        <v>158</v>
      </c>
      <c r="P14" s="718" t="s">
        <v>159</v>
      </c>
    </row>
    <row r="15" spans="1:16">
      <c r="A15" s="143"/>
      <c r="B15" s="717"/>
      <c r="C15" s="717"/>
      <c r="D15" s="717"/>
      <c r="E15" s="716"/>
      <c r="F15" s="716"/>
      <c r="G15" s="726"/>
      <c r="H15" s="726"/>
      <c r="I15" s="726"/>
      <c r="J15" s="726"/>
      <c r="K15" s="717"/>
      <c r="L15" s="717"/>
      <c r="M15" s="716"/>
      <c r="N15" s="573"/>
      <c r="O15" s="717"/>
      <c r="P15" s="718"/>
    </row>
    <row r="16" spans="1:16">
      <c r="A16" s="143"/>
      <c r="B16" s="96">
        <v>1</v>
      </c>
      <c r="C16" s="96">
        <v>2</v>
      </c>
      <c r="D16" s="96">
        <v>3</v>
      </c>
      <c r="E16" s="96">
        <v>4</v>
      </c>
      <c r="F16" s="96">
        <v>5</v>
      </c>
      <c r="G16" s="96">
        <v>6</v>
      </c>
      <c r="H16" s="96">
        <v>7</v>
      </c>
      <c r="I16" s="96">
        <v>8</v>
      </c>
      <c r="J16" s="96">
        <v>9</v>
      </c>
      <c r="K16" s="96">
        <v>10</v>
      </c>
      <c r="L16" s="96">
        <v>11</v>
      </c>
      <c r="M16" s="96"/>
      <c r="N16" s="96"/>
      <c r="O16" s="96"/>
      <c r="P16" s="181">
        <v>12</v>
      </c>
    </row>
    <row r="17" spans="1:16">
      <c r="A17" s="143"/>
      <c r="B17" s="98"/>
      <c r="C17" s="98"/>
      <c r="D17" s="98"/>
      <c r="E17" s="98"/>
      <c r="F17" s="98"/>
      <c r="G17" s="98"/>
      <c r="H17" s="98"/>
      <c r="I17" s="98"/>
      <c r="J17" s="98"/>
      <c r="K17" s="98"/>
      <c r="L17" s="98"/>
      <c r="M17" s="98"/>
      <c r="N17" s="98"/>
      <c r="O17" s="98"/>
      <c r="P17" s="182"/>
    </row>
    <row r="18" spans="1:16">
      <c r="A18" s="143"/>
      <c r="B18" s="173" t="s">
        <v>456</v>
      </c>
      <c r="C18" s="632">
        <v>44564</v>
      </c>
      <c r="D18" s="632">
        <v>44564</v>
      </c>
      <c r="E18" s="98">
        <v>1</v>
      </c>
      <c r="F18" s="98"/>
      <c r="G18" s="632">
        <v>44564</v>
      </c>
      <c r="H18" s="632">
        <v>44564</v>
      </c>
      <c r="I18" s="98">
        <v>2</v>
      </c>
      <c r="J18" s="98">
        <v>2</v>
      </c>
      <c r="K18" s="98"/>
      <c r="L18" s="98"/>
      <c r="M18" s="98"/>
      <c r="N18" s="98"/>
      <c r="O18" s="98"/>
      <c r="P18" s="182"/>
    </row>
    <row r="19" spans="1:16">
      <c r="A19" s="143"/>
      <c r="B19" s="173" t="s">
        <v>457</v>
      </c>
      <c r="C19" s="632">
        <v>44596</v>
      </c>
      <c r="D19" s="632">
        <v>44596</v>
      </c>
      <c r="E19" s="98">
        <v>1</v>
      </c>
      <c r="F19" s="98"/>
      <c r="G19" s="632">
        <v>44596</v>
      </c>
      <c r="H19" s="632">
        <v>44596</v>
      </c>
      <c r="I19" s="98">
        <v>2</v>
      </c>
      <c r="J19" s="98">
        <f>J18+1.5-E19</f>
        <v>2.5</v>
      </c>
      <c r="K19" s="98"/>
      <c r="L19" s="98"/>
      <c r="M19" s="98"/>
      <c r="N19" s="98"/>
      <c r="O19" s="98"/>
      <c r="P19" s="182"/>
    </row>
    <row r="20" spans="1:16">
      <c r="A20" s="143"/>
      <c r="B20" s="173" t="s">
        <v>459</v>
      </c>
      <c r="C20" s="632">
        <v>44634</v>
      </c>
      <c r="D20" s="632">
        <v>44634</v>
      </c>
      <c r="E20" s="98">
        <v>1</v>
      </c>
      <c r="F20" s="98"/>
      <c r="G20" s="632">
        <v>44634</v>
      </c>
      <c r="H20" s="632">
        <v>44634</v>
      </c>
      <c r="I20" s="98">
        <v>1</v>
      </c>
      <c r="J20" s="98">
        <f>J19+1.5-E20</f>
        <v>3</v>
      </c>
      <c r="K20" s="98"/>
      <c r="L20" s="98"/>
      <c r="M20" s="98"/>
      <c r="N20" s="98"/>
      <c r="O20" s="98"/>
      <c r="P20" s="182"/>
    </row>
    <row r="21" spans="1:16">
      <c r="A21" s="143"/>
      <c r="B21" s="98" t="s">
        <v>458</v>
      </c>
      <c r="C21" s="645">
        <v>44669</v>
      </c>
      <c r="D21" s="645">
        <v>44669</v>
      </c>
      <c r="E21" s="98">
        <v>1</v>
      </c>
      <c r="F21" s="521"/>
      <c r="G21" s="645">
        <v>44669</v>
      </c>
      <c r="H21" s="645">
        <v>44669</v>
      </c>
      <c r="I21" s="98">
        <v>1</v>
      </c>
      <c r="J21" s="98">
        <f>J20+1.5-E21</f>
        <v>3.5</v>
      </c>
      <c r="K21" s="521"/>
      <c r="L21" s="521"/>
      <c r="M21" s="521"/>
      <c r="N21" s="98"/>
      <c r="O21" s="98"/>
      <c r="P21" s="182"/>
    </row>
    <row r="22" spans="1:16" s="17" customFormat="1">
      <c r="A22" s="582"/>
      <c r="B22" s="587"/>
      <c r="C22" s="622"/>
      <c r="D22" s="621"/>
      <c r="E22" s="584"/>
      <c r="F22" s="584"/>
      <c r="G22" s="583"/>
      <c r="H22" s="583"/>
      <c r="I22" s="584"/>
      <c r="J22" s="585"/>
      <c r="K22" s="584"/>
      <c r="L22" s="584"/>
      <c r="M22" s="584"/>
      <c r="N22" s="585"/>
      <c r="O22" s="585"/>
      <c r="P22" s="586"/>
    </row>
    <row r="23" spans="1:16">
      <c r="A23" s="143"/>
      <c r="B23" s="587"/>
      <c r="C23" s="98"/>
      <c r="D23" s="98"/>
      <c r="E23" s="98"/>
      <c r="F23" s="584"/>
      <c r="G23" s="98"/>
      <c r="H23" s="98"/>
      <c r="I23" s="98"/>
      <c r="J23" s="585"/>
      <c r="K23" s="584"/>
      <c r="L23" s="584"/>
      <c r="M23" s="584"/>
      <c r="N23" s="98"/>
      <c r="O23" s="98"/>
      <c r="P23" s="182"/>
    </row>
    <row r="24" spans="1:16">
      <c r="A24" s="143"/>
      <c r="B24" s="587"/>
      <c r="C24" s="98"/>
      <c r="D24" s="98"/>
      <c r="E24" s="98"/>
      <c r="F24" s="584"/>
      <c r="G24" s="98"/>
      <c r="H24" s="98"/>
      <c r="I24" s="98"/>
      <c r="J24" s="585"/>
      <c r="K24" s="584"/>
      <c r="L24" s="584"/>
      <c r="M24" s="584"/>
      <c r="N24" s="98"/>
      <c r="O24" s="98"/>
      <c r="P24" s="182"/>
    </row>
    <row r="25" spans="1:16">
      <c r="A25" s="143"/>
      <c r="B25" s="587"/>
      <c r="C25" s="632"/>
      <c r="D25" s="98"/>
      <c r="E25" s="98"/>
      <c r="F25" s="98"/>
      <c r="G25" s="632"/>
      <c r="H25" s="98"/>
      <c r="I25" s="98"/>
      <c r="J25" s="98"/>
      <c r="K25" s="98"/>
      <c r="L25" s="98"/>
      <c r="M25" s="98"/>
      <c r="N25" s="98"/>
      <c r="O25" s="98"/>
      <c r="P25" s="182"/>
    </row>
    <row r="26" spans="1:16">
      <c r="A26" s="143"/>
      <c r="B26" s="587"/>
      <c r="C26" s="632"/>
      <c r="D26" s="632"/>
      <c r="E26" s="98"/>
      <c r="F26" s="98"/>
      <c r="G26" s="632"/>
      <c r="H26" s="632"/>
      <c r="I26" s="98"/>
      <c r="J26" s="98"/>
      <c r="K26" s="98"/>
      <c r="L26" s="98"/>
      <c r="M26" s="98"/>
      <c r="N26" s="98"/>
      <c r="O26" s="98"/>
      <c r="P26" s="182"/>
    </row>
    <row r="27" spans="1:16">
      <c r="A27" s="143"/>
      <c r="B27" s="98"/>
      <c r="C27" s="632"/>
      <c r="D27" s="632"/>
      <c r="E27" s="98"/>
      <c r="F27" s="521"/>
      <c r="G27" s="632"/>
      <c r="H27" s="632"/>
      <c r="I27" s="98"/>
      <c r="J27" s="98"/>
      <c r="K27" s="521"/>
      <c r="L27" s="521"/>
      <c r="M27" s="521"/>
      <c r="N27" s="98"/>
      <c r="O27" s="98"/>
      <c r="P27" s="182"/>
    </row>
    <row r="28" spans="1:16">
      <c r="A28" s="143"/>
      <c r="B28" s="98"/>
      <c r="C28" s="645"/>
      <c r="D28" s="645"/>
      <c r="E28" s="98"/>
      <c r="F28" s="521"/>
      <c r="G28" s="645"/>
      <c r="H28" s="645"/>
      <c r="I28" s="98"/>
      <c r="J28" s="98"/>
      <c r="K28" s="521"/>
      <c r="L28" s="521"/>
      <c r="M28" s="521"/>
      <c r="N28" s="98"/>
      <c r="O28" s="98"/>
      <c r="P28" s="182"/>
    </row>
    <row r="29" spans="1:16">
      <c r="A29" s="143"/>
      <c r="B29" s="98"/>
      <c r="C29" s="98"/>
      <c r="D29" s="98"/>
      <c r="E29" s="98"/>
      <c r="F29" s="98"/>
      <c r="G29" s="98"/>
      <c r="H29" s="98"/>
      <c r="I29" s="98"/>
      <c r="J29" s="98"/>
      <c r="K29" s="98"/>
      <c r="L29" s="98"/>
      <c r="M29" s="98"/>
      <c r="N29" s="98"/>
      <c r="O29" s="98"/>
      <c r="P29" s="182"/>
    </row>
    <row r="30" spans="1:16">
      <c r="A30" s="143"/>
      <c r="B30" s="98"/>
      <c r="C30" s="98"/>
      <c r="D30" s="98"/>
      <c r="E30" s="98"/>
      <c r="F30" s="98"/>
      <c r="G30" s="98"/>
      <c r="H30" s="98"/>
      <c r="I30" s="98"/>
      <c r="J30" s="98"/>
      <c r="K30" s="98"/>
      <c r="L30" s="98"/>
      <c r="M30" s="98"/>
      <c r="N30" s="98"/>
      <c r="O30" s="98"/>
      <c r="P30" s="182"/>
    </row>
    <row r="31" spans="1:16">
      <c r="A31" s="143"/>
      <c r="B31" s="98"/>
      <c r="C31" s="98"/>
      <c r="D31" s="98"/>
      <c r="E31" s="98"/>
      <c r="F31" s="98"/>
      <c r="G31" s="98"/>
      <c r="H31" s="98"/>
      <c r="I31" s="98"/>
      <c r="J31" s="98"/>
      <c r="K31" s="98"/>
      <c r="L31" s="98"/>
      <c r="M31" s="98"/>
      <c r="N31" s="98"/>
      <c r="O31" s="98"/>
      <c r="P31" s="182"/>
    </row>
    <row r="32" spans="1:16">
      <c r="A32" s="143"/>
      <c r="B32" s="98"/>
      <c r="C32" s="98"/>
      <c r="D32" s="98"/>
      <c r="E32" s="98"/>
      <c r="F32" s="98"/>
      <c r="G32" s="98"/>
      <c r="H32" s="98"/>
      <c r="I32" s="98"/>
      <c r="J32" s="98"/>
      <c r="K32" s="98"/>
      <c r="L32" s="98"/>
      <c r="M32" s="98"/>
      <c r="N32" s="98"/>
      <c r="O32" s="98"/>
      <c r="P32" s="182"/>
    </row>
    <row r="33" spans="1:16">
      <c r="A33" s="143"/>
      <c r="B33" s="98"/>
      <c r="C33" s="98"/>
      <c r="D33" s="98"/>
      <c r="E33" s="98"/>
      <c r="F33" s="98"/>
      <c r="G33" s="98"/>
      <c r="H33" s="98"/>
      <c r="I33" s="98"/>
      <c r="J33" s="98"/>
      <c r="K33" s="98"/>
      <c r="L33" s="98"/>
      <c r="M33" s="98"/>
      <c r="N33" s="98"/>
      <c r="O33" s="98"/>
      <c r="P33" s="182"/>
    </row>
    <row r="34" spans="1:16">
      <c r="A34" s="143"/>
      <c r="B34" s="98"/>
      <c r="C34" s="98"/>
      <c r="D34" s="98"/>
      <c r="E34" s="98"/>
      <c r="F34" s="98"/>
      <c r="G34" s="98"/>
      <c r="H34" s="98"/>
      <c r="I34" s="98"/>
      <c r="J34" s="98"/>
      <c r="K34" s="98"/>
      <c r="L34" s="98"/>
      <c r="M34" s="98"/>
      <c r="N34" s="98"/>
      <c r="O34" s="98"/>
      <c r="P34" s="182"/>
    </row>
    <row r="35" spans="1:16">
      <c r="A35" s="143"/>
      <c r="B35" s="98"/>
      <c r="C35" s="98"/>
      <c r="D35" s="98"/>
      <c r="E35" s="98"/>
      <c r="F35" s="98"/>
      <c r="G35" s="98"/>
      <c r="H35" s="98"/>
      <c r="I35" s="98"/>
      <c r="J35" s="98"/>
      <c r="K35" s="98"/>
      <c r="L35" s="98"/>
      <c r="M35" s="98"/>
      <c r="N35" s="98"/>
      <c r="O35" s="98"/>
      <c r="P35" s="182"/>
    </row>
    <row r="36" spans="1:16">
      <c r="A36" s="143"/>
      <c r="B36" s="98"/>
      <c r="C36" s="98"/>
      <c r="D36" s="98"/>
      <c r="E36" s="98"/>
      <c r="F36" s="98"/>
      <c r="G36" s="98"/>
      <c r="H36" s="98"/>
      <c r="I36" s="98"/>
      <c r="J36" s="98"/>
      <c r="K36" s="98"/>
      <c r="L36" s="98"/>
      <c r="M36" s="98"/>
      <c r="N36" s="98"/>
      <c r="O36" s="98"/>
      <c r="P36" s="182"/>
    </row>
    <row r="37" spans="1:16">
      <c r="A37" s="143"/>
      <c r="B37" s="98"/>
      <c r="C37" s="98"/>
      <c r="D37" s="98"/>
      <c r="E37" s="98"/>
      <c r="F37" s="98"/>
      <c r="G37" s="98"/>
      <c r="H37" s="98"/>
      <c r="I37" s="98"/>
      <c r="J37" s="98"/>
      <c r="K37" s="98"/>
      <c r="L37" s="98"/>
      <c r="M37" s="98"/>
      <c r="N37" s="98"/>
      <c r="O37" s="98"/>
      <c r="P37" s="182"/>
    </row>
    <row r="38" spans="1:16">
      <c r="A38" s="143"/>
      <c r="B38" s="98"/>
      <c r="C38" s="98"/>
      <c r="D38" s="98"/>
      <c r="E38" s="98"/>
      <c r="F38" s="98"/>
      <c r="G38" s="98"/>
      <c r="H38" s="98"/>
      <c r="I38" s="98"/>
      <c r="J38" s="98"/>
      <c r="K38" s="98"/>
      <c r="L38" s="98"/>
      <c r="M38" s="98"/>
      <c r="N38" s="98"/>
      <c r="O38" s="98"/>
      <c r="P38" s="182"/>
    </row>
    <row r="39" spans="1:16">
      <c r="A39" s="143"/>
      <c r="B39" s="98"/>
      <c r="C39" s="98"/>
      <c r="D39" s="98"/>
      <c r="E39" s="98"/>
      <c r="F39" s="98"/>
      <c r="G39" s="98"/>
      <c r="H39" s="98"/>
      <c r="I39" s="98"/>
      <c r="J39" s="98"/>
      <c r="K39" s="98"/>
      <c r="L39" s="98"/>
      <c r="M39" s="98"/>
      <c r="N39" s="98"/>
      <c r="O39" s="98"/>
      <c r="P39" s="182"/>
    </row>
    <row r="40" spans="1:16">
      <c r="A40" s="143"/>
      <c r="B40" s="98"/>
      <c r="C40" s="98"/>
      <c r="D40" s="98"/>
      <c r="E40" s="98"/>
      <c r="F40" s="98"/>
      <c r="G40" s="98"/>
      <c r="H40" s="98"/>
      <c r="I40" s="98"/>
      <c r="J40" s="98"/>
      <c r="K40" s="98"/>
      <c r="L40" s="98"/>
      <c r="M40" s="98"/>
      <c r="N40" s="98"/>
      <c r="O40" s="98"/>
      <c r="P40" s="182"/>
    </row>
    <row r="41" spans="1:16">
      <c r="A41" s="62"/>
      <c r="B41" s="47"/>
      <c r="C41" s="47"/>
      <c r="D41" s="47"/>
      <c r="E41" s="47"/>
      <c r="F41" s="47"/>
      <c r="G41" s="47"/>
      <c r="H41" s="47"/>
      <c r="I41" s="47"/>
      <c r="J41" s="47"/>
      <c r="K41" s="47"/>
      <c r="L41" s="47"/>
      <c r="M41" s="47"/>
      <c r="N41" s="47"/>
      <c r="O41" s="47"/>
      <c r="P41" s="63"/>
    </row>
    <row r="42" spans="1:16" ht="15.75" thickBot="1">
      <c r="A42" s="76"/>
      <c r="B42" s="74"/>
      <c r="C42" s="74"/>
      <c r="D42" s="74"/>
      <c r="E42" s="74"/>
      <c r="F42" s="74"/>
      <c r="G42" s="74"/>
      <c r="H42" s="74"/>
      <c r="I42" s="74"/>
      <c r="J42" s="74" t="s">
        <v>38</v>
      </c>
      <c r="K42" s="74"/>
      <c r="L42" s="74"/>
      <c r="M42" s="74"/>
      <c r="N42" s="74"/>
      <c r="O42" s="74"/>
      <c r="P42" s="75"/>
    </row>
  </sheetData>
  <protectedRanges>
    <protectedRange password="CA4D" sqref="F7 B7:D9 E8:E9" name="Range1_2"/>
    <protectedRange password="CA4D" sqref="J7:P9 I8 G7:I7 F8:G9 H9:I9" name="Range1_4"/>
    <protectedRange password="CA4D" sqref="F12 I11 J10:P13 H10:I10 G10:G13 F10 H12:I13" name="Range1_5"/>
    <protectedRange password="CA4D" sqref="B10:E13" name="Range1_6"/>
  </protectedRanges>
  <mergeCells count="17">
    <mergeCell ref="L14:L15"/>
    <mergeCell ref="M14:M15"/>
    <mergeCell ref="O14:O15"/>
    <mergeCell ref="P14:P15"/>
    <mergeCell ref="B4:P5"/>
    <mergeCell ref="B6:P6"/>
    <mergeCell ref="B10:E13"/>
    <mergeCell ref="B14:B15"/>
    <mergeCell ref="C14:C15"/>
    <mergeCell ref="D14:D15"/>
    <mergeCell ref="E14:E15"/>
    <mergeCell ref="F14:F15"/>
    <mergeCell ref="G14:G15"/>
    <mergeCell ref="H14:H15"/>
    <mergeCell ref="I14:I15"/>
    <mergeCell ref="J14:J15"/>
    <mergeCell ref="K14:K15"/>
  </mergeCells>
  <pageMargins left="0.70866141732283472" right="0.70866141732283472" top="0.74803149606299213" bottom="0.74803149606299213" header="0.31496062992125984" footer="0.31496062992125984"/>
  <pageSetup scale="7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JI26"/>
  <sheetViews>
    <sheetView topLeftCell="Y13" workbookViewId="0">
      <selection activeCell="AB15" sqref="AB15"/>
    </sheetView>
  </sheetViews>
  <sheetFormatPr defaultRowHeight="15.75"/>
  <cols>
    <col min="1" max="1" width="5.140625" style="9" customWidth="1"/>
    <col min="2" max="2" width="31.7109375" customWidth="1"/>
    <col min="3" max="3" width="10.5703125" customWidth="1"/>
    <col min="4" max="4" width="23" customWidth="1"/>
    <col min="5" max="5" width="8.28515625" customWidth="1"/>
    <col min="6" max="6" width="7.5703125" customWidth="1"/>
    <col min="7" max="7" width="11" style="2" customWidth="1"/>
    <col min="8" max="8" width="13.5703125" bestFit="1" customWidth="1"/>
    <col min="9" max="9" width="8.7109375" customWidth="1"/>
    <col min="10" max="10" width="5.5703125" customWidth="1"/>
    <col min="11" max="11" width="14.85546875" bestFit="1" customWidth="1"/>
    <col min="12" max="12" width="13.5703125" bestFit="1" customWidth="1"/>
    <col min="13" max="14" width="11.7109375" bestFit="1" customWidth="1"/>
    <col min="15" max="15" width="13.5703125" bestFit="1" customWidth="1"/>
    <col min="16" max="16" width="15.28515625" bestFit="1" customWidth="1"/>
    <col min="17" max="18" width="11.42578125" customWidth="1"/>
    <col min="19" max="19" width="11.7109375" customWidth="1"/>
    <col min="20" max="20" width="13.42578125" customWidth="1"/>
    <col min="21" max="21" width="15.5703125" bestFit="1" customWidth="1"/>
    <col min="22" max="22" width="7.5703125" style="9" customWidth="1"/>
    <col min="23" max="23" width="11.7109375" style="9" bestFit="1" customWidth="1"/>
    <col min="24" max="24" width="10.85546875" style="9" customWidth="1"/>
    <col min="25" max="25" width="13.140625" style="9" customWidth="1"/>
    <col min="26" max="26" width="8.7109375" style="9" customWidth="1"/>
    <col min="27" max="27" width="13.28515625" style="9" customWidth="1"/>
    <col min="28" max="28" width="11.140625" customWidth="1"/>
    <col min="29" max="29" width="12" customWidth="1"/>
    <col min="30" max="30" width="9.7109375" customWidth="1"/>
    <col min="31" max="31" width="32.85546875" bestFit="1" customWidth="1"/>
    <col min="32" max="32" width="11.7109375" customWidth="1"/>
  </cols>
  <sheetData>
    <row r="3" spans="1:36" ht="43.5" customHeight="1">
      <c r="A3" s="702" t="s">
        <v>425</v>
      </c>
      <c r="B3" s="727"/>
      <c r="C3" s="727"/>
      <c r="D3" s="727"/>
      <c r="E3" s="727"/>
      <c r="F3" s="727"/>
      <c r="G3" s="727"/>
      <c r="H3" s="727"/>
      <c r="I3" s="727"/>
      <c r="J3" s="727"/>
      <c r="K3" s="727"/>
      <c r="L3" s="727"/>
      <c r="M3" s="727"/>
      <c r="N3" s="727"/>
      <c r="O3" s="727"/>
      <c r="P3" s="727"/>
      <c r="Q3" s="727"/>
      <c r="R3" s="727"/>
      <c r="S3" s="727"/>
      <c r="T3" s="727"/>
      <c r="U3" s="727"/>
      <c r="V3" s="727"/>
      <c r="W3" s="727"/>
      <c r="X3" s="727"/>
      <c r="Y3" s="727"/>
      <c r="Z3" s="727"/>
      <c r="AA3" s="727"/>
      <c r="AB3" s="727"/>
      <c r="AC3" s="727"/>
      <c r="AD3" s="727"/>
      <c r="AE3" s="727"/>
      <c r="AF3" s="727"/>
    </row>
    <row r="5" spans="1:36" ht="43.5" customHeight="1">
      <c r="A5" s="703" t="s">
        <v>0</v>
      </c>
      <c r="B5" s="703"/>
      <c r="C5" s="703"/>
      <c r="D5" s="1" t="str">
        <f>'PUNJAB 04-22Master'!F5</f>
        <v>Burgeon IT Services Pvt.Ltd.</v>
      </c>
      <c r="P5" s="58"/>
      <c r="Q5" s="58"/>
      <c r="R5" s="58"/>
      <c r="S5" s="58"/>
      <c r="U5" s="58" t="s">
        <v>1</v>
      </c>
      <c r="V5" s="58"/>
      <c r="W5" s="58"/>
      <c r="X5" s="58"/>
      <c r="Y5" s="58"/>
      <c r="AA5" s="3" t="str">
        <f>'PUNJAB 04-22Master'!AO5</f>
        <v>Burgeon IT Services Pvt.Ltd.</v>
      </c>
      <c r="AB5" s="4"/>
      <c r="AC5" s="4"/>
      <c r="AD5" s="4"/>
      <c r="AE5" s="4"/>
      <c r="AF5" s="4"/>
      <c r="AG5" s="5"/>
      <c r="AH5" s="5"/>
      <c r="AI5" s="5"/>
      <c r="AJ5" s="5"/>
    </row>
    <row r="6" spans="1:36" ht="20.45" customHeight="1">
      <c r="A6" s="6"/>
      <c r="D6" s="7" t="str">
        <f>'PUNJAB 04-22Master'!F6</f>
        <v>Siri Mansion LIGB 436 Dr.A S Rao Nagar,Hyderabad</v>
      </c>
      <c r="K6" s="8"/>
      <c r="L6" s="8"/>
      <c r="M6" s="8"/>
      <c r="N6" s="8"/>
      <c r="O6" s="8"/>
      <c r="P6" s="8"/>
      <c r="Q6" s="8"/>
      <c r="R6" s="8"/>
      <c r="S6" s="8"/>
      <c r="T6" s="8"/>
      <c r="U6" s="8"/>
      <c r="Y6"/>
      <c r="AA6" s="7" t="str">
        <f>'PUNJAB 04-22Master'!AO6</f>
        <v>Siri Mansion LIGB 436 Dr.A S Rao Nagar,Hyderabad</v>
      </c>
      <c r="AB6" s="10"/>
      <c r="AC6" s="10"/>
      <c r="AD6" s="10"/>
      <c r="AE6" s="10"/>
      <c r="AF6" s="10"/>
      <c r="AG6" s="10"/>
      <c r="AH6" s="10"/>
      <c r="AI6" s="10"/>
      <c r="AJ6" s="10"/>
    </row>
    <row r="7" spans="1:36">
      <c r="A7" s="703" t="s">
        <v>2</v>
      </c>
      <c r="B7" s="703"/>
      <c r="C7" s="703"/>
      <c r="D7" s="11" t="str">
        <f>'PUNJAB 04-22Master'!F8</f>
        <v>IT SUPPORTIVE SERVICES&amp;Chandigarh</v>
      </c>
      <c r="K7" s="8"/>
      <c r="L7" s="8"/>
      <c r="M7" s="8"/>
      <c r="N7" s="8"/>
      <c r="O7" s="8"/>
      <c r="P7" s="8"/>
      <c r="Q7" s="8"/>
      <c r="R7" s="8"/>
      <c r="S7" s="8"/>
      <c r="T7" s="8"/>
      <c r="U7" s="8"/>
      <c r="X7" s="12"/>
      <c r="Y7" s="12"/>
      <c r="Z7" s="12"/>
      <c r="AA7" s="12"/>
      <c r="AB7" s="12"/>
      <c r="AC7" s="12"/>
      <c r="AD7" s="12"/>
      <c r="AE7" s="12"/>
      <c r="AF7" s="12"/>
      <c r="AG7" s="12"/>
      <c r="AH7" s="12"/>
      <c r="AI7" s="12"/>
      <c r="AJ7" s="12"/>
    </row>
    <row r="8" spans="1:36">
      <c r="A8" s="6"/>
      <c r="K8" s="8"/>
      <c r="L8" s="8"/>
      <c r="M8" s="8"/>
      <c r="N8" s="8"/>
      <c r="O8" s="8"/>
      <c r="P8" s="8"/>
      <c r="Q8" s="8"/>
      <c r="R8" s="8"/>
      <c r="S8" s="8"/>
      <c r="T8" s="8"/>
      <c r="U8" s="8"/>
      <c r="X8" s="728"/>
      <c r="Y8" s="728"/>
      <c r="Z8" s="728"/>
      <c r="AA8" s="728"/>
      <c r="AB8" s="728"/>
      <c r="AC8" s="728"/>
      <c r="AD8" s="728"/>
      <c r="AE8" s="728"/>
      <c r="AF8" s="728"/>
    </row>
    <row r="9" spans="1:36" ht="15" customHeight="1">
      <c r="A9" s="703" t="s">
        <v>3</v>
      </c>
      <c r="B9" s="703"/>
      <c r="C9" s="703"/>
      <c r="D9" s="13">
        <f>'PUNJAB 04-22Master'!D10</f>
        <v>44652</v>
      </c>
      <c r="K9" s="14"/>
      <c r="L9" s="14"/>
      <c r="M9" s="14"/>
      <c r="N9" s="14"/>
      <c r="O9" s="14"/>
      <c r="P9" s="6"/>
      <c r="Q9" s="6"/>
      <c r="R9" s="6"/>
      <c r="S9" s="6"/>
      <c r="V9" s="14" t="s">
        <v>4</v>
      </c>
      <c r="Y9" s="4"/>
      <c r="AA9" s="14" t="str">
        <f>'PUNJAB 04-22Master'!AO10</f>
        <v xml:space="preserve">INFOSYS  LTD.IL </v>
      </c>
      <c r="AB9" s="4"/>
      <c r="AC9" s="4"/>
      <c r="AD9" s="4"/>
      <c r="AE9" s="5"/>
      <c r="AF9" s="5"/>
      <c r="AG9" s="5"/>
      <c r="AH9" s="5"/>
    </row>
    <row r="10" spans="1:36" ht="17.45" customHeight="1">
      <c r="Y10" s="16"/>
      <c r="AA10" s="15" t="str">
        <f>'PUNJAB APRIL 22-WMn Reg'!O8</f>
        <v>IL Chandigarh SEZ Unit - I Rajiv Gandhi Chandigarh tech Park, Kishangarh, Chandigarh-160101</v>
      </c>
      <c r="AB10" s="10"/>
      <c r="AC10" s="10"/>
      <c r="AD10" s="10"/>
      <c r="AE10" s="10"/>
      <c r="AF10" s="10"/>
      <c r="AG10" s="10"/>
      <c r="AH10" s="10"/>
    </row>
    <row r="11" spans="1:36">
      <c r="C11" s="17"/>
      <c r="N11" s="220"/>
    </row>
    <row r="12" spans="1:36" ht="16.5" thickBot="1"/>
    <row r="13" spans="1:36" s="21" customFormat="1" ht="36.6" customHeight="1">
      <c r="A13" s="706" t="s">
        <v>5</v>
      </c>
      <c r="B13" s="729" t="s">
        <v>6</v>
      </c>
      <c r="C13" s="729" t="s">
        <v>7</v>
      </c>
      <c r="D13" s="729" t="s">
        <v>8</v>
      </c>
      <c r="E13" s="729" t="s">
        <v>9</v>
      </c>
      <c r="F13" s="729" t="s">
        <v>10</v>
      </c>
      <c r="G13" s="734" t="s">
        <v>184</v>
      </c>
      <c r="H13" s="729" t="s">
        <v>11</v>
      </c>
      <c r="I13" s="729" t="s">
        <v>12</v>
      </c>
      <c r="J13" s="729" t="s">
        <v>13</v>
      </c>
      <c r="K13" s="736" t="s">
        <v>14</v>
      </c>
      <c r="L13" s="18" t="s">
        <v>15</v>
      </c>
      <c r="M13" s="18" t="s">
        <v>16</v>
      </c>
      <c r="N13" s="18" t="s">
        <v>17</v>
      </c>
      <c r="O13" s="18" t="s">
        <v>18</v>
      </c>
      <c r="P13" s="738" t="s">
        <v>19</v>
      </c>
      <c r="Q13" s="19" t="s">
        <v>20</v>
      </c>
      <c r="R13" s="19" t="s">
        <v>21</v>
      </c>
      <c r="S13" s="19" t="s">
        <v>22</v>
      </c>
      <c r="T13" s="19" t="s">
        <v>23</v>
      </c>
      <c r="U13" s="19" t="s">
        <v>24</v>
      </c>
      <c r="V13" s="739" t="s">
        <v>25</v>
      </c>
      <c r="W13" s="740"/>
      <c r="X13" s="740"/>
      <c r="Y13" s="740"/>
      <c r="Z13" s="740"/>
      <c r="AA13" s="741"/>
      <c r="AB13" s="729" t="s">
        <v>26</v>
      </c>
      <c r="AC13" s="729" t="s">
        <v>27</v>
      </c>
      <c r="AD13" s="20" t="s">
        <v>28</v>
      </c>
      <c r="AE13" s="729" t="s">
        <v>29</v>
      </c>
      <c r="AF13" s="732" t="s">
        <v>30</v>
      </c>
    </row>
    <row r="14" spans="1:36" ht="47.25" customHeight="1">
      <c r="A14" s="707"/>
      <c r="B14" s="730"/>
      <c r="C14" s="731"/>
      <c r="D14" s="731"/>
      <c r="E14" s="731"/>
      <c r="F14" s="731"/>
      <c r="G14" s="735"/>
      <c r="H14" s="731"/>
      <c r="I14" s="731"/>
      <c r="J14" s="731"/>
      <c r="K14" s="737"/>
      <c r="L14" s="22"/>
      <c r="M14" s="22"/>
      <c r="N14" s="22"/>
      <c r="O14" s="22"/>
      <c r="P14" s="730"/>
      <c r="Q14" s="23"/>
      <c r="R14" s="23"/>
      <c r="S14" s="23"/>
      <c r="T14" s="23"/>
      <c r="U14" s="23"/>
      <c r="V14" s="24" t="s">
        <v>31</v>
      </c>
      <c r="W14" s="24" t="s">
        <v>32</v>
      </c>
      <c r="X14" s="24" t="s">
        <v>33</v>
      </c>
      <c r="Y14" s="24" t="s">
        <v>34</v>
      </c>
      <c r="Z14" s="24" t="s">
        <v>35</v>
      </c>
      <c r="AA14" s="25" t="s">
        <v>36</v>
      </c>
      <c r="AB14" s="731"/>
      <c r="AC14" s="731"/>
      <c r="AD14" s="26"/>
      <c r="AE14" s="731"/>
      <c r="AF14" s="733"/>
    </row>
    <row r="15" spans="1:36" ht="25.15" customHeight="1">
      <c r="A15" s="27">
        <v>1</v>
      </c>
      <c r="B15" s="215" t="str">
        <f>'PUNJAB 04-22Master'!U16</f>
        <v>Gopi reddy chirra</v>
      </c>
      <c r="C15" s="624">
        <f>'PUNJAB 04-22Master'!A16</f>
        <v>2</v>
      </c>
      <c r="D15" s="623" t="str">
        <f>'PUNJAB 04-22Master'!F16</f>
        <v>Technical Consultant</v>
      </c>
      <c r="E15" s="54">
        <f>'PUNJAB 04-22Master'!V16</f>
        <v>30</v>
      </c>
      <c r="F15" s="31">
        <f>'PUNJAB 04-22Master'!W16</f>
        <v>0</v>
      </c>
      <c r="G15" s="31">
        <f>'PUNJAB 04-22Master'!X16</f>
        <v>58032</v>
      </c>
      <c r="H15" s="55">
        <f>'PUNJAB 04-22Master'!Y16</f>
        <v>34819</v>
      </c>
      <c r="I15" s="33">
        <f>'PUNJAB 04-22Master'!Z16</f>
        <v>0</v>
      </c>
      <c r="J15" s="33">
        <f>'PUNJAB 04-22Master'!AA16</f>
        <v>0</v>
      </c>
      <c r="K15" s="32">
        <f t="shared" ref="K15" si="0">L15+M15+N15+O15</f>
        <v>23325.68</v>
      </c>
      <c r="L15" s="32">
        <f>'PUNJAB 04-22Master'!AC16</f>
        <v>13927.68</v>
      </c>
      <c r="M15" s="32">
        <f>'PUNJAB 04-22Master'!AD16</f>
        <v>2083</v>
      </c>
      <c r="N15" s="32">
        <f>'PUNJAB 04-22Master'!AE16</f>
        <v>2083</v>
      </c>
      <c r="O15" s="32">
        <f>'PUNJAB 04-22Master'!AF16</f>
        <v>5232</v>
      </c>
      <c r="P15" s="32">
        <f t="shared" ref="P15" si="1">H15+K15</f>
        <v>58144.68</v>
      </c>
      <c r="Q15" s="27">
        <f>'PUNJAB 04-22Master'!AH16</f>
        <v>1554.6089999999999</v>
      </c>
      <c r="R15" s="27">
        <f>'PUNJAB 04-22Master'!AI16</f>
        <v>1674.8035199999999</v>
      </c>
      <c r="S15" s="27">
        <f>'PUNJAB 04-22Master'!AJ16</f>
        <v>2901.6</v>
      </c>
      <c r="T15" s="32">
        <f>'PUNJAB 04-22Master'!AK16</f>
        <v>0</v>
      </c>
      <c r="U15" s="32">
        <f t="shared" ref="U15" si="2">P15+Q15+R15+S15+T15</f>
        <v>64275.692519999997</v>
      </c>
      <c r="V15" s="55">
        <f>'PUNJAB 04-22Master'!AM16</f>
        <v>0</v>
      </c>
      <c r="W15" s="32">
        <f>'PUNJAB 04-22Master'!AN16</f>
        <v>1800</v>
      </c>
      <c r="X15" s="32">
        <f>'PUNJAB 04-22Master'!AO16</f>
        <v>200</v>
      </c>
      <c r="Y15" s="32">
        <f>'PUNJAB 04-22Master'!AP16</f>
        <v>0</v>
      </c>
      <c r="Z15" s="32">
        <f>'PUNJAB 04-22Master'!AQ16</f>
        <v>224</v>
      </c>
      <c r="AA15" s="32">
        <f t="shared" ref="AA15" si="3">V15+W15+X15+Y15+Z15</f>
        <v>2224</v>
      </c>
      <c r="AB15" s="625">
        <f>'PUNJAB 04-22Master'!AS16</f>
        <v>62051.692519999997</v>
      </c>
      <c r="AC15" s="626">
        <f>'PUNJAB 04-22Master'!AT16</f>
        <v>44686</v>
      </c>
      <c r="AD15" s="29" t="str">
        <f>'PUNJAB 04-22Master'!AU16</f>
        <v>ICICI Bank</v>
      </c>
      <c r="AE15" s="32" t="str">
        <f>'PUNJAB 04-22Master'!AV16</f>
        <v>A/C No.285201500195</v>
      </c>
      <c r="AF15" s="35"/>
    </row>
    <row r="16" spans="1:36" ht="25.15" customHeight="1">
      <c r="A16" s="27"/>
      <c r="B16" s="215"/>
      <c r="C16" s="61"/>
      <c r="D16" s="53"/>
      <c r="E16" s="54"/>
      <c r="F16" s="31"/>
      <c r="G16" s="31"/>
      <c r="H16" s="55"/>
      <c r="I16" s="33"/>
      <c r="J16" s="33"/>
      <c r="K16" s="32"/>
      <c r="L16" s="32"/>
      <c r="M16" s="32"/>
      <c r="N16" s="32"/>
      <c r="O16" s="32"/>
      <c r="P16" s="32"/>
      <c r="Q16" s="27"/>
      <c r="R16" s="27"/>
      <c r="S16" s="27"/>
      <c r="T16" s="32"/>
      <c r="U16" s="32"/>
      <c r="V16" s="55"/>
      <c r="W16" s="32"/>
      <c r="X16" s="32"/>
      <c r="Y16" s="32"/>
      <c r="Z16" s="32"/>
      <c r="AA16" s="32"/>
      <c r="AB16" s="32"/>
      <c r="AC16" s="493"/>
      <c r="AD16" s="29"/>
      <c r="AE16" s="34"/>
      <c r="AF16" s="35"/>
    </row>
    <row r="17" spans="1:269" ht="25.15" customHeight="1">
      <c r="A17" s="27"/>
      <c r="B17" s="215"/>
      <c r="C17" s="61"/>
      <c r="D17" s="53"/>
      <c r="E17" s="54"/>
      <c r="F17" s="31"/>
      <c r="G17" s="31"/>
      <c r="H17" s="55"/>
      <c r="I17" s="33"/>
      <c r="J17" s="33"/>
      <c r="K17" s="32"/>
      <c r="L17" s="32"/>
      <c r="M17" s="32"/>
      <c r="N17" s="32"/>
      <c r="O17" s="32"/>
      <c r="P17" s="32"/>
      <c r="Q17" s="27"/>
      <c r="R17" s="27"/>
      <c r="S17" s="27"/>
      <c r="T17" s="32"/>
      <c r="U17" s="32"/>
      <c r="V17" s="55"/>
      <c r="W17" s="32"/>
      <c r="X17" s="32"/>
      <c r="Y17" s="32"/>
      <c r="Z17" s="32"/>
      <c r="AA17" s="32"/>
      <c r="AB17" s="32"/>
      <c r="AC17" s="493"/>
      <c r="AD17" s="29"/>
      <c r="AE17" s="34"/>
      <c r="AF17" s="35"/>
    </row>
    <row r="18" spans="1:269" ht="25.15" customHeight="1">
      <c r="A18" s="27"/>
      <c r="B18" s="215"/>
      <c r="C18" s="61"/>
      <c r="D18" s="53"/>
      <c r="E18" s="54"/>
      <c r="F18" s="31"/>
      <c r="G18" s="31"/>
      <c r="H18" s="55"/>
      <c r="I18" s="33"/>
      <c r="J18" s="33"/>
      <c r="K18" s="32"/>
      <c r="L18" s="32"/>
      <c r="M18" s="32"/>
      <c r="N18" s="32"/>
      <c r="O18" s="32"/>
      <c r="P18" s="32"/>
      <c r="Q18" s="27"/>
      <c r="R18" s="27"/>
      <c r="S18" s="27"/>
      <c r="T18" s="32"/>
      <c r="U18" s="32"/>
      <c r="V18" s="55"/>
      <c r="W18" s="32"/>
      <c r="X18" s="32"/>
      <c r="Y18" s="32"/>
      <c r="Z18" s="32"/>
      <c r="AA18" s="32"/>
      <c r="AB18" s="32"/>
      <c r="AC18" s="29"/>
      <c r="AD18" s="29"/>
      <c r="AE18" s="34"/>
      <c r="AF18" s="36"/>
    </row>
    <row r="19" spans="1:269" ht="25.15" customHeight="1">
      <c r="A19" s="27"/>
      <c r="B19" s="215"/>
      <c r="C19" s="61"/>
      <c r="D19" s="53"/>
      <c r="E19" s="54"/>
      <c r="F19" s="31"/>
      <c r="G19" s="31"/>
      <c r="H19" s="55"/>
      <c r="I19" s="33"/>
      <c r="J19" s="33"/>
      <c r="K19" s="32"/>
      <c r="L19" s="32"/>
      <c r="M19" s="32"/>
      <c r="N19" s="32"/>
      <c r="O19" s="32"/>
      <c r="P19" s="32"/>
      <c r="Q19" s="27"/>
      <c r="R19" s="27"/>
      <c r="S19" s="27"/>
      <c r="T19" s="32"/>
      <c r="U19" s="32"/>
      <c r="V19" s="55"/>
      <c r="W19" s="32"/>
      <c r="X19" s="32"/>
      <c r="Y19" s="32"/>
      <c r="Z19" s="32"/>
      <c r="AA19" s="32"/>
      <c r="AB19" s="32"/>
      <c r="AC19" s="29"/>
      <c r="AD19" s="29"/>
      <c r="AE19" s="34"/>
      <c r="AF19" s="37"/>
    </row>
    <row r="20" spans="1:269" ht="25.15" customHeight="1">
      <c r="A20" s="27"/>
      <c r="B20" s="215"/>
      <c r="C20" s="61"/>
      <c r="D20" s="53"/>
      <c r="E20" s="54"/>
      <c r="F20" s="31"/>
      <c r="G20" s="31"/>
      <c r="H20" s="55"/>
      <c r="I20" s="33"/>
      <c r="J20" s="33"/>
      <c r="K20" s="32"/>
      <c r="L20" s="32"/>
      <c r="M20" s="32"/>
      <c r="N20" s="32"/>
      <c r="O20" s="32"/>
      <c r="P20" s="32"/>
      <c r="Q20" s="27"/>
      <c r="R20" s="27"/>
      <c r="S20" s="27"/>
      <c r="T20" s="32"/>
      <c r="U20" s="32"/>
      <c r="V20" s="55"/>
      <c r="W20" s="32"/>
      <c r="X20" s="32"/>
      <c r="Y20" s="32"/>
      <c r="Z20" s="32"/>
      <c r="AA20" s="32"/>
      <c r="AB20" s="32"/>
      <c r="AC20" s="29"/>
      <c r="AD20" s="29"/>
      <c r="AE20" s="34"/>
      <c r="AF20" s="37"/>
    </row>
    <row r="21" spans="1:269" ht="25.15" customHeight="1">
      <c r="A21" s="27"/>
      <c r="B21" s="215"/>
      <c r="C21" s="61"/>
      <c r="D21" s="53"/>
      <c r="E21" s="54"/>
      <c r="F21" s="31"/>
      <c r="G21" s="31"/>
      <c r="H21" s="55"/>
      <c r="I21" s="33"/>
      <c r="J21" s="33"/>
      <c r="K21" s="32"/>
      <c r="L21" s="32"/>
      <c r="M21" s="32"/>
      <c r="N21" s="32"/>
      <c r="O21" s="32"/>
      <c r="P21" s="32"/>
      <c r="Q21" s="27"/>
      <c r="R21" s="27"/>
      <c r="S21" s="27"/>
      <c r="T21" s="32"/>
      <c r="U21" s="32"/>
      <c r="V21" s="55"/>
      <c r="W21" s="32"/>
      <c r="X21" s="32"/>
      <c r="Y21" s="32"/>
      <c r="Z21" s="32"/>
      <c r="AA21" s="32"/>
      <c r="AB21" s="32"/>
      <c r="AC21" s="29"/>
      <c r="AD21" s="29"/>
      <c r="AE21" s="34"/>
      <c r="AF21" s="38"/>
    </row>
    <row r="22" spans="1:269" ht="25.15" customHeight="1">
      <c r="A22" s="27"/>
      <c r="B22" s="215"/>
      <c r="C22" s="61"/>
      <c r="D22" s="53"/>
      <c r="E22" s="54"/>
      <c r="F22" s="31"/>
      <c r="G22" s="31"/>
      <c r="H22" s="55"/>
      <c r="I22" s="33"/>
      <c r="J22" s="33"/>
      <c r="K22" s="32"/>
      <c r="L22" s="32"/>
      <c r="M22" s="32"/>
      <c r="N22" s="32"/>
      <c r="O22" s="32"/>
      <c r="P22" s="32"/>
      <c r="Q22" s="27"/>
      <c r="R22" s="27"/>
      <c r="S22" s="27"/>
      <c r="T22" s="32"/>
      <c r="U22" s="32"/>
      <c r="V22" s="55"/>
      <c r="W22" s="32"/>
      <c r="X22" s="32"/>
      <c r="Y22" s="32"/>
      <c r="Z22" s="32"/>
      <c r="AA22" s="32"/>
      <c r="AB22" s="32"/>
      <c r="AC22" s="29"/>
      <c r="AD22" s="29"/>
      <c r="AE22" s="34"/>
      <c r="AF22" s="38"/>
    </row>
    <row r="23" spans="1:269" ht="19.5" customHeight="1">
      <c r="A23" s="27"/>
      <c r="B23" s="215"/>
      <c r="C23" s="61"/>
      <c r="D23" s="53"/>
      <c r="E23" s="54"/>
      <c r="F23" s="31"/>
      <c r="G23" s="31"/>
      <c r="H23" s="55"/>
      <c r="I23" s="33"/>
      <c r="J23" s="33"/>
      <c r="K23" s="32"/>
      <c r="L23" s="32"/>
      <c r="M23" s="32"/>
      <c r="N23" s="32"/>
      <c r="O23" s="32"/>
      <c r="P23" s="32"/>
      <c r="Q23" s="27"/>
      <c r="R23" s="27"/>
      <c r="S23" s="27"/>
      <c r="T23" s="32"/>
      <c r="U23" s="32"/>
      <c r="V23" s="55"/>
      <c r="W23" s="32"/>
      <c r="X23" s="32"/>
      <c r="Y23" s="32"/>
      <c r="Z23" s="32"/>
      <c r="AA23" s="32"/>
      <c r="AB23" s="32"/>
      <c r="AC23" s="29"/>
      <c r="AD23" s="29"/>
      <c r="AE23" s="34"/>
      <c r="AF23" s="38"/>
    </row>
    <row r="24" spans="1:269" ht="22.5" customHeight="1">
      <c r="A24" s="27"/>
      <c r="B24" s="215"/>
      <c r="C24" s="61"/>
      <c r="D24" s="53"/>
      <c r="E24" s="54"/>
      <c r="F24" s="31"/>
      <c r="G24" s="31"/>
      <c r="H24" s="55"/>
      <c r="I24" s="33"/>
      <c r="J24" s="33"/>
      <c r="K24" s="32"/>
      <c r="L24" s="32"/>
      <c r="M24" s="32"/>
      <c r="N24" s="32"/>
      <c r="O24" s="32"/>
      <c r="P24" s="32"/>
      <c r="Q24" s="27"/>
      <c r="R24" s="27"/>
      <c r="S24" s="27"/>
      <c r="T24" s="32"/>
      <c r="U24" s="32"/>
      <c r="V24" s="55"/>
      <c r="W24" s="32"/>
      <c r="X24" s="32"/>
      <c r="Y24" s="32"/>
      <c r="Z24" s="32"/>
      <c r="AA24" s="32"/>
      <c r="AB24" s="32"/>
      <c r="AC24" s="29"/>
      <c r="AD24" s="29"/>
      <c r="AE24" s="34"/>
      <c r="AF24" s="38"/>
    </row>
    <row r="25" spans="1:269" ht="22.5" customHeight="1">
      <c r="A25" s="43"/>
      <c r="B25" s="44"/>
      <c r="C25" s="45"/>
      <c r="D25" s="46"/>
      <c r="E25" s="47"/>
      <c r="F25" s="48"/>
      <c r="G25" s="49"/>
      <c r="H25" s="46">
        <f t="shared" ref="H25:AB25" si="4">SUM(H15:H24)</f>
        <v>34819</v>
      </c>
      <c r="I25" s="46">
        <f t="shared" si="4"/>
        <v>0</v>
      </c>
      <c r="J25" s="46">
        <f t="shared" si="4"/>
        <v>0</v>
      </c>
      <c r="K25" s="46">
        <f t="shared" si="4"/>
        <v>23325.68</v>
      </c>
      <c r="L25" s="46">
        <f t="shared" si="4"/>
        <v>13927.68</v>
      </c>
      <c r="M25" s="46">
        <f t="shared" si="4"/>
        <v>2083</v>
      </c>
      <c r="N25" s="46">
        <f t="shared" si="4"/>
        <v>2083</v>
      </c>
      <c r="O25" s="46">
        <f t="shared" si="4"/>
        <v>5232</v>
      </c>
      <c r="P25" s="46">
        <f t="shared" si="4"/>
        <v>58144.68</v>
      </c>
      <c r="Q25" s="46">
        <f t="shared" si="4"/>
        <v>1554.6089999999999</v>
      </c>
      <c r="R25" s="46">
        <f t="shared" si="4"/>
        <v>1674.8035199999999</v>
      </c>
      <c r="S25" s="46">
        <f t="shared" si="4"/>
        <v>2901.6</v>
      </c>
      <c r="T25" s="46">
        <f t="shared" si="4"/>
        <v>0</v>
      </c>
      <c r="U25" s="46">
        <f t="shared" si="4"/>
        <v>64275.692519999997</v>
      </c>
      <c r="V25" s="46">
        <f t="shared" si="4"/>
        <v>0</v>
      </c>
      <c r="W25" s="46">
        <f t="shared" si="4"/>
        <v>1800</v>
      </c>
      <c r="X25" s="46">
        <f t="shared" si="4"/>
        <v>200</v>
      </c>
      <c r="Y25" s="46">
        <f t="shared" si="4"/>
        <v>0</v>
      </c>
      <c r="Z25" s="46">
        <f t="shared" si="4"/>
        <v>224</v>
      </c>
      <c r="AA25" s="46">
        <f t="shared" si="4"/>
        <v>2224</v>
      </c>
      <c r="AB25" s="46">
        <f t="shared" si="4"/>
        <v>62051.692519999997</v>
      </c>
      <c r="AC25" s="46"/>
      <c r="AD25" s="46"/>
      <c r="AE25" s="52"/>
      <c r="AF25" s="52"/>
    </row>
    <row r="26" spans="1:269">
      <c r="A26" s="39"/>
      <c r="B26" s="704"/>
      <c r="C26" s="704"/>
      <c r="D26" s="39"/>
      <c r="E26" s="40"/>
      <c r="F26" s="40"/>
      <c r="G26" s="41"/>
      <c r="H26" s="40"/>
      <c r="I26" s="40"/>
      <c r="J26" s="705" t="s">
        <v>38</v>
      </c>
      <c r="K26" s="705"/>
      <c r="L26" s="705"/>
      <c r="M26" s="705"/>
      <c r="N26" s="705"/>
      <c r="O26" s="705"/>
      <c r="P26" s="705"/>
      <c r="Q26" s="705"/>
      <c r="R26" s="705"/>
      <c r="S26" s="705"/>
      <c r="T26" s="705"/>
      <c r="U26" s="705"/>
      <c r="V26" s="705"/>
      <c r="W26" s="705"/>
      <c r="X26" s="705"/>
      <c r="Y26" s="705"/>
      <c r="Z26" s="705"/>
      <c r="AA26" s="705"/>
      <c r="AB26" s="705"/>
      <c r="AC26" s="705"/>
      <c r="AD26" s="705"/>
      <c r="AE26" s="705"/>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row>
  </sheetData>
  <mergeCells count="24">
    <mergeCell ref="AF13:AF14"/>
    <mergeCell ref="B26:C26"/>
    <mergeCell ref="J26:AE26"/>
    <mergeCell ref="G13:G14"/>
    <mergeCell ref="H13:H14"/>
    <mergeCell ref="I13:I14"/>
    <mergeCell ref="J13:J14"/>
    <mergeCell ref="K13:K14"/>
    <mergeCell ref="P13:P14"/>
    <mergeCell ref="F13:F14"/>
    <mergeCell ref="V13:AA13"/>
    <mergeCell ref="AB13:AB14"/>
    <mergeCell ref="AC13:AC14"/>
    <mergeCell ref="AE13:AE14"/>
    <mergeCell ref="A13:A14"/>
    <mergeCell ref="B13:B14"/>
    <mergeCell ref="C13:C14"/>
    <mergeCell ref="D13:D14"/>
    <mergeCell ref="E13:E14"/>
    <mergeCell ref="A3:AF3"/>
    <mergeCell ref="A5:C5"/>
    <mergeCell ref="A7:C7"/>
    <mergeCell ref="X8:AF8"/>
    <mergeCell ref="A9:C9"/>
  </mergeCells>
  <printOptions horizontalCentered="1" verticalCentered="1"/>
  <pageMargins left="0" right="0" top="0" bottom="0" header="0.31496062992126" footer="0.31496062992126"/>
  <pageSetup paperSize="9" scale="35" orientation="landscape" horizontalDpi="4294967293"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7"/>
  <sheetViews>
    <sheetView zoomScaleNormal="100" zoomScaleSheetLayoutView="80" workbookViewId="0">
      <selection activeCell="J35" sqref="J35"/>
    </sheetView>
  </sheetViews>
  <sheetFormatPr defaultRowHeight="15"/>
  <cols>
    <col min="10" max="10" width="14.5703125" customWidth="1"/>
    <col min="12" max="12" width="26.140625" customWidth="1"/>
  </cols>
  <sheetData>
    <row r="1" spans="1:12" ht="32.25">
      <c r="A1" s="140"/>
      <c r="B1" s="742" t="s">
        <v>115</v>
      </c>
      <c r="C1" s="743"/>
      <c r="D1" s="743"/>
      <c r="E1" s="743"/>
      <c r="F1" s="743"/>
      <c r="G1" s="743"/>
      <c r="H1" s="743"/>
      <c r="I1" s="743"/>
      <c r="J1" s="743"/>
      <c r="K1" s="743"/>
      <c r="L1" s="744"/>
    </row>
    <row r="2" spans="1:12" ht="23.25">
      <c r="A2" s="62"/>
      <c r="B2" s="745" t="s">
        <v>116</v>
      </c>
      <c r="C2" s="745"/>
      <c r="D2" s="745"/>
      <c r="E2" s="745"/>
      <c r="F2" s="745"/>
      <c r="G2" s="745"/>
      <c r="H2" s="745"/>
      <c r="I2" s="745"/>
      <c r="J2" s="745"/>
      <c r="K2" s="745"/>
      <c r="L2" s="746"/>
    </row>
    <row r="3" spans="1:12" ht="16.5" thickBot="1">
      <c r="A3" s="76"/>
      <c r="B3" s="747" t="s">
        <v>422</v>
      </c>
      <c r="C3" s="747"/>
      <c r="D3" s="747"/>
      <c r="E3" s="747"/>
      <c r="F3" s="747"/>
      <c r="G3" s="747"/>
      <c r="H3" s="747"/>
      <c r="I3" s="747"/>
      <c r="J3" s="747"/>
      <c r="K3" s="747"/>
      <c r="L3" s="748"/>
    </row>
    <row r="4" spans="1:12" ht="15" customHeight="1">
      <c r="A4" s="62"/>
      <c r="B4" s="757" t="s">
        <v>117</v>
      </c>
      <c r="C4" s="757"/>
      <c r="D4" s="757"/>
      <c r="E4" s="757"/>
      <c r="F4" s="757"/>
      <c r="G4" s="47"/>
      <c r="H4" s="758" t="s">
        <v>118</v>
      </c>
      <c r="I4" s="758"/>
      <c r="J4" s="758"/>
      <c r="K4" s="758"/>
      <c r="L4" s="759"/>
    </row>
    <row r="5" spans="1:12" ht="15.75" thickBot="1">
      <c r="A5" s="62"/>
      <c r="B5" s="757"/>
      <c r="C5" s="757"/>
      <c r="D5" s="757"/>
      <c r="E5" s="757"/>
      <c r="F5" s="757"/>
      <c r="G5" s="47"/>
      <c r="H5" s="758"/>
      <c r="I5" s="758"/>
      <c r="J5" s="758"/>
      <c r="K5" s="758"/>
      <c r="L5" s="759"/>
    </row>
    <row r="6" spans="1:12">
      <c r="A6" s="62"/>
      <c r="B6" s="140"/>
      <c r="C6" s="141"/>
      <c r="D6" s="141"/>
      <c r="E6" s="141"/>
      <c r="F6" s="142"/>
      <c r="G6" s="47"/>
      <c r="H6" s="140"/>
      <c r="I6" s="141"/>
      <c r="J6" s="141"/>
      <c r="K6" s="141"/>
      <c r="L6" s="142"/>
    </row>
    <row r="7" spans="1:12">
      <c r="A7" s="62"/>
      <c r="B7" s="146" t="str">
        <f>'PUNJAB 04-22Master'!F5</f>
        <v>Burgeon IT Services Pvt.Ltd.</v>
      </c>
      <c r="C7" s="144"/>
      <c r="D7" s="144"/>
      <c r="E7" s="144"/>
      <c r="F7" s="145"/>
      <c r="G7" s="47"/>
      <c r="H7" s="146" t="str">
        <f>'PUNJAB 04-22Master'!AO10</f>
        <v xml:space="preserve">INFOSYS  LTD.IL </v>
      </c>
      <c r="I7" s="144"/>
      <c r="J7" s="144"/>
      <c r="K7" s="144"/>
      <c r="L7" s="145"/>
    </row>
    <row r="8" spans="1:12">
      <c r="A8" s="62"/>
      <c r="B8" s="62"/>
      <c r="C8" s="144"/>
      <c r="D8" s="144"/>
      <c r="E8" s="144"/>
      <c r="F8" s="145"/>
      <c r="G8" s="47"/>
      <c r="H8" s="62"/>
      <c r="I8" s="144"/>
      <c r="J8" s="144"/>
      <c r="K8" s="144"/>
      <c r="L8" s="145"/>
    </row>
    <row r="9" spans="1:12">
      <c r="A9" s="62"/>
      <c r="B9" s="146" t="str">
        <f>'PUNJAB 04-22Master'!F6</f>
        <v>Siri Mansion LIGB 436 Dr.A S Rao Nagar,Hyderabad</v>
      </c>
      <c r="C9" s="144"/>
      <c r="D9" s="144"/>
      <c r="E9" s="144"/>
      <c r="F9" s="145"/>
      <c r="G9" s="47"/>
      <c r="H9" s="146" t="str">
        <f>'PUNJAB 04-22Master'!AO11</f>
        <v>No.45&amp;46,3rd Cross,Electronic City,BANGALORE,KARNATAKA</v>
      </c>
      <c r="I9" s="144"/>
      <c r="J9" s="144"/>
      <c r="K9" s="144"/>
      <c r="L9" s="145"/>
    </row>
    <row r="10" spans="1:12" ht="15.75" thickBot="1">
      <c r="A10" s="62"/>
      <c r="B10" s="147"/>
      <c r="C10" s="77"/>
      <c r="D10" s="77"/>
      <c r="E10" s="77"/>
      <c r="F10" s="148"/>
      <c r="G10" s="47"/>
      <c r="H10" s="147"/>
      <c r="I10" s="77"/>
      <c r="J10" s="77"/>
      <c r="K10" s="77"/>
      <c r="L10" s="148"/>
    </row>
    <row r="11" spans="1:12">
      <c r="A11" s="62"/>
      <c r="B11" s="47"/>
      <c r="C11" s="47"/>
      <c r="D11" s="47"/>
      <c r="E11" s="47"/>
      <c r="F11" s="47"/>
      <c r="G11" s="47"/>
      <c r="H11" s="47"/>
      <c r="I11" s="47"/>
      <c r="J11" s="47" t="s">
        <v>119</v>
      </c>
      <c r="K11" s="47"/>
      <c r="L11" s="63"/>
    </row>
    <row r="12" spans="1:12">
      <c r="A12" s="62"/>
      <c r="B12" s="760" t="s">
        <v>120</v>
      </c>
      <c r="C12" s="760"/>
      <c r="D12" s="760"/>
      <c r="E12" s="760"/>
      <c r="F12" s="760"/>
      <c r="G12" s="47"/>
      <c r="H12" s="760" t="s">
        <v>4</v>
      </c>
      <c r="I12" s="760"/>
      <c r="J12" s="760"/>
      <c r="K12" s="760"/>
      <c r="L12" s="761"/>
    </row>
    <row r="13" spans="1:12" ht="15.75" thickBot="1">
      <c r="A13" s="62"/>
      <c r="B13" s="47"/>
      <c r="C13" s="47"/>
      <c r="D13" s="47"/>
      <c r="E13" s="47"/>
      <c r="F13" s="47"/>
      <c r="G13" s="47"/>
      <c r="H13" s="47"/>
      <c r="I13" s="47"/>
      <c r="J13" s="47"/>
      <c r="K13" s="47"/>
      <c r="L13" s="63"/>
    </row>
    <row r="14" spans="1:12">
      <c r="A14" s="62"/>
      <c r="B14" s="140"/>
      <c r="C14" s="141"/>
      <c r="D14" s="141"/>
      <c r="E14" s="141"/>
      <c r="F14" s="142"/>
      <c r="G14" s="47"/>
      <c r="H14" s="149"/>
      <c r="I14" s="150"/>
      <c r="J14" s="150"/>
      <c r="K14" s="150"/>
      <c r="L14" s="151"/>
    </row>
    <row r="15" spans="1:12">
      <c r="A15" s="62"/>
      <c r="B15" s="143"/>
      <c r="C15" s="144"/>
      <c r="D15" s="144"/>
      <c r="E15" s="144"/>
      <c r="F15" s="145"/>
      <c r="G15" s="47"/>
      <c r="H15" s="146" t="str">
        <f>'PUNJAB 04-22Master'!AO10</f>
        <v xml:space="preserve">INFOSYS  LTD.IL </v>
      </c>
      <c r="I15" s="152"/>
      <c r="J15" s="152"/>
      <c r="K15" s="152"/>
      <c r="L15" s="153"/>
    </row>
    <row r="16" spans="1:12">
      <c r="A16" s="62"/>
      <c r="B16" s="146" t="str">
        <f>'PUNJAB 04-22Master'!F8</f>
        <v>IT SUPPORTIVE SERVICES&amp;Chandigarh</v>
      </c>
      <c r="C16" s="144"/>
      <c r="D16" s="144"/>
      <c r="E16" s="144"/>
      <c r="F16" s="145"/>
      <c r="G16" s="47"/>
      <c r="H16" s="146"/>
      <c r="I16" s="152"/>
      <c r="J16" s="152"/>
      <c r="K16" s="152"/>
      <c r="L16" s="153"/>
    </row>
    <row r="17" spans="1:12">
      <c r="A17" s="62"/>
      <c r="B17" s="143"/>
      <c r="C17" s="144"/>
      <c r="D17" s="144"/>
      <c r="E17" s="144"/>
      <c r="F17" s="145"/>
      <c r="G17" s="47"/>
      <c r="H17" s="146" t="str">
        <f>'PUNJAB APRIL 22-WMn Reg'!O8</f>
        <v>IL Chandigarh SEZ Unit - I Rajiv Gandhi Chandigarh tech Park, Kishangarh, Chandigarh-160101</v>
      </c>
      <c r="I17" s="152"/>
      <c r="J17" s="152"/>
      <c r="K17" s="152"/>
      <c r="L17" s="153"/>
    </row>
    <row r="18" spans="1:12" ht="15.75" thickBot="1">
      <c r="A18" s="62"/>
      <c r="B18" s="147"/>
      <c r="C18" s="77"/>
      <c r="D18" s="77"/>
      <c r="E18" s="77"/>
      <c r="F18" s="148"/>
      <c r="G18" s="47"/>
      <c r="H18" s="154"/>
      <c r="I18" s="155"/>
      <c r="J18" s="155"/>
      <c r="K18" s="155"/>
      <c r="L18" s="156"/>
    </row>
    <row r="19" spans="1:12" ht="27.95" customHeight="1">
      <c r="A19" s="157"/>
      <c r="B19" s="749" t="s">
        <v>121</v>
      </c>
      <c r="C19" s="749"/>
      <c r="D19" s="749"/>
      <c r="E19" s="749"/>
      <c r="F19" s="749"/>
      <c r="G19" s="749"/>
      <c r="H19" s="750" t="str">
        <f>'PUNJAB 04-22Master'!B16</f>
        <v>Gopi reddy chirra</v>
      </c>
      <c r="I19" s="751"/>
      <c r="J19" s="751"/>
      <c r="K19" s="751"/>
      <c r="L19" s="752"/>
    </row>
    <row r="20" spans="1:12" ht="27.95" customHeight="1">
      <c r="A20" s="157"/>
      <c r="B20" s="563"/>
      <c r="C20" s="564"/>
      <c r="D20" s="564"/>
      <c r="E20" s="564"/>
      <c r="F20" s="564"/>
      <c r="G20" s="564"/>
      <c r="H20" s="754" t="str">
        <f>'PUNJAB 04-22Master'!G16</f>
        <v>1-322,Erraguntlapadu,Guntur,Andhra pradesh 522529</v>
      </c>
      <c r="I20" s="755"/>
      <c r="J20" s="755"/>
      <c r="K20" s="755"/>
      <c r="L20" s="756"/>
    </row>
    <row r="21" spans="1:12" ht="27.95" customHeight="1">
      <c r="A21" s="157"/>
      <c r="B21" s="753" t="s">
        <v>122</v>
      </c>
      <c r="C21" s="753"/>
      <c r="D21" s="753"/>
      <c r="E21" s="753"/>
      <c r="F21" s="753"/>
      <c r="G21" s="753"/>
      <c r="H21" s="750">
        <f>'PUNJAB 04-22Master'!A16</f>
        <v>2</v>
      </c>
      <c r="I21" s="751"/>
      <c r="J21" s="751"/>
      <c r="K21" s="751"/>
      <c r="L21" s="752"/>
    </row>
    <row r="22" spans="1:12" ht="27.95" customHeight="1">
      <c r="A22" s="157"/>
      <c r="B22" s="762" t="s">
        <v>123</v>
      </c>
      <c r="C22" s="762"/>
      <c r="D22" s="762"/>
      <c r="E22" s="762"/>
      <c r="F22" s="762"/>
      <c r="G22" s="762"/>
      <c r="H22" s="750" t="str">
        <f>'PUNJAB 04-22Master'!F16</f>
        <v>Technical Consultant</v>
      </c>
      <c r="I22" s="751"/>
      <c r="J22" s="751"/>
      <c r="K22" s="751"/>
      <c r="L22" s="752"/>
    </row>
    <row r="23" spans="1:12" ht="27.95" customHeight="1">
      <c r="A23" s="157"/>
      <c r="B23" s="762" t="s">
        <v>124</v>
      </c>
      <c r="C23" s="762"/>
      <c r="D23" s="762"/>
      <c r="E23" s="762"/>
      <c r="F23" s="762"/>
      <c r="G23" s="762"/>
      <c r="H23" s="770">
        <f>'PUNJAB 04-22Master'!N16</f>
        <v>44454</v>
      </c>
      <c r="I23" s="771"/>
      <c r="J23" s="771"/>
      <c r="K23" s="771"/>
      <c r="L23" s="772"/>
    </row>
    <row r="24" spans="1:12" ht="27.95" customHeight="1">
      <c r="A24" s="157"/>
      <c r="B24" s="158" t="s">
        <v>125</v>
      </c>
      <c r="C24" s="283"/>
      <c r="D24" s="283"/>
      <c r="E24" s="283"/>
      <c r="F24" s="283"/>
      <c r="G24" s="283"/>
      <c r="H24" s="764">
        <f>'PUNJAB 04-22Master'!T67</f>
        <v>0</v>
      </c>
      <c r="I24" s="765"/>
      <c r="J24" s="765"/>
      <c r="K24" s="765"/>
      <c r="L24" s="766"/>
    </row>
    <row r="25" spans="1:12" ht="27.95" customHeight="1">
      <c r="A25" s="157"/>
      <c r="B25" s="158" t="s">
        <v>126</v>
      </c>
      <c r="C25" s="283"/>
      <c r="D25" s="283"/>
      <c r="E25" s="283"/>
      <c r="F25" s="283"/>
      <c r="G25" s="284"/>
      <c r="H25" s="764" t="str">
        <f>'PUNJAB 04-22Master'!S16</f>
        <v>101739082876</v>
      </c>
      <c r="I25" s="765"/>
      <c r="J25" s="765"/>
      <c r="K25" s="765"/>
      <c r="L25" s="766"/>
    </row>
    <row r="26" spans="1:12" ht="27.95" customHeight="1">
      <c r="A26" s="157"/>
      <c r="B26" s="773" t="s">
        <v>127</v>
      </c>
      <c r="C26" s="773"/>
      <c r="D26" s="773"/>
      <c r="E26" s="773"/>
      <c r="F26" s="773"/>
      <c r="G26" s="773"/>
      <c r="H26" s="767">
        <f>'PUNJAB 04-22Master'!X16</f>
        <v>58032</v>
      </c>
      <c r="I26" s="768"/>
      <c r="J26" s="768"/>
      <c r="K26" s="768"/>
      <c r="L26" s="769"/>
    </row>
    <row r="27" spans="1:12" ht="27.95" customHeight="1">
      <c r="A27" s="157"/>
      <c r="B27" s="762" t="s">
        <v>128</v>
      </c>
      <c r="C27" s="762"/>
      <c r="D27" s="762"/>
      <c r="E27" s="762"/>
      <c r="F27" s="762"/>
      <c r="G27" s="762"/>
      <c r="H27" s="763">
        <f>'PUNJAB 04-22Master'!D10</f>
        <v>44652</v>
      </c>
      <c r="I27" s="751"/>
      <c r="J27" s="751"/>
      <c r="K27" s="751"/>
      <c r="L27" s="752"/>
    </row>
    <row r="28" spans="1:12" ht="27.95" customHeight="1">
      <c r="A28" s="62"/>
      <c r="B28" s="762" t="s">
        <v>129</v>
      </c>
      <c r="C28" s="762"/>
      <c r="D28" s="762"/>
      <c r="E28" s="762"/>
      <c r="F28" s="762"/>
      <c r="G28" s="762"/>
      <c r="H28" s="751" t="s">
        <v>130</v>
      </c>
      <c r="I28" s="751"/>
      <c r="J28" s="751"/>
      <c r="K28" s="751"/>
      <c r="L28" s="752"/>
    </row>
    <row r="29" spans="1:12" ht="27.95" customHeight="1">
      <c r="A29" s="62"/>
      <c r="B29" s="158" t="s">
        <v>131</v>
      </c>
      <c r="C29" s="283"/>
      <c r="D29" s="283"/>
      <c r="E29" s="283"/>
      <c r="F29" s="283"/>
      <c r="G29" s="284"/>
      <c r="H29" s="490"/>
      <c r="I29" s="488"/>
      <c r="J29" s="488">
        <f>'PUNJAB 04-22Master'!V16</f>
        <v>30</v>
      </c>
      <c r="K29" s="488"/>
      <c r="L29" s="489"/>
    </row>
    <row r="30" spans="1:12" ht="27.95" customHeight="1">
      <c r="A30" s="62"/>
      <c r="B30" s="158" t="s">
        <v>132</v>
      </c>
      <c r="C30" s="283"/>
      <c r="D30" s="283"/>
      <c r="E30" s="283"/>
      <c r="F30" s="283"/>
      <c r="G30" s="284"/>
      <c r="H30" s="490"/>
      <c r="I30" s="488"/>
      <c r="J30" s="488" t="s">
        <v>37</v>
      </c>
      <c r="K30" s="488"/>
      <c r="L30" s="489"/>
    </row>
    <row r="31" spans="1:12" ht="27.95" customHeight="1">
      <c r="A31" s="62"/>
      <c r="B31" s="158" t="s">
        <v>133</v>
      </c>
      <c r="C31" s="283"/>
      <c r="D31" s="283"/>
      <c r="E31" s="283"/>
      <c r="F31" s="283"/>
      <c r="G31" s="284"/>
      <c r="H31" s="490"/>
      <c r="I31" s="488"/>
      <c r="J31" s="237">
        <v>0</v>
      </c>
      <c r="K31" s="488"/>
      <c r="L31" s="489"/>
    </row>
    <row r="32" spans="1:12" ht="27.95" customHeight="1">
      <c r="A32" s="62"/>
      <c r="B32" s="158" t="s">
        <v>134</v>
      </c>
      <c r="C32" s="283"/>
      <c r="D32" s="283"/>
      <c r="E32" s="283"/>
      <c r="F32" s="283"/>
      <c r="G32" s="284"/>
      <c r="H32" s="490"/>
      <c r="I32" s="488"/>
      <c r="J32" s="488">
        <v>0</v>
      </c>
      <c r="K32" s="488"/>
      <c r="L32" s="489"/>
    </row>
    <row r="33" spans="1:12" ht="27.95" customHeight="1">
      <c r="A33" s="62"/>
      <c r="B33" s="158" t="s">
        <v>135</v>
      </c>
      <c r="C33" s="283"/>
      <c r="D33" s="283"/>
      <c r="E33" s="283"/>
      <c r="F33" s="283"/>
      <c r="G33" s="284"/>
      <c r="H33" s="490"/>
      <c r="I33" s="488"/>
      <c r="J33" s="237">
        <f>'PUNJAB 04-22Master'!AL16</f>
        <v>64275.692519999997</v>
      </c>
      <c r="K33" s="488"/>
      <c r="L33" s="489" t="s">
        <v>35</v>
      </c>
    </row>
    <row r="34" spans="1:12" ht="27.95" customHeight="1">
      <c r="A34" s="62"/>
      <c r="B34" s="158" t="s">
        <v>136</v>
      </c>
      <c r="C34" s="283"/>
      <c r="D34" s="486" t="s">
        <v>32</v>
      </c>
      <c r="E34" s="487">
        <f>'PUNJAB 04-22Master'!AN16</f>
        <v>1800</v>
      </c>
      <c r="F34" s="486" t="s">
        <v>31</v>
      </c>
      <c r="G34" s="487">
        <f>'PUNJAB 04-22Master'!AM16</f>
        <v>0</v>
      </c>
      <c r="H34" s="486" t="s">
        <v>33</v>
      </c>
      <c r="I34" s="487">
        <f>'PUNJAB 04-22Master'!AO16</f>
        <v>200</v>
      </c>
      <c r="J34" s="486" t="s">
        <v>34</v>
      </c>
      <c r="K34" s="487">
        <f>'PUNJAB 04-22Master'!AP16</f>
        <v>0</v>
      </c>
      <c r="L34" s="171">
        <f>'PUNJAB 04-22Master'!AQ16</f>
        <v>224</v>
      </c>
    </row>
    <row r="35" spans="1:12" ht="27.95" customHeight="1">
      <c r="A35" s="62"/>
      <c r="B35" s="158" t="s">
        <v>137</v>
      </c>
      <c r="C35" s="283"/>
      <c r="D35" s="283"/>
      <c r="E35" s="283"/>
      <c r="F35" s="283"/>
      <c r="G35" s="284"/>
      <c r="H35" s="490"/>
      <c r="I35" s="488"/>
      <c r="J35" s="237">
        <f>J33-(E34+G34+I34+K34+L34)</f>
        <v>62051.692519999997</v>
      </c>
      <c r="K35" s="488"/>
      <c r="L35" s="489"/>
    </row>
    <row r="36" spans="1:12" ht="27.95" customHeight="1">
      <c r="A36" s="62"/>
      <c r="B36" s="161" t="s">
        <v>138</v>
      </c>
      <c r="C36" s="162"/>
      <c r="D36" s="162"/>
      <c r="E36" s="162"/>
      <c r="F36" s="162"/>
      <c r="G36" s="163"/>
      <c r="H36" s="164"/>
      <c r="I36" s="165"/>
      <c r="J36" s="165"/>
      <c r="K36" s="165"/>
      <c r="L36" s="166"/>
    </row>
    <row r="37" spans="1:12" ht="27.95" customHeight="1">
      <c r="A37" s="62"/>
      <c r="B37" s="167" t="s">
        <v>139</v>
      </c>
      <c r="C37" s="168"/>
      <c r="D37" s="168"/>
      <c r="E37" s="168"/>
      <c r="F37" s="168"/>
      <c r="G37" s="169"/>
      <c r="H37" s="127"/>
      <c r="I37" s="68"/>
      <c r="J37" s="68"/>
      <c r="K37" s="68"/>
      <c r="L37" s="170"/>
    </row>
  </sheetData>
  <mergeCells count="24">
    <mergeCell ref="B27:G27"/>
    <mergeCell ref="H27:L27"/>
    <mergeCell ref="B28:G28"/>
    <mergeCell ref="B22:G22"/>
    <mergeCell ref="H22:L22"/>
    <mergeCell ref="H24:L24"/>
    <mergeCell ref="H25:L25"/>
    <mergeCell ref="H26:L26"/>
    <mergeCell ref="B23:G23"/>
    <mergeCell ref="H23:L23"/>
    <mergeCell ref="B26:G26"/>
    <mergeCell ref="H28:L28"/>
    <mergeCell ref="B21:G21"/>
    <mergeCell ref="H21:L21"/>
    <mergeCell ref="H20:L20"/>
    <mergeCell ref="B4:F5"/>
    <mergeCell ref="H4:L5"/>
    <mergeCell ref="B12:F12"/>
    <mergeCell ref="H12:L12"/>
    <mergeCell ref="B1:L1"/>
    <mergeCell ref="B2:L2"/>
    <mergeCell ref="B3:L3"/>
    <mergeCell ref="B19:G19"/>
    <mergeCell ref="H19:L19"/>
  </mergeCells>
  <pageMargins left="0.88" right="0.53" top="0.74803149606299213" bottom="0.74803149606299213" header="0.31496062992125984" footer="0.31496062992125984"/>
  <pageSetup scale="6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1"/>
  <sheetViews>
    <sheetView view="pageBreakPreview" topLeftCell="C16" zoomScale="80" zoomScaleSheetLayoutView="80" workbookViewId="0">
      <selection activeCell="R9" sqref="R9"/>
    </sheetView>
  </sheetViews>
  <sheetFormatPr defaultRowHeight="15"/>
  <sheetData>
    <row r="1" spans="1:19" ht="26.25">
      <c r="A1" s="774" t="s">
        <v>53</v>
      </c>
      <c r="B1" s="775"/>
      <c r="C1" s="775"/>
      <c r="D1" s="775"/>
      <c r="E1" s="775"/>
      <c r="F1" s="775"/>
      <c r="G1" s="775"/>
      <c r="H1" s="775"/>
      <c r="I1" s="776"/>
      <c r="K1" s="774" t="s">
        <v>53</v>
      </c>
      <c r="L1" s="775"/>
      <c r="M1" s="775"/>
      <c r="N1" s="775"/>
      <c r="O1" s="775"/>
      <c r="P1" s="775"/>
      <c r="Q1" s="775"/>
      <c r="R1" s="775"/>
      <c r="S1" s="776"/>
    </row>
    <row r="2" spans="1:19">
      <c r="A2" s="777" t="s">
        <v>426</v>
      </c>
      <c r="B2" s="778"/>
      <c r="C2" s="778"/>
      <c r="D2" s="778"/>
      <c r="E2" s="778"/>
      <c r="F2" s="778"/>
      <c r="G2" s="778"/>
      <c r="H2" s="778"/>
      <c r="I2" s="779"/>
      <c r="K2" s="777" t="str">
        <f>A2</f>
        <v>[Vide rule 78 (1) (b) of the Contract Labour (Regulation and Abolition) Central and Punjab Rules, 1973]</v>
      </c>
      <c r="L2" s="778"/>
      <c r="M2" s="778"/>
      <c r="N2" s="778"/>
      <c r="O2" s="778"/>
      <c r="P2" s="778"/>
      <c r="Q2" s="778"/>
      <c r="R2" s="778"/>
      <c r="S2" s="779"/>
    </row>
    <row r="3" spans="1:19">
      <c r="A3" s="62"/>
      <c r="B3" s="47"/>
      <c r="C3" s="47"/>
      <c r="D3" s="47"/>
      <c r="E3" s="47"/>
      <c r="F3" s="47"/>
      <c r="G3" s="47"/>
      <c r="H3" s="47"/>
      <c r="I3" s="63"/>
      <c r="K3" s="62"/>
      <c r="L3" s="47"/>
      <c r="M3" s="47"/>
      <c r="N3" s="47"/>
      <c r="O3" s="47"/>
      <c r="P3" s="47"/>
      <c r="Q3" s="47"/>
      <c r="R3" s="47"/>
      <c r="S3" s="63"/>
    </row>
    <row r="4" spans="1:19">
      <c r="A4" s="403" t="s">
        <v>54</v>
      </c>
      <c r="B4" s="404"/>
      <c r="C4" s="404"/>
      <c r="D4" s="64" t="str">
        <f>'PUNJAB 04-22Master'!F5</f>
        <v>Burgeon IT Services Pvt.Ltd.</v>
      </c>
      <c r="F4" s="47"/>
      <c r="G4" s="47"/>
      <c r="H4" s="47"/>
      <c r="I4" s="63"/>
      <c r="K4" s="403" t="s">
        <v>54</v>
      </c>
      <c r="L4" s="404"/>
      <c r="M4" s="404"/>
      <c r="N4" s="64" t="str">
        <f>D4</f>
        <v>Burgeon IT Services Pvt.Ltd.</v>
      </c>
      <c r="P4" s="47"/>
      <c r="Q4" s="47"/>
      <c r="R4" s="47"/>
      <c r="S4" s="63"/>
    </row>
    <row r="5" spans="1:19">
      <c r="A5" s="65"/>
      <c r="B5" s="66" t="str">
        <f>'PUNJAB 04-22Master'!F6</f>
        <v>Siri Mansion LIGB 436 Dr.A S Rao Nagar,Hyderabad</v>
      </c>
      <c r="C5" s="66"/>
      <c r="D5" s="66"/>
      <c r="F5" s="47"/>
      <c r="G5" s="47"/>
      <c r="H5" s="47"/>
      <c r="I5" s="63"/>
      <c r="K5" s="65"/>
      <c r="L5" s="66" t="str">
        <f>B5</f>
        <v>Siri Mansion LIGB 436 Dr.A S Rao Nagar,Hyderabad</v>
      </c>
      <c r="M5" s="66"/>
      <c r="N5" s="66"/>
      <c r="P5" s="47"/>
      <c r="Q5" s="47"/>
      <c r="R5" s="47"/>
      <c r="S5" s="63"/>
    </row>
    <row r="6" spans="1:19">
      <c r="A6" s="65"/>
      <c r="B6" s="66">
        <f>'PUNJAB 04-22Master'!F7</f>
        <v>0</v>
      </c>
      <c r="C6" s="66"/>
      <c r="D6" s="66"/>
      <c r="E6" s="66"/>
      <c r="F6" s="47"/>
      <c r="G6" s="47"/>
      <c r="H6" s="47"/>
      <c r="I6" s="63"/>
      <c r="K6" s="65"/>
      <c r="L6" s="66">
        <f>B6</f>
        <v>0</v>
      </c>
      <c r="M6" s="66"/>
      <c r="N6" s="66"/>
      <c r="O6" s="66"/>
      <c r="P6" s="47"/>
      <c r="Q6" s="47"/>
      <c r="R6" s="47"/>
      <c r="S6" s="63"/>
    </row>
    <row r="7" spans="1:19">
      <c r="A7" s="780" t="s">
        <v>55</v>
      </c>
      <c r="B7" s="781"/>
      <c r="C7" s="781"/>
      <c r="D7" s="781"/>
      <c r="E7" s="66"/>
      <c r="F7" s="47"/>
      <c r="G7" s="47"/>
      <c r="H7" s="47"/>
      <c r="I7" s="63"/>
      <c r="K7" s="780" t="s">
        <v>55</v>
      </c>
      <c r="L7" s="781"/>
      <c r="M7" s="781"/>
      <c r="N7" s="781"/>
      <c r="O7" s="66"/>
      <c r="P7" s="47"/>
      <c r="Q7" s="47"/>
      <c r="R7" s="47"/>
      <c r="S7" s="63"/>
    </row>
    <row r="8" spans="1:19" ht="21" customHeight="1">
      <c r="A8" s="780"/>
      <c r="B8" s="781"/>
      <c r="C8" s="781"/>
      <c r="D8" s="781"/>
      <c r="E8" s="67" t="str">
        <f>'PUNJAB 04-22Master'!B16</f>
        <v>Gopi reddy chirra</v>
      </c>
      <c r="F8" s="68"/>
      <c r="G8" s="68"/>
      <c r="H8" s="68" t="str">
        <f>'PUNJAB 04-22Master'!E16</f>
        <v>Madhava Reddy</v>
      </c>
      <c r="I8" s="63"/>
      <c r="K8" s="780"/>
      <c r="L8" s="781"/>
      <c r="M8" s="781"/>
      <c r="N8" s="781"/>
      <c r="O8" s="67" t="str">
        <f>E8</f>
        <v>Gopi reddy chirra</v>
      </c>
      <c r="P8" s="68"/>
      <c r="Q8" s="68"/>
      <c r="R8" s="68" t="str">
        <f>H8</f>
        <v>Madhava Reddy</v>
      </c>
      <c r="S8" s="63"/>
    </row>
    <row r="9" spans="1:19" ht="21" customHeight="1">
      <c r="A9" s="65"/>
      <c r="B9" s="66"/>
      <c r="C9" s="66"/>
      <c r="D9" s="66"/>
      <c r="E9" s="66"/>
      <c r="F9" s="47"/>
      <c r="G9" s="47"/>
      <c r="H9" s="47"/>
      <c r="I9" s="63"/>
      <c r="K9" s="65"/>
      <c r="L9" s="66"/>
      <c r="M9" s="66"/>
      <c r="N9" s="66"/>
      <c r="O9" s="66"/>
      <c r="P9" s="47"/>
      <c r="Q9" s="47"/>
      <c r="R9" s="47"/>
      <c r="S9" s="63"/>
    </row>
    <row r="10" spans="1:19" ht="21" customHeight="1">
      <c r="A10" s="782" t="s">
        <v>56</v>
      </c>
      <c r="B10" s="783"/>
      <c r="C10" s="783"/>
      <c r="D10" s="783"/>
      <c r="E10" s="67" t="str">
        <f>'PUNJAB 04-22Master'!F8</f>
        <v>IT SUPPORTIVE SERVICES&amp;Chandigarh</v>
      </c>
      <c r="F10" s="68"/>
      <c r="G10" s="68"/>
      <c r="H10" s="68"/>
      <c r="I10" s="63"/>
      <c r="K10" s="782" t="s">
        <v>56</v>
      </c>
      <c r="L10" s="783"/>
      <c r="M10" s="783"/>
      <c r="N10" s="783"/>
      <c r="O10" s="67" t="str">
        <f>E10</f>
        <v>IT SUPPORTIVE SERVICES&amp;Chandigarh</v>
      </c>
      <c r="P10" s="68"/>
      <c r="Q10" s="68"/>
      <c r="R10" s="68"/>
      <c r="S10" s="63"/>
    </row>
    <row r="11" spans="1:19" ht="21" customHeight="1">
      <c r="A11" s="65"/>
      <c r="B11" s="66"/>
      <c r="C11" s="66"/>
      <c r="D11" s="66"/>
      <c r="E11" s="66"/>
      <c r="F11" s="47"/>
      <c r="G11" s="47"/>
      <c r="H11" s="47"/>
      <c r="I11" s="63"/>
      <c r="K11" s="65"/>
      <c r="L11" s="66"/>
      <c r="M11" s="66"/>
      <c r="N11" s="66"/>
      <c r="O11" s="66"/>
      <c r="P11" s="47"/>
      <c r="Q11" s="47"/>
      <c r="R11" s="47"/>
      <c r="S11" s="63"/>
    </row>
    <row r="12" spans="1:19" ht="21" customHeight="1">
      <c r="A12" s="782" t="s">
        <v>57</v>
      </c>
      <c r="B12" s="783"/>
      <c r="C12" s="783"/>
      <c r="D12" s="783"/>
      <c r="E12" s="69">
        <f>'PUNJAB 04-22Master'!D10</f>
        <v>44652</v>
      </c>
      <c r="F12" s="68"/>
      <c r="G12" s="68"/>
      <c r="H12" s="68"/>
      <c r="I12" s="63"/>
      <c r="K12" s="782" t="s">
        <v>57</v>
      </c>
      <c r="L12" s="783"/>
      <c r="M12" s="783"/>
      <c r="N12" s="783"/>
      <c r="O12" s="69">
        <f>E12</f>
        <v>44652</v>
      </c>
      <c r="P12" s="68"/>
      <c r="Q12" s="68"/>
      <c r="R12" s="68"/>
      <c r="S12" s="63"/>
    </row>
    <row r="13" spans="1:19" ht="21" customHeight="1">
      <c r="A13" s="65"/>
      <c r="B13" s="66"/>
      <c r="C13" s="66"/>
      <c r="D13" s="66"/>
      <c r="E13" s="66"/>
      <c r="F13" s="47"/>
      <c r="G13" s="47"/>
      <c r="H13" s="47"/>
      <c r="I13" s="63"/>
      <c r="K13" s="65"/>
      <c r="L13" s="66"/>
      <c r="M13" s="66"/>
      <c r="N13" s="66"/>
      <c r="O13" s="66"/>
      <c r="P13" s="47"/>
      <c r="Q13" s="47"/>
      <c r="R13" s="47"/>
      <c r="S13" s="63"/>
    </row>
    <row r="14" spans="1:19" ht="21" customHeight="1">
      <c r="A14" s="70">
        <v>1</v>
      </c>
      <c r="B14" s="783" t="s">
        <v>58</v>
      </c>
      <c r="C14" s="783"/>
      <c r="D14" s="783"/>
      <c r="E14" s="71">
        <f>'PUNJAB 04-22Master'!V16</f>
        <v>30</v>
      </c>
      <c r="F14" s="68"/>
      <c r="G14" s="68"/>
      <c r="H14" s="68"/>
      <c r="I14" s="63"/>
      <c r="K14" s="70">
        <v>1</v>
      </c>
      <c r="L14" s="783" t="s">
        <v>58</v>
      </c>
      <c r="M14" s="783"/>
      <c r="N14" s="783"/>
      <c r="O14" s="71">
        <f>E14</f>
        <v>30</v>
      </c>
      <c r="P14" s="68"/>
      <c r="Q14" s="68"/>
      <c r="R14" s="68"/>
      <c r="S14" s="63"/>
    </row>
    <row r="15" spans="1:19" ht="21" customHeight="1">
      <c r="A15" s="70"/>
      <c r="B15" s="66"/>
      <c r="C15" s="66"/>
      <c r="D15" s="66"/>
      <c r="E15" s="66"/>
      <c r="F15" s="47"/>
      <c r="G15" s="47"/>
      <c r="H15" s="47"/>
      <c r="I15" s="63"/>
      <c r="K15" s="70"/>
      <c r="L15" s="66"/>
      <c r="M15" s="66"/>
      <c r="N15" s="66"/>
      <c r="O15" s="66"/>
      <c r="P15" s="47"/>
      <c r="Q15" s="47"/>
      <c r="R15" s="47"/>
      <c r="S15" s="63"/>
    </row>
    <row r="16" spans="1:19" ht="21" customHeight="1">
      <c r="A16" s="70">
        <v>2</v>
      </c>
      <c r="B16" s="781" t="s">
        <v>59</v>
      </c>
      <c r="C16" s="781"/>
      <c r="D16" s="781"/>
      <c r="E16" s="66"/>
      <c r="F16" s="47"/>
      <c r="G16" s="47"/>
      <c r="H16" s="47"/>
      <c r="I16" s="63"/>
      <c r="K16" s="70">
        <v>2</v>
      </c>
      <c r="L16" s="781" t="s">
        <v>59</v>
      </c>
      <c r="M16" s="781"/>
      <c r="N16" s="781"/>
      <c r="O16" s="66"/>
      <c r="P16" s="47"/>
      <c r="Q16" s="47"/>
      <c r="R16" s="47"/>
      <c r="S16" s="63"/>
    </row>
    <row r="17" spans="1:19" ht="21" customHeight="1">
      <c r="A17" s="70"/>
      <c r="B17" s="781"/>
      <c r="C17" s="781"/>
      <c r="D17" s="781"/>
      <c r="E17" s="72" t="s">
        <v>37</v>
      </c>
      <c r="F17" s="68"/>
      <c r="G17" s="68"/>
      <c r="H17" s="68"/>
      <c r="I17" s="63"/>
      <c r="K17" s="70"/>
      <c r="L17" s="781"/>
      <c r="M17" s="781"/>
      <c r="N17" s="781"/>
      <c r="O17" s="72" t="s">
        <v>37</v>
      </c>
      <c r="P17" s="68"/>
      <c r="Q17" s="68"/>
      <c r="R17" s="68"/>
      <c r="S17" s="63"/>
    </row>
    <row r="18" spans="1:19" ht="21" customHeight="1">
      <c r="A18" s="70"/>
      <c r="B18" s="66"/>
      <c r="C18" s="66"/>
      <c r="D18" s="66"/>
      <c r="E18" s="66"/>
      <c r="F18" s="47"/>
      <c r="G18" s="47"/>
      <c r="H18" s="47"/>
      <c r="I18" s="63"/>
      <c r="K18" s="70"/>
      <c r="L18" s="66"/>
      <c r="M18" s="66"/>
      <c r="N18" s="66"/>
      <c r="O18" s="66"/>
      <c r="P18" s="47"/>
      <c r="Q18" s="47"/>
      <c r="R18" s="47"/>
      <c r="S18" s="63"/>
    </row>
    <row r="19" spans="1:19" ht="21" customHeight="1">
      <c r="A19" s="70">
        <v>3</v>
      </c>
      <c r="B19" s="783" t="s">
        <v>60</v>
      </c>
      <c r="C19" s="783"/>
      <c r="D19" s="783"/>
      <c r="E19" s="72" t="s">
        <v>37</v>
      </c>
      <c r="F19" s="68"/>
      <c r="G19" s="68"/>
      <c r="H19" s="68"/>
      <c r="I19" s="63"/>
      <c r="K19" s="70">
        <v>3</v>
      </c>
      <c r="L19" s="783" t="s">
        <v>60</v>
      </c>
      <c r="M19" s="783"/>
      <c r="N19" s="783"/>
      <c r="O19" s="67" t="str">
        <f>E19</f>
        <v>N/A</v>
      </c>
      <c r="P19" s="68"/>
      <c r="Q19" s="68"/>
      <c r="R19" s="68"/>
      <c r="S19" s="63"/>
    </row>
    <row r="20" spans="1:19" ht="21" customHeight="1">
      <c r="A20" s="70"/>
      <c r="B20" s="66"/>
      <c r="C20" s="66"/>
      <c r="D20" s="66"/>
      <c r="E20" s="66"/>
      <c r="F20" s="47"/>
      <c r="G20" s="47"/>
      <c r="H20" s="47"/>
      <c r="I20" s="63"/>
      <c r="K20" s="70"/>
      <c r="L20" s="66"/>
      <c r="M20" s="66"/>
      <c r="N20" s="66"/>
      <c r="O20" s="66"/>
      <c r="P20" s="47"/>
      <c r="Q20" s="47"/>
      <c r="R20" s="47"/>
      <c r="S20" s="63"/>
    </row>
    <row r="21" spans="1:19" ht="21" customHeight="1">
      <c r="A21" s="70">
        <v>4</v>
      </c>
      <c r="B21" s="783" t="s">
        <v>61</v>
      </c>
      <c r="C21" s="783"/>
      <c r="D21" s="783"/>
      <c r="E21" s="72" t="s">
        <v>62</v>
      </c>
      <c r="F21" s="68"/>
      <c r="G21" s="68"/>
      <c r="H21" s="68"/>
      <c r="I21" s="63"/>
      <c r="K21" s="70">
        <v>4</v>
      </c>
      <c r="L21" s="783" t="s">
        <v>61</v>
      </c>
      <c r="M21" s="783"/>
      <c r="N21" s="783"/>
      <c r="O21" s="72" t="s">
        <v>62</v>
      </c>
      <c r="P21" s="68"/>
      <c r="Q21" s="68"/>
      <c r="R21" s="68"/>
      <c r="S21" s="63"/>
    </row>
    <row r="22" spans="1:19" ht="21" customHeight="1">
      <c r="A22" s="70"/>
      <c r="B22" s="66"/>
      <c r="C22" s="66"/>
      <c r="D22" s="66"/>
      <c r="E22" s="66"/>
      <c r="F22" s="47"/>
      <c r="G22" s="47"/>
      <c r="H22" s="47"/>
      <c r="I22" s="63"/>
      <c r="K22" s="70"/>
      <c r="L22" s="66"/>
      <c r="M22" s="66"/>
      <c r="N22" s="66"/>
      <c r="O22" s="66"/>
      <c r="P22" s="47"/>
      <c r="Q22" s="47"/>
      <c r="R22" s="47"/>
      <c r="S22" s="63"/>
    </row>
    <row r="23" spans="1:19" ht="21" customHeight="1">
      <c r="A23" s="70">
        <v>5</v>
      </c>
      <c r="B23" s="783" t="s">
        <v>63</v>
      </c>
      <c r="C23" s="783"/>
      <c r="D23" s="783"/>
      <c r="E23" s="405">
        <f>'PUNJAB 04-22Master'!AL16</f>
        <v>64275.692519999997</v>
      </c>
      <c r="F23" s="47"/>
      <c r="G23" s="47"/>
      <c r="H23" s="47"/>
      <c r="I23" s="63"/>
      <c r="K23" s="70">
        <v>5</v>
      </c>
      <c r="L23" s="783" t="s">
        <v>63</v>
      </c>
      <c r="M23" s="783"/>
      <c r="N23" s="783"/>
      <c r="O23" s="405">
        <f>E23</f>
        <v>64275.692519999997</v>
      </c>
      <c r="P23" s="47"/>
      <c r="Q23" s="47"/>
      <c r="R23" s="47"/>
      <c r="S23" s="63"/>
    </row>
    <row r="24" spans="1:19" ht="21" customHeight="1">
      <c r="A24" s="70"/>
      <c r="B24" s="66"/>
      <c r="C24" s="66"/>
      <c r="D24" s="406" t="s">
        <v>64</v>
      </c>
      <c r="E24" s="406" t="s">
        <v>31</v>
      </c>
      <c r="F24" s="406" t="s">
        <v>33</v>
      </c>
      <c r="G24" s="407" t="s">
        <v>34</v>
      </c>
      <c r="H24" s="407" t="s">
        <v>379</v>
      </c>
      <c r="I24" s="401" t="s">
        <v>380</v>
      </c>
      <c r="K24" s="70"/>
      <c r="L24" s="66"/>
      <c r="M24" s="66"/>
      <c r="N24" s="406" t="s">
        <v>64</v>
      </c>
      <c r="O24" s="406" t="s">
        <v>31</v>
      </c>
      <c r="P24" s="406" t="s">
        <v>33</v>
      </c>
      <c r="Q24" s="407" t="s">
        <v>34</v>
      </c>
      <c r="R24" s="407" t="s">
        <v>379</v>
      </c>
      <c r="S24" s="401" t="s">
        <v>380</v>
      </c>
    </row>
    <row r="25" spans="1:19" ht="21" customHeight="1">
      <c r="A25" s="70">
        <v>6</v>
      </c>
      <c r="B25" s="494" t="s">
        <v>65</v>
      </c>
      <c r="C25" s="494"/>
      <c r="D25" s="408">
        <f>'PUNJAB 04-22Master'!AN16</f>
        <v>1800</v>
      </c>
      <c r="E25" s="408">
        <f>'PUNJAB 04-22Master'!AM16</f>
        <v>0</v>
      </c>
      <c r="F25" s="409">
        <f>'PUNJAB 04-22Master'!AO16</f>
        <v>200</v>
      </c>
      <c r="G25" s="408">
        <f>'PUNJAB 04-22Master'!AP16</f>
        <v>0</v>
      </c>
      <c r="H25" s="409">
        <f>'PUNJAB 04-22Master'!AQ16</f>
        <v>224</v>
      </c>
      <c r="I25" s="409">
        <f>D25+E25+F25+G25+H25</f>
        <v>2224</v>
      </c>
      <c r="K25" s="70">
        <v>6</v>
      </c>
      <c r="L25" s="494" t="s">
        <v>65</v>
      </c>
      <c r="M25" s="494"/>
      <c r="N25" s="408">
        <f t="shared" ref="N25" si="0">D25</f>
        <v>1800</v>
      </c>
      <c r="O25" s="408">
        <f t="shared" ref="O25" si="1">E25</f>
        <v>0</v>
      </c>
      <c r="P25" s="409">
        <f t="shared" ref="P25" si="2">F25</f>
        <v>200</v>
      </c>
      <c r="Q25" s="408">
        <f t="shared" ref="Q25" si="3">G25</f>
        <v>0</v>
      </c>
      <c r="R25" s="409">
        <f t="shared" ref="R25" si="4">H25</f>
        <v>224</v>
      </c>
      <c r="S25" s="409">
        <f t="shared" ref="S25" si="5">I25</f>
        <v>2224</v>
      </c>
    </row>
    <row r="26" spans="1:19" ht="21" customHeight="1">
      <c r="A26" s="70"/>
      <c r="B26" s="66"/>
      <c r="C26" s="66"/>
      <c r="D26" s="66"/>
      <c r="E26" s="66"/>
      <c r="F26" s="47"/>
      <c r="G26" s="47"/>
      <c r="H26" s="47"/>
      <c r="I26" s="63"/>
      <c r="K26" s="70"/>
      <c r="L26" s="66"/>
      <c r="M26" s="66"/>
      <c r="N26" s="66"/>
      <c r="O26" s="66"/>
      <c r="P26" s="47"/>
      <c r="Q26" s="47"/>
      <c r="R26" s="47"/>
      <c r="S26" s="63"/>
    </row>
    <row r="27" spans="1:19" ht="20.100000000000001" customHeight="1">
      <c r="A27" s="70">
        <v>7</v>
      </c>
      <c r="B27" s="783" t="s">
        <v>66</v>
      </c>
      <c r="C27" s="783"/>
      <c r="D27" s="783"/>
      <c r="E27" s="73">
        <f>E23-I25</f>
        <v>62051.692519999997</v>
      </c>
      <c r="F27" s="68"/>
      <c r="G27" s="68"/>
      <c r="H27" s="68"/>
      <c r="I27" s="63"/>
      <c r="K27" s="70">
        <v>7</v>
      </c>
      <c r="L27" s="783" t="s">
        <v>66</v>
      </c>
      <c r="M27" s="783"/>
      <c r="N27" s="783"/>
      <c r="O27" s="73">
        <f>E27</f>
        <v>62051.692519999997</v>
      </c>
      <c r="P27" s="68"/>
      <c r="Q27" s="68"/>
      <c r="R27" s="68"/>
      <c r="S27" s="63"/>
    </row>
    <row r="28" spans="1:19" ht="20.100000000000001" customHeight="1">
      <c r="A28" s="62"/>
      <c r="B28" s="47"/>
      <c r="C28" s="47"/>
      <c r="D28" s="47"/>
      <c r="E28" s="47"/>
      <c r="F28" s="47"/>
      <c r="G28" s="47"/>
      <c r="H28" s="47"/>
      <c r="I28" s="63"/>
      <c r="K28" s="62"/>
      <c r="L28" s="47"/>
      <c r="M28" s="47"/>
      <c r="N28" s="47"/>
      <c r="O28" s="47"/>
      <c r="P28" s="47"/>
      <c r="Q28" s="47"/>
      <c r="R28" s="47"/>
      <c r="S28" s="63"/>
    </row>
    <row r="29" spans="1:19" ht="20.100000000000001" customHeight="1">
      <c r="A29" s="62"/>
      <c r="B29" s="47"/>
      <c r="C29" s="47"/>
      <c r="D29" s="47"/>
      <c r="E29" s="47"/>
      <c r="F29" s="47"/>
      <c r="G29" s="47"/>
      <c r="H29" s="47"/>
      <c r="I29" s="63"/>
      <c r="K29" s="62"/>
      <c r="L29" s="47"/>
      <c r="M29" s="47"/>
      <c r="N29" s="47"/>
      <c r="O29" s="47"/>
      <c r="P29" s="47"/>
      <c r="Q29" s="47"/>
      <c r="R29" s="47"/>
      <c r="S29" s="63"/>
    </row>
    <row r="30" spans="1:19" ht="20.100000000000001" customHeight="1" thickBot="1">
      <c r="A30" s="62"/>
      <c r="B30" s="47"/>
      <c r="C30" s="47"/>
      <c r="D30" s="47"/>
      <c r="E30" s="47"/>
      <c r="F30" s="74"/>
      <c r="G30" s="74"/>
      <c r="H30" s="74"/>
      <c r="I30" s="75"/>
      <c r="K30" s="62"/>
      <c r="L30" s="47"/>
      <c r="M30" s="47"/>
      <c r="N30" s="47"/>
      <c r="O30" s="47"/>
      <c r="P30" s="74"/>
      <c r="Q30" s="74"/>
      <c r="R30" s="74"/>
      <c r="S30" s="75"/>
    </row>
    <row r="31" spans="1:19" ht="20.100000000000001" customHeight="1" thickBot="1">
      <c r="A31" s="76"/>
      <c r="B31" s="74"/>
      <c r="C31" s="74"/>
      <c r="D31" s="74"/>
      <c r="E31" s="74"/>
      <c r="F31" s="784" t="s">
        <v>67</v>
      </c>
      <c r="G31" s="784"/>
      <c r="H31" s="784"/>
      <c r="I31" s="785"/>
      <c r="K31" s="76"/>
      <c r="L31" s="74"/>
      <c r="M31" s="74"/>
      <c r="N31" s="74"/>
      <c r="O31" s="74"/>
      <c r="P31" s="784" t="s">
        <v>67</v>
      </c>
      <c r="Q31" s="784"/>
      <c r="R31" s="784"/>
      <c r="S31" s="785"/>
    </row>
  </sheetData>
  <mergeCells count="24">
    <mergeCell ref="B16:D17"/>
    <mergeCell ref="L16:N17"/>
    <mergeCell ref="P31:S31"/>
    <mergeCell ref="B19:D19"/>
    <mergeCell ref="L19:N19"/>
    <mergeCell ref="B21:D21"/>
    <mergeCell ref="L21:N21"/>
    <mergeCell ref="B23:D23"/>
    <mergeCell ref="L23:N23"/>
    <mergeCell ref="B27:D27"/>
    <mergeCell ref="L27:N27"/>
    <mergeCell ref="F31:I31"/>
    <mergeCell ref="A10:D10"/>
    <mergeCell ref="K10:N10"/>
    <mergeCell ref="A12:D12"/>
    <mergeCell ref="K12:N12"/>
    <mergeCell ref="B14:D14"/>
    <mergeCell ref="L14:N14"/>
    <mergeCell ref="A1:I1"/>
    <mergeCell ref="K1:S1"/>
    <mergeCell ref="A2:I2"/>
    <mergeCell ref="K2:S2"/>
    <mergeCell ref="A7:D8"/>
    <mergeCell ref="K7:N8"/>
  </mergeCells>
  <pageMargins left="0.48" right="0.46" top="0.75" bottom="0.75" header="0.31" footer="0.3"/>
  <pageSetup scale="70"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K56"/>
  <sheetViews>
    <sheetView topLeftCell="C10" zoomScale="80" zoomScaleNormal="80" workbookViewId="0">
      <selection activeCell="B8" sqref="B8:J8"/>
    </sheetView>
  </sheetViews>
  <sheetFormatPr defaultRowHeight="15"/>
  <cols>
    <col min="1" max="1" width="5.140625" customWidth="1"/>
    <col min="3" max="3" width="10.42578125" bestFit="1" customWidth="1"/>
    <col min="4" max="4" width="10.140625" customWidth="1"/>
    <col min="5" max="5" width="22" customWidth="1"/>
    <col min="6" max="6" width="9.7109375" bestFit="1" customWidth="1"/>
    <col min="8" max="8" width="10.42578125" bestFit="1" customWidth="1"/>
    <col min="10" max="10" width="22.140625" customWidth="1"/>
    <col min="11" max="11" width="16.85546875" customWidth="1"/>
    <col min="12" max="12" width="43.5703125" bestFit="1" customWidth="1"/>
  </cols>
  <sheetData>
    <row r="3" spans="1:11" ht="15.75" thickBot="1"/>
    <row r="4" spans="1:11" ht="26.25">
      <c r="A4" s="140"/>
      <c r="B4" s="775" t="s">
        <v>349</v>
      </c>
      <c r="C4" s="775"/>
      <c r="D4" s="775"/>
      <c r="E4" s="775"/>
      <c r="F4" s="775"/>
      <c r="G4" s="775"/>
      <c r="H4" s="775"/>
      <c r="I4" s="775"/>
      <c r="J4" s="775"/>
      <c r="K4" s="142"/>
    </row>
    <row r="5" spans="1:11">
      <c r="A5" s="62"/>
      <c r="B5" s="786" t="s">
        <v>423</v>
      </c>
      <c r="C5" s="786"/>
      <c r="D5" s="786"/>
      <c r="E5" s="786"/>
      <c r="F5" s="786"/>
      <c r="G5" s="786"/>
      <c r="H5" s="786"/>
      <c r="I5" s="786"/>
      <c r="J5" s="786"/>
      <c r="K5" s="63"/>
    </row>
    <row r="6" spans="1:11">
      <c r="A6" s="62"/>
      <c r="B6" s="528"/>
      <c r="C6" s="528"/>
      <c r="D6" s="528"/>
      <c r="E6" s="528"/>
      <c r="F6" s="528"/>
      <c r="G6" s="528"/>
      <c r="H6" s="528"/>
      <c r="I6" s="528"/>
      <c r="J6" s="528"/>
      <c r="K6" s="63"/>
    </row>
    <row r="7" spans="1:11" ht="23.25">
      <c r="A7" s="62"/>
      <c r="B7" s="787" t="s">
        <v>350</v>
      </c>
      <c r="C7" s="787"/>
      <c r="D7" s="787"/>
      <c r="E7" s="787"/>
      <c r="F7" s="787"/>
      <c r="G7" s="787"/>
      <c r="H7" s="787"/>
      <c r="I7" s="787"/>
      <c r="J7" s="787"/>
      <c r="K7" s="63"/>
    </row>
    <row r="8" spans="1:11">
      <c r="A8" s="62"/>
      <c r="B8" s="786"/>
      <c r="C8" s="786"/>
      <c r="D8" s="786"/>
      <c r="E8" s="786"/>
      <c r="F8" s="786"/>
      <c r="G8" s="786"/>
      <c r="H8" s="786"/>
      <c r="I8" s="786"/>
      <c r="J8" s="786"/>
      <c r="K8" s="63"/>
    </row>
    <row r="9" spans="1:11" ht="15.75" thickBot="1">
      <c r="A9" s="62"/>
      <c r="B9" s="788" t="s">
        <v>164</v>
      </c>
      <c r="C9" s="788"/>
      <c r="D9" s="788"/>
      <c r="E9" s="788"/>
      <c r="F9" s="532"/>
      <c r="G9" s="789" t="s">
        <v>351</v>
      </c>
      <c r="H9" s="789"/>
      <c r="I9" s="789"/>
      <c r="J9" s="789"/>
      <c r="K9" s="63"/>
    </row>
    <row r="10" spans="1:11">
      <c r="A10" s="62"/>
      <c r="B10" s="174"/>
      <c r="C10" s="387"/>
      <c r="D10" s="387"/>
      <c r="E10" s="388"/>
      <c r="F10" s="528"/>
      <c r="G10" s="174"/>
      <c r="H10" s="387"/>
      <c r="I10" s="387"/>
      <c r="J10" s="388"/>
      <c r="K10" s="63"/>
    </row>
    <row r="11" spans="1:11">
      <c r="A11" s="62"/>
      <c r="B11" s="143" t="str">
        <f>'PUNJAB 04-22Master'!F5</f>
        <v>Burgeon IT Services Pvt.Ltd.</v>
      </c>
      <c r="C11" s="144"/>
      <c r="D11" s="144"/>
      <c r="E11" s="145"/>
      <c r="F11" s="528"/>
      <c r="G11" s="143"/>
      <c r="H11" s="144"/>
      <c r="I11" s="144"/>
      <c r="J11" s="145"/>
      <c r="K11" s="63"/>
    </row>
    <row r="12" spans="1:11">
      <c r="A12" s="62"/>
      <c r="B12" s="143"/>
      <c r="C12" s="144"/>
      <c r="D12" s="144"/>
      <c r="E12" s="145"/>
      <c r="F12" s="528"/>
      <c r="G12" s="143"/>
      <c r="H12" s="144"/>
      <c r="I12" s="144"/>
      <c r="J12" s="145"/>
      <c r="K12" s="63"/>
    </row>
    <row r="13" spans="1:11">
      <c r="A13" s="62"/>
      <c r="B13" s="143" t="str">
        <f>'PUNJAB 04-22Master'!F6</f>
        <v>Siri Mansion LIGB 436 Dr.A S Rao Nagar,Hyderabad</v>
      </c>
      <c r="C13" s="144"/>
      <c r="D13" s="144"/>
      <c r="E13" s="145"/>
      <c r="F13" s="528"/>
      <c r="G13" s="143"/>
      <c r="H13" s="144"/>
      <c r="I13" s="144"/>
      <c r="J13" s="145"/>
      <c r="K13" s="63"/>
    </row>
    <row r="14" spans="1:11">
      <c r="A14" s="62"/>
      <c r="B14" s="143"/>
      <c r="C14" s="144"/>
      <c r="D14" s="144"/>
      <c r="E14" s="145"/>
      <c r="F14" s="528"/>
      <c r="G14" s="143"/>
      <c r="H14" s="144"/>
      <c r="I14" s="144"/>
      <c r="J14" s="145"/>
      <c r="K14" s="63"/>
    </row>
    <row r="15" spans="1:11" ht="15.75" thickBot="1">
      <c r="A15" s="62"/>
      <c r="B15" s="147"/>
      <c r="C15" s="77"/>
      <c r="D15" s="77"/>
      <c r="E15" s="148"/>
      <c r="F15" s="528"/>
      <c r="G15" s="147"/>
      <c r="H15" s="77"/>
      <c r="I15" s="77"/>
      <c r="J15" s="148"/>
      <c r="K15" s="63"/>
    </row>
    <row r="16" spans="1:11">
      <c r="A16" s="62"/>
      <c r="B16" s="47"/>
      <c r="C16" s="47"/>
      <c r="D16" s="47"/>
      <c r="E16" s="47"/>
      <c r="F16" s="47"/>
      <c r="G16" s="47"/>
      <c r="H16" s="47"/>
      <c r="I16" s="47"/>
      <c r="J16" s="47"/>
      <c r="K16" s="63"/>
    </row>
    <row r="17" spans="1:11" ht="15.75" thickBot="1">
      <c r="A17" s="62"/>
      <c r="B17" s="788" t="s">
        <v>352</v>
      </c>
      <c r="C17" s="788"/>
      <c r="D17" s="788"/>
      <c r="E17" s="788"/>
      <c r="F17" s="532"/>
      <c r="G17" s="789" t="s">
        <v>353</v>
      </c>
      <c r="H17" s="789"/>
      <c r="I17" s="789"/>
      <c r="J17" s="789"/>
      <c r="K17" s="63"/>
    </row>
    <row r="18" spans="1:11">
      <c r="A18" s="62"/>
      <c r="B18" s="174"/>
      <c r="C18" s="387"/>
      <c r="D18" s="387"/>
      <c r="E18" s="388"/>
      <c r="F18" s="528"/>
      <c r="G18" s="174"/>
      <c r="H18" s="387"/>
      <c r="I18" s="387"/>
      <c r="J18" s="388"/>
      <c r="K18" s="63"/>
    </row>
    <row r="19" spans="1:11">
      <c r="A19" s="62"/>
      <c r="B19" s="143"/>
      <c r="C19" s="144"/>
      <c r="D19" s="144"/>
      <c r="E19" s="145"/>
      <c r="F19" s="528"/>
      <c r="G19" s="143" t="str">
        <f>'PUNJAB 04-22Master'!AO10</f>
        <v xml:space="preserve">INFOSYS  LTD.IL </v>
      </c>
      <c r="H19" s="144"/>
      <c r="I19" s="144"/>
      <c r="J19" s="145"/>
      <c r="K19" s="63"/>
    </row>
    <row r="20" spans="1:11">
      <c r="A20" s="62"/>
      <c r="B20" s="143"/>
      <c r="C20" s="144"/>
      <c r="D20" s="144"/>
      <c r="E20" s="145"/>
      <c r="F20" s="528"/>
      <c r="G20" s="143"/>
      <c r="H20" s="144"/>
      <c r="I20" s="144"/>
      <c r="J20" s="145"/>
      <c r="K20" s="63"/>
    </row>
    <row r="21" spans="1:11">
      <c r="A21" s="62"/>
      <c r="B21" s="143" t="str">
        <f>'PUNJAB 04-22Master'!F8</f>
        <v>IT SUPPORTIVE SERVICES&amp;Chandigarh</v>
      </c>
      <c r="C21" s="144"/>
      <c r="D21" s="144"/>
      <c r="E21" s="145"/>
      <c r="F21" s="528"/>
      <c r="G21" s="143" t="str">
        <f>'PUNJAB 04-22Master'!AO11</f>
        <v>No.45&amp;46,3rd Cross,Electronic City,BANGALORE,KARNATAKA</v>
      </c>
      <c r="H21" s="144"/>
      <c r="I21" s="144"/>
      <c r="J21" s="145"/>
      <c r="K21" s="63"/>
    </row>
    <row r="22" spans="1:11">
      <c r="A22" s="62"/>
      <c r="B22" s="143"/>
      <c r="C22" s="144"/>
      <c r="D22" s="144"/>
      <c r="E22" s="145"/>
      <c r="F22" s="528"/>
      <c r="G22" s="143"/>
      <c r="H22" s="144"/>
      <c r="I22" s="144"/>
      <c r="J22" s="145"/>
      <c r="K22" s="63"/>
    </row>
    <row r="23" spans="1:11" ht="15.75" thickBot="1">
      <c r="A23" s="62"/>
      <c r="B23" s="147"/>
      <c r="C23" s="77"/>
      <c r="D23" s="77"/>
      <c r="E23" s="148"/>
      <c r="F23" s="528"/>
      <c r="G23" s="147"/>
      <c r="H23" s="77"/>
      <c r="I23" s="77"/>
      <c r="J23" s="148"/>
      <c r="K23" s="63"/>
    </row>
    <row r="24" spans="1:11">
      <c r="A24" s="62"/>
      <c r="B24" s="47"/>
      <c r="C24" s="47"/>
      <c r="D24" s="47"/>
      <c r="E24" s="47"/>
      <c r="F24" s="47"/>
      <c r="G24" s="47"/>
      <c r="H24" s="47"/>
      <c r="I24" s="47"/>
      <c r="J24" s="47"/>
      <c r="K24" s="63"/>
    </row>
    <row r="25" spans="1:11">
      <c r="A25" s="62"/>
      <c r="B25" s="47"/>
      <c r="C25" s="47"/>
      <c r="D25" s="47"/>
      <c r="E25" s="47"/>
      <c r="F25" s="47"/>
      <c r="G25" s="47"/>
      <c r="H25" s="47"/>
      <c r="I25" s="47"/>
      <c r="J25" s="47"/>
      <c r="K25" s="63"/>
    </row>
    <row r="26" spans="1:11">
      <c r="A26" s="62"/>
      <c r="B26" s="792" t="s">
        <v>354</v>
      </c>
      <c r="C26" s="792"/>
      <c r="D26" s="792"/>
      <c r="E26" s="792"/>
      <c r="F26" s="793">
        <f>'PUNJAB 04-22Master'!B19</f>
        <v>0</v>
      </c>
      <c r="G26" s="794"/>
      <c r="H26" s="794"/>
      <c r="I26" s="794"/>
      <c r="J26" s="794"/>
      <c r="K26" s="63"/>
    </row>
    <row r="27" spans="1:11">
      <c r="A27" s="62"/>
      <c r="B27" s="530"/>
      <c r="C27" s="530"/>
      <c r="D27" s="530"/>
      <c r="E27" s="530"/>
      <c r="F27" s="118"/>
      <c r="G27" s="118">
        <f>'PUNJAB 04-22Master'!G19</f>
        <v>0</v>
      </c>
      <c r="H27" s="118"/>
      <c r="I27" s="118"/>
      <c r="J27" s="118"/>
      <c r="K27" s="63"/>
    </row>
    <row r="28" spans="1:11">
      <c r="A28" s="62"/>
      <c r="B28" s="530"/>
      <c r="C28" s="530"/>
      <c r="D28" s="530"/>
      <c r="E28" s="530"/>
      <c r="F28" s="68"/>
      <c r="G28" s="68"/>
      <c r="H28" s="68"/>
      <c r="I28" s="68"/>
      <c r="J28" s="68"/>
      <c r="K28" s="63"/>
    </row>
    <row r="29" spans="1:11">
      <c r="A29" s="62"/>
      <c r="B29" s="530"/>
      <c r="C29" s="530"/>
      <c r="D29" s="530"/>
      <c r="E29" s="530"/>
      <c r="F29" s="118"/>
      <c r="G29" s="118"/>
      <c r="H29" s="118"/>
      <c r="I29" s="118"/>
      <c r="J29" s="118"/>
      <c r="K29" s="63"/>
    </row>
    <row r="30" spans="1:11">
      <c r="A30" s="62"/>
      <c r="B30" s="530"/>
      <c r="C30" s="530"/>
      <c r="D30" s="530"/>
      <c r="E30" s="530"/>
      <c r="F30" s="47"/>
      <c r="G30" s="47"/>
      <c r="H30" s="47"/>
      <c r="I30" s="47"/>
      <c r="J30" s="47"/>
      <c r="K30" s="63"/>
    </row>
    <row r="31" spans="1:11">
      <c r="A31" s="62"/>
      <c r="B31" s="792" t="s">
        <v>355</v>
      </c>
      <c r="C31" s="792"/>
      <c r="D31" s="792"/>
      <c r="E31" s="792"/>
      <c r="F31" s="526">
        <f>+'PUNJAB 04-22Master'!C19</f>
        <v>0</v>
      </c>
      <c r="G31" s="68"/>
      <c r="H31" s="68"/>
      <c r="I31" s="68"/>
      <c r="J31" s="68"/>
      <c r="K31" s="63"/>
    </row>
    <row r="32" spans="1:11">
      <c r="A32" s="62"/>
      <c r="B32" s="530"/>
      <c r="C32" s="530"/>
      <c r="D32" s="530"/>
      <c r="E32" s="530"/>
      <c r="F32" s="47"/>
      <c r="G32" s="47"/>
      <c r="H32" s="47"/>
      <c r="I32" s="47"/>
      <c r="J32" s="47"/>
      <c r="K32" s="63"/>
    </row>
    <row r="33" spans="1:11">
      <c r="A33" s="62"/>
      <c r="B33" s="792" t="s">
        <v>356</v>
      </c>
      <c r="C33" s="792"/>
      <c r="D33" s="792"/>
      <c r="E33" s="792"/>
      <c r="F33" s="68"/>
      <c r="G33" s="68"/>
      <c r="H33" s="68"/>
      <c r="I33" s="68"/>
      <c r="J33" s="68"/>
      <c r="K33" s="63"/>
    </row>
    <row r="34" spans="1:11">
      <c r="A34" s="62"/>
      <c r="B34" s="530"/>
      <c r="C34" s="530"/>
      <c r="D34" s="530"/>
      <c r="E34" s="530"/>
      <c r="F34" s="47"/>
      <c r="G34" s="47"/>
      <c r="H34" s="47"/>
      <c r="I34" s="47"/>
      <c r="J34" s="47"/>
      <c r="K34" s="63"/>
    </row>
    <row r="35" spans="1:11">
      <c r="A35" s="62"/>
      <c r="B35" s="792" t="s">
        <v>357</v>
      </c>
      <c r="C35" s="792"/>
      <c r="D35" s="792"/>
      <c r="E35" s="792"/>
      <c r="F35" s="68">
        <f>'PUNJAB 04-22Master'!E19</f>
        <v>0</v>
      </c>
      <c r="G35" s="68"/>
      <c r="H35" s="68"/>
      <c r="I35" s="68"/>
      <c r="J35" s="68"/>
      <c r="K35" s="63"/>
    </row>
    <row r="36" spans="1:11">
      <c r="A36" s="62"/>
      <c r="B36" s="530"/>
      <c r="C36" s="530"/>
      <c r="D36" s="530"/>
      <c r="E36" s="530"/>
      <c r="F36" s="47"/>
      <c r="G36" s="47"/>
      <c r="H36" s="47"/>
      <c r="I36" s="47"/>
      <c r="J36" s="47"/>
      <c r="K36" s="63"/>
    </row>
    <row r="37" spans="1:11" ht="15.75" thickBot="1">
      <c r="A37" s="62"/>
      <c r="B37" s="47"/>
      <c r="C37" s="47"/>
      <c r="D37" s="47"/>
      <c r="E37" s="47"/>
      <c r="F37" s="47"/>
      <c r="G37" s="47"/>
      <c r="H37" s="47"/>
      <c r="I37" s="47"/>
      <c r="J37" s="47"/>
      <c r="K37" s="63"/>
    </row>
    <row r="38" spans="1:11">
      <c r="A38" s="62"/>
      <c r="B38" s="795" t="s">
        <v>358</v>
      </c>
      <c r="C38" s="797" t="s">
        <v>359</v>
      </c>
      <c r="D38" s="797"/>
      <c r="E38" s="797" t="s">
        <v>360</v>
      </c>
      <c r="F38" s="797"/>
      <c r="G38" s="797" t="s">
        <v>361</v>
      </c>
      <c r="H38" s="797"/>
      <c r="I38" s="797"/>
      <c r="J38" s="790" t="s">
        <v>41</v>
      </c>
      <c r="K38" s="63"/>
    </row>
    <row r="39" spans="1:11">
      <c r="A39" s="62"/>
      <c r="B39" s="796"/>
      <c r="C39" s="798"/>
      <c r="D39" s="798"/>
      <c r="E39" s="798"/>
      <c r="F39" s="798"/>
      <c r="G39" s="798"/>
      <c r="H39" s="798"/>
      <c r="I39" s="798"/>
      <c r="J39" s="791"/>
      <c r="K39" s="63"/>
    </row>
    <row r="40" spans="1:11">
      <c r="A40" s="62"/>
      <c r="B40" s="796"/>
      <c r="C40" s="531" t="s">
        <v>362</v>
      </c>
      <c r="D40" s="531" t="s">
        <v>149</v>
      </c>
      <c r="E40" s="798"/>
      <c r="F40" s="798"/>
      <c r="G40" s="798"/>
      <c r="H40" s="798"/>
      <c r="I40" s="798"/>
      <c r="J40" s="791"/>
      <c r="K40" s="63"/>
    </row>
    <row r="41" spans="1:11">
      <c r="A41" s="62"/>
      <c r="B41" s="384">
        <v>1</v>
      </c>
      <c r="C41" s="529">
        <v>2</v>
      </c>
      <c r="D41" s="529">
        <v>3</v>
      </c>
      <c r="E41" s="799">
        <v>4</v>
      </c>
      <c r="F41" s="799"/>
      <c r="G41" s="799">
        <v>5</v>
      </c>
      <c r="H41" s="799"/>
      <c r="I41" s="799"/>
      <c r="J41" s="385">
        <v>6</v>
      </c>
      <c r="K41" s="63"/>
    </row>
    <row r="42" spans="1:11">
      <c r="A42" s="62"/>
      <c r="B42" s="527">
        <f>'PUNJAB 04-22Master'!A19</f>
        <v>0</v>
      </c>
      <c r="C42" s="562">
        <f>'PUNJAB 04-22Master'!N19</f>
        <v>0</v>
      </c>
      <c r="D42" s="562">
        <f>'PUNJAB 04-22Master'!P19</f>
        <v>0</v>
      </c>
      <c r="E42" s="800">
        <f>'PUNJAB 04-22Master'!F19</f>
        <v>0</v>
      </c>
      <c r="F42" s="800"/>
      <c r="G42" s="801">
        <f>'PUNJAB 04-22Master'!X19</f>
        <v>0</v>
      </c>
      <c r="H42" s="800"/>
      <c r="I42" s="800"/>
      <c r="J42" s="527">
        <f>'PUNJAB 04-22Master'!Q19</f>
        <v>0</v>
      </c>
      <c r="K42" s="63"/>
    </row>
    <row r="43" spans="1:11">
      <c r="A43" s="62"/>
      <c r="B43" s="529"/>
      <c r="C43" s="529"/>
      <c r="D43" s="529"/>
      <c r="E43" s="800"/>
      <c r="F43" s="800"/>
      <c r="G43" s="800"/>
      <c r="H43" s="800"/>
      <c r="I43" s="800"/>
      <c r="J43" s="529"/>
      <c r="K43" s="63"/>
    </row>
    <row r="44" spans="1:11">
      <c r="A44" s="62"/>
      <c r="B44" s="529"/>
      <c r="C44" s="529"/>
      <c r="D44" s="529"/>
      <c r="E44" s="800"/>
      <c r="F44" s="800"/>
      <c r="G44" s="800"/>
      <c r="H44" s="800"/>
      <c r="I44" s="800"/>
      <c r="J44" s="529"/>
      <c r="K44" s="63"/>
    </row>
    <row r="45" spans="1:11">
      <c r="A45" s="62"/>
      <c r="B45" s="30"/>
      <c r="C45" s="30"/>
      <c r="D45" s="30"/>
      <c r="E45" s="800"/>
      <c r="F45" s="800"/>
      <c r="G45" s="800"/>
      <c r="H45" s="800"/>
      <c r="I45" s="800"/>
      <c r="J45" s="30"/>
      <c r="K45" s="63"/>
    </row>
    <row r="46" spans="1:11">
      <c r="A46" s="62"/>
      <c r="B46" s="30"/>
      <c r="C46" s="30"/>
      <c r="D46" s="30"/>
      <c r="E46" s="800"/>
      <c r="F46" s="800"/>
      <c r="G46" s="800"/>
      <c r="H46" s="800"/>
      <c r="I46" s="800"/>
      <c r="J46" s="30"/>
      <c r="K46" s="63"/>
    </row>
    <row r="47" spans="1:11">
      <c r="A47" s="62"/>
      <c r="B47" s="30"/>
      <c r="C47" s="30"/>
      <c r="D47" s="30"/>
      <c r="E47" s="800"/>
      <c r="F47" s="800"/>
      <c r="G47" s="800"/>
      <c r="H47" s="800"/>
      <c r="I47" s="800"/>
      <c r="J47" s="30"/>
      <c r="K47" s="63"/>
    </row>
    <row r="48" spans="1:11">
      <c r="A48" s="62"/>
      <c r="B48" s="30"/>
      <c r="C48" s="30"/>
      <c r="D48" s="30"/>
      <c r="E48" s="800"/>
      <c r="F48" s="800"/>
      <c r="G48" s="800"/>
      <c r="H48" s="800"/>
      <c r="I48" s="800"/>
      <c r="J48" s="30"/>
      <c r="K48" s="63"/>
    </row>
    <row r="49" spans="1:11">
      <c r="A49" s="62"/>
      <c r="B49" s="30"/>
      <c r="C49" s="30"/>
      <c r="D49" s="30"/>
      <c r="E49" s="800"/>
      <c r="F49" s="800"/>
      <c r="G49" s="800"/>
      <c r="H49" s="800"/>
      <c r="I49" s="800"/>
      <c r="J49" s="30"/>
      <c r="K49" s="63"/>
    </row>
    <row r="50" spans="1:11">
      <c r="A50" s="62"/>
      <c r="B50" s="30"/>
      <c r="C50" s="30"/>
      <c r="D50" s="30"/>
      <c r="E50" s="800"/>
      <c r="F50" s="800"/>
      <c r="G50" s="800"/>
      <c r="H50" s="800"/>
      <c r="I50" s="800"/>
      <c r="J50" s="30"/>
      <c r="K50" s="63"/>
    </row>
    <row r="51" spans="1:11">
      <c r="A51" s="62"/>
      <c r="B51" s="30"/>
      <c r="C51" s="30"/>
      <c r="D51" s="30"/>
      <c r="E51" s="800"/>
      <c r="F51" s="800"/>
      <c r="G51" s="800"/>
      <c r="H51" s="800"/>
      <c r="I51" s="800"/>
      <c r="J51" s="30"/>
      <c r="K51" s="63"/>
    </row>
    <row r="52" spans="1:11">
      <c r="A52" s="62"/>
      <c r="B52" s="30"/>
      <c r="C52" s="30"/>
      <c r="D52" s="30"/>
      <c r="E52" s="800"/>
      <c r="F52" s="800"/>
      <c r="G52" s="800"/>
      <c r="H52" s="800"/>
      <c r="I52" s="800"/>
      <c r="J52" s="30"/>
      <c r="K52" s="63"/>
    </row>
    <row r="53" spans="1:11">
      <c r="A53" s="62"/>
      <c r="B53" s="47"/>
      <c r="C53" s="47"/>
      <c r="D53" s="47"/>
      <c r="E53" s="47"/>
      <c r="F53" s="47"/>
      <c r="G53" s="47"/>
      <c r="H53" s="47"/>
      <c r="I53" s="47"/>
      <c r="J53" s="47"/>
      <c r="K53" s="63"/>
    </row>
    <row r="54" spans="1:11">
      <c r="A54" s="62"/>
      <c r="B54" s="47"/>
      <c r="C54" s="47"/>
      <c r="D54" s="47"/>
      <c r="E54" s="47"/>
      <c r="F54" s="47"/>
      <c r="G54" s="47"/>
      <c r="H54" s="47"/>
      <c r="I54" s="47"/>
      <c r="J54" s="47"/>
      <c r="K54" s="63"/>
    </row>
    <row r="55" spans="1:11" ht="15.75" thickBot="1">
      <c r="A55" s="62"/>
      <c r="B55" s="47"/>
      <c r="C55" s="47"/>
      <c r="D55" s="47"/>
      <c r="E55" s="47"/>
      <c r="F55" s="47"/>
      <c r="G55" s="47"/>
      <c r="H55" s="802"/>
      <c r="I55" s="802"/>
      <c r="J55" s="802"/>
      <c r="K55" s="63"/>
    </row>
    <row r="56" spans="1:11" ht="15.75" thickBot="1">
      <c r="A56" s="76"/>
      <c r="B56" s="74"/>
      <c r="C56" s="74"/>
      <c r="D56" s="74"/>
      <c r="E56" s="74"/>
      <c r="F56" s="74"/>
      <c r="G56" s="74"/>
      <c r="H56" s="386" t="s">
        <v>363</v>
      </c>
      <c r="I56" s="78"/>
      <c r="J56" s="78"/>
      <c r="K56" s="75"/>
    </row>
  </sheetData>
  <mergeCells count="43">
    <mergeCell ref="H55:J55"/>
    <mergeCell ref="E50:F50"/>
    <mergeCell ref="G50:I50"/>
    <mergeCell ref="E51:F51"/>
    <mergeCell ref="G51:I51"/>
    <mergeCell ref="E52:F52"/>
    <mergeCell ref="G52:I52"/>
    <mergeCell ref="E47:F47"/>
    <mergeCell ref="G47:I47"/>
    <mergeCell ref="E48:F48"/>
    <mergeCell ref="G48:I48"/>
    <mergeCell ref="E49:F49"/>
    <mergeCell ref="G49:I49"/>
    <mergeCell ref="E44:F44"/>
    <mergeCell ref="G44:I44"/>
    <mergeCell ref="E45:F45"/>
    <mergeCell ref="G45:I45"/>
    <mergeCell ref="E46:F46"/>
    <mergeCell ref="G46:I46"/>
    <mergeCell ref="E41:F41"/>
    <mergeCell ref="G41:I41"/>
    <mergeCell ref="E42:F42"/>
    <mergeCell ref="G42:I42"/>
    <mergeCell ref="E43:F43"/>
    <mergeCell ref="G43:I43"/>
    <mergeCell ref="J38:J40"/>
    <mergeCell ref="B17:E17"/>
    <mergeCell ref="G17:J17"/>
    <mergeCell ref="B26:E26"/>
    <mergeCell ref="F26:J26"/>
    <mergeCell ref="B31:E31"/>
    <mergeCell ref="B33:E33"/>
    <mergeCell ref="B35:E35"/>
    <mergeCell ref="B38:B40"/>
    <mergeCell ref="C38:D39"/>
    <mergeCell ref="E38:F40"/>
    <mergeCell ref="G38:I40"/>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7"/>
  <sheetViews>
    <sheetView workbookViewId="0">
      <selection activeCell="E10" sqref="E10"/>
    </sheetView>
  </sheetViews>
  <sheetFormatPr defaultRowHeight="15"/>
  <cols>
    <col min="1" max="1" width="5.28515625" customWidth="1"/>
    <col min="3" max="3" width="12.5703125" customWidth="1"/>
    <col min="4" max="4" width="44.28515625" customWidth="1"/>
    <col min="13" max="13" width="16.7109375" customWidth="1"/>
  </cols>
  <sheetData>
    <row r="1" spans="1:13">
      <c r="A1" s="803" t="s">
        <v>68</v>
      </c>
      <c r="B1" s="803"/>
      <c r="C1" s="803"/>
      <c r="D1" s="803"/>
      <c r="E1" s="803"/>
      <c r="F1" s="803"/>
      <c r="G1" s="803"/>
      <c r="H1" s="803"/>
      <c r="I1" s="803"/>
      <c r="J1" s="803"/>
      <c r="K1" s="803"/>
      <c r="L1" s="803"/>
      <c r="M1" s="803"/>
    </row>
    <row r="2" spans="1:13">
      <c r="A2" s="803"/>
      <c r="B2" s="803"/>
      <c r="C2" s="803"/>
      <c r="D2" s="803"/>
      <c r="E2" s="803"/>
      <c r="F2" s="803"/>
      <c r="G2" s="803"/>
      <c r="H2" s="803"/>
      <c r="I2" s="803"/>
      <c r="J2" s="803"/>
      <c r="K2" s="803"/>
      <c r="L2" s="803"/>
      <c r="M2" s="803"/>
    </row>
    <row r="3" spans="1:13">
      <c r="A3" s="723" t="s">
        <v>427</v>
      </c>
      <c r="B3" s="723"/>
      <c r="C3" s="723"/>
      <c r="D3" s="723"/>
      <c r="E3" s="723"/>
      <c r="F3" s="723"/>
      <c r="G3" s="723"/>
      <c r="H3" s="723"/>
      <c r="I3" s="723"/>
      <c r="J3" s="723"/>
      <c r="K3" s="723"/>
      <c r="L3" s="723"/>
      <c r="M3" s="723"/>
    </row>
    <row r="4" spans="1:13" ht="15" customHeight="1">
      <c r="A4" s="80" t="s">
        <v>377</v>
      </c>
      <c r="B4" s="81"/>
      <c r="C4" s="81"/>
      <c r="D4" s="82" t="str">
        <f>'PUNJAB 04-22Master'!F5</f>
        <v>Burgeon IT Services Pvt.Ltd.</v>
      </c>
      <c r="E4" s="120" t="s">
        <v>84</v>
      </c>
      <c r="F4" s="121"/>
      <c r="G4" s="121"/>
      <c r="H4" s="121"/>
      <c r="I4" s="121"/>
      <c r="J4" s="121"/>
      <c r="K4" s="121"/>
      <c r="L4" s="121"/>
      <c r="M4" s="119"/>
    </row>
    <row r="5" spans="1:13">
      <c r="A5" s="83"/>
      <c r="B5" s="84" t="str">
        <f>'PUNJAB 04-22Master'!F6</f>
        <v>Siri Mansion LIGB 436 Dr.A S Rao Nagar,Hyderabad</v>
      </c>
      <c r="C5" s="84"/>
      <c r="D5" s="85"/>
      <c r="E5" s="98"/>
      <c r="F5" s="118"/>
      <c r="G5" s="118"/>
      <c r="H5" s="118"/>
      <c r="I5" s="118"/>
      <c r="J5" s="118"/>
      <c r="K5" s="118"/>
      <c r="L5" s="118"/>
      <c r="M5" s="119"/>
    </row>
    <row r="6" spans="1:13">
      <c r="A6" s="86"/>
      <c r="B6" s="87">
        <f>'PUNJAB 04-22Master'!F7</f>
        <v>0</v>
      </c>
      <c r="C6" s="87"/>
      <c r="D6" s="88"/>
      <c r="E6" s="85"/>
      <c r="F6" s="87"/>
      <c r="G6" s="87"/>
      <c r="H6" s="87"/>
      <c r="I6" s="87"/>
      <c r="J6" s="87"/>
      <c r="K6" s="87"/>
      <c r="L6" s="87"/>
      <c r="M6" s="88"/>
    </row>
    <row r="7" spans="1:13">
      <c r="A7" s="89" t="s">
        <v>83</v>
      </c>
      <c r="B7" s="81"/>
      <c r="C7" s="81"/>
      <c r="D7" s="82" t="str">
        <f>'PUNJAB 04-22Master'!F8</f>
        <v>IT SUPPORTIVE SERVICES&amp;Chandigarh</v>
      </c>
      <c r="E7" s="89" t="s">
        <v>69</v>
      </c>
      <c r="F7" s="81"/>
      <c r="G7" s="81"/>
      <c r="H7" s="81"/>
      <c r="I7" s="81"/>
      <c r="J7" s="81"/>
      <c r="K7" s="81"/>
      <c r="L7" s="81"/>
      <c r="M7" s="82"/>
    </row>
    <row r="8" spans="1:13">
      <c r="A8" s="83"/>
      <c r="B8" s="84"/>
      <c r="C8" s="84"/>
      <c r="D8" s="85"/>
      <c r="E8" s="90" t="str">
        <f>'PUNJAB 04-22Master'!AO10</f>
        <v xml:space="preserve">INFOSYS  LTD.IL </v>
      </c>
      <c r="F8" s="84"/>
      <c r="G8" s="84"/>
      <c r="H8" s="84"/>
      <c r="I8" s="84"/>
      <c r="J8" s="84"/>
      <c r="K8" s="84"/>
      <c r="L8" s="84"/>
      <c r="M8" s="85"/>
    </row>
    <row r="9" spans="1:13">
      <c r="A9" s="83"/>
      <c r="B9" s="84"/>
      <c r="C9" s="84"/>
      <c r="D9" s="85"/>
      <c r="E9" s="83" t="str">
        <f>'PUNJAB APRIL 22-WMn Reg'!O8</f>
        <v>IL Chandigarh SEZ Unit - I Rajiv Gandhi Chandigarh tech Park, Kishangarh, Chandigarh-160101</v>
      </c>
      <c r="F9" s="84"/>
      <c r="G9" s="84"/>
      <c r="H9" s="84"/>
      <c r="I9" s="84"/>
      <c r="J9" s="84"/>
      <c r="K9" s="84"/>
      <c r="L9" s="84"/>
      <c r="M9" s="85"/>
    </row>
    <row r="10" spans="1:13">
      <c r="A10" s="86"/>
      <c r="B10" s="87"/>
      <c r="C10" s="87"/>
      <c r="D10" s="88"/>
      <c r="E10" s="86"/>
      <c r="F10" s="87"/>
      <c r="G10" s="87"/>
      <c r="H10" s="87"/>
      <c r="I10" s="87"/>
      <c r="J10" s="87"/>
      <c r="K10" s="87"/>
      <c r="L10" s="87"/>
      <c r="M10" s="88"/>
    </row>
    <row r="11" spans="1:13" ht="38.25">
      <c r="A11" s="717" t="s">
        <v>5</v>
      </c>
      <c r="B11" s="717" t="s">
        <v>70</v>
      </c>
      <c r="C11" s="91" t="s">
        <v>71</v>
      </c>
      <c r="D11" s="726" t="s">
        <v>72</v>
      </c>
      <c r="E11" s="726" t="s">
        <v>73</v>
      </c>
      <c r="F11" s="726" t="s">
        <v>74</v>
      </c>
      <c r="G11" s="726" t="s">
        <v>75</v>
      </c>
      <c r="H11" s="726" t="s">
        <v>76</v>
      </c>
      <c r="I11" s="726" t="s">
        <v>77</v>
      </c>
      <c r="J11" s="717" t="s">
        <v>78</v>
      </c>
      <c r="K11" s="717"/>
      <c r="L11" s="717"/>
      <c r="M11" s="92" t="s">
        <v>41</v>
      </c>
    </row>
    <row r="12" spans="1:13" ht="38.25">
      <c r="A12" s="717"/>
      <c r="B12" s="717"/>
      <c r="C12" s="93"/>
      <c r="D12" s="726"/>
      <c r="E12" s="726"/>
      <c r="F12" s="726"/>
      <c r="G12" s="726"/>
      <c r="H12" s="726"/>
      <c r="I12" s="726"/>
      <c r="J12" s="94" t="s">
        <v>79</v>
      </c>
      <c r="K12" s="94" t="s">
        <v>80</v>
      </c>
      <c r="L12" s="94" t="s">
        <v>81</v>
      </c>
      <c r="M12" s="95"/>
    </row>
    <row r="13" spans="1:13">
      <c r="A13" s="96">
        <v>1</v>
      </c>
      <c r="B13" s="96">
        <v>2</v>
      </c>
      <c r="C13" s="96">
        <v>3</v>
      </c>
      <c r="D13" s="96">
        <v>4</v>
      </c>
      <c r="E13" s="96">
        <v>5</v>
      </c>
      <c r="F13" s="96">
        <v>6</v>
      </c>
      <c r="G13" s="96">
        <v>7</v>
      </c>
      <c r="H13" s="96">
        <v>8</v>
      </c>
      <c r="I13" s="96">
        <v>9</v>
      </c>
      <c r="J13" s="96">
        <v>10</v>
      </c>
      <c r="K13" s="96">
        <v>11</v>
      </c>
      <c r="L13" s="96">
        <v>12</v>
      </c>
      <c r="M13" s="96">
        <v>13</v>
      </c>
    </row>
    <row r="14" spans="1:13">
      <c r="A14" s="97"/>
      <c r="B14" s="97"/>
      <c r="C14" s="97"/>
      <c r="D14" s="97"/>
      <c r="E14" s="97"/>
      <c r="F14" s="97"/>
      <c r="G14" s="97"/>
      <c r="H14" s="97"/>
      <c r="I14" s="97"/>
      <c r="J14" s="97"/>
      <c r="K14" s="97"/>
      <c r="L14" s="97"/>
      <c r="M14" s="97"/>
    </row>
    <row r="15" spans="1:13" ht="15.75" thickBot="1">
      <c r="A15" s="97"/>
      <c r="B15" s="101"/>
      <c r="C15" s="101"/>
      <c r="D15" s="101"/>
      <c r="E15" s="101"/>
      <c r="F15" s="101"/>
      <c r="G15" s="101"/>
      <c r="H15" s="101"/>
      <c r="I15" s="101"/>
      <c r="J15" s="101"/>
      <c r="K15" s="101"/>
      <c r="L15" s="101"/>
      <c r="M15" s="101"/>
    </row>
    <row r="16" spans="1:13" ht="15.75" thickBot="1">
      <c r="A16" s="100"/>
      <c r="B16" s="104" t="s">
        <v>378</v>
      </c>
      <c r="C16" s="105"/>
      <c r="D16" s="105"/>
      <c r="E16" s="105"/>
      <c r="F16" s="105"/>
      <c r="G16" s="106"/>
      <c r="H16" s="103">
        <f>'PUNJAB 04-22Master'!D10</f>
        <v>44652</v>
      </c>
      <c r="I16" s="97"/>
      <c r="J16" s="97"/>
      <c r="K16" s="97"/>
      <c r="L16" s="97"/>
      <c r="M16" s="97"/>
    </row>
    <row r="17" spans="1:13">
      <c r="A17" s="97"/>
      <c r="B17" s="102"/>
      <c r="C17" s="102"/>
      <c r="D17" s="102"/>
      <c r="E17" s="102"/>
      <c r="F17" s="102"/>
      <c r="G17" s="102"/>
      <c r="H17" s="102"/>
      <c r="I17" s="102"/>
      <c r="J17" s="102"/>
      <c r="K17" s="102"/>
      <c r="L17" s="102"/>
      <c r="M17" s="102"/>
    </row>
    <row r="18" spans="1:13">
      <c r="A18" s="97"/>
      <c r="B18" s="97"/>
      <c r="C18" s="97"/>
      <c r="D18" s="97"/>
      <c r="E18" s="97"/>
      <c r="F18" s="97"/>
      <c r="G18" s="97"/>
      <c r="H18" s="97"/>
      <c r="I18" s="97"/>
      <c r="J18" s="97"/>
      <c r="K18" s="97"/>
      <c r="L18" s="97"/>
      <c r="M18" s="97"/>
    </row>
    <row r="19" spans="1:13">
      <c r="A19" s="97"/>
      <c r="B19" s="97"/>
      <c r="C19" s="97"/>
      <c r="D19" s="97"/>
      <c r="E19" s="97"/>
      <c r="F19" s="97"/>
      <c r="G19" s="97"/>
      <c r="H19" s="97"/>
      <c r="I19" s="97"/>
      <c r="J19" s="97"/>
      <c r="K19" s="97"/>
      <c r="L19" s="97"/>
      <c r="M19" s="97"/>
    </row>
    <row r="20" spans="1:13">
      <c r="A20" s="97"/>
      <c r="B20" s="99"/>
      <c r="C20" s="97"/>
      <c r="D20" s="97"/>
      <c r="E20" s="97"/>
      <c r="F20" s="97"/>
      <c r="G20" s="97"/>
      <c r="H20" s="97"/>
      <c r="I20" s="97"/>
      <c r="J20" s="97"/>
      <c r="K20" s="97"/>
      <c r="L20" s="97"/>
      <c r="M20" s="97"/>
    </row>
    <row r="21" spans="1:13">
      <c r="A21" s="97"/>
      <c r="B21" s="97"/>
      <c r="C21" s="97"/>
      <c r="D21" s="97"/>
      <c r="E21" s="97"/>
      <c r="F21" s="97"/>
      <c r="G21" s="97"/>
      <c r="H21" s="97"/>
      <c r="I21" s="97"/>
      <c r="J21" s="97"/>
      <c r="K21" s="97"/>
      <c r="L21" s="97"/>
      <c r="M21" s="97"/>
    </row>
    <row r="22" spans="1:13">
      <c r="A22" s="97"/>
      <c r="B22" s="98" t="s">
        <v>82</v>
      </c>
      <c r="C22" s="97"/>
      <c r="D22" s="97"/>
      <c r="E22" s="97"/>
      <c r="F22" s="97"/>
      <c r="G22" s="97"/>
      <c r="H22" s="97"/>
      <c r="I22" s="97"/>
      <c r="J22" s="97"/>
      <c r="K22" s="97"/>
      <c r="L22" s="97"/>
      <c r="M22" s="97"/>
    </row>
    <row r="23" spans="1:13">
      <c r="A23" s="97"/>
      <c r="B23" s="97"/>
      <c r="C23" s="97"/>
      <c r="D23" s="97"/>
      <c r="E23" s="97"/>
      <c r="F23" s="97"/>
      <c r="G23" s="97"/>
      <c r="H23" s="97"/>
      <c r="I23" s="97"/>
      <c r="J23" s="97"/>
      <c r="K23" s="97"/>
      <c r="L23" s="97"/>
      <c r="M23" s="97"/>
    </row>
    <row r="24" spans="1:13">
      <c r="A24" s="97"/>
      <c r="B24" s="97"/>
      <c r="C24" s="97"/>
      <c r="D24" s="97"/>
      <c r="E24" s="97"/>
      <c r="F24" s="97"/>
      <c r="G24" s="97"/>
      <c r="H24" s="97"/>
      <c r="I24" s="97"/>
      <c r="J24" s="97"/>
      <c r="K24" s="97"/>
      <c r="L24" s="97"/>
      <c r="M24" s="97"/>
    </row>
    <row r="25" spans="1:13">
      <c r="A25" s="97"/>
      <c r="B25" s="97"/>
      <c r="C25" s="97"/>
      <c r="D25" s="97"/>
      <c r="E25" s="97"/>
      <c r="F25" s="97"/>
      <c r="G25" s="97"/>
      <c r="H25" s="97"/>
      <c r="I25" s="97"/>
      <c r="J25" s="97"/>
      <c r="K25" s="97"/>
      <c r="L25" s="97"/>
      <c r="M25" s="97"/>
    </row>
    <row r="26" spans="1:13">
      <c r="A26" s="97"/>
      <c r="B26" s="97"/>
      <c r="C26" s="97"/>
      <c r="D26" s="97"/>
      <c r="E26" s="97"/>
      <c r="F26" s="97"/>
      <c r="G26" s="97"/>
      <c r="H26" s="97"/>
      <c r="I26" s="97"/>
      <c r="J26" s="97"/>
      <c r="K26" s="97"/>
      <c r="L26" s="97"/>
      <c r="M26" s="97"/>
    </row>
    <row r="27" spans="1:13">
      <c r="A27" s="97"/>
      <c r="B27" s="97"/>
      <c r="C27" s="97"/>
      <c r="D27" s="97"/>
      <c r="E27" s="97"/>
      <c r="F27" s="97"/>
      <c r="G27" s="97"/>
      <c r="H27" s="97"/>
      <c r="I27" s="97"/>
      <c r="J27" s="97"/>
      <c r="K27" s="97"/>
      <c r="L27" s="97"/>
      <c r="M27" s="97"/>
    </row>
    <row r="28" spans="1:13">
      <c r="A28" s="97"/>
      <c r="B28" s="97"/>
      <c r="C28" s="97"/>
      <c r="D28" s="97"/>
      <c r="E28" s="97"/>
      <c r="F28" s="97"/>
      <c r="G28" s="97"/>
      <c r="H28" s="97"/>
      <c r="I28" s="97"/>
      <c r="J28" s="97"/>
      <c r="K28" s="97"/>
      <c r="L28" s="97"/>
      <c r="M28" s="97"/>
    </row>
    <row r="29" spans="1:13">
      <c r="A29" s="97"/>
      <c r="B29" s="97"/>
      <c r="C29" s="97"/>
      <c r="D29" s="97"/>
      <c r="E29" s="97"/>
      <c r="F29" s="97"/>
      <c r="G29" s="97"/>
      <c r="H29" s="97"/>
      <c r="I29" s="97"/>
      <c r="J29" s="97"/>
      <c r="K29" s="97"/>
      <c r="L29" s="97"/>
      <c r="M29" s="97"/>
    </row>
    <row r="30" spans="1:13">
      <c r="A30" s="97"/>
      <c r="B30" s="97"/>
      <c r="C30" s="97"/>
      <c r="D30" s="97"/>
      <c r="E30" s="97"/>
      <c r="F30" s="97"/>
      <c r="G30" s="97"/>
      <c r="H30" s="97"/>
      <c r="I30" s="97"/>
      <c r="J30" s="97"/>
      <c r="K30" s="97"/>
      <c r="L30" s="97"/>
      <c r="M30" s="97"/>
    </row>
    <row r="31" spans="1:13">
      <c r="A31" s="97"/>
      <c r="B31" s="97"/>
      <c r="C31" s="97"/>
      <c r="D31" s="97"/>
      <c r="E31" s="97"/>
      <c r="F31" s="97"/>
      <c r="G31" s="97"/>
      <c r="H31" s="97"/>
      <c r="I31" s="97"/>
      <c r="J31" s="97"/>
      <c r="K31" s="97"/>
      <c r="L31" s="97"/>
      <c r="M31" s="97"/>
    </row>
    <row r="32" spans="1:13">
      <c r="A32" s="97"/>
      <c r="B32" s="97"/>
      <c r="C32" s="97"/>
      <c r="D32" s="97"/>
      <c r="E32" s="97"/>
      <c r="F32" s="97"/>
      <c r="G32" s="97"/>
      <c r="H32" s="97"/>
      <c r="I32" s="97"/>
      <c r="J32" s="97"/>
      <c r="K32" s="97"/>
      <c r="L32" s="97"/>
      <c r="M32" s="97"/>
    </row>
    <row r="33" spans="1:13">
      <c r="A33" s="97"/>
      <c r="B33" s="97"/>
      <c r="C33" s="97"/>
      <c r="D33" s="97"/>
      <c r="E33" s="97"/>
      <c r="F33" s="97"/>
      <c r="G33" s="97"/>
      <c r="H33" s="97"/>
      <c r="I33" s="97"/>
      <c r="J33" s="97"/>
      <c r="K33" s="97"/>
      <c r="L33" s="97"/>
      <c r="M33" s="97"/>
    </row>
    <row r="34" spans="1:13">
      <c r="A34" s="97"/>
      <c r="B34" s="97"/>
      <c r="C34" s="97"/>
      <c r="D34" s="97"/>
      <c r="E34" s="97"/>
      <c r="F34" s="97"/>
      <c r="G34" s="97"/>
      <c r="H34" s="97"/>
      <c r="I34" s="97"/>
      <c r="J34" s="97"/>
      <c r="K34" s="97"/>
      <c r="L34" s="97"/>
      <c r="M34" s="97"/>
    </row>
    <row r="35" spans="1:13">
      <c r="A35" s="97"/>
      <c r="B35" s="97"/>
      <c r="C35" s="97"/>
      <c r="D35" s="97"/>
      <c r="E35" s="97"/>
      <c r="F35" s="97"/>
      <c r="G35" s="97"/>
      <c r="H35" s="97"/>
      <c r="I35" s="97"/>
      <c r="J35" s="97"/>
      <c r="K35" s="97"/>
      <c r="L35" s="97"/>
      <c r="M35" s="97"/>
    </row>
    <row r="36" spans="1:13">
      <c r="A36" s="60"/>
      <c r="B36" s="60"/>
      <c r="C36" s="60"/>
      <c r="D36" s="60"/>
      <c r="E36" s="60"/>
      <c r="F36" s="60"/>
      <c r="G36" s="60"/>
      <c r="H36" s="60"/>
      <c r="I36" s="60"/>
      <c r="J36" s="60"/>
      <c r="K36" s="60"/>
      <c r="L36" s="60"/>
      <c r="M36" s="60"/>
    </row>
    <row r="37" spans="1:13">
      <c r="F37"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 right="0.7" top="0.75" bottom="0.75" header="0.3" footer="0.3"/>
  <pageSetup scale="70"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7"/>
  <sheetViews>
    <sheetView workbookViewId="0">
      <selection activeCell="E10" sqref="E10"/>
    </sheetView>
  </sheetViews>
  <sheetFormatPr defaultRowHeight="15"/>
  <cols>
    <col min="1" max="1" width="7" customWidth="1"/>
    <col min="4" max="4" width="47.85546875" customWidth="1"/>
    <col min="10" max="10" width="12.140625" customWidth="1"/>
    <col min="11" max="11" width="24.140625" customWidth="1"/>
    <col min="12" max="12" width="14.5703125" customWidth="1"/>
  </cols>
  <sheetData>
    <row r="1" spans="1:12">
      <c r="A1" s="809" t="s">
        <v>85</v>
      </c>
      <c r="B1" s="809"/>
      <c r="C1" s="809"/>
      <c r="D1" s="809"/>
      <c r="E1" s="809"/>
      <c r="F1" s="809"/>
      <c r="G1" s="809"/>
      <c r="H1" s="809"/>
      <c r="I1" s="809"/>
      <c r="J1" s="809"/>
      <c r="K1" s="809"/>
      <c r="L1" s="809"/>
    </row>
    <row r="2" spans="1:12">
      <c r="A2" s="809"/>
      <c r="B2" s="809"/>
      <c r="C2" s="809"/>
      <c r="D2" s="809"/>
      <c r="E2" s="809"/>
      <c r="F2" s="809"/>
      <c r="G2" s="809"/>
      <c r="H2" s="809"/>
      <c r="I2" s="809"/>
      <c r="J2" s="809"/>
      <c r="K2" s="809"/>
      <c r="L2" s="809"/>
    </row>
    <row r="3" spans="1:12">
      <c r="A3" s="723" t="s">
        <v>427</v>
      </c>
      <c r="B3" s="723"/>
      <c r="C3" s="723"/>
      <c r="D3" s="723"/>
      <c r="E3" s="723"/>
      <c r="F3" s="723"/>
      <c r="G3" s="723"/>
      <c r="H3" s="723"/>
      <c r="I3" s="723"/>
      <c r="J3" s="723"/>
      <c r="K3" s="723"/>
      <c r="L3" s="723"/>
    </row>
    <row r="4" spans="1:12" ht="15" customHeight="1">
      <c r="A4" s="80" t="s">
        <v>377</v>
      </c>
      <c r="B4" s="81"/>
      <c r="C4" s="81"/>
      <c r="D4" s="82" t="str">
        <f>'PUNJAB 04-22Master'!F5</f>
        <v>Burgeon IT Services Pvt.Ltd.</v>
      </c>
      <c r="E4" s="89" t="s">
        <v>84</v>
      </c>
      <c r="F4" s="81"/>
      <c r="G4" s="81"/>
      <c r="H4" s="81"/>
      <c r="I4" s="81"/>
      <c r="J4" s="81"/>
      <c r="K4" s="81"/>
      <c r="L4" s="114"/>
    </row>
    <row r="5" spans="1:12">
      <c r="A5" s="83"/>
      <c r="B5" s="84" t="str">
        <f>'PUNJAB 04-22Master'!F6</f>
        <v>Siri Mansion LIGB 436 Dr.A S Rao Nagar,Hyderabad</v>
      </c>
      <c r="C5" s="84"/>
      <c r="D5" s="85"/>
      <c r="E5" s="98" t="str">
        <f>'PUNJAB 04-22Master'!AO5</f>
        <v>Burgeon IT Services Pvt.Ltd.</v>
      </c>
      <c r="F5" s="118"/>
      <c r="G5" s="118"/>
      <c r="H5" s="118"/>
      <c r="I5" s="118"/>
      <c r="J5" s="118"/>
      <c r="K5" s="118"/>
      <c r="L5" s="119"/>
    </row>
    <row r="6" spans="1:12">
      <c r="A6" s="86"/>
      <c r="B6" s="87">
        <f>'PUNJAB 04-22Master'!F7</f>
        <v>0</v>
      </c>
      <c r="C6" s="87"/>
      <c r="D6" s="88"/>
      <c r="E6" s="117" t="str">
        <f>'PUNJAB 04-22Master'!AO6</f>
        <v>Siri Mansion LIGB 436 Dr.A S Rao Nagar,Hyderabad</v>
      </c>
      <c r="F6" s="87"/>
      <c r="G6" s="87"/>
      <c r="H6" s="87"/>
      <c r="I6" s="87"/>
      <c r="J6" s="87"/>
      <c r="K6" s="87"/>
      <c r="L6" s="88"/>
    </row>
    <row r="7" spans="1:12">
      <c r="A7" s="89" t="s">
        <v>83</v>
      </c>
      <c r="B7" s="81"/>
      <c r="C7" s="81"/>
      <c r="D7" s="82" t="str">
        <f>'PUNJAB 04-22Master'!F8</f>
        <v>IT SUPPORTIVE SERVICES&amp;Chandigarh</v>
      </c>
      <c r="E7" s="89" t="s">
        <v>69</v>
      </c>
      <c r="F7" s="81"/>
      <c r="G7" s="81"/>
      <c r="H7" s="81"/>
      <c r="I7" s="81"/>
      <c r="J7" s="81"/>
      <c r="K7" s="81"/>
      <c r="L7" s="82"/>
    </row>
    <row r="8" spans="1:12">
      <c r="A8" s="83"/>
      <c r="B8" s="84"/>
      <c r="C8" s="84"/>
      <c r="D8" s="85"/>
      <c r="E8" s="90" t="str">
        <f>'PUNJAB 04-22Master'!AO10</f>
        <v xml:space="preserve">INFOSYS  LTD.IL </v>
      </c>
      <c r="F8" s="84"/>
      <c r="G8" s="84"/>
      <c r="H8" s="84"/>
      <c r="I8" s="84"/>
      <c r="J8" s="84"/>
      <c r="K8" s="84"/>
      <c r="L8" s="85"/>
    </row>
    <row r="9" spans="1:12">
      <c r="A9" s="83"/>
      <c r="B9" s="84"/>
      <c r="C9" s="84"/>
      <c r="D9" s="85"/>
      <c r="E9" s="83" t="str">
        <f>'PUNJAB APRIL 22-WMn Reg'!O8</f>
        <v>IL Chandigarh SEZ Unit - I Rajiv Gandhi Chandigarh tech Park, Kishangarh, Chandigarh-160101</v>
      </c>
      <c r="F9" s="84"/>
      <c r="G9" s="84"/>
      <c r="H9" s="84"/>
      <c r="I9" s="84"/>
      <c r="J9" s="84"/>
      <c r="K9" s="84"/>
      <c r="L9" s="85"/>
    </row>
    <row r="10" spans="1:12" ht="15.75" thickBot="1">
      <c r="A10" s="83"/>
      <c r="B10" s="84"/>
      <c r="C10" s="84"/>
      <c r="D10" s="85"/>
      <c r="E10" s="83"/>
      <c r="F10" s="84"/>
      <c r="G10" s="84"/>
      <c r="H10" s="84"/>
      <c r="I10" s="84"/>
      <c r="J10" s="84"/>
      <c r="K10" s="84"/>
      <c r="L10" s="85"/>
    </row>
    <row r="11" spans="1:12" ht="51" customHeight="1">
      <c r="A11" s="807" t="s">
        <v>5</v>
      </c>
      <c r="B11" s="807" t="s">
        <v>70</v>
      </c>
      <c r="C11" s="109" t="s">
        <v>71</v>
      </c>
      <c r="D11" s="810" t="s">
        <v>72</v>
      </c>
      <c r="E11" s="810" t="s">
        <v>86</v>
      </c>
      <c r="F11" s="810" t="s">
        <v>87</v>
      </c>
      <c r="G11" s="810" t="s">
        <v>88</v>
      </c>
      <c r="H11" s="810" t="s">
        <v>76</v>
      </c>
      <c r="I11" s="810" t="s">
        <v>89</v>
      </c>
      <c r="J11" s="109" t="s">
        <v>90</v>
      </c>
      <c r="K11" s="807" t="s">
        <v>91</v>
      </c>
      <c r="L11" s="807" t="s">
        <v>41</v>
      </c>
    </row>
    <row r="12" spans="1:12" ht="15" customHeight="1" thickBot="1">
      <c r="A12" s="808"/>
      <c r="B12" s="808"/>
      <c r="C12" s="113"/>
      <c r="D12" s="811"/>
      <c r="E12" s="811"/>
      <c r="F12" s="811"/>
      <c r="G12" s="811"/>
      <c r="H12" s="811"/>
      <c r="I12" s="811"/>
      <c r="J12" s="108"/>
      <c r="K12" s="808"/>
      <c r="L12" s="808"/>
    </row>
    <row r="13" spans="1:12" ht="15" customHeight="1">
      <c r="A13" s="107">
        <v>1</v>
      </c>
      <c r="B13" s="107">
        <v>2</v>
      </c>
      <c r="C13" s="107">
        <v>3</v>
      </c>
      <c r="D13" s="107">
        <v>4</v>
      </c>
      <c r="E13" s="107">
        <v>5</v>
      </c>
      <c r="F13" s="107">
        <v>6</v>
      </c>
      <c r="G13" s="107">
        <v>7</v>
      </c>
      <c r="H13" s="107">
        <v>8</v>
      </c>
      <c r="I13" s="107">
        <v>9</v>
      </c>
      <c r="J13" s="110">
        <v>10</v>
      </c>
      <c r="K13" s="111">
        <v>11</v>
      </c>
      <c r="L13" s="112">
        <v>12</v>
      </c>
    </row>
    <row r="14" spans="1:12">
      <c r="A14" s="97"/>
      <c r="B14" s="97"/>
      <c r="C14" s="97"/>
      <c r="D14" s="97"/>
      <c r="E14" s="97"/>
      <c r="F14" s="97"/>
      <c r="G14" s="97"/>
      <c r="H14" s="97"/>
      <c r="I14" s="97"/>
      <c r="J14" s="97"/>
      <c r="K14" s="102"/>
      <c r="L14" s="97"/>
    </row>
    <row r="15" spans="1:12" ht="15.75" thickBot="1">
      <c r="A15" s="97"/>
      <c r="B15" s="101"/>
      <c r="C15" s="101"/>
      <c r="D15" s="101"/>
      <c r="E15" s="101"/>
      <c r="F15" s="101"/>
      <c r="G15" s="101"/>
      <c r="H15" s="101"/>
      <c r="I15" s="101"/>
      <c r="J15" s="101"/>
      <c r="K15" s="101"/>
      <c r="L15" s="101"/>
    </row>
    <row r="16" spans="1:12" ht="15.75" thickBot="1">
      <c r="A16" s="100"/>
      <c r="B16" s="804" t="s">
        <v>92</v>
      </c>
      <c r="C16" s="805"/>
      <c r="D16" s="805"/>
      <c r="E16" s="805"/>
      <c r="F16" s="805"/>
      <c r="G16" s="806"/>
      <c r="H16" s="103">
        <f>'PUNJAB 04-22Master'!D10</f>
        <v>44652</v>
      </c>
      <c r="I16" s="97"/>
      <c r="J16" s="97"/>
      <c r="K16" s="97"/>
      <c r="L16" s="97"/>
    </row>
    <row r="17" spans="1:12">
      <c r="A17" s="97"/>
      <c r="B17" s="102"/>
      <c r="C17" s="102"/>
      <c r="D17" s="102"/>
      <c r="E17" s="102"/>
      <c r="F17" s="102"/>
      <c r="G17" s="102"/>
      <c r="H17" s="102"/>
      <c r="I17" s="102"/>
      <c r="J17" s="102"/>
      <c r="K17" s="102"/>
      <c r="L17" s="102"/>
    </row>
    <row r="18" spans="1:12">
      <c r="A18" s="97"/>
      <c r="B18" s="97"/>
      <c r="C18" s="97"/>
      <c r="D18" s="97"/>
      <c r="E18" s="97"/>
      <c r="F18" s="97"/>
      <c r="G18" s="97"/>
      <c r="H18" s="97"/>
      <c r="I18" s="97"/>
      <c r="J18" s="97"/>
      <c r="K18" s="97"/>
      <c r="L18" s="97"/>
    </row>
    <row r="19" spans="1:12">
      <c r="A19" s="97"/>
      <c r="B19" s="97"/>
      <c r="C19" s="97"/>
      <c r="D19" s="97"/>
      <c r="E19" s="97"/>
      <c r="F19" s="97"/>
      <c r="G19" s="97"/>
      <c r="H19" s="97"/>
      <c r="I19" s="97"/>
      <c r="J19" s="97"/>
      <c r="K19" s="97"/>
      <c r="L19" s="97"/>
    </row>
    <row r="20" spans="1:12">
      <c r="A20" s="97"/>
      <c r="B20" s="99"/>
      <c r="C20" s="97"/>
      <c r="D20" s="97"/>
      <c r="E20" s="97"/>
      <c r="F20" s="97"/>
      <c r="G20" s="97"/>
      <c r="H20" s="97"/>
      <c r="I20" s="97"/>
      <c r="J20" s="97"/>
      <c r="K20" s="97"/>
      <c r="L20" s="97"/>
    </row>
    <row r="21" spans="1:12">
      <c r="A21" s="97"/>
      <c r="B21" s="97"/>
      <c r="C21" s="97"/>
      <c r="D21" s="97"/>
      <c r="E21" s="97"/>
      <c r="F21" s="97"/>
      <c r="G21" s="97"/>
      <c r="H21" s="97"/>
      <c r="I21" s="97"/>
      <c r="J21" s="97"/>
      <c r="K21" s="97"/>
      <c r="L21" s="97"/>
    </row>
    <row r="22" spans="1:12">
      <c r="A22" s="97"/>
      <c r="B22" s="98" t="s">
        <v>82</v>
      </c>
      <c r="C22" s="97"/>
      <c r="D22" s="97"/>
      <c r="E22" s="97"/>
      <c r="F22" s="97"/>
      <c r="G22" s="97"/>
      <c r="H22" s="97"/>
      <c r="I22" s="97"/>
      <c r="J22" s="97"/>
      <c r="K22" s="97"/>
      <c r="L22" s="97"/>
    </row>
    <row r="23" spans="1:12">
      <c r="A23" s="97"/>
      <c r="B23" s="97"/>
      <c r="C23" s="97"/>
      <c r="D23" s="97"/>
      <c r="E23" s="97"/>
      <c r="F23" s="97"/>
      <c r="G23" s="97"/>
      <c r="H23" s="97"/>
      <c r="I23" s="97"/>
      <c r="J23" s="97"/>
      <c r="K23" s="97"/>
      <c r="L23" s="97"/>
    </row>
    <row r="24" spans="1:12">
      <c r="A24" s="97"/>
      <c r="B24" s="97"/>
      <c r="C24" s="97"/>
      <c r="D24" s="97"/>
      <c r="E24" s="97"/>
      <c r="F24" s="97"/>
      <c r="G24" s="97"/>
      <c r="H24" s="97"/>
      <c r="I24" s="97"/>
      <c r="J24" s="97"/>
      <c r="K24" s="97"/>
      <c r="L24" s="97"/>
    </row>
    <row r="25" spans="1:12">
      <c r="A25" s="97"/>
      <c r="B25" s="97"/>
      <c r="C25" s="97"/>
      <c r="D25" s="97"/>
      <c r="E25" s="97"/>
      <c r="F25" s="97"/>
      <c r="G25" s="97"/>
      <c r="H25" s="97"/>
      <c r="I25" s="97"/>
      <c r="J25" s="97"/>
      <c r="K25" s="97"/>
      <c r="L25" s="97"/>
    </row>
    <row r="26" spans="1:12">
      <c r="A26" s="97"/>
      <c r="B26" s="97"/>
      <c r="C26" s="97"/>
      <c r="D26" s="97"/>
      <c r="E26" s="97"/>
      <c r="F26" s="97"/>
      <c r="G26" s="97"/>
      <c r="H26" s="97"/>
      <c r="I26" s="97"/>
      <c r="J26" s="97"/>
      <c r="K26" s="97"/>
      <c r="L26" s="97"/>
    </row>
    <row r="27" spans="1:12">
      <c r="A27" s="97"/>
      <c r="B27" s="97"/>
      <c r="C27" s="97"/>
      <c r="D27" s="97"/>
      <c r="E27" s="97"/>
      <c r="F27" s="97"/>
      <c r="G27" s="97"/>
      <c r="H27" s="97"/>
      <c r="I27" s="97"/>
      <c r="J27" s="97"/>
      <c r="K27" s="97"/>
      <c r="L27" s="97"/>
    </row>
    <row r="28" spans="1:12">
      <c r="A28" s="97"/>
      <c r="B28" s="97"/>
      <c r="C28" s="97"/>
      <c r="D28" s="97"/>
      <c r="E28" s="97"/>
      <c r="F28" s="97"/>
      <c r="G28" s="97"/>
      <c r="H28" s="97"/>
      <c r="I28" s="97"/>
      <c r="J28" s="97"/>
      <c r="K28" s="97"/>
      <c r="L28" s="97"/>
    </row>
    <row r="29" spans="1:12">
      <c r="A29" s="97"/>
      <c r="B29" s="97"/>
      <c r="C29" s="97"/>
      <c r="D29" s="97"/>
      <c r="E29" s="97"/>
      <c r="F29" s="97"/>
      <c r="G29" s="97"/>
      <c r="H29" s="97"/>
      <c r="I29" s="97"/>
      <c r="J29" s="97"/>
      <c r="K29" s="97"/>
      <c r="L29" s="97"/>
    </row>
    <row r="30" spans="1:12">
      <c r="A30" s="97"/>
      <c r="B30" s="97"/>
      <c r="C30" s="97"/>
      <c r="D30" s="97"/>
      <c r="E30" s="97"/>
      <c r="F30" s="97"/>
      <c r="G30" s="97"/>
      <c r="H30" s="97"/>
      <c r="I30" s="97"/>
      <c r="J30" s="97"/>
      <c r="K30" s="97"/>
      <c r="L30" s="97"/>
    </row>
    <row r="31" spans="1:12">
      <c r="A31" s="97"/>
      <c r="B31" s="97"/>
      <c r="C31" s="97"/>
      <c r="D31" s="97"/>
      <c r="E31" s="97"/>
      <c r="F31" s="97"/>
      <c r="G31" s="97"/>
      <c r="H31" s="97"/>
      <c r="I31" s="97"/>
      <c r="J31" s="97"/>
      <c r="K31" s="97"/>
      <c r="L31" s="97"/>
    </row>
    <row r="32" spans="1:12">
      <c r="A32" s="97"/>
      <c r="B32" s="97"/>
      <c r="C32" s="97"/>
      <c r="D32" s="97"/>
      <c r="E32" s="97"/>
      <c r="F32" s="97"/>
      <c r="G32" s="97"/>
      <c r="H32" s="97"/>
      <c r="I32" s="97"/>
      <c r="J32" s="97"/>
      <c r="K32" s="97"/>
      <c r="L32" s="97"/>
    </row>
    <row r="33" spans="1:12">
      <c r="A33" s="97"/>
      <c r="B33" s="97"/>
      <c r="C33" s="97"/>
      <c r="D33" s="97"/>
      <c r="E33" s="97"/>
      <c r="F33" s="97"/>
      <c r="G33" s="97"/>
      <c r="H33" s="97"/>
      <c r="I33" s="97"/>
      <c r="J33" s="97"/>
      <c r="K33" s="97"/>
      <c r="L33" s="97"/>
    </row>
    <row r="34" spans="1:12">
      <c r="A34" s="97"/>
      <c r="B34" s="97"/>
      <c r="C34" s="97"/>
      <c r="D34" s="97"/>
      <c r="E34" s="97"/>
      <c r="F34" s="97"/>
      <c r="G34" s="97"/>
      <c r="H34" s="97"/>
      <c r="I34" s="97"/>
      <c r="J34" s="97"/>
      <c r="K34" s="97"/>
      <c r="L34" s="97"/>
    </row>
    <row r="35" spans="1:12">
      <c r="A35" s="97"/>
      <c r="B35" s="97"/>
      <c r="C35" s="97"/>
      <c r="D35" s="97"/>
      <c r="E35" s="97"/>
      <c r="F35" s="97"/>
      <c r="G35" s="97"/>
      <c r="H35" s="97"/>
      <c r="I35" s="97"/>
      <c r="J35" s="97"/>
      <c r="K35" s="97"/>
      <c r="L35" s="97"/>
    </row>
    <row r="36" spans="1:12">
      <c r="A36" s="60"/>
      <c r="B36" s="60"/>
      <c r="C36" s="60"/>
      <c r="D36" s="60"/>
      <c r="E36" s="60"/>
      <c r="F36" s="60"/>
      <c r="G36" s="60"/>
      <c r="H36" s="60"/>
      <c r="I36" s="60"/>
      <c r="J36" s="60"/>
      <c r="K36" s="60"/>
      <c r="L36" s="60"/>
    </row>
    <row r="37" spans="1:12">
      <c r="F37" t="s">
        <v>38</v>
      </c>
    </row>
  </sheetData>
  <protectedRanges>
    <protectedRange password="CA4D" sqref="E5 A1:D13 E6:L10 E1:L3 L12:L13 L11 E13:J13" name="Range1"/>
  </protectedRanges>
  <mergeCells count="13">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 right="0.7" top="0.75" bottom="0.75" header="0.3" footer="0.3"/>
  <pageSetup scale="66"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6"/>
  <sheetViews>
    <sheetView tabSelected="1" workbookViewId="0">
      <selection activeCell="E10" sqref="E10"/>
    </sheetView>
  </sheetViews>
  <sheetFormatPr defaultRowHeight="15"/>
  <cols>
    <col min="3" max="3" width="9.85546875" customWidth="1"/>
    <col min="4" max="4" width="44.7109375" customWidth="1"/>
    <col min="10" max="10" width="26" customWidth="1"/>
    <col min="11" max="11" width="14.7109375" customWidth="1"/>
  </cols>
  <sheetData>
    <row r="1" spans="1:11">
      <c r="A1" s="803" t="s">
        <v>93</v>
      </c>
      <c r="B1" s="803"/>
      <c r="C1" s="803"/>
      <c r="D1" s="803"/>
      <c r="E1" s="803"/>
      <c r="F1" s="803"/>
      <c r="G1" s="803"/>
      <c r="H1" s="803"/>
      <c r="I1" s="803"/>
      <c r="J1" s="803"/>
      <c r="K1" s="803"/>
    </row>
    <row r="2" spans="1:11">
      <c r="A2" s="803"/>
      <c r="B2" s="803"/>
      <c r="C2" s="803"/>
      <c r="D2" s="803"/>
      <c r="E2" s="803"/>
      <c r="F2" s="803"/>
      <c r="G2" s="803"/>
      <c r="H2" s="803"/>
      <c r="I2" s="803"/>
      <c r="J2" s="803"/>
      <c r="K2" s="803"/>
    </row>
    <row r="3" spans="1:11">
      <c r="A3" s="723" t="s">
        <v>427</v>
      </c>
      <c r="B3" s="723"/>
      <c r="C3" s="723"/>
      <c r="D3" s="723"/>
      <c r="E3" s="815"/>
      <c r="F3" s="815"/>
      <c r="G3" s="815"/>
      <c r="H3" s="815"/>
      <c r="I3" s="815"/>
      <c r="J3" s="815"/>
      <c r="K3" s="815"/>
    </row>
    <row r="4" spans="1:11" ht="15" customHeight="1">
      <c r="A4" s="80" t="s">
        <v>376</v>
      </c>
      <c r="B4" s="81"/>
      <c r="C4" s="81"/>
      <c r="D4" s="82" t="str">
        <f>'PUNJAB 04-22Master'!F5</f>
        <v>Burgeon IT Services Pvt.Ltd.</v>
      </c>
      <c r="E4" s="120" t="s">
        <v>84</v>
      </c>
      <c r="F4" s="121"/>
      <c r="G4" s="121"/>
      <c r="H4" s="121"/>
      <c r="I4" s="121"/>
      <c r="J4" s="121"/>
      <c r="K4" s="122"/>
    </row>
    <row r="5" spans="1:11">
      <c r="A5" s="83"/>
      <c r="B5" s="84" t="str">
        <f>'PUNJAB 04-22Master'!F6</f>
        <v>Siri Mansion LIGB 436 Dr.A S Rao Nagar,Hyderabad</v>
      </c>
      <c r="C5" s="84"/>
      <c r="D5" s="85"/>
      <c r="E5" s="98" t="str">
        <f>'PUNJAB 04-22Master'!AO5</f>
        <v>Burgeon IT Services Pvt.Ltd.</v>
      </c>
      <c r="F5" s="118"/>
      <c r="G5" s="118"/>
      <c r="H5" s="118"/>
      <c r="I5" s="118"/>
      <c r="J5" s="118"/>
      <c r="K5" s="119"/>
    </row>
    <row r="6" spans="1:11">
      <c r="A6" s="86"/>
      <c r="B6" s="87">
        <f>'PUNJAB 04-22Master'!F7</f>
        <v>0</v>
      </c>
      <c r="C6" s="87"/>
      <c r="D6" s="88"/>
      <c r="E6" s="98" t="str">
        <f>'PUNJAB 04-22Master'!AO6</f>
        <v>Siri Mansion LIGB 436 Dr.A S Rao Nagar,Hyderabad</v>
      </c>
      <c r="F6" s="121"/>
      <c r="G6" s="121"/>
      <c r="H6" s="121"/>
      <c r="I6" s="121"/>
      <c r="J6" s="121"/>
      <c r="K6" s="122"/>
    </row>
    <row r="7" spans="1:11">
      <c r="A7" s="89" t="s">
        <v>83</v>
      </c>
      <c r="B7" s="81"/>
      <c r="C7" s="81"/>
      <c r="D7" s="82" t="str">
        <f>'PUNJAB 04-22Master'!F8</f>
        <v>IT SUPPORTIVE SERVICES&amp;Chandigarh</v>
      </c>
      <c r="E7" s="89" t="s">
        <v>69</v>
      </c>
      <c r="F7" s="81"/>
      <c r="G7" s="81"/>
      <c r="H7" s="81"/>
      <c r="I7" s="81"/>
      <c r="J7" s="81"/>
      <c r="K7" s="82"/>
    </row>
    <row r="8" spans="1:11">
      <c r="A8" s="83"/>
      <c r="B8" s="84"/>
      <c r="C8" s="84"/>
      <c r="D8" s="85"/>
      <c r="E8" s="90" t="str">
        <f>'PUNJAB 04-22Master'!AO10</f>
        <v xml:space="preserve">INFOSYS  LTD.IL </v>
      </c>
      <c r="F8" s="84"/>
      <c r="G8" s="84"/>
      <c r="H8" s="84"/>
      <c r="I8" s="84"/>
      <c r="J8" s="84"/>
      <c r="K8" s="85"/>
    </row>
    <row r="9" spans="1:11">
      <c r="A9" s="83"/>
      <c r="B9" s="84"/>
      <c r="C9" s="84"/>
      <c r="D9" s="85"/>
      <c r="E9" s="83" t="str">
        <f>'PUNJAB APRIL 22-WMn Reg'!O8</f>
        <v>IL Chandigarh SEZ Unit - I Rajiv Gandhi Chandigarh tech Park, Kishangarh, Chandigarh-160101</v>
      </c>
      <c r="F9" s="84"/>
      <c r="G9" s="84"/>
      <c r="H9" s="84"/>
      <c r="I9" s="84"/>
      <c r="J9" s="84"/>
      <c r="K9" s="85"/>
    </row>
    <row r="10" spans="1:11">
      <c r="A10" s="83"/>
      <c r="B10" s="84"/>
      <c r="C10" s="84"/>
      <c r="D10" s="85"/>
      <c r="E10" s="86"/>
      <c r="F10" s="87"/>
      <c r="G10" s="87"/>
      <c r="H10" s="87"/>
      <c r="I10" s="87"/>
      <c r="J10" s="87"/>
      <c r="K10" s="88"/>
    </row>
    <row r="11" spans="1:11">
      <c r="A11" s="717" t="s">
        <v>5</v>
      </c>
      <c r="B11" s="717" t="s">
        <v>70</v>
      </c>
      <c r="C11" s="717" t="s">
        <v>71</v>
      </c>
      <c r="D11" s="726" t="s">
        <v>72</v>
      </c>
      <c r="E11" s="816" t="s">
        <v>94</v>
      </c>
      <c r="F11" s="816" t="s">
        <v>95</v>
      </c>
      <c r="G11" s="816" t="s">
        <v>96</v>
      </c>
      <c r="H11" s="816" t="s">
        <v>97</v>
      </c>
      <c r="I11" s="816" t="s">
        <v>98</v>
      </c>
      <c r="J11" s="716" t="s">
        <v>99</v>
      </c>
      <c r="K11" s="817" t="s">
        <v>41</v>
      </c>
    </row>
    <row r="12" spans="1:11" ht="65.25" customHeight="1">
      <c r="A12" s="717"/>
      <c r="B12" s="717"/>
      <c r="C12" s="717"/>
      <c r="D12" s="726"/>
      <c r="E12" s="726"/>
      <c r="F12" s="726"/>
      <c r="G12" s="726"/>
      <c r="H12" s="726"/>
      <c r="I12" s="726"/>
      <c r="J12" s="717"/>
      <c r="K12" s="716"/>
    </row>
    <row r="13" spans="1:11">
      <c r="A13" s="96">
        <v>1</v>
      </c>
      <c r="B13" s="96">
        <v>2</v>
      </c>
      <c r="C13" s="96">
        <v>3</v>
      </c>
      <c r="D13" s="96">
        <v>4</v>
      </c>
      <c r="E13" s="96">
        <v>5</v>
      </c>
      <c r="F13" s="96">
        <v>6</v>
      </c>
      <c r="G13" s="96">
        <v>7</v>
      </c>
      <c r="H13" s="96">
        <v>8</v>
      </c>
      <c r="I13" s="96">
        <v>9</v>
      </c>
      <c r="J13" s="96">
        <v>10</v>
      </c>
      <c r="K13" s="96">
        <v>11</v>
      </c>
    </row>
    <row r="14" spans="1:11">
      <c r="A14" s="98"/>
      <c r="B14" s="98"/>
      <c r="C14" s="98"/>
      <c r="D14" s="98"/>
      <c r="E14" s="98"/>
      <c r="F14" s="98"/>
      <c r="G14" s="98"/>
      <c r="H14" s="98"/>
      <c r="I14" s="98"/>
      <c r="J14" s="98"/>
      <c r="K14" s="98"/>
    </row>
    <row r="15" spans="1:11">
      <c r="A15" s="98"/>
      <c r="B15" s="115"/>
      <c r="C15" s="115"/>
      <c r="D15" s="115"/>
      <c r="E15" s="115"/>
      <c r="F15" s="98"/>
      <c r="G15" s="98"/>
      <c r="H15" s="98"/>
      <c r="I15" s="98"/>
      <c r="J15" s="98"/>
      <c r="K15" s="98"/>
    </row>
    <row r="16" spans="1:11">
      <c r="A16" s="120"/>
      <c r="B16" s="812" t="s">
        <v>100</v>
      </c>
      <c r="C16" s="813"/>
      <c r="D16" s="813"/>
      <c r="E16" s="814"/>
      <c r="F16" s="124">
        <f>'PUNJAB 04-22Master'!D10</f>
        <v>44652</v>
      </c>
      <c r="G16" s="98"/>
      <c r="H16" s="98"/>
      <c r="I16" s="98"/>
      <c r="J16" s="98"/>
      <c r="K16" s="98"/>
    </row>
    <row r="17" spans="1:11">
      <c r="A17" s="98"/>
      <c r="B17" s="117"/>
      <c r="C17" s="117"/>
      <c r="D17" s="117"/>
      <c r="E17" s="117"/>
      <c r="F17" s="98"/>
      <c r="G17" s="98"/>
      <c r="H17" s="98"/>
      <c r="I17" s="98"/>
      <c r="J17" s="98"/>
      <c r="K17" s="98"/>
    </row>
    <row r="18" spans="1:11">
      <c r="A18" s="123"/>
      <c r="B18" s="98"/>
      <c r="C18" s="98"/>
      <c r="D18" s="98"/>
      <c r="E18" s="98"/>
      <c r="F18" s="98"/>
      <c r="G18" s="98"/>
      <c r="H18" s="98"/>
      <c r="I18" s="98"/>
      <c r="J18" s="98"/>
      <c r="K18" s="98"/>
    </row>
    <row r="19" spans="1:11">
      <c r="A19" s="98"/>
      <c r="B19" s="98"/>
      <c r="C19" s="98"/>
      <c r="D19" s="98"/>
      <c r="E19" s="98"/>
      <c r="F19" s="98"/>
      <c r="G19" s="98"/>
      <c r="H19" s="98"/>
      <c r="I19" s="98"/>
      <c r="J19" s="98"/>
      <c r="K19" s="98"/>
    </row>
    <row r="20" spans="1:11">
      <c r="A20" s="98"/>
      <c r="B20" s="98"/>
      <c r="C20" s="98"/>
      <c r="D20" s="98"/>
      <c r="E20" s="98"/>
      <c r="F20" s="98"/>
      <c r="G20" s="98"/>
      <c r="H20" s="98"/>
      <c r="I20" s="98"/>
      <c r="J20" s="98"/>
      <c r="K20" s="98"/>
    </row>
    <row r="21" spans="1:11">
      <c r="A21" s="98"/>
      <c r="B21" s="98"/>
      <c r="C21" s="98"/>
      <c r="D21" s="98"/>
      <c r="E21" s="98"/>
      <c r="F21" s="98"/>
      <c r="G21" s="98"/>
      <c r="H21" s="98"/>
      <c r="I21" s="98"/>
      <c r="J21" s="98"/>
      <c r="K21" s="98"/>
    </row>
    <row r="22" spans="1:11">
      <c r="A22" s="98"/>
      <c r="B22" s="98"/>
      <c r="C22" s="98"/>
      <c r="D22" s="98"/>
      <c r="E22" s="98"/>
      <c r="F22" s="98"/>
      <c r="G22" s="98"/>
      <c r="H22" s="98"/>
      <c r="I22" s="98"/>
      <c r="J22" s="98"/>
      <c r="K22" s="98"/>
    </row>
    <row r="23" spans="1:11">
      <c r="A23" s="98"/>
      <c r="B23" s="98"/>
      <c r="C23" s="98"/>
      <c r="D23" s="98"/>
      <c r="E23" s="98"/>
      <c r="F23" s="98"/>
      <c r="G23" s="98"/>
      <c r="H23" s="98"/>
      <c r="I23" s="98"/>
      <c r="J23" s="98"/>
      <c r="K23" s="98"/>
    </row>
    <row r="24" spans="1:11">
      <c r="A24" s="98"/>
      <c r="B24" s="98"/>
      <c r="C24" s="98"/>
      <c r="D24" s="98"/>
      <c r="E24" s="98"/>
      <c r="F24" s="98"/>
      <c r="G24" s="98"/>
      <c r="H24" s="98"/>
      <c r="I24" s="98"/>
      <c r="J24" s="98"/>
      <c r="K24" s="98"/>
    </row>
    <row r="25" spans="1:11">
      <c r="A25" s="98"/>
      <c r="B25" s="98"/>
      <c r="C25" s="98"/>
      <c r="D25" s="98"/>
      <c r="E25" s="98"/>
      <c r="F25" s="98"/>
      <c r="G25" s="98"/>
      <c r="H25" s="98"/>
      <c r="I25" s="98"/>
      <c r="J25" s="98"/>
      <c r="K25" s="98"/>
    </row>
    <row r="26" spans="1:11">
      <c r="A26" s="98"/>
      <c r="B26" s="98"/>
      <c r="C26" s="98"/>
      <c r="D26" s="98"/>
      <c r="E26" s="98"/>
      <c r="F26" s="98"/>
      <c r="G26" s="98"/>
      <c r="H26" s="98"/>
      <c r="I26" s="98"/>
      <c r="J26" s="98"/>
      <c r="K26" s="98"/>
    </row>
    <row r="27" spans="1:11">
      <c r="A27" s="98"/>
      <c r="B27" s="98"/>
      <c r="C27" s="98"/>
      <c r="D27" s="98"/>
      <c r="E27" s="98"/>
      <c r="F27" s="98"/>
      <c r="G27" s="98"/>
      <c r="H27" s="98"/>
      <c r="I27" s="98"/>
      <c r="J27" s="98"/>
      <c r="K27" s="98"/>
    </row>
    <row r="28" spans="1:11">
      <c r="A28" s="98"/>
      <c r="B28" s="98"/>
      <c r="C28" s="98"/>
      <c r="D28" s="98"/>
      <c r="E28" s="98"/>
      <c r="F28" s="98"/>
      <c r="G28" s="98"/>
      <c r="H28" s="98"/>
      <c r="I28" s="98"/>
      <c r="J28" s="98"/>
      <c r="K28" s="98"/>
    </row>
    <row r="29" spans="1:11">
      <c r="A29" s="98"/>
      <c r="B29" s="98"/>
      <c r="C29" s="98"/>
      <c r="D29" s="98"/>
      <c r="E29" s="98"/>
      <c r="F29" s="98"/>
      <c r="G29" s="98"/>
      <c r="H29" s="98"/>
      <c r="I29" s="98"/>
      <c r="J29" s="98"/>
      <c r="K29" s="98"/>
    </row>
    <row r="30" spans="1:11">
      <c r="A30" s="98"/>
      <c r="B30" s="98"/>
      <c r="C30" s="98"/>
      <c r="D30" s="98"/>
      <c r="E30" s="98"/>
      <c r="F30" s="98"/>
      <c r="G30" s="98"/>
      <c r="H30" s="98"/>
      <c r="I30" s="98"/>
      <c r="J30" s="98"/>
      <c r="K30" s="98"/>
    </row>
    <row r="31" spans="1:11">
      <c r="A31" s="98"/>
      <c r="B31" s="98"/>
      <c r="C31" s="98"/>
      <c r="D31" s="98"/>
      <c r="E31" s="98"/>
      <c r="F31" s="98"/>
      <c r="G31" s="98"/>
      <c r="H31" s="98"/>
      <c r="I31" s="98"/>
      <c r="J31" s="98"/>
      <c r="K31" s="98"/>
    </row>
    <row r="32" spans="1:11">
      <c r="A32" s="98"/>
      <c r="B32" s="98"/>
      <c r="C32" s="98"/>
      <c r="D32" s="98"/>
      <c r="E32" s="98"/>
      <c r="F32" s="98"/>
      <c r="G32" s="98"/>
      <c r="H32" s="98"/>
      <c r="I32" s="98"/>
      <c r="J32" s="98"/>
      <c r="K32" s="98"/>
    </row>
    <row r="36" spans="7:7">
      <c r="G36" t="s">
        <v>38</v>
      </c>
    </row>
  </sheetData>
  <protectedRanges>
    <protectedRange password="CA4D" sqref="A1:K3 A11:K13" name="Range1"/>
    <protectedRange password="CA4D" sqref="E5 A4:D10 E6:K10" name="Range1_5"/>
  </protectedRanges>
  <mergeCells count="14">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 right="0.7" top="0.75" bottom="0.75" header="0.34" footer="0.3"/>
  <pageSetup scale="70"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workbookViewId="0">
      <selection activeCell="F10" sqref="F10"/>
    </sheetView>
  </sheetViews>
  <sheetFormatPr defaultRowHeight="15"/>
  <cols>
    <col min="5" max="5" width="33.85546875" customWidth="1"/>
    <col min="12" max="12" width="10.42578125" customWidth="1"/>
  </cols>
  <sheetData>
    <row r="1" spans="1:12">
      <c r="A1" s="803" t="s">
        <v>101</v>
      </c>
      <c r="B1" s="803"/>
      <c r="C1" s="803"/>
      <c r="D1" s="803"/>
      <c r="E1" s="803"/>
      <c r="F1" s="803"/>
      <c r="G1" s="803"/>
      <c r="H1" s="803"/>
      <c r="I1" s="803"/>
      <c r="J1" s="803"/>
      <c r="K1" s="803"/>
      <c r="L1" s="803"/>
    </row>
    <row r="2" spans="1:12">
      <c r="A2" s="803"/>
      <c r="B2" s="803"/>
      <c r="C2" s="803"/>
      <c r="D2" s="803"/>
      <c r="E2" s="803"/>
      <c r="F2" s="803"/>
      <c r="G2" s="803"/>
      <c r="H2" s="803"/>
      <c r="I2" s="803"/>
      <c r="J2" s="803"/>
      <c r="K2" s="803"/>
      <c r="L2" s="803"/>
    </row>
    <row r="3" spans="1:12">
      <c r="A3" s="723" t="s">
        <v>428</v>
      </c>
      <c r="B3" s="723"/>
      <c r="C3" s="723"/>
      <c r="D3" s="723"/>
      <c r="E3" s="723"/>
      <c r="F3" s="723"/>
      <c r="G3" s="723"/>
      <c r="H3" s="723"/>
      <c r="I3" s="723"/>
      <c r="J3" s="723"/>
      <c r="K3" s="723"/>
      <c r="L3" s="723"/>
    </row>
    <row r="4" spans="1:12" ht="15" customHeight="1">
      <c r="A4" s="89" t="s">
        <v>429</v>
      </c>
      <c r="B4" s="81"/>
      <c r="C4" s="81"/>
      <c r="D4" s="81" t="str">
        <f>'PUNJAB 04-22Master'!F5</f>
        <v>Burgeon IT Services Pvt.Ltd.</v>
      </c>
      <c r="E4" s="82"/>
      <c r="F4" s="89" t="s">
        <v>109</v>
      </c>
      <c r="G4" s="81"/>
      <c r="H4" s="81"/>
      <c r="I4" s="81"/>
      <c r="J4" s="81"/>
      <c r="K4" s="81"/>
      <c r="L4" s="82"/>
    </row>
    <row r="5" spans="1:12">
      <c r="A5" s="83"/>
      <c r="B5" s="84" t="str">
        <f>'PUNJAB 04-22Master'!F6</f>
        <v>Siri Mansion LIGB 436 Dr.A S Rao Nagar,Hyderabad</v>
      </c>
      <c r="C5" s="84"/>
      <c r="D5" s="84"/>
      <c r="E5" s="85"/>
      <c r="F5" s="83" t="str">
        <f>'PUNJAB 04-22Master'!AO5</f>
        <v>Burgeon IT Services Pvt.Ltd.</v>
      </c>
      <c r="G5" s="84"/>
      <c r="H5" s="84"/>
      <c r="I5" s="84"/>
      <c r="J5" s="84"/>
      <c r="K5" s="84"/>
      <c r="L5" s="85"/>
    </row>
    <row r="6" spans="1:12">
      <c r="A6" s="86"/>
      <c r="B6" s="87">
        <f>'PUNJAB 04-22Master'!F7</f>
        <v>0</v>
      </c>
      <c r="C6" s="87"/>
      <c r="D6" s="87"/>
      <c r="E6" s="88"/>
      <c r="F6" s="86" t="str">
        <f>'PUNJAB 04-22Master'!AO6</f>
        <v>Siri Mansion LIGB 436 Dr.A S Rao Nagar,Hyderabad</v>
      </c>
      <c r="G6" s="87"/>
      <c r="H6" s="87"/>
      <c r="I6" s="87"/>
      <c r="J6" s="87"/>
      <c r="K6" s="87"/>
      <c r="L6" s="88"/>
    </row>
    <row r="7" spans="1:12">
      <c r="A7" s="89" t="s">
        <v>83</v>
      </c>
      <c r="B7" s="81"/>
      <c r="C7" s="81"/>
      <c r="D7" s="81" t="str">
        <f>'PUNJAB 04-22Master'!F8</f>
        <v>IT SUPPORTIVE SERVICES&amp;Chandigarh</v>
      </c>
      <c r="E7" s="82"/>
      <c r="F7" s="89" t="s">
        <v>69</v>
      </c>
      <c r="G7" s="81"/>
      <c r="H7" s="81"/>
      <c r="I7" s="81"/>
      <c r="J7" s="81"/>
      <c r="K7" s="81"/>
      <c r="L7" s="82"/>
    </row>
    <row r="8" spans="1:12">
      <c r="A8" s="83"/>
      <c r="B8" s="84"/>
      <c r="C8" s="84"/>
      <c r="D8" s="84"/>
      <c r="E8" s="85"/>
      <c r="F8" s="90" t="str">
        <f>'PUNJAB 04-22Master'!AO10</f>
        <v xml:space="preserve">INFOSYS  LTD.IL </v>
      </c>
      <c r="G8" s="84"/>
      <c r="H8" s="84"/>
      <c r="I8" s="84"/>
      <c r="J8" s="84"/>
      <c r="K8" s="84"/>
      <c r="L8" s="85"/>
    </row>
    <row r="9" spans="1:12">
      <c r="A9" s="83"/>
      <c r="B9" s="84"/>
      <c r="C9" s="84"/>
      <c r="D9" s="84"/>
      <c r="E9" s="85"/>
      <c r="F9" s="83" t="str">
        <f>'PUNJAB APRIL 22-WMn Reg'!O8</f>
        <v>IL Chandigarh SEZ Unit - I Rajiv Gandhi Chandigarh tech Park, Kishangarh, Chandigarh-160101</v>
      </c>
      <c r="G9" s="84"/>
      <c r="H9" s="84"/>
      <c r="I9" s="84"/>
      <c r="J9" s="84"/>
      <c r="K9" s="84"/>
      <c r="L9" s="85"/>
    </row>
    <row r="10" spans="1:12">
      <c r="A10" s="86"/>
      <c r="B10" s="87"/>
      <c r="C10" s="87"/>
      <c r="D10" s="87"/>
      <c r="E10" s="88"/>
      <c r="F10" s="86"/>
      <c r="G10" s="87"/>
      <c r="H10" s="87"/>
      <c r="I10" s="87"/>
      <c r="J10" s="87"/>
      <c r="K10" s="87"/>
      <c r="L10" s="88"/>
    </row>
    <row r="11" spans="1:12">
      <c r="A11" s="717" t="s">
        <v>5</v>
      </c>
      <c r="B11" s="717" t="s">
        <v>70</v>
      </c>
      <c r="C11" s="821" t="s">
        <v>71</v>
      </c>
      <c r="D11" s="91" t="s">
        <v>40</v>
      </c>
      <c r="E11" s="822" t="s">
        <v>72</v>
      </c>
      <c r="F11" s="726" t="s">
        <v>102</v>
      </c>
      <c r="G11" s="726" t="s">
        <v>103</v>
      </c>
      <c r="H11" s="726" t="s">
        <v>104</v>
      </c>
      <c r="I11" s="726" t="s">
        <v>105</v>
      </c>
      <c r="J11" s="726" t="s">
        <v>106</v>
      </c>
      <c r="K11" s="717" t="s">
        <v>107</v>
      </c>
      <c r="L11" s="715" t="s">
        <v>41</v>
      </c>
    </row>
    <row r="12" spans="1:12">
      <c r="A12" s="717"/>
      <c r="B12" s="717"/>
      <c r="C12" s="821"/>
      <c r="D12" s="125"/>
      <c r="E12" s="822"/>
      <c r="F12" s="726"/>
      <c r="G12" s="726"/>
      <c r="H12" s="726"/>
      <c r="I12" s="726"/>
      <c r="J12" s="726"/>
      <c r="K12" s="717"/>
      <c r="L12" s="716"/>
    </row>
    <row r="13" spans="1:12">
      <c r="A13" s="96">
        <v>1</v>
      </c>
      <c r="B13" s="96">
        <v>2</v>
      </c>
      <c r="C13" s="96">
        <v>3</v>
      </c>
      <c r="D13" s="107">
        <v>4</v>
      </c>
      <c r="E13" s="96">
        <v>5</v>
      </c>
      <c r="F13" s="96">
        <v>6</v>
      </c>
      <c r="G13" s="96">
        <v>7</v>
      </c>
      <c r="H13" s="96">
        <v>8</v>
      </c>
      <c r="I13" s="96">
        <v>9</v>
      </c>
      <c r="J13" s="96">
        <v>10</v>
      </c>
      <c r="K13" s="96">
        <v>11</v>
      </c>
      <c r="L13" s="96">
        <v>12</v>
      </c>
    </row>
    <row r="14" spans="1:12">
      <c r="A14" s="98"/>
      <c r="B14" s="98"/>
      <c r="C14" s="98"/>
      <c r="D14" s="98"/>
      <c r="E14" s="98"/>
      <c r="F14" s="98"/>
      <c r="G14" s="98"/>
      <c r="H14" s="98"/>
      <c r="I14" s="98"/>
      <c r="J14" s="98"/>
      <c r="K14" s="98"/>
      <c r="L14" s="98"/>
    </row>
    <row r="15" spans="1:12">
      <c r="A15" s="98"/>
      <c r="B15" s="115"/>
      <c r="C15" s="115"/>
      <c r="D15" s="115"/>
      <c r="E15" s="115"/>
      <c r="F15" s="98"/>
      <c r="G15" s="98"/>
      <c r="H15" s="98"/>
      <c r="I15" s="98"/>
      <c r="J15" s="98"/>
      <c r="K15" s="98"/>
      <c r="L15" s="98"/>
    </row>
    <row r="16" spans="1:12">
      <c r="A16" s="120"/>
      <c r="B16" s="818" t="s">
        <v>108</v>
      </c>
      <c r="C16" s="819"/>
      <c r="D16" s="819"/>
      <c r="E16" s="820"/>
      <c r="F16" s="124">
        <f>'PUNJAB 04-22Master'!D10</f>
        <v>44652</v>
      </c>
      <c r="G16" s="98"/>
      <c r="H16" s="98"/>
      <c r="I16" s="98"/>
      <c r="J16" s="98"/>
      <c r="K16" s="98"/>
      <c r="L16" s="98"/>
    </row>
    <row r="17" spans="1:12">
      <c r="A17" s="98"/>
      <c r="B17" s="117"/>
      <c r="C17" s="117"/>
      <c r="D17" s="117"/>
      <c r="E17" s="117"/>
      <c r="F17" s="98"/>
      <c r="G17" s="98"/>
      <c r="H17" s="98"/>
      <c r="I17" s="98"/>
      <c r="J17" s="98"/>
      <c r="K17" s="98"/>
      <c r="L17" s="98"/>
    </row>
    <row r="18" spans="1:12">
      <c r="A18" s="98"/>
      <c r="B18" s="98"/>
      <c r="C18" s="98"/>
      <c r="D18" s="98"/>
      <c r="E18" s="98"/>
      <c r="F18" s="98"/>
      <c r="G18" s="98"/>
      <c r="H18" s="98"/>
      <c r="I18" s="98"/>
      <c r="J18" s="98"/>
      <c r="K18" s="98"/>
      <c r="L18" s="98"/>
    </row>
    <row r="19" spans="1:12">
      <c r="A19" s="98"/>
      <c r="B19" s="98"/>
      <c r="C19" s="98"/>
      <c r="D19" s="98"/>
      <c r="E19" s="98"/>
      <c r="F19" s="98"/>
      <c r="G19" s="98"/>
      <c r="H19" s="98"/>
      <c r="I19" s="98"/>
      <c r="J19" s="98"/>
      <c r="K19" s="98"/>
      <c r="L19" s="98"/>
    </row>
    <row r="20" spans="1:12">
      <c r="A20" s="98"/>
      <c r="B20" s="98"/>
      <c r="C20" s="98"/>
      <c r="D20" s="98"/>
      <c r="E20" s="98"/>
      <c r="F20" s="98"/>
      <c r="G20" s="98"/>
      <c r="H20" s="98"/>
      <c r="I20" s="98"/>
      <c r="J20" s="98"/>
      <c r="K20" s="98"/>
      <c r="L20" s="98"/>
    </row>
    <row r="21" spans="1:12">
      <c r="A21" s="98"/>
      <c r="B21" s="98"/>
      <c r="C21" s="98"/>
      <c r="D21" s="98"/>
      <c r="E21" s="98"/>
      <c r="F21" s="98"/>
      <c r="G21" s="98"/>
      <c r="H21" s="98"/>
      <c r="I21" s="98"/>
      <c r="J21" s="98"/>
      <c r="K21" s="98"/>
      <c r="L21" s="98"/>
    </row>
    <row r="22" spans="1:12">
      <c r="A22" s="98"/>
      <c r="B22" s="98"/>
      <c r="C22" s="98"/>
      <c r="D22" s="98"/>
      <c r="E22" s="98"/>
      <c r="F22" s="98"/>
      <c r="G22" s="98"/>
      <c r="H22" s="98"/>
      <c r="I22" s="98"/>
      <c r="J22" s="98"/>
      <c r="K22" s="98"/>
      <c r="L22" s="98"/>
    </row>
    <row r="23" spans="1:12">
      <c r="A23" s="98"/>
      <c r="B23" s="98"/>
      <c r="C23" s="98"/>
      <c r="D23" s="98"/>
      <c r="E23" s="98"/>
      <c r="F23" s="98"/>
      <c r="G23" s="98"/>
      <c r="H23" s="98"/>
      <c r="I23" s="98"/>
      <c r="J23" s="98"/>
      <c r="K23" s="98"/>
      <c r="L23" s="98"/>
    </row>
    <row r="24" spans="1:12">
      <c r="A24" s="98"/>
      <c r="B24" s="98"/>
      <c r="C24" s="98"/>
      <c r="D24" s="98"/>
      <c r="E24" s="98"/>
      <c r="F24" s="98"/>
      <c r="G24" s="98"/>
      <c r="H24" s="98"/>
      <c r="I24" s="98"/>
      <c r="J24" s="98"/>
      <c r="K24" s="98"/>
      <c r="L24" s="98"/>
    </row>
    <row r="25" spans="1:12">
      <c r="A25" s="98"/>
      <c r="B25" s="98"/>
      <c r="C25" s="98"/>
      <c r="D25" s="98"/>
      <c r="E25" s="98"/>
      <c r="F25" s="98"/>
      <c r="G25" s="98"/>
      <c r="H25" s="98"/>
      <c r="I25" s="98"/>
      <c r="J25" s="98"/>
      <c r="K25" s="98"/>
      <c r="L25" s="98"/>
    </row>
    <row r="26" spans="1:12">
      <c r="A26" s="98"/>
      <c r="B26" s="98"/>
      <c r="C26" s="98"/>
      <c r="D26" s="98"/>
      <c r="E26" s="98"/>
      <c r="F26" s="98"/>
      <c r="G26" s="98"/>
      <c r="H26" s="98"/>
      <c r="I26" s="98"/>
      <c r="J26" s="98"/>
      <c r="K26" s="98"/>
      <c r="L26" s="98"/>
    </row>
    <row r="27" spans="1:12">
      <c r="A27" s="98"/>
      <c r="B27" s="98"/>
      <c r="C27" s="98"/>
      <c r="D27" s="98"/>
      <c r="E27" s="98"/>
      <c r="F27" s="98"/>
      <c r="G27" s="98"/>
      <c r="H27" s="98"/>
      <c r="I27" s="98"/>
      <c r="J27" s="98"/>
      <c r="K27" s="98"/>
      <c r="L27" s="98"/>
    </row>
    <row r="28" spans="1:12">
      <c r="A28" s="98"/>
      <c r="B28" s="98"/>
      <c r="C28" s="98"/>
      <c r="D28" s="98"/>
      <c r="E28" s="98"/>
      <c r="F28" s="98"/>
      <c r="G28" s="98"/>
      <c r="H28" s="98"/>
      <c r="I28" s="98"/>
      <c r="J28" s="98"/>
      <c r="K28" s="98"/>
      <c r="L28" s="98"/>
    </row>
    <row r="29" spans="1:12">
      <c r="A29" s="98"/>
      <c r="B29" s="98"/>
      <c r="C29" s="98"/>
      <c r="D29" s="98"/>
      <c r="E29" s="98"/>
      <c r="F29" s="98"/>
      <c r="G29" s="98"/>
      <c r="H29" s="98"/>
      <c r="I29" s="98"/>
      <c r="J29" s="98"/>
      <c r="K29" s="98"/>
      <c r="L29" s="98"/>
    </row>
    <row r="30" spans="1:12">
      <c r="A30" s="98"/>
      <c r="B30" s="98"/>
      <c r="C30" s="98"/>
      <c r="D30" s="98"/>
      <c r="E30" s="98"/>
      <c r="F30" s="98"/>
      <c r="G30" s="98"/>
      <c r="H30" s="98"/>
      <c r="I30" s="98"/>
      <c r="J30" s="98"/>
      <c r="K30" s="98"/>
      <c r="L30" s="98"/>
    </row>
    <row r="31" spans="1:12">
      <c r="A31" s="98"/>
      <c r="B31" s="98"/>
      <c r="C31" s="98"/>
      <c r="D31" s="98"/>
      <c r="E31" s="98"/>
      <c r="F31" s="98"/>
      <c r="G31" s="98"/>
      <c r="H31" s="98"/>
      <c r="I31" s="98"/>
      <c r="J31" s="98"/>
      <c r="K31" s="98"/>
      <c r="L31" s="98"/>
    </row>
    <row r="32" spans="1:12">
      <c r="A32" s="98"/>
      <c r="B32" s="98"/>
      <c r="C32" s="98"/>
      <c r="D32" s="98"/>
      <c r="E32" s="98"/>
      <c r="F32" s="98"/>
      <c r="G32" s="98"/>
      <c r="H32" s="98"/>
      <c r="I32" s="98"/>
      <c r="J32" s="98"/>
      <c r="K32" s="98"/>
      <c r="L32" s="98"/>
    </row>
    <row r="33" spans="1:12">
      <c r="A33" s="98"/>
      <c r="B33" s="98"/>
      <c r="C33" s="98"/>
      <c r="D33" s="98"/>
      <c r="E33" s="98"/>
      <c r="F33" s="98"/>
      <c r="G33" s="98"/>
      <c r="H33" s="98"/>
      <c r="I33" s="98"/>
      <c r="J33" s="98"/>
      <c r="K33" s="98"/>
      <c r="L33" s="98"/>
    </row>
    <row r="34" spans="1:12">
      <c r="A34" s="98"/>
      <c r="B34" s="98"/>
      <c r="C34" s="98"/>
      <c r="D34" s="98"/>
      <c r="E34" s="98"/>
      <c r="F34" s="98"/>
      <c r="G34" s="98"/>
      <c r="H34" s="98"/>
      <c r="I34" s="98"/>
      <c r="J34" s="98"/>
      <c r="K34" s="98"/>
      <c r="L34" s="98"/>
    </row>
    <row r="35" spans="1:12">
      <c r="A35" s="98"/>
      <c r="B35" s="98"/>
      <c r="C35" s="98"/>
      <c r="D35" s="98"/>
      <c r="E35" s="98"/>
      <c r="F35" s="98"/>
      <c r="G35" s="98"/>
      <c r="H35" s="98"/>
      <c r="I35" s="98"/>
      <c r="J35" s="98"/>
      <c r="K35" s="98"/>
      <c r="L35" s="98"/>
    </row>
    <row r="36" spans="1:12">
      <c r="A36" s="83"/>
      <c r="B36" s="84"/>
      <c r="C36" s="84"/>
      <c r="D36" s="84"/>
      <c r="E36" s="84"/>
      <c r="F36" s="84"/>
      <c r="G36" s="84"/>
      <c r="H36" s="84"/>
      <c r="I36" s="84"/>
      <c r="J36" s="84"/>
      <c r="K36" s="84"/>
      <c r="L36" s="85"/>
    </row>
    <row r="37" spans="1:12">
      <c r="A37" s="83"/>
      <c r="B37" s="84"/>
      <c r="C37" s="84"/>
      <c r="D37" s="84"/>
      <c r="E37" s="84"/>
      <c r="F37" s="84"/>
      <c r="G37" s="84"/>
      <c r="H37" s="84"/>
      <c r="I37" s="84"/>
      <c r="J37" s="84"/>
      <c r="K37" s="84"/>
      <c r="L37" s="85"/>
    </row>
    <row r="38" spans="1:12">
      <c r="A38" s="126"/>
      <c r="B38" s="47"/>
      <c r="C38" s="47"/>
      <c r="D38" s="47"/>
      <c r="E38" s="47"/>
      <c r="F38" s="47"/>
      <c r="G38" s="47" t="s">
        <v>38</v>
      </c>
      <c r="H38" s="47"/>
      <c r="I38" s="47"/>
      <c r="J38" s="47"/>
      <c r="K38" s="47"/>
      <c r="L38" s="116"/>
    </row>
    <row r="39" spans="1:12">
      <c r="A39" s="126"/>
      <c r="B39" s="47"/>
      <c r="C39" s="47"/>
      <c r="D39" s="47"/>
      <c r="E39" s="47"/>
      <c r="F39" s="47"/>
      <c r="G39" s="47"/>
      <c r="H39" s="47"/>
      <c r="I39" s="47"/>
      <c r="J39" s="47"/>
      <c r="K39" s="47"/>
      <c r="L39" s="116"/>
    </row>
    <row r="40" spans="1:12">
      <c r="A40" s="126"/>
      <c r="B40" s="47"/>
      <c r="C40" s="47"/>
      <c r="D40" s="47"/>
      <c r="E40" s="47"/>
      <c r="F40" s="47"/>
      <c r="G40" s="47"/>
      <c r="H40" s="47"/>
      <c r="I40" s="47"/>
      <c r="J40" s="47"/>
      <c r="K40" s="47"/>
      <c r="L40" s="116"/>
    </row>
    <row r="41" spans="1:12">
      <c r="A41" s="127"/>
      <c r="B41" s="68"/>
      <c r="C41" s="68"/>
      <c r="D41" s="68"/>
      <c r="E41" s="68"/>
      <c r="F41" s="68"/>
      <c r="G41" s="68"/>
      <c r="H41" s="68"/>
      <c r="I41" s="68"/>
      <c r="J41" s="68"/>
      <c r="K41" s="68"/>
      <c r="L41" s="128"/>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4">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1"/>
  <sheetViews>
    <sheetView view="pageBreakPreview" zoomScaleSheetLayoutView="100" workbookViewId="0">
      <selection activeCell="A12" sqref="A12"/>
    </sheetView>
  </sheetViews>
  <sheetFormatPr defaultRowHeight="15"/>
  <cols>
    <col min="1" max="1" width="7" customWidth="1"/>
    <col min="2" max="2" width="13.7109375" customWidth="1"/>
    <col min="3" max="3" width="15.5703125" customWidth="1"/>
    <col min="4" max="4" width="8.28515625" customWidth="1"/>
    <col min="5" max="5" width="15" customWidth="1"/>
    <col min="8" max="8" width="11.42578125" customWidth="1"/>
    <col min="16" max="16" width="11.140625" customWidth="1"/>
    <col min="17" max="17" width="11.5703125" customWidth="1"/>
  </cols>
  <sheetData>
    <row r="1" spans="1:20">
      <c r="A1" s="823" t="s">
        <v>383</v>
      </c>
      <c r="B1" s="824"/>
      <c r="C1" s="824"/>
      <c r="D1" s="824"/>
      <c r="E1" s="824"/>
      <c r="F1" s="824"/>
      <c r="G1" s="824"/>
      <c r="H1" s="824"/>
      <c r="I1" s="824"/>
      <c r="J1" s="824"/>
      <c r="K1" s="824"/>
      <c r="L1" s="824"/>
      <c r="M1" s="824"/>
      <c r="N1" s="824"/>
      <c r="O1" s="824"/>
      <c r="P1" s="824"/>
      <c r="Q1" s="824"/>
      <c r="R1" s="825"/>
    </row>
    <row r="2" spans="1:20">
      <c r="A2" s="826"/>
      <c r="B2" s="827"/>
      <c r="C2" s="827"/>
      <c r="D2" s="827"/>
      <c r="E2" s="827"/>
      <c r="F2" s="827"/>
      <c r="G2" s="827"/>
      <c r="H2" s="827"/>
      <c r="I2" s="827"/>
      <c r="J2" s="827"/>
      <c r="K2" s="827"/>
      <c r="L2" s="827"/>
      <c r="M2" s="827"/>
      <c r="N2" s="827"/>
      <c r="O2" s="827"/>
      <c r="P2" s="827"/>
      <c r="Q2" s="827"/>
      <c r="R2" s="828"/>
    </row>
    <row r="3" spans="1:20">
      <c r="A3" s="829" t="s">
        <v>384</v>
      </c>
      <c r="B3" s="829"/>
      <c r="C3" s="829"/>
      <c r="D3" s="829"/>
      <c r="E3" s="829"/>
      <c r="F3" s="829"/>
      <c r="G3" s="829"/>
      <c r="H3" s="829"/>
      <c r="I3" s="829"/>
      <c r="J3" s="829"/>
      <c r="K3" s="829"/>
      <c r="L3" s="829"/>
      <c r="M3" s="829"/>
      <c r="N3" s="829"/>
      <c r="O3" s="829"/>
      <c r="P3" s="829"/>
      <c r="Q3" s="829"/>
      <c r="R3" s="829"/>
    </row>
    <row r="4" spans="1:20">
      <c r="A4" s="829" t="s">
        <v>385</v>
      </c>
      <c r="B4" s="829"/>
      <c r="C4" s="829"/>
      <c r="D4" s="829"/>
      <c r="E4" s="829"/>
      <c r="F4" s="829"/>
      <c r="G4" s="829"/>
      <c r="H4" s="829"/>
      <c r="I4" s="829"/>
      <c r="J4" s="829"/>
      <c r="K4" s="829"/>
      <c r="L4" s="829"/>
      <c r="M4" s="829"/>
      <c r="N4" s="829"/>
      <c r="O4" s="829"/>
      <c r="P4" s="829"/>
      <c r="Q4" s="829"/>
      <c r="R4" s="829"/>
    </row>
    <row r="5" spans="1:20">
      <c r="A5" s="515"/>
      <c r="B5" s="829" t="s">
        <v>386</v>
      </c>
      <c r="C5" s="829"/>
      <c r="D5" s="829"/>
      <c r="E5" s="829"/>
      <c r="F5" s="829"/>
      <c r="G5" s="829"/>
      <c r="H5" s="829"/>
      <c r="I5" s="829"/>
      <c r="J5" s="829"/>
      <c r="K5" s="829"/>
      <c r="L5" s="829"/>
      <c r="M5" s="829"/>
      <c r="N5" s="829"/>
      <c r="O5" s="829"/>
      <c r="P5" s="829"/>
      <c r="Q5" s="829"/>
      <c r="R5" s="829"/>
    </row>
    <row r="6" spans="1:20">
      <c r="A6" s="830"/>
      <c r="B6" s="830"/>
      <c r="C6" s="830"/>
      <c r="D6" s="831"/>
      <c r="E6" s="830"/>
      <c r="F6" s="86"/>
      <c r="G6" s="87"/>
      <c r="H6" s="87"/>
      <c r="I6" s="84"/>
      <c r="J6" s="84"/>
      <c r="K6" s="84"/>
      <c r="L6" s="84"/>
      <c r="M6" s="84"/>
      <c r="N6" s="84"/>
      <c r="O6" s="84"/>
      <c r="P6" s="87"/>
      <c r="Q6" s="87"/>
      <c r="R6" s="88"/>
    </row>
    <row r="7" spans="1:20">
      <c r="A7" s="832" t="s">
        <v>5</v>
      </c>
      <c r="B7" s="835" t="s">
        <v>387</v>
      </c>
      <c r="C7" s="835" t="s">
        <v>388</v>
      </c>
      <c r="D7" s="838" t="s">
        <v>389</v>
      </c>
      <c r="E7" s="835" t="s">
        <v>40</v>
      </c>
      <c r="F7" s="835" t="s">
        <v>110</v>
      </c>
      <c r="G7" s="516"/>
      <c r="H7" s="838" t="s">
        <v>112</v>
      </c>
      <c r="I7" s="841" t="s">
        <v>390</v>
      </c>
      <c r="J7" s="842"/>
      <c r="K7" s="842"/>
      <c r="L7" s="842"/>
      <c r="M7" s="505"/>
      <c r="N7" s="505"/>
      <c r="O7" s="505"/>
      <c r="P7" s="845" t="s">
        <v>391</v>
      </c>
      <c r="Q7" s="846" t="s">
        <v>113</v>
      </c>
      <c r="R7" s="838" t="s">
        <v>392</v>
      </c>
    </row>
    <row r="8" spans="1:20" ht="171.75">
      <c r="A8" s="833"/>
      <c r="B8" s="836"/>
      <c r="C8" s="836"/>
      <c r="D8" s="839"/>
      <c r="E8" s="836"/>
      <c r="F8" s="836"/>
      <c r="G8" s="836" t="s">
        <v>111</v>
      </c>
      <c r="H8" s="839"/>
      <c r="I8" s="843"/>
      <c r="J8" s="844"/>
      <c r="K8" s="844"/>
      <c r="L8" s="844"/>
      <c r="M8" s="506"/>
      <c r="N8" s="517" t="s">
        <v>393</v>
      </c>
      <c r="O8" s="517" t="s">
        <v>394</v>
      </c>
      <c r="P8" s="845"/>
      <c r="Q8" s="846"/>
      <c r="R8" s="840"/>
    </row>
    <row r="9" spans="1:20" ht="34.5">
      <c r="A9" s="834"/>
      <c r="B9" s="837"/>
      <c r="C9" s="837"/>
      <c r="D9" s="840"/>
      <c r="E9" s="837"/>
      <c r="F9" s="837"/>
      <c r="G9" s="837"/>
      <c r="H9" s="840"/>
      <c r="I9" s="139" t="s">
        <v>395</v>
      </c>
      <c r="J9" s="138" t="s">
        <v>396</v>
      </c>
      <c r="K9" s="129" t="s">
        <v>397</v>
      </c>
      <c r="L9" s="129" t="s">
        <v>398</v>
      </c>
      <c r="M9" s="129" t="s">
        <v>201</v>
      </c>
      <c r="N9" s="129"/>
      <c r="O9" s="129"/>
      <c r="P9" s="518"/>
      <c r="Q9" s="518"/>
      <c r="R9" s="518"/>
      <c r="T9" s="60"/>
    </row>
    <row r="10" spans="1:20">
      <c r="A10" s="519">
        <v>1</v>
      </c>
      <c r="B10" s="519">
        <v>2</v>
      </c>
      <c r="C10" s="519">
        <v>3</v>
      </c>
      <c r="D10" s="519">
        <v>4</v>
      </c>
      <c r="E10" s="519">
        <v>5</v>
      </c>
      <c r="F10" s="519">
        <v>6</v>
      </c>
      <c r="G10" s="520">
        <v>7</v>
      </c>
      <c r="H10" s="520">
        <v>8</v>
      </c>
      <c r="I10" s="519">
        <v>9</v>
      </c>
      <c r="J10" s="519">
        <v>10</v>
      </c>
      <c r="K10" s="519">
        <v>11</v>
      </c>
      <c r="L10" s="519">
        <v>12</v>
      </c>
      <c r="M10" s="519">
        <v>13</v>
      </c>
      <c r="N10" s="519">
        <v>14</v>
      </c>
      <c r="O10" s="519">
        <v>15</v>
      </c>
      <c r="P10" s="519">
        <v>16</v>
      </c>
      <c r="Q10" s="519">
        <v>17</v>
      </c>
      <c r="R10" s="519">
        <v>18</v>
      </c>
    </row>
    <row r="11" spans="1:20" ht="15.75" thickBot="1">
      <c r="A11" s="521"/>
      <c r="B11" s="522"/>
      <c r="C11" s="522"/>
      <c r="D11" s="522"/>
      <c r="E11" s="522"/>
      <c r="F11" s="521"/>
      <c r="G11" s="521"/>
      <c r="H11" s="521"/>
      <c r="I11" s="521"/>
      <c r="J11" s="521"/>
      <c r="K11" s="521"/>
      <c r="L11" s="521"/>
      <c r="M11" s="521"/>
      <c r="N11" s="521"/>
      <c r="O11" s="521"/>
      <c r="P11" s="521"/>
      <c r="Q11" s="521"/>
      <c r="R11" s="521"/>
    </row>
    <row r="12" spans="1:20" ht="15.75" thickBot="1">
      <c r="A12" s="120"/>
      <c r="B12" s="135" t="s">
        <v>114</v>
      </c>
      <c r="C12" s="136"/>
      <c r="D12" s="136"/>
      <c r="E12" s="137"/>
      <c r="F12" s="124">
        <f>'PUNJAB 04-22Master'!D10</f>
        <v>44652</v>
      </c>
      <c r="G12" s="124"/>
      <c r="H12" s="521"/>
      <c r="I12" s="521"/>
      <c r="J12" s="521"/>
      <c r="K12" s="521"/>
      <c r="L12" s="521"/>
      <c r="M12" s="521"/>
      <c r="N12" s="521"/>
      <c r="O12" s="521"/>
      <c r="P12" s="521"/>
      <c r="Q12" s="521"/>
      <c r="R12" s="521"/>
    </row>
    <row r="13" spans="1:20">
      <c r="A13" s="521"/>
      <c r="B13" s="117"/>
      <c r="C13" s="117"/>
      <c r="D13" s="117"/>
      <c r="E13" s="117"/>
      <c r="F13" s="521"/>
      <c r="G13" s="521"/>
      <c r="H13" s="521"/>
      <c r="I13" s="521"/>
      <c r="J13" s="521"/>
      <c r="K13" s="521"/>
      <c r="L13" s="521"/>
      <c r="M13" s="521"/>
      <c r="N13" s="521"/>
      <c r="O13" s="521"/>
      <c r="P13" s="521"/>
      <c r="Q13" s="521"/>
      <c r="R13" s="521"/>
    </row>
    <row r="14" spans="1:20">
      <c r="A14" s="521"/>
      <c r="B14" s="521"/>
      <c r="C14" s="521"/>
      <c r="D14" s="521"/>
      <c r="E14" s="521"/>
      <c r="F14" s="521"/>
      <c r="G14" s="521"/>
      <c r="H14" s="521"/>
      <c r="I14" s="521"/>
      <c r="J14" s="521"/>
      <c r="K14" s="521"/>
      <c r="L14" s="521"/>
      <c r="M14" s="521"/>
      <c r="N14" s="521"/>
      <c r="O14" s="521"/>
      <c r="P14" s="521"/>
      <c r="Q14" s="521"/>
      <c r="R14" s="521"/>
    </row>
    <row r="15" spans="1:20">
      <c r="A15" s="521"/>
      <c r="B15" s="521"/>
      <c r="C15" s="521"/>
      <c r="D15" s="521"/>
      <c r="E15" s="521"/>
      <c r="F15" s="521"/>
      <c r="G15" s="521"/>
      <c r="H15" s="521"/>
      <c r="I15" s="521"/>
      <c r="J15" s="521"/>
      <c r="K15" s="521"/>
      <c r="L15" s="521"/>
      <c r="M15" s="521"/>
      <c r="N15" s="521"/>
      <c r="O15" s="521"/>
      <c r="P15" s="521"/>
      <c r="Q15" s="521"/>
      <c r="R15" s="521"/>
    </row>
    <row r="16" spans="1:20">
      <c r="A16" s="521"/>
      <c r="B16" s="521"/>
      <c r="C16" s="521"/>
      <c r="D16" s="521"/>
      <c r="E16" s="521"/>
      <c r="F16" s="521"/>
      <c r="G16" s="521"/>
      <c r="H16" s="521"/>
      <c r="I16" s="521"/>
      <c r="J16" s="521"/>
      <c r="K16" s="521"/>
      <c r="L16" s="521"/>
      <c r="M16" s="521"/>
      <c r="N16" s="521"/>
      <c r="O16" s="521"/>
      <c r="P16" s="521"/>
      <c r="Q16" s="521"/>
      <c r="R16" s="521"/>
    </row>
    <row r="17" spans="1:18">
      <c r="A17" s="521"/>
      <c r="B17" s="521"/>
      <c r="C17" s="521"/>
      <c r="D17" s="521"/>
      <c r="E17" s="521"/>
      <c r="F17" s="521"/>
      <c r="G17" s="521"/>
      <c r="H17" s="521"/>
      <c r="I17" s="521"/>
      <c r="J17" s="521"/>
      <c r="K17" s="521"/>
      <c r="L17" s="521"/>
      <c r="M17" s="521"/>
      <c r="N17" s="521"/>
      <c r="O17" s="521"/>
      <c r="P17" s="521"/>
      <c r="Q17" s="521"/>
      <c r="R17" s="521"/>
    </row>
    <row r="18" spans="1:18">
      <c r="A18" s="521"/>
      <c r="B18" s="521"/>
      <c r="C18" s="521"/>
      <c r="D18" s="521"/>
      <c r="E18" s="521"/>
      <c r="F18" s="521"/>
      <c r="G18" s="521"/>
      <c r="H18" s="521"/>
      <c r="I18" s="521"/>
      <c r="J18" s="521"/>
      <c r="K18" s="521"/>
      <c r="L18" s="521"/>
      <c r="M18" s="521"/>
      <c r="N18" s="521"/>
      <c r="O18" s="521"/>
      <c r="P18" s="521"/>
      <c r="Q18" s="521"/>
      <c r="R18" s="521"/>
    </row>
    <row r="19" spans="1:18">
      <c r="A19" s="521"/>
      <c r="B19" s="521"/>
      <c r="C19" s="521"/>
      <c r="D19" s="521"/>
      <c r="E19" s="521"/>
      <c r="F19" s="521"/>
      <c r="G19" s="521"/>
      <c r="H19" s="521"/>
      <c r="I19" s="521"/>
      <c r="J19" s="521"/>
      <c r="K19" s="521"/>
      <c r="L19" s="521"/>
      <c r="M19" s="521"/>
      <c r="N19" s="521"/>
      <c r="O19" s="521"/>
      <c r="P19" s="521"/>
      <c r="Q19" s="521"/>
      <c r="R19" s="521"/>
    </row>
    <row r="20" spans="1:18">
      <c r="A20" s="521"/>
      <c r="B20" s="521"/>
      <c r="C20" s="521"/>
      <c r="D20" s="521"/>
      <c r="E20" s="521"/>
      <c r="F20" s="521"/>
      <c r="G20" s="521"/>
      <c r="H20" s="521"/>
      <c r="I20" s="521"/>
      <c r="J20" s="521"/>
      <c r="K20" s="521"/>
      <c r="L20" s="521"/>
      <c r="M20" s="521"/>
      <c r="N20" s="521"/>
      <c r="O20" s="521"/>
      <c r="P20" s="521"/>
      <c r="Q20" s="521"/>
      <c r="R20" s="521"/>
    </row>
    <row r="21" spans="1:18">
      <c r="A21" s="521"/>
      <c r="B21" s="521"/>
      <c r="C21" s="521"/>
      <c r="D21" s="521"/>
      <c r="E21" s="521"/>
      <c r="F21" s="521"/>
      <c r="G21" s="521"/>
      <c r="H21" s="521"/>
      <c r="I21" s="521"/>
      <c r="J21" s="521"/>
      <c r="K21" s="521"/>
      <c r="L21" s="521"/>
      <c r="M21" s="521"/>
      <c r="N21" s="521"/>
      <c r="O21" s="521"/>
      <c r="P21" s="521"/>
      <c r="Q21" s="521"/>
      <c r="R21" s="521"/>
    </row>
  </sheetData>
  <protectedRanges>
    <protectedRange password="CA4D" sqref="A6:E6 A9:R9 A7:A8 A1:R5 C7:R8" name="Range1_5"/>
    <protectedRange password="CA4D" sqref="F6:R6" name="Range1_4_1"/>
    <protectedRange password="CA4D" sqref="B7:B8" name="Range1_3_1"/>
  </protectedRanges>
  <mergeCells count="17">
    <mergeCell ref="R7:R8"/>
    <mergeCell ref="G8:G9"/>
    <mergeCell ref="F7:F9"/>
    <mergeCell ref="H7:H9"/>
    <mergeCell ref="I7:L8"/>
    <mergeCell ref="P7:P8"/>
    <mergeCell ref="Q7:Q8"/>
    <mergeCell ref="A7:A9"/>
    <mergeCell ref="B7:B9"/>
    <mergeCell ref="C7:C9"/>
    <mergeCell ref="D7:D9"/>
    <mergeCell ref="E7:E9"/>
    <mergeCell ref="A1:R2"/>
    <mergeCell ref="A3:R3"/>
    <mergeCell ref="A4:R4"/>
    <mergeCell ref="B5:R5"/>
    <mergeCell ref="A6:E6"/>
  </mergeCells>
  <pageMargins left="0.7" right="0.7" top="0.75" bottom="0.75" header="0.3" footer="0.3"/>
  <pageSetup scale="64"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795"/>
  <sheetViews>
    <sheetView topLeftCell="A7" workbookViewId="0">
      <selection activeCell="L11" sqref="L11"/>
    </sheetView>
  </sheetViews>
  <sheetFormatPr defaultRowHeight="15"/>
  <cols>
    <col min="6" max="6" width="16.85546875" customWidth="1"/>
    <col min="10" max="10" width="14.5703125" customWidth="1"/>
    <col min="12" max="12" width="22.7109375" customWidth="1"/>
  </cols>
  <sheetData>
    <row r="1" spans="1:12" ht="29.25" customHeight="1">
      <c r="A1" s="140"/>
      <c r="B1" s="742" t="s">
        <v>185</v>
      </c>
      <c r="C1" s="743"/>
      <c r="D1" s="743"/>
      <c r="E1" s="743"/>
      <c r="F1" s="743"/>
      <c r="G1" s="743"/>
      <c r="H1" s="743"/>
      <c r="I1" s="743"/>
      <c r="J1" s="743"/>
      <c r="K1" s="743"/>
      <c r="L1" s="744"/>
    </row>
    <row r="2" spans="1:12" ht="23.25">
      <c r="A2" s="62"/>
      <c r="B2" s="745" t="s">
        <v>186</v>
      </c>
      <c r="C2" s="745"/>
      <c r="D2" s="745"/>
      <c r="E2" s="745"/>
      <c r="F2" s="745"/>
      <c r="G2" s="745"/>
      <c r="H2" s="745"/>
      <c r="I2" s="745"/>
      <c r="J2" s="745"/>
      <c r="K2" s="745"/>
      <c r="L2" s="746"/>
    </row>
    <row r="3" spans="1:12" ht="12.75" customHeight="1" thickBot="1">
      <c r="A3" s="76"/>
      <c r="B3" s="747" t="s">
        <v>187</v>
      </c>
      <c r="C3" s="747"/>
      <c r="D3" s="747"/>
      <c r="E3" s="747"/>
      <c r="F3" s="747"/>
      <c r="G3" s="747"/>
      <c r="H3" s="747"/>
      <c r="I3" s="747"/>
      <c r="J3" s="747"/>
      <c r="K3" s="747"/>
      <c r="L3" s="748"/>
    </row>
    <row r="4" spans="1:12">
      <c r="A4" s="62"/>
      <c r="B4" s="757" t="s">
        <v>117</v>
      </c>
      <c r="C4" s="757"/>
      <c r="D4" s="757"/>
      <c r="E4" s="757"/>
      <c r="F4" s="757"/>
      <c r="G4" s="47"/>
      <c r="H4" s="758" t="s">
        <v>118</v>
      </c>
      <c r="I4" s="758"/>
      <c r="J4" s="758"/>
      <c r="K4" s="758"/>
      <c r="L4" s="759"/>
    </row>
    <row r="5" spans="1:12" ht="15.75" thickBot="1">
      <c r="A5" s="62"/>
      <c r="B5" s="757"/>
      <c r="C5" s="757"/>
      <c r="D5" s="757"/>
      <c r="E5" s="757"/>
      <c r="F5" s="757"/>
      <c r="G5" s="47"/>
      <c r="H5" s="758"/>
      <c r="I5" s="758"/>
      <c r="J5" s="758"/>
      <c r="K5" s="758"/>
      <c r="L5" s="759"/>
    </row>
    <row r="6" spans="1:12">
      <c r="A6" s="62"/>
      <c r="B6" s="140"/>
      <c r="C6" s="141"/>
      <c r="D6" s="141"/>
      <c r="E6" s="141"/>
      <c r="F6" s="142"/>
      <c r="G6" s="47"/>
      <c r="H6" s="140"/>
      <c r="I6" s="141"/>
      <c r="J6" s="141"/>
      <c r="K6" s="141"/>
      <c r="L6" s="142"/>
    </row>
    <row r="7" spans="1:12">
      <c r="A7" s="62"/>
      <c r="B7" s="146" t="str">
        <f>'04-22 Muster Roll'!D5</f>
        <v>Burgeon IT Services Pvt.Ltd.</v>
      </c>
      <c r="C7" s="144"/>
      <c r="D7" s="144"/>
      <c r="E7" s="144"/>
      <c r="F7" s="145"/>
      <c r="G7" s="47"/>
      <c r="H7" s="146" t="str">
        <f>'04-22 Muster Roll'!X5</f>
        <v>Burgeon IT Services Pvt.Ltd.</v>
      </c>
      <c r="I7" s="144"/>
      <c r="J7" s="144"/>
      <c r="K7" s="144"/>
      <c r="L7" s="145"/>
    </row>
    <row r="8" spans="1:12">
      <c r="A8" s="62"/>
      <c r="B8" s="62"/>
      <c r="C8" s="144"/>
      <c r="D8" s="144"/>
      <c r="E8" s="144"/>
      <c r="F8" s="145"/>
      <c r="G8" s="47"/>
      <c r="H8" s="62"/>
      <c r="I8" s="144"/>
      <c r="J8" s="144"/>
      <c r="K8" s="144"/>
      <c r="L8" s="145"/>
    </row>
    <row r="9" spans="1:12">
      <c r="A9" s="62"/>
      <c r="B9" s="146" t="str">
        <f>'04-22 Muster Roll'!D6</f>
        <v>Siri Mansion LIGB 436 Dr.A S Rao Nagar,Hyderabad</v>
      </c>
      <c r="C9" s="144"/>
      <c r="D9" s="144"/>
      <c r="E9" s="144"/>
      <c r="F9" s="145"/>
      <c r="G9" s="47"/>
      <c r="H9" s="146" t="str">
        <f>'04-22 Muster Roll'!X6</f>
        <v>Siri Mansion LIGB 436 Dr.A S Rao Nagar,Hyderabad</v>
      </c>
      <c r="I9" s="144"/>
      <c r="J9" s="144"/>
      <c r="K9" s="144"/>
      <c r="L9" s="145"/>
    </row>
    <row r="10" spans="1:12" ht="15.75" thickBot="1">
      <c r="A10" s="62"/>
      <c r="B10" s="147"/>
      <c r="C10" s="77"/>
      <c r="D10" s="77"/>
      <c r="E10" s="77"/>
      <c r="F10" s="148"/>
      <c r="G10" s="47"/>
      <c r="H10" s="147"/>
      <c r="I10" s="77"/>
      <c r="J10" s="77"/>
      <c r="K10" s="77"/>
      <c r="L10" s="148"/>
    </row>
    <row r="11" spans="1:12">
      <c r="A11" s="62"/>
      <c r="B11" s="47"/>
      <c r="C11" s="47"/>
      <c r="D11" s="47"/>
      <c r="E11" s="47"/>
      <c r="F11" s="47"/>
      <c r="G11" s="47"/>
      <c r="H11" s="47"/>
      <c r="I11" s="47"/>
      <c r="J11" s="47" t="s">
        <v>119</v>
      </c>
      <c r="K11" s="47"/>
      <c r="L11" s="63"/>
    </row>
    <row r="12" spans="1:12">
      <c r="A12" s="62"/>
      <c r="B12" s="760" t="s">
        <v>120</v>
      </c>
      <c r="C12" s="760"/>
      <c r="D12" s="760"/>
      <c r="E12" s="760"/>
      <c r="F12" s="760"/>
      <c r="G12" s="47"/>
      <c r="H12" s="760" t="s">
        <v>4</v>
      </c>
      <c r="I12" s="760"/>
      <c r="J12" s="760"/>
      <c r="K12" s="760"/>
      <c r="L12" s="761"/>
    </row>
    <row r="13" spans="1:12" ht="15.75" thickBot="1">
      <c r="A13" s="62"/>
      <c r="B13" s="47"/>
      <c r="C13" s="47"/>
      <c r="D13" s="47"/>
      <c r="E13" s="47"/>
      <c r="F13" s="47"/>
      <c r="G13" s="47"/>
      <c r="H13" s="47"/>
      <c r="I13" s="47"/>
      <c r="J13" s="47"/>
      <c r="K13" s="47"/>
      <c r="L13" s="63"/>
    </row>
    <row r="14" spans="1:12">
      <c r="A14" s="62"/>
      <c r="B14" s="140"/>
      <c r="C14" s="141"/>
      <c r="D14" s="141"/>
      <c r="E14" s="141"/>
      <c r="F14" s="142"/>
      <c r="G14" s="47"/>
      <c r="H14" s="149"/>
      <c r="I14" s="150"/>
      <c r="J14" s="150"/>
      <c r="K14" s="150"/>
      <c r="L14" s="151"/>
    </row>
    <row r="15" spans="1:12">
      <c r="A15" s="62"/>
      <c r="B15" s="143"/>
      <c r="C15" s="144"/>
      <c r="D15" s="144"/>
      <c r="E15" s="144"/>
      <c r="F15" s="145"/>
      <c r="G15" s="47"/>
      <c r="H15" s="146" t="str">
        <f>'04-22 Muster Roll'!Z9</f>
        <v xml:space="preserve">INFOSYS  LTD.IL </v>
      </c>
      <c r="I15" s="152"/>
      <c r="J15" s="152"/>
      <c r="K15" s="152"/>
      <c r="L15" s="153"/>
    </row>
    <row r="16" spans="1:12">
      <c r="A16" s="62"/>
      <c r="B16" s="146" t="str">
        <f>'04-22 Muster Roll'!D7</f>
        <v>IT SUPPORTIVE SERVICES&amp;Chandigarh</v>
      </c>
      <c r="C16" s="144"/>
      <c r="D16" s="144"/>
      <c r="E16" s="144"/>
      <c r="F16" s="145"/>
      <c r="G16" s="47"/>
      <c r="H16" s="146"/>
      <c r="I16" s="152"/>
      <c r="J16" s="152"/>
      <c r="K16" s="152"/>
      <c r="L16" s="153"/>
    </row>
    <row r="17" spans="1:12">
      <c r="A17" s="62"/>
      <c r="B17" s="143"/>
      <c r="C17" s="144"/>
      <c r="D17" s="144"/>
      <c r="E17" s="144"/>
      <c r="F17" s="145"/>
      <c r="G17" s="47"/>
      <c r="H17" s="146" t="str">
        <f>'04-22 Muster Roll'!Z10</f>
        <v>IL Chandigarh SEZ Unit - I Rajiv Gandhi Chandigarh tech Park, Kishangarh, Chandigarh-160101</v>
      </c>
      <c r="I17" s="152"/>
      <c r="J17" s="152"/>
      <c r="K17" s="152"/>
      <c r="L17" s="153"/>
    </row>
    <row r="18" spans="1:12" ht="15.75" thickBot="1">
      <c r="A18" s="62"/>
      <c r="B18" s="147"/>
      <c r="C18" s="77"/>
      <c r="D18" s="77"/>
      <c r="E18" s="77"/>
      <c r="F18" s="148"/>
      <c r="G18" s="47"/>
      <c r="H18" s="154"/>
      <c r="I18" s="155"/>
      <c r="J18" s="155"/>
      <c r="K18" s="155"/>
      <c r="L18" s="156"/>
    </row>
    <row r="19" spans="1:12" ht="27.95" customHeight="1">
      <c r="A19" s="157"/>
      <c r="B19" s="762" t="s">
        <v>188</v>
      </c>
      <c r="C19" s="762"/>
      <c r="D19" s="762"/>
      <c r="E19" s="762"/>
      <c r="F19" s="762"/>
      <c r="G19" s="762"/>
      <c r="H19" s="750" t="e">
        <f>'PUNJAB 04-22Master'!#REF!</f>
        <v>#REF!</v>
      </c>
      <c r="I19" s="751"/>
      <c r="J19" s="751"/>
      <c r="K19" s="751"/>
      <c r="L19" s="752"/>
    </row>
    <row r="20" spans="1:12" ht="27.95" customHeight="1">
      <c r="A20" s="157"/>
      <c r="B20" s="753" t="s">
        <v>189</v>
      </c>
      <c r="C20" s="753"/>
      <c r="D20" s="753"/>
      <c r="E20" s="753"/>
      <c r="F20" s="753"/>
      <c r="G20" s="753"/>
      <c r="H20" s="750" t="e">
        <f>'PUNJAB 04-22Master'!#REF!</f>
        <v>#REF!</v>
      </c>
      <c r="I20" s="751"/>
      <c r="J20" s="751"/>
      <c r="K20" s="751"/>
      <c r="L20" s="752"/>
    </row>
    <row r="21" spans="1:12" ht="27.95" customHeight="1">
      <c r="A21" s="157"/>
      <c r="B21" s="762" t="s">
        <v>190</v>
      </c>
      <c r="C21" s="762"/>
      <c r="D21" s="762"/>
      <c r="E21" s="762"/>
      <c r="F21" s="762"/>
      <c r="G21" s="762"/>
      <c r="H21" s="750" t="e">
        <f>'PUNJAB 04-22Master'!#REF!</f>
        <v>#REF!</v>
      </c>
      <c r="I21" s="751"/>
      <c r="J21" s="751"/>
      <c r="K21" s="751"/>
      <c r="L21" s="752"/>
    </row>
    <row r="22" spans="1:12" ht="27.95" customHeight="1">
      <c r="A22" s="157"/>
      <c r="B22" s="762" t="s">
        <v>191</v>
      </c>
      <c r="C22" s="762"/>
      <c r="D22" s="762"/>
      <c r="E22" s="762"/>
      <c r="F22" s="762"/>
      <c r="G22" s="762"/>
      <c r="H22" s="855" t="e">
        <f>'PUNJAB 04-22Master'!#REF!</f>
        <v>#REF!</v>
      </c>
      <c r="I22" s="751"/>
      <c r="J22" s="751"/>
      <c r="K22" s="751"/>
      <c r="L22" s="752"/>
    </row>
    <row r="23" spans="1:12" ht="27.95" customHeight="1">
      <c r="A23" s="157"/>
      <c r="B23" s="158" t="s">
        <v>192</v>
      </c>
      <c r="C23" s="283"/>
      <c r="D23" s="283"/>
      <c r="E23" s="283"/>
      <c r="F23" s="283"/>
      <c r="G23" s="283"/>
      <c r="H23" s="856" t="s">
        <v>193</v>
      </c>
      <c r="I23" s="857"/>
      <c r="J23" s="857"/>
      <c r="K23" s="857"/>
      <c r="L23" s="858"/>
    </row>
    <row r="24" spans="1:12" ht="27.95" customHeight="1">
      <c r="A24" s="157"/>
      <c r="B24" s="158" t="s">
        <v>194</v>
      </c>
      <c r="C24" s="283"/>
      <c r="D24" s="283"/>
      <c r="E24" s="283"/>
      <c r="F24" s="283"/>
      <c r="G24" s="283"/>
      <c r="H24" s="245"/>
      <c r="I24" s="246"/>
      <c r="J24" s="244"/>
      <c r="K24" s="246"/>
      <c r="L24" s="247"/>
    </row>
    <row r="25" spans="1:12" ht="27.95" customHeight="1">
      <c r="A25" s="157"/>
      <c r="B25" s="773" t="s">
        <v>195</v>
      </c>
      <c r="C25" s="773"/>
      <c r="D25" s="773"/>
      <c r="E25" s="773"/>
      <c r="F25" s="773"/>
      <c r="G25" s="773"/>
      <c r="H25" s="767" t="e">
        <f>'PUNJAB 04-22Master'!#REF!</f>
        <v>#REF!</v>
      </c>
      <c r="I25" s="768"/>
      <c r="J25" s="768"/>
      <c r="K25" s="768"/>
      <c r="L25" s="769"/>
    </row>
    <row r="26" spans="1:12" ht="27.95" customHeight="1">
      <c r="A26" s="157"/>
      <c r="B26" s="762"/>
      <c r="C26" s="762"/>
      <c r="D26" s="762"/>
      <c r="E26" s="762"/>
      <c r="F26" s="762"/>
      <c r="G26" s="762"/>
      <c r="H26" s="763" t="e">
        <f>'PUNJAB 04-22Master'!#REF!</f>
        <v>#REF!</v>
      </c>
      <c r="I26" s="751"/>
      <c r="J26" s="751"/>
      <c r="K26" s="751"/>
      <c r="L26" s="752"/>
    </row>
    <row r="27" spans="1:12" ht="27.95" customHeight="1">
      <c r="A27" s="62"/>
      <c r="B27" s="762"/>
      <c r="C27" s="762"/>
      <c r="D27" s="762"/>
      <c r="E27" s="762"/>
      <c r="F27" s="762"/>
      <c r="G27" s="762"/>
      <c r="H27" s="750" t="e">
        <f>'PUNJAB 04-22Master'!#REF!</f>
        <v>#REF!</v>
      </c>
      <c r="I27" s="751"/>
      <c r="J27" s="751"/>
      <c r="K27" s="751"/>
      <c r="L27" s="752"/>
    </row>
    <row r="28" spans="1:12" ht="27.95" customHeight="1">
      <c r="A28" s="62"/>
      <c r="B28" s="158" t="s">
        <v>196</v>
      </c>
      <c r="C28" s="283"/>
      <c r="D28" s="283"/>
      <c r="E28" s="283"/>
      <c r="F28" s="283"/>
      <c r="G28" s="284"/>
      <c r="H28" s="847" t="e">
        <f>'PUNJAB 04-22Master'!#REF!</f>
        <v>#REF!</v>
      </c>
      <c r="I28" s="848"/>
      <c r="J28" s="848"/>
      <c r="K28" s="848"/>
      <c r="L28" s="849"/>
    </row>
    <row r="29" spans="1:12" ht="27.95" customHeight="1">
      <c r="A29" s="62"/>
      <c r="B29" s="158"/>
      <c r="C29" s="283"/>
      <c r="D29" s="283"/>
      <c r="E29" s="283"/>
      <c r="F29" s="283"/>
      <c r="G29" s="284"/>
      <c r="H29" s="847" t="e">
        <f>'PUNJAB 04-22Master'!#REF!</f>
        <v>#REF!</v>
      </c>
      <c r="I29" s="848"/>
      <c r="J29" s="848"/>
      <c r="K29" s="848"/>
      <c r="L29" s="849"/>
    </row>
    <row r="30" spans="1:12" ht="27.95" customHeight="1">
      <c r="A30" s="62"/>
      <c r="B30" s="158"/>
      <c r="C30" s="283"/>
      <c r="D30" s="283"/>
      <c r="E30" s="283"/>
      <c r="F30" s="283"/>
      <c r="G30" s="284"/>
      <c r="H30" s="847" t="e">
        <f>'PUNJAB 04-22Master'!#REF!</f>
        <v>#REF!</v>
      </c>
      <c r="I30" s="848"/>
      <c r="J30" s="848"/>
      <c r="K30" s="848"/>
      <c r="L30" s="849"/>
    </row>
    <row r="31" spans="1:12" ht="27.95" customHeight="1">
      <c r="A31" s="62"/>
      <c r="B31" s="158" t="s">
        <v>203</v>
      </c>
      <c r="C31" s="283"/>
      <c r="D31" s="283"/>
      <c r="E31" s="283"/>
      <c r="F31" s="283"/>
      <c r="G31" s="284"/>
      <c r="H31" s="245"/>
      <c r="I31" s="246"/>
      <c r="J31" s="246"/>
      <c r="K31" s="246"/>
      <c r="L31" s="247"/>
    </row>
    <row r="32" spans="1:12" ht="27.95" customHeight="1">
      <c r="A32" s="62"/>
      <c r="B32" s="161" t="s">
        <v>204</v>
      </c>
      <c r="C32" s="221"/>
      <c r="D32" s="221"/>
      <c r="E32" s="221"/>
      <c r="F32" s="221"/>
      <c r="G32" s="222"/>
      <c r="H32" s="223"/>
      <c r="I32" s="224"/>
      <c r="J32" s="225"/>
      <c r="K32" s="224"/>
      <c r="L32" s="226"/>
    </row>
    <row r="33" spans="1:12" ht="49.5" customHeight="1">
      <c r="A33" s="62"/>
      <c r="B33" s="158" t="s">
        <v>207</v>
      </c>
      <c r="C33" s="283"/>
      <c r="D33" s="246"/>
      <c r="E33" s="236" t="s">
        <v>209</v>
      </c>
      <c r="F33" s="119"/>
      <c r="G33" s="850" t="s">
        <v>208</v>
      </c>
      <c r="H33" s="851"/>
      <c r="I33" s="241" t="s">
        <v>205</v>
      </c>
      <c r="J33" s="239" t="s">
        <v>210</v>
      </c>
      <c r="K33" s="850" t="s">
        <v>206</v>
      </c>
      <c r="L33" s="852"/>
    </row>
    <row r="34" spans="1:12" ht="27.95" customHeight="1">
      <c r="A34" s="62"/>
      <c r="B34" s="240">
        <v>1</v>
      </c>
      <c r="C34" s="283"/>
      <c r="D34" s="283"/>
      <c r="E34" s="243">
        <v>2</v>
      </c>
      <c r="F34" s="284"/>
      <c r="G34" s="243">
        <v>3</v>
      </c>
      <c r="H34" s="266"/>
      <c r="I34" s="266">
        <v>4</v>
      </c>
      <c r="J34" s="230">
        <v>5</v>
      </c>
      <c r="K34" s="159"/>
      <c r="L34" s="160">
        <v>6</v>
      </c>
    </row>
    <row r="35" spans="1:12" ht="27.95" customHeight="1">
      <c r="A35" s="62"/>
      <c r="B35" s="391" t="e">
        <f>'PUNJAB 04-22Master'!#REF!</f>
        <v>#REF!</v>
      </c>
      <c r="C35" s="261"/>
      <c r="D35" s="262"/>
      <c r="E35" s="392" t="s">
        <v>365</v>
      </c>
      <c r="F35" s="262"/>
      <c r="G35" s="392" t="s">
        <v>366</v>
      </c>
      <c r="H35" s="119"/>
      <c r="I35" s="30" t="s">
        <v>367</v>
      </c>
      <c r="J35" s="390">
        <v>1</v>
      </c>
      <c r="K35" s="853" t="s">
        <v>37</v>
      </c>
      <c r="L35" s="854"/>
    </row>
    <row r="36" spans="1:12" ht="27.95" customHeight="1">
      <c r="A36" s="62"/>
      <c r="B36" s="158"/>
      <c r="C36" s="261"/>
      <c r="D36" s="262"/>
      <c r="E36" s="263"/>
      <c r="F36" s="262"/>
      <c r="G36" s="263"/>
      <c r="H36" s="119"/>
      <c r="I36" s="30"/>
      <c r="J36" s="30"/>
      <c r="K36" s="264"/>
      <c r="L36" s="119"/>
    </row>
    <row r="37" spans="1:12" ht="26.25" customHeight="1">
      <c r="A37" s="62"/>
      <c r="B37" s="158"/>
      <c r="C37" s="261"/>
      <c r="D37" s="262"/>
      <c r="E37" s="263"/>
      <c r="F37" s="262"/>
      <c r="G37" s="263"/>
      <c r="H37" s="119"/>
      <c r="I37" s="30"/>
      <c r="J37" s="30"/>
      <c r="K37" s="264"/>
      <c r="L37" s="119"/>
    </row>
    <row r="38" spans="1:12" ht="27.75" customHeight="1">
      <c r="A38" s="62"/>
      <c r="B38" s="127"/>
      <c r="C38" s="68"/>
      <c r="D38" s="128"/>
      <c r="E38" s="263"/>
      <c r="F38" s="262"/>
      <c r="G38" s="263"/>
      <c r="H38" s="119"/>
      <c r="I38" s="30"/>
      <c r="J38" s="30"/>
      <c r="K38" s="264"/>
      <c r="L38" s="119"/>
    </row>
    <row r="39" spans="1:12">
      <c r="A39" s="62"/>
      <c r="B39" s="47" t="s">
        <v>211</v>
      </c>
      <c r="C39" s="47"/>
      <c r="D39" s="47"/>
      <c r="E39" s="47"/>
      <c r="F39" s="47"/>
      <c r="G39" s="47"/>
      <c r="H39" s="47"/>
      <c r="I39" s="47"/>
      <c r="J39" s="47"/>
      <c r="K39" s="47"/>
      <c r="L39" s="63"/>
    </row>
    <row r="40" spans="1:12">
      <c r="A40" s="62"/>
      <c r="B40" s="47" t="s">
        <v>212</v>
      </c>
      <c r="C40" s="47"/>
      <c r="D40" s="47"/>
      <c r="E40" s="47"/>
      <c r="F40" s="47"/>
      <c r="G40" s="47"/>
      <c r="H40" s="47"/>
      <c r="I40" s="47"/>
      <c r="J40" s="47"/>
      <c r="K40" s="47"/>
      <c r="L40" s="63"/>
    </row>
    <row r="41" spans="1:12">
      <c r="A41" s="62"/>
      <c r="B41" s="47" t="s">
        <v>213</v>
      </c>
      <c r="C41" s="47"/>
      <c r="D41" s="47"/>
      <c r="E41" s="47"/>
      <c r="F41" s="47"/>
      <c r="G41" s="47"/>
      <c r="H41" s="47"/>
      <c r="I41" s="47"/>
      <c r="J41" s="47"/>
      <c r="K41" s="47"/>
      <c r="L41" s="63"/>
    </row>
    <row r="42" spans="1:12">
      <c r="A42" s="62"/>
      <c r="B42" s="47"/>
      <c r="C42" s="47"/>
      <c r="D42" s="47"/>
      <c r="E42" s="47"/>
      <c r="F42" s="47"/>
      <c r="G42" s="47"/>
      <c r="H42" s="47"/>
      <c r="I42" s="47"/>
      <c r="J42" s="47"/>
      <c r="K42" s="47"/>
      <c r="L42" s="63"/>
    </row>
    <row r="43" spans="1:12">
      <c r="A43" s="62"/>
      <c r="B43" s="47"/>
      <c r="C43" s="47"/>
      <c r="D43" s="47"/>
      <c r="E43" s="47"/>
      <c r="F43" s="47"/>
      <c r="G43" s="47"/>
      <c r="H43" s="47"/>
      <c r="I43" s="47" t="s">
        <v>214</v>
      </c>
      <c r="J43" s="47"/>
      <c r="K43" s="47"/>
      <c r="L43" s="63"/>
    </row>
    <row r="44" spans="1:12" ht="18.75">
      <c r="A44" s="62"/>
      <c r="B44" s="47"/>
      <c r="C44" s="47"/>
      <c r="D44" s="47"/>
      <c r="E44" s="47"/>
      <c r="F44" s="248" t="s">
        <v>197</v>
      </c>
      <c r="G44" s="47"/>
      <c r="H44" s="47"/>
      <c r="I44" s="47"/>
      <c r="J44" s="47"/>
      <c r="K44" s="47"/>
      <c r="L44" s="63"/>
    </row>
    <row r="45" spans="1:12">
      <c r="A45" s="62" t="s">
        <v>198</v>
      </c>
      <c r="B45" s="47"/>
      <c r="C45" s="47"/>
      <c r="D45" s="47"/>
      <c r="E45" s="47"/>
      <c r="F45" s="47"/>
      <c r="G45" s="47"/>
      <c r="H45" s="47"/>
      <c r="I45" s="47"/>
      <c r="J45" s="47"/>
      <c r="K45" s="306" t="e">
        <f>'PUNJAB 04-22Master'!#REF!</f>
        <v>#REF!</v>
      </c>
      <c r="L45" s="63"/>
    </row>
    <row r="46" spans="1:12">
      <c r="A46" s="62" t="s">
        <v>199</v>
      </c>
      <c r="B46" s="47"/>
      <c r="C46" s="47"/>
      <c r="D46" s="47"/>
      <c r="E46" s="47"/>
      <c r="F46" s="47"/>
      <c r="G46" s="47"/>
      <c r="H46" s="47"/>
      <c r="I46" s="47"/>
      <c r="J46" s="47"/>
      <c r="K46" s="47"/>
      <c r="L46" s="63"/>
    </row>
    <row r="47" spans="1:12">
      <c r="A47" s="62"/>
      <c r="B47" s="47"/>
      <c r="C47" s="47"/>
      <c r="D47" s="47"/>
      <c r="E47" s="47"/>
      <c r="F47" s="47"/>
      <c r="G47" s="47"/>
      <c r="H47" s="47"/>
      <c r="I47" s="47"/>
      <c r="J47" s="47"/>
      <c r="K47" s="47"/>
      <c r="L47" s="63"/>
    </row>
    <row r="48" spans="1:12">
      <c r="A48" s="62"/>
      <c r="B48" s="47"/>
      <c r="C48" s="47"/>
      <c r="D48" s="47"/>
      <c r="E48" s="47"/>
      <c r="F48" s="47"/>
      <c r="G48" s="47"/>
      <c r="H48" s="47"/>
      <c r="I48" s="47"/>
      <c r="J48" s="47"/>
      <c r="K48" s="47"/>
      <c r="L48" s="63"/>
    </row>
    <row r="49" spans="1:12">
      <c r="A49" s="62"/>
      <c r="B49" s="47"/>
      <c r="C49" s="47"/>
      <c r="D49" s="47"/>
      <c r="E49" s="47"/>
      <c r="F49" s="47" t="s">
        <v>200</v>
      </c>
      <c r="G49" s="47"/>
      <c r="H49" s="47"/>
      <c r="I49" s="47"/>
      <c r="J49" s="47"/>
      <c r="K49" s="47"/>
      <c r="L49" s="63"/>
    </row>
    <row r="50" spans="1:12">
      <c r="A50" s="62" t="s">
        <v>201</v>
      </c>
      <c r="B50" s="47" t="s">
        <v>364</v>
      </c>
      <c r="C50" s="47"/>
      <c r="D50" s="47"/>
      <c r="E50" s="47"/>
      <c r="F50" s="47" t="str">
        <f>'PUNJAB 04-22Master'!AO5</f>
        <v>Burgeon IT Services Pvt.Ltd.</v>
      </c>
      <c r="G50" s="47"/>
      <c r="H50" s="47"/>
      <c r="I50" s="47"/>
      <c r="J50" s="47"/>
      <c r="K50" s="47"/>
      <c r="L50" s="63"/>
    </row>
    <row r="51" spans="1:12">
      <c r="A51" s="62" t="s">
        <v>202</v>
      </c>
      <c r="B51" s="389" t="e">
        <f>'PUNJAB 04-22Master'!#REF!</f>
        <v>#REF!</v>
      </c>
      <c r="C51" s="47"/>
      <c r="D51" s="47"/>
      <c r="E51" s="47"/>
      <c r="F51" s="250" t="str">
        <f>'PUNJAB 04-22Master'!AO6</f>
        <v>Siri Mansion LIGB 436 Dr.A S Rao Nagar,Hyderabad</v>
      </c>
      <c r="G51" s="250"/>
      <c r="H51" s="250"/>
      <c r="I51" s="250"/>
      <c r="J51" s="250"/>
      <c r="K51" s="250"/>
      <c r="L51" s="63"/>
    </row>
    <row r="52" spans="1:12" ht="15.75" thickBot="1">
      <c r="A52" s="76"/>
      <c r="B52" s="74"/>
      <c r="C52" s="74"/>
      <c r="D52" s="74"/>
      <c r="E52" s="74"/>
      <c r="F52" s="74"/>
      <c r="G52" s="74"/>
      <c r="H52" s="74"/>
      <c r="I52" s="74"/>
      <c r="J52" s="74"/>
      <c r="K52" s="74"/>
      <c r="L52" s="75"/>
    </row>
    <row r="53" spans="1:12" ht="27.95" customHeight="1">
      <c r="A53" s="140"/>
      <c r="B53" s="742" t="s">
        <v>185</v>
      </c>
      <c r="C53" s="743"/>
      <c r="D53" s="743"/>
      <c r="E53" s="743"/>
      <c r="F53" s="743"/>
      <c r="G53" s="743"/>
      <c r="H53" s="743"/>
      <c r="I53" s="743"/>
      <c r="J53" s="743"/>
      <c r="K53" s="743"/>
      <c r="L53" s="744"/>
    </row>
    <row r="54" spans="1:12" ht="27.95" customHeight="1">
      <c r="A54" s="62"/>
      <c r="B54" s="745" t="s">
        <v>186</v>
      </c>
      <c r="C54" s="745"/>
      <c r="D54" s="745"/>
      <c r="E54" s="745"/>
      <c r="F54" s="745"/>
      <c r="G54" s="745"/>
      <c r="H54" s="745"/>
      <c r="I54" s="745"/>
      <c r="J54" s="745"/>
      <c r="K54" s="745"/>
      <c r="L54" s="746"/>
    </row>
    <row r="55" spans="1:12" ht="27.95" customHeight="1" thickBot="1">
      <c r="A55" s="76"/>
      <c r="B55" s="747" t="s">
        <v>187</v>
      </c>
      <c r="C55" s="747"/>
      <c r="D55" s="747"/>
      <c r="E55" s="747"/>
      <c r="F55" s="747"/>
      <c r="G55" s="747"/>
      <c r="H55" s="747"/>
      <c r="I55" s="747"/>
      <c r="J55" s="747"/>
      <c r="K55" s="747"/>
      <c r="L55" s="748"/>
    </row>
    <row r="56" spans="1:12" ht="27.95" customHeight="1">
      <c r="A56" s="62"/>
      <c r="B56" s="757" t="s">
        <v>117</v>
      </c>
      <c r="C56" s="757"/>
      <c r="D56" s="757"/>
      <c r="E56" s="757"/>
      <c r="F56" s="757"/>
      <c r="G56" s="47"/>
      <c r="H56" s="758" t="s">
        <v>118</v>
      </c>
      <c r="I56" s="758"/>
      <c r="J56" s="758"/>
      <c r="K56" s="758"/>
      <c r="L56" s="759"/>
    </row>
    <row r="57" spans="1:12" ht="27.95" customHeight="1" thickBot="1">
      <c r="A57" s="62"/>
      <c r="B57" s="757"/>
      <c r="C57" s="757"/>
      <c r="D57" s="757"/>
      <c r="E57" s="757"/>
      <c r="F57" s="757"/>
      <c r="G57" s="47"/>
      <c r="H57" s="758"/>
      <c r="I57" s="758"/>
      <c r="J57" s="758"/>
      <c r="K57" s="758"/>
      <c r="L57" s="759"/>
    </row>
    <row r="58" spans="1:12" ht="27.95" customHeight="1">
      <c r="A58" s="62"/>
      <c r="B58" s="140"/>
      <c r="C58" s="141"/>
      <c r="D58" s="141"/>
      <c r="E58" s="141"/>
      <c r="F58" s="142"/>
      <c r="G58" s="47"/>
      <c r="H58" s="140"/>
      <c r="I58" s="141"/>
      <c r="J58" s="141"/>
      <c r="K58" s="141"/>
      <c r="L58" s="142"/>
    </row>
    <row r="59" spans="1:12">
      <c r="A59" s="62"/>
      <c r="B59" s="146" t="str">
        <f>'PUNJAB 04-22Master'!F5</f>
        <v>Burgeon IT Services Pvt.Ltd.</v>
      </c>
      <c r="C59" s="144"/>
      <c r="D59" s="144"/>
      <c r="E59" s="144"/>
      <c r="F59" s="145"/>
      <c r="G59" s="47"/>
      <c r="H59" s="146" t="str">
        <f>'PUNJAB 04-22Master'!AO5</f>
        <v>Burgeon IT Services Pvt.Ltd.</v>
      </c>
      <c r="I59" s="144"/>
      <c r="J59" s="144"/>
      <c r="K59" s="144"/>
      <c r="L59" s="145"/>
    </row>
    <row r="60" spans="1:12">
      <c r="A60" s="62"/>
      <c r="B60" s="62"/>
      <c r="C60" s="144"/>
      <c r="D60" s="144"/>
      <c r="E60" s="144"/>
      <c r="F60" s="145"/>
      <c r="G60" s="47"/>
      <c r="H60" s="62"/>
      <c r="I60" s="144"/>
      <c r="J60" s="144"/>
      <c r="K60" s="144"/>
      <c r="L60" s="145"/>
    </row>
    <row r="61" spans="1:12">
      <c r="A61" s="62"/>
      <c r="B61" s="146" t="str">
        <f>'PUNJAB 04-22Master'!F6</f>
        <v>Siri Mansion LIGB 436 Dr.A S Rao Nagar,Hyderabad</v>
      </c>
      <c r="C61" s="144"/>
      <c r="D61" s="144"/>
      <c r="E61" s="144"/>
      <c r="F61" s="145"/>
      <c r="G61" s="47"/>
      <c r="H61" s="146" t="str">
        <f>'PUNJAB 04-22Master'!AO6</f>
        <v>Siri Mansion LIGB 436 Dr.A S Rao Nagar,Hyderabad</v>
      </c>
      <c r="I61" s="144"/>
      <c r="J61" s="144"/>
      <c r="K61" s="144"/>
      <c r="L61" s="145"/>
    </row>
    <row r="62" spans="1:12" ht="15.75" thickBot="1">
      <c r="A62" s="62"/>
      <c r="B62" s="147"/>
      <c r="C62" s="77"/>
      <c r="D62" s="77"/>
      <c r="E62" s="77"/>
      <c r="F62" s="148"/>
      <c r="G62" s="47"/>
      <c r="H62" s="147"/>
      <c r="I62" s="77"/>
      <c r="J62" s="77"/>
      <c r="K62" s="77"/>
      <c r="L62" s="148"/>
    </row>
    <row r="63" spans="1:12">
      <c r="A63" s="62"/>
      <c r="B63" s="47"/>
      <c r="C63" s="47"/>
      <c r="D63" s="47"/>
      <c r="E63" s="47"/>
      <c r="F63" s="47"/>
      <c r="G63" s="47"/>
      <c r="H63" s="47"/>
      <c r="I63" s="47"/>
      <c r="J63" s="47" t="s">
        <v>119</v>
      </c>
      <c r="K63" s="47"/>
      <c r="L63" s="63"/>
    </row>
    <row r="64" spans="1:12">
      <c r="A64" s="62"/>
      <c r="B64" s="760" t="s">
        <v>120</v>
      </c>
      <c r="C64" s="760"/>
      <c r="D64" s="760"/>
      <c r="E64" s="760"/>
      <c r="F64" s="760"/>
      <c r="G64" s="47"/>
      <c r="H64" s="760" t="s">
        <v>4</v>
      </c>
      <c r="I64" s="760"/>
      <c r="J64" s="760"/>
      <c r="K64" s="760"/>
      <c r="L64" s="761"/>
    </row>
    <row r="65" spans="1:12" ht="15.75" thickBot="1">
      <c r="A65" s="62"/>
      <c r="B65" s="47"/>
      <c r="C65" s="47"/>
      <c r="D65" s="47"/>
      <c r="E65" s="47"/>
      <c r="F65" s="47"/>
      <c r="G65" s="47"/>
      <c r="H65" s="47"/>
      <c r="I65" s="47"/>
      <c r="J65" s="47"/>
      <c r="K65" s="47"/>
      <c r="L65" s="63"/>
    </row>
    <row r="66" spans="1:12">
      <c r="A66" s="62"/>
      <c r="B66" s="140"/>
      <c r="C66" s="141"/>
      <c r="D66" s="141"/>
      <c r="E66" s="141"/>
      <c r="F66" s="142"/>
      <c r="G66" s="47"/>
      <c r="H66" s="149"/>
      <c r="I66" s="150"/>
      <c r="J66" s="150"/>
      <c r="K66" s="150"/>
      <c r="L66" s="151"/>
    </row>
    <row r="67" spans="1:12">
      <c r="A67" s="62"/>
      <c r="B67" s="143"/>
      <c r="C67" s="144"/>
      <c r="D67" s="144"/>
      <c r="E67" s="144"/>
      <c r="F67" s="145"/>
      <c r="G67" s="47"/>
      <c r="H67" s="146" t="str">
        <f>'PUNJAB 04-22Master'!AO10</f>
        <v xml:space="preserve">INFOSYS  LTD.IL </v>
      </c>
      <c r="I67" s="152"/>
      <c r="J67" s="152"/>
      <c r="K67" s="152"/>
      <c r="L67" s="153"/>
    </row>
    <row r="68" spans="1:12">
      <c r="A68" s="62"/>
      <c r="B68" s="146" t="str">
        <f>'PUNJAB 04-22Master'!F8</f>
        <v>IT SUPPORTIVE SERVICES&amp;Chandigarh</v>
      </c>
      <c r="C68" s="144"/>
      <c r="D68" s="144"/>
      <c r="E68" s="144"/>
      <c r="F68" s="145"/>
      <c r="G68" s="47"/>
      <c r="H68" s="146"/>
      <c r="I68" s="152"/>
      <c r="J68" s="152"/>
      <c r="K68" s="152"/>
      <c r="L68" s="153"/>
    </row>
    <row r="69" spans="1:12">
      <c r="A69" s="62"/>
      <c r="B69" s="143"/>
      <c r="C69" s="144"/>
      <c r="D69" s="144"/>
      <c r="E69" s="144"/>
      <c r="F69" s="145"/>
      <c r="G69" s="47"/>
      <c r="H69" s="146" t="str">
        <f>'PUNJAB 04-22Master'!AO11</f>
        <v>No.45&amp;46,3rd Cross,Electronic City,BANGALORE,KARNATAKA</v>
      </c>
      <c r="I69" s="152"/>
      <c r="J69" s="152"/>
      <c r="K69" s="152"/>
      <c r="L69" s="153"/>
    </row>
    <row r="70" spans="1:12" ht="15.75" thickBot="1">
      <c r="A70" s="62"/>
      <c r="B70" s="147"/>
      <c r="C70" s="77"/>
      <c r="D70" s="77"/>
      <c r="E70" s="77"/>
      <c r="F70" s="148"/>
      <c r="G70" s="47"/>
      <c r="H70" s="154"/>
      <c r="I70" s="155"/>
      <c r="J70" s="155"/>
      <c r="K70" s="155"/>
      <c r="L70" s="156"/>
    </row>
    <row r="71" spans="1:12">
      <c r="A71" s="157"/>
      <c r="B71" s="762" t="s">
        <v>188</v>
      </c>
      <c r="C71" s="762"/>
      <c r="D71" s="762"/>
      <c r="E71" s="762"/>
      <c r="F71" s="762"/>
      <c r="G71" s="762"/>
      <c r="H71" s="750" t="e">
        <f>'PUNJAB 04-22Master'!#REF!</f>
        <v>#REF!</v>
      </c>
      <c r="I71" s="751"/>
      <c r="J71" s="751"/>
      <c r="K71" s="751"/>
      <c r="L71" s="752"/>
    </row>
    <row r="72" spans="1:12">
      <c r="A72" s="157"/>
      <c r="B72" s="753" t="s">
        <v>189</v>
      </c>
      <c r="C72" s="753"/>
      <c r="D72" s="753"/>
      <c r="E72" s="753"/>
      <c r="F72" s="753"/>
      <c r="G72" s="753"/>
      <c r="H72" s="750" t="e">
        <f>'PUNJAB 04-22Master'!#REF!</f>
        <v>#REF!</v>
      </c>
      <c r="I72" s="751"/>
      <c r="J72" s="751"/>
      <c r="K72" s="751"/>
      <c r="L72" s="752"/>
    </row>
    <row r="73" spans="1:12">
      <c r="A73" s="157"/>
      <c r="B73" s="762" t="s">
        <v>190</v>
      </c>
      <c r="C73" s="762"/>
      <c r="D73" s="762"/>
      <c r="E73" s="762"/>
      <c r="F73" s="762"/>
      <c r="G73" s="762"/>
      <c r="H73" s="750" t="e">
        <f>'PUNJAB 04-22Master'!#REF!</f>
        <v>#REF!</v>
      </c>
      <c r="I73" s="751"/>
      <c r="J73" s="751"/>
      <c r="K73" s="751"/>
      <c r="L73" s="752"/>
    </row>
    <row r="74" spans="1:12">
      <c r="A74" s="157"/>
      <c r="B74" s="762" t="s">
        <v>191</v>
      </c>
      <c r="C74" s="762"/>
      <c r="D74" s="762"/>
      <c r="E74" s="762"/>
      <c r="F74" s="762"/>
      <c r="G74" s="762"/>
      <c r="H74" s="855" t="e">
        <f>'PUNJAB 04-22Master'!#REF!</f>
        <v>#REF!</v>
      </c>
      <c r="I74" s="751"/>
      <c r="J74" s="751"/>
      <c r="K74" s="751"/>
      <c r="L74" s="752"/>
    </row>
    <row r="75" spans="1:12">
      <c r="A75" s="157"/>
      <c r="B75" s="158" t="s">
        <v>192</v>
      </c>
      <c r="C75" s="283"/>
      <c r="D75" s="283"/>
      <c r="E75" s="283"/>
      <c r="F75" s="283"/>
      <c r="G75" s="283"/>
      <c r="H75" s="856" t="s">
        <v>193</v>
      </c>
      <c r="I75" s="857"/>
      <c r="J75" s="857"/>
      <c r="K75" s="857"/>
      <c r="L75" s="858"/>
    </row>
    <row r="76" spans="1:12">
      <c r="A76" s="157"/>
      <c r="B76" s="158" t="s">
        <v>194</v>
      </c>
      <c r="C76" s="283"/>
      <c r="D76" s="283"/>
      <c r="E76" s="283"/>
      <c r="F76" s="283"/>
      <c r="G76" s="283"/>
      <c r="H76" s="337"/>
      <c r="I76" s="338"/>
      <c r="J76" s="244"/>
      <c r="K76" s="338"/>
      <c r="L76" s="342"/>
    </row>
    <row r="77" spans="1:12">
      <c r="A77" s="157"/>
      <c r="B77" s="773" t="s">
        <v>195</v>
      </c>
      <c r="C77" s="773"/>
      <c r="D77" s="773"/>
      <c r="E77" s="773"/>
      <c r="F77" s="773"/>
      <c r="G77" s="773"/>
      <c r="H77" s="767" t="e">
        <f>'PUNJAB 04-22Master'!#REF!</f>
        <v>#REF!</v>
      </c>
      <c r="I77" s="768"/>
      <c r="J77" s="768"/>
      <c r="K77" s="768"/>
      <c r="L77" s="769"/>
    </row>
    <row r="78" spans="1:12">
      <c r="A78" s="157"/>
      <c r="B78" s="762"/>
      <c r="C78" s="762"/>
      <c r="D78" s="762"/>
      <c r="E78" s="762"/>
      <c r="F78" s="762"/>
      <c r="G78" s="762"/>
      <c r="H78" s="763" t="e">
        <f>'PUNJAB 04-22Master'!#REF!</f>
        <v>#REF!</v>
      </c>
      <c r="I78" s="751"/>
      <c r="J78" s="751"/>
      <c r="K78" s="751"/>
      <c r="L78" s="752"/>
    </row>
    <row r="79" spans="1:12">
      <c r="A79" s="62"/>
      <c r="B79" s="762"/>
      <c r="C79" s="762"/>
      <c r="D79" s="762"/>
      <c r="E79" s="762"/>
      <c r="F79" s="762"/>
      <c r="G79" s="762"/>
      <c r="H79" s="750" t="e">
        <f>'PUNJAB 04-22Master'!#REF!</f>
        <v>#REF!</v>
      </c>
      <c r="I79" s="751"/>
      <c r="J79" s="751"/>
      <c r="K79" s="751"/>
      <c r="L79" s="752"/>
    </row>
    <row r="80" spans="1:12" ht="15" customHeight="1">
      <c r="A80" s="62"/>
      <c r="B80" s="158" t="s">
        <v>196</v>
      </c>
      <c r="C80" s="283"/>
      <c r="D80" s="283"/>
      <c r="E80" s="283"/>
      <c r="F80" s="283"/>
      <c r="G80" s="284"/>
      <c r="H80" s="847" t="e">
        <f>'PUNJAB 04-22Master'!#REF!</f>
        <v>#REF!</v>
      </c>
      <c r="I80" s="848"/>
      <c r="J80" s="848"/>
      <c r="K80" s="848"/>
      <c r="L80" s="849"/>
    </row>
    <row r="81" spans="1:12">
      <c r="A81" s="62"/>
      <c r="B81" s="158"/>
      <c r="C81" s="283"/>
      <c r="D81" s="283"/>
      <c r="E81" s="283"/>
      <c r="F81" s="283"/>
      <c r="G81" s="284"/>
      <c r="H81" s="847" t="e">
        <f>'PUNJAB 04-22Master'!#REF!</f>
        <v>#REF!</v>
      </c>
      <c r="I81" s="848"/>
      <c r="J81" s="848"/>
      <c r="K81" s="848"/>
      <c r="L81" s="849"/>
    </row>
    <row r="82" spans="1:12">
      <c r="A82" s="62"/>
      <c r="B82" s="158"/>
      <c r="C82" s="283"/>
      <c r="D82" s="283"/>
      <c r="E82" s="283"/>
      <c r="F82" s="283"/>
      <c r="G82" s="284"/>
      <c r="H82" s="847" t="e">
        <f>'PUNJAB 04-22Master'!#REF!</f>
        <v>#REF!</v>
      </c>
      <c r="I82" s="848"/>
      <c r="J82" s="848"/>
      <c r="K82" s="848"/>
      <c r="L82" s="849"/>
    </row>
    <row r="83" spans="1:12">
      <c r="A83" s="62"/>
      <c r="B83" s="158" t="s">
        <v>203</v>
      </c>
      <c r="C83" s="283"/>
      <c r="D83" s="283"/>
      <c r="E83" s="283"/>
      <c r="F83" s="283"/>
      <c r="G83" s="284"/>
      <c r="H83" s="337"/>
      <c r="I83" s="338"/>
      <c r="J83" s="338"/>
      <c r="K83" s="338"/>
      <c r="L83" s="342"/>
    </row>
    <row r="84" spans="1:12">
      <c r="A84" s="62"/>
      <c r="B84" s="161" t="s">
        <v>204</v>
      </c>
      <c r="C84" s="221"/>
      <c r="D84" s="221"/>
      <c r="E84" s="221"/>
      <c r="F84" s="221"/>
      <c r="G84" s="222"/>
      <c r="H84" s="223"/>
      <c r="I84" s="224"/>
      <c r="J84" s="225"/>
      <c r="K84" s="224"/>
      <c r="L84" s="226"/>
    </row>
    <row r="85" spans="1:12" ht="45">
      <c r="A85" s="62"/>
      <c r="B85" s="158" t="s">
        <v>207</v>
      </c>
      <c r="C85" s="283"/>
      <c r="D85" s="338"/>
      <c r="E85" s="341" t="s">
        <v>209</v>
      </c>
      <c r="F85" s="119"/>
      <c r="G85" s="850" t="s">
        <v>208</v>
      </c>
      <c r="H85" s="851"/>
      <c r="I85" s="336" t="s">
        <v>205</v>
      </c>
      <c r="J85" s="239" t="s">
        <v>210</v>
      </c>
      <c r="K85" s="850" t="s">
        <v>206</v>
      </c>
      <c r="L85" s="852"/>
    </row>
    <row r="86" spans="1:12">
      <c r="A86" s="62"/>
      <c r="B86" s="240">
        <v>1</v>
      </c>
      <c r="C86" s="283"/>
      <c r="D86" s="283"/>
      <c r="E86" s="243">
        <v>2</v>
      </c>
      <c r="F86" s="284"/>
      <c r="G86" s="243">
        <v>3</v>
      </c>
      <c r="H86" s="339"/>
      <c r="I86" s="339">
        <v>4</v>
      </c>
      <c r="J86" s="328">
        <v>5</v>
      </c>
      <c r="K86" s="159"/>
      <c r="L86" s="160">
        <v>6</v>
      </c>
    </row>
    <row r="87" spans="1:12">
      <c r="A87" s="62"/>
      <c r="B87" s="391" t="e">
        <f>'PUNJAB 04-22Master'!#REF!</f>
        <v>#REF!</v>
      </c>
      <c r="C87" s="261"/>
      <c r="D87" s="262"/>
      <c r="E87" s="392" t="s">
        <v>365</v>
      </c>
      <c r="F87" s="262"/>
      <c r="G87" s="392" t="s">
        <v>366</v>
      </c>
      <c r="H87" s="119"/>
      <c r="I87" s="30" t="s">
        <v>367</v>
      </c>
      <c r="J87" s="390">
        <v>1</v>
      </c>
      <c r="K87" s="853" t="s">
        <v>37</v>
      </c>
      <c r="L87" s="854"/>
    </row>
    <row r="88" spans="1:12">
      <c r="A88" s="62"/>
      <c r="B88" s="158"/>
      <c r="C88" s="261"/>
      <c r="D88" s="262"/>
      <c r="E88" s="263"/>
      <c r="F88" s="262"/>
      <c r="G88" s="263"/>
      <c r="H88" s="119"/>
      <c r="I88" s="30"/>
      <c r="J88" s="30"/>
      <c r="K88" s="264"/>
      <c r="L88" s="119"/>
    </row>
    <row r="89" spans="1:12">
      <c r="A89" s="62"/>
      <c r="B89" s="158"/>
      <c r="C89" s="261"/>
      <c r="D89" s="262"/>
      <c r="E89" s="263"/>
      <c r="F89" s="262"/>
      <c r="G89" s="263"/>
      <c r="H89" s="119"/>
      <c r="I89" s="30"/>
      <c r="J89" s="30"/>
      <c r="K89" s="264"/>
      <c r="L89" s="119"/>
    </row>
    <row r="90" spans="1:12">
      <c r="A90" s="62"/>
      <c r="B90" s="127"/>
      <c r="C90" s="68"/>
      <c r="D90" s="128"/>
      <c r="E90" s="263"/>
      <c r="F90" s="262"/>
      <c r="G90" s="263"/>
      <c r="H90" s="119"/>
      <c r="I90" s="30"/>
      <c r="J90" s="30"/>
      <c r="K90" s="264"/>
      <c r="L90" s="119"/>
    </row>
    <row r="91" spans="1:12">
      <c r="A91" s="62"/>
      <c r="B91" s="47" t="s">
        <v>211</v>
      </c>
      <c r="C91" s="47"/>
      <c r="D91" s="47"/>
      <c r="E91" s="47"/>
      <c r="F91" s="47"/>
      <c r="G91" s="47"/>
      <c r="H91" s="47"/>
      <c r="I91" s="47"/>
      <c r="J91" s="47"/>
      <c r="K91" s="47"/>
      <c r="L91" s="63"/>
    </row>
    <row r="92" spans="1:12">
      <c r="A92" s="62"/>
      <c r="B92" s="47" t="s">
        <v>212</v>
      </c>
      <c r="C92" s="47"/>
      <c r="D92" s="47"/>
      <c r="E92" s="47"/>
      <c r="F92" s="47"/>
      <c r="G92" s="47"/>
      <c r="H92" s="47"/>
      <c r="I92" s="47"/>
      <c r="J92" s="47"/>
      <c r="K92" s="47"/>
      <c r="L92" s="63"/>
    </row>
    <row r="93" spans="1:12">
      <c r="A93" s="62"/>
      <c r="B93" s="47" t="s">
        <v>213</v>
      </c>
      <c r="C93" s="47"/>
      <c r="D93" s="47"/>
      <c r="E93" s="47"/>
      <c r="F93" s="47"/>
      <c r="G93" s="47"/>
      <c r="H93" s="47"/>
      <c r="I93" s="47"/>
      <c r="J93" s="47"/>
      <c r="K93" s="47"/>
      <c r="L93" s="63"/>
    </row>
    <row r="94" spans="1:12">
      <c r="A94" s="62"/>
      <c r="B94" s="47"/>
      <c r="C94" s="47"/>
      <c r="D94" s="47"/>
      <c r="E94" s="47"/>
      <c r="F94" s="47"/>
      <c r="G94" s="47"/>
      <c r="H94" s="47"/>
      <c r="I94" s="47"/>
      <c r="J94" s="47"/>
      <c r="K94" s="47"/>
      <c r="L94" s="63"/>
    </row>
    <row r="95" spans="1:12" ht="27.95" customHeight="1">
      <c r="A95" s="62"/>
      <c r="B95" s="47"/>
      <c r="C95" s="47"/>
      <c r="D95" s="47"/>
      <c r="E95" s="47"/>
      <c r="F95" s="47"/>
      <c r="G95" s="47"/>
      <c r="H95" s="47"/>
      <c r="I95" s="47" t="s">
        <v>214</v>
      </c>
      <c r="J95" s="47"/>
      <c r="K95" s="47"/>
      <c r="L95" s="63"/>
    </row>
    <row r="96" spans="1:12" ht="27.95" customHeight="1">
      <c r="A96" s="62"/>
      <c r="B96" s="47"/>
      <c r="C96" s="47"/>
      <c r="D96" s="47"/>
      <c r="E96" s="47"/>
      <c r="F96" s="248" t="s">
        <v>197</v>
      </c>
      <c r="G96" s="47"/>
      <c r="H96" s="47"/>
      <c r="I96" s="47"/>
      <c r="J96" s="47"/>
      <c r="K96" s="47"/>
      <c r="L96" s="63"/>
    </row>
    <row r="97" spans="1:12" ht="27.95" customHeight="1">
      <c r="A97" s="62" t="s">
        <v>198</v>
      </c>
      <c r="B97" s="47"/>
      <c r="C97" s="47"/>
      <c r="D97" s="47"/>
      <c r="E97" s="47"/>
      <c r="F97" s="47"/>
      <c r="G97" s="47"/>
      <c r="H97" s="47"/>
      <c r="I97" s="47"/>
      <c r="J97" s="47"/>
      <c r="K97" s="306" t="e">
        <f>'PUNJAB 04-22Master'!#REF!</f>
        <v>#REF!</v>
      </c>
      <c r="L97" s="63"/>
    </row>
    <row r="98" spans="1:12" ht="27.95" customHeight="1">
      <c r="A98" s="62" t="s">
        <v>199</v>
      </c>
      <c r="B98" s="47"/>
      <c r="C98" s="47"/>
      <c r="D98" s="47"/>
      <c r="E98" s="47"/>
      <c r="F98" s="47"/>
      <c r="G98" s="47"/>
      <c r="H98" s="47"/>
      <c r="I98" s="47"/>
      <c r="J98" s="47"/>
      <c r="K98" s="47"/>
      <c r="L98" s="63"/>
    </row>
    <row r="99" spans="1:12" ht="27.95" customHeight="1">
      <c r="A99" s="62"/>
      <c r="B99" s="47"/>
      <c r="C99" s="47"/>
      <c r="D99" s="47"/>
      <c r="E99" s="47"/>
      <c r="F99" s="47"/>
      <c r="G99" s="47"/>
      <c r="H99" s="47"/>
      <c r="I99" s="47"/>
      <c r="J99" s="47"/>
      <c r="K99" s="47"/>
      <c r="L99" s="63"/>
    </row>
    <row r="100" spans="1:12" ht="27.95" customHeight="1">
      <c r="A100" s="62"/>
      <c r="B100" s="47"/>
      <c r="C100" s="47"/>
      <c r="D100" s="47"/>
      <c r="E100" s="47"/>
      <c r="F100" s="47"/>
      <c r="G100" s="47"/>
      <c r="H100" s="47"/>
      <c r="I100" s="47"/>
      <c r="J100" s="47"/>
      <c r="K100" s="47"/>
      <c r="L100" s="63"/>
    </row>
    <row r="101" spans="1:12" ht="27.95" customHeight="1">
      <c r="A101" s="62"/>
      <c r="B101" s="47"/>
      <c r="C101" s="47"/>
      <c r="D101" s="47"/>
      <c r="E101" s="47"/>
      <c r="F101" s="47" t="s">
        <v>200</v>
      </c>
      <c r="G101" s="47"/>
      <c r="H101" s="47"/>
      <c r="I101" s="47"/>
      <c r="J101" s="47"/>
      <c r="K101" s="47"/>
      <c r="L101" s="63"/>
    </row>
    <row r="102" spans="1:12" ht="27.95" customHeight="1">
      <c r="A102" s="62" t="s">
        <v>201</v>
      </c>
      <c r="B102" s="47" t="s">
        <v>364</v>
      </c>
      <c r="C102" s="47"/>
      <c r="D102" s="47"/>
      <c r="E102" s="47"/>
      <c r="F102" s="47" t="str">
        <f>'PUNJAB 04-22Master'!F5</f>
        <v>Burgeon IT Services Pvt.Ltd.</v>
      </c>
      <c r="G102" s="47"/>
      <c r="H102" s="47"/>
      <c r="I102" s="47"/>
      <c r="J102" s="47"/>
      <c r="K102" s="47"/>
      <c r="L102" s="63"/>
    </row>
    <row r="103" spans="1:12" ht="27.95" customHeight="1">
      <c r="A103" s="62" t="s">
        <v>202</v>
      </c>
      <c r="B103" s="389" t="e">
        <f>'PUNJAB 04-22Master'!#REF!</f>
        <v>#REF!</v>
      </c>
      <c r="C103" s="47"/>
      <c r="D103" s="47"/>
      <c r="E103" s="47"/>
      <c r="F103" s="250" t="str">
        <f>'PUNJAB 04-22Master'!F6</f>
        <v>Siri Mansion LIGB 436 Dr.A S Rao Nagar,Hyderabad</v>
      </c>
      <c r="G103" s="250"/>
      <c r="H103" s="250"/>
      <c r="I103" s="250"/>
      <c r="J103" s="250"/>
      <c r="K103" s="250"/>
      <c r="L103" s="63"/>
    </row>
    <row r="104" spans="1:12" ht="27.95" customHeight="1" thickBot="1">
      <c r="A104" s="76"/>
      <c r="B104" s="74"/>
      <c r="C104" s="74"/>
      <c r="D104" s="74"/>
      <c r="E104" s="74"/>
      <c r="F104" s="74"/>
      <c r="G104" s="74"/>
      <c r="H104" s="74"/>
      <c r="I104" s="74"/>
      <c r="J104" s="74"/>
      <c r="K104" s="74"/>
      <c r="L104" s="75"/>
    </row>
    <row r="105" spans="1:12" ht="27.95" customHeight="1">
      <c r="A105" s="47"/>
      <c r="B105" s="251"/>
      <c r="C105" s="242"/>
      <c r="D105" s="242"/>
      <c r="E105" s="242"/>
      <c r="F105" s="242"/>
      <c r="G105" s="242"/>
      <c r="H105" s="859"/>
      <c r="I105" s="860"/>
      <c r="J105" s="860"/>
      <c r="K105" s="860"/>
      <c r="L105" s="860"/>
    </row>
    <row r="106" spans="1:12" ht="27.95" customHeight="1" thickBot="1">
      <c r="A106" s="47"/>
      <c r="B106" s="251"/>
      <c r="C106" s="242"/>
      <c r="D106" s="242"/>
      <c r="E106" s="242"/>
      <c r="F106" s="242"/>
      <c r="G106" s="242"/>
      <c r="H106" s="859"/>
      <c r="I106" s="860"/>
      <c r="J106" s="860"/>
      <c r="K106" s="860"/>
      <c r="L106" s="860"/>
    </row>
    <row r="107" spans="1:12" ht="27.95" customHeight="1">
      <c r="A107" s="140"/>
      <c r="B107" s="742" t="s">
        <v>185</v>
      </c>
      <c r="C107" s="743"/>
      <c r="D107" s="743"/>
      <c r="E107" s="743"/>
      <c r="F107" s="743"/>
      <c r="G107" s="743"/>
      <c r="H107" s="743"/>
      <c r="I107" s="743"/>
      <c r="J107" s="743"/>
      <c r="K107" s="743"/>
      <c r="L107" s="744"/>
    </row>
    <row r="108" spans="1:12" ht="27.95" customHeight="1">
      <c r="A108" s="62"/>
      <c r="B108" s="745" t="s">
        <v>186</v>
      </c>
      <c r="C108" s="745"/>
      <c r="D108" s="745"/>
      <c r="E108" s="745"/>
      <c r="F108" s="745"/>
      <c r="G108" s="745"/>
      <c r="H108" s="745"/>
      <c r="I108" s="745"/>
      <c r="J108" s="745"/>
      <c r="K108" s="745"/>
      <c r="L108" s="746"/>
    </row>
    <row r="109" spans="1:12" ht="27.95" customHeight="1" thickBot="1">
      <c r="A109" s="76"/>
      <c r="B109" s="747" t="s">
        <v>187</v>
      </c>
      <c r="C109" s="747"/>
      <c r="D109" s="747"/>
      <c r="E109" s="747"/>
      <c r="F109" s="747"/>
      <c r="G109" s="747"/>
      <c r="H109" s="747"/>
      <c r="I109" s="747"/>
      <c r="J109" s="747"/>
      <c r="K109" s="747"/>
      <c r="L109" s="748"/>
    </row>
    <row r="110" spans="1:12" ht="27.95" customHeight="1">
      <c r="A110" s="62"/>
      <c r="B110" s="757" t="s">
        <v>117</v>
      </c>
      <c r="C110" s="757"/>
      <c r="D110" s="757"/>
      <c r="E110" s="757"/>
      <c r="F110" s="757"/>
      <c r="G110" s="47"/>
      <c r="H110" s="758" t="s">
        <v>118</v>
      </c>
      <c r="I110" s="758"/>
      <c r="J110" s="758"/>
      <c r="K110" s="758"/>
      <c r="L110" s="759"/>
    </row>
    <row r="111" spans="1:12" ht="27.95" customHeight="1" thickBot="1">
      <c r="A111" s="62"/>
      <c r="B111" s="757"/>
      <c r="C111" s="757"/>
      <c r="D111" s="757"/>
      <c r="E111" s="757"/>
      <c r="F111" s="757"/>
      <c r="G111" s="47"/>
      <c r="H111" s="758"/>
      <c r="I111" s="758"/>
      <c r="J111" s="758"/>
      <c r="K111" s="758"/>
      <c r="L111" s="759"/>
    </row>
    <row r="112" spans="1:12" ht="27.95" customHeight="1">
      <c r="A112" s="62"/>
      <c r="B112" s="140"/>
      <c r="C112" s="141"/>
      <c r="D112" s="141"/>
      <c r="E112" s="141"/>
      <c r="F112" s="142"/>
      <c r="G112" s="47"/>
      <c r="H112" s="140"/>
      <c r="I112" s="141"/>
      <c r="J112" s="141"/>
      <c r="K112" s="141"/>
      <c r="L112" s="142"/>
    </row>
    <row r="113" spans="1:12">
      <c r="A113" s="62"/>
      <c r="B113" s="146" t="str">
        <f>'PUNJAB 04-22Master'!F5</f>
        <v>Burgeon IT Services Pvt.Ltd.</v>
      </c>
      <c r="C113" s="144"/>
      <c r="D113" s="144"/>
      <c r="E113" s="144"/>
      <c r="F113" s="145"/>
      <c r="G113" s="47"/>
      <c r="H113" s="146" t="str">
        <f>'PUNJAB 04-22Master'!AO5</f>
        <v>Burgeon IT Services Pvt.Ltd.</v>
      </c>
      <c r="I113" s="144"/>
      <c r="J113" s="144"/>
      <c r="K113" s="144"/>
      <c r="L113" s="145"/>
    </row>
    <row r="114" spans="1:12">
      <c r="A114" s="62"/>
      <c r="B114" s="62"/>
      <c r="C114" s="144"/>
      <c r="D114" s="144"/>
      <c r="E114" s="144"/>
      <c r="F114" s="145"/>
      <c r="G114" s="47"/>
      <c r="H114" s="62"/>
      <c r="I114" s="144"/>
      <c r="J114" s="144"/>
      <c r="K114" s="144"/>
      <c r="L114" s="145"/>
    </row>
    <row r="115" spans="1:12">
      <c r="A115" s="62"/>
      <c r="B115" s="146" t="str">
        <f>'PUNJAB 04-22Master'!F6</f>
        <v>Siri Mansion LIGB 436 Dr.A S Rao Nagar,Hyderabad</v>
      </c>
      <c r="C115" s="144"/>
      <c r="D115" s="144"/>
      <c r="E115" s="144"/>
      <c r="F115" s="145"/>
      <c r="G115" s="47"/>
      <c r="H115" s="146" t="str">
        <f>'PUNJAB 04-22Master'!AO6</f>
        <v>Siri Mansion LIGB 436 Dr.A S Rao Nagar,Hyderabad</v>
      </c>
      <c r="I115" s="144"/>
      <c r="J115" s="144"/>
      <c r="K115" s="144"/>
      <c r="L115" s="145"/>
    </row>
    <row r="116" spans="1:12" ht="15.75" thickBot="1">
      <c r="A116" s="62"/>
      <c r="B116" s="147"/>
      <c r="C116" s="77"/>
      <c r="D116" s="77"/>
      <c r="E116" s="77"/>
      <c r="F116" s="148"/>
      <c r="G116" s="47"/>
      <c r="H116" s="147"/>
      <c r="I116" s="77"/>
      <c r="J116" s="77"/>
      <c r="K116" s="77"/>
      <c r="L116" s="148"/>
    </row>
    <row r="117" spans="1:12">
      <c r="A117" s="62"/>
      <c r="B117" s="47"/>
      <c r="C117" s="47"/>
      <c r="D117" s="47"/>
      <c r="E117" s="47"/>
      <c r="F117" s="47"/>
      <c r="G117" s="47"/>
      <c r="H117" s="47"/>
      <c r="I117" s="47"/>
      <c r="J117" s="47" t="s">
        <v>119</v>
      </c>
      <c r="K117" s="47"/>
      <c r="L117" s="63"/>
    </row>
    <row r="118" spans="1:12">
      <c r="A118" s="62"/>
      <c r="B118" s="760" t="s">
        <v>120</v>
      </c>
      <c r="C118" s="760"/>
      <c r="D118" s="760"/>
      <c r="E118" s="760"/>
      <c r="F118" s="760"/>
      <c r="G118" s="47"/>
      <c r="H118" s="760" t="s">
        <v>4</v>
      </c>
      <c r="I118" s="760"/>
      <c r="J118" s="760"/>
      <c r="K118" s="760"/>
      <c r="L118" s="761"/>
    </row>
    <row r="119" spans="1:12" ht="15.75" thickBot="1">
      <c r="A119" s="62"/>
      <c r="B119" s="47"/>
      <c r="C119" s="47"/>
      <c r="D119" s="47"/>
      <c r="E119" s="47"/>
      <c r="F119" s="47"/>
      <c r="G119" s="47"/>
      <c r="H119" s="47"/>
      <c r="I119" s="47"/>
      <c r="J119" s="47"/>
      <c r="K119" s="47"/>
      <c r="L119" s="63"/>
    </row>
    <row r="120" spans="1:12">
      <c r="A120" s="62"/>
      <c r="B120" s="140"/>
      <c r="C120" s="141"/>
      <c r="D120" s="141"/>
      <c r="E120" s="141"/>
      <c r="F120" s="142"/>
      <c r="G120" s="47"/>
      <c r="H120" s="149"/>
      <c r="I120" s="150"/>
      <c r="J120" s="150"/>
      <c r="K120" s="150"/>
      <c r="L120" s="151"/>
    </row>
    <row r="121" spans="1:12">
      <c r="A121" s="62"/>
      <c r="B121" s="143"/>
      <c r="C121" s="144"/>
      <c r="D121" s="144"/>
      <c r="E121" s="144"/>
      <c r="F121" s="145"/>
      <c r="G121" s="47"/>
      <c r="H121" s="146" t="str">
        <f>'PUNJAB 04-22Master'!AO10</f>
        <v xml:space="preserve">INFOSYS  LTD.IL </v>
      </c>
      <c r="I121" s="152"/>
      <c r="J121" s="152"/>
      <c r="K121" s="152"/>
      <c r="L121" s="153"/>
    </row>
    <row r="122" spans="1:12">
      <c r="A122" s="62"/>
      <c r="B122" s="146" t="str">
        <f>'PUNJAB 04-22Master'!F8</f>
        <v>IT SUPPORTIVE SERVICES&amp;Chandigarh</v>
      </c>
      <c r="C122" s="144"/>
      <c r="D122" s="144"/>
      <c r="E122" s="144"/>
      <c r="F122" s="145"/>
      <c r="G122" s="47"/>
      <c r="H122" s="146"/>
      <c r="I122" s="152"/>
      <c r="J122" s="152"/>
      <c r="K122" s="152"/>
      <c r="L122" s="153"/>
    </row>
    <row r="123" spans="1:12">
      <c r="A123" s="62"/>
      <c r="B123" s="143"/>
      <c r="C123" s="144"/>
      <c r="D123" s="144"/>
      <c r="E123" s="144"/>
      <c r="F123" s="145"/>
      <c r="G123" s="47"/>
      <c r="H123" s="146" t="str">
        <f>'PUNJAB 04-22Master'!AO11</f>
        <v>No.45&amp;46,3rd Cross,Electronic City,BANGALORE,KARNATAKA</v>
      </c>
      <c r="I123" s="152"/>
      <c r="J123" s="152"/>
      <c r="K123" s="152"/>
      <c r="L123" s="153"/>
    </row>
    <row r="124" spans="1:12" ht="15.75" thickBot="1">
      <c r="A124" s="62"/>
      <c r="B124" s="147"/>
      <c r="C124" s="77"/>
      <c r="D124" s="77"/>
      <c r="E124" s="77"/>
      <c r="F124" s="148"/>
      <c r="G124" s="47"/>
      <c r="H124" s="154"/>
      <c r="I124" s="155"/>
      <c r="J124" s="155"/>
      <c r="K124" s="155"/>
      <c r="L124" s="156"/>
    </row>
    <row r="125" spans="1:12">
      <c r="A125" s="157"/>
      <c r="B125" s="762" t="s">
        <v>188</v>
      </c>
      <c r="C125" s="762"/>
      <c r="D125" s="762"/>
      <c r="E125" s="762"/>
      <c r="F125" s="762"/>
      <c r="G125" s="762"/>
      <c r="H125" s="750" t="e">
        <f>'PUNJAB 04-22Master'!#REF!</f>
        <v>#REF!</v>
      </c>
      <c r="I125" s="751"/>
      <c r="J125" s="751"/>
      <c r="K125" s="751"/>
      <c r="L125" s="752"/>
    </row>
    <row r="126" spans="1:12">
      <c r="A126" s="157"/>
      <c r="B126" s="753" t="s">
        <v>189</v>
      </c>
      <c r="C126" s="753"/>
      <c r="D126" s="753"/>
      <c r="E126" s="753"/>
      <c r="F126" s="753"/>
      <c r="G126" s="753"/>
      <c r="H126" s="750" t="e">
        <f>'PUNJAB 04-22Master'!#REF!</f>
        <v>#REF!</v>
      </c>
      <c r="I126" s="751"/>
      <c r="J126" s="751"/>
      <c r="K126" s="751"/>
      <c r="L126" s="752"/>
    </row>
    <row r="127" spans="1:12">
      <c r="A127" s="157"/>
      <c r="B127" s="762" t="s">
        <v>190</v>
      </c>
      <c r="C127" s="762"/>
      <c r="D127" s="762"/>
      <c r="E127" s="762"/>
      <c r="F127" s="762"/>
      <c r="G127" s="762"/>
      <c r="H127" s="750" t="e">
        <f>'PUNJAB 04-22Master'!#REF!</f>
        <v>#REF!</v>
      </c>
      <c r="I127" s="751"/>
      <c r="J127" s="751"/>
      <c r="K127" s="751"/>
      <c r="L127" s="752"/>
    </row>
    <row r="128" spans="1:12">
      <c r="A128" s="157"/>
      <c r="B128" s="762" t="s">
        <v>191</v>
      </c>
      <c r="C128" s="762"/>
      <c r="D128" s="762"/>
      <c r="E128" s="762"/>
      <c r="F128" s="762"/>
      <c r="G128" s="762"/>
      <c r="H128" s="855" t="e">
        <f>'PUNJAB 04-22Master'!#REF!</f>
        <v>#REF!</v>
      </c>
      <c r="I128" s="751"/>
      <c r="J128" s="751"/>
      <c r="K128" s="751"/>
      <c r="L128" s="752"/>
    </row>
    <row r="129" spans="1:12">
      <c r="A129" s="157"/>
      <c r="B129" s="158" t="s">
        <v>192</v>
      </c>
      <c r="C129" s="283"/>
      <c r="D129" s="283"/>
      <c r="E129" s="283"/>
      <c r="F129" s="283"/>
      <c r="G129" s="283"/>
      <c r="H129" s="856" t="s">
        <v>193</v>
      </c>
      <c r="I129" s="857"/>
      <c r="J129" s="857"/>
      <c r="K129" s="857"/>
      <c r="L129" s="858"/>
    </row>
    <row r="130" spans="1:12">
      <c r="A130" s="157"/>
      <c r="B130" s="158" t="s">
        <v>194</v>
      </c>
      <c r="C130" s="283"/>
      <c r="D130" s="283"/>
      <c r="E130" s="283"/>
      <c r="F130" s="283"/>
      <c r="G130" s="283"/>
      <c r="H130" s="337"/>
      <c r="I130" s="338"/>
      <c r="J130" s="244"/>
      <c r="K130" s="338"/>
      <c r="L130" s="342"/>
    </row>
    <row r="131" spans="1:12">
      <c r="A131" s="157"/>
      <c r="B131" s="773" t="s">
        <v>195</v>
      </c>
      <c r="C131" s="773"/>
      <c r="D131" s="773"/>
      <c r="E131" s="773"/>
      <c r="F131" s="773"/>
      <c r="G131" s="773"/>
      <c r="H131" s="767" t="e">
        <f>'PUNJAB 04-22Master'!#REF!</f>
        <v>#REF!</v>
      </c>
      <c r="I131" s="768"/>
      <c r="J131" s="768"/>
      <c r="K131" s="768"/>
      <c r="L131" s="769"/>
    </row>
    <row r="132" spans="1:12">
      <c r="A132" s="157"/>
      <c r="B132" s="762"/>
      <c r="C132" s="762"/>
      <c r="D132" s="762"/>
      <c r="E132" s="762"/>
      <c r="F132" s="762"/>
      <c r="G132" s="762"/>
      <c r="H132" s="763" t="e">
        <f>'PUNJAB 04-22Master'!#REF!</f>
        <v>#REF!</v>
      </c>
      <c r="I132" s="751"/>
      <c r="J132" s="751"/>
      <c r="K132" s="751"/>
      <c r="L132" s="752"/>
    </row>
    <row r="133" spans="1:12">
      <c r="A133" s="62"/>
      <c r="B133" s="762"/>
      <c r="C133" s="762"/>
      <c r="D133" s="762"/>
      <c r="E133" s="762"/>
      <c r="F133" s="762"/>
      <c r="G133" s="762"/>
      <c r="H133" s="750" t="e">
        <f>'PUNJAB 04-22Master'!#REF!</f>
        <v>#REF!</v>
      </c>
      <c r="I133" s="751"/>
      <c r="J133" s="751"/>
      <c r="K133" s="751"/>
      <c r="L133" s="752"/>
    </row>
    <row r="134" spans="1:12">
      <c r="A134" s="62"/>
      <c r="B134" s="158" t="s">
        <v>196</v>
      </c>
      <c r="C134" s="283"/>
      <c r="D134" s="283"/>
      <c r="E134" s="283"/>
      <c r="F134" s="283"/>
      <c r="G134" s="284"/>
      <c r="H134" s="847" t="e">
        <f>'PUNJAB 04-22Master'!#REF!</f>
        <v>#REF!</v>
      </c>
      <c r="I134" s="848"/>
      <c r="J134" s="848"/>
      <c r="K134" s="848"/>
      <c r="L134" s="849"/>
    </row>
    <row r="135" spans="1:12">
      <c r="A135" s="62"/>
      <c r="B135" s="158"/>
      <c r="C135" s="283"/>
      <c r="D135" s="283"/>
      <c r="E135" s="283"/>
      <c r="F135" s="283"/>
      <c r="G135" s="284"/>
      <c r="H135" s="847" t="e">
        <f>'PUNJAB 04-22Master'!#REF!</f>
        <v>#REF!</v>
      </c>
      <c r="I135" s="848"/>
      <c r="J135" s="848"/>
      <c r="K135" s="848"/>
      <c r="L135" s="849"/>
    </row>
    <row r="136" spans="1:12">
      <c r="A136" s="62"/>
      <c r="B136" s="158"/>
      <c r="C136" s="283"/>
      <c r="D136" s="283"/>
      <c r="E136" s="283"/>
      <c r="F136" s="283"/>
      <c r="G136" s="284"/>
      <c r="H136" s="847" t="e">
        <f>'PUNJAB 04-22Master'!#REF!</f>
        <v>#REF!</v>
      </c>
      <c r="I136" s="848"/>
      <c r="J136" s="848"/>
      <c r="K136" s="848"/>
      <c r="L136" s="849"/>
    </row>
    <row r="137" spans="1:12">
      <c r="A137" s="62"/>
      <c r="B137" s="158" t="s">
        <v>203</v>
      </c>
      <c r="C137" s="283"/>
      <c r="D137" s="283"/>
      <c r="E137" s="283"/>
      <c r="F137" s="283"/>
      <c r="G137" s="284"/>
      <c r="H137" s="337"/>
      <c r="I137" s="338"/>
      <c r="J137" s="338"/>
      <c r="K137" s="338"/>
      <c r="L137" s="342"/>
    </row>
    <row r="138" spans="1:12">
      <c r="A138" s="62"/>
      <c r="B138" s="161" t="s">
        <v>204</v>
      </c>
      <c r="C138" s="221"/>
      <c r="D138" s="221"/>
      <c r="E138" s="221"/>
      <c r="F138" s="221"/>
      <c r="G138" s="222"/>
      <c r="H138" s="223"/>
      <c r="I138" s="224"/>
      <c r="J138" s="225"/>
      <c r="K138" s="224"/>
      <c r="L138" s="226"/>
    </row>
    <row r="139" spans="1:12" ht="45">
      <c r="A139" s="62"/>
      <c r="B139" s="158" t="s">
        <v>207</v>
      </c>
      <c r="C139" s="283"/>
      <c r="D139" s="338"/>
      <c r="E139" s="341" t="s">
        <v>209</v>
      </c>
      <c r="F139" s="119"/>
      <c r="G139" s="850" t="s">
        <v>208</v>
      </c>
      <c r="H139" s="851"/>
      <c r="I139" s="336" t="s">
        <v>205</v>
      </c>
      <c r="J139" s="239" t="s">
        <v>210</v>
      </c>
      <c r="K139" s="850" t="s">
        <v>206</v>
      </c>
      <c r="L139" s="852"/>
    </row>
    <row r="140" spans="1:12">
      <c r="A140" s="62"/>
      <c r="B140" s="240">
        <v>1</v>
      </c>
      <c r="C140" s="283"/>
      <c r="D140" s="283"/>
      <c r="E140" s="243">
        <v>2</v>
      </c>
      <c r="F140" s="284"/>
      <c r="G140" s="243">
        <v>3</v>
      </c>
      <c r="H140" s="339"/>
      <c r="I140" s="339">
        <v>4</v>
      </c>
      <c r="J140" s="328">
        <v>5</v>
      </c>
      <c r="K140" s="159"/>
      <c r="L140" s="160">
        <v>6</v>
      </c>
    </row>
    <row r="141" spans="1:12">
      <c r="A141" s="62"/>
      <c r="B141" s="391" t="e">
        <f>'PUNJAB 04-22Master'!#REF!</f>
        <v>#REF!</v>
      </c>
      <c r="C141" s="261"/>
      <c r="D141" s="262"/>
      <c r="E141" s="392" t="s">
        <v>365</v>
      </c>
      <c r="F141" s="262"/>
      <c r="G141" s="392" t="s">
        <v>366</v>
      </c>
      <c r="H141" s="119"/>
      <c r="I141" s="30" t="s">
        <v>367</v>
      </c>
      <c r="J141" s="390">
        <v>1</v>
      </c>
      <c r="K141" s="853" t="s">
        <v>37</v>
      </c>
      <c r="L141" s="854"/>
    </row>
    <row r="142" spans="1:12">
      <c r="A142" s="62"/>
      <c r="B142" s="158"/>
      <c r="C142" s="261"/>
      <c r="D142" s="262"/>
      <c r="E142" s="263"/>
      <c r="F142" s="262"/>
      <c r="G142" s="263"/>
      <c r="H142" s="119"/>
      <c r="I142" s="30"/>
      <c r="J142" s="30"/>
      <c r="K142" s="264"/>
      <c r="L142" s="119"/>
    </row>
    <row r="143" spans="1:12">
      <c r="A143" s="62"/>
      <c r="B143" s="158"/>
      <c r="C143" s="261"/>
      <c r="D143" s="262"/>
      <c r="E143" s="263"/>
      <c r="F143" s="262"/>
      <c r="G143" s="263"/>
      <c r="H143" s="119"/>
      <c r="I143" s="30"/>
      <c r="J143" s="30"/>
      <c r="K143" s="264"/>
      <c r="L143" s="119"/>
    </row>
    <row r="144" spans="1:12">
      <c r="A144" s="62"/>
      <c r="B144" s="127"/>
      <c r="C144" s="68"/>
      <c r="D144" s="128"/>
      <c r="E144" s="263"/>
      <c r="F144" s="262"/>
      <c r="G144" s="263"/>
      <c r="H144" s="119"/>
      <c r="I144" s="30"/>
      <c r="J144" s="30"/>
      <c r="K144" s="264"/>
      <c r="L144" s="119"/>
    </row>
    <row r="145" spans="1:12">
      <c r="A145" s="62"/>
      <c r="B145" s="47" t="s">
        <v>211</v>
      </c>
      <c r="C145" s="47"/>
      <c r="D145" s="47"/>
      <c r="E145" s="47"/>
      <c r="F145" s="47"/>
      <c r="G145" s="47"/>
      <c r="H145" s="47"/>
      <c r="I145" s="47"/>
      <c r="J145" s="47"/>
      <c r="K145" s="47"/>
      <c r="L145" s="63"/>
    </row>
    <row r="146" spans="1:12">
      <c r="A146" s="62"/>
      <c r="B146" s="47" t="s">
        <v>212</v>
      </c>
      <c r="C146" s="47"/>
      <c r="D146" s="47"/>
      <c r="E146" s="47"/>
      <c r="F146" s="47"/>
      <c r="G146" s="47"/>
      <c r="H146" s="47"/>
      <c r="I146" s="47"/>
      <c r="J146" s="47"/>
      <c r="K146" s="47"/>
      <c r="L146" s="63"/>
    </row>
    <row r="147" spans="1:12">
      <c r="A147" s="62"/>
      <c r="B147" s="47" t="s">
        <v>213</v>
      </c>
      <c r="C147" s="47"/>
      <c r="D147" s="47"/>
      <c r="E147" s="47"/>
      <c r="F147" s="47"/>
      <c r="G147" s="47"/>
      <c r="H147" s="47"/>
      <c r="I147" s="47"/>
      <c r="J147" s="47"/>
      <c r="K147" s="47"/>
      <c r="L147" s="63"/>
    </row>
    <row r="148" spans="1:12" ht="27.95" customHeight="1">
      <c r="A148" s="62"/>
      <c r="B148" s="47"/>
      <c r="C148" s="47"/>
      <c r="D148" s="47"/>
      <c r="E148" s="47"/>
      <c r="F148" s="47"/>
      <c r="G148" s="47"/>
      <c r="H148" s="47"/>
      <c r="I148" s="47"/>
      <c r="J148" s="47"/>
      <c r="K148" s="47"/>
      <c r="L148" s="63"/>
    </row>
    <row r="149" spans="1:12" ht="27.95" customHeight="1">
      <c r="A149" s="62"/>
      <c r="B149" s="47"/>
      <c r="C149" s="47"/>
      <c r="D149" s="47"/>
      <c r="E149" s="47"/>
      <c r="F149" s="47"/>
      <c r="G149" s="47"/>
      <c r="H149" s="47"/>
      <c r="I149" s="47" t="s">
        <v>214</v>
      </c>
      <c r="J149" s="47"/>
      <c r="K149" s="47"/>
      <c r="L149" s="63"/>
    </row>
    <row r="150" spans="1:12" ht="27.95" customHeight="1">
      <c r="A150" s="62"/>
      <c r="B150" s="47"/>
      <c r="C150" s="47"/>
      <c r="D150" s="47"/>
      <c r="E150" s="47"/>
      <c r="F150" s="248" t="s">
        <v>197</v>
      </c>
      <c r="G150" s="47"/>
      <c r="H150" s="47"/>
      <c r="I150" s="47"/>
      <c r="J150" s="47"/>
      <c r="K150" s="47"/>
      <c r="L150" s="63"/>
    </row>
    <row r="151" spans="1:12" ht="27.95" customHeight="1">
      <c r="A151" s="62" t="s">
        <v>198</v>
      </c>
      <c r="B151" s="47"/>
      <c r="C151" s="47"/>
      <c r="D151" s="47"/>
      <c r="E151" s="47"/>
      <c r="F151" s="47"/>
      <c r="G151" s="47"/>
      <c r="H151" s="47"/>
      <c r="I151" s="47"/>
      <c r="J151" s="47"/>
      <c r="K151" s="306" t="e">
        <f>'PUNJAB 04-22Master'!#REF!</f>
        <v>#REF!</v>
      </c>
      <c r="L151" s="63"/>
    </row>
    <row r="152" spans="1:12" ht="27.95" customHeight="1">
      <c r="A152" s="62" t="s">
        <v>199</v>
      </c>
      <c r="B152" s="47"/>
      <c r="C152" s="47"/>
      <c r="D152" s="47"/>
      <c r="E152" s="47"/>
      <c r="F152" s="47"/>
      <c r="G152" s="47"/>
      <c r="H152" s="47"/>
      <c r="I152" s="47"/>
      <c r="J152" s="47"/>
      <c r="K152" s="47"/>
      <c r="L152" s="63"/>
    </row>
    <row r="153" spans="1:12" ht="27.95" customHeight="1">
      <c r="A153" s="62"/>
      <c r="B153" s="47"/>
      <c r="C153" s="47"/>
      <c r="D153" s="47"/>
      <c r="E153" s="47"/>
      <c r="F153" s="47"/>
      <c r="G153" s="47"/>
      <c r="H153" s="47"/>
      <c r="I153" s="47"/>
      <c r="J153" s="47"/>
      <c r="K153" s="47"/>
      <c r="L153" s="63"/>
    </row>
    <row r="154" spans="1:12" ht="27.95" customHeight="1">
      <c r="A154" s="62"/>
      <c r="B154" s="47"/>
      <c r="C154" s="47"/>
      <c r="D154" s="47"/>
      <c r="E154" s="47"/>
      <c r="F154" s="47"/>
      <c r="G154" s="47"/>
      <c r="H154" s="47"/>
      <c r="I154" s="47"/>
      <c r="J154" s="47"/>
      <c r="K154" s="47"/>
      <c r="L154" s="63"/>
    </row>
    <row r="155" spans="1:12" ht="27.95" customHeight="1">
      <c r="A155" s="62"/>
      <c r="B155" s="47"/>
      <c r="C155" s="47"/>
      <c r="D155" s="47"/>
      <c r="E155" s="47"/>
      <c r="F155" s="47" t="s">
        <v>200</v>
      </c>
      <c r="G155" s="47"/>
      <c r="H155" s="47"/>
      <c r="I155" s="47"/>
      <c r="J155" s="47"/>
      <c r="K155" s="47"/>
      <c r="L155" s="63"/>
    </row>
    <row r="156" spans="1:12" ht="27.95" customHeight="1">
      <c r="A156" s="62" t="s">
        <v>201</v>
      </c>
      <c r="B156" s="47" t="s">
        <v>364</v>
      </c>
      <c r="C156" s="47"/>
      <c r="D156" s="47"/>
      <c r="E156" s="47"/>
      <c r="F156" s="47" t="str">
        <f>'PUNJAB 04-22Master'!F5</f>
        <v>Burgeon IT Services Pvt.Ltd.</v>
      </c>
      <c r="G156" s="47"/>
      <c r="H156" s="47"/>
      <c r="I156" s="47"/>
      <c r="J156" s="47"/>
      <c r="K156" s="47"/>
      <c r="L156" s="63"/>
    </row>
    <row r="157" spans="1:12" ht="27.95" customHeight="1">
      <c r="A157" s="62" t="s">
        <v>202</v>
      </c>
      <c r="B157" s="389" t="e">
        <f>'PUNJAB 04-22Master'!#REF!</f>
        <v>#REF!</v>
      </c>
      <c r="C157" s="47"/>
      <c r="D157" s="47"/>
      <c r="E157" s="47"/>
      <c r="F157" s="250" t="str">
        <f>'PUNJAB 04-22Master'!F6</f>
        <v>Siri Mansion LIGB 436 Dr.A S Rao Nagar,Hyderabad</v>
      </c>
      <c r="G157" s="250"/>
      <c r="H157" s="250"/>
      <c r="I157" s="250"/>
      <c r="J157" s="250"/>
      <c r="K157" s="250"/>
      <c r="L157" s="63"/>
    </row>
    <row r="158" spans="1:12" ht="27.95" customHeight="1" thickBot="1">
      <c r="A158" s="76"/>
      <c r="B158" s="74"/>
      <c r="C158" s="74"/>
      <c r="D158" s="74"/>
      <c r="E158" s="74"/>
      <c r="F158" s="74"/>
      <c r="G158" s="74"/>
      <c r="H158" s="74"/>
      <c r="I158" s="74"/>
      <c r="J158" s="74"/>
      <c r="K158" s="74"/>
      <c r="L158" s="75"/>
    </row>
    <row r="159" spans="1:12" ht="27.95" customHeight="1" thickBot="1">
      <c r="A159" s="47"/>
      <c r="B159" s="251"/>
      <c r="C159" s="242"/>
      <c r="D159" s="242"/>
      <c r="E159" s="242"/>
      <c r="F159" s="242"/>
      <c r="G159" s="242"/>
      <c r="H159" s="227"/>
      <c r="I159" s="227"/>
      <c r="J159" s="228"/>
      <c r="K159" s="227"/>
      <c r="L159" s="227"/>
    </row>
    <row r="160" spans="1:12" ht="27.95" customHeight="1">
      <c r="A160" s="140"/>
      <c r="B160" s="742" t="s">
        <v>185</v>
      </c>
      <c r="C160" s="743"/>
      <c r="D160" s="743"/>
      <c r="E160" s="743"/>
      <c r="F160" s="743"/>
      <c r="G160" s="743"/>
      <c r="H160" s="743"/>
      <c r="I160" s="743"/>
      <c r="J160" s="743"/>
      <c r="K160" s="743"/>
      <c r="L160" s="744"/>
    </row>
    <row r="161" spans="1:12" ht="27.95" customHeight="1">
      <c r="A161" s="62"/>
      <c r="B161" s="745" t="s">
        <v>186</v>
      </c>
      <c r="C161" s="745"/>
      <c r="D161" s="745"/>
      <c r="E161" s="745"/>
      <c r="F161" s="745"/>
      <c r="G161" s="745"/>
      <c r="H161" s="745"/>
      <c r="I161" s="745"/>
      <c r="J161" s="745"/>
      <c r="K161" s="745"/>
      <c r="L161" s="746"/>
    </row>
    <row r="162" spans="1:12" ht="27.95" customHeight="1" thickBot="1">
      <c r="A162" s="76"/>
      <c r="B162" s="747" t="s">
        <v>187</v>
      </c>
      <c r="C162" s="747"/>
      <c r="D162" s="747"/>
      <c r="E162" s="747"/>
      <c r="F162" s="747"/>
      <c r="G162" s="747"/>
      <c r="H162" s="747"/>
      <c r="I162" s="747"/>
      <c r="J162" s="747"/>
      <c r="K162" s="747"/>
      <c r="L162" s="748"/>
    </row>
    <row r="163" spans="1:12" ht="27.95" customHeight="1">
      <c r="A163" s="62"/>
      <c r="B163" s="757" t="s">
        <v>117</v>
      </c>
      <c r="C163" s="757"/>
      <c r="D163" s="757"/>
      <c r="E163" s="757"/>
      <c r="F163" s="757"/>
      <c r="G163" s="47"/>
      <c r="H163" s="758" t="s">
        <v>118</v>
      </c>
      <c r="I163" s="758"/>
      <c r="J163" s="758"/>
      <c r="K163" s="758"/>
      <c r="L163" s="759"/>
    </row>
    <row r="164" spans="1:12" ht="27.95" customHeight="1" thickBot="1">
      <c r="A164" s="62"/>
      <c r="B164" s="757"/>
      <c r="C164" s="757"/>
      <c r="D164" s="757"/>
      <c r="E164" s="757"/>
      <c r="F164" s="757"/>
      <c r="G164" s="47"/>
      <c r="H164" s="758"/>
      <c r="I164" s="758"/>
      <c r="J164" s="758"/>
      <c r="K164" s="758"/>
      <c r="L164" s="759"/>
    </row>
    <row r="165" spans="1:12" ht="27.95" customHeight="1">
      <c r="A165" s="62"/>
      <c r="B165" s="140"/>
      <c r="C165" s="141"/>
      <c r="D165" s="141"/>
      <c r="E165" s="141"/>
      <c r="F165" s="142"/>
      <c r="G165" s="47"/>
      <c r="H165" s="140"/>
      <c r="I165" s="141"/>
      <c r="J165" s="141"/>
      <c r="K165" s="141"/>
      <c r="L165" s="142"/>
    </row>
    <row r="166" spans="1:12">
      <c r="A166" s="62"/>
      <c r="B166" s="146" t="str">
        <f>'PUNJAB 04-22Master'!F5</f>
        <v>Burgeon IT Services Pvt.Ltd.</v>
      </c>
      <c r="C166" s="144"/>
      <c r="D166" s="144"/>
      <c r="E166" s="144"/>
      <c r="F166" s="145"/>
      <c r="G166" s="47"/>
      <c r="H166" s="146" t="str">
        <f>'PUNJAB 04-22Master'!AO5</f>
        <v>Burgeon IT Services Pvt.Ltd.</v>
      </c>
      <c r="I166" s="144"/>
      <c r="J166" s="144"/>
      <c r="K166" s="144"/>
      <c r="L166" s="145"/>
    </row>
    <row r="167" spans="1:12">
      <c r="A167" s="62"/>
      <c r="B167" s="62"/>
      <c r="C167" s="144"/>
      <c r="D167" s="144"/>
      <c r="E167" s="144"/>
      <c r="F167" s="145"/>
      <c r="G167" s="47"/>
      <c r="H167" s="62"/>
      <c r="I167" s="144"/>
      <c r="J167" s="144"/>
      <c r="K167" s="144"/>
      <c r="L167" s="145"/>
    </row>
    <row r="168" spans="1:12">
      <c r="A168" s="62"/>
      <c r="B168" s="146" t="str">
        <f>'PUNJAB 04-22Master'!F6</f>
        <v>Siri Mansion LIGB 436 Dr.A S Rao Nagar,Hyderabad</v>
      </c>
      <c r="C168" s="144"/>
      <c r="D168" s="144"/>
      <c r="E168" s="144"/>
      <c r="F168" s="145"/>
      <c r="G168" s="47"/>
      <c r="H168" s="146" t="str">
        <f>'PUNJAB 04-22Master'!AO6</f>
        <v>Siri Mansion LIGB 436 Dr.A S Rao Nagar,Hyderabad</v>
      </c>
      <c r="I168" s="144"/>
      <c r="J168" s="144"/>
      <c r="K168" s="144"/>
      <c r="L168" s="145"/>
    </row>
    <row r="169" spans="1:12" ht="15.75" thickBot="1">
      <c r="A169" s="62"/>
      <c r="B169" s="147"/>
      <c r="C169" s="77"/>
      <c r="D169" s="77"/>
      <c r="E169" s="77"/>
      <c r="F169" s="148"/>
      <c r="G169" s="47"/>
      <c r="H169" s="147"/>
      <c r="I169" s="77"/>
      <c r="J169" s="77"/>
      <c r="K169" s="77"/>
      <c r="L169" s="148"/>
    </row>
    <row r="170" spans="1:12">
      <c r="A170" s="62"/>
      <c r="B170" s="47"/>
      <c r="C170" s="47"/>
      <c r="D170" s="47"/>
      <c r="E170" s="47"/>
      <c r="F170" s="47"/>
      <c r="G170" s="47"/>
      <c r="H170" s="47"/>
      <c r="I170" s="47"/>
      <c r="J170" s="47" t="s">
        <v>119</v>
      </c>
      <c r="K170" s="47"/>
      <c r="L170" s="63"/>
    </row>
    <row r="171" spans="1:12">
      <c r="A171" s="62"/>
      <c r="B171" s="760" t="s">
        <v>120</v>
      </c>
      <c r="C171" s="760"/>
      <c r="D171" s="760"/>
      <c r="E171" s="760"/>
      <c r="F171" s="760"/>
      <c r="G171" s="47"/>
      <c r="H171" s="760" t="s">
        <v>4</v>
      </c>
      <c r="I171" s="760"/>
      <c r="J171" s="760"/>
      <c r="K171" s="760"/>
      <c r="L171" s="761"/>
    </row>
    <row r="172" spans="1:12" ht="15.75" thickBot="1">
      <c r="A172" s="62"/>
      <c r="B172" s="47"/>
      <c r="C172" s="47"/>
      <c r="D172" s="47"/>
      <c r="E172" s="47"/>
      <c r="F172" s="47"/>
      <c r="G172" s="47"/>
      <c r="H172" s="47"/>
      <c r="I172" s="47"/>
      <c r="J172" s="47"/>
      <c r="K172" s="47"/>
      <c r="L172" s="63"/>
    </row>
    <row r="173" spans="1:12">
      <c r="A173" s="62"/>
      <c r="B173" s="140"/>
      <c r="C173" s="141"/>
      <c r="D173" s="141"/>
      <c r="E173" s="141"/>
      <c r="F173" s="142"/>
      <c r="G173" s="47"/>
      <c r="H173" s="149"/>
      <c r="I173" s="150"/>
      <c r="J173" s="150"/>
      <c r="K173" s="150"/>
      <c r="L173" s="151"/>
    </row>
    <row r="174" spans="1:12">
      <c r="A174" s="62"/>
      <c r="B174" s="143"/>
      <c r="C174" s="144"/>
      <c r="D174" s="144"/>
      <c r="E174" s="144"/>
      <c r="F174" s="145"/>
      <c r="G174" s="47"/>
      <c r="H174" s="146" t="str">
        <f>'PUNJAB 04-22Master'!AO10</f>
        <v xml:space="preserve">INFOSYS  LTD.IL </v>
      </c>
      <c r="I174" s="152"/>
      <c r="J174" s="152"/>
      <c r="K174" s="152"/>
      <c r="L174" s="153"/>
    </row>
    <row r="175" spans="1:12">
      <c r="A175" s="62"/>
      <c r="B175" s="146" t="str">
        <f>'PUNJAB 04-22Master'!F8</f>
        <v>IT SUPPORTIVE SERVICES&amp;Chandigarh</v>
      </c>
      <c r="C175" s="144"/>
      <c r="D175" s="144"/>
      <c r="E175" s="144"/>
      <c r="F175" s="145"/>
      <c r="G175" s="47"/>
      <c r="H175" s="146"/>
      <c r="I175" s="152"/>
      <c r="J175" s="152"/>
      <c r="K175" s="152"/>
      <c r="L175" s="153"/>
    </row>
    <row r="176" spans="1:12">
      <c r="A176" s="62"/>
      <c r="B176" s="143"/>
      <c r="C176" s="144"/>
      <c r="D176" s="144"/>
      <c r="E176" s="144"/>
      <c r="F176" s="145"/>
      <c r="G176" s="47"/>
      <c r="H176" s="146" t="str">
        <f>'PUNJAB 04-22Master'!AO11</f>
        <v>No.45&amp;46,3rd Cross,Electronic City,BANGALORE,KARNATAKA</v>
      </c>
      <c r="I176" s="152"/>
      <c r="J176" s="152"/>
      <c r="K176" s="152"/>
      <c r="L176" s="153"/>
    </row>
    <row r="177" spans="1:12" ht="15.75" thickBot="1">
      <c r="A177" s="62"/>
      <c r="B177" s="147"/>
      <c r="C177" s="77"/>
      <c r="D177" s="77"/>
      <c r="E177" s="77"/>
      <c r="F177" s="148"/>
      <c r="G177" s="47"/>
      <c r="H177" s="154"/>
      <c r="I177" s="155"/>
      <c r="J177" s="155"/>
      <c r="K177" s="155"/>
      <c r="L177" s="156"/>
    </row>
    <row r="178" spans="1:12">
      <c r="A178" s="157"/>
      <c r="B178" s="762" t="s">
        <v>188</v>
      </c>
      <c r="C178" s="762"/>
      <c r="D178" s="762"/>
      <c r="E178" s="762"/>
      <c r="F178" s="762"/>
      <c r="G178" s="762"/>
      <c r="H178" s="750" t="e">
        <f>'PUNJAB 04-22Master'!#REF!</f>
        <v>#REF!</v>
      </c>
      <c r="I178" s="751"/>
      <c r="J178" s="751"/>
      <c r="K178" s="751"/>
      <c r="L178" s="752"/>
    </row>
    <row r="179" spans="1:12">
      <c r="A179" s="157"/>
      <c r="B179" s="753" t="s">
        <v>189</v>
      </c>
      <c r="C179" s="753"/>
      <c r="D179" s="753"/>
      <c r="E179" s="753"/>
      <c r="F179" s="753"/>
      <c r="G179" s="753"/>
      <c r="H179" s="750" t="e">
        <f>'PUNJAB 04-22Master'!#REF!</f>
        <v>#REF!</v>
      </c>
      <c r="I179" s="751"/>
      <c r="J179" s="751"/>
      <c r="K179" s="751"/>
      <c r="L179" s="752"/>
    </row>
    <row r="180" spans="1:12">
      <c r="A180" s="157"/>
      <c r="B180" s="762" t="s">
        <v>190</v>
      </c>
      <c r="C180" s="762"/>
      <c r="D180" s="762"/>
      <c r="E180" s="762"/>
      <c r="F180" s="762"/>
      <c r="G180" s="762"/>
      <c r="H180" s="750" t="e">
        <f>'PUNJAB 04-22Master'!#REF!</f>
        <v>#REF!</v>
      </c>
      <c r="I180" s="751"/>
      <c r="J180" s="751"/>
      <c r="K180" s="751"/>
      <c r="L180" s="752"/>
    </row>
    <row r="181" spans="1:12">
      <c r="A181" s="157"/>
      <c r="B181" s="762" t="s">
        <v>191</v>
      </c>
      <c r="C181" s="762"/>
      <c r="D181" s="762"/>
      <c r="E181" s="762"/>
      <c r="F181" s="762"/>
      <c r="G181" s="762"/>
      <c r="H181" s="855" t="e">
        <f>'PUNJAB 04-22Master'!#REF!</f>
        <v>#REF!</v>
      </c>
      <c r="I181" s="751"/>
      <c r="J181" s="751"/>
      <c r="K181" s="751"/>
      <c r="L181" s="752"/>
    </row>
    <row r="182" spans="1:12">
      <c r="A182" s="157"/>
      <c r="B182" s="158" t="s">
        <v>192</v>
      </c>
      <c r="C182" s="283"/>
      <c r="D182" s="283"/>
      <c r="E182" s="283"/>
      <c r="F182" s="283"/>
      <c r="G182" s="283"/>
      <c r="H182" s="856" t="s">
        <v>193</v>
      </c>
      <c r="I182" s="857"/>
      <c r="J182" s="857"/>
      <c r="K182" s="857"/>
      <c r="L182" s="858"/>
    </row>
    <row r="183" spans="1:12">
      <c r="A183" s="157"/>
      <c r="B183" s="158" t="s">
        <v>194</v>
      </c>
      <c r="C183" s="283"/>
      <c r="D183" s="283"/>
      <c r="E183" s="283"/>
      <c r="F183" s="283"/>
      <c r="G183" s="283"/>
      <c r="H183" s="337"/>
      <c r="I183" s="338"/>
      <c r="J183" s="244"/>
      <c r="K183" s="338"/>
      <c r="L183" s="342"/>
    </row>
    <row r="184" spans="1:12">
      <c r="A184" s="157"/>
      <c r="B184" s="773" t="s">
        <v>195</v>
      </c>
      <c r="C184" s="773"/>
      <c r="D184" s="773"/>
      <c r="E184" s="773"/>
      <c r="F184" s="773"/>
      <c r="G184" s="773"/>
      <c r="H184" s="767" t="e">
        <f>'PUNJAB 04-22Master'!#REF!</f>
        <v>#REF!</v>
      </c>
      <c r="I184" s="768"/>
      <c r="J184" s="768"/>
      <c r="K184" s="768"/>
      <c r="L184" s="769"/>
    </row>
    <row r="185" spans="1:12">
      <c r="A185" s="157"/>
      <c r="B185" s="762"/>
      <c r="C185" s="762"/>
      <c r="D185" s="762"/>
      <c r="E185" s="762"/>
      <c r="F185" s="762"/>
      <c r="G185" s="762"/>
      <c r="H185" s="763" t="e">
        <f>'PUNJAB 04-22Master'!#REF!</f>
        <v>#REF!</v>
      </c>
      <c r="I185" s="751"/>
      <c r="J185" s="751"/>
      <c r="K185" s="751"/>
      <c r="L185" s="752"/>
    </row>
    <row r="186" spans="1:12">
      <c r="A186" s="62"/>
      <c r="B186" s="762"/>
      <c r="C186" s="762"/>
      <c r="D186" s="762"/>
      <c r="E186" s="762"/>
      <c r="F186" s="762"/>
      <c r="G186" s="762"/>
      <c r="H186" s="750" t="e">
        <f>'PUNJAB 04-22Master'!#REF!</f>
        <v>#REF!</v>
      </c>
      <c r="I186" s="751"/>
      <c r="J186" s="751"/>
      <c r="K186" s="751"/>
      <c r="L186" s="752"/>
    </row>
    <row r="187" spans="1:12">
      <c r="A187" s="62"/>
      <c r="B187" s="158" t="s">
        <v>196</v>
      </c>
      <c r="C187" s="283"/>
      <c r="D187" s="283"/>
      <c r="E187" s="283"/>
      <c r="F187" s="283"/>
      <c r="G187" s="284"/>
      <c r="H187" s="847" t="e">
        <f>'PUNJAB 04-22Master'!#REF!</f>
        <v>#REF!</v>
      </c>
      <c r="I187" s="848"/>
      <c r="J187" s="848"/>
      <c r="K187" s="848"/>
      <c r="L187" s="849"/>
    </row>
    <row r="188" spans="1:12">
      <c r="A188" s="62"/>
      <c r="B188" s="158"/>
      <c r="C188" s="283"/>
      <c r="D188" s="283"/>
      <c r="E188" s="283"/>
      <c r="F188" s="283"/>
      <c r="G188" s="284"/>
      <c r="H188" s="847" t="e">
        <f>'PUNJAB 04-22Master'!#REF!</f>
        <v>#REF!</v>
      </c>
      <c r="I188" s="848"/>
      <c r="J188" s="848"/>
      <c r="K188" s="848"/>
      <c r="L188" s="849"/>
    </row>
    <row r="189" spans="1:12">
      <c r="A189" s="62"/>
      <c r="B189" s="158"/>
      <c r="C189" s="283"/>
      <c r="D189" s="283"/>
      <c r="E189" s="283"/>
      <c r="F189" s="283"/>
      <c r="G189" s="284"/>
      <c r="H189" s="847" t="e">
        <f>'PUNJAB 04-22Master'!#REF!</f>
        <v>#REF!</v>
      </c>
      <c r="I189" s="848"/>
      <c r="J189" s="848"/>
      <c r="K189" s="848"/>
      <c r="L189" s="849"/>
    </row>
    <row r="190" spans="1:12">
      <c r="A190" s="62"/>
      <c r="B190" s="158" t="s">
        <v>203</v>
      </c>
      <c r="C190" s="283"/>
      <c r="D190" s="283"/>
      <c r="E190" s="283"/>
      <c r="F190" s="283"/>
      <c r="G190" s="284"/>
      <c r="H190" s="337"/>
      <c r="I190" s="338"/>
      <c r="J190" s="338"/>
      <c r="K190" s="338"/>
      <c r="L190" s="342"/>
    </row>
    <row r="191" spans="1:12">
      <c r="A191" s="62"/>
      <c r="B191" s="161" t="s">
        <v>204</v>
      </c>
      <c r="C191" s="221"/>
      <c r="D191" s="221"/>
      <c r="E191" s="221"/>
      <c r="F191" s="221"/>
      <c r="G191" s="222"/>
      <c r="H191" s="223"/>
      <c r="I191" s="224"/>
      <c r="J191" s="225"/>
      <c r="K191" s="224"/>
      <c r="L191" s="226"/>
    </row>
    <row r="192" spans="1:12" ht="45">
      <c r="A192" s="62"/>
      <c r="B192" s="158" t="s">
        <v>207</v>
      </c>
      <c r="C192" s="283"/>
      <c r="D192" s="338"/>
      <c r="E192" s="341" t="s">
        <v>209</v>
      </c>
      <c r="F192" s="119"/>
      <c r="G192" s="850" t="s">
        <v>208</v>
      </c>
      <c r="H192" s="851"/>
      <c r="I192" s="336" t="s">
        <v>205</v>
      </c>
      <c r="J192" s="239" t="s">
        <v>210</v>
      </c>
      <c r="K192" s="850" t="s">
        <v>206</v>
      </c>
      <c r="L192" s="852"/>
    </row>
    <row r="193" spans="1:12">
      <c r="A193" s="62"/>
      <c r="B193" s="240">
        <v>1</v>
      </c>
      <c r="C193" s="283"/>
      <c r="D193" s="283"/>
      <c r="E193" s="243">
        <v>2</v>
      </c>
      <c r="F193" s="284"/>
      <c r="G193" s="243">
        <v>3</v>
      </c>
      <c r="H193" s="339"/>
      <c r="I193" s="339">
        <v>4</v>
      </c>
      <c r="J193" s="328">
        <v>5</v>
      </c>
      <c r="K193" s="159"/>
      <c r="L193" s="160">
        <v>6</v>
      </c>
    </row>
    <row r="194" spans="1:12">
      <c r="A194" s="62"/>
      <c r="B194" s="391" t="e">
        <f>'PUNJAB 04-22Master'!#REF!</f>
        <v>#REF!</v>
      </c>
      <c r="C194" s="261"/>
      <c r="D194" s="262"/>
      <c r="E194" s="392" t="s">
        <v>365</v>
      </c>
      <c r="F194" s="262"/>
      <c r="G194" s="392" t="s">
        <v>366</v>
      </c>
      <c r="H194" s="119"/>
      <c r="I194" s="30" t="s">
        <v>367</v>
      </c>
      <c r="J194" s="390">
        <v>1</v>
      </c>
      <c r="K194" s="853" t="s">
        <v>37</v>
      </c>
      <c r="L194" s="854"/>
    </row>
    <row r="195" spans="1:12">
      <c r="A195" s="62"/>
      <c r="B195" s="158"/>
      <c r="C195" s="261"/>
      <c r="D195" s="262"/>
      <c r="E195" s="263"/>
      <c r="F195" s="262"/>
      <c r="G195" s="263"/>
      <c r="H195" s="119"/>
      <c r="I195" s="30"/>
      <c r="J195" s="30"/>
      <c r="K195" s="264"/>
      <c r="L195" s="119"/>
    </row>
    <row r="196" spans="1:12">
      <c r="A196" s="62"/>
      <c r="B196" s="158"/>
      <c r="C196" s="261"/>
      <c r="D196" s="262"/>
      <c r="E196" s="263"/>
      <c r="F196" s="262"/>
      <c r="G196" s="263"/>
      <c r="H196" s="119"/>
      <c r="I196" s="30"/>
      <c r="J196" s="30"/>
      <c r="K196" s="264"/>
      <c r="L196" s="119"/>
    </row>
    <row r="197" spans="1:12">
      <c r="A197" s="62"/>
      <c r="B197" s="127"/>
      <c r="C197" s="68"/>
      <c r="D197" s="128"/>
      <c r="E197" s="263"/>
      <c r="F197" s="262"/>
      <c r="G197" s="263"/>
      <c r="H197" s="119"/>
      <c r="I197" s="30"/>
      <c r="J197" s="30"/>
      <c r="K197" s="264"/>
      <c r="L197" s="119"/>
    </row>
    <row r="198" spans="1:12">
      <c r="A198" s="62"/>
      <c r="B198" s="47" t="s">
        <v>211</v>
      </c>
      <c r="C198" s="47"/>
      <c r="D198" s="47"/>
      <c r="E198" s="47"/>
      <c r="F198" s="47"/>
      <c r="G198" s="47"/>
      <c r="H198" s="47"/>
      <c r="I198" s="47"/>
      <c r="J198" s="47"/>
      <c r="K198" s="47"/>
      <c r="L198" s="63"/>
    </row>
    <row r="199" spans="1:12">
      <c r="A199" s="62"/>
      <c r="B199" s="47" t="s">
        <v>212</v>
      </c>
      <c r="C199" s="47"/>
      <c r="D199" s="47"/>
      <c r="E199" s="47"/>
      <c r="F199" s="47"/>
      <c r="G199" s="47"/>
      <c r="H199" s="47"/>
      <c r="I199" s="47"/>
      <c r="J199" s="47"/>
      <c r="K199" s="47"/>
      <c r="L199" s="63"/>
    </row>
    <row r="200" spans="1:12">
      <c r="A200" s="62"/>
      <c r="B200" s="47" t="s">
        <v>213</v>
      </c>
      <c r="C200" s="47"/>
      <c r="D200" s="47"/>
      <c r="E200" s="47"/>
      <c r="F200" s="47"/>
      <c r="G200" s="47"/>
      <c r="H200" s="47"/>
      <c r="I200" s="47"/>
      <c r="J200" s="47"/>
      <c r="K200" s="47"/>
      <c r="L200" s="63"/>
    </row>
    <row r="201" spans="1:12" ht="27.95" customHeight="1">
      <c r="A201" s="62"/>
      <c r="B201" s="47"/>
      <c r="C201" s="47"/>
      <c r="D201" s="47"/>
      <c r="E201" s="47"/>
      <c r="F201" s="47"/>
      <c r="G201" s="47"/>
      <c r="H201" s="47"/>
      <c r="I201" s="47"/>
      <c r="J201" s="47"/>
      <c r="K201" s="47"/>
      <c r="L201" s="63"/>
    </row>
    <row r="202" spans="1:12" ht="27.95" customHeight="1">
      <c r="A202" s="62"/>
      <c r="B202" s="47"/>
      <c r="C202" s="47"/>
      <c r="D202" s="47"/>
      <c r="E202" s="47"/>
      <c r="F202" s="47"/>
      <c r="G202" s="47"/>
      <c r="H202" s="47"/>
      <c r="I202" s="47" t="s">
        <v>214</v>
      </c>
      <c r="J202" s="47"/>
      <c r="K202" s="47"/>
      <c r="L202" s="63"/>
    </row>
    <row r="203" spans="1:12" ht="27.95" customHeight="1">
      <c r="A203" s="62"/>
      <c r="B203" s="47"/>
      <c r="C203" s="47"/>
      <c r="D203" s="47"/>
      <c r="E203" s="47"/>
      <c r="F203" s="248" t="s">
        <v>197</v>
      </c>
      <c r="G203" s="47"/>
      <c r="H203" s="47"/>
      <c r="I203" s="47"/>
      <c r="J203" s="47"/>
      <c r="K203" s="47"/>
      <c r="L203" s="63"/>
    </row>
    <row r="204" spans="1:12" ht="27.95" customHeight="1">
      <c r="A204" s="62" t="s">
        <v>198</v>
      </c>
      <c r="B204" s="47"/>
      <c r="C204" s="47"/>
      <c r="D204" s="47"/>
      <c r="E204" s="47"/>
      <c r="F204" s="47"/>
      <c r="G204" s="47"/>
      <c r="H204" s="47"/>
      <c r="I204" s="47"/>
      <c r="J204" s="47"/>
      <c r="K204" s="306" t="e">
        <f>'PUNJAB 04-22Master'!#REF!</f>
        <v>#REF!</v>
      </c>
      <c r="L204" s="63"/>
    </row>
    <row r="205" spans="1:12" ht="27.95" customHeight="1">
      <c r="A205" s="62" t="s">
        <v>199</v>
      </c>
      <c r="B205" s="47"/>
      <c r="C205" s="47"/>
      <c r="D205" s="47"/>
      <c r="E205" s="47"/>
      <c r="F205" s="47"/>
      <c r="G205" s="47"/>
      <c r="H205" s="47"/>
      <c r="I205" s="47"/>
      <c r="J205" s="47"/>
      <c r="K205" s="47"/>
      <c r="L205" s="63"/>
    </row>
    <row r="206" spans="1:12" ht="27.95" customHeight="1">
      <c r="A206" s="62"/>
      <c r="B206" s="47"/>
      <c r="C206" s="47"/>
      <c r="D206" s="47"/>
      <c r="E206" s="47"/>
      <c r="F206" s="47"/>
      <c r="G206" s="47"/>
      <c r="H206" s="47"/>
      <c r="I206" s="47"/>
      <c r="J206" s="47"/>
      <c r="K206" s="47"/>
      <c r="L206" s="63"/>
    </row>
    <row r="207" spans="1:12" ht="27.95" customHeight="1">
      <c r="A207" s="62"/>
      <c r="B207" s="47"/>
      <c r="C207" s="47"/>
      <c r="D207" s="47"/>
      <c r="E207" s="47"/>
      <c r="F207" s="47"/>
      <c r="G207" s="47"/>
      <c r="H207" s="47"/>
      <c r="I207" s="47"/>
      <c r="J207" s="47"/>
      <c r="K207" s="47"/>
      <c r="L207" s="63"/>
    </row>
    <row r="208" spans="1:12" ht="27.95" customHeight="1">
      <c r="A208" s="62"/>
      <c r="B208" s="47"/>
      <c r="C208" s="47"/>
      <c r="D208" s="47"/>
      <c r="E208" s="47"/>
      <c r="F208" s="47" t="s">
        <v>200</v>
      </c>
      <c r="G208" s="47"/>
      <c r="H208" s="47"/>
      <c r="I208" s="47"/>
      <c r="J208" s="47"/>
      <c r="K208" s="47"/>
      <c r="L208" s="63"/>
    </row>
    <row r="209" spans="1:12" ht="27.95" customHeight="1">
      <c r="A209" s="62" t="s">
        <v>201</v>
      </c>
      <c r="B209" s="47" t="s">
        <v>364</v>
      </c>
      <c r="C209" s="47"/>
      <c r="D209" s="47"/>
      <c r="E209" s="47"/>
      <c r="F209" s="47" t="str">
        <f>'PUNJAB 04-22Master'!F5</f>
        <v>Burgeon IT Services Pvt.Ltd.</v>
      </c>
      <c r="G209" s="47"/>
      <c r="H209" s="47"/>
      <c r="I209" s="47"/>
      <c r="J209" s="47"/>
      <c r="K209" s="47"/>
      <c r="L209" s="63"/>
    </row>
    <row r="210" spans="1:12" ht="27.95" customHeight="1">
      <c r="A210" s="62" t="s">
        <v>202</v>
      </c>
      <c r="B210" s="389" t="e">
        <f>'PUNJAB 04-22Master'!#REF!</f>
        <v>#REF!</v>
      </c>
      <c r="C210" s="47"/>
      <c r="D210" s="47"/>
      <c r="E210" s="47"/>
      <c r="F210" s="250" t="str">
        <f>'PUNJAB 04-22Master'!F6</f>
        <v>Siri Mansion LIGB 436 Dr.A S Rao Nagar,Hyderabad</v>
      </c>
      <c r="G210" s="250"/>
      <c r="H210" s="250"/>
      <c r="I210" s="250"/>
      <c r="J210" s="250"/>
      <c r="K210" s="250"/>
      <c r="L210" s="63"/>
    </row>
    <row r="211" spans="1:12" ht="27.95" customHeight="1" thickBot="1">
      <c r="A211" s="76"/>
      <c r="B211" s="74"/>
      <c r="C211" s="74"/>
      <c r="D211" s="74"/>
      <c r="E211" s="74"/>
      <c r="F211" s="74"/>
      <c r="G211" s="74"/>
      <c r="H211" s="74"/>
      <c r="I211" s="74"/>
      <c r="J211" s="74"/>
      <c r="K211" s="74"/>
      <c r="L211" s="75"/>
    </row>
    <row r="212" spans="1:12" ht="27.95" customHeight="1" thickBot="1">
      <c r="A212" s="47"/>
      <c r="B212" s="251"/>
      <c r="C212" s="242"/>
      <c r="D212" s="242"/>
      <c r="E212" s="242"/>
      <c r="F212" s="242"/>
      <c r="G212" s="242"/>
      <c r="H212" s="227"/>
      <c r="I212" s="227"/>
      <c r="J212" s="228"/>
      <c r="K212" s="227"/>
      <c r="L212" s="227"/>
    </row>
    <row r="213" spans="1:12" ht="27.95" customHeight="1">
      <c r="A213" s="140"/>
      <c r="B213" s="742" t="s">
        <v>185</v>
      </c>
      <c r="C213" s="743"/>
      <c r="D213" s="743"/>
      <c r="E213" s="743"/>
      <c r="F213" s="743"/>
      <c r="G213" s="743"/>
      <c r="H213" s="743"/>
      <c r="I213" s="743"/>
      <c r="J213" s="743"/>
      <c r="K213" s="743"/>
      <c r="L213" s="744"/>
    </row>
    <row r="214" spans="1:12" ht="27.95" customHeight="1">
      <c r="A214" s="62"/>
      <c r="B214" s="745" t="s">
        <v>186</v>
      </c>
      <c r="C214" s="745"/>
      <c r="D214" s="745"/>
      <c r="E214" s="745"/>
      <c r="F214" s="745"/>
      <c r="G214" s="745"/>
      <c r="H214" s="745"/>
      <c r="I214" s="745"/>
      <c r="J214" s="745"/>
      <c r="K214" s="745"/>
      <c r="L214" s="746"/>
    </row>
    <row r="215" spans="1:12" ht="27.95" customHeight="1" thickBot="1">
      <c r="A215" s="76"/>
      <c r="B215" s="747" t="s">
        <v>187</v>
      </c>
      <c r="C215" s="747"/>
      <c r="D215" s="747"/>
      <c r="E215" s="747"/>
      <c r="F215" s="747"/>
      <c r="G215" s="747"/>
      <c r="H215" s="747"/>
      <c r="I215" s="747"/>
      <c r="J215" s="747"/>
      <c r="K215" s="747"/>
      <c r="L215" s="748"/>
    </row>
    <row r="216" spans="1:12" ht="27.95" customHeight="1">
      <c r="A216" s="62"/>
      <c r="B216" s="757" t="s">
        <v>117</v>
      </c>
      <c r="C216" s="757"/>
      <c r="D216" s="757"/>
      <c r="E216" s="757"/>
      <c r="F216" s="757"/>
      <c r="G216" s="47"/>
      <c r="H216" s="758" t="s">
        <v>118</v>
      </c>
      <c r="I216" s="758"/>
      <c r="J216" s="758"/>
      <c r="K216" s="758"/>
      <c r="L216" s="759"/>
    </row>
    <row r="217" spans="1:12" ht="27.95" customHeight="1" thickBot="1">
      <c r="A217" s="62"/>
      <c r="B217" s="757"/>
      <c r="C217" s="757"/>
      <c r="D217" s="757"/>
      <c r="E217" s="757"/>
      <c r="F217" s="757"/>
      <c r="G217" s="47"/>
      <c r="H217" s="758"/>
      <c r="I217" s="758"/>
      <c r="J217" s="758"/>
      <c r="K217" s="758"/>
      <c r="L217" s="759"/>
    </row>
    <row r="218" spans="1:12" ht="27.95" customHeight="1">
      <c r="A218" s="62"/>
      <c r="B218" s="140"/>
      <c r="C218" s="141"/>
      <c r="D218" s="141"/>
      <c r="E218" s="141"/>
      <c r="F218" s="142"/>
      <c r="G218" s="47"/>
      <c r="H218" s="140"/>
      <c r="I218" s="141"/>
      <c r="J218" s="141"/>
      <c r="K218" s="141"/>
      <c r="L218" s="142"/>
    </row>
    <row r="219" spans="1:12">
      <c r="A219" s="62"/>
      <c r="B219" s="146" t="str">
        <f>'PUNJAB 04-22Master'!F5</f>
        <v>Burgeon IT Services Pvt.Ltd.</v>
      </c>
      <c r="C219" s="144"/>
      <c r="D219" s="144"/>
      <c r="E219" s="144"/>
      <c r="F219" s="145"/>
      <c r="G219" s="47"/>
      <c r="H219" s="146" t="str">
        <f>'PUNJAB 04-22Master'!AO5</f>
        <v>Burgeon IT Services Pvt.Ltd.</v>
      </c>
      <c r="I219" s="144"/>
      <c r="J219" s="144"/>
      <c r="K219" s="144"/>
      <c r="L219" s="145"/>
    </row>
    <row r="220" spans="1:12">
      <c r="A220" s="62"/>
      <c r="B220" s="62"/>
      <c r="C220" s="144"/>
      <c r="D220" s="144"/>
      <c r="E220" s="144"/>
      <c r="F220" s="145"/>
      <c r="G220" s="47"/>
      <c r="H220" s="62"/>
      <c r="I220" s="144"/>
      <c r="J220" s="144"/>
      <c r="K220" s="144"/>
      <c r="L220" s="145"/>
    </row>
    <row r="221" spans="1:12">
      <c r="A221" s="62"/>
      <c r="B221" s="146" t="str">
        <f>'PUNJAB 04-22Master'!F6</f>
        <v>Siri Mansion LIGB 436 Dr.A S Rao Nagar,Hyderabad</v>
      </c>
      <c r="C221" s="144"/>
      <c r="D221" s="144"/>
      <c r="E221" s="144"/>
      <c r="F221" s="145"/>
      <c r="G221" s="47"/>
      <c r="H221" s="146" t="str">
        <f>'PUNJAB 04-22Master'!AO6</f>
        <v>Siri Mansion LIGB 436 Dr.A S Rao Nagar,Hyderabad</v>
      </c>
      <c r="I221" s="144"/>
      <c r="J221" s="144"/>
      <c r="K221" s="144"/>
      <c r="L221" s="145"/>
    </row>
    <row r="222" spans="1:12" ht="15.75" thickBot="1">
      <c r="A222" s="62"/>
      <c r="B222" s="147"/>
      <c r="C222" s="77"/>
      <c r="D222" s="77"/>
      <c r="E222" s="77"/>
      <c r="F222" s="148"/>
      <c r="G222" s="47"/>
      <c r="H222" s="147"/>
      <c r="I222" s="77"/>
      <c r="J222" s="77"/>
      <c r="K222" s="77"/>
      <c r="L222" s="148"/>
    </row>
    <row r="223" spans="1:12">
      <c r="A223" s="62"/>
      <c r="B223" s="47"/>
      <c r="C223" s="47"/>
      <c r="D223" s="47"/>
      <c r="E223" s="47"/>
      <c r="F223" s="47"/>
      <c r="G223" s="47"/>
      <c r="H223" s="47"/>
      <c r="I223" s="47"/>
      <c r="J223" s="47" t="s">
        <v>119</v>
      </c>
      <c r="K223" s="47"/>
      <c r="L223" s="63"/>
    </row>
    <row r="224" spans="1:12">
      <c r="A224" s="62"/>
      <c r="B224" s="760" t="s">
        <v>120</v>
      </c>
      <c r="C224" s="760"/>
      <c r="D224" s="760"/>
      <c r="E224" s="760"/>
      <c r="F224" s="760"/>
      <c r="G224" s="47"/>
      <c r="H224" s="760" t="s">
        <v>4</v>
      </c>
      <c r="I224" s="760"/>
      <c r="J224" s="760"/>
      <c r="K224" s="760"/>
      <c r="L224" s="761"/>
    </row>
    <row r="225" spans="1:12" ht="15.75" thickBot="1">
      <c r="A225" s="62"/>
      <c r="B225" s="47"/>
      <c r="C225" s="47"/>
      <c r="D225" s="47"/>
      <c r="E225" s="47"/>
      <c r="F225" s="47"/>
      <c r="G225" s="47"/>
      <c r="H225" s="47"/>
      <c r="I225" s="47"/>
      <c r="J225" s="47"/>
      <c r="K225" s="47"/>
      <c r="L225" s="63"/>
    </row>
    <row r="226" spans="1:12">
      <c r="A226" s="62"/>
      <c r="B226" s="140"/>
      <c r="C226" s="141"/>
      <c r="D226" s="141"/>
      <c r="E226" s="141"/>
      <c r="F226" s="142"/>
      <c r="G226" s="47"/>
      <c r="H226" s="149"/>
      <c r="I226" s="150"/>
      <c r="J226" s="150"/>
      <c r="K226" s="150"/>
      <c r="L226" s="151"/>
    </row>
    <row r="227" spans="1:12">
      <c r="A227" s="62"/>
      <c r="B227" s="143"/>
      <c r="C227" s="144"/>
      <c r="D227" s="144"/>
      <c r="E227" s="144"/>
      <c r="F227" s="145"/>
      <c r="G227" s="47"/>
      <c r="H227" s="146" t="str">
        <f>'PUNJAB 04-22Master'!AO10</f>
        <v xml:space="preserve">INFOSYS  LTD.IL </v>
      </c>
      <c r="I227" s="152"/>
      <c r="J227" s="152"/>
      <c r="K227" s="152"/>
      <c r="L227" s="153"/>
    </row>
    <row r="228" spans="1:12">
      <c r="A228" s="62"/>
      <c r="B228" s="146" t="str">
        <f>'PUNJAB 04-22Master'!F8</f>
        <v>IT SUPPORTIVE SERVICES&amp;Chandigarh</v>
      </c>
      <c r="C228" s="144"/>
      <c r="D228" s="144"/>
      <c r="E228" s="144"/>
      <c r="F228" s="145"/>
      <c r="G228" s="47"/>
      <c r="H228" s="146"/>
      <c r="I228" s="152"/>
      <c r="J228" s="152"/>
      <c r="K228" s="152"/>
      <c r="L228" s="153"/>
    </row>
    <row r="229" spans="1:12">
      <c r="A229" s="62"/>
      <c r="B229" s="143"/>
      <c r="C229" s="144"/>
      <c r="D229" s="144"/>
      <c r="E229" s="144"/>
      <c r="F229" s="145"/>
      <c r="G229" s="47"/>
      <c r="H229" s="146" t="str">
        <f>'PUNJAB 04-22Master'!AO11</f>
        <v>No.45&amp;46,3rd Cross,Electronic City,BANGALORE,KARNATAKA</v>
      </c>
      <c r="I229" s="152"/>
      <c r="J229" s="152"/>
      <c r="K229" s="152"/>
      <c r="L229" s="153"/>
    </row>
    <row r="230" spans="1:12" ht="15.75" thickBot="1">
      <c r="A230" s="62"/>
      <c r="B230" s="147"/>
      <c r="C230" s="77"/>
      <c r="D230" s="77"/>
      <c r="E230" s="77"/>
      <c r="F230" s="148"/>
      <c r="G230" s="47"/>
      <c r="H230" s="154"/>
      <c r="I230" s="155"/>
      <c r="J230" s="155"/>
      <c r="K230" s="155"/>
      <c r="L230" s="156"/>
    </row>
    <row r="231" spans="1:12">
      <c r="A231" s="157"/>
      <c r="B231" s="762" t="s">
        <v>188</v>
      </c>
      <c r="C231" s="762"/>
      <c r="D231" s="762"/>
      <c r="E231" s="762"/>
      <c r="F231" s="762"/>
      <c r="G231" s="762"/>
      <c r="H231" s="750" t="e">
        <f>'PUNJAB 04-22Master'!#REF!</f>
        <v>#REF!</v>
      </c>
      <c r="I231" s="751"/>
      <c r="J231" s="751"/>
      <c r="K231" s="751"/>
      <c r="L231" s="752"/>
    </row>
    <row r="232" spans="1:12">
      <c r="A232" s="157"/>
      <c r="B232" s="753" t="s">
        <v>189</v>
      </c>
      <c r="C232" s="753"/>
      <c r="D232" s="753"/>
      <c r="E232" s="753"/>
      <c r="F232" s="753"/>
      <c r="G232" s="753"/>
      <c r="H232" s="750" t="e">
        <f>'PUNJAB 04-22Master'!#REF!</f>
        <v>#REF!</v>
      </c>
      <c r="I232" s="751"/>
      <c r="J232" s="751"/>
      <c r="K232" s="751"/>
      <c r="L232" s="752"/>
    </row>
    <row r="233" spans="1:12">
      <c r="A233" s="157"/>
      <c r="B233" s="762" t="s">
        <v>190</v>
      </c>
      <c r="C233" s="762"/>
      <c r="D233" s="762"/>
      <c r="E233" s="762"/>
      <c r="F233" s="762"/>
      <c r="G233" s="762"/>
      <c r="H233" s="750" t="e">
        <f>'PUNJAB 04-22Master'!#REF!</f>
        <v>#REF!</v>
      </c>
      <c r="I233" s="751"/>
      <c r="J233" s="751"/>
      <c r="K233" s="751"/>
      <c r="L233" s="752"/>
    </row>
    <row r="234" spans="1:12">
      <c r="A234" s="157"/>
      <c r="B234" s="762" t="s">
        <v>191</v>
      </c>
      <c r="C234" s="762"/>
      <c r="D234" s="762"/>
      <c r="E234" s="762"/>
      <c r="F234" s="762"/>
      <c r="G234" s="762"/>
      <c r="H234" s="855" t="e">
        <f>'PUNJAB 04-22Master'!#REF!</f>
        <v>#REF!</v>
      </c>
      <c r="I234" s="751"/>
      <c r="J234" s="751"/>
      <c r="K234" s="751"/>
      <c r="L234" s="752"/>
    </row>
    <row r="235" spans="1:12">
      <c r="A235" s="157"/>
      <c r="B235" s="158" t="s">
        <v>192</v>
      </c>
      <c r="C235" s="283"/>
      <c r="D235" s="283"/>
      <c r="E235" s="283"/>
      <c r="F235" s="283"/>
      <c r="G235" s="283"/>
      <c r="H235" s="856" t="s">
        <v>193</v>
      </c>
      <c r="I235" s="857"/>
      <c r="J235" s="857"/>
      <c r="K235" s="857"/>
      <c r="L235" s="858"/>
    </row>
    <row r="236" spans="1:12">
      <c r="A236" s="157"/>
      <c r="B236" s="158" t="s">
        <v>194</v>
      </c>
      <c r="C236" s="283"/>
      <c r="D236" s="283"/>
      <c r="E236" s="283"/>
      <c r="F236" s="283"/>
      <c r="G236" s="283"/>
      <c r="H236" s="337"/>
      <c r="I236" s="338"/>
      <c r="J236" s="244"/>
      <c r="K236" s="338"/>
      <c r="L236" s="342"/>
    </row>
    <row r="237" spans="1:12">
      <c r="A237" s="157"/>
      <c r="B237" s="773" t="s">
        <v>195</v>
      </c>
      <c r="C237" s="773"/>
      <c r="D237" s="773"/>
      <c r="E237" s="773"/>
      <c r="F237" s="773"/>
      <c r="G237" s="773"/>
      <c r="H237" s="767" t="e">
        <f>'PUNJAB 04-22Master'!#REF!</f>
        <v>#REF!</v>
      </c>
      <c r="I237" s="768"/>
      <c r="J237" s="768"/>
      <c r="K237" s="768"/>
      <c r="L237" s="769"/>
    </row>
    <row r="238" spans="1:12">
      <c r="A238" s="157"/>
      <c r="B238" s="762"/>
      <c r="C238" s="762"/>
      <c r="D238" s="762"/>
      <c r="E238" s="762"/>
      <c r="F238" s="762"/>
      <c r="G238" s="762"/>
      <c r="H238" s="763" t="e">
        <f>'PUNJAB 04-22Master'!#REF!</f>
        <v>#REF!</v>
      </c>
      <c r="I238" s="751"/>
      <c r="J238" s="751"/>
      <c r="K238" s="751"/>
      <c r="L238" s="752"/>
    </row>
    <row r="239" spans="1:12">
      <c r="A239" s="62"/>
      <c r="B239" s="762"/>
      <c r="C239" s="762"/>
      <c r="D239" s="762"/>
      <c r="E239" s="762"/>
      <c r="F239" s="762"/>
      <c r="G239" s="762"/>
      <c r="H239" s="750" t="e">
        <f>'PUNJAB 04-22Master'!#REF!</f>
        <v>#REF!</v>
      </c>
      <c r="I239" s="751"/>
      <c r="J239" s="751"/>
      <c r="K239" s="751"/>
      <c r="L239" s="752"/>
    </row>
    <row r="240" spans="1:12">
      <c r="A240" s="62"/>
      <c r="B240" s="158" t="s">
        <v>196</v>
      </c>
      <c r="C240" s="283"/>
      <c r="D240" s="283"/>
      <c r="E240" s="283"/>
      <c r="F240" s="283"/>
      <c r="G240" s="284"/>
      <c r="H240" s="847" t="e">
        <f>'PUNJAB 04-22Master'!#REF!</f>
        <v>#REF!</v>
      </c>
      <c r="I240" s="848"/>
      <c r="J240" s="848"/>
      <c r="K240" s="848"/>
      <c r="L240" s="849"/>
    </row>
    <row r="241" spans="1:12">
      <c r="A241" s="62"/>
      <c r="B241" s="158"/>
      <c r="C241" s="283"/>
      <c r="D241" s="283"/>
      <c r="E241" s="283"/>
      <c r="F241" s="283"/>
      <c r="G241" s="284"/>
      <c r="H241" s="847" t="e">
        <f>'PUNJAB 04-22Master'!#REF!</f>
        <v>#REF!</v>
      </c>
      <c r="I241" s="848"/>
      <c r="J241" s="848"/>
      <c r="K241" s="848"/>
      <c r="L241" s="849"/>
    </row>
    <row r="242" spans="1:12">
      <c r="A242" s="62"/>
      <c r="B242" s="158"/>
      <c r="C242" s="283"/>
      <c r="D242" s="283"/>
      <c r="E242" s="283"/>
      <c r="F242" s="283"/>
      <c r="G242" s="284"/>
      <c r="H242" s="847" t="e">
        <f>'PUNJAB 04-22Master'!#REF!</f>
        <v>#REF!</v>
      </c>
      <c r="I242" s="848"/>
      <c r="J242" s="848"/>
      <c r="K242" s="848"/>
      <c r="L242" s="849"/>
    </row>
    <row r="243" spans="1:12">
      <c r="A243" s="62"/>
      <c r="B243" s="158" t="s">
        <v>203</v>
      </c>
      <c r="C243" s="283"/>
      <c r="D243" s="283"/>
      <c r="E243" s="283"/>
      <c r="F243" s="283"/>
      <c r="G243" s="284"/>
      <c r="H243" s="337"/>
      <c r="I243" s="338"/>
      <c r="J243" s="338"/>
      <c r="K243" s="338"/>
      <c r="L243" s="342"/>
    </row>
    <row r="244" spans="1:12">
      <c r="A244" s="62"/>
      <c r="B244" s="161" t="s">
        <v>204</v>
      </c>
      <c r="C244" s="221"/>
      <c r="D244" s="221"/>
      <c r="E244" s="221"/>
      <c r="F244" s="221"/>
      <c r="G244" s="222"/>
      <c r="H244" s="223"/>
      <c r="I244" s="224"/>
      <c r="J244" s="225"/>
      <c r="K244" s="224"/>
      <c r="L244" s="226"/>
    </row>
    <row r="245" spans="1:12" ht="45">
      <c r="A245" s="62"/>
      <c r="B245" s="158" t="s">
        <v>207</v>
      </c>
      <c r="C245" s="283"/>
      <c r="D245" s="338"/>
      <c r="E245" s="341" t="s">
        <v>209</v>
      </c>
      <c r="F245" s="119"/>
      <c r="G245" s="850" t="s">
        <v>208</v>
      </c>
      <c r="H245" s="851"/>
      <c r="I245" s="336" t="s">
        <v>205</v>
      </c>
      <c r="J245" s="239" t="s">
        <v>210</v>
      </c>
      <c r="K245" s="850" t="s">
        <v>206</v>
      </c>
      <c r="L245" s="852"/>
    </row>
    <row r="246" spans="1:12">
      <c r="A246" s="62"/>
      <c r="B246" s="240">
        <v>1</v>
      </c>
      <c r="C246" s="283"/>
      <c r="D246" s="283"/>
      <c r="E246" s="243">
        <v>2</v>
      </c>
      <c r="F246" s="284"/>
      <c r="G246" s="243">
        <v>3</v>
      </c>
      <c r="H246" s="339"/>
      <c r="I246" s="339">
        <v>4</v>
      </c>
      <c r="J246" s="328">
        <v>5</v>
      </c>
      <c r="K246" s="159"/>
      <c r="L246" s="160">
        <v>6</v>
      </c>
    </row>
    <row r="247" spans="1:12">
      <c r="A247" s="62"/>
      <c r="B247" s="391" t="e">
        <f>'PUNJAB 04-22Master'!#REF!</f>
        <v>#REF!</v>
      </c>
      <c r="C247" s="261"/>
      <c r="D247" s="262"/>
      <c r="E247" s="392" t="s">
        <v>365</v>
      </c>
      <c r="F247" s="262"/>
      <c r="G247" s="392" t="s">
        <v>366</v>
      </c>
      <c r="H247" s="119"/>
      <c r="I247" s="30" t="s">
        <v>367</v>
      </c>
      <c r="J247" s="390">
        <v>1</v>
      </c>
      <c r="K247" s="853" t="s">
        <v>37</v>
      </c>
      <c r="L247" s="854"/>
    </row>
    <row r="248" spans="1:12">
      <c r="A248" s="62"/>
      <c r="B248" s="158"/>
      <c r="C248" s="261"/>
      <c r="D248" s="262"/>
      <c r="E248" s="263"/>
      <c r="F248" s="262"/>
      <c r="G248" s="263"/>
      <c r="H248" s="119"/>
      <c r="I248" s="30"/>
      <c r="J248" s="30"/>
      <c r="K248" s="264"/>
      <c r="L248" s="119"/>
    </row>
    <row r="249" spans="1:12">
      <c r="A249" s="62"/>
      <c r="B249" s="158"/>
      <c r="C249" s="261"/>
      <c r="D249" s="262"/>
      <c r="E249" s="263"/>
      <c r="F249" s="262"/>
      <c r="G249" s="263"/>
      <c r="H249" s="119"/>
      <c r="I249" s="30"/>
      <c r="J249" s="30"/>
      <c r="K249" s="264"/>
      <c r="L249" s="119"/>
    </row>
    <row r="250" spans="1:12">
      <c r="A250" s="62"/>
      <c r="B250" s="127"/>
      <c r="C250" s="68"/>
      <c r="D250" s="128"/>
      <c r="E250" s="263"/>
      <c r="F250" s="262"/>
      <c r="G250" s="263"/>
      <c r="H250" s="119"/>
      <c r="I250" s="30"/>
      <c r="J250" s="30"/>
      <c r="K250" s="264"/>
      <c r="L250" s="119"/>
    </row>
    <row r="251" spans="1:12">
      <c r="A251" s="62"/>
      <c r="B251" s="47" t="s">
        <v>211</v>
      </c>
      <c r="C251" s="47"/>
      <c r="D251" s="47"/>
      <c r="E251" s="47"/>
      <c r="F251" s="47"/>
      <c r="G251" s="47"/>
      <c r="H251" s="47"/>
      <c r="I251" s="47"/>
      <c r="J251" s="47"/>
      <c r="K251" s="47"/>
      <c r="L251" s="63"/>
    </row>
    <row r="252" spans="1:12">
      <c r="A252" s="62"/>
      <c r="B252" s="47" t="s">
        <v>212</v>
      </c>
      <c r="C252" s="47"/>
      <c r="D252" s="47"/>
      <c r="E252" s="47"/>
      <c r="F252" s="47"/>
      <c r="G252" s="47"/>
      <c r="H252" s="47"/>
      <c r="I252" s="47"/>
      <c r="J252" s="47"/>
      <c r="K252" s="47"/>
      <c r="L252" s="63"/>
    </row>
    <row r="253" spans="1:12">
      <c r="A253" s="62"/>
      <c r="B253" s="47" t="s">
        <v>213</v>
      </c>
      <c r="C253" s="47"/>
      <c r="D253" s="47"/>
      <c r="E253" s="47"/>
      <c r="F253" s="47"/>
      <c r="G253" s="47"/>
      <c r="H253" s="47"/>
      <c r="I253" s="47"/>
      <c r="J253" s="47"/>
      <c r="K253" s="47"/>
      <c r="L253" s="63"/>
    </row>
    <row r="254" spans="1:12" ht="27.95" customHeight="1">
      <c r="A254" s="62"/>
      <c r="B254" s="47"/>
      <c r="C254" s="47"/>
      <c r="D254" s="47"/>
      <c r="E254" s="47"/>
      <c r="F254" s="47"/>
      <c r="G254" s="47"/>
      <c r="H254" s="47"/>
      <c r="I254" s="47"/>
      <c r="J254" s="47"/>
      <c r="K254" s="47"/>
      <c r="L254" s="63"/>
    </row>
    <row r="255" spans="1:12" ht="27.95" customHeight="1">
      <c r="A255" s="62"/>
      <c r="B255" s="47"/>
      <c r="C255" s="47"/>
      <c r="D255" s="47"/>
      <c r="E255" s="47"/>
      <c r="F255" s="47"/>
      <c r="G255" s="47"/>
      <c r="H255" s="47"/>
      <c r="I255" s="47" t="s">
        <v>214</v>
      </c>
      <c r="J255" s="47"/>
      <c r="K255" s="47"/>
      <c r="L255" s="63"/>
    </row>
    <row r="256" spans="1:12" ht="27.95" customHeight="1">
      <c r="A256" s="62"/>
      <c r="B256" s="47"/>
      <c r="C256" s="47"/>
      <c r="D256" s="47"/>
      <c r="E256" s="47"/>
      <c r="F256" s="248" t="s">
        <v>197</v>
      </c>
      <c r="G256" s="47"/>
      <c r="H256" s="47"/>
      <c r="I256" s="47"/>
      <c r="J256" s="47"/>
      <c r="K256" s="47"/>
      <c r="L256" s="63"/>
    </row>
    <row r="257" spans="1:12" ht="27.95" customHeight="1">
      <c r="A257" s="62" t="s">
        <v>198</v>
      </c>
      <c r="B257" s="47"/>
      <c r="C257" s="47"/>
      <c r="D257" s="47"/>
      <c r="E257" s="47"/>
      <c r="F257" s="47"/>
      <c r="G257" s="47"/>
      <c r="H257" s="47"/>
      <c r="I257" s="47"/>
      <c r="J257" s="47"/>
      <c r="K257" s="306" t="e">
        <f>'PUNJAB 04-22Master'!#REF!</f>
        <v>#REF!</v>
      </c>
      <c r="L257" s="63"/>
    </row>
    <row r="258" spans="1:12" ht="27.95" customHeight="1">
      <c r="A258" s="62" t="s">
        <v>199</v>
      </c>
      <c r="B258" s="47"/>
      <c r="C258" s="47"/>
      <c r="D258" s="47"/>
      <c r="E258" s="47"/>
      <c r="F258" s="47"/>
      <c r="G258" s="47"/>
      <c r="H258" s="47"/>
      <c r="I258" s="47"/>
      <c r="J258" s="47"/>
      <c r="K258" s="47"/>
      <c r="L258" s="63"/>
    </row>
    <row r="259" spans="1:12" ht="27.95" customHeight="1">
      <c r="A259" s="62"/>
      <c r="B259" s="47"/>
      <c r="C259" s="47"/>
      <c r="D259" s="47"/>
      <c r="E259" s="47"/>
      <c r="F259" s="47"/>
      <c r="G259" s="47"/>
      <c r="H259" s="47"/>
      <c r="I259" s="47"/>
      <c r="J259" s="47"/>
      <c r="K259" s="47"/>
      <c r="L259" s="63"/>
    </row>
    <row r="260" spans="1:12" ht="27.95" customHeight="1">
      <c r="A260" s="62"/>
      <c r="B260" s="47"/>
      <c r="C260" s="47"/>
      <c r="D260" s="47"/>
      <c r="E260" s="47"/>
      <c r="F260" s="47"/>
      <c r="G260" s="47"/>
      <c r="H260" s="47"/>
      <c r="I260" s="47"/>
      <c r="J260" s="47"/>
      <c r="K260" s="47"/>
      <c r="L260" s="63"/>
    </row>
    <row r="261" spans="1:12" ht="27.95" customHeight="1">
      <c r="A261" s="62"/>
      <c r="B261" s="47"/>
      <c r="C261" s="47"/>
      <c r="D261" s="47"/>
      <c r="E261" s="47"/>
      <c r="F261" s="47" t="s">
        <v>200</v>
      </c>
      <c r="G261" s="47"/>
      <c r="H261" s="47"/>
      <c r="I261" s="47"/>
      <c r="J261" s="47"/>
      <c r="K261" s="47"/>
      <c r="L261" s="63"/>
    </row>
    <row r="262" spans="1:12" ht="27.95" customHeight="1">
      <c r="A262" s="62" t="s">
        <v>201</v>
      </c>
      <c r="B262" s="47" t="s">
        <v>364</v>
      </c>
      <c r="C262" s="47"/>
      <c r="D262" s="47"/>
      <c r="E262" s="47"/>
      <c r="F262" s="47" t="str">
        <f>'PUNJAB 04-22Master'!F5</f>
        <v>Burgeon IT Services Pvt.Ltd.</v>
      </c>
      <c r="G262" s="47"/>
      <c r="H262" s="47"/>
      <c r="I262" s="47"/>
      <c r="J262" s="47"/>
      <c r="K262" s="47"/>
      <c r="L262" s="63"/>
    </row>
    <row r="263" spans="1:12" ht="27.95" customHeight="1">
      <c r="A263" s="62" t="s">
        <v>202</v>
      </c>
      <c r="B263" s="389" t="e">
        <f>'PUNJAB 04-22Master'!#REF!</f>
        <v>#REF!</v>
      </c>
      <c r="C263" s="47"/>
      <c r="D263" s="47"/>
      <c r="E263" s="47"/>
      <c r="F263" s="250" t="str">
        <f>'PUNJAB 04-22Master'!F6</f>
        <v>Siri Mansion LIGB 436 Dr.A S Rao Nagar,Hyderabad</v>
      </c>
      <c r="G263" s="250"/>
      <c r="H263" s="250"/>
      <c r="I263" s="250"/>
      <c r="J263" s="250"/>
      <c r="K263" s="250"/>
      <c r="L263" s="63"/>
    </row>
    <row r="264" spans="1:12" ht="27.95" customHeight="1" thickBot="1">
      <c r="A264" s="76"/>
      <c r="B264" s="74"/>
      <c r="C264" s="74"/>
      <c r="D264" s="74"/>
      <c r="E264" s="74"/>
      <c r="F264" s="74"/>
      <c r="G264" s="74"/>
      <c r="H264" s="74"/>
      <c r="I264" s="74"/>
      <c r="J264" s="74"/>
      <c r="K264" s="74"/>
      <c r="L264" s="75"/>
    </row>
    <row r="265" spans="1:12" ht="27.95" customHeight="1" thickBot="1">
      <c r="A265" s="47"/>
      <c r="B265" s="251"/>
      <c r="C265" s="242"/>
      <c r="D265" s="242"/>
      <c r="E265" s="242"/>
      <c r="F265" s="242"/>
      <c r="G265" s="242"/>
      <c r="H265" s="227"/>
      <c r="I265" s="227"/>
      <c r="J265" s="228"/>
      <c r="K265" s="227"/>
      <c r="L265" s="227"/>
    </row>
    <row r="266" spans="1:12" ht="27.95" customHeight="1">
      <c r="A266" s="140"/>
      <c r="B266" s="742" t="s">
        <v>185</v>
      </c>
      <c r="C266" s="743"/>
      <c r="D266" s="743"/>
      <c r="E266" s="743"/>
      <c r="F266" s="743"/>
      <c r="G266" s="743"/>
      <c r="H266" s="743"/>
      <c r="I266" s="743"/>
      <c r="J266" s="743"/>
      <c r="K266" s="743"/>
      <c r="L266" s="744"/>
    </row>
    <row r="267" spans="1:12" ht="27.95" customHeight="1">
      <c r="A267" s="62"/>
      <c r="B267" s="745" t="s">
        <v>186</v>
      </c>
      <c r="C267" s="745"/>
      <c r="D267" s="745"/>
      <c r="E267" s="745"/>
      <c r="F267" s="745"/>
      <c r="G267" s="745"/>
      <c r="H267" s="745"/>
      <c r="I267" s="745"/>
      <c r="J267" s="745"/>
      <c r="K267" s="745"/>
      <c r="L267" s="746"/>
    </row>
    <row r="268" spans="1:12" ht="27.95" customHeight="1" thickBot="1">
      <c r="A268" s="76"/>
      <c r="B268" s="747" t="s">
        <v>187</v>
      </c>
      <c r="C268" s="747"/>
      <c r="D268" s="747"/>
      <c r="E268" s="747"/>
      <c r="F268" s="747"/>
      <c r="G268" s="747"/>
      <c r="H268" s="747"/>
      <c r="I268" s="747"/>
      <c r="J268" s="747"/>
      <c r="K268" s="747"/>
      <c r="L268" s="748"/>
    </row>
    <row r="269" spans="1:12" ht="27.95" customHeight="1">
      <c r="A269" s="62"/>
      <c r="B269" s="757" t="s">
        <v>117</v>
      </c>
      <c r="C269" s="757"/>
      <c r="D269" s="757"/>
      <c r="E269" s="757"/>
      <c r="F269" s="757"/>
      <c r="G269" s="47"/>
      <c r="H269" s="758" t="s">
        <v>118</v>
      </c>
      <c r="I269" s="758"/>
      <c r="J269" s="758"/>
      <c r="K269" s="758"/>
      <c r="L269" s="759"/>
    </row>
    <row r="270" spans="1:12" ht="27.95" customHeight="1" thickBot="1">
      <c r="A270" s="62"/>
      <c r="B270" s="757"/>
      <c r="C270" s="757"/>
      <c r="D270" s="757"/>
      <c r="E270" s="757"/>
      <c r="F270" s="757"/>
      <c r="G270" s="47"/>
      <c r="H270" s="758"/>
      <c r="I270" s="758"/>
      <c r="J270" s="758"/>
      <c r="K270" s="758"/>
      <c r="L270" s="759"/>
    </row>
    <row r="271" spans="1:12" ht="27.95" customHeight="1">
      <c r="A271" s="62"/>
      <c r="B271" s="140"/>
      <c r="C271" s="141"/>
      <c r="D271" s="141"/>
      <c r="E271" s="141"/>
      <c r="F271" s="142"/>
      <c r="G271" s="47"/>
      <c r="H271" s="140"/>
      <c r="I271" s="141"/>
      <c r="J271" s="141"/>
      <c r="K271" s="141"/>
      <c r="L271" s="142"/>
    </row>
    <row r="272" spans="1:12">
      <c r="A272" s="62"/>
      <c r="B272" s="146" t="str">
        <f>'PUNJAB 04-22Master'!F5</f>
        <v>Burgeon IT Services Pvt.Ltd.</v>
      </c>
      <c r="C272" s="144"/>
      <c r="D272" s="144"/>
      <c r="E272" s="144"/>
      <c r="F272" s="145"/>
      <c r="G272" s="47"/>
      <c r="H272" s="146" t="str">
        <f>'PUNJAB 04-22Master'!AO5</f>
        <v>Burgeon IT Services Pvt.Ltd.</v>
      </c>
      <c r="I272" s="144"/>
      <c r="J272" s="144"/>
      <c r="K272" s="144"/>
      <c r="L272" s="145"/>
    </row>
    <row r="273" spans="1:12">
      <c r="A273" s="62"/>
      <c r="B273" s="62"/>
      <c r="C273" s="144"/>
      <c r="D273" s="144"/>
      <c r="E273" s="144"/>
      <c r="F273" s="145"/>
      <c r="G273" s="47"/>
      <c r="H273" s="62"/>
      <c r="I273" s="144"/>
      <c r="J273" s="144"/>
      <c r="K273" s="144"/>
      <c r="L273" s="145"/>
    </row>
    <row r="274" spans="1:12">
      <c r="A274" s="62"/>
      <c r="B274" s="146" t="str">
        <f>'PUNJAB 04-22Master'!F6</f>
        <v>Siri Mansion LIGB 436 Dr.A S Rao Nagar,Hyderabad</v>
      </c>
      <c r="C274" s="144"/>
      <c r="D274" s="144"/>
      <c r="E274" s="144"/>
      <c r="F274" s="145"/>
      <c r="G274" s="47"/>
      <c r="H274" s="146" t="str">
        <f>'PUNJAB 04-22Master'!AO6</f>
        <v>Siri Mansion LIGB 436 Dr.A S Rao Nagar,Hyderabad</v>
      </c>
      <c r="I274" s="144"/>
      <c r="J274" s="144"/>
      <c r="K274" s="144"/>
      <c r="L274" s="145"/>
    </row>
    <row r="275" spans="1:12" ht="15.75" thickBot="1">
      <c r="A275" s="62"/>
      <c r="B275" s="147"/>
      <c r="C275" s="77"/>
      <c r="D275" s="77"/>
      <c r="E275" s="77"/>
      <c r="F275" s="148"/>
      <c r="G275" s="47"/>
      <c r="H275" s="147"/>
      <c r="I275" s="77"/>
      <c r="J275" s="77"/>
      <c r="K275" s="77"/>
      <c r="L275" s="148"/>
    </row>
    <row r="276" spans="1:12">
      <c r="A276" s="62"/>
      <c r="B276" s="47"/>
      <c r="C276" s="47"/>
      <c r="D276" s="47"/>
      <c r="E276" s="47"/>
      <c r="F276" s="47"/>
      <c r="G276" s="47"/>
      <c r="H276" s="47"/>
      <c r="I276" s="47"/>
      <c r="J276" s="47" t="s">
        <v>119</v>
      </c>
      <c r="K276" s="47"/>
      <c r="L276" s="63"/>
    </row>
    <row r="277" spans="1:12">
      <c r="A277" s="62"/>
      <c r="B277" s="760" t="s">
        <v>120</v>
      </c>
      <c r="C277" s="760"/>
      <c r="D277" s="760"/>
      <c r="E277" s="760"/>
      <c r="F277" s="760"/>
      <c r="G277" s="47"/>
      <c r="H277" s="760" t="s">
        <v>4</v>
      </c>
      <c r="I277" s="760"/>
      <c r="J277" s="760"/>
      <c r="K277" s="760"/>
      <c r="L277" s="761"/>
    </row>
    <row r="278" spans="1:12" ht="15.75" thickBot="1">
      <c r="A278" s="62"/>
      <c r="B278" s="47"/>
      <c r="C278" s="47"/>
      <c r="D278" s="47"/>
      <c r="E278" s="47"/>
      <c r="F278" s="47"/>
      <c r="G278" s="47"/>
      <c r="H278" s="47"/>
      <c r="I278" s="47"/>
      <c r="J278" s="47"/>
      <c r="K278" s="47"/>
      <c r="L278" s="63"/>
    </row>
    <row r="279" spans="1:12">
      <c r="A279" s="62"/>
      <c r="B279" s="140"/>
      <c r="C279" s="141"/>
      <c r="D279" s="141"/>
      <c r="E279" s="141"/>
      <c r="F279" s="142"/>
      <c r="G279" s="47"/>
      <c r="H279" s="149"/>
      <c r="I279" s="150"/>
      <c r="J279" s="150"/>
      <c r="K279" s="150"/>
      <c r="L279" s="151"/>
    </row>
    <row r="280" spans="1:12">
      <c r="A280" s="62"/>
      <c r="B280" s="143"/>
      <c r="C280" s="144"/>
      <c r="D280" s="144"/>
      <c r="E280" s="144"/>
      <c r="F280" s="145"/>
      <c r="G280" s="47"/>
      <c r="H280" s="146" t="str">
        <f>'PUNJAB 04-22Master'!AO10</f>
        <v xml:space="preserve">INFOSYS  LTD.IL </v>
      </c>
      <c r="I280" s="152"/>
      <c r="J280" s="152"/>
      <c r="K280" s="152"/>
      <c r="L280" s="153"/>
    </row>
    <row r="281" spans="1:12">
      <c r="A281" s="62"/>
      <c r="B281" s="146" t="str">
        <f>'PUNJAB 04-22Master'!F8</f>
        <v>IT SUPPORTIVE SERVICES&amp;Chandigarh</v>
      </c>
      <c r="C281" s="144"/>
      <c r="D281" s="144"/>
      <c r="E281" s="144"/>
      <c r="F281" s="145"/>
      <c r="G281" s="47"/>
      <c r="H281" s="146"/>
      <c r="I281" s="152"/>
      <c r="J281" s="152"/>
      <c r="K281" s="152"/>
      <c r="L281" s="153"/>
    </row>
    <row r="282" spans="1:12">
      <c r="A282" s="62"/>
      <c r="B282" s="143"/>
      <c r="C282" s="144"/>
      <c r="D282" s="144"/>
      <c r="E282" s="144"/>
      <c r="F282" s="145"/>
      <c r="G282" s="47"/>
      <c r="H282" s="146" t="str">
        <f>'PUNJAB 04-22Master'!AO11</f>
        <v>No.45&amp;46,3rd Cross,Electronic City,BANGALORE,KARNATAKA</v>
      </c>
      <c r="I282" s="152"/>
      <c r="J282" s="152"/>
      <c r="K282" s="152"/>
      <c r="L282" s="153"/>
    </row>
    <row r="283" spans="1:12" ht="15.75" thickBot="1">
      <c r="A283" s="62"/>
      <c r="B283" s="147"/>
      <c r="C283" s="77"/>
      <c r="D283" s="77"/>
      <c r="E283" s="77"/>
      <c r="F283" s="148"/>
      <c r="G283" s="47"/>
      <c r="H283" s="154"/>
      <c r="I283" s="155"/>
      <c r="J283" s="155"/>
      <c r="K283" s="155"/>
      <c r="L283" s="156"/>
    </row>
    <row r="284" spans="1:12">
      <c r="A284" s="157"/>
      <c r="B284" s="762" t="s">
        <v>188</v>
      </c>
      <c r="C284" s="762"/>
      <c r="D284" s="762"/>
      <c r="E284" s="762"/>
      <c r="F284" s="762"/>
      <c r="G284" s="762"/>
      <c r="H284" s="750" t="e">
        <f>'PUNJAB 04-22Master'!#REF!</f>
        <v>#REF!</v>
      </c>
      <c r="I284" s="751"/>
      <c r="J284" s="751"/>
      <c r="K284" s="751"/>
      <c r="L284" s="752"/>
    </row>
    <row r="285" spans="1:12">
      <c r="A285" s="157"/>
      <c r="B285" s="753" t="s">
        <v>189</v>
      </c>
      <c r="C285" s="753"/>
      <c r="D285" s="753"/>
      <c r="E285" s="753"/>
      <c r="F285" s="753"/>
      <c r="G285" s="753"/>
      <c r="H285" s="750" t="e">
        <f>'PUNJAB 04-22Master'!#REF!</f>
        <v>#REF!</v>
      </c>
      <c r="I285" s="751"/>
      <c r="J285" s="751"/>
      <c r="K285" s="751"/>
      <c r="L285" s="752"/>
    </row>
    <row r="286" spans="1:12">
      <c r="A286" s="157"/>
      <c r="B286" s="762" t="s">
        <v>190</v>
      </c>
      <c r="C286" s="762"/>
      <c r="D286" s="762"/>
      <c r="E286" s="762"/>
      <c r="F286" s="762"/>
      <c r="G286" s="762"/>
      <c r="H286" s="750" t="e">
        <f>'PUNJAB 04-22Master'!#REF!</f>
        <v>#REF!</v>
      </c>
      <c r="I286" s="751"/>
      <c r="J286" s="751"/>
      <c r="K286" s="751"/>
      <c r="L286" s="752"/>
    </row>
    <row r="287" spans="1:12">
      <c r="A287" s="157"/>
      <c r="B287" s="762" t="s">
        <v>191</v>
      </c>
      <c r="C287" s="762"/>
      <c r="D287" s="762"/>
      <c r="E287" s="762"/>
      <c r="F287" s="762"/>
      <c r="G287" s="762"/>
      <c r="H287" s="855" t="e">
        <f>'PUNJAB 04-22Master'!#REF!</f>
        <v>#REF!</v>
      </c>
      <c r="I287" s="751"/>
      <c r="J287" s="751"/>
      <c r="K287" s="751"/>
      <c r="L287" s="752"/>
    </row>
    <row r="288" spans="1:12">
      <c r="A288" s="157"/>
      <c r="B288" s="158" t="s">
        <v>192</v>
      </c>
      <c r="C288" s="283"/>
      <c r="D288" s="283"/>
      <c r="E288" s="283"/>
      <c r="F288" s="283"/>
      <c r="G288" s="283"/>
      <c r="H288" s="856" t="s">
        <v>193</v>
      </c>
      <c r="I288" s="857"/>
      <c r="J288" s="857"/>
      <c r="K288" s="857"/>
      <c r="L288" s="858"/>
    </row>
    <row r="289" spans="1:12">
      <c r="A289" s="157"/>
      <c r="B289" s="158" t="s">
        <v>194</v>
      </c>
      <c r="C289" s="283"/>
      <c r="D289" s="283"/>
      <c r="E289" s="283"/>
      <c r="F289" s="283"/>
      <c r="G289" s="283"/>
      <c r="H289" s="337"/>
      <c r="I289" s="338"/>
      <c r="J289" s="244"/>
      <c r="K289" s="338"/>
      <c r="L289" s="342"/>
    </row>
    <row r="290" spans="1:12">
      <c r="A290" s="157"/>
      <c r="B290" s="773" t="s">
        <v>195</v>
      </c>
      <c r="C290" s="773"/>
      <c r="D290" s="773"/>
      <c r="E290" s="773"/>
      <c r="F290" s="773"/>
      <c r="G290" s="773"/>
      <c r="H290" s="767" t="e">
        <f>'PUNJAB 04-22Master'!#REF!</f>
        <v>#REF!</v>
      </c>
      <c r="I290" s="768"/>
      <c r="J290" s="768"/>
      <c r="K290" s="768"/>
      <c r="L290" s="769"/>
    </row>
    <row r="291" spans="1:12">
      <c r="A291" s="157"/>
      <c r="B291" s="762"/>
      <c r="C291" s="762"/>
      <c r="D291" s="762"/>
      <c r="E291" s="762"/>
      <c r="F291" s="762"/>
      <c r="G291" s="762"/>
      <c r="H291" s="763" t="e">
        <f>'PUNJAB 04-22Master'!#REF!</f>
        <v>#REF!</v>
      </c>
      <c r="I291" s="751"/>
      <c r="J291" s="751"/>
      <c r="K291" s="751"/>
      <c r="L291" s="752"/>
    </row>
    <row r="292" spans="1:12">
      <c r="A292" s="62"/>
      <c r="B292" s="762"/>
      <c r="C292" s="762"/>
      <c r="D292" s="762"/>
      <c r="E292" s="762"/>
      <c r="F292" s="762"/>
      <c r="G292" s="762"/>
      <c r="H292" s="750" t="e">
        <f>'PUNJAB 04-22Master'!#REF!</f>
        <v>#REF!</v>
      </c>
      <c r="I292" s="751"/>
      <c r="J292" s="751"/>
      <c r="K292" s="751"/>
      <c r="L292" s="752"/>
    </row>
    <row r="293" spans="1:12">
      <c r="A293" s="62"/>
      <c r="B293" s="158" t="s">
        <v>196</v>
      </c>
      <c r="C293" s="283"/>
      <c r="D293" s="283"/>
      <c r="E293" s="283"/>
      <c r="F293" s="283"/>
      <c r="G293" s="284"/>
      <c r="H293" s="847" t="e">
        <f>'PUNJAB 04-22Master'!#REF!</f>
        <v>#REF!</v>
      </c>
      <c r="I293" s="848"/>
      <c r="J293" s="848"/>
      <c r="K293" s="848"/>
      <c r="L293" s="849"/>
    </row>
    <row r="294" spans="1:12">
      <c r="A294" s="62"/>
      <c r="B294" s="158"/>
      <c r="C294" s="283"/>
      <c r="D294" s="283"/>
      <c r="E294" s="283"/>
      <c r="F294" s="283"/>
      <c r="G294" s="284"/>
      <c r="H294" s="847" t="e">
        <f>'PUNJAB 04-22Master'!#REF!</f>
        <v>#REF!</v>
      </c>
      <c r="I294" s="848"/>
      <c r="J294" s="848"/>
      <c r="K294" s="848"/>
      <c r="L294" s="849"/>
    </row>
    <row r="295" spans="1:12">
      <c r="A295" s="62"/>
      <c r="B295" s="158"/>
      <c r="C295" s="283"/>
      <c r="D295" s="283"/>
      <c r="E295" s="283"/>
      <c r="F295" s="283"/>
      <c r="G295" s="284"/>
      <c r="H295" s="847" t="e">
        <f>'PUNJAB 04-22Master'!#REF!</f>
        <v>#REF!</v>
      </c>
      <c r="I295" s="848"/>
      <c r="J295" s="848"/>
      <c r="K295" s="848"/>
      <c r="L295" s="849"/>
    </row>
    <row r="296" spans="1:12">
      <c r="A296" s="62"/>
      <c r="B296" s="158" t="s">
        <v>203</v>
      </c>
      <c r="C296" s="283"/>
      <c r="D296" s="283"/>
      <c r="E296" s="283"/>
      <c r="F296" s="283"/>
      <c r="G296" s="284"/>
      <c r="H296" s="337"/>
      <c r="I296" s="338"/>
      <c r="J296" s="338"/>
      <c r="K296" s="338"/>
      <c r="L296" s="342"/>
    </row>
    <row r="297" spans="1:12">
      <c r="A297" s="62"/>
      <c r="B297" s="161" t="s">
        <v>204</v>
      </c>
      <c r="C297" s="221"/>
      <c r="D297" s="221"/>
      <c r="E297" s="221"/>
      <c r="F297" s="221"/>
      <c r="G297" s="222"/>
      <c r="H297" s="223"/>
      <c r="I297" s="224"/>
      <c r="J297" s="225"/>
      <c r="K297" s="224"/>
      <c r="L297" s="226"/>
    </row>
    <row r="298" spans="1:12" ht="45">
      <c r="A298" s="62"/>
      <c r="B298" s="158" t="s">
        <v>207</v>
      </c>
      <c r="C298" s="283"/>
      <c r="D298" s="338"/>
      <c r="E298" s="341" t="s">
        <v>209</v>
      </c>
      <c r="F298" s="119"/>
      <c r="G298" s="850" t="s">
        <v>208</v>
      </c>
      <c r="H298" s="851"/>
      <c r="I298" s="336" t="s">
        <v>205</v>
      </c>
      <c r="J298" s="239" t="s">
        <v>210</v>
      </c>
      <c r="K298" s="850" t="s">
        <v>206</v>
      </c>
      <c r="L298" s="852"/>
    </row>
    <row r="299" spans="1:12">
      <c r="A299" s="62"/>
      <c r="B299" s="240">
        <v>1</v>
      </c>
      <c r="C299" s="283"/>
      <c r="D299" s="283"/>
      <c r="E299" s="243">
        <v>2</v>
      </c>
      <c r="F299" s="284"/>
      <c r="G299" s="243">
        <v>3</v>
      </c>
      <c r="H299" s="339"/>
      <c r="I299" s="339">
        <v>4</v>
      </c>
      <c r="J299" s="328">
        <v>5</v>
      </c>
      <c r="K299" s="159"/>
      <c r="L299" s="160">
        <v>6</v>
      </c>
    </row>
    <row r="300" spans="1:12">
      <c r="A300" s="62"/>
      <c r="B300" s="391" t="e">
        <f>'PUNJAB 04-22Master'!#REF!</f>
        <v>#REF!</v>
      </c>
      <c r="C300" s="261"/>
      <c r="D300" s="262"/>
      <c r="E300" s="392" t="s">
        <v>365</v>
      </c>
      <c r="F300" s="262"/>
      <c r="G300" s="392" t="s">
        <v>366</v>
      </c>
      <c r="H300" s="119"/>
      <c r="I300" s="30" t="s">
        <v>367</v>
      </c>
      <c r="J300" s="390">
        <v>1</v>
      </c>
      <c r="K300" s="853" t="s">
        <v>37</v>
      </c>
      <c r="L300" s="854"/>
    </row>
    <row r="301" spans="1:12">
      <c r="A301" s="62"/>
      <c r="B301" s="158"/>
      <c r="C301" s="261"/>
      <c r="D301" s="262"/>
      <c r="E301" s="263"/>
      <c r="F301" s="262"/>
      <c r="G301" s="263"/>
      <c r="H301" s="119"/>
      <c r="I301" s="30"/>
      <c r="J301" s="30"/>
      <c r="K301" s="264"/>
      <c r="L301" s="119"/>
    </row>
    <row r="302" spans="1:12">
      <c r="A302" s="62"/>
      <c r="B302" s="158"/>
      <c r="C302" s="261"/>
      <c r="D302" s="262"/>
      <c r="E302" s="263"/>
      <c r="F302" s="262"/>
      <c r="G302" s="263"/>
      <c r="H302" s="119"/>
      <c r="I302" s="30"/>
      <c r="J302" s="30"/>
      <c r="K302" s="264"/>
      <c r="L302" s="119"/>
    </row>
    <row r="303" spans="1:12">
      <c r="A303" s="62"/>
      <c r="B303" s="127"/>
      <c r="C303" s="68"/>
      <c r="D303" s="128"/>
      <c r="E303" s="263"/>
      <c r="F303" s="262"/>
      <c r="G303" s="263"/>
      <c r="H303" s="119"/>
      <c r="I303" s="30"/>
      <c r="J303" s="30"/>
      <c r="K303" s="264"/>
      <c r="L303" s="119"/>
    </row>
    <row r="304" spans="1:12">
      <c r="A304" s="62"/>
      <c r="B304" s="47" t="s">
        <v>211</v>
      </c>
      <c r="C304" s="47"/>
      <c r="D304" s="47"/>
      <c r="E304" s="47"/>
      <c r="F304" s="47"/>
      <c r="G304" s="47"/>
      <c r="H304" s="47"/>
      <c r="I304" s="47"/>
      <c r="J304" s="47"/>
      <c r="K304" s="47"/>
      <c r="L304" s="63"/>
    </row>
    <row r="305" spans="1:12">
      <c r="A305" s="62"/>
      <c r="B305" s="47" t="s">
        <v>212</v>
      </c>
      <c r="C305" s="47"/>
      <c r="D305" s="47"/>
      <c r="E305" s="47"/>
      <c r="F305" s="47"/>
      <c r="G305" s="47"/>
      <c r="H305" s="47"/>
      <c r="I305" s="47"/>
      <c r="J305" s="47"/>
      <c r="K305" s="47"/>
      <c r="L305" s="63"/>
    </row>
    <row r="306" spans="1:12">
      <c r="A306" s="62"/>
      <c r="B306" s="47" t="s">
        <v>213</v>
      </c>
      <c r="C306" s="47"/>
      <c r="D306" s="47"/>
      <c r="E306" s="47"/>
      <c r="F306" s="47"/>
      <c r="G306" s="47"/>
      <c r="H306" s="47"/>
      <c r="I306" s="47"/>
      <c r="J306" s="47"/>
      <c r="K306" s="47"/>
      <c r="L306" s="63"/>
    </row>
    <row r="307" spans="1:12" ht="27.95" customHeight="1">
      <c r="A307" s="62"/>
      <c r="B307" s="47"/>
      <c r="C307" s="47"/>
      <c r="D307" s="47"/>
      <c r="E307" s="47"/>
      <c r="F307" s="47"/>
      <c r="G307" s="47"/>
      <c r="H307" s="47"/>
      <c r="I307" s="47"/>
      <c r="J307" s="47"/>
      <c r="K307" s="47"/>
      <c r="L307" s="63"/>
    </row>
    <row r="308" spans="1:12" ht="27.95" customHeight="1">
      <c r="A308" s="62"/>
      <c r="B308" s="47"/>
      <c r="C308" s="47"/>
      <c r="D308" s="47"/>
      <c r="E308" s="47"/>
      <c r="F308" s="47"/>
      <c r="G308" s="47"/>
      <c r="H308" s="47"/>
      <c r="I308" s="47" t="s">
        <v>214</v>
      </c>
      <c r="J308" s="47"/>
      <c r="K308" s="47"/>
      <c r="L308" s="63"/>
    </row>
    <row r="309" spans="1:12" ht="27.95" customHeight="1">
      <c r="A309" s="62"/>
      <c r="B309" s="47"/>
      <c r="C309" s="47"/>
      <c r="D309" s="47"/>
      <c r="E309" s="47"/>
      <c r="F309" s="248" t="s">
        <v>197</v>
      </c>
      <c r="G309" s="47"/>
      <c r="H309" s="47"/>
      <c r="I309" s="47"/>
      <c r="J309" s="47"/>
      <c r="K309" s="47"/>
      <c r="L309" s="63"/>
    </row>
    <row r="310" spans="1:12" ht="27.95" customHeight="1">
      <c r="A310" s="62" t="s">
        <v>198</v>
      </c>
      <c r="B310" s="47"/>
      <c r="C310" s="47"/>
      <c r="D310" s="47"/>
      <c r="E310" s="47"/>
      <c r="F310" s="47"/>
      <c r="G310" s="47"/>
      <c r="H310" s="47"/>
      <c r="I310" s="47"/>
      <c r="J310" s="47"/>
      <c r="K310" s="306" t="e">
        <f>'PUNJAB 04-22Master'!#REF!</f>
        <v>#REF!</v>
      </c>
      <c r="L310" s="63"/>
    </row>
    <row r="311" spans="1:12" ht="27.95" customHeight="1">
      <c r="A311" s="62" t="s">
        <v>199</v>
      </c>
      <c r="B311" s="47"/>
      <c r="C311" s="47"/>
      <c r="D311" s="47"/>
      <c r="E311" s="47"/>
      <c r="F311" s="47"/>
      <c r="G311" s="47"/>
      <c r="H311" s="47"/>
      <c r="I311" s="47"/>
      <c r="J311" s="47"/>
      <c r="K311" s="47"/>
      <c r="L311" s="63"/>
    </row>
    <row r="312" spans="1:12" ht="27.95" customHeight="1">
      <c r="A312" s="62"/>
      <c r="B312" s="47"/>
      <c r="C312" s="47"/>
      <c r="D312" s="47"/>
      <c r="E312" s="47"/>
      <c r="F312" s="47"/>
      <c r="G312" s="47"/>
      <c r="H312" s="47"/>
      <c r="I312" s="47"/>
      <c r="J312" s="47"/>
      <c r="K312" s="47"/>
      <c r="L312" s="63"/>
    </row>
    <row r="313" spans="1:12" ht="27.95" customHeight="1">
      <c r="A313" s="62"/>
      <c r="B313" s="47"/>
      <c r="C313" s="47"/>
      <c r="D313" s="47"/>
      <c r="E313" s="47"/>
      <c r="F313" s="47"/>
      <c r="G313" s="47"/>
      <c r="H313" s="47"/>
      <c r="I313" s="47"/>
      <c r="J313" s="47"/>
      <c r="K313" s="47"/>
      <c r="L313" s="63"/>
    </row>
    <row r="314" spans="1:12" ht="27.95" customHeight="1">
      <c r="A314" s="62"/>
      <c r="B314" s="47"/>
      <c r="C314" s="47"/>
      <c r="D314" s="47"/>
      <c r="E314" s="47"/>
      <c r="F314" s="47" t="s">
        <v>200</v>
      </c>
      <c r="G314" s="47"/>
      <c r="H314" s="47"/>
      <c r="I314" s="47"/>
      <c r="J314" s="47"/>
      <c r="K314" s="47"/>
      <c r="L314" s="63"/>
    </row>
    <row r="315" spans="1:12" ht="27.95" customHeight="1">
      <c r="A315" s="62" t="s">
        <v>201</v>
      </c>
      <c r="B315" s="47" t="s">
        <v>364</v>
      </c>
      <c r="C315" s="47"/>
      <c r="D315" s="47"/>
      <c r="E315" s="47"/>
      <c r="F315" s="47" t="str">
        <f>'PUNJAB 04-22Master'!F5</f>
        <v>Burgeon IT Services Pvt.Ltd.</v>
      </c>
      <c r="G315" s="47"/>
      <c r="H315" s="47"/>
      <c r="I315" s="47"/>
      <c r="J315" s="47"/>
      <c r="K315" s="47"/>
      <c r="L315" s="63"/>
    </row>
    <row r="316" spans="1:12" ht="27.95" customHeight="1">
      <c r="A316" s="62" t="s">
        <v>202</v>
      </c>
      <c r="B316" s="389" t="e">
        <f>'PUNJAB 04-22Master'!#REF!</f>
        <v>#REF!</v>
      </c>
      <c r="C316" s="47"/>
      <c r="D316" s="47"/>
      <c r="E316" s="47"/>
      <c r="F316" s="250" t="str">
        <f>'PUNJAB 04-22Master'!F6</f>
        <v>Siri Mansion LIGB 436 Dr.A S Rao Nagar,Hyderabad</v>
      </c>
      <c r="G316" s="250"/>
      <c r="H316" s="250"/>
      <c r="I316" s="250"/>
      <c r="J316" s="250"/>
      <c r="K316" s="250"/>
      <c r="L316" s="63"/>
    </row>
    <row r="317" spans="1:12" ht="27.95" customHeight="1" thickBot="1">
      <c r="A317" s="76"/>
      <c r="B317" s="74"/>
      <c r="C317" s="74"/>
      <c r="D317" s="74"/>
      <c r="E317" s="74"/>
      <c r="F317" s="74"/>
      <c r="G317" s="74"/>
      <c r="H317" s="74"/>
      <c r="I317" s="74"/>
      <c r="J317" s="74"/>
      <c r="K317" s="74"/>
      <c r="L317" s="75"/>
    </row>
    <row r="318" spans="1:12" ht="27.95" customHeight="1" thickBot="1">
      <c r="A318" s="47"/>
      <c r="B318" s="251"/>
      <c r="C318" s="242"/>
      <c r="D318" s="242"/>
      <c r="E318" s="242"/>
      <c r="F318" s="242"/>
      <c r="G318" s="242"/>
      <c r="H318" s="227"/>
      <c r="I318" s="227"/>
      <c r="J318" s="228"/>
      <c r="K318" s="227"/>
      <c r="L318" s="227"/>
    </row>
    <row r="319" spans="1:12" ht="27.95" customHeight="1">
      <c r="A319" s="140"/>
      <c r="B319" s="742" t="s">
        <v>185</v>
      </c>
      <c r="C319" s="743"/>
      <c r="D319" s="743"/>
      <c r="E319" s="743"/>
      <c r="F319" s="743"/>
      <c r="G319" s="743"/>
      <c r="H319" s="743"/>
      <c r="I319" s="743"/>
      <c r="J319" s="743"/>
      <c r="K319" s="743"/>
      <c r="L319" s="744"/>
    </row>
    <row r="320" spans="1:12" ht="27.95" customHeight="1">
      <c r="A320" s="62"/>
      <c r="B320" s="745" t="s">
        <v>186</v>
      </c>
      <c r="C320" s="745"/>
      <c r="D320" s="745"/>
      <c r="E320" s="745"/>
      <c r="F320" s="745"/>
      <c r="G320" s="745"/>
      <c r="H320" s="745"/>
      <c r="I320" s="745"/>
      <c r="J320" s="745"/>
      <c r="K320" s="745"/>
      <c r="L320" s="746"/>
    </row>
    <row r="321" spans="1:12" ht="27.95" customHeight="1" thickBot="1">
      <c r="A321" s="76"/>
      <c r="B321" s="747" t="s">
        <v>187</v>
      </c>
      <c r="C321" s="747"/>
      <c r="D321" s="747"/>
      <c r="E321" s="747"/>
      <c r="F321" s="747"/>
      <c r="G321" s="747"/>
      <c r="H321" s="747"/>
      <c r="I321" s="747"/>
      <c r="J321" s="747"/>
      <c r="K321" s="747"/>
      <c r="L321" s="748"/>
    </row>
    <row r="322" spans="1:12" ht="27.95" customHeight="1">
      <c r="A322" s="62"/>
      <c r="B322" s="757" t="s">
        <v>117</v>
      </c>
      <c r="C322" s="757"/>
      <c r="D322" s="757"/>
      <c r="E322" s="757"/>
      <c r="F322" s="757"/>
      <c r="G322" s="47"/>
      <c r="H322" s="758" t="s">
        <v>118</v>
      </c>
      <c r="I322" s="758"/>
      <c r="J322" s="758"/>
      <c r="K322" s="758"/>
      <c r="L322" s="759"/>
    </row>
    <row r="323" spans="1:12" ht="27.95" customHeight="1" thickBot="1">
      <c r="A323" s="62"/>
      <c r="B323" s="757"/>
      <c r="C323" s="757"/>
      <c r="D323" s="757"/>
      <c r="E323" s="757"/>
      <c r="F323" s="757"/>
      <c r="G323" s="47"/>
      <c r="H323" s="758"/>
      <c r="I323" s="758"/>
      <c r="J323" s="758"/>
      <c r="K323" s="758"/>
      <c r="L323" s="759"/>
    </row>
    <row r="324" spans="1:12" ht="27.95" customHeight="1">
      <c r="A324" s="62"/>
      <c r="B324" s="140"/>
      <c r="C324" s="141"/>
      <c r="D324" s="141"/>
      <c r="E324" s="141"/>
      <c r="F324" s="142"/>
      <c r="G324" s="47"/>
      <c r="H324" s="140"/>
      <c r="I324" s="141"/>
      <c r="J324" s="141"/>
      <c r="K324" s="141"/>
      <c r="L324" s="142"/>
    </row>
    <row r="325" spans="1:12">
      <c r="A325" s="62"/>
      <c r="B325" s="219" t="str">
        <f>'PUNJAB 04-22Master'!F5</f>
        <v>Burgeon IT Services Pvt.Ltd.</v>
      </c>
      <c r="C325" s="144"/>
      <c r="D325" s="144"/>
      <c r="E325" s="144"/>
      <c r="F325" s="145"/>
      <c r="G325" s="47"/>
      <c r="H325" s="146" t="str">
        <f>'PUNJAB 04-22Master'!AO5</f>
        <v>Burgeon IT Services Pvt.Ltd.</v>
      </c>
      <c r="I325" s="144"/>
      <c r="J325" s="144"/>
      <c r="K325" s="144"/>
      <c r="L325" s="145"/>
    </row>
    <row r="326" spans="1:12">
      <c r="A326" s="62"/>
      <c r="B326" s="62"/>
      <c r="C326" s="144"/>
      <c r="D326" s="144"/>
      <c r="E326" s="144"/>
      <c r="F326" s="145"/>
      <c r="G326" s="47"/>
      <c r="H326" s="62"/>
      <c r="I326" s="144"/>
      <c r="J326" s="144"/>
      <c r="K326" s="144"/>
      <c r="L326" s="145"/>
    </row>
    <row r="327" spans="1:12">
      <c r="A327" s="62"/>
      <c r="B327" s="146" t="str">
        <f>'PUNJAB 04-22Master'!F6</f>
        <v>Siri Mansion LIGB 436 Dr.A S Rao Nagar,Hyderabad</v>
      </c>
      <c r="C327" s="144"/>
      <c r="D327" s="144"/>
      <c r="E327" s="144"/>
      <c r="F327" s="145"/>
      <c r="G327" s="47"/>
      <c r="H327" s="146" t="str">
        <f>'PUNJAB 04-22Master'!AO6</f>
        <v>Siri Mansion LIGB 436 Dr.A S Rao Nagar,Hyderabad</v>
      </c>
      <c r="I327" s="144"/>
      <c r="J327" s="144"/>
      <c r="K327" s="144"/>
      <c r="L327" s="145"/>
    </row>
    <row r="328" spans="1:12" ht="15.75" thickBot="1">
      <c r="A328" s="62"/>
      <c r="B328" s="147"/>
      <c r="C328" s="77"/>
      <c r="D328" s="77"/>
      <c r="E328" s="77"/>
      <c r="F328" s="148"/>
      <c r="G328" s="47"/>
      <c r="H328" s="147"/>
      <c r="I328" s="77"/>
      <c r="J328" s="77"/>
      <c r="K328" s="77"/>
      <c r="L328" s="148"/>
    </row>
    <row r="329" spans="1:12">
      <c r="A329" s="62"/>
      <c r="B329" s="47"/>
      <c r="C329" s="47"/>
      <c r="D329" s="47"/>
      <c r="E329" s="47"/>
      <c r="F329" s="47"/>
      <c r="G329" s="47"/>
      <c r="H329" s="47"/>
      <c r="I329" s="47"/>
      <c r="J329" s="47" t="s">
        <v>119</v>
      </c>
      <c r="K329" s="47"/>
      <c r="L329" s="63"/>
    </row>
    <row r="330" spans="1:12">
      <c r="A330" s="62"/>
      <c r="B330" s="760" t="s">
        <v>120</v>
      </c>
      <c r="C330" s="760"/>
      <c r="D330" s="760"/>
      <c r="E330" s="760"/>
      <c r="F330" s="760"/>
      <c r="G330" s="47"/>
      <c r="H330" s="760" t="s">
        <v>4</v>
      </c>
      <c r="I330" s="760"/>
      <c r="J330" s="760"/>
      <c r="K330" s="760"/>
      <c r="L330" s="761"/>
    </row>
    <row r="331" spans="1:12" ht="15.75" thickBot="1">
      <c r="A331" s="62"/>
      <c r="B331" s="47"/>
      <c r="C331" s="47"/>
      <c r="D331" s="47"/>
      <c r="E331" s="47"/>
      <c r="F331" s="47"/>
      <c r="G331" s="47"/>
      <c r="H331" s="47"/>
      <c r="I331" s="47"/>
      <c r="J331" s="47"/>
      <c r="K331" s="47"/>
      <c r="L331" s="63"/>
    </row>
    <row r="332" spans="1:12">
      <c r="A332" s="62"/>
      <c r="B332" s="140"/>
      <c r="C332" s="141"/>
      <c r="D332" s="141"/>
      <c r="E332" s="141"/>
      <c r="F332" s="142"/>
      <c r="G332" s="47"/>
      <c r="H332" s="149"/>
      <c r="I332" s="150"/>
      <c r="J332" s="150"/>
      <c r="K332" s="150"/>
      <c r="L332" s="151"/>
    </row>
    <row r="333" spans="1:12">
      <c r="A333" s="62"/>
      <c r="B333" s="143"/>
      <c r="C333" s="144"/>
      <c r="D333" s="144"/>
      <c r="E333" s="144"/>
      <c r="F333" s="145"/>
      <c r="G333" s="47"/>
      <c r="H333" s="146" t="str">
        <f>'PUNJAB 04-22Master'!AO10</f>
        <v xml:space="preserve">INFOSYS  LTD.IL </v>
      </c>
      <c r="I333" s="152"/>
      <c r="J333" s="152"/>
      <c r="K333" s="152"/>
      <c r="L333" s="153"/>
    </row>
    <row r="334" spans="1:12">
      <c r="A334" s="62"/>
      <c r="B334" s="146" t="str">
        <f>'PUNJAB 04-22Master'!F8</f>
        <v>IT SUPPORTIVE SERVICES&amp;Chandigarh</v>
      </c>
      <c r="C334" s="144"/>
      <c r="D334" s="144"/>
      <c r="E334" s="144"/>
      <c r="F334" s="145"/>
      <c r="G334" s="47"/>
      <c r="H334" s="146"/>
      <c r="I334" s="152"/>
      <c r="J334" s="152"/>
      <c r="K334" s="152"/>
      <c r="L334" s="153"/>
    </row>
    <row r="335" spans="1:12">
      <c r="A335" s="62"/>
      <c r="B335" s="143"/>
      <c r="C335" s="144"/>
      <c r="D335" s="144"/>
      <c r="E335" s="144"/>
      <c r="F335" s="145"/>
      <c r="G335" s="47"/>
      <c r="H335" s="146" t="str">
        <f>'PUNJAB 04-22Master'!AO11</f>
        <v>No.45&amp;46,3rd Cross,Electronic City,BANGALORE,KARNATAKA</v>
      </c>
      <c r="I335" s="152"/>
      <c r="J335" s="152"/>
      <c r="K335" s="152"/>
      <c r="L335" s="153"/>
    </row>
    <row r="336" spans="1:12" ht="15.75" thickBot="1">
      <c r="A336" s="62"/>
      <c r="B336" s="147"/>
      <c r="C336" s="77"/>
      <c r="D336" s="77"/>
      <c r="E336" s="77"/>
      <c r="F336" s="148"/>
      <c r="G336" s="47"/>
      <c r="H336" s="154"/>
      <c r="I336" s="155"/>
      <c r="J336" s="155"/>
      <c r="K336" s="155"/>
      <c r="L336" s="156"/>
    </row>
    <row r="337" spans="1:12">
      <c r="A337" s="157"/>
      <c r="B337" s="762" t="s">
        <v>188</v>
      </c>
      <c r="C337" s="762"/>
      <c r="D337" s="762"/>
      <c r="E337" s="762"/>
      <c r="F337" s="762"/>
      <c r="G337" s="762"/>
      <c r="H337" s="750" t="e">
        <f>'PUNJAB 04-22Master'!#REF!</f>
        <v>#REF!</v>
      </c>
      <c r="I337" s="751"/>
      <c r="J337" s="751"/>
      <c r="K337" s="751"/>
      <c r="L337" s="752"/>
    </row>
    <row r="338" spans="1:12">
      <c r="A338" s="157"/>
      <c r="B338" s="753" t="s">
        <v>189</v>
      </c>
      <c r="C338" s="753"/>
      <c r="D338" s="753"/>
      <c r="E338" s="753"/>
      <c r="F338" s="753"/>
      <c r="G338" s="753"/>
      <c r="H338" s="750" t="e">
        <f>'PUNJAB 04-22Master'!#REF!</f>
        <v>#REF!</v>
      </c>
      <c r="I338" s="751"/>
      <c r="J338" s="751"/>
      <c r="K338" s="751"/>
      <c r="L338" s="752"/>
    </row>
    <row r="339" spans="1:12">
      <c r="A339" s="157"/>
      <c r="B339" s="762" t="s">
        <v>190</v>
      </c>
      <c r="C339" s="762"/>
      <c r="D339" s="762"/>
      <c r="E339" s="762"/>
      <c r="F339" s="762"/>
      <c r="G339" s="762"/>
      <c r="H339" s="750" t="e">
        <f>'PUNJAB 04-22Master'!#REF!</f>
        <v>#REF!</v>
      </c>
      <c r="I339" s="751"/>
      <c r="J339" s="751"/>
      <c r="K339" s="751"/>
      <c r="L339" s="752"/>
    </row>
    <row r="340" spans="1:12">
      <c r="A340" s="157"/>
      <c r="B340" s="762" t="s">
        <v>191</v>
      </c>
      <c r="C340" s="762"/>
      <c r="D340" s="762"/>
      <c r="E340" s="762"/>
      <c r="F340" s="762"/>
      <c r="G340" s="762"/>
      <c r="H340" s="855" t="e">
        <f>'PUNJAB 04-22Master'!#REF!</f>
        <v>#REF!</v>
      </c>
      <c r="I340" s="751"/>
      <c r="J340" s="751"/>
      <c r="K340" s="751"/>
      <c r="L340" s="752"/>
    </row>
    <row r="341" spans="1:12">
      <c r="A341" s="157"/>
      <c r="B341" s="158" t="s">
        <v>192</v>
      </c>
      <c r="C341" s="283"/>
      <c r="D341" s="283"/>
      <c r="E341" s="283"/>
      <c r="F341" s="283"/>
      <c r="G341" s="283"/>
      <c r="H341" s="856" t="s">
        <v>193</v>
      </c>
      <c r="I341" s="857"/>
      <c r="J341" s="857"/>
      <c r="K341" s="857"/>
      <c r="L341" s="858"/>
    </row>
    <row r="342" spans="1:12">
      <c r="A342" s="157"/>
      <c r="B342" s="158" t="s">
        <v>194</v>
      </c>
      <c r="C342" s="283"/>
      <c r="D342" s="283"/>
      <c r="E342" s="283"/>
      <c r="F342" s="283"/>
      <c r="G342" s="283"/>
      <c r="H342" s="337"/>
      <c r="I342" s="338"/>
      <c r="J342" s="244"/>
      <c r="K342" s="338"/>
      <c r="L342" s="342"/>
    </row>
    <row r="343" spans="1:12">
      <c r="A343" s="157"/>
      <c r="B343" s="773" t="s">
        <v>195</v>
      </c>
      <c r="C343" s="773"/>
      <c r="D343" s="773"/>
      <c r="E343" s="773"/>
      <c r="F343" s="773"/>
      <c r="G343" s="773"/>
      <c r="H343" s="767" t="e">
        <f>'PUNJAB 04-22Master'!#REF!</f>
        <v>#REF!</v>
      </c>
      <c r="I343" s="768"/>
      <c r="J343" s="768"/>
      <c r="K343" s="768"/>
      <c r="L343" s="769"/>
    </row>
    <row r="344" spans="1:12">
      <c r="A344" s="157"/>
      <c r="B344" s="762"/>
      <c r="C344" s="762"/>
      <c r="D344" s="762"/>
      <c r="E344" s="762"/>
      <c r="F344" s="762"/>
      <c r="G344" s="762"/>
      <c r="H344" s="763" t="e">
        <f>'PUNJAB 04-22Master'!#REF!</f>
        <v>#REF!</v>
      </c>
      <c r="I344" s="751"/>
      <c r="J344" s="751"/>
      <c r="K344" s="751"/>
      <c r="L344" s="752"/>
    </row>
    <row r="345" spans="1:12">
      <c r="A345" s="62"/>
      <c r="B345" s="762"/>
      <c r="C345" s="762"/>
      <c r="D345" s="762"/>
      <c r="E345" s="762"/>
      <c r="F345" s="762"/>
      <c r="G345" s="762"/>
      <c r="H345" s="750" t="e">
        <f>'PUNJAB 04-22Master'!#REF!</f>
        <v>#REF!</v>
      </c>
      <c r="I345" s="751"/>
      <c r="J345" s="751"/>
      <c r="K345" s="751"/>
      <c r="L345" s="752"/>
    </row>
    <row r="346" spans="1:12">
      <c r="A346" s="62"/>
      <c r="B346" s="158" t="s">
        <v>196</v>
      </c>
      <c r="C346" s="283"/>
      <c r="D346" s="283"/>
      <c r="E346" s="283"/>
      <c r="F346" s="283"/>
      <c r="G346" s="284"/>
      <c r="H346" s="847" t="e">
        <f>'PUNJAB 04-22Master'!#REF!</f>
        <v>#REF!</v>
      </c>
      <c r="I346" s="848"/>
      <c r="J346" s="848"/>
      <c r="K346" s="848"/>
      <c r="L346" s="849"/>
    </row>
    <row r="347" spans="1:12">
      <c r="A347" s="62"/>
      <c r="B347" s="158"/>
      <c r="C347" s="283"/>
      <c r="D347" s="283"/>
      <c r="E347" s="283"/>
      <c r="F347" s="283"/>
      <c r="G347" s="284"/>
      <c r="H347" s="847" t="e">
        <f>'PUNJAB 04-22Master'!#REF!</f>
        <v>#REF!</v>
      </c>
      <c r="I347" s="848"/>
      <c r="J347" s="848"/>
      <c r="K347" s="848"/>
      <c r="L347" s="849"/>
    </row>
    <row r="348" spans="1:12">
      <c r="A348" s="62"/>
      <c r="B348" s="158"/>
      <c r="C348" s="283"/>
      <c r="D348" s="283"/>
      <c r="E348" s="283"/>
      <c r="F348" s="283"/>
      <c r="G348" s="284"/>
      <c r="H348" s="847" t="e">
        <f>'PUNJAB 04-22Master'!#REF!</f>
        <v>#REF!</v>
      </c>
      <c r="I348" s="848"/>
      <c r="J348" s="848"/>
      <c r="K348" s="848"/>
      <c r="L348" s="849"/>
    </row>
    <row r="349" spans="1:12">
      <c r="A349" s="62"/>
      <c r="B349" s="158" t="s">
        <v>203</v>
      </c>
      <c r="C349" s="283"/>
      <c r="D349" s="283"/>
      <c r="E349" s="283"/>
      <c r="F349" s="283"/>
      <c r="G349" s="284"/>
      <c r="H349" s="337"/>
      <c r="I349" s="338"/>
      <c r="J349" s="338"/>
      <c r="K349" s="338"/>
      <c r="L349" s="342"/>
    </row>
    <row r="350" spans="1:12">
      <c r="A350" s="62"/>
      <c r="B350" s="161" t="s">
        <v>204</v>
      </c>
      <c r="C350" s="221"/>
      <c r="D350" s="221"/>
      <c r="E350" s="221"/>
      <c r="F350" s="221"/>
      <c r="G350" s="222"/>
      <c r="H350" s="223"/>
      <c r="I350" s="224"/>
      <c r="J350" s="225"/>
      <c r="K350" s="224"/>
      <c r="L350" s="226"/>
    </row>
    <row r="351" spans="1:12" ht="45">
      <c r="A351" s="62"/>
      <c r="B351" s="158" t="s">
        <v>207</v>
      </c>
      <c r="C351" s="283"/>
      <c r="D351" s="338"/>
      <c r="E351" s="341" t="s">
        <v>209</v>
      </c>
      <c r="F351" s="119"/>
      <c r="G351" s="850" t="s">
        <v>208</v>
      </c>
      <c r="H351" s="851"/>
      <c r="I351" s="336" t="s">
        <v>205</v>
      </c>
      <c r="J351" s="239" t="s">
        <v>210</v>
      </c>
      <c r="K351" s="850" t="s">
        <v>206</v>
      </c>
      <c r="L351" s="852"/>
    </row>
    <row r="352" spans="1:12">
      <c r="A352" s="62"/>
      <c r="B352" s="240">
        <v>1</v>
      </c>
      <c r="C352" s="283"/>
      <c r="D352" s="283"/>
      <c r="E352" s="243">
        <v>2</v>
      </c>
      <c r="F352" s="284"/>
      <c r="G352" s="243">
        <v>3</v>
      </c>
      <c r="H352" s="339"/>
      <c r="I352" s="339">
        <v>4</v>
      </c>
      <c r="J352" s="328">
        <v>5</v>
      </c>
      <c r="K352" s="159"/>
      <c r="L352" s="160">
        <v>6</v>
      </c>
    </row>
    <row r="353" spans="1:12">
      <c r="A353" s="62"/>
      <c r="B353" s="391" t="e">
        <f>'PUNJAB 04-22Master'!#REF!</f>
        <v>#REF!</v>
      </c>
      <c r="C353" s="261"/>
      <c r="D353" s="262"/>
      <c r="E353" s="392" t="s">
        <v>365</v>
      </c>
      <c r="F353" s="262"/>
      <c r="G353" s="392" t="s">
        <v>366</v>
      </c>
      <c r="H353" s="119"/>
      <c r="I353" s="30" t="s">
        <v>367</v>
      </c>
      <c r="J353" s="390">
        <v>1</v>
      </c>
      <c r="K353" s="853" t="s">
        <v>37</v>
      </c>
      <c r="L353" s="854"/>
    </row>
    <row r="354" spans="1:12">
      <c r="A354" s="62"/>
      <c r="B354" s="158"/>
      <c r="C354" s="261"/>
      <c r="D354" s="262"/>
      <c r="E354" s="263"/>
      <c r="F354" s="262"/>
      <c r="G354" s="263"/>
      <c r="H354" s="119"/>
      <c r="I354" s="30"/>
      <c r="J354" s="30"/>
      <c r="K354" s="264"/>
      <c r="L354" s="119"/>
    </row>
    <row r="355" spans="1:12">
      <c r="A355" s="62"/>
      <c r="B355" s="158"/>
      <c r="C355" s="261"/>
      <c r="D355" s="262"/>
      <c r="E355" s="263"/>
      <c r="F355" s="262"/>
      <c r="G355" s="263"/>
      <c r="H355" s="119"/>
      <c r="I355" s="30"/>
      <c r="J355" s="30"/>
      <c r="K355" s="264"/>
      <c r="L355" s="119"/>
    </row>
    <row r="356" spans="1:12">
      <c r="A356" s="62"/>
      <c r="B356" s="127"/>
      <c r="C356" s="68"/>
      <c r="D356" s="128"/>
      <c r="E356" s="263"/>
      <c r="F356" s="262"/>
      <c r="G356" s="263"/>
      <c r="H356" s="119"/>
      <c r="I356" s="30"/>
      <c r="J356" s="30"/>
      <c r="K356" s="264"/>
      <c r="L356" s="119"/>
    </row>
    <row r="357" spans="1:12">
      <c r="A357" s="62"/>
      <c r="B357" s="47" t="s">
        <v>211</v>
      </c>
      <c r="C357" s="47"/>
      <c r="D357" s="47"/>
      <c r="E357" s="47"/>
      <c r="F357" s="47"/>
      <c r="G357" s="47"/>
      <c r="H357" s="47"/>
      <c r="I357" s="47"/>
      <c r="J357" s="47"/>
      <c r="K357" s="47"/>
      <c r="L357" s="63"/>
    </row>
    <row r="358" spans="1:12">
      <c r="A358" s="62"/>
      <c r="B358" s="47" t="s">
        <v>212</v>
      </c>
      <c r="C358" s="47"/>
      <c r="D358" s="47"/>
      <c r="E358" s="47"/>
      <c r="F358" s="47"/>
      <c r="G358" s="47"/>
      <c r="H358" s="47"/>
      <c r="I358" s="47"/>
      <c r="J358" s="47"/>
      <c r="K358" s="47"/>
      <c r="L358" s="63"/>
    </row>
    <row r="359" spans="1:12">
      <c r="A359" s="62"/>
      <c r="B359" s="47" t="s">
        <v>213</v>
      </c>
      <c r="C359" s="47"/>
      <c r="D359" s="47"/>
      <c r="E359" s="47"/>
      <c r="F359" s="47"/>
      <c r="G359" s="47"/>
      <c r="H359" s="47"/>
      <c r="I359" s="47"/>
      <c r="J359" s="47"/>
      <c r="K359" s="47"/>
      <c r="L359" s="63"/>
    </row>
    <row r="360" spans="1:12" ht="27.95" customHeight="1">
      <c r="A360" s="62"/>
      <c r="B360" s="47"/>
      <c r="C360" s="47"/>
      <c r="D360" s="47"/>
      <c r="E360" s="47"/>
      <c r="F360" s="47"/>
      <c r="G360" s="47"/>
      <c r="H360" s="47"/>
      <c r="I360" s="47"/>
      <c r="J360" s="47"/>
      <c r="K360" s="47"/>
      <c r="L360" s="63"/>
    </row>
    <row r="361" spans="1:12" ht="27.95" customHeight="1">
      <c r="A361" s="62"/>
      <c r="B361" s="47"/>
      <c r="C361" s="47"/>
      <c r="D361" s="47"/>
      <c r="E361" s="47"/>
      <c r="F361" s="47"/>
      <c r="G361" s="47"/>
      <c r="H361" s="47"/>
      <c r="I361" s="47" t="s">
        <v>214</v>
      </c>
      <c r="J361" s="47"/>
      <c r="K361" s="47"/>
      <c r="L361" s="63"/>
    </row>
    <row r="362" spans="1:12" ht="27.95" customHeight="1">
      <c r="A362" s="62"/>
      <c r="B362" s="47"/>
      <c r="C362" s="47"/>
      <c r="D362" s="47"/>
      <c r="E362" s="47"/>
      <c r="F362" s="248" t="s">
        <v>197</v>
      </c>
      <c r="G362" s="47"/>
      <c r="H362" s="47"/>
      <c r="I362" s="47"/>
      <c r="J362" s="47"/>
      <c r="K362" s="47"/>
      <c r="L362" s="63"/>
    </row>
    <row r="363" spans="1:12" ht="27.95" customHeight="1">
      <c r="A363" s="62" t="s">
        <v>198</v>
      </c>
      <c r="B363" s="47"/>
      <c r="C363" s="47"/>
      <c r="D363" s="47"/>
      <c r="E363" s="47"/>
      <c r="F363" s="47"/>
      <c r="G363" s="47"/>
      <c r="H363" s="47"/>
      <c r="I363" s="47"/>
      <c r="J363" s="47"/>
      <c r="K363" s="306" t="e">
        <f>'PUNJAB 04-22Master'!#REF!</f>
        <v>#REF!</v>
      </c>
      <c r="L363" s="63"/>
    </row>
    <row r="364" spans="1:12" ht="27.95" customHeight="1">
      <c r="A364" s="62" t="s">
        <v>199</v>
      </c>
      <c r="B364" s="47"/>
      <c r="C364" s="47"/>
      <c r="D364" s="47"/>
      <c r="E364" s="47"/>
      <c r="F364" s="47"/>
      <c r="G364" s="47"/>
      <c r="H364" s="47"/>
      <c r="I364" s="47"/>
      <c r="J364" s="47"/>
      <c r="K364" s="47"/>
      <c r="L364" s="63"/>
    </row>
    <row r="365" spans="1:12" ht="27.95" customHeight="1">
      <c r="A365" s="62"/>
      <c r="B365" s="47"/>
      <c r="C365" s="47"/>
      <c r="D365" s="47"/>
      <c r="E365" s="47"/>
      <c r="F365" s="47"/>
      <c r="G365" s="47"/>
      <c r="H365" s="47"/>
      <c r="I365" s="47"/>
      <c r="J365" s="47"/>
      <c r="K365" s="47"/>
      <c r="L365" s="63"/>
    </row>
    <row r="366" spans="1:12" ht="27.95" customHeight="1">
      <c r="A366" s="62"/>
      <c r="B366" s="47"/>
      <c r="C366" s="47"/>
      <c r="D366" s="47"/>
      <c r="E366" s="47"/>
      <c r="F366" s="47"/>
      <c r="G366" s="47"/>
      <c r="H366" s="47"/>
      <c r="I366" s="47"/>
      <c r="J366" s="47"/>
      <c r="K366" s="47"/>
      <c r="L366" s="63"/>
    </row>
    <row r="367" spans="1:12" ht="27.95" customHeight="1">
      <c r="A367" s="62"/>
      <c r="B367" s="47"/>
      <c r="C367" s="47"/>
      <c r="D367" s="47"/>
      <c r="E367" s="47"/>
      <c r="F367" s="47" t="s">
        <v>200</v>
      </c>
      <c r="G367" s="47"/>
      <c r="H367" s="47"/>
      <c r="I367" s="47"/>
      <c r="J367" s="47"/>
      <c r="K367" s="47"/>
      <c r="L367" s="63"/>
    </row>
    <row r="368" spans="1:12" ht="27.95" customHeight="1">
      <c r="A368" s="62" t="s">
        <v>201</v>
      </c>
      <c r="B368" s="47" t="s">
        <v>364</v>
      </c>
      <c r="C368" s="47"/>
      <c r="D368" s="47"/>
      <c r="E368" s="47"/>
      <c r="F368" s="47" t="str">
        <f>'PUNJAB 04-22Master'!F5</f>
        <v>Burgeon IT Services Pvt.Ltd.</v>
      </c>
      <c r="G368" s="47"/>
      <c r="H368" s="47"/>
      <c r="I368" s="47"/>
      <c r="J368" s="47"/>
      <c r="K368" s="47"/>
      <c r="L368" s="63"/>
    </row>
    <row r="369" spans="1:12" ht="27.95" customHeight="1">
      <c r="A369" s="62" t="s">
        <v>202</v>
      </c>
      <c r="B369" s="389" t="e">
        <f>'PUNJAB 04-22Master'!#REF!</f>
        <v>#REF!</v>
      </c>
      <c r="C369" s="47"/>
      <c r="D369" s="47"/>
      <c r="E369" s="47"/>
      <c r="F369" s="250" t="str">
        <f>'PUNJAB 04-22Master'!F6</f>
        <v>Siri Mansion LIGB 436 Dr.A S Rao Nagar,Hyderabad</v>
      </c>
      <c r="G369" s="250"/>
      <c r="H369" s="250"/>
      <c r="I369" s="250"/>
      <c r="J369" s="250"/>
      <c r="K369" s="250"/>
      <c r="L369" s="63"/>
    </row>
    <row r="370" spans="1:12" ht="27.95" customHeight="1" thickBot="1">
      <c r="A370" s="76"/>
      <c r="B370" s="74"/>
      <c r="C370" s="74"/>
      <c r="D370" s="74"/>
      <c r="E370" s="74"/>
      <c r="F370" s="74"/>
      <c r="G370" s="74"/>
      <c r="H370" s="74"/>
      <c r="I370" s="74"/>
      <c r="J370" s="74"/>
      <c r="K370" s="74"/>
      <c r="L370" s="75"/>
    </row>
    <row r="371" spans="1:12" ht="27.95" customHeight="1" thickBot="1">
      <c r="A371" s="47"/>
      <c r="B371" s="251"/>
      <c r="C371" s="242"/>
      <c r="D371" s="242"/>
      <c r="E371" s="242"/>
      <c r="F371" s="242"/>
      <c r="G371" s="242"/>
      <c r="H371" s="227"/>
      <c r="I371" s="227"/>
      <c r="J371" s="228"/>
      <c r="K371" s="227"/>
      <c r="L371" s="227"/>
    </row>
    <row r="372" spans="1:12" ht="27.95" customHeight="1">
      <c r="A372" s="140"/>
      <c r="B372" s="742" t="s">
        <v>185</v>
      </c>
      <c r="C372" s="743"/>
      <c r="D372" s="743"/>
      <c r="E372" s="743"/>
      <c r="F372" s="743"/>
      <c r="G372" s="743"/>
      <c r="H372" s="743"/>
      <c r="I372" s="743"/>
      <c r="J372" s="743"/>
      <c r="K372" s="743"/>
      <c r="L372" s="744"/>
    </row>
    <row r="373" spans="1:12" ht="27.95" customHeight="1">
      <c r="A373" s="62"/>
      <c r="B373" s="745" t="s">
        <v>186</v>
      </c>
      <c r="C373" s="745"/>
      <c r="D373" s="745"/>
      <c r="E373" s="745"/>
      <c r="F373" s="745"/>
      <c r="G373" s="745"/>
      <c r="H373" s="745"/>
      <c r="I373" s="745"/>
      <c r="J373" s="745"/>
      <c r="K373" s="745"/>
      <c r="L373" s="746"/>
    </row>
    <row r="374" spans="1:12" ht="27.95" customHeight="1" thickBot="1">
      <c r="A374" s="76"/>
      <c r="B374" s="747" t="s">
        <v>187</v>
      </c>
      <c r="C374" s="747"/>
      <c r="D374" s="747"/>
      <c r="E374" s="747"/>
      <c r="F374" s="747"/>
      <c r="G374" s="747"/>
      <c r="H374" s="747"/>
      <c r="I374" s="747"/>
      <c r="J374" s="747"/>
      <c r="K374" s="747"/>
      <c r="L374" s="748"/>
    </row>
    <row r="375" spans="1:12" ht="27.95" customHeight="1">
      <c r="A375" s="62"/>
      <c r="B375" s="757" t="s">
        <v>117</v>
      </c>
      <c r="C375" s="757"/>
      <c r="D375" s="757"/>
      <c r="E375" s="757"/>
      <c r="F375" s="757"/>
      <c r="G375" s="47"/>
      <c r="H375" s="758" t="s">
        <v>118</v>
      </c>
      <c r="I375" s="758"/>
      <c r="J375" s="758"/>
      <c r="K375" s="758"/>
      <c r="L375" s="759"/>
    </row>
    <row r="376" spans="1:12" ht="27.95" customHeight="1" thickBot="1">
      <c r="A376" s="62"/>
      <c r="B376" s="757"/>
      <c r="C376" s="757"/>
      <c r="D376" s="757"/>
      <c r="E376" s="757"/>
      <c r="F376" s="757"/>
      <c r="G376" s="47"/>
      <c r="H376" s="758"/>
      <c r="I376" s="758"/>
      <c r="J376" s="758"/>
      <c r="K376" s="758"/>
      <c r="L376" s="759"/>
    </row>
    <row r="377" spans="1:12" ht="27.95" customHeight="1">
      <c r="A377" s="62"/>
      <c r="B377" s="140"/>
      <c r="C377" s="141"/>
      <c r="D377" s="141"/>
      <c r="E377" s="141"/>
      <c r="F377" s="142"/>
      <c r="G377" s="47"/>
      <c r="H377" s="140"/>
      <c r="I377" s="141"/>
      <c r="J377" s="141"/>
      <c r="K377" s="141"/>
      <c r="L377" s="142"/>
    </row>
    <row r="378" spans="1:12">
      <c r="A378" s="62"/>
      <c r="B378" s="146" t="str">
        <f>'PUNJAB 04-22Master'!F5</f>
        <v>Burgeon IT Services Pvt.Ltd.</v>
      </c>
      <c r="C378" s="144"/>
      <c r="D378" s="144"/>
      <c r="E378" s="144"/>
      <c r="F378" s="145"/>
      <c r="G378" s="47"/>
      <c r="H378" s="146" t="str">
        <f>'PUNJAB 04-22Master'!AO5</f>
        <v>Burgeon IT Services Pvt.Ltd.</v>
      </c>
      <c r="I378" s="144"/>
      <c r="J378" s="144"/>
      <c r="K378" s="144"/>
      <c r="L378" s="145"/>
    </row>
    <row r="379" spans="1:12">
      <c r="A379" s="62"/>
      <c r="B379" s="62"/>
      <c r="C379" s="144"/>
      <c r="D379" s="144"/>
      <c r="E379" s="144"/>
      <c r="F379" s="145"/>
      <c r="G379" s="47"/>
      <c r="H379" s="62"/>
      <c r="I379" s="144"/>
      <c r="J379" s="144"/>
      <c r="K379" s="144"/>
      <c r="L379" s="145"/>
    </row>
    <row r="380" spans="1:12">
      <c r="A380" s="62"/>
      <c r="B380" s="146" t="str">
        <f>'PUNJAB 04-22Master'!F6</f>
        <v>Siri Mansion LIGB 436 Dr.A S Rao Nagar,Hyderabad</v>
      </c>
      <c r="C380" s="144"/>
      <c r="D380" s="144"/>
      <c r="E380" s="144"/>
      <c r="F380" s="145"/>
      <c r="G380" s="47"/>
      <c r="H380" s="146" t="str">
        <f>'PUNJAB 04-22Master'!AO6</f>
        <v>Siri Mansion LIGB 436 Dr.A S Rao Nagar,Hyderabad</v>
      </c>
      <c r="I380" s="144"/>
      <c r="J380" s="144"/>
      <c r="K380" s="144"/>
      <c r="L380" s="145"/>
    </row>
    <row r="381" spans="1:12" ht="15.75" thickBot="1">
      <c r="A381" s="62"/>
      <c r="B381" s="147"/>
      <c r="C381" s="77"/>
      <c r="D381" s="77"/>
      <c r="E381" s="77"/>
      <c r="F381" s="148"/>
      <c r="G381" s="47"/>
      <c r="H381" s="147"/>
      <c r="I381" s="77"/>
      <c r="J381" s="77"/>
      <c r="K381" s="77"/>
      <c r="L381" s="148"/>
    </row>
    <row r="382" spans="1:12">
      <c r="A382" s="62"/>
      <c r="B382" s="47"/>
      <c r="C382" s="47"/>
      <c r="D382" s="47"/>
      <c r="E382" s="47"/>
      <c r="F382" s="47"/>
      <c r="G382" s="47"/>
      <c r="H382" s="47"/>
      <c r="I382" s="47"/>
      <c r="J382" s="47" t="s">
        <v>119</v>
      </c>
      <c r="K382" s="47"/>
      <c r="L382" s="63"/>
    </row>
    <row r="383" spans="1:12">
      <c r="A383" s="62"/>
      <c r="B383" s="760" t="s">
        <v>120</v>
      </c>
      <c r="C383" s="760"/>
      <c r="D383" s="760"/>
      <c r="E383" s="760"/>
      <c r="F383" s="760"/>
      <c r="G383" s="47"/>
      <c r="H383" s="760" t="s">
        <v>4</v>
      </c>
      <c r="I383" s="760"/>
      <c r="J383" s="760"/>
      <c r="K383" s="760"/>
      <c r="L383" s="761"/>
    </row>
    <row r="384" spans="1:12" ht="15" customHeight="1" thickBot="1">
      <c r="A384" s="62"/>
      <c r="B384" s="47"/>
      <c r="C384" s="47"/>
      <c r="D384" s="47"/>
      <c r="E384" s="47"/>
      <c r="F384" s="47"/>
      <c r="G384" s="47"/>
      <c r="H384" s="47"/>
      <c r="I384" s="47"/>
      <c r="J384" s="47"/>
      <c r="K384" s="47"/>
      <c r="L384" s="63"/>
    </row>
    <row r="385" spans="1:12">
      <c r="A385" s="62"/>
      <c r="B385" s="140"/>
      <c r="C385" s="141"/>
      <c r="D385" s="141"/>
      <c r="E385" s="141"/>
      <c r="F385" s="142"/>
      <c r="G385" s="47"/>
      <c r="H385" s="149"/>
      <c r="I385" s="150"/>
      <c r="J385" s="150"/>
      <c r="K385" s="150"/>
      <c r="L385" s="151"/>
    </row>
    <row r="386" spans="1:12">
      <c r="A386" s="62"/>
      <c r="B386" s="143"/>
      <c r="C386" s="144"/>
      <c r="D386" s="144"/>
      <c r="E386" s="144"/>
      <c r="F386" s="145"/>
      <c r="G386" s="47"/>
      <c r="H386" s="146" t="str">
        <f>'PUNJAB 04-22Master'!AO10</f>
        <v xml:space="preserve">INFOSYS  LTD.IL </v>
      </c>
      <c r="I386" s="152"/>
      <c r="J386" s="152"/>
      <c r="K386" s="152"/>
      <c r="L386" s="153"/>
    </row>
    <row r="387" spans="1:12">
      <c r="A387" s="62"/>
      <c r="B387" s="146" t="str">
        <f>'PUNJAB 04-22Master'!F8</f>
        <v>IT SUPPORTIVE SERVICES&amp;Chandigarh</v>
      </c>
      <c r="C387" s="144"/>
      <c r="D387" s="144"/>
      <c r="E387" s="144"/>
      <c r="F387" s="145"/>
      <c r="G387" s="47"/>
      <c r="H387" s="146"/>
      <c r="I387" s="152"/>
      <c r="J387" s="152"/>
      <c r="K387" s="152"/>
      <c r="L387" s="153"/>
    </row>
    <row r="388" spans="1:12">
      <c r="A388" s="62"/>
      <c r="B388" s="143"/>
      <c r="C388" s="144"/>
      <c r="D388" s="144"/>
      <c r="E388" s="144"/>
      <c r="F388" s="145"/>
      <c r="G388" s="47"/>
      <c r="H388" s="146" t="str">
        <f>'PUNJAB 04-22Master'!AO11</f>
        <v>No.45&amp;46,3rd Cross,Electronic City,BANGALORE,KARNATAKA</v>
      </c>
      <c r="I388" s="152"/>
      <c r="J388" s="152"/>
      <c r="K388" s="152"/>
      <c r="L388" s="153"/>
    </row>
    <row r="389" spans="1:12" ht="15.75" thickBot="1">
      <c r="A389" s="62"/>
      <c r="B389" s="147"/>
      <c r="C389" s="77"/>
      <c r="D389" s="77"/>
      <c r="E389" s="77"/>
      <c r="F389" s="148"/>
      <c r="G389" s="47"/>
      <c r="H389" s="154"/>
      <c r="I389" s="155"/>
      <c r="J389" s="155"/>
      <c r="K389" s="155"/>
      <c r="L389" s="156"/>
    </row>
    <row r="390" spans="1:12">
      <c r="A390" s="157"/>
      <c r="B390" s="762" t="s">
        <v>188</v>
      </c>
      <c r="C390" s="762"/>
      <c r="D390" s="762"/>
      <c r="E390" s="762"/>
      <c r="F390" s="762"/>
      <c r="G390" s="762"/>
      <c r="H390" s="750" t="e">
        <f>'PUNJAB 04-22Master'!#REF!</f>
        <v>#REF!</v>
      </c>
      <c r="I390" s="751"/>
      <c r="J390" s="751"/>
      <c r="K390" s="751"/>
      <c r="L390" s="752"/>
    </row>
    <row r="391" spans="1:12">
      <c r="A391" s="157"/>
      <c r="B391" s="753" t="s">
        <v>189</v>
      </c>
      <c r="C391" s="753"/>
      <c r="D391" s="753"/>
      <c r="E391" s="753"/>
      <c r="F391" s="753"/>
      <c r="G391" s="753"/>
      <c r="H391" s="750" t="e">
        <f>'PUNJAB 04-22Master'!#REF!</f>
        <v>#REF!</v>
      </c>
      <c r="I391" s="751"/>
      <c r="J391" s="751"/>
      <c r="K391" s="751"/>
      <c r="L391" s="752"/>
    </row>
    <row r="392" spans="1:12">
      <c r="A392" s="157"/>
      <c r="B392" s="762" t="s">
        <v>190</v>
      </c>
      <c r="C392" s="762"/>
      <c r="D392" s="762"/>
      <c r="E392" s="762"/>
      <c r="F392" s="762"/>
      <c r="G392" s="762"/>
      <c r="H392" s="750" t="e">
        <f>'PUNJAB 04-22Master'!#REF!</f>
        <v>#REF!</v>
      </c>
      <c r="I392" s="751"/>
      <c r="J392" s="751"/>
      <c r="K392" s="751"/>
      <c r="L392" s="752"/>
    </row>
    <row r="393" spans="1:12">
      <c r="A393" s="157"/>
      <c r="B393" s="762" t="s">
        <v>191</v>
      </c>
      <c r="C393" s="762"/>
      <c r="D393" s="762"/>
      <c r="E393" s="762"/>
      <c r="F393" s="762"/>
      <c r="G393" s="762"/>
      <c r="H393" s="855" t="e">
        <f>'PUNJAB 04-22Master'!#REF!</f>
        <v>#REF!</v>
      </c>
      <c r="I393" s="751"/>
      <c r="J393" s="751"/>
      <c r="K393" s="751"/>
      <c r="L393" s="752"/>
    </row>
    <row r="394" spans="1:12">
      <c r="A394" s="157"/>
      <c r="B394" s="158" t="s">
        <v>192</v>
      </c>
      <c r="C394" s="283"/>
      <c r="D394" s="283"/>
      <c r="E394" s="283"/>
      <c r="F394" s="283"/>
      <c r="G394" s="283"/>
      <c r="H394" s="856" t="s">
        <v>193</v>
      </c>
      <c r="I394" s="857"/>
      <c r="J394" s="857"/>
      <c r="K394" s="857"/>
      <c r="L394" s="858"/>
    </row>
    <row r="395" spans="1:12">
      <c r="A395" s="157"/>
      <c r="B395" s="158" t="s">
        <v>194</v>
      </c>
      <c r="C395" s="283"/>
      <c r="D395" s="283"/>
      <c r="E395" s="283"/>
      <c r="F395" s="283"/>
      <c r="G395" s="283"/>
      <c r="H395" s="337"/>
      <c r="I395" s="338"/>
      <c r="J395" s="244"/>
      <c r="K395" s="338"/>
      <c r="L395" s="342"/>
    </row>
    <row r="396" spans="1:12">
      <c r="A396" s="157"/>
      <c r="B396" s="773" t="s">
        <v>195</v>
      </c>
      <c r="C396" s="773"/>
      <c r="D396" s="773"/>
      <c r="E396" s="773"/>
      <c r="F396" s="773"/>
      <c r="G396" s="773"/>
      <c r="H396" s="767" t="e">
        <f>'PUNJAB 04-22Master'!#REF!</f>
        <v>#REF!</v>
      </c>
      <c r="I396" s="768"/>
      <c r="J396" s="768"/>
      <c r="K396" s="768"/>
      <c r="L396" s="769"/>
    </row>
    <row r="397" spans="1:12">
      <c r="A397" s="157"/>
      <c r="B397" s="762"/>
      <c r="C397" s="762"/>
      <c r="D397" s="762"/>
      <c r="E397" s="762"/>
      <c r="F397" s="762"/>
      <c r="G397" s="762"/>
      <c r="H397" s="763" t="e">
        <f>'PUNJAB 04-22Master'!#REF!</f>
        <v>#REF!</v>
      </c>
      <c r="I397" s="751"/>
      <c r="J397" s="751"/>
      <c r="K397" s="751"/>
      <c r="L397" s="752"/>
    </row>
    <row r="398" spans="1:12">
      <c r="A398" s="62"/>
      <c r="B398" s="762"/>
      <c r="C398" s="762"/>
      <c r="D398" s="762"/>
      <c r="E398" s="762"/>
      <c r="F398" s="762"/>
      <c r="G398" s="762"/>
      <c r="H398" s="750" t="e">
        <f>'PUNJAB 04-22Master'!#REF!</f>
        <v>#REF!</v>
      </c>
      <c r="I398" s="751"/>
      <c r="J398" s="751"/>
      <c r="K398" s="751"/>
      <c r="L398" s="752"/>
    </row>
    <row r="399" spans="1:12" ht="27.95" customHeight="1">
      <c r="A399" s="62"/>
      <c r="B399" s="158" t="s">
        <v>196</v>
      </c>
      <c r="C399" s="283"/>
      <c r="D399" s="283"/>
      <c r="E399" s="283"/>
      <c r="F399" s="283"/>
      <c r="G399" s="284"/>
      <c r="H399" s="847" t="e">
        <f>'PUNJAB 04-22Master'!#REF!</f>
        <v>#REF!</v>
      </c>
      <c r="I399" s="848"/>
      <c r="J399" s="848"/>
      <c r="K399" s="848"/>
      <c r="L399" s="849"/>
    </row>
    <row r="400" spans="1:12" ht="27.95" customHeight="1">
      <c r="A400" s="62"/>
      <c r="B400" s="158"/>
      <c r="C400" s="283"/>
      <c r="D400" s="283"/>
      <c r="E400" s="283"/>
      <c r="F400" s="283"/>
      <c r="G400" s="284"/>
      <c r="H400" s="847" t="e">
        <f>'PUNJAB 04-22Master'!#REF!</f>
        <v>#REF!</v>
      </c>
      <c r="I400" s="848"/>
      <c r="J400" s="848"/>
      <c r="K400" s="848"/>
      <c r="L400" s="849"/>
    </row>
    <row r="401" spans="1:12" ht="27.95" customHeight="1">
      <c r="A401" s="62"/>
      <c r="B401" s="158"/>
      <c r="C401" s="283"/>
      <c r="D401" s="283"/>
      <c r="E401" s="283"/>
      <c r="F401" s="283"/>
      <c r="G401" s="284"/>
      <c r="H401" s="847" t="e">
        <f>'PUNJAB 04-22Master'!#REF!</f>
        <v>#REF!</v>
      </c>
      <c r="I401" s="848"/>
      <c r="J401" s="848"/>
      <c r="K401" s="848"/>
      <c r="L401" s="849"/>
    </row>
    <row r="402" spans="1:12" ht="27.95" customHeight="1">
      <c r="A402" s="62"/>
      <c r="B402" s="158" t="s">
        <v>203</v>
      </c>
      <c r="C402" s="283"/>
      <c r="D402" s="283"/>
      <c r="E402" s="283"/>
      <c r="F402" s="283"/>
      <c r="G402" s="284"/>
      <c r="H402" s="337"/>
      <c r="I402" s="338"/>
      <c r="J402" s="338"/>
      <c r="K402" s="338"/>
      <c r="L402" s="342"/>
    </row>
    <row r="403" spans="1:12" ht="27.95" customHeight="1">
      <c r="A403" s="62"/>
      <c r="B403" s="161" t="s">
        <v>204</v>
      </c>
      <c r="C403" s="221"/>
      <c r="D403" s="221"/>
      <c r="E403" s="221"/>
      <c r="F403" s="221"/>
      <c r="G403" s="222"/>
      <c r="H403" s="223"/>
      <c r="I403" s="224"/>
      <c r="J403" s="225"/>
      <c r="K403" s="224"/>
      <c r="L403" s="226"/>
    </row>
    <row r="404" spans="1:12" ht="27.95" customHeight="1">
      <c r="A404" s="62"/>
      <c r="B404" s="158" t="s">
        <v>207</v>
      </c>
      <c r="C404" s="283"/>
      <c r="D404" s="338"/>
      <c r="E404" s="341" t="s">
        <v>209</v>
      </c>
      <c r="F404" s="119"/>
      <c r="G404" s="850" t="s">
        <v>208</v>
      </c>
      <c r="H404" s="851"/>
      <c r="I404" s="336" t="s">
        <v>205</v>
      </c>
      <c r="J404" s="239" t="s">
        <v>210</v>
      </c>
      <c r="K404" s="850" t="s">
        <v>206</v>
      </c>
      <c r="L404" s="852"/>
    </row>
    <row r="405" spans="1:12" ht="27.95" customHeight="1">
      <c r="A405" s="62"/>
      <c r="B405" s="240">
        <v>1</v>
      </c>
      <c r="C405" s="283"/>
      <c r="D405" s="283"/>
      <c r="E405" s="243">
        <v>2</v>
      </c>
      <c r="F405" s="284"/>
      <c r="G405" s="243">
        <v>3</v>
      </c>
      <c r="H405" s="339"/>
      <c r="I405" s="339">
        <v>4</v>
      </c>
      <c r="J405" s="328">
        <v>5</v>
      </c>
      <c r="K405" s="159"/>
      <c r="L405" s="160">
        <v>6</v>
      </c>
    </row>
    <row r="406" spans="1:12" ht="27.95" customHeight="1">
      <c r="A406" s="62"/>
      <c r="B406" s="391" t="e">
        <f>'PUNJAB 04-22Master'!#REF!</f>
        <v>#REF!</v>
      </c>
      <c r="C406" s="261"/>
      <c r="D406" s="262"/>
      <c r="E406" s="392" t="s">
        <v>365</v>
      </c>
      <c r="F406" s="262"/>
      <c r="G406" s="392" t="s">
        <v>366</v>
      </c>
      <c r="H406" s="119"/>
      <c r="I406" s="30" t="s">
        <v>367</v>
      </c>
      <c r="J406" s="390">
        <v>1</v>
      </c>
      <c r="K406" s="853" t="s">
        <v>37</v>
      </c>
      <c r="L406" s="854"/>
    </row>
    <row r="407" spans="1:12" ht="27.95" customHeight="1">
      <c r="A407" s="62"/>
      <c r="B407" s="158"/>
      <c r="C407" s="261"/>
      <c r="D407" s="262"/>
      <c r="E407" s="263"/>
      <c r="F407" s="262"/>
      <c r="G407" s="263"/>
      <c r="H407" s="119"/>
      <c r="I407" s="30"/>
      <c r="J407" s="30"/>
      <c r="K407" s="264"/>
      <c r="L407" s="119"/>
    </row>
    <row r="408" spans="1:12" ht="27.95" customHeight="1">
      <c r="A408" s="62"/>
      <c r="B408" s="158"/>
      <c r="C408" s="261"/>
      <c r="D408" s="262"/>
      <c r="E408" s="263"/>
      <c r="F408" s="262"/>
      <c r="G408" s="263"/>
      <c r="H408" s="119"/>
      <c r="I408" s="30"/>
      <c r="J408" s="30"/>
      <c r="K408" s="264"/>
      <c r="L408" s="119"/>
    </row>
    <row r="409" spans="1:12" ht="27.95" customHeight="1">
      <c r="A409" s="62"/>
      <c r="B409" s="127"/>
      <c r="C409" s="68"/>
      <c r="D409" s="128"/>
      <c r="E409" s="263"/>
      <c r="F409" s="262"/>
      <c r="G409" s="263"/>
      <c r="H409" s="119"/>
      <c r="I409" s="30"/>
      <c r="J409" s="30"/>
      <c r="K409" s="264"/>
      <c r="L409" s="119"/>
    </row>
    <row r="410" spans="1:12" ht="27.95" customHeight="1">
      <c r="A410" s="62"/>
      <c r="B410" s="47" t="s">
        <v>211</v>
      </c>
      <c r="C410" s="47"/>
      <c r="D410" s="47"/>
      <c r="E410" s="47"/>
      <c r="F410" s="47"/>
      <c r="G410" s="47"/>
      <c r="H410" s="47"/>
      <c r="I410" s="47"/>
      <c r="J410" s="47"/>
      <c r="K410" s="47"/>
      <c r="L410" s="63"/>
    </row>
    <row r="411" spans="1:12" ht="27.95" customHeight="1">
      <c r="A411" s="62"/>
      <c r="B411" s="47" t="s">
        <v>212</v>
      </c>
      <c r="C411" s="47"/>
      <c r="D411" s="47"/>
      <c r="E411" s="47"/>
      <c r="F411" s="47"/>
      <c r="G411" s="47"/>
      <c r="H411" s="47"/>
      <c r="I411" s="47"/>
      <c r="J411" s="47"/>
      <c r="K411" s="47"/>
      <c r="L411" s="63"/>
    </row>
    <row r="412" spans="1:12" ht="27.95" customHeight="1">
      <c r="A412" s="62"/>
      <c r="B412" s="47" t="s">
        <v>213</v>
      </c>
      <c r="C412" s="47"/>
      <c r="D412" s="47"/>
      <c r="E412" s="47"/>
      <c r="F412" s="47"/>
      <c r="G412" s="47"/>
      <c r="H412" s="47"/>
      <c r="I412" s="47"/>
      <c r="J412" s="47"/>
      <c r="K412" s="47"/>
      <c r="L412" s="63"/>
    </row>
    <row r="413" spans="1:12" ht="27.95" customHeight="1">
      <c r="A413" s="62"/>
      <c r="B413" s="47"/>
      <c r="C413" s="47"/>
      <c r="D413" s="47"/>
      <c r="E413" s="47"/>
      <c r="F413" s="47"/>
      <c r="G413" s="47"/>
      <c r="H413" s="47"/>
      <c r="I413" s="47" t="s">
        <v>214</v>
      </c>
      <c r="J413" s="47"/>
      <c r="K413" s="47"/>
      <c r="L413" s="63"/>
    </row>
    <row r="414" spans="1:12" ht="27.95" customHeight="1">
      <c r="A414" s="62"/>
      <c r="B414" s="47"/>
      <c r="C414" s="47"/>
      <c r="D414" s="47"/>
      <c r="E414" s="47"/>
      <c r="F414" s="248" t="s">
        <v>197</v>
      </c>
      <c r="G414" s="47"/>
      <c r="H414" s="47"/>
      <c r="I414" s="47"/>
      <c r="J414" s="47"/>
      <c r="K414" s="47"/>
      <c r="L414" s="63"/>
    </row>
    <row r="415" spans="1:12" ht="27.95" customHeight="1">
      <c r="A415" s="62" t="s">
        <v>198</v>
      </c>
      <c r="B415" s="47"/>
      <c r="C415" s="47"/>
      <c r="D415" s="47"/>
      <c r="E415" s="47"/>
      <c r="F415" s="47"/>
      <c r="G415" s="47"/>
      <c r="H415" s="47"/>
      <c r="I415" s="47"/>
      <c r="J415" s="47"/>
      <c r="K415" s="306" t="e">
        <f>'PUNJAB 04-22Master'!#REF!</f>
        <v>#REF!</v>
      </c>
      <c r="L415" s="63"/>
    </row>
    <row r="416" spans="1:12">
      <c r="A416" s="62" t="s">
        <v>199</v>
      </c>
      <c r="B416" s="47"/>
      <c r="C416" s="47"/>
      <c r="D416" s="47"/>
      <c r="E416" s="47"/>
      <c r="F416" s="47"/>
      <c r="G416" s="47"/>
      <c r="H416" s="47"/>
      <c r="I416" s="47"/>
      <c r="J416" s="47"/>
      <c r="K416" s="47"/>
      <c r="L416" s="63"/>
    </row>
    <row r="417" spans="1:12">
      <c r="A417" s="62"/>
      <c r="B417" s="47"/>
      <c r="C417" s="47"/>
      <c r="D417" s="47"/>
      <c r="E417" s="47"/>
      <c r="F417" s="47"/>
      <c r="G417" s="47"/>
      <c r="H417" s="47"/>
      <c r="I417" s="47"/>
      <c r="J417" s="47"/>
      <c r="K417" s="47"/>
      <c r="L417" s="63"/>
    </row>
    <row r="418" spans="1:12">
      <c r="A418" s="62"/>
      <c r="B418" s="47"/>
      <c r="C418" s="47"/>
      <c r="D418" s="47"/>
      <c r="E418" s="47"/>
      <c r="F418" s="47"/>
      <c r="G418" s="47"/>
      <c r="H418" s="47"/>
      <c r="I418" s="47"/>
      <c r="J418" s="47"/>
      <c r="K418" s="47"/>
      <c r="L418" s="63"/>
    </row>
    <row r="419" spans="1:12">
      <c r="A419" s="62"/>
      <c r="B419" s="47"/>
      <c r="C419" s="47"/>
      <c r="D419" s="47"/>
      <c r="E419" s="47"/>
      <c r="F419" s="47" t="s">
        <v>200</v>
      </c>
      <c r="G419" s="47"/>
      <c r="H419" s="47"/>
      <c r="I419" s="47"/>
      <c r="J419" s="47"/>
      <c r="K419" s="47"/>
      <c r="L419" s="63"/>
    </row>
    <row r="420" spans="1:12">
      <c r="A420" s="62" t="s">
        <v>201</v>
      </c>
      <c r="B420" s="47" t="s">
        <v>364</v>
      </c>
      <c r="C420" s="47"/>
      <c r="D420" s="47"/>
      <c r="E420" s="47"/>
      <c r="F420" s="47" t="str">
        <f>'PUNJAB 04-22Master'!F5</f>
        <v>Burgeon IT Services Pvt.Ltd.</v>
      </c>
      <c r="G420" s="47"/>
      <c r="H420" s="47"/>
      <c r="I420" s="47"/>
      <c r="J420" s="47"/>
      <c r="K420" s="47"/>
      <c r="L420" s="63"/>
    </row>
    <row r="421" spans="1:12">
      <c r="A421" s="62" t="s">
        <v>202</v>
      </c>
      <c r="B421" s="389" t="e">
        <f>'PUNJAB 04-22Master'!#REF!</f>
        <v>#REF!</v>
      </c>
      <c r="C421" s="47"/>
      <c r="D421" s="47"/>
      <c r="E421" s="47"/>
      <c r="F421" s="250" t="str">
        <f>'PUNJAB 04-22Master'!F6</f>
        <v>Siri Mansion LIGB 436 Dr.A S Rao Nagar,Hyderabad</v>
      </c>
      <c r="G421" s="250"/>
      <c r="H421" s="250"/>
      <c r="I421" s="250"/>
      <c r="J421" s="250"/>
      <c r="K421" s="250"/>
      <c r="L421" s="63"/>
    </row>
    <row r="422" spans="1:12" ht="15" customHeight="1" thickBot="1">
      <c r="A422" s="76"/>
      <c r="B422" s="74"/>
      <c r="C422" s="74"/>
      <c r="D422" s="74"/>
      <c r="E422" s="74"/>
      <c r="F422" s="74"/>
      <c r="G422" s="74"/>
      <c r="H422" s="74"/>
      <c r="I422" s="74"/>
      <c r="J422" s="74"/>
      <c r="K422" s="74"/>
      <c r="L422" s="75"/>
    </row>
    <row r="423" spans="1:12" ht="15.75" thickBot="1">
      <c r="A423" s="47"/>
      <c r="B423" s="251"/>
      <c r="C423" s="344"/>
      <c r="D423" s="344"/>
      <c r="E423" s="344"/>
      <c r="F423" s="344"/>
      <c r="G423" s="344"/>
      <c r="H423" s="347"/>
      <c r="I423" s="347"/>
      <c r="J423" s="345"/>
      <c r="K423" s="347"/>
      <c r="L423" s="347"/>
    </row>
    <row r="424" spans="1:12" ht="32.25">
      <c r="A424" s="140"/>
      <c r="B424" s="742" t="s">
        <v>185</v>
      </c>
      <c r="C424" s="743"/>
      <c r="D424" s="743"/>
      <c r="E424" s="743"/>
      <c r="F424" s="743"/>
      <c r="G424" s="743"/>
      <c r="H424" s="743"/>
      <c r="I424" s="743"/>
      <c r="J424" s="743"/>
      <c r="K424" s="743"/>
      <c r="L424" s="744"/>
    </row>
    <row r="425" spans="1:12" ht="23.25">
      <c r="A425" s="62"/>
      <c r="B425" s="745" t="s">
        <v>186</v>
      </c>
      <c r="C425" s="745"/>
      <c r="D425" s="745"/>
      <c r="E425" s="745"/>
      <c r="F425" s="745"/>
      <c r="G425" s="745"/>
      <c r="H425" s="745"/>
      <c r="I425" s="745"/>
      <c r="J425" s="745"/>
      <c r="K425" s="745"/>
      <c r="L425" s="746"/>
    </row>
    <row r="426" spans="1:12" ht="16.5" thickBot="1">
      <c r="A426" s="76"/>
      <c r="B426" s="747" t="s">
        <v>187</v>
      </c>
      <c r="C426" s="747"/>
      <c r="D426" s="747"/>
      <c r="E426" s="747"/>
      <c r="F426" s="747"/>
      <c r="G426" s="747"/>
      <c r="H426" s="747"/>
      <c r="I426" s="747"/>
      <c r="J426" s="747"/>
      <c r="K426" s="747"/>
      <c r="L426" s="748"/>
    </row>
    <row r="427" spans="1:12">
      <c r="A427" s="62"/>
      <c r="B427" s="757" t="s">
        <v>117</v>
      </c>
      <c r="C427" s="757"/>
      <c r="D427" s="757"/>
      <c r="E427" s="757"/>
      <c r="F427" s="757"/>
      <c r="G427" s="47"/>
      <c r="H427" s="758" t="s">
        <v>118</v>
      </c>
      <c r="I427" s="758"/>
      <c r="J427" s="758"/>
      <c r="K427" s="758"/>
      <c r="L427" s="759"/>
    </row>
    <row r="428" spans="1:12" ht="15.75" thickBot="1">
      <c r="A428" s="62"/>
      <c r="B428" s="757"/>
      <c r="C428" s="757"/>
      <c r="D428" s="757"/>
      <c r="E428" s="757"/>
      <c r="F428" s="757"/>
      <c r="G428" s="47"/>
      <c r="H428" s="758"/>
      <c r="I428" s="758"/>
      <c r="J428" s="758"/>
      <c r="K428" s="758"/>
      <c r="L428" s="759"/>
    </row>
    <row r="429" spans="1:12">
      <c r="A429" s="62"/>
      <c r="B429" s="140"/>
      <c r="C429" s="141"/>
      <c r="D429" s="141"/>
      <c r="E429" s="141"/>
      <c r="F429" s="142"/>
      <c r="G429" s="47"/>
      <c r="H429" s="140"/>
      <c r="I429" s="141"/>
      <c r="J429" s="141"/>
      <c r="K429" s="141"/>
      <c r="L429" s="142"/>
    </row>
    <row r="430" spans="1:12">
      <c r="A430" s="62"/>
      <c r="B430" s="146" t="str">
        <f>'PUNJAB 04-22Master'!F5</f>
        <v>Burgeon IT Services Pvt.Ltd.</v>
      </c>
      <c r="C430" s="144"/>
      <c r="D430" s="144"/>
      <c r="E430" s="144"/>
      <c r="F430" s="145"/>
      <c r="G430" s="47"/>
      <c r="H430" s="146" t="str">
        <f>'PUNJAB 04-22Master'!AO5</f>
        <v>Burgeon IT Services Pvt.Ltd.</v>
      </c>
      <c r="I430" s="144"/>
      <c r="J430" s="144"/>
      <c r="K430" s="144"/>
      <c r="L430" s="145"/>
    </row>
    <row r="431" spans="1:12">
      <c r="A431" s="62"/>
      <c r="B431" s="62"/>
      <c r="C431" s="144"/>
      <c r="D431" s="144"/>
      <c r="E431" s="144"/>
      <c r="F431" s="145"/>
      <c r="G431" s="47"/>
      <c r="H431" s="62"/>
      <c r="I431" s="144"/>
      <c r="J431" s="144"/>
      <c r="K431" s="144"/>
      <c r="L431" s="145"/>
    </row>
    <row r="432" spans="1:12">
      <c r="A432" s="62"/>
      <c r="B432" s="146" t="str">
        <f>'PUNJAB 04-22Master'!F6</f>
        <v>Siri Mansion LIGB 436 Dr.A S Rao Nagar,Hyderabad</v>
      </c>
      <c r="C432" s="144"/>
      <c r="D432" s="144"/>
      <c r="E432" s="144"/>
      <c r="F432" s="145"/>
      <c r="G432" s="47"/>
      <c r="H432" s="146" t="str">
        <f>'PUNJAB 04-22Master'!AO6</f>
        <v>Siri Mansion LIGB 436 Dr.A S Rao Nagar,Hyderabad</v>
      </c>
      <c r="I432" s="144"/>
      <c r="J432" s="144"/>
      <c r="K432" s="144"/>
      <c r="L432" s="145"/>
    </row>
    <row r="433" spans="1:12" ht="15.75" thickBot="1">
      <c r="A433" s="62"/>
      <c r="B433" s="147"/>
      <c r="C433" s="77"/>
      <c r="D433" s="77"/>
      <c r="E433" s="77"/>
      <c r="F433" s="148"/>
      <c r="G433" s="47"/>
      <c r="H433" s="147"/>
      <c r="I433" s="77"/>
      <c r="J433" s="77"/>
      <c r="K433" s="77"/>
      <c r="L433" s="148"/>
    </row>
    <row r="434" spans="1:12">
      <c r="A434" s="62"/>
      <c r="B434" s="47"/>
      <c r="C434" s="47"/>
      <c r="D434" s="47"/>
      <c r="E434" s="47"/>
      <c r="F434" s="47"/>
      <c r="G434" s="47"/>
      <c r="H434" s="47"/>
      <c r="I434" s="47"/>
      <c r="J434" s="47" t="s">
        <v>119</v>
      </c>
      <c r="K434" s="47"/>
      <c r="L434" s="63"/>
    </row>
    <row r="435" spans="1:12">
      <c r="A435" s="62"/>
      <c r="B435" s="760" t="s">
        <v>120</v>
      </c>
      <c r="C435" s="760"/>
      <c r="D435" s="760"/>
      <c r="E435" s="760"/>
      <c r="F435" s="760"/>
      <c r="G435" s="47"/>
      <c r="H435" s="760" t="s">
        <v>4</v>
      </c>
      <c r="I435" s="760"/>
      <c r="J435" s="760"/>
      <c r="K435" s="760"/>
      <c r="L435" s="761"/>
    </row>
    <row r="436" spans="1:12" ht="15.75" thickBot="1">
      <c r="A436" s="62"/>
      <c r="B436" s="47"/>
      <c r="C436" s="47"/>
      <c r="D436" s="47"/>
      <c r="E436" s="47"/>
      <c r="F436" s="47"/>
      <c r="G436" s="47"/>
      <c r="H436" s="47"/>
      <c r="I436" s="47"/>
      <c r="J436" s="47"/>
      <c r="K436" s="47"/>
      <c r="L436" s="63"/>
    </row>
    <row r="437" spans="1:12" ht="15" customHeight="1">
      <c r="A437" s="62"/>
      <c r="B437" s="140"/>
      <c r="C437" s="141"/>
      <c r="D437" s="141"/>
      <c r="E437" s="141"/>
      <c r="F437" s="142"/>
      <c r="G437" s="47"/>
      <c r="H437" s="149"/>
      <c r="I437" s="150"/>
      <c r="J437" s="150"/>
      <c r="K437" s="150"/>
      <c r="L437" s="151"/>
    </row>
    <row r="438" spans="1:12" ht="15" customHeight="1">
      <c r="A438" s="62"/>
      <c r="B438" s="143"/>
      <c r="C438" s="144"/>
      <c r="D438" s="144"/>
      <c r="E438" s="144"/>
      <c r="F438" s="145"/>
      <c r="G438" s="47"/>
      <c r="H438" s="146" t="str">
        <f>'PUNJAB 04-22Master'!AO10</f>
        <v xml:space="preserve">INFOSYS  LTD.IL </v>
      </c>
      <c r="I438" s="152"/>
      <c r="J438" s="152"/>
      <c r="K438" s="152"/>
      <c r="L438" s="153"/>
    </row>
    <row r="439" spans="1:12" ht="15" customHeight="1">
      <c r="A439" s="62"/>
      <c r="B439" s="146" t="str">
        <f>'PUNJAB 04-22Master'!F8</f>
        <v>IT SUPPORTIVE SERVICES&amp;Chandigarh</v>
      </c>
      <c r="C439" s="144"/>
      <c r="D439" s="144"/>
      <c r="E439" s="144"/>
      <c r="F439" s="145"/>
      <c r="G439" s="47"/>
      <c r="H439" s="146"/>
      <c r="I439" s="152"/>
      <c r="J439" s="152"/>
      <c r="K439" s="152"/>
      <c r="L439" s="153"/>
    </row>
    <row r="440" spans="1:12" ht="15" customHeight="1">
      <c r="A440" s="62"/>
      <c r="B440" s="143"/>
      <c r="C440" s="144"/>
      <c r="D440" s="144"/>
      <c r="E440" s="144"/>
      <c r="F440" s="145"/>
      <c r="G440" s="47"/>
      <c r="H440" s="146" t="str">
        <f>'PUNJAB 04-22Master'!AO11</f>
        <v>No.45&amp;46,3rd Cross,Electronic City,BANGALORE,KARNATAKA</v>
      </c>
      <c r="I440" s="152"/>
      <c r="J440" s="152"/>
      <c r="K440" s="152"/>
      <c r="L440" s="153"/>
    </row>
    <row r="441" spans="1:12" ht="15" customHeight="1" thickBot="1">
      <c r="A441" s="62"/>
      <c r="B441" s="147"/>
      <c r="C441" s="77"/>
      <c r="D441" s="77"/>
      <c r="E441" s="77"/>
      <c r="F441" s="148"/>
      <c r="G441" s="47"/>
      <c r="H441" s="154"/>
      <c r="I441" s="155"/>
      <c r="J441" s="155"/>
      <c r="K441" s="155"/>
      <c r="L441" s="156"/>
    </row>
    <row r="442" spans="1:12" ht="27.95" customHeight="1">
      <c r="A442" s="157"/>
      <c r="B442" s="762" t="s">
        <v>188</v>
      </c>
      <c r="C442" s="762"/>
      <c r="D442" s="762"/>
      <c r="E442" s="762"/>
      <c r="F442" s="762"/>
      <c r="G442" s="762"/>
      <c r="H442" s="750" t="e">
        <f>'PUNJAB 04-22Master'!#REF!</f>
        <v>#REF!</v>
      </c>
      <c r="I442" s="751"/>
      <c r="J442" s="751"/>
      <c r="K442" s="751"/>
      <c r="L442" s="752"/>
    </row>
    <row r="443" spans="1:12" ht="27.95" customHeight="1">
      <c r="A443" s="157"/>
      <c r="B443" s="753" t="s">
        <v>189</v>
      </c>
      <c r="C443" s="753"/>
      <c r="D443" s="753"/>
      <c r="E443" s="753"/>
      <c r="F443" s="753"/>
      <c r="G443" s="753"/>
      <c r="H443" s="750" t="e">
        <f>'PUNJAB 04-22Master'!#REF!</f>
        <v>#REF!</v>
      </c>
      <c r="I443" s="751"/>
      <c r="J443" s="751"/>
      <c r="K443" s="751"/>
      <c r="L443" s="752"/>
    </row>
    <row r="444" spans="1:12" ht="27.95" customHeight="1">
      <c r="A444" s="157"/>
      <c r="B444" s="762" t="s">
        <v>190</v>
      </c>
      <c r="C444" s="762"/>
      <c r="D444" s="762"/>
      <c r="E444" s="762"/>
      <c r="F444" s="762"/>
      <c r="G444" s="762"/>
      <c r="H444" s="750" t="e">
        <f>'PUNJAB 04-22Master'!#REF!</f>
        <v>#REF!</v>
      </c>
      <c r="I444" s="751"/>
      <c r="J444" s="751"/>
      <c r="K444" s="751"/>
      <c r="L444" s="752"/>
    </row>
    <row r="445" spans="1:12" ht="27.95" customHeight="1">
      <c r="A445" s="157"/>
      <c r="B445" s="762" t="s">
        <v>191</v>
      </c>
      <c r="C445" s="762"/>
      <c r="D445" s="762"/>
      <c r="E445" s="762"/>
      <c r="F445" s="762"/>
      <c r="G445" s="762"/>
      <c r="H445" s="855" t="e">
        <f>'PUNJAB 04-22Master'!#REF!</f>
        <v>#REF!</v>
      </c>
      <c r="I445" s="751"/>
      <c r="J445" s="751"/>
      <c r="K445" s="751"/>
      <c r="L445" s="752"/>
    </row>
    <row r="446" spans="1:12" ht="27.95" customHeight="1">
      <c r="A446" s="157"/>
      <c r="B446" s="158" t="s">
        <v>192</v>
      </c>
      <c r="C446" s="283"/>
      <c r="D446" s="283"/>
      <c r="E446" s="283"/>
      <c r="F446" s="283"/>
      <c r="G446" s="283"/>
      <c r="H446" s="856" t="s">
        <v>193</v>
      </c>
      <c r="I446" s="857"/>
      <c r="J446" s="857"/>
      <c r="K446" s="857"/>
      <c r="L446" s="858"/>
    </row>
    <row r="447" spans="1:12" ht="27.95" customHeight="1">
      <c r="A447" s="157"/>
      <c r="B447" s="158" t="s">
        <v>194</v>
      </c>
      <c r="C447" s="283"/>
      <c r="D447" s="283"/>
      <c r="E447" s="283"/>
      <c r="F447" s="283"/>
      <c r="G447" s="283"/>
      <c r="H447" s="337"/>
      <c r="I447" s="338"/>
      <c r="J447" s="244"/>
      <c r="K447" s="338"/>
      <c r="L447" s="342"/>
    </row>
    <row r="448" spans="1:12" ht="27.95" customHeight="1">
      <c r="A448" s="157"/>
      <c r="B448" s="773" t="s">
        <v>195</v>
      </c>
      <c r="C448" s="773"/>
      <c r="D448" s="773"/>
      <c r="E448" s="773"/>
      <c r="F448" s="773"/>
      <c r="G448" s="773"/>
      <c r="H448" s="767" t="e">
        <f>'PUNJAB 04-22Master'!#REF!</f>
        <v>#REF!</v>
      </c>
      <c r="I448" s="768"/>
      <c r="J448" s="768"/>
      <c r="K448" s="768"/>
      <c r="L448" s="769"/>
    </row>
    <row r="449" spans="1:12" ht="27.95" customHeight="1">
      <c r="A449" s="157"/>
      <c r="B449" s="762"/>
      <c r="C449" s="762"/>
      <c r="D449" s="762"/>
      <c r="E449" s="762"/>
      <c r="F449" s="762"/>
      <c r="G449" s="762"/>
      <c r="H449" s="763" t="e">
        <f>'PUNJAB 04-22Master'!#REF!</f>
        <v>#REF!</v>
      </c>
      <c r="I449" s="751"/>
      <c r="J449" s="751"/>
      <c r="K449" s="751"/>
      <c r="L449" s="752"/>
    </row>
    <row r="450" spans="1:12" ht="27.95" customHeight="1">
      <c r="A450" s="62"/>
      <c r="B450" s="762"/>
      <c r="C450" s="762"/>
      <c r="D450" s="762"/>
      <c r="E450" s="762"/>
      <c r="F450" s="762"/>
      <c r="G450" s="762"/>
      <c r="H450" s="750" t="e">
        <f>'PUNJAB 04-22Master'!#REF!</f>
        <v>#REF!</v>
      </c>
      <c r="I450" s="751"/>
      <c r="J450" s="751"/>
      <c r="K450" s="751"/>
      <c r="L450" s="752"/>
    </row>
    <row r="451" spans="1:12" ht="27.95" customHeight="1">
      <c r="A451" s="62"/>
      <c r="B451" s="158" t="s">
        <v>196</v>
      </c>
      <c r="C451" s="283"/>
      <c r="D451" s="283"/>
      <c r="E451" s="283"/>
      <c r="F451" s="283"/>
      <c r="G451" s="284"/>
      <c r="H451" s="847" t="e">
        <f>'PUNJAB 04-22Master'!#REF!</f>
        <v>#REF!</v>
      </c>
      <c r="I451" s="848"/>
      <c r="J451" s="848"/>
      <c r="K451" s="848"/>
      <c r="L451" s="849"/>
    </row>
    <row r="452" spans="1:12" ht="27.95" customHeight="1">
      <c r="A452" s="62"/>
      <c r="B452" s="158"/>
      <c r="C452" s="283"/>
      <c r="D452" s="283"/>
      <c r="E452" s="283"/>
      <c r="F452" s="283"/>
      <c r="G452" s="284"/>
      <c r="H452" s="847" t="e">
        <f>'PUNJAB 04-22Master'!#REF!</f>
        <v>#REF!</v>
      </c>
      <c r="I452" s="848"/>
      <c r="J452" s="848"/>
      <c r="K452" s="848"/>
      <c r="L452" s="849"/>
    </row>
    <row r="453" spans="1:12" ht="27.95" customHeight="1">
      <c r="A453" s="62"/>
      <c r="B453" s="158"/>
      <c r="C453" s="283"/>
      <c r="D453" s="283"/>
      <c r="E453" s="283"/>
      <c r="F453" s="283"/>
      <c r="G453" s="284"/>
      <c r="H453" s="847" t="e">
        <f>'PUNJAB 04-22Master'!#REF!</f>
        <v>#REF!</v>
      </c>
      <c r="I453" s="848"/>
      <c r="J453" s="848"/>
      <c r="K453" s="848"/>
      <c r="L453" s="849"/>
    </row>
    <row r="454" spans="1:12" ht="27.95" customHeight="1">
      <c r="A454" s="62"/>
      <c r="B454" s="158" t="s">
        <v>203</v>
      </c>
      <c r="C454" s="283"/>
      <c r="D454" s="283"/>
      <c r="E454" s="283"/>
      <c r="F454" s="283"/>
      <c r="G454" s="284"/>
      <c r="H454" s="337"/>
      <c r="I454" s="338"/>
      <c r="J454" s="338"/>
      <c r="K454" s="338"/>
      <c r="L454" s="342"/>
    </row>
    <row r="455" spans="1:12">
      <c r="A455" s="62"/>
      <c r="B455" s="161" t="s">
        <v>204</v>
      </c>
      <c r="C455" s="221"/>
      <c r="D455" s="221"/>
      <c r="E455" s="221"/>
      <c r="F455" s="221"/>
      <c r="G455" s="222"/>
      <c r="H455" s="223"/>
      <c r="I455" s="224"/>
      <c r="J455" s="225"/>
      <c r="K455" s="224"/>
      <c r="L455" s="226"/>
    </row>
    <row r="456" spans="1:12" ht="45">
      <c r="A456" s="62"/>
      <c r="B456" s="158" t="s">
        <v>207</v>
      </c>
      <c r="C456" s="283"/>
      <c r="D456" s="338"/>
      <c r="E456" s="341" t="s">
        <v>209</v>
      </c>
      <c r="F456" s="119"/>
      <c r="G456" s="850" t="s">
        <v>208</v>
      </c>
      <c r="H456" s="851"/>
      <c r="I456" s="336" t="s">
        <v>205</v>
      </c>
      <c r="J456" s="239" t="s">
        <v>210</v>
      </c>
      <c r="K456" s="850" t="s">
        <v>206</v>
      </c>
      <c r="L456" s="852"/>
    </row>
    <row r="457" spans="1:12">
      <c r="A457" s="62"/>
      <c r="B457" s="240">
        <v>1</v>
      </c>
      <c r="C457" s="283"/>
      <c r="D457" s="283"/>
      <c r="E457" s="243">
        <v>2</v>
      </c>
      <c r="F457" s="284"/>
      <c r="G457" s="243">
        <v>3</v>
      </c>
      <c r="H457" s="339"/>
      <c r="I457" s="339">
        <v>4</v>
      </c>
      <c r="J457" s="328">
        <v>5</v>
      </c>
      <c r="K457" s="159"/>
      <c r="L457" s="160">
        <v>6</v>
      </c>
    </row>
    <row r="458" spans="1:12">
      <c r="A458" s="62"/>
      <c r="B458" s="391" t="e">
        <f>'PUNJAB 04-22Master'!#REF!</f>
        <v>#REF!</v>
      </c>
      <c r="C458" s="261"/>
      <c r="D458" s="262"/>
      <c r="E458" s="392" t="s">
        <v>365</v>
      </c>
      <c r="F458" s="262"/>
      <c r="G458" s="392" t="s">
        <v>366</v>
      </c>
      <c r="H458" s="119"/>
      <c r="I458" s="30" t="s">
        <v>367</v>
      </c>
      <c r="J458" s="390">
        <v>1</v>
      </c>
      <c r="K458" s="853" t="s">
        <v>37</v>
      </c>
      <c r="L458" s="854"/>
    </row>
    <row r="459" spans="1:12">
      <c r="A459" s="62"/>
      <c r="B459" s="158"/>
      <c r="C459" s="261"/>
      <c r="D459" s="262"/>
      <c r="E459" s="263"/>
      <c r="F459" s="262"/>
      <c r="G459" s="263"/>
      <c r="H459" s="119"/>
      <c r="I459" s="30"/>
      <c r="J459" s="30"/>
      <c r="K459" s="264"/>
      <c r="L459" s="119"/>
    </row>
    <row r="460" spans="1:12" ht="15" customHeight="1">
      <c r="A460" s="62"/>
      <c r="B460" s="158"/>
      <c r="C460" s="261"/>
      <c r="D460" s="262"/>
      <c r="E460" s="263"/>
      <c r="F460" s="262"/>
      <c r="G460" s="263"/>
      <c r="H460" s="119"/>
      <c r="I460" s="30"/>
      <c r="J460" s="30"/>
      <c r="K460" s="264"/>
      <c r="L460" s="119"/>
    </row>
    <row r="461" spans="1:12">
      <c r="A461" s="62"/>
      <c r="B461" s="127"/>
      <c r="C461" s="68"/>
      <c r="D461" s="128"/>
      <c r="E461" s="263"/>
      <c r="F461" s="262"/>
      <c r="G461" s="263"/>
      <c r="H461" s="119"/>
      <c r="I461" s="30"/>
      <c r="J461" s="30"/>
      <c r="K461" s="264"/>
      <c r="L461" s="119"/>
    </row>
    <row r="462" spans="1:12" ht="24.95" customHeight="1">
      <c r="A462" s="62"/>
      <c r="B462" s="47" t="s">
        <v>211</v>
      </c>
      <c r="C462" s="47"/>
      <c r="D462" s="47"/>
      <c r="E462" s="47"/>
      <c r="F462" s="47"/>
      <c r="G462" s="47"/>
      <c r="H462" s="47"/>
      <c r="I462" s="47"/>
      <c r="J462" s="47"/>
      <c r="K462" s="47"/>
      <c r="L462" s="63"/>
    </row>
    <row r="463" spans="1:12" ht="24.95" customHeight="1">
      <c r="A463" s="62"/>
      <c r="B463" s="47" t="s">
        <v>212</v>
      </c>
      <c r="C463" s="47"/>
      <c r="D463" s="47"/>
      <c r="E463" s="47"/>
      <c r="F463" s="47"/>
      <c r="G463" s="47"/>
      <c r="H463" s="47"/>
      <c r="I463" s="47"/>
      <c r="J463" s="47"/>
      <c r="K463" s="47"/>
      <c r="L463" s="63"/>
    </row>
    <row r="464" spans="1:12" ht="24.95" customHeight="1">
      <c r="A464" s="62"/>
      <c r="B464" s="47" t="s">
        <v>213</v>
      </c>
      <c r="C464" s="47"/>
      <c r="D464" s="47"/>
      <c r="E464" s="47"/>
      <c r="F464" s="47"/>
      <c r="G464" s="47"/>
      <c r="H464" s="47"/>
      <c r="I464" s="47"/>
      <c r="J464" s="47"/>
      <c r="K464" s="47"/>
      <c r="L464" s="63"/>
    </row>
    <row r="465" spans="1:12">
      <c r="A465" s="62"/>
      <c r="B465" s="47"/>
      <c r="C465" s="47"/>
      <c r="D465" s="47"/>
      <c r="E465" s="47"/>
      <c r="F465" s="47"/>
      <c r="G465" s="47"/>
      <c r="H465" s="47"/>
      <c r="I465" s="47"/>
      <c r="J465" s="47"/>
      <c r="K465" s="47"/>
      <c r="L465" s="63"/>
    </row>
    <row r="466" spans="1:12">
      <c r="A466" s="62"/>
      <c r="B466" s="47"/>
      <c r="C466" s="47"/>
      <c r="D466" s="47"/>
      <c r="E466" s="47"/>
      <c r="F466" s="47"/>
      <c r="G466" s="47"/>
      <c r="H466" s="47"/>
      <c r="I466" s="47" t="s">
        <v>214</v>
      </c>
      <c r="J466" s="47"/>
      <c r="K466" s="47"/>
      <c r="L466" s="63"/>
    </row>
    <row r="467" spans="1:12" ht="18.75">
      <c r="A467" s="62"/>
      <c r="B467" s="47"/>
      <c r="C467" s="47"/>
      <c r="D467" s="47"/>
      <c r="E467" s="47"/>
      <c r="F467" s="248" t="s">
        <v>197</v>
      </c>
      <c r="G467" s="47"/>
      <c r="H467" s="47"/>
      <c r="I467" s="47"/>
      <c r="J467" s="47"/>
      <c r="K467" s="47"/>
      <c r="L467" s="63"/>
    </row>
    <row r="468" spans="1:12">
      <c r="A468" s="62" t="s">
        <v>198</v>
      </c>
      <c r="B468" s="47"/>
      <c r="C468" s="47"/>
      <c r="D468" s="47"/>
      <c r="E468" s="47"/>
      <c r="F468" s="47"/>
      <c r="G468" s="47"/>
      <c r="H468" s="47"/>
      <c r="I468" s="47"/>
      <c r="J468" s="47"/>
      <c r="K468" s="306" t="e">
        <f>'PUNJAB 04-22Master'!#REF!</f>
        <v>#REF!</v>
      </c>
      <c r="L468" s="63"/>
    </row>
    <row r="469" spans="1:12">
      <c r="A469" s="62" t="s">
        <v>199</v>
      </c>
      <c r="B469" s="47"/>
      <c r="C469" s="47"/>
      <c r="D469" s="47"/>
      <c r="E469" s="47"/>
      <c r="F469" s="47"/>
      <c r="G469" s="47"/>
      <c r="H469" s="47"/>
      <c r="I469" s="47"/>
      <c r="J469" s="47"/>
      <c r="K469" s="47"/>
      <c r="L469" s="63"/>
    </row>
    <row r="470" spans="1:12">
      <c r="A470" s="62"/>
      <c r="B470" s="47"/>
      <c r="C470" s="47"/>
      <c r="D470" s="47"/>
      <c r="E470" s="47"/>
      <c r="F470" s="47"/>
      <c r="G470" s="47"/>
      <c r="H470" s="47"/>
      <c r="I470" s="47"/>
      <c r="J470" s="47"/>
      <c r="K470" s="47"/>
      <c r="L470" s="63"/>
    </row>
    <row r="471" spans="1:12">
      <c r="A471" s="62"/>
      <c r="B471" s="47"/>
      <c r="C471" s="47"/>
      <c r="D471" s="47"/>
      <c r="E471" s="47"/>
      <c r="F471" s="47"/>
      <c r="G471" s="47"/>
      <c r="H471" s="47"/>
      <c r="I471" s="47"/>
      <c r="J471" s="47"/>
      <c r="K471" s="47"/>
      <c r="L471" s="63"/>
    </row>
    <row r="472" spans="1:12">
      <c r="A472" s="62"/>
      <c r="B472" s="47"/>
      <c r="C472" s="47"/>
      <c r="D472" s="47"/>
      <c r="E472" s="47"/>
      <c r="F472" s="47" t="s">
        <v>200</v>
      </c>
      <c r="G472" s="47"/>
      <c r="H472" s="47"/>
      <c r="I472" s="47"/>
      <c r="J472" s="47"/>
      <c r="K472" s="47"/>
      <c r="L472" s="63"/>
    </row>
    <row r="473" spans="1:12">
      <c r="A473" s="62" t="s">
        <v>201</v>
      </c>
      <c r="B473" s="47" t="s">
        <v>364</v>
      </c>
      <c r="C473" s="47"/>
      <c r="D473" s="47"/>
      <c r="E473" s="47"/>
      <c r="F473" s="47" t="str">
        <f>'PUNJAB 04-22Master'!F5</f>
        <v>Burgeon IT Services Pvt.Ltd.</v>
      </c>
      <c r="G473" s="47"/>
      <c r="H473" s="47"/>
      <c r="I473" s="47"/>
      <c r="J473" s="47"/>
      <c r="K473" s="47"/>
      <c r="L473" s="63"/>
    </row>
    <row r="474" spans="1:12">
      <c r="A474" s="62" t="s">
        <v>202</v>
      </c>
      <c r="B474" s="389" t="e">
        <f>'PUNJAB 04-22Master'!#REF!</f>
        <v>#REF!</v>
      </c>
      <c r="C474" s="47"/>
      <c r="D474" s="47"/>
      <c r="E474" s="47"/>
      <c r="F474" s="250" t="str">
        <f>'PUNJAB 04-22Master'!F6</f>
        <v>Siri Mansion LIGB 436 Dr.A S Rao Nagar,Hyderabad</v>
      </c>
      <c r="G474" s="250"/>
      <c r="H474" s="250"/>
      <c r="I474" s="250"/>
      <c r="J474" s="250"/>
      <c r="K474" s="250"/>
      <c r="L474" s="63"/>
    </row>
    <row r="475" spans="1:12">
      <c r="A475" s="62"/>
      <c r="B475" s="389"/>
      <c r="C475" s="47"/>
      <c r="D475" s="47"/>
      <c r="E475" s="47"/>
      <c r="F475" s="250"/>
      <c r="G475" s="250"/>
      <c r="H475" s="250"/>
      <c r="I475" s="250"/>
      <c r="J475" s="250"/>
      <c r="K475" s="250"/>
      <c r="L475" s="63"/>
    </row>
    <row r="476" spans="1:12">
      <c r="A476" s="62"/>
      <c r="B476" s="389"/>
      <c r="C476" s="47"/>
      <c r="D476" s="47"/>
      <c r="E476" s="47"/>
      <c r="F476" s="250"/>
      <c r="G476" s="250"/>
      <c r="H476" s="250"/>
      <c r="I476" s="250"/>
      <c r="J476" s="250"/>
      <c r="K476" s="250"/>
      <c r="L476" s="63"/>
    </row>
    <row r="477" spans="1:12" ht="15.75" thickBot="1">
      <c r="A477" s="76"/>
      <c r="B477" s="74"/>
      <c r="C477" s="74"/>
      <c r="D477" s="74"/>
      <c r="E477" s="74"/>
      <c r="F477" s="74"/>
      <c r="G477" s="74"/>
      <c r="H477" s="74"/>
      <c r="I477" s="74"/>
      <c r="J477" s="74"/>
      <c r="K477" s="74"/>
      <c r="L477" s="75"/>
    </row>
    <row r="478" spans="1:12" ht="27.95" customHeight="1">
      <c r="A478" s="140"/>
      <c r="B478" s="742" t="s">
        <v>185</v>
      </c>
      <c r="C478" s="743"/>
      <c r="D478" s="743"/>
      <c r="E478" s="743"/>
      <c r="F478" s="743"/>
      <c r="G478" s="743"/>
      <c r="H478" s="743"/>
      <c r="I478" s="743"/>
      <c r="J478" s="743"/>
      <c r="K478" s="743"/>
      <c r="L478" s="744"/>
    </row>
    <row r="479" spans="1:12" ht="27.95" customHeight="1">
      <c r="A479" s="62"/>
      <c r="B479" s="745" t="s">
        <v>186</v>
      </c>
      <c r="C479" s="745"/>
      <c r="D479" s="745"/>
      <c r="E479" s="745"/>
      <c r="F479" s="745"/>
      <c r="G479" s="745"/>
      <c r="H479" s="745"/>
      <c r="I479" s="745"/>
      <c r="J479" s="745"/>
      <c r="K479" s="745"/>
      <c r="L479" s="746"/>
    </row>
    <row r="480" spans="1:12" ht="27.95" customHeight="1" thickBot="1">
      <c r="A480" s="76"/>
      <c r="B480" s="747" t="s">
        <v>187</v>
      </c>
      <c r="C480" s="747"/>
      <c r="D480" s="747"/>
      <c r="E480" s="747"/>
      <c r="F480" s="747"/>
      <c r="G480" s="747"/>
      <c r="H480" s="747"/>
      <c r="I480" s="747"/>
      <c r="J480" s="747"/>
      <c r="K480" s="747"/>
      <c r="L480" s="748"/>
    </row>
    <row r="481" spans="1:12" ht="27.95" customHeight="1">
      <c r="A481" s="62"/>
      <c r="B481" s="757" t="s">
        <v>117</v>
      </c>
      <c r="C481" s="757"/>
      <c r="D481" s="757"/>
      <c r="E481" s="757"/>
      <c r="F481" s="757"/>
      <c r="G481" s="47"/>
      <c r="H481" s="758" t="s">
        <v>118</v>
      </c>
      <c r="I481" s="758"/>
      <c r="J481" s="758"/>
      <c r="K481" s="758"/>
      <c r="L481" s="759"/>
    </row>
    <row r="482" spans="1:12" ht="27.95" customHeight="1" thickBot="1">
      <c r="A482" s="62"/>
      <c r="B482" s="757"/>
      <c r="C482" s="757"/>
      <c r="D482" s="757"/>
      <c r="E482" s="757"/>
      <c r="F482" s="757"/>
      <c r="G482" s="47"/>
      <c r="H482" s="758"/>
      <c r="I482" s="758"/>
      <c r="J482" s="758"/>
      <c r="K482" s="758"/>
      <c r="L482" s="759"/>
    </row>
    <row r="483" spans="1:12" ht="27.95" customHeight="1">
      <c r="A483" s="62"/>
      <c r="B483" s="140"/>
      <c r="C483" s="141"/>
      <c r="D483" s="141"/>
      <c r="E483" s="141"/>
      <c r="F483" s="142"/>
      <c r="G483" s="47"/>
      <c r="H483" s="140"/>
      <c r="I483" s="141"/>
      <c r="J483" s="141"/>
      <c r="K483" s="141"/>
      <c r="L483" s="142"/>
    </row>
    <row r="484" spans="1:12" ht="27.95" customHeight="1">
      <c r="A484" s="62"/>
      <c r="B484" s="146">
        <f>'04-22 Muster Roll'!D453</f>
        <v>0</v>
      </c>
      <c r="C484" s="144"/>
      <c r="D484" s="144"/>
      <c r="E484" s="144"/>
      <c r="F484" s="145"/>
      <c r="G484" s="47"/>
      <c r="H484" s="146">
        <f>'04-22 Muster Roll'!Z453</f>
        <v>0</v>
      </c>
      <c r="I484" s="144"/>
      <c r="J484" s="144"/>
      <c r="K484" s="144"/>
      <c r="L484" s="145"/>
    </row>
    <row r="485" spans="1:12" ht="27.95" customHeight="1">
      <c r="A485" s="62"/>
      <c r="B485" s="62"/>
      <c r="C485" s="144"/>
      <c r="D485" s="144"/>
      <c r="E485" s="144"/>
      <c r="F485" s="145"/>
      <c r="G485" s="47"/>
      <c r="H485" s="62"/>
      <c r="I485" s="144"/>
      <c r="J485" s="144"/>
      <c r="K485" s="144"/>
      <c r="L485" s="145"/>
    </row>
    <row r="486" spans="1:12" ht="27.95" customHeight="1">
      <c r="A486" s="62"/>
      <c r="B486" s="146">
        <f>'04-22 Muster Roll'!D454</f>
        <v>0</v>
      </c>
      <c r="C486" s="144"/>
      <c r="D486" s="144"/>
      <c r="E486" s="144"/>
      <c r="F486" s="145"/>
      <c r="G486" s="47"/>
      <c r="H486" s="146">
        <f>'04-22 Muster Roll'!Z454</f>
        <v>0</v>
      </c>
      <c r="I486" s="144"/>
      <c r="J486" s="144"/>
      <c r="K486" s="144"/>
      <c r="L486" s="145"/>
    </row>
    <row r="487" spans="1:12" ht="27.95" customHeight="1" thickBot="1">
      <c r="A487" s="62"/>
      <c r="B487" s="147"/>
      <c r="C487" s="77"/>
      <c r="D487" s="77"/>
      <c r="E487" s="77"/>
      <c r="F487" s="148"/>
      <c r="G487" s="47"/>
      <c r="H487" s="147"/>
      <c r="I487" s="77"/>
      <c r="J487" s="77"/>
      <c r="K487" s="77"/>
      <c r="L487" s="148"/>
    </row>
    <row r="488" spans="1:12" ht="27.95" customHeight="1">
      <c r="A488" s="62"/>
      <c r="B488" s="47"/>
      <c r="C488" s="47"/>
      <c r="D488" s="47"/>
      <c r="E488" s="47"/>
      <c r="F488" s="47"/>
      <c r="G488" s="47"/>
      <c r="H488" s="47"/>
      <c r="I488" s="47"/>
      <c r="J488" s="47" t="s">
        <v>119</v>
      </c>
      <c r="K488" s="47"/>
      <c r="L488" s="63"/>
    </row>
    <row r="489" spans="1:12" ht="27.95" customHeight="1">
      <c r="A489" s="62"/>
      <c r="B489" s="760" t="s">
        <v>120</v>
      </c>
      <c r="C489" s="760"/>
      <c r="D489" s="760"/>
      <c r="E489" s="760"/>
      <c r="F489" s="760"/>
      <c r="G489" s="47"/>
      <c r="H489" s="760" t="s">
        <v>4</v>
      </c>
      <c r="I489" s="760"/>
      <c r="J489" s="760"/>
      <c r="K489" s="760"/>
      <c r="L489" s="761"/>
    </row>
    <row r="490" spans="1:12" ht="27.95" customHeight="1" thickBot="1">
      <c r="A490" s="62"/>
      <c r="B490" s="47"/>
      <c r="C490" s="47"/>
      <c r="D490" s="47"/>
      <c r="E490" s="47"/>
      <c r="F490" s="47"/>
      <c r="G490" s="47"/>
      <c r="H490" s="47"/>
      <c r="I490" s="47"/>
      <c r="J490" s="47"/>
      <c r="K490" s="47"/>
      <c r="L490" s="63"/>
    </row>
    <row r="491" spans="1:12" ht="15" customHeight="1">
      <c r="A491" s="62"/>
      <c r="B491" s="140"/>
      <c r="C491" s="141"/>
      <c r="D491" s="141"/>
      <c r="E491" s="141"/>
      <c r="F491" s="142"/>
      <c r="G491" s="47"/>
      <c r="H491" s="149"/>
      <c r="I491" s="150"/>
      <c r="J491" s="150"/>
      <c r="K491" s="150"/>
      <c r="L491" s="151"/>
    </row>
    <row r="492" spans="1:12" ht="15" customHeight="1">
      <c r="A492" s="62"/>
      <c r="B492" s="143"/>
      <c r="C492" s="144"/>
      <c r="D492" s="144"/>
      <c r="E492" s="144"/>
      <c r="F492" s="145"/>
      <c r="G492" s="47"/>
      <c r="H492" s="146">
        <f>'04-22 Muster Roll'!Z457</f>
        <v>0</v>
      </c>
      <c r="I492" s="152"/>
      <c r="J492" s="152"/>
      <c r="K492" s="152"/>
      <c r="L492" s="153"/>
    </row>
    <row r="493" spans="1:12" ht="15" customHeight="1">
      <c r="A493" s="62"/>
      <c r="B493" s="146">
        <f>'04-22 Muster Roll'!D455</f>
        <v>0</v>
      </c>
      <c r="C493" s="144"/>
      <c r="D493" s="144"/>
      <c r="E493" s="144"/>
      <c r="F493" s="145"/>
      <c r="G493" s="47"/>
      <c r="H493" s="146"/>
      <c r="I493" s="152"/>
      <c r="J493" s="152"/>
      <c r="K493" s="152"/>
      <c r="L493" s="153"/>
    </row>
    <row r="494" spans="1:12" ht="15" customHeight="1">
      <c r="A494" s="62"/>
      <c r="B494" s="143"/>
      <c r="C494" s="144"/>
      <c r="D494" s="144"/>
      <c r="E494" s="144"/>
      <c r="F494" s="145"/>
      <c r="G494" s="47"/>
      <c r="H494" s="146">
        <f>'04-22 Muster Roll'!Z458</f>
        <v>0</v>
      </c>
      <c r="I494" s="152"/>
      <c r="J494" s="152"/>
      <c r="K494" s="152"/>
      <c r="L494" s="153"/>
    </row>
    <row r="495" spans="1:12" ht="15" customHeight="1" thickBot="1">
      <c r="A495" s="62"/>
      <c r="B495" s="147"/>
      <c r="C495" s="77"/>
      <c r="D495" s="77"/>
      <c r="E495" s="77"/>
      <c r="F495" s="148"/>
      <c r="G495" s="47"/>
      <c r="H495" s="154"/>
      <c r="I495" s="155"/>
      <c r="J495" s="155"/>
      <c r="K495" s="155"/>
      <c r="L495" s="156"/>
    </row>
    <row r="496" spans="1:12">
      <c r="A496" s="157"/>
      <c r="B496" s="762" t="s">
        <v>188</v>
      </c>
      <c r="C496" s="762"/>
      <c r="D496" s="762"/>
      <c r="E496" s="762"/>
      <c r="F496" s="762"/>
      <c r="G496" s="762"/>
      <c r="H496" s="750">
        <f>'PUNJAB 04-22Master'!B478</f>
        <v>0</v>
      </c>
      <c r="I496" s="751"/>
      <c r="J496" s="751"/>
      <c r="K496" s="751"/>
      <c r="L496" s="752"/>
    </row>
    <row r="497" spans="1:12" ht="15" customHeight="1">
      <c r="A497" s="157"/>
      <c r="B497" s="753" t="s">
        <v>189</v>
      </c>
      <c r="C497" s="753"/>
      <c r="D497" s="753"/>
      <c r="E497" s="753"/>
      <c r="F497" s="753"/>
      <c r="G497" s="753"/>
      <c r="H497" s="750">
        <f>'PUNJAB 04-22Master'!E478</f>
        <v>0</v>
      </c>
      <c r="I497" s="751"/>
      <c r="J497" s="751"/>
      <c r="K497" s="751"/>
      <c r="L497" s="752"/>
    </row>
    <row r="498" spans="1:12">
      <c r="A498" s="157"/>
      <c r="B498" s="762" t="s">
        <v>190</v>
      </c>
      <c r="C498" s="762"/>
      <c r="D498" s="762"/>
      <c r="E498" s="762"/>
      <c r="F498" s="762"/>
      <c r="G498" s="762"/>
      <c r="H498" s="750">
        <f>'PUNJAB 04-22Master'!C478</f>
        <v>0</v>
      </c>
      <c r="I498" s="751"/>
      <c r="J498" s="751"/>
      <c r="K498" s="751"/>
      <c r="L498" s="752"/>
    </row>
    <row r="499" spans="1:12">
      <c r="A499" s="157"/>
      <c r="B499" s="762" t="s">
        <v>191</v>
      </c>
      <c r="C499" s="762"/>
      <c r="D499" s="762"/>
      <c r="E499" s="762"/>
      <c r="F499" s="762"/>
      <c r="G499" s="762"/>
      <c r="H499" s="855">
        <f>'PUNJAB 04-22Master'!D478</f>
        <v>0</v>
      </c>
      <c r="I499" s="751"/>
      <c r="J499" s="751"/>
      <c r="K499" s="751"/>
      <c r="L499" s="752"/>
    </row>
    <row r="500" spans="1:12">
      <c r="A500" s="157"/>
      <c r="B500" s="158" t="s">
        <v>192</v>
      </c>
      <c r="C500" s="283"/>
      <c r="D500" s="283"/>
      <c r="E500" s="283"/>
      <c r="F500" s="283"/>
      <c r="G500" s="283"/>
      <c r="H500" s="856" t="s">
        <v>193</v>
      </c>
      <c r="I500" s="857"/>
      <c r="J500" s="857"/>
      <c r="K500" s="857"/>
      <c r="L500" s="858"/>
    </row>
    <row r="501" spans="1:12" ht="15" customHeight="1">
      <c r="A501" s="157"/>
      <c r="B501" s="158" t="s">
        <v>194</v>
      </c>
      <c r="C501" s="283"/>
      <c r="D501" s="283"/>
      <c r="E501" s="283"/>
      <c r="F501" s="283"/>
      <c r="G501" s="283"/>
      <c r="H501" s="337"/>
      <c r="I501" s="338"/>
      <c r="J501" s="244"/>
      <c r="K501" s="338"/>
      <c r="L501" s="342"/>
    </row>
    <row r="502" spans="1:12" ht="15" customHeight="1">
      <c r="A502" s="157"/>
      <c r="B502" s="773" t="s">
        <v>195</v>
      </c>
      <c r="C502" s="773"/>
      <c r="D502" s="773"/>
      <c r="E502" s="773"/>
      <c r="F502" s="773"/>
      <c r="G502" s="773"/>
      <c r="H502" s="767">
        <f>'PUNJAB 04-22Master'!G478</f>
        <v>0</v>
      </c>
      <c r="I502" s="768"/>
      <c r="J502" s="768"/>
      <c r="K502" s="768"/>
      <c r="L502" s="769"/>
    </row>
    <row r="503" spans="1:12">
      <c r="A503" s="157"/>
      <c r="B503" s="762"/>
      <c r="C503" s="762"/>
      <c r="D503" s="762"/>
      <c r="E503" s="762"/>
      <c r="F503" s="762"/>
      <c r="G503" s="762"/>
      <c r="H503" s="763">
        <f>'PUNJAB 04-22Master'!H478</f>
        <v>0</v>
      </c>
      <c r="I503" s="751"/>
      <c r="J503" s="751"/>
      <c r="K503" s="751"/>
      <c r="L503" s="752"/>
    </row>
    <row r="504" spans="1:12">
      <c r="A504" s="62"/>
      <c r="B504" s="762"/>
      <c r="C504" s="762"/>
      <c r="D504" s="762"/>
      <c r="E504" s="762"/>
      <c r="F504" s="762"/>
      <c r="G504" s="762"/>
      <c r="H504" s="750">
        <f>'PUNJAB 04-22Master'!I478</f>
        <v>0</v>
      </c>
      <c r="I504" s="751"/>
      <c r="J504" s="751"/>
      <c r="K504" s="751"/>
      <c r="L504" s="752"/>
    </row>
    <row r="505" spans="1:12">
      <c r="A505" s="62"/>
      <c r="B505" s="158" t="s">
        <v>196</v>
      </c>
      <c r="C505" s="283"/>
      <c r="D505" s="283"/>
      <c r="E505" s="283"/>
      <c r="F505" s="283"/>
      <c r="G505" s="284"/>
      <c r="H505" s="847">
        <f>'PUNJAB 04-22Master'!J478</f>
        <v>0</v>
      </c>
      <c r="I505" s="848"/>
      <c r="J505" s="848"/>
      <c r="K505" s="848"/>
      <c r="L505" s="849"/>
    </row>
    <row r="506" spans="1:12">
      <c r="A506" s="62"/>
      <c r="B506" s="158"/>
      <c r="C506" s="283"/>
      <c r="D506" s="283"/>
      <c r="E506" s="283"/>
      <c r="F506" s="283"/>
      <c r="G506" s="284"/>
      <c r="H506" s="847">
        <f>'PUNJAB 04-22Master'!K478</f>
        <v>0</v>
      </c>
      <c r="I506" s="848"/>
      <c r="J506" s="848"/>
      <c r="K506" s="848"/>
      <c r="L506" s="849"/>
    </row>
    <row r="507" spans="1:12">
      <c r="A507" s="62"/>
      <c r="B507" s="158"/>
      <c r="C507" s="283"/>
      <c r="D507" s="283"/>
      <c r="E507" s="283"/>
      <c r="F507" s="283"/>
      <c r="G507" s="284"/>
      <c r="H507" s="847">
        <f>'PUNJAB 04-22Master'!L478</f>
        <v>0</v>
      </c>
      <c r="I507" s="848"/>
      <c r="J507" s="848"/>
      <c r="K507" s="848"/>
      <c r="L507" s="849"/>
    </row>
    <row r="508" spans="1:12">
      <c r="A508" s="62"/>
      <c r="B508" s="158" t="s">
        <v>203</v>
      </c>
      <c r="C508" s="283"/>
      <c r="D508" s="283"/>
      <c r="E508" s="283"/>
      <c r="F508" s="283"/>
      <c r="G508" s="284"/>
      <c r="H508" s="337"/>
      <c r="I508" s="338"/>
      <c r="J508" s="338"/>
      <c r="K508" s="338"/>
      <c r="L508" s="342"/>
    </row>
    <row r="509" spans="1:12">
      <c r="A509" s="62"/>
      <c r="B509" s="161" t="s">
        <v>204</v>
      </c>
      <c r="C509" s="221"/>
      <c r="D509" s="221"/>
      <c r="E509" s="221"/>
      <c r="F509" s="221"/>
      <c r="G509" s="222"/>
      <c r="H509" s="223"/>
      <c r="I509" s="224"/>
      <c r="J509" s="225"/>
      <c r="K509" s="224"/>
      <c r="L509" s="226"/>
    </row>
    <row r="510" spans="1:12" ht="45" customHeight="1">
      <c r="A510" s="62"/>
      <c r="B510" s="158" t="s">
        <v>207</v>
      </c>
      <c r="C510" s="283"/>
      <c r="D510" s="338"/>
      <c r="E510" s="341" t="s">
        <v>209</v>
      </c>
      <c r="F510" s="119"/>
      <c r="G510" s="850" t="s">
        <v>208</v>
      </c>
      <c r="H510" s="851"/>
      <c r="I510" s="336" t="s">
        <v>205</v>
      </c>
      <c r="J510" s="239" t="s">
        <v>210</v>
      </c>
      <c r="K510" s="850" t="s">
        <v>206</v>
      </c>
      <c r="L510" s="852"/>
    </row>
    <row r="511" spans="1:12">
      <c r="A511" s="62"/>
      <c r="B511" s="240">
        <v>1</v>
      </c>
      <c r="C511" s="283"/>
      <c r="D511" s="283"/>
      <c r="E511" s="243">
        <v>2</v>
      </c>
      <c r="F511" s="284"/>
      <c r="G511" s="243">
        <v>3</v>
      </c>
      <c r="H511" s="339"/>
      <c r="I511" s="339">
        <v>4</v>
      </c>
      <c r="J511" s="328">
        <v>5</v>
      </c>
      <c r="K511" s="159"/>
      <c r="L511" s="160">
        <v>6</v>
      </c>
    </row>
    <row r="512" spans="1:12">
      <c r="A512" s="62"/>
      <c r="B512" s="391">
        <f>'PUNJAB 04-22Master'!E478</f>
        <v>0</v>
      </c>
      <c r="C512" s="261"/>
      <c r="D512" s="262"/>
      <c r="E512" s="392" t="s">
        <v>365</v>
      </c>
      <c r="F512" s="262"/>
      <c r="G512" s="392" t="s">
        <v>366</v>
      </c>
      <c r="H512" s="119"/>
      <c r="I512" s="30" t="s">
        <v>367</v>
      </c>
      <c r="J512" s="390">
        <v>1</v>
      </c>
      <c r="K512" s="853" t="s">
        <v>37</v>
      </c>
      <c r="L512" s="854"/>
    </row>
    <row r="513" spans="1:12">
      <c r="A513" s="62"/>
      <c r="B513" s="158"/>
      <c r="C513" s="261"/>
      <c r="D513" s="262"/>
      <c r="E513" s="263"/>
      <c r="F513" s="262"/>
      <c r="G513" s="263"/>
      <c r="H513" s="119"/>
      <c r="I513" s="30"/>
      <c r="J513" s="30"/>
      <c r="K513" s="264"/>
      <c r="L513" s="119"/>
    </row>
    <row r="514" spans="1:12">
      <c r="A514" s="62"/>
      <c r="B514" s="158"/>
      <c r="C514" s="261"/>
      <c r="D514" s="262"/>
      <c r="E514" s="263"/>
      <c r="F514" s="262"/>
      <c r="G514" s="263"/>
      <c r="H514" s="119"/>
      <c r="I514" s="30"/>
      <c r="J514" s="30"/>
      <c r="K514" s="264"/>
      <c r="L514" s="119"/>
    </row>
    <row r="515" spans="1:12">
      <c r="A515" s="62"/>
      <c r="B515" s="127"/>
      <c r="C515" s="68"/>
      <c r="D515" s="128"/>
      <c r="E515" s="263"/>
      <c r="F515" s="262"/>
      <c r="G515" s="263"/>
      <c r="H515" s="119"/>
      <c r="I515" s="30"/>
      <c r="J515" s="30"/>
      <c r="K515" s="264"/>
      <c r="L515" s="119"/>
    </row>
    <row r="516" spans="1:12" ht="27.95" customHeight="1">
      <c r="A516" s="62"/>
      <c r="B516" s="47" t="s">
        <v>211</v>
      </c>
      <c r="C516" s="47"/>
      <c r="D516" s="47"/>
      <c r="E516" s="47"/>
      <c r="F516" s="47"/>
      <c r="G516" s="47"/>
      <c r="H516" s="47"/>
      <c r="I516" s="47"/>
      <c r="J516" s="47"/>
      <c r="K516" s="47"/>
      <c r="L516" s="63"/>
    </row>
    <row r="517" spans="1:12" ht="27.95" customHeight="1">
      <c r="A517" s="62"/>
      <c r="B517" s="47" t="s">
        <v>212</v>
      </c>
      <c r="C517" s="47"/>
      <c r="D517" s="47"/>
      <c r="E517" s="47"/>
      <c r="F517" s="47"/>
      <c r="G517" s="47"/>
      <c r="H517" s="47"/>
      <c r="I517" s="47"/>
      <c r="J517" s="47"/>
      <c r="K517" s="47"/>
      <c r="L517" s="63"/>
    </row>
    <row r="518" spans="1:12" ht="27.95" customHeight="1">
      <c r="A518" s="62"/>
      <c r="B518" s="47" t="s">
        <v>213</v>
      </c>
      <c r="C518" s="47"/>
      <c r="D518" s="47"/>
      <c r="E518" s="47"/>
      <c r="F518" s="47"/>
      <c r="G518" s="47"/>
      <c r="H518" s="47"/>
      <c r="I518" s="47"/>
      <c r="J518" s="47"/>
      <c r="K518" s="47"/>
      <c r="L518" s="63"/>
    </row>
    <row r="519" spans="1:12" ht="27.95" customHeight="1">
      <c r="A519" s="62"/>
      <c r="B519" s="47"/>
      <c r="C519" s="47"/>
      <c r="D519" s="47"/>
      <c r="E519" s="47"/>
      <c r="F519" s="47"/>
      <c r="G519" s="47"/>
      <c r="H519" s="47"/>
      <c r="I519" s="47" t="s">
        <v>214</v>
      </c>
      <c r="J519" s="47"/>
      <c r="K519" s="47"/>
      <c r="L519" s="63"/>
    </row>
    <row r="520" spans="1:12" ht="27.95" customHeight="1">
      <c r="A520" s="62"/>
      <c r="B520" s="47"/>
      <c r="C520" s="47"/>
      <c r="D520" s="47"/>
      <c r="E520" s="47"/>
      <c r="F520" s="248" t="s">
        <v>197</v>
      </c>
      <c r="G520" s="47"/>
      <c r="H520" s="47"/>
      <c r="I520" s="47"/>
      <c r="J520" s="47"/>
      <c r="K520" s="47"/>
      <c r="L520" s="63"/>
    </row>
    <row r="521" spans="1:12" ht="27.95" customHeight="1">
      <c r="A521" s="62" t="s">
        <v>198</v>
      </c>
      <c r="B521" s="47"/>
      <c r="C521" s="47"/>
      <c r="D521" s="47"/>
      <c r="E521" s="47"/>
      <c r="F521" s="47"/>
      <c r="G521" s="47"/>
      <c r="H521" s="47"/>
      <c r="I521" s="47"/>
      <c r="J521" s="47"/>
      <c r="K521" s="306">
        <f>'PUNJAB 04-22Master'!B478</f>
        <v>0</v>
      </c>
      <c r="L521" s="63"/>
    </row>
    <row r="522" spans="1:12" ht="27.95" customHeight="1">
      <c r="A522" s="62" t="s">
        <v>199</v>
      </c>
      <c r="B522" s="47"/>
      <c r="C522" s="47"/>
      <c r="D522" s="47"/>
      <c r="E522" s="47"/>
      <c r="F522" s="47"/>
      <c r="G522" s="47"/>
      <c r="H522" s="47"/>
      <c r="I522" s="47"/>
      <c r="J522" s="47"/>
      <c r="K522" s="47"/>
      <c r="L522" s="63"/>
    </row>
    <row r="523" spans="1:12" ht="27.95" customHeight="1">
      <c r="A523" s="62"/>
      <c r="B523" s="47"/>
      <c r="C523" s="47"/>
      <c r="D523" s="47"/>
      <c r="E523" s="47"/>
      <c r="F523" s="47" t="s">
        <v>200</v>
      </c>
      <c r="G523" s="47"/>
      <c r="H523" s="47"/>
      <c r="I523" s="47"/>
      <c r="J523" s="47"/>
      <c r="K523" s="47"/>
      <c r="L523" s="63"/>
    </row>
    <row r="524" spans="1:12" ht="27.95" customHeight="1">
      <c r="A524" s="62" t="s">
        <v>201</v>
      </c>
      <c r="B524" s="47" t="s">
        <v>364</v>
      </c>
      <c r="C524" s="47"/>
      <c r="D524" s="47"/>
      <c r="E524" s="47"/>
      <c r="F524" s="47">
        <f>'PUNJAB 04-22Master'!AO468</f>
        <v>0</v>
      </c>
      <c r="G524" s="47"/>
      <c r="H524" s="47"/>
      <c r="I524" s="47"/>
      <c r="J524" s="47"/>
      <c r="K524" s="47"/>
      <c r="L524" s="63"/>
    </row>
    <row r="525" spans="1:12" ht="27.95" customHeight="1">
      <c r="A525" s="62" t="s">
        <v>202</v>
      </c>
      <c r="B525" s="389">
        <f>'PUNJAB 04-22Master'!N478</f>
        <v>0</v>
      </c>
      <c r="C525" s="47"/>
      <c r="D525" s="47"/>
      <c r="E525" s="47"/>
      <c r="F525" s="250">
        <f>'PUNJAB 04-22Master'!AO469</f>
        <v>0</v>
      </c>
      <c r="G525" s="250"/>
      <c r="H525" s="250"/>
      <c r="I525" s="250"/>
      <c r="J525" s="250"/>
      <c r="K525" s="250"/>
      <c r="L525" s="63"/>
    </row>
    <row r="526" spans="1:12" ht="27.95" customHeight="1" thickBot="1">
      <c r="A526" s="76"/>
      <c r="B526" s="74"/>
      <c r="C526" s="74"/>
      <c r="D526" s="74"/>
      <c r="E526" s="74"/>
      <c r="F526" s="74"/>
      <c r="G526" s="74"/>
      <c r="H526" s="74"/>
      <c r="I526" s="74"/>
      <c r="J526" s="74"/>
      <c r="K526" s="74"/>
      <c r="L526" s="75"/>
    </row>
    <row r="527" spans="1:12" ht="27.95" customHeight="1">
      <c r="A527" s="140"/>
      <c r="B527" s="742" t="s">
        <v>185</v>
      </c>
      <c r="C527" s="743"/>
      <c r="D527" s="743"/>
      <c r="E527" s="743"/>
      <c r="F527" s="743"/>
      <c r="G527" s="743"/>
      <c r="H527" s="743"/>
      <c r="I527" s="743"/>
      <c r="J527" s="743"/>
      <c r="K527" s="743"/>
      <c r="L527" s="744"/>
    </row>
    <row r="528" spans="1:12" ht="27.95" customHeight="1">
      <c r="A528" s="62"/>
      <c r="B528" s="745" t="s">
        <v>186</v>
      </c>
      <c r="C528" s="745"/>
      <c r="D528" s="745"/>
      <c r="E528" s="745"/>
      <c r="F528" s="745"/>
      <c r="G528" s="745"/>
      <c r="H528" s="745"/>
      <c r="I528" s="745"/>
      <c r="J528" s="745"/>
      <c r="K528" s="745"/>
      <c r="L528" s="746"/>
    </row>
    <row r="529" spans="1:12" ht="27.95" customHeight="1" thickBot="1">
      <c r="A529" s="76"/>
      <c r="B529" s="747" t="s">
        <v>187</v>
      </c>
      <c r="C529" s="747"/>
      <c r="D529" s="747"/>
      <c r="E529" s="747"/>
      <c r="F529" s="747"/>
      <c r="G529" s="747"/>
      <c r="H529" s="747"/>
      <c r="I529" s="747"/>
      <c r="J529" s="747"/>
      <c r="K529" s="747"/>
      <c r="L529" s="748"/>
    </row>
    <row r="530" spans="1:12" ht="27.95" customHeight="1">
      <c r="A530" s="62"/>
      <c r="B530" s="757" t="s">
        <v>117</v>
      </c>
      <c r="C530" s="757"/>
      <c r="D530" s="757"/>
      <c r="E530" s="757"/>
      <c r="F530" s="757"/>
      <c r="G530" s="47"/>
      <c r="H530" s="758" t="s">
        <v>118</v>
      </c>
      <c r="I530" s="758"/>
      <c r="J530" s="758"/>
      <c r="K530" s="758"/>
      <c r="L530" s="759"/>
    </row>
    <row r="531" spans="1:12" ht="27.95" customHeight="1" thickBot="1">
      <c r="A531" s="62"/>
      <c r="B531" s="757"/>
      <c r="C531" s="757"/>
      <c r="D531" s="757"/>
      <c r="E531" s="757"/>
      <c r="F531" s="757"/>
      <c r="G531" s="47"/>
      <c r="H531" s="758"/>
      <c r="I531" s="758"/>
      <c r="J531" s="758"/>
      <c r="K531" s="758"/>
      <c r="L531" s="759"/>
    </row>
    <row r="532" spans="1:12">
      <c r="A532" s="62"/>
      <c r="B532" s="140"/>
      <c r="C532" s="141"/>
      <c r="D532" s="141"/>
      <c r="E532" s="141"/>
      <c r="F532" s="142"/>
      <c r="G532" s="47"/>
      <c r="H532" s="140"/>
      <c r="I532" s="141"/>
      <c r="J532" s="141"/>
      <c r="K532" s="141"/>
      <c r="L532" s="142"/>
    </row>
    <row r="533" spans="1:12">
      <c r="A533" s="62"/>
      <c r="B533" s="146">
        <f>'04-22 Muster Roll'!D504</f>
        <v>0</v>
      </c>
      <c r="C533" s="144"/>
      <c r="D533" s="144"/>
      <c r="E533" s="144"/>
      <c r="F533" s="145"/>
      <c r="G533" s="47"/>
      <c r="H533" s="146">
        <f>'04-22 Muster Roll'!Z504</f>
        <v>0</v>
      </c>
      <c r="I533" s="144"/>
      <c r="J533" s="144"/>
      <c r="K533" s="144"/>
      <c r="L533" s="145"/>
    </row>
    <row r="534" spans="1:12">
      <c r="A534" s="62"/>
      <c r="B534" s="62"/>
      <c r="C534" s="144"/>
      <c r="D534" s="144"/>
      <c r="E534" s="144"/>
      <c r="F534" s="145"/>
      <c r="G534" s="47"/>
      <c r="H534" s="62"/>
      <c r="I534" s="144"/>
      <c r="J534" s="144"/>
      <c r="K534" s="144"/>
      <c r="L534" s="145"/>
    </row>
    <row r="535" spans="1:12">
      <c r="A535" s="62"/>
      <c r="B535" s="146">
        <f>'04-22 Muster Roll'!D505</f>
        <v>0</v>
      </c>
      <c r="C535" s="144"/>
      <c r="D535" s="144"/>
      <c r="E535" s="144"/>
      <c r="F535" s="145"/>
      <c r="G535" s="47"/>
      <c r="H535" s="146">
        <f>'04-22 Muster Roll'!Z505</f>
        <v>0</v>
      </c>
      <c r="I535" s="144"/>
      <c r="J535" s="144"/>
      <c r="K535" s="144"/>
      <c r="L535" s="145"/>
    </row>
    <row r="536" spans="1:12" ht="15.75" thickBot="1">
      <c r="A536" s="62"/>
      <c r="B536" s="147"/>
      <c r="C536" s="77"/>
      <c r="D536" s="77"/>
      <c r="E536" s="77"/>
      <c r="F536" s="148"/>
      <c r="G536" s="47"/>
      <c r="H536" s="147"/>
      <c r="I536" s="77"/>
      <c r="J536" s="77"/>
      <c r="K536" s="77"/>
      <c r="L536" s="148"/>
    </row>
    <row r="537" spans="1:12" ht="15" customHeight="1">
      <c r="A537" s="62"/>
      <c r="B537" s="47"/>
      <c r="C537" s="47"/>
      <c r="D537" s="47"/>
      <c r="E537" s="47"/>
      <c r="F537" s="47"/>
      <c r="G537" s="47"/>
      <c r="H537" s="47"/>
      <c r="I537" s="47"/>
      <c r="J537" s="47" t="s">
        <v>119</v>
      </c>
      <c r="K537" s="47"/>
      <c r="L537" s="63"/>
    </row>
    <row r="538" spans="1:12">
      <c r="A538" s="62"/>
      <c r="B538" s="760" t="s">
        <v>120</v>
      </c>
      <c r="C538" s="760"/>
      <c r="D538" s="760"/>
      <c r="E538" s="760"/>
      <c r="F538" s="760"/>
      <c r="G538" s="47"/>
      <c r="H538" s="760" t="s">
        <v>4</v>
      </c>
      <c r="I538" s="760"/>
      <c r="J538" s="760"/>
      <c r="K538" s="760"/>
      <c r="L538" s="761"/>
    </row>
    <row r="539" spans="1:12" ht="15.75" thickBot="1">
      <c r="A539" s="62"/>
      <c r="B539" s="47"/>
      <c r="C539" s="47"/>
      <c r="D539" s="47"/>
      <c r="E539" s="47"/>
      <c r="F539" s="47"/>
      <c r="G539" s="47"/>
      <c r="H539" s="47"/>
      <c r="I539" s="47"/>
      <c r="J539" s="47"/>
      <c r="K539" s="47"/>
      <c r="L539" s="63"/>
    </row>
    <row r="540" spans="1:12">
      <c r="A540" s="62"/>
      <c r="B540" s="140"/>
      <c r="C540" s="141"/>
      <c r="D540" s="141"/>
      <c r="E540" s="141"/>
      <c r="F540" s="142"/>
      <c r="G540" s="47"/>
      <c r="H540" s="149"/>
      <c r="I540" s="150"/>
      <c r="J540" s="150"/>
      <c r="K540" s="150"/>
      <c r="L540" s="151"/>
    </row>
    <row r="541" spans="1:12">
      <c r="A541" s="62"/>
      <c r="B541" s="143"/>
      <c r="C541" s="144"/>
      <c r="D541" s="144"/>
      <c r="E541" s="144"/>
      <c r="F541" s="145"/>
      <c r="G541" s="47"/>
      <c r="H541" s="146">
        <f>'04-22 Muster Roll'!Z508</f>
        <v>0</v>
      </c>
      <c r="I541" s="152"/>
      <c r="J541" s="152"/>
      <c r="K541" s="152"/>
      <c r="L541" s="153"/>
    </row>
    <row r="542" spans="1:12">
      <c r="A542" s="62"/>
      <c r="B542" s="146">
        <f>'04-22 Muster Roll'!D506</f>
        <v>0</v>
      </c>
      <c r="C542" s="144"/>
      <c r="D542" s="144"/>
      <c r="E542" s="144"/>
      <c r="F542" s="145"/>
      <c r="G542" s="47"/>
      <c r="H542" s="146"/>
      <c r="I542" s="152"/>
      <c r="J542" s="152"/>
      <c r="K542" s="152"/>
      <c r="L542" s="153"/>
    </row>
    <row r="543" spans="1:12">
      <c r="A543" s="62"/>
      <c r="B543" s="143"/>
      <c r="C543" s="144"/>
      <c r="D543" s="144"/>
      <c r="E543" s="144"/>
      <c r="F543" s="145"/>
      <c r="G543" s="47"/>
      <c r="H543" s="146">
        <f>'04-22 Muster Roll'!Z509</f>
        <v>0</v>
      </c>
      <c r="I543" s="152"/>
      <c r="J543" s="152"/>
      <c r="K543" s="152"/>
      <c r="L543" s="153"/>
    </row>
    <row r="544" spans="1:12" ht="15.75" thickBot="1">
      <c r="A544" s="62"/>
      <c r="B544" s="147"/>
      <c r="C544" s="77"/>
      <c r="D544" s="77"/>
      <c r="E544" s="77"/>
      <c r="F544" s="148"/>
      <c r="G544" s="47"/>
      <c r="H544" s="154"/>
      <c r="I544" s="155"/>
      <c r="J544" s="155"/>
      <c r="K544" s="155"/>
      <c r="L544" s="156"/>
    </row>
    <row r="545" spans="1:12">
      <c r="A545" s="157"/>
      <c r="B545" s="762" t="s">
        <v>188</v>
      </c>
      <c r="C545" s="762"/>
      <c r="D545" s="762"/>
      <c r="E545" s="762"/>
      <c r="F545" s="762"/>
      <c r="G545" s="762"/>
      <c r="H545" s="750">
        <f>'PUNJAB 04-22Master'!B529</f>
        <v>0</v>
      </c>
      <c r="I545" s="751"/>
      <c r="J545" s="751"/>
      <c r="K545" s="751"/>
      <c r="L545" s="752"/>
    </row>
    <row r="546" spans="1:12">
      <c r="A546" s="157"/>
      <c r="B546" s="753" t="s">
        <v>189</v>
      </c>
      <c r="C546" s="753"/>
      <c r="D546" s="753"/>
      <c r="E546" s="753"/>
      <c r="F546" s="753"/>
      <c r="G546" s="753"/>
      <c r="H546" s="750">
        <f>'PUNJAB 04-22Master'!E529</f>
        <v>0</v>
      </c>
      <c r="I546" s="751"/>
      <c r="J546" s="751"/>
      <c r="K546" s="751"/>
      <c r="L546" s="752"/>
    </row>
    <row r="547" spans="1:12">
      <c r="A547" s="157"/>
      <c r="B547" s="762" t="s">
        <v>190</v>
      </c>
      <c r="C547" s="762"/>
      <c r="D547" s="762"/>
      <c r="E547" s="762"/>
      <c r="F547" s="762"/>
      <c r="G547" s="762"/>
      <c r="H547" s="750">
        <f>'PUNJAB 04-22Master'!C529</f>
        <v>0</v>
      </c>
      <c r="I547" s="751"/>
      <c r="J547" s="751"/>
      <c r="K547" s="751"/>
      <c r="L547" s="752"/>
    </row>
    <row r="548" spans="1:12">
      <c r="A548" s="157"/>
      <c r="B548" s="762" t="s">
        <v>191</v>
      </c>
      <c r="C548" s="762"/>
      <c r="D548" s="762"/>
      <c r="E548" s="762"/>
      <c r="F548" s="762"/>
      <c r="G548" s="762"/>
      <c r="H548" s="855">
        <f>'PUNJAB 04-22Master'!D529</f>
        <v>0</v>
      </c>
      <c r="I548" s="751"/>
      <c r="J548" s="751"/>
      <c r="K548" s="751"/>
      <c r="L548" s="752"/>
    </row>
    <row r="549" spans="1:12">
      <c r="A549" s="157"/>
      <c r="B549" s="158" t="s">
        <v>192</v>
      </c>
      <c r="C549" s="283"/>
      <c r="D549" s="283"/>
      <c r="E549" s="283"/>
      <c r="F549" s="283"/>
      <c r="G549" s="283"/>
      <c r="H549" s="856" t="s">
        <v>193</v>
      </c>
      <c r="I549" s="857"/>
      <c r="J549" s="857"/>
      <c r="K549" s="857"/>
      <c r="L549" s="858"/>
    </row>
    <row r="550" spans="1:12">
      <c r="A550" s="157"/>
      <c r="B550" s="158" t="s">
        <v>194</v>
      </c>
      <c r="C550" s="283"/>
      <c r="D550" s="283"/>
      <c r="E550" s="283"/>
      <c r="F550" s="283"/>
      <c r="G550" s="283"/>
      <c r="H550" s="337"/>
      <c r="I550" s="338"/>
      <c r="J550" s="244"/>
      <c r="K550" s="338"/>
      <c r="L550" s="342"/>
    </row>
    <row r="551" spans="1:12">
      <c r="A551" s="157"/>
      <c r="B551" s="773" t="s">
        <v>195</v>
      </c>
      <c r="C551" s="773"/>
      <c r="D551" s="773"/>
      <c r="E551" s="773"/>
      <c r="F551" s="773"/>
      <c r="G551" s="773"/>
      <c r="H551" s="767">
        <f>'PUNJAB 04-22Master'!G529</f>
        <v>0</v>
      </c>
      <c r="I551" s="768"/>
      <c r="J551" s="768"/>
      <c r="K551" s="768"/>
      <c r="L551" s="769"/>
    </row>
    <row r="552" spans="1:12" ht="27.95" customHeight="1">
      <c r="A552" s="157"/>
      <c r="B552" s="762"/>
      <c r="C552" s="762"/>
      <c r="D552" s="762"/>
      <c r="E552" s="762"/>
      <c r="F552" s="762"/>
      <c r="G552" s="762"/>
      <c r="H552" s="763">
        <f>'PUNJAB 04-22Master'!H529</f>
        <v>0</v>
      </c>
      <c r="I552" s="751"/>
      <c r="J552" s="751"/>
      <c r="K552" s="751"/>
      <c r="L552" s="752"/>
    </row>
    <row r="553" spans="1:12" ht="27.95" customHeight="1">
      <c r="A553" s="62"/>
      <c r="B553" s="762"/>
      <c r="C553" s="762"/>
      <c r="D553" s="762"/>
      <c r="E553" s="762"/>
      <c r="F553" s="762"/>
      <c r="G553" s="762"/>
      <c r="H553" s="750">
        <f>'PUNJAB 04-22Master'!I529</f>
        <v>0</v>
      </c>
      <c r="I553" s="751"/>
      <c r="J553" s="751"/>
      <c r="K553" s="751"/>
      <c r="L553" s="752"/>
    </row>
    <row r="554" spans="1:12" ht="27.95" customHeight="1">
      <c r="A554" s="62"/>
      <c r="B554" s="158" t="s">
        <v>196</v>
      </c>
      <c r="C554" s="283"/>
      <c r="D554" s="283"/>
      <c r="E554" s="283"/>
      <c r="F554" s="283"/>
      <c r="G554" s="284"/>
      <c r="H554" s="847">
        <f>'PUNJAB 04-22Master'!J529</f>
        <v>0</v>
      </c>
      <c r="I554" s="848"/>
      <c r="J554" s="848"/>
      <c r="K554" s="848"/>
      <c r="L554" s="849"/>
    </row>
    <row r="555" spans="1:12" ht="27.95" customHeight="1">
      <c r="A555" s="62"/>
      <c r="B555" s="158"/>
      <c r="C555" s="283"/>
      <c r="D555" s="283"/>
      <c r="E555" s="283"/>
      <c r="F555" s="283"/>
      <c r="G555" s="284"/>
      <c r="H555" s="847">
        <f>'PUNJAB 04-22Master'!K529</f>
        <v>0</v>
      </c>
      <c r="I555" s="848"/>
      <c r="J555" s="848"/>
      <c r="K555" s="848"/>
      <c r="L555" s="849"/>
    </row>
    <row r="556" spans="1:12" ht="27.95" customHeight="1">
      <c r="A556" s="62"/>
      <c r="B556" s="158"/>
      <c r="C556" s="283"/>
      <c r="D556" s="283"/>
      <c r="E556" s="283"/>
      <c r="F556" s="283"/>
      <c r="G556" s="284"/>
      <c r="H556" s="847">
        <f>'PUNJAB 04-22Master'!L529</f>
        <v>0</v>
      </c>
      <c r="I556" s="848"/>
      <c r="J556" s="848"/>
      <c r="K556" s="848"/>
      <c r="L556" s="849"/>
    </row>
    <row r="557" spans="1:12" ht="27.95" customHeight="1">
      <c r="A557" s="62"/>
      <c r="B557" s="158" t="s">
        <v>203</v>
      </c>
      <c r="C557" s="283"/>
      <c r="D557" s="283"/>
      <c r="E557" s="283"/>
      <c r="F557" s="283"/>
      <c r="G557" s="284"/>
      <c r="H557" s="337"/>
      <c r="I557" s="338"/>
      <c r="J557" s="338"/>
      <c r="K557" s="338"/>
      <c r="L557" s="342"/>
    </row>
    <row r="558" spans="1:12" ht="27.95" customHeight="1">
      <c r="A558" s="62"/>
      <c r="B558" s="161" t="s">
        <v>204</v>
      </c>
      <c r="C558" s="221"/>
      <c r="D558" s="221"/>
      <c r="E558" s="221"/>
      <c r="F558" s="221"/>
      <c r="G558" s="222"/>
      <c r="H558" s="223"/>
      <c r="I558" s="224"/>
      <c r="J558" s="225"/>
      <c r="K558" s="224"/>
      <c r="L558" s="226"/>
    </row>
    <row r="559" spans="1:12" ht="27.95" customHeight="1">
      <c r="A559" s="62"/>
      <c r="B559" s="158" t="s">
        <v>207</v>
      </c>
      <c r="C559" s="283"/>
      <c r="D559" s="338"/>
      <c r="E559" s="341" t="s">
        <v>209</v>
      </c>
      <c r="F559" s="119"/>
      <c r="G559" s="850" t="s">
        <v>208</v>
      </c>
      <c r="H559" s="851"/>
      <c r="I559" s="336" t="s">
        <v>205</v>
      </c>
      <c r="J559" s="239" t="s">
        <v>210</v>
      </c>
      <c r="K559" s="850" t="s">
        <v>206</v>
      </c>
      <c r="L559" s="852"/>
    </row>
    <row r="560" spans="1:12" ht="27.95" customHeight="1">
      <c r="A560" s="62"/>
      <c r="B560" s="240">
        <v>1</v>
      </c>
      <c r="C560" s="283"/>
      <c r="D560" s="283"/>
      <c r="E560" s="243">
        <v>2</v>
      </c>
      <c r="F560" s="284"/>
      <c r="G560" s="243">
        <v>3</v>
      </c>
      <c r="H560" s="339"/>
      <c r="I560" s="339">
        <v>4</v>
      </c>
      <c r="J560" s="328">
        <v>5</v>
      </c>
      <c r="K560" s="159"/>
      <c r="L560" s="160">
        <v>6</v>
      </c>
    </row>
    <row r="561" spans="1:12" ht="27.95" customHeight="1">
      <c r="A561" s="62"/>
      <c r="B561" s="391">
        <f>'PUNJAB 04-22Master'!E529</f>
        <v>0</v>
      </c>
      <c r="C561" s="261"/>
      <c r="D561" s="262"/>
      <c r="E561" s="392" t="s">
        <v>365</v>
      </c>
      <c r="F561" s="262"/>
      <c r="G561" s="392" t="s">
        <v>366</v>
      </c>
      <c r="H561" s="119"/>
      <c r="I561" s="30" t="s">
        <v>367</v>
      </c>
      <c r="J561" s="390">
        <v>1</v>
      </c>
      <c r="K561" s="853" t="s">
        <v>37</v>
      </c>
      <c r="L561" s="861"/>
    </row>
    <row r="562" spans="1:12" ht="27.95" customHeight="1">
      <c r="A562" s="62"/>
      <c r="B562" s="158"/>
      <c r="C562" s="261"/>
      <c r="D562" s="262"/>
      <c r="E562" s="263"/>
      <c r="F562" s="262"/>
      <c r="G562" s="263"/>
      <c r="H562" s="119"/>
      <c r="I562" s="30"/>
      <c r="J562" s="30"/>
      <c r="K562" s="264"/>
      <c r="L562" s="271"/>
    </row>
    <row r="563" spans="1:12" ht="27.95" customHeight="1">
      <c r="A563" s="62"/>
      <c r="B563" s="158"/>
      <c r="C563" s="261"/>
      <c r="D563" s="262"/>
      <c r="E563" s="263"/>
      <c r="F563" s="262"/>
      <c r="G563" s="263"/>
      <c r="H563" s="119"/>
      <c r="I563" s="30"/>
      <c r="J563" s="30"/>
      <c r="K563" s="264"/>
      <c r="L563" s="271"/>
    </row>
    <row r="564" spans="1:12" ht="27.95" customHeight="1">
      <c r="A564" s="62"/>
      <c r="B564" s="127"/>
      <c r="C564" s="68"/>
      <c r="D564" s="128"/>
      <c r="E564" s="263"/>
      <c r="F564" s="262"/>
      <c r="G564" s="263"/>
      <c r="H564" s="119"/>
      <c r="I564" s="30"/>
      <c r="J564" s="30"/>
      <c r="K564" s="264"/>
      <c r="L564" s="271"/>
    </row>
    <row r="565" spans="1:12" ht="27.95" customHeight="1">
      <c r="A565" s="62"/>
      <c r="B565" s="47" t="s">
        <v>211</v>
      </c>
      <c r="C565" s="47"/>
      <c r="D565" s="47"/>
      <c r="E565" s="47"/>
      <c r="F565" s="47"/>
      <c r="G565" s="47"/>
      <c r="H565" s="47"/>
      <c r="I565" s="47"/>
      <c r="J565" s="47"/>
      <c r="K565" s="47"/>
      <c r="L565" s="63"/>
    </row>
    <row r="566" spans="1:12" ht="27.95" customHeight="1">
      <c r="A566" s="62"/>
      <c r="B566" s="47" t="s">
        <v>212</v>
      </c>
      <c r="C566" s="47"/>
      <c r="D566" s="47"/>
      <c r="E566" s="47"/>
      <c r="F566" s="47"/>
      <c r="G566" s="47"/>
      <c r="H566" s="47"/>
      <c r="I566" s="47"/>
      <c r="J566" s="47"/>
      <c r="K566" s="47"/>
      <c r="L566" s="63"/>
    </row>
    <row r="567" spans="1:12" ht="27.95" customHeight="1">
      <c r="A567" s="62"/>
      <c r="B567" s="47" t="s">
        <v>213</v>
      </c>
      <c r="C567" s="47"/>
      <c r="D567" s="47"/>
      <c r="E567" s="47"/>
      <c r="F567" s="47"/>
      <c r="G567" s="47"/>
      <c r="H567" s="47"/>
      <c r="I567" s="47"/>
      <c r="J567" s="47"/>
      <c r="K567" s="47"/>
      <c r="L567" s="63"/>
    </row>
    <row r="568" spans="1:12" ht="27.95" customHeight="1">
      <c r="A568" s="62"/>
      <c r="B568" s="47"/>
      <c r="C568" s="47"/>
      <c r="D568" s="47"/>
      <c r="E568" s="47"/>
      <c r="F568" s="47"/>
      <c r="G568" s="47"/>
      <c r="H568" s="47"/>
      <c r="I568" s="47" t="s">
        <v>214</v>
      </c>
      <c r="J568" s="47"/>
      <c r="K568" s="47"/>
      <c r="L568" s="63"/>
    </row>
    <row r="569" spans="1:12" ht="27.95" customHeight="1">
      <c r="A569" s="62"/>
      <c r="B569" s="47"/>
      <c r="C569" s="47"/>
      <c r="D569" s="47"/>
      <c r="E569" s="47"/>
      <c r="F569" s="248" t="s">
        <v>197</v>
      </c>
      <c r="G569" s="47"/>
      <c r="H569" s="47"/>
      <c r="I569" s="47"/>
      <c r="J569" s="47"/>
      <c r="K569" s="47"/>
      <c r="L569" s="63"/>
    </row>
    <row r="570" spans="1:12">
      <c r="A570" s="62" t="s">
        <v>198</v>
      </c>
      <c r="B570" s="47"/>
      <c r="C570" s="47"/>
      <c r="D570" s="47"/>
      <c r="E570" s="47"/>
      <c r="F570" s="47"/>
      <c r="G570" s="47"/>
      <c r="H570" s="47"/>
      <c r="I570" s="47"/>
      <c r="J570" s="47"/>
      <c r="K570" s="306">
        <f>'PUNJAB 04-22Master'!B529</f>
        <v>0</v>
      </c>
      <c r="L570" s="63"/>
    </row>
    <row r="571" spans="1:12">
      <c r="A571" s="62" t="s">
        <v>199</v>
      </c>
      <c r="B571" s="47"/>
      <c r="C571" s="47"/>
      <c r="D571" s="47"/>
      <c r="E571" s="47"/>
      <c r="F571" s="47"/>
      <c r="G571" s="47"/>
      <c r="H571" s="47"/>
      <c r="I571" s="47"/>
      <c r="J571" s="47"/>
      <c r="K571" s="47"/>
      <c r="L571" s="63"/>
    </row>
    <row r="572" spans="1:12">
      <c r="A572" s="62"/>
      <c r="B572" s="47"/>
      <c r="C572" s="47"/>
      <c r="D572" s="47"/>
      <c r="E572" s="47"/>
      <c r="F572" s="47"/>
      <c r="G572" s="47"/>
      <c r="H572" s="47"/>
      <c r="I572" s="47"/>
      <c r="J572" s="47"/>
      <c r="K572" s="47"/>
      <c r="L572" s="63"/>
    </row>
    <row r="573" spans="1:12">
      <c r="A573" s="62"/>
      <c r="B573" s="47"/>
      <c r="C573" s="47"/>
      <c r="D573" s="47"/>
      <c r="E573" s="47"/>
      <c r="F573" s="47"/>
      <c r="G573" s="47"/>
      <c r="H573" s="47"/>
      <c r="I573" s="47"/>
      <c r="J573" s="47"/>
      <c r="K573" s="47"/>
      <c r="L573" s="63"/>
    </row>
    <row r="574" spans="1:12">
      <c r="A574" s="62"/>
      <c r="B574" s="47"/>
      <c r="C574" s="47"/>
      <c r="D574" s="47"/>
      <c r="E574" s="47"/>
      <c r="F574" s="47" t="s">
        <v>200</v>
      </c>
      <c r="G574" s="47"/>
      <c r="H574" s="47"/>
      <c r="I574" s="47"/>
      <c r="J574" s="47"/>
      <c r="K574" s="47"/>
      <c r="L574" s="63"/>
    </row>
    <row r="575" spans="1:12">
      <c r="A575" s="62" t="s">
        <v>201</v>
      </c>
      <c r="B575" s="47" t="s">
        <v>364</v>
      </c>
      <c r="C575" s="47"/>
      <c r="D575" s="47"/>
      <c r="E575" s="47"/>
      <c r="F575" s="47">
        <f>'PUNJAB 04-22Master'!AO519</f>
        <v>0</v>
      </c>
      <c r="G575" s="47"/>
      <c r="H575" s="47"/>
      <c r="I575" s="47"/>
      <c r="J575" s="47"/>
      <c r="K575" s="47"/>
      <c r="L575" s="63"/>
    </row>
    <row r="576" spans="1:12" ht="15" customHeight="1">
      <c r="A576" s="62" t="s">
        <v>202</v>
      </c>
      <c r="B576" s="389">
        <f>'PUNJAB 04-22Master'!N529</f>
        <v>0</v>
      </c>
      <c r="C576" s="47"/>
      <c r="D576" s="47"/>
      <c r="E576" s="47"/>
      <c r="F576" s="250">
        <f>'PUNJAB 04-22Master'!AO520</f>
        <v>0</v>
      </c>
      <c r="G576" s="250"/>
      <c r="H576" s="250"/>
      <c r="I576" s="250"/>
      <c r="J576" s="250"/>
      <c r="K576" s="250"/>
      <c r="L576" s="63"/>
    </row>
    <row r="577" spans="1:12" ht="15.75" thickBot="1">
      <c r="A577" s="76"/>
      <c r="B577" s="74"/>
      <c r="C577" s="74"/>
      <c r="D577" s="74"/>
      <c r="E577" s="74"/>
      <c r="F577" s="74"/>
      <c r="G577" s="74"/>
      <c r="H577" s="74"/>
      <c r="I577" s="74"/>
      <c r="J577" s="74"/>
      <c r="K577" s="74"/>
      <c r="L577" s="75"/>
    </row>
    <row r="578" spans="1:12">
      <c r="A578" s="47"/>
      <c r="B578" s="47"/>
      <c r="C578" s="47"/>
      <c r="D578" s="47"/>
      <c r="E578" s="47"/>
      <c r="F578" s="47"/>
      <c r="G578" s="47"/>
      <c r="H578" s="47"/>
      <c r="I578" s="47"/>
      <c r="J578" s="47"/>
      <c r="K578" s="47"/>
      <c r="L578" s="47"/>
    </row>
    <row r="579" spans="1:12">
      <c r="A579" s="47"/>
      <c r="B579" s="152"/>
      <c r="C579" s="144"/>
      <c r="D579" s="144"/>
      <c r="E579" s="144"/>
      <c r="F579" s="144"/>
      <c r="G579" s="47"/>
      <c r="H579" s="152"/>
      <c r="I579" s="144"/>
      <c r="J579" s="144"/>
      <c r="K579" s="144"/>
      <c r="L579" s="144"/>
    </row>
    <row r="580" spans="1:12">
      <c r="A580" s="47"/>
      <c r="B580" s="47"/>
      <c r="C580" s="144"/>
      <c r="D580" s="144"/>
      <c r="E580" s="144"/>
      <c r="F580" s="144"/>
      <c r="G580" s="47"/>
      <c r="H580" s="47"/>
      <c r="I580" s="144"/>
      <c r="J580" s="144"/>
      <c r="K580" s="144"/>
      <c r="L580" s="144"/>
    </row>
    <row r="581" spans="1:12">
      <c r="A581" s="47"/>
      <c r="B581" s="152"/>
      <c r="C581" s="144"/>
      <c r="D581" s="144"/>
      <c r="E581" s="144"/>
      <c r="F581" s="144"/>
      <c r="G581" s="47"/>
      <c r="H581" s="152"/>
      <c r="I581" s="144"/>
      <c r="J581" s="144"/>
      <c r="K581" s="144"/>
      <c r="L581" s="144"/>
    </row>
    <row r="582" spans="1:12">
      <c r="A582" s="47"/>
      <c r="B582" s="144"/>
      <c r="C582" s="144"/>
      <c r="D582" s="144"/>
      <c r="E582" s="144"/>
      <c r="F582" s="144"/>
      <c r="G582" s="47"/>
      <c r="H582" s="144"/>
      <c r="I582" s="144"/>
      <c r="J582" s="144"/>
      <c r="K582" s="144"/>
      <c r="L582" s="144"/>
    </row>
    <row r="583" spans="1:12">
      <c r="A583" s="47"/>
      <c r="B583" s="47"/>
      <c r="C583" s="47"/>
      <c r="D583" s="47"/>
      <c r="E583" s="47"/>
      <c r="F583" s="47"/>
      <c r="G583" s="47"/>
      <c r="H583" s="47"/>
      <c r="I583" s="47"/>
      <c r="J583" s="47"/>
      <c r="K583" s="47"/>
      <c r="L583" s="47"/>
    </row>
    <row r="584" spans="1:12">
      <c r="A584" s="47"/>
      <c r="B584" s="760"/>
      <c r="C584" s="760"/>
      <c r="D584" s="760"/>
      <c r="E584" s="760"/>
      <c r="F584" s="760"/>
      <c r="G584" s="47"/>
      <c r="H584" s="760"/>
      <c r="I584" s="760"/>
      <c r="J584" s="760"/>
      <c r="K584" s="760"/>
      <c r="L584" s="760"/>
    </row>
    <row r="585" spans="1:12">
      <c r="A585" s="47"/>
      <c r="B585" s="47"/>
      <c r="C585" s="47"/>
      <c r="D585" s="47"/>
      <c r="E585" s="47"/>
      <c r="F585" s="47"/>
      <c r="G585" s="47"/>
      <c r="H585" s="47"/>
      <c r="I585" s="47"/>
      <c r="J585" s="47"/>
      <c r="K585" s="47"/>
      <c r="L585" s="47"/>
    </row>
    <row r="586" spans="1:12">
      <c r="A586" s="47"/>
      <c r="B586" s="47"/>
      <c r="C586" s="47"/>
      <c r="D586" s="47"/>
      <c r="E586" s="47"/>
      <c r="F586" s="47"/>
      <c r="G586" s="47"/>
      <c r="H586" s="229"/>
      <c r="I586" s="229"/>
      <c r="J586" s="229"/>
      <c r="K586" s="229"/>
      <c r="L586" s="229"/>
    </row>
    <row r="587" spans="1:12">
      <c r="A587" s="47"/>
      <c r="B587" s="144"/>
      <c r="C587" s="144"/>
      <c r="D587" s="144"/>
      <c r="E587" s="144"/>
      <c r="F587" s="144"/>
      <c r="G587" s="47"/>
      <c r="H587" s="152"/>
      <c r="I587" s="152"/>
      <c r="J587" s="152"/>
      <c r="K587" s="152"/>
      <c r="L587" s="152"/>
    </row>
    <row r="588" spans="1:12">
      <c r="A588" s="47"/>
      <c r="B588" s="152"/>
      <c r="C588" s="144"/>
      <c r="D588" s="144"/>
      <c r="E588" s="144"/>
      <c r="F588" s="144"/>
      <c r="G588" s="47"/>
      <c r="H588" s="152"/>
      <c r="I588" s="152"/>
      <c r="J588" s="152"/>
      <c r="K588" s="152"/>
      <c r="L588" s="152"/>
    </row>
    <row r="589" spans="1:12">
      <c r="A589" s="47"/>
      <c r="B589" s="144"/>
      <c r="C589" s="144"/>
      <c r="D589" s="144"/>
      <c r="E589" s="144"/>
      <c r="F589" s="144"/>
      <c r="G589" s="47"/>
      <c r="H589" s="152"/>
      <c r="I589" s="152"/>
      <c r="J589" s="152"/>
      <c r="K589" s="152"/>
      <c r="L589" s="152"/>
    </row>
    <row r="590" spans="1:12">
      <c r="A590" s="47"/>
      <c r="B590" s="144"/>
      <c r="C590" s="144"/>
      <c r="D590" s="144"/>
      <c r="E590" s="144"/>
      <c r="F590" s="144"/>
      <c r="G590" s="47"/>
      <c r="H590" s="152"/>
      <c r="I590" s="152"/>
      <c r="J590" s="152"/>
      <c r="K590" s="152"/>
      <c r="L590" s="152"/>
    </row>
    <row r="591" spans="1:12" ht="27.95" customHeight="1">
      <c r="A591" s="343"/>
      <c r="B591" s="862"/>
      <c r="C591" s="862"/>
      <c r="D591" s="862"/>
      <c r="E591" s="862"/>
      <c r="F591" s="862"/>
      <c r="G591" s="862"/>
      <c r="H591" s="859"/>
      <c r="I591" s="860"/>
      <c r="J591" s="860"/>
      <c r="K591" s="860"/>
      <c r="L591" s="860"/>
    </row>
    <row r="592" spans="1:12" ht="27.95" customHeight="1">
      <c r="A592" s="343"/>
      <c r="B592" s="758"/>
      <c r="C592" s="758"/>
      <c r="D592" s="758"/>
      <c r="E592" s="758"/>
      <c r="F592" s="758"/>
      <c r="G592" s="758"/>
      <c r="H592" s="859"/>
      <c r="I592" s="860"/>
      <c r="J592" s="860"/>
      <c r="K592" s="860"/>
      <c r="L592" s="860"/>
    </row>
    <row r="593" spans="1:12" ht="27.95" customHeight="1">
      <c r="A593" s="343"/>
      <c r="B593" s="862"/>
      <c r="C593" s="862"/>
      <c r="D593" s="862"/>
      <c r="E593" s="862"/>
      <c r="F593" s="862"/>
      <c r="G593" s="862"/>
      <c r="H593" s="859"/>
      <c r="I593" s="860"/>
      <c r="J593" s="860"/>
      <c r="K593" s="860"/>
      <c r="L593" s="860"/>
    </row>
    <row r="594" spans="1:12" ht="27.95" customHeight="1">
      <c r="A594" s="343"/>
      <c r="B594" s="862"/>
      <c r="C594" s="862"/>
      <c r="D594" s="862"/>
      <c r="E594" s="862"/>
      <c r="F594" s="862"/>
      <c r="G594" s="862"/>
      <c r="H594" s="863"/>
      <c r="I594" s="860"/>
      <c r="J594" s="860"/>
      <c r="K594" s="860"/>
      <c r="L594" s="860"/>
    </row>
    <row r="595" spans="1:12" ht="27.95" customHeight="1">
      <c r="A595" s="343"/>
      <c r="B595" s="251"/>
      <c r="C595" s="242"/>
      <c r="D595" s="242"/>
      <c r="E595" s="242"/>
      <c r="F595" s="242"/>
      <c r="G595" s="242"/>
      <c r="H595" s="227"/>
      <c r="I595" s="343"/>
      <c r="J595" s="346"/>
      <c r="K595" s="227"/>
      <c r="L595" s="227"/>
    </row>
    <row r="596" spans="1:12" ht="27.95" customHeight="1">
      <c r="A596" s="343"/>
      <c r="B596" s="251"/>
      <c r="C596" s="242"/>
      <c r="D596" s="242"/>
      <c r="E596" s="242"/>
      <c r="F596" s="242"/>
      <c r="G596" s="242"/>
      <c r="H596" s="227"/>
      <c r="I596" s="227"/>
      <c r="J596" s="346"/>
      <c r="K596" s="227"/>
      <c r="L596" s="227"/>
    </row>
    <row r="597" spans="1:12" ht="27.95" customHeight="1">
      <c r="A597" s="343"/>
      <c r="B597" s="758"/>
      <c r="C597" s="758"/>
      <c r="D597" s="758"/>
      <c r="E597" s="758"/>
      <c r="F597" s="758"/>
      <c r="G597" s="758"/>
      <c r="H597" s="859"/>
      <c r="I597" s="860"/>
      <c r="J597" s="860"/>
      <c r="K597" s="860"/>
      <c r="L597" s="860"/>
    </row>
    <row r="598" spans="1:12" ht="27.95" customHeight="1">
      <c r="A598" s="343"/>
      <c r="B598" s="862"/>
      <c r="C598" s="862"/>
      <c r="D598" s="862"/>
      <c r="E598" s="862"/>
      <c r="F598" s="862"/>
      <c r="G598" s="862"/>
      <c r="H598" s="865"/>
      <c r="I598" s="860"/>
      <c r="J598" s="860"/>
      <c r="K598" s="860"/>
      <c r="L598" s="860"/>
    </row>
    <row r="599" spans="1:12" ht="27.95" customHeight="1">
      <c r="A599" s="47"/>
      <c r="B599" s="862"/>
      <c r="C599" s="862"/>
      <c r="D599" s="862"/>
      <c r="E599" s="862"/>
      <c r="F599" s="862"/>
      <c r="G599" s="862"/>
      <c r="H599" s="860"/>
      <c r="I599" s="860"/>
      <c r="J599" s="860"/>
      <c r="K599" s="860"/>
      <c r="L599" s="860"/>
    </row>
    <row r="600" spans="1:12" ht="27.95" customHeight="1">
      <c r="A600" s="47"/>
      <c r="B600" s="251"/>
      <c r="C600" s="242"/>
      <c r="D600" s="242"/>
      <c r="E600" s="242"/>
      <c r="F600" s="242"/>
      <c r="G600" s="242"/>
      <c r="H600" s="227"/>
      <c r="I600" s="227"/>
      <c r="J600" s="227"/>
      <c r="K600" s="227"/>
      <c r="L600" s="227"/>
    </row>
    <row r="601" spans="1:12" ht="27.95" customHeight="1">
      <c r="A601" s="47"/>
      <c r="B601" s="251"/>
      <c r="C601" s="242"/>
      <c r="D601" s="242"/>
      <c r="E601" s="242"/>
      <c r="F601" s="242"/>
      <c r="G601" s="242"/>
      <c r="H601" s="227"/>
      <c r="I601" s="227"/>
      <c r="J601" s="227"/>
      <c r="K601" s="227"/>
      <c r="L601" s="227"/>
    </row>
    <row r="602" spans="1:12" ht="27.95" customHeight="1">
      <c r="A602" s="47"/>
      <c r="B602" s="251"/>
      <c r="C602" s="242"/>
      <c r="D602" s="242"/>
      <c r="E602" s="242"/>
      <c r="F602" s="242"/>
      <c r="G602" s="242"/>
      <c r="H602" s="227"/>
      <c r="I602" s="227"/>
      <c r="J602" s="228"/>
      <c r="K602" s="227"/>
      <c r="L602" s="227"/>
    </row>
    <row r="603" spans="1:12" ht="27.95" customHeight="1">
      <c r="A603" s="47"/>
      <c r="B603" s="251"/>
      <c r="C603" s="242"/>
      <c r="D603" s="242"/>
      <c r="E603" s="242"/>
      <c r="F603" s="242"/>
      <c r="G603" s="242"/>
      <c r="H603" s="227"/>
      <c r="I603" s="227"/>
      <c r="J603" s="227"/>
      <c r="K603" s="227"/>
      <c r="L603" s="227"/>
    </row>
    <row r="604" spans="1:12" ht="27.95" customHeight="1">
      <c r="A604" s="47"/>
      <c r="B604" s="251"/>
      <c r="C604" s="242"/>
      <c r="D604" s="242"/>
      <c r="E604" s="242"/>
      <c r="F604" s="242"/>
      <c r="G604" s="242"/>
      <c r="H604" s="227"/>
      <c r="I604" s="227"/>
      <c r="J604" s="228"/>
      <c r="K604" s="227"/>
      <c r="L604" s="227"/>
    </row>
    <row r="605" spans="1:12" ht="27.95" customHeight="1">
      <c r="A605" s="47"/>
      <c r="B605" s="251"/>
      <c r="C605" s="242"/>
      <c r="D605" s="227"/>
      <c r="E605" s="228"/>
      <c r="F605" s="227"/>
      <c r="G605" s="228"/>
      <c r="H605" s="227"/>
      <c r="I605" s="228"/>
      <c r="J605" s="227"/>
      <c r="K605" s="228"/>
      <c r="L605" s="228"/>
    </row>
    <row r="606" spans="1:12" ht="27.95" customHeight="1">
      <c r="A606" s="47"/>
      <c r="B606" s="251"/>
      <c r="C606" s="242"/>
      <c r="D606" s="242"/>
      <c r="E606" s="242"/>
      <c r="F606" s="242"/>
      <c r="G606" s="242"/>
      <c r="H606" s="227"/>
      <c r="I606" s="227"/>
      <c r="J606" s="348"/>
      <c r="K606" s="227"/>
      <c r="L606" s="227"/>
    </row>
    <row r="607" spans="1:12" ht="27.95" customHeight="1">
      <c r="A607" s="47"/>
      <c r="B607" s="251"/>
      <c r="C607" s="229"/>
      <c r="D607" s="229"/>
      <c r="E607" s="229"/>
      <c r="F607" s="229"/>
      <c r="G607" s="229"/>
      <c r="H607" s="47"/>
      <c r="I607" s="47"/>
      <c r="J607" s="47"/>
      <c r="K607" s="47"/>
      <c r="L607" s="47"/>
    </row>
    <row r="608" spans="1:12" ht="27.95" customHeight="1">
      <c r="A608" s="47"/>
      <c r="B608" s="251"/>
      <c r="C608" s="229"/>
      <c r="D608" s="229"/>
      <c r="E608" s="229"/>
      <c r="F608" s="229"/>
      <c r="G608" s="229"/>
      <c r="H608" s="47"/>
      <c r="I608" s="47"/>
      <c r="J608" s="47"/>
      <c r="K608" s="47"/>
      <c r="L608" s="47"/>
    </row>
    <row r="609" spans="1:12">
      <c r="A609" s="47"/>
      <c r="B609" s="47"/>
      <c r="C609" s="47"/>
      <c r="D609" s="47"/>
      <c r="E609" s="47"/>
      <c r="F609" s="47"/>
      <c r="G609" s="47"/>
      <c r="H609" s="47"/>
      <c r="I609" s="47"/>
      <c r="J609" s="47"/>
      <c r="K609" s="47"/>
      <c r="L609" s="47"/>
    </row>
    <row r="610" spans="1:12">
      <c r="A610" s="47"/>
      <c r="B610" s="47"/>
      <c r="C610" s="47"/>
      <c r="D610" s="47"/>
      <c r="E610" s="47"/>
      <c r="F610" s="47"/>
      <c r="G610" s="47"/>
      <c r="H610" s="47"/>
      <c r="I610" s="47"/>
      <c r="J610" s="47"/>
      <c r="K610" s="47"/>
      <c r="L610" s="47"/>
    </row>
    <row r="611" spans="1:12" ht="32.25">
      <c r="A611" s="47"/>
      <c r="B611" s="866"/>
      <c r="C611" s="786"/>
      <c r="D611" s="786"/>
      <c r="E611" s="786"/>
      <c r="F611" s="786"/>
      <c r="G611" s="786"/>
      <c r="H611" s="786"/>
      <c r="I611" s="786"/>
      <c r="J611" s="786"/>
      <c r="K611" s="786"/>
      <c r="L611" s="786"/>
    </row>
    <row r="612" spans="1:12" ht="23.25">
      <c r="A612" s="47"/>
      <c r="B612" s="745"/>
      <c r="C612" s="745"/>
      <c r="D612" s="745"/>
      <c r="E612" s="745"/>
      <c r="F612" s="745"/>
      <c r="G612" s="745"/>
      <c r="H612" s="745"/>
      <c r="I612" s="745"/>
      <c r="J612" s="745"/>
      <c r="K612" s="745"/>
      <c r="L612" s="745"/>
    </row>
    <row r="613" spans="1:12" ht="15.75">
      <c r="A613" s="47"/>
      <c r="B613" s="864"/>
      <c r="C613" s="864"/>
      <c r="D613" s="864"/>
      <c r="E613" s="864"/>
      <c r="F613" s="864"/>
      <c r="G613" s="864"/>
      <c r="H613" s="864"/>
      <c r="I613" s="864"/>
      <c r="J613" s="864"/>
      <c r="K613" s="864"/>
      <c r="L613" s="864"/>
    </row>
    <row r="614" spans="1:12" ht="15" customHeight="1">
      <c r="A614" s="47"/>
      <c r="B614" s="757"/>
      <c r="C614" s="757"/>
      <c r="D614" s="757"/>
      <c r="E614" s="757"/>
      <c r="F614" s="757"/>
      <c r="G614" s="47"/>
      <c r="H614" s="758"/>
      <c r="I614" s="758"/>
      <c r="J614" s="758"/>
      <c r="K614" s="758"/>
      <c r="L614" s="758"/>
    </row>
    <row r="615" spans="1:12">
      <c r="A615" s="47"/>
      <c r="B615" s="757"/>
      <c r="C615" s="757"/>
      <c r="D615" s="757"/>
      <c r="E615" s="757"/>
      <c r="F615" s="757"/>
      <c r="G615" s="47"/>
      <c r="H615" s="758"/>
      <c r="I615" s="758"/>
      <c r="J615" s="758"/>
      <c r="K615" s="758"/>
      <c r="L615" s="758"/>
    </row>
    <row r="616" spans="1:12">
      <c r="A616" s="47"/>
      <c r="B616" s="47"/>
      <c r="C616" s="47"/>
      <c r="D616" s="47"/>
      <c r="E616" s="47"/>
      <c r="F616" s="47"/>
      <c r="G616" s="47"/>
      <c r="H616" s="47"/>
      <c r="I616" s="47"/>
      <c r="J616" s="47"/>
      <c r="K616" s="47"/>
      <c r="L616" s="47"/>
    </row>
    <row r="617" spans="1:12">
      <c r="A617" s="47"/>
      <c r="B617" s="152"/>
      <c r="C617" s="144"/>
      <c r="D617" s="144"/>
      <c r="E617" s="144"/>
      <c r="F617" s="144"/>
      <c r="G617" s="47"/>
      <c r="H617" s="152"/>
      <c r="I617" s="144"/>
      <c r="J617" s="144"/>
      <c r="K617" s="144"/>
      <c r="L617" s="144"/>
    </row>
    <row r="618" spans="1:12">
      <c r="A618" s="47"/>
      <c r="B618" s="47"/>
      <c r="C618" s="144"/>
      <c r="D618" s="144"/>
      <c r="E618" s="144"/>
      <c r="F618" s="144"/>
      <c r="G618" s="47"/>
      <c r="H618" s="47"/>
      <c r="I618" s="144"/>
      <c r="J618" s="144"/>
      <c r="K618" s="144"/>
      <c r="L618" s="144"/>
    </row>
    <row r="619" spans="1:12">
      <c r="A619" s="47"/>
      <c r="B619" s="152"/>
      <c r="C619" s="144"/>
      <c r="D619" s="144"/>
      <c r="E619" s="144"/>
      <c r="F619" s="144"/>
      <c r="G619" s="47"/>
      <c r="H619" s="152"/>
      <c r="I619" s="144"/>
      <c r="J619" s="144"/>
      <c r="K619" s="144"/>
      <c r="L619" s="144"/>
    </row>
    <row r="620" spans="1:12">
      <c r="A620" s="47"/>
      <c r="B620" s="144"/>
      <c r="C620" s="144"/>
      <c r="D620" s="144"/>
      <c r="E620" s="144"/>
      <c r="F620" s="144"/>
      <c r="G620" s="47"/>
      <c r="H620" s="144"/>
      <c r="I620" s="144"/>
      <c r="J620" s="144"/>
      <c r="K620" s="144"/>
      <c r="L620" s="144"/>
    </row>
    <row r="621" spans="1:12">
      <c r="A621" s="47"/>
      <c r="B621" s="47"/>
      <c r="C621" s="47"/>
      <c r="D621" s="47"/>
      <c r="E621" s="47"/>
      <c r="F621" s="47"/>
      <c r="G621" s="47"/>
      <c r="H621" s="47"/>
      <c r="I621" s="47"/>
      <c r="J621" s="47"/>
      <c r="K621" s="47"/>
      <c r="L621" s="47"/>
    </row>
    <row r="622" spans="1:12">
      <c r="A622" s="47"/>
      <c r="B622" s="760"/>
      <c r="C622" s="760"/>
      <c r="D622" s="760"/>
      <c r="E622" s="760"/>
      <c r="F622" s="760"/>
      <c r="G622" s="47"/>
      <c r="H622" s="760"/>
      <c r="I622" s="760"/>
      <c r="J622" s="760"/>
      <c r="K622" s="760"/>
      <c r="L622" s="760"/>
    </row>
    <row r="623" spans="1:12">
      <c r="A623" s="47"/>
      <c r="B623" s="47"/>
      <c r="C623" s="47"/>
      <c r="D623" s="47"/>
      <c r="E623" s="47"/>
      <c r="F623" s="47"/>
      <c r="G623" s="47"/>
      <c r="H623" s="47"/>
      <c r="I623" s="47"/>
      <c r="J623" s="47"/>
      <c r="K623" s="47"/>
      <c r="L623" s="47"/>
    </row>
    <row r="624" spans="1:12">
      <c r="A624" s="47"/>
      <c r="B624" s="47"/>
      <c r="C624" s="47"/>
      <c r="D624" s="47"/>
      <c r="E624" s="47"/>
      <c r="F624" s="47"/>
      <c r="G624" s="47"/>
      <c r="H624" s="229"/>
      <c r="I624" s="229"/>
      <c r="J624" s="229"/>
      <c r="K624" s="229"/>
      <c r="L624" s="229"/>
    </row>
    <row r="625" spans="1:12">
      <c r="A625" s="47"/>
      <c r="B625" s="144"/>
      <c r="C625" s="144"/>
      <c r="D625" s="144"/>
      <c r="E625" s="144"/>
      <c r="F625" s="144"/>
      <c r="G625" s="47"/>
      <c r="H625" s="152"/>
      <c r="I625" s="152"/>
      <c r="J625" s="152"/>
      <c r="K625" s="152"/>
      <c r="L625" s="152"/>
    </row>
    <row r="626" spans="1:12">
      <c r="A626" s="47"/>
      <c r="B626" s="152"/>
      <c r="C626" s="144"/>
      <c r="D626" s="144"/>
      <c r="E626" s="144"/>
      <c r="F626" s="144"/>
      <c r="G626" s="47"/>
      <c r="H626" s="152"/>
      <c r="I626" s="152"/>
      <c r="J626" s="152"/>
      <c r="K626" s="152"/>
      <c r="L626" s="152"/>
    </row>
    <row r="627" spans="1:12">
      <c r="A627" s="47"/>
      <c r="B627" s="144"/>
      <c r="C627" s="144"/>
      <c r="D627" s="144"/>
      <c r="E627" s="144"/>
      <c r="F627" s="144"/>
      <c r="G627" s="47"/>
      <c r="H627" s="152"/>
      <c r="I627" s="152"/>
      <c r="J627" s="152"/>
      <c r="K627" s="152"/>
      <c r="L627" s="152"/>
    </row>
    <row r="628" spans="1:12">
      <c r="A628" s="47"/>
      <c r="B628" s="144"/>
      <c r="C628" s="144"/>
      <c r="D628" s="144"/>
      <c r="E628" s="144"/>
      <c r="F628" s="144"/>
      <c r="G628" s="47"/>
      <c r="H628" s="152"/>
      <c r="I628" s="152"/>
      <c r="J628" s="152"/>
      <c r="K628" s="152"/>
      <c r="L628" s="152"/>
    </row>
    <row r="629" spans="1:12" ht="27.95" customHeight="1">
      <c r="A629" s="343"/>
      <c r="B629" s="862"/>
      <c r="C629" s="862"/>
      <c r="D629" s="862"/>
      <c r="E629" s="862"/>
      <c r="F629" s="862"/>
      <c r="G629" s="862"/>
      <c r="H629" s="859"/>
      <c r="I629" s="860"/>
      <c r="J629" s="860"/>
      <c r="K629" s="860"/>
      <c r="L629" s="860"/>
    </row>
    <row r="630" spans="1:12" ht="27.95" customHeight="1">
      <c r="A630" s="343"/>
      <c r="B630" s="758"/>
      <c r="C630" s="758"/>
      <c r="D630" s="758"/>
      <c r="E630" s="758"/>
      <c r="F630" s="758"/>
      <c r="G630" s="758"/>
      <c r="H630" s="859"/>
      <c r="I630" s="860"/>
      <c r="J630" s="860"/>
      <c r="K630" s="860"/>
      <c r="L630" s="860"/>
    </row>
    <row r="631" spans="1:12" ht="27.95" customHeight="1">
      <c r="A631" s="343"/>
      <c r="B631" s="862"/>
      <c r="C631" s="862"/>
      <c r="D631" s="862"/>
      <c r="E631" s="862"/>
      <c r="F631" s="862"/>
      <c r="G631" s="862"/>
      <c r="H631" s="859"/>
      <c r="I631" s="860"/>
      <c r="J631" s="860"/>
      <c r="K631" s="860"/>
      <c r="L631" s="860"/>
    </row>
    <row r="632" spans="1:12" ht="27.95" customHeight="1">
      <c r="A632" s="343"/>
      <c r="B632" s="862"/>
      <c r="C632" s="862"/>
      <c r="D632" s="862"/>
      <c r="E632" s="862"/>
      <c r="F632" s="862"/>
      <c r="G632" s="862"/>
      <c r="H632" s="863"/>
      <c r="I632" s="860"/>
      <c r="J632" s="860"/>
      <c r="K632" s="860"/>
      <c r="L632" s="860"/>
    </row>
    <row r="633" spans="1:12" ht="27.95" customHeight="1">
      <c r="A633" s="343"/>
      <c r="B633" s="251"/>
      <c r="C633" s="242"/>
      <c r="D633" s="242"/>
      <c r="E633" s="242"/>
      <c r="F633" s="242"/>
      <c r="G633" s="242"/>
      <c r="H633" s="227"/>
      <c r="I633" s="343"/>
      <c r="J633" s="346"/>
      <c r="K633" s="227"/>
      <c r="L633" s="227"/>
    </row>
    <row r="634" spans="1:12" ht="27.95" customHeight="1">
      <c r="A634" s="343"/>
      <c r="B634" s="251"/>
      <c r="C634" s="242"/>
      <c r="D634" s="242"/>
      <c r="E634" s="242"/>
      <c r="F634" s="242"/>
      <c r="G634" s="242"/>
      <c r="H634" s="227"/>
      <c r="I634" s="227"/>
      <c r="J634" s="346"/>
      <c r="K634" s="227"/>
      <c r="L634" s="227"/>
    </row>
    <row r="635" spans="1:12" ht="27.95" customHeight="1">
      <c r="A635" s="343"/>
      <c r="B635" s="758"/>
      <c r="C635" s="758"/>
      <c r="D635" s="758"/>
      <c r="E635" s="758"/>
      <c r="F635" s="758"/>
      <c r="G635" s="758"/>
      <c r="H635" s="859"/>
      <c r="I635" s="860"/>
      <c r="J635" s="860"/>
      <c r="K635" s="860"/>
      <c r="L635" s="860"/>
    </row>
    <row r="636" spans="1:12" ht="27.95" customHeight="1">
      <c r="A636" s="343"/>
      <c r="B636" s="862"/>
      <c r="C636" s="862"/>
      <c r="D636" s="862"/>
      <c r="E636" s="862"/>
      <c r="F636" s="862"/>
      <c r="G636" s="862"/>
      <c r="H636" s="865"/>
      <c r="I636" s="860"/>
      <c r="J636" s="860"/>
      <c r="K636" s="860"/>
      <c r="L636" s="860"/>
    </row>
    <row r="637" spans="1:12" ht="27.95" customHeight="1">
      <c r="A637" s="47"/>
      <c r="B637" s="862"/>
      <c r="C637" s="862"/>
      <c r="D637" s="862"/>
      <c r="E637" s="862"/>
      <c r="F637" s="862"/>
      <c r="G637" s="862"/>
      <c r="H637" s="860"/>
      <c r="I637" s="860"/>
      <c r="J637" s="860"/>
      <c r="K637" s="860"/>
      <c r="L637" s="860"/>
    </row>
    <row r="638" spans="1:12" ht="27.95" customHeight="1">
      <c r="A638" s="47"/>
      <c r="B638" s="251"/>
      <c r="C638" s="242"/>
      <c r="D638" s="242"/>
      <c r="E638" s="242"/>
      <c r="F638" s="242"/>
      <c r="G638" s="242"/>
      <c r="H638" s="227"/>
      <c r="I638" s="227"/>
      <c r="J638" s="227"/>
      <c r="K638" s="227"/>
      <c r="L638" s="227"/>
    </row>
    <row r="639" spans="1:12" ht="27.95" customHeight="1">
      <c r="A639" s="47"/>
      <c r="B639" s="251"/>
      <c r="C639" s="242"/>
      <c r="D639" s="242"/>
      <c r="E639" s="242"/>
      <c r="F639" s="242"/>
      <c r="G639" s="242"/>
      <c r="H639" s="227"/>
      <c r="I639" s="227"/>
      <c r="J639" s="227"/>
      <c r="K639" s="227"/>
      <c r="L639" s="227"/>
    </row>
    <row r="640" spans="1:12" ht="27.95" customHeight="1">
      <c r="A640" s="47"/>
      <c r="B640" s="251"/>
      <c r="C640" s="242"/>
      <c r="D640" s="242"/>
      <c r="E640" s="242"/>
      <c r="F640" s="242"/>
      <c r="G640" s="242"/>
      <c r="H640" s="227"/>
      <c r="I640" s="227"/>
      <c r="J640" s="228"/>
      <c r="K640" s="227"/>
      <c r="L640" s="227"/>
    </row>
    <row r="641" spans="1:12" ht="27.95" customHeight="1">
      <c r="A641" s="47"/>
      <c r="B641" s="251"/>
      <c r="C641" s="242"/>
      <c r="D641" s="242"/>
      <c r="E641" s="242"/>
      <c r="F641" s="242"/>
      <c r="G641" s="242"/>
      <c r="H641" s="227"/>
      <c r="I641" s="227"/>
      <c r="J641" s="227"/>
      <c r="K641" s="227"/>
      <c r="L641" s="227"/>
    </row>
    <row r="642" spans="1:12" ht="27.95" customHeight="1">
      <c r="A642" s="47"/>
      <c r="B642" s="251"/>
      <c r="C642" s="242"/>
      <c r="D642" s="242"/>
      <c r="E642" s="242"/>
      <c r="F642" s="242"/>
      <c r="G642" s="242"/>
      <c r="H642" s="227"/>
      <c r="I642" s="227"/>
      <c r="J642" s="228"/>
      <c r="K642" s="227"/>
      <c r="L642" s="227"/>
    </row>
    <row r="643" spans="1:12" ht="27.95" customHeight="1">
      <c r="A643" s="47"/>
      <c r="B643" s="251"/>
      <c r="C643" s="242"/>
      <c r="D643" s="227"/>
      <c r="E643" s="228"/>
      <c r="F643" s="227"/>
      <c r="G643" s="228"/>
      <c r="H643" s="227"/>
      <c r="I643" s="228"/>
      <c r="J643" s="227"/>
      <c r="K643" s="228"/>
      <c r="L643" s="228"/>
    </row>
    <row r="644" spans="1:12" ht="27.95" customHeight="1">
      <c r="A644" s="47"/>
      <c r="B644" s="251"/>
      <c r="C644" s="242"/>
      <c r="D644" s="242"/>
      <c r="E644" s="242"/>
      <c r="F644" s="242"/>
      <c r="G644" s="242"/>
      <c r="H644" s="227"/>
      <c r="I644" s="227"/>
      <c r="J644" s="348"/>
      <c r="K644" s="227"/>
      <c r="L644" s="227"/>
    </row>
    <row r="645" spans="1:12" ht="27.95" customHeight="1">
      <c r="A645" s="47"/>
      <c r="B645" s="251"/>
      <c r="C645" s="229"/>
      <c r="D645" s="229"/>
      <c r="E645" s="229"/>
      <c r="F645" s="229"/>
      <c r="G645" s="229"/>
      <c r="H645" s="47"/>
      <c r="I645" s="47"/>
      <c r="J645" s="47"/>
      <c r="K645" s="47"/>
      <c r="L645" s="47"/>
    </row>
    <row r="646" spans="1:12" ht="27.95" customHeight="1">
      <c r="A646" s="47"/>
      <c r="B646" s="251"/>
      <c r="C646" s="229"/>
      <c r="D646" s="229"/>
      <c r="E646" s="229"/>
      <c r="F646" s="229"/>
      <c r="G646" s="229"/>
      <c r="H646" s="47"/>
      <c r="I646" s="47"/>
      <c r="J646" s="47"/>
      <c r="K646" s="47"/>
      <c r="L646" s="47"/>
    </row>
    <row r="647" spans="1:12">
      <c r="A647" s="47"/>
      <c r="B647" s="47"/>
      <c r="C647" s="47"/>
      <c r="D647" s="47"/>
      <c r="E647" s="47"/>
      <c r="F647" s="47"/>
      <c r="G647" s="47"/>
      <c r="H647" s="47"/>
      <c r="I647" s="47"/>
      <c r="J647" s="47"/>
      <c r="K647" s="47"/>
      <c r="L647" s="47"/>
    </row>
    <row r="648" spans="1:12">
      <c r="A648" s="47"/>
      <c r="B648" s="47"/>
      <c r="C648" s="47"/>
      <c r="D648" s="47"/>
      <c r="E648" s="47"/>
      <c r="F648" s="47"/>
      <c r="G648" s="47"/>
      <c r="H648" s="47"/>
      <c r="I648" s="47"/>
      <c r="J648" s="47"/>
      <c r="K648" s="47"/>
      <c r="L648" s="47"/>
    </row>
    <row r="649" spans="1:12">
      <c r="A649" s="47"/>
      <c r="B649" s="47"/>
      <c r="C649" s="47"/>
      <c r="D649" s="47"/>
      <c r="E649" s="47"/>
      <c r="F649" s="47"/>
      <c r="G649" s="47"/>
      <c r="H649" s="47"/>
      <c r="I649" s="47"/>
      <c r="J649" s="47"/>
      <c r="K649" s="47"/>
      <c r="L649" s="47"/>
    </row>
    <row r="650" spans="1:12" ht="32.25">
      <c r="A650" s="47"/>
      <c r="B650" s="866"/>
      <c r="C650" s="786"/>
      <c r="D650" s="786"/>
      <c r="E650" s="786"/>
      <c r="F650" s="786"/>
      <c r="G650" s="786"/>
      <c r="H650" s="786"/>
      <c r="I650" s="786"/>
      <c r="J650" s="786"/>
      <c r="K650" s="786"/>
      <c r="L650" s="786"/>
    </row>
    <row r="651" spans="1:12" ht="23.25">
      <c r="A651" s="47"/>
      <c r="B651" s="745"/>
      <c r="C651" s="745"/>
      <c r="D651" s="745"/>
      <c r="E651" s="745"/>
      <c r="F651" s="745"/>
      <c r="G651" s="745"/>
      <c r="H651" s="745"/>
      <c r="I651" s="745"/>
      <c r="J651" s="745"/>
      <c r="K651" s="745"/>
      <c r="L651" s="745"/>
    </row>
    <row r="652" spans="1:12" ht="15.75">
      <c r="A652" s="47"/>
      <c r="B652" s="864"/>
      <c r="C652" s="864"/>
      <c r="D652" s="864"/>
      <c r="E652" s="864"/>
      <c r="F652" s="864"/>
      <c r="G652" s="864"/>
      <c r="H652" s="864"/>
      <c r="I652" s="864"/>
      <c r="J652" s="864"/>
      <c r="K652" s="864"/>
      <c r="L652" s="864"/>
    </row>
    <row r="653" spans="1:12" ht="15" customHeight="1">
      <c r="A653" s="47"/>
      <c r="B653" s="757"/>
      <c r="C653" s="757"/>
      <c r="D653" s="757"/>
      <c r="E653" s="757"/>
      <c r="F653" s="757"/>
      <c r="G653" s="47"/>
      <c r="H653" s="758"/>
      <c r="I653" s="758"/>
      <c r="J653" s="758"/>
      <c r="K653" s="758"/>
      <c r="L653" s="758"/>
    </row>
    <row r="654" spans="1:12">
      <c r="A654" s="47"/>
      <c r="B654" s="757"/>
      <c r="C654" s="757"/>
      <c r="D654" s="757"/>
      <c r="E654" s="757"/>
      <c r="F654" s="757"/>
      <c r="G654" s="47"/>
      <c r="H654" s="758"/>
      <c r="I654" s="758"/>
      <c r="J654" s="758"/>
      <c r="K654" s="758"/>
      <c r="L654" s="758"/>
    </row>
    <row r="655" spans="1:12">
      <c r="A655" s="47"/>
      <c r="B655" s="47"/>
      <c r="C655" s="47"/>
      <c r="D655" s="47"/>
      <c r="E655" s="47"/>
      <c r="F655" s="47"/>
      <c r="G655" s="47"/>
      <c r="H655" s="47"/>
      <c r="I655" s="47"/>
      <c r="J655" s="47"/>
      <c r="K655" s="47"/>
      <c r="L655" s="47"/>
    </row>
    <row r="656" spans="1:12">
      <c r="A656" s="47"/>
      <c r="B656" s="152"/>
      <c r="C656" s="144"/>
      <c r="D656" s="144"/>
      <c r="E656" s="144"/>
      <c r="F656" s="144"/>
      <c r="G656" s="47"/>
      <c r="H656" s="152"/>
      <c r="I656" s="144"/>
      <c r="J656" s="144"/>
      <c r="K656" s="144"/>
      <c r="L656" s="144"/>
    </row>
    <row r="657" spans="1:12">
      <c r="A657" s="47"/>
      <c r="B657" s="47"/>
      <c r="C657" s="144"/>
      <c r="D657" s="144"/>
      <c r="E657" s="144"/>
      <c r="F657" s="144"/>
      <c r="G657" s="47"/>
      <c r="H657" s="47"/>
      <c r="I657" s="144"/>
      <c r="J657" s="144"/>
      <c r="K657" s="144"/>
      <c r="L657" s="144"/>
    </row>
    <row r="658" spans="1:12">
      <c r="A658" s="47"/>
      <c r="B658" s="152"/>
      <c r="C658" s="144"/>
      <c r="D658" s="144"/>
      <c r="E658" s="144"/>
      <c r="F658" s="144"/>
      <c r="G658" s="47"/>
      <c r="H658" s="152"/>
      <c r="I658" s="144"/>
      <c r="J658" s="144"/>
      <c r="K658" s="144"/>
      <c r="L658" s="144"/>
    </row>
    <row r="659" spans="1:12">
      <c r="A659" s="47"/>
      <c r="B659" s="144"/>
      <c r="C659" s="144"/>
      <c r="D659" s="144"/>
      <c r="E659" s="144"/>
      <c r="F659" s="144"/>
      <c r="G659" s="47"/>
      <c r="H659" s="144"/>
      <c r="I659" s="144"/>
      <c r="J659" s="144"/>
      <c r="K659" s="144"/>
      <c r="L659" s="144"/>
    </row>
    <row r="660" spans="1:12">
      <c r="A660" s="47"/>
      <c r="B660" s="47"/>
      <c r="C660" s="47"/>
      <c r="D660" s="47"/>
      <c r="E660" s="47"/>
      <c r="F660" s="47"/>
      <c r="G660" s="47"/>
      <c r="H660" s="47"/>
      <c r="I660" s="47"/>
      <c r="J660" s="47"/>
      <c r="K660" s="47"/>
      <c r="L660" s="47"/>
    </row>
    <row r="661" spans="1:12">
      <c r="A661" s="47"/>
      <c r="B661" s="760"/>
      <c r="C661" s="760"/>
      <c r="D661" s="760"/>
      <c r="E661" s="760"/>
      <c r="F661" s="760"/>
      <c r="G661" s="47"/>
      <c r="H661" s="760"/>
      <c r="I661" s="760"/>
      <c r="J661" s="760"/>
      <c r="K661" s="760"/>
      <c r="L661" s="760"/>
    </row>
    <row r="662" spans="1:12">
      <c r="A662" s="47"/>
      <c r="B662" s="47"/>
      <c r="C662" s="47"/>
      <c r="D662" s="47"/>
      <c r="E662" s="47"/>
      <c r="F662" s="47"/>
      <c r="G662" s="47"/>
      <c r="H662" s="47"/>
      <c r="I662" s="47"/>
      <c r="J662" s="47"/>
      <c r="K662" s="47"/>
      <c r="L662" s="47"/>
    </row>
    <row r="663" spans="1:12">
      <c r="A663" s="47"/>
      <c r="B663" s="47"/>
      <c r="C663" s="47"/>
      <c r="D663" s="47"/>
      <c r="E663" s="47"/>
      <c r="F663" s="47"/>
      <c r="G663" s="47"/>
      <c r="H663" s="229"/>
      <c r="I663" s="229"/>
      <c r="J663" s="229"/>
      <c r="K663" s="229"/>
      <c r="L663" s="229"/>
    </row>
    <row r="664" spans="1:12">
      <c r="A664" s="47"/>
      <c r="B664" s="144"/>
      <c r="C664" s="144"/>
      <c r="D664" s="144"/>
      <c r="E664" s="144"/>
      <c r="F664" s="144"/>
      <c r="G664" s="47"/>
      <c r="H664" s="152"/>
      <c r="I664" s="152"/>
      <c r="J664" s="152"/>
      <c r="K664" s="152"/>
      <c r="L664" s="152"/>
    </row>
    <row r="665" spans="1:12">
      <c r="A665" s="47"/>
      <c r="B665" s="152"/>
      <c r="C665" s="144"/>
      <c r="D665" s="144"/>
      <c r="E665" s="144"/>
      <c r="F665" s="144"/>
      <c r="G665" s="47"/>
      <c r="H665" s="152"/>
      <c r="I665" s="152"/>
      <c r="J665" s="152"/>
      <c r="K665" s="152"/>
      <c r="L665" s="152"/>
    </row>
    <row r="666" spans="1:12">
      <c r="A666" s="47"/>
      <c r="B666" s="144"/>
      <c r="C666" s="144"/>
      <c r="D666" s="144"/>
      <c r="E666" s="144"/>
      <c r="F666" s="144"/>
      <c r="G666" s="47"/>
      <c r="H666" s="152"/>
      <c r="I666" s="152"/>
      <c r="J666" s="152"/>
      <c r="K666" s="152"/>
      <c r="L666" s="152"/>
    </row>
    <row r="667" spans="1:12">
      <c r="A667" s="47"/>
      <c r="B667" s="144"/>
      <c r="C667" s="144"/>
      <c r="D667" s="144"/>
      <c r="E667" s="144"/>
      <c r="F667" s="144"/>
      <c r="G667" s="47"/>
      <c r="H667" s="152"/>
      <c r="I667" s="152"/>
      <c r="J667" s="152"/>
      <c r="K667" s="152"/>
      <c r="L667" s="152"/>
    </row>
    <row r="668" spans="1:12" ht="27.95" customHeight="1">
      <c r="A668" s="343"/>
      <c r="B668" s="862"/>
      <c r="C668" s="862"/>
      <c r="D668" s="862"/>
      <c r="E668" s="862"/>
      <c r="F668" s="862"/>
      <c r="G668" s="862"/>
      <c r="H668" s="859"/>
      <c r="I668" s="860"/>
      <c r="J668" s="860"/>
      <c r="K668" s="860"/>
      <c r="L668" s="860"/>
    </row>
    <row r="669" spans="1:12" ht="27.95" customHeight="1">
      <c r="A669" s="343"/>
      <c r="B669" s="758"/>
      <c r="C669" s="758"/>
      <c r="D669" s="758"/>
      <c r="E669" s="758"/>
      <c r="F669" s="758"/>
      <c r="G669" s="758"/>
      <c r="H669" s="859"/>
      <c r="I669" s="860"/>
      <c r="J669" s="860"/>
      <c r="K669" s="860"/>
      <c r="L669" s="860"/>
    </row>
    <row r="670" spans="1:12" ht="27.95" customHeight="1">
      <c r="A670" s="343"/>
      <c r="B670" s="862"/>
      <c r="C670" s="862"/>
      <c r="D670" s="862"/>
      <c r="E670" s="862"/>
      <c r="F670" s="862"/>
      <c r="G670" s="862"/>
      <c r="H670" s="859"/>
      <c r="I670" s="860"/>
      <c r="J670" s="860"/>
      <c r="K670" s="860"/>
      <c r="L670" s="860"/>
    </row>
    <row r="671" spans="1:12" ht="27.95" customHeight="1">
      <c r="A671" s="343"/>
      <c r="B671" s="862"/>
      <c r="C671" s="862"/>
      <c r="D671" s="862"/>
      <c r="E671" s="862"/>
      <c r="F671" s="862"/>
      <c r="G671" s="862"/>
      <c r="H671" s="863"/>
      <c r="I671" s="860"/>
      <c r="J671" s="860"/>
      <c r="K671" s="860"/>
      <c r="L671" s="860"/>
    </row>
    <row r="672" spans="1:12" ht="27.95" customHeight="1">
      <c r="A672" s="343"/>
      <c r="B672" s="251"/>
      <c r="C672" s="242"/>
      <c r="D672" s="242"/>
      <c r="E672" s="242"/>
      <c r="F672" s="242"/>
      <c r="G672" s="242"/>
      <c r="H672" s="227"/>
      <c r="I672" s="343"/>
      <c r="J672" s="346"/>
      <c r="K672" s="227"/>
      <c r="L672" s="227"/>
    </row>
    <row r="673" spans="1:12" ht="27.95" customHeight="1">
      <c r="A673" s="343"/>
      <c r="B673" s="251"/>
      <c r="C673" s="242"/>
      <c r="D673" s="242"/>
      <c r="E673" s="242"/>
      <c r="F673" s="242"/>
      <c r="G673" s="242"/>
      <c r="H673" s="227"/>
      <c r="I673" s="227"/>
      <c r="J673" s="346"/>
      <c r="K673" s="227"/>
      <c r="L673" s="227"/>
    </row>
    <row r="674" spans="1:12" ht="27.95" customHeight="1">
      <c r="A674" s="343"/>
      <c r="B674" s="758"/>
      <c r="C674" s="758"/>
      <c r="D674" s="758"/>
      <c r="E674" s="758"/>
      <c r="F674" s="758"/>
      <c r="G674" s="758"/>
      <c r="H674" s="859"/>
      <c r="I674" s="860"/>
      <c r="J674" s="860"/>
      <c r="K674" s="860"/>
      <c r="L674" s="860"/>
    </row>
    <row r="675" spans="1:12" ht="27.95" customHeight="1">
      <c r="A675" s="343"/>
      <c r="B675" s="862"/>
      <c r="C675" s="862"/>
      <c r="D675" s="862"/>
      <c r="E675" s="862"/>
      <c r="F675" s="862"/>
      <c r="G675" s="862"/>
      <c r="H675" s="865"/>
      <c r="I675" s="860"/>
      <c r="J675" s="860"/>
      <c r="K675" s="860"/>
      <c r="L675" s="860"/>
    </row>
    <row r="676" spans="1:12" ht="27.95" customHeight="1">
      <c r="A676" s="47"/>
      <c r="B676" s="862"/>
      <c r="C676" s="862"/>
      <c r="D676" s="862"/>
      <c r="E676" s="862"/>
      <c r="F676" s="862"/>
      <c r="G676" s="862"/>
      <c r="H676" s="860"/>
      <c r="I676" s="860"/>
      <c r="J676" s="860"/>
      <c r="K676" s="860"/>
      <c r="L676" s="860"/>
    </row>
    <row r="677" spans="1:12" ht="27.95" customHeight="1">
      <c r="A677" s="47"/>
      <c r="B677" s="251"/>
      <c r="C677" s="242"/>
      <c r="D677" s="242"/>
      <c r="E677" s="242"/>
      <c r="F677" s="242"/>
      <c r="G677" s="242"/>
      <c r="H677" s="227"/>
      <c r="I677" s="227"/>
      <c r="J677" s="227"/>
      <c r="K677" s="227"/>
      <c r="L677" s="227"/>
    </row>
    <row r="678" spans="1:12" ht="27.95" customHeight="1">
      <c r="A678" s="47"/>
      <c r="B678" s="251"/>
      <c r="C678" s="242"/>
      <c r="D678" s="242"/>
      <c r="E678" s="242"/>
      <c r="F678" s="242"/>
      <c r="G678" s="242"/>
      <c r="H678" s="227"/>
      <c r="I678" s="227"/>
      <c r="J678" s="227"/>
      <c r="K678" s="227"/>
      <c r="L678" s="227"/>
    </row>
    <row r="679" spans="1:12" ht="27.95" customHeight="1">
      <c r="A679" s="47"/>
      <c r="B679" s="251"/>
      <c r="C679" s="242"/>
      <c r="D679" s="242"/>
      <c r="E679" s="242"/>
      <c r="F679" s="242"/>
      <c r="G679" s="242"/>
      <c r="H679" s="227"/>
      <c r="I679" s="227"/>
      <c r="J679" s="228"/>
      <c r="K679" s="227"/>
      <c r="L679" s="227"/>
    </row>
    <row r="680" spans="1:12" ht="27.95" customHeight="1">
      <c r="A680" s="47"/>
      <c r="B680" s="251"/>
      <c r="C680" s="242"/>
      <c r="D680" s="242"/>
      <c r="E680" s="242"/>
      <c r="F680" s="242"/>
      <c r="G680" s="242"/>
      <c r="H680" s="227"/>
      <c r="I680" s="227"/>
      <c r="J680" s="227"/>
      <c r="K680" s="227"/>
      <c r="L680" s="227"/>
    </row>
    <row r="681" spans="1:12" ht="27.95" customHeight="1">
      <c r="A681" s="47"/>
      <c r="B681" s="251"/>
      <c r="C681" s="242"/>
      <c r="D681" s="242"/>
      <c r="E681" s="242"/>
      <c r="F681" s="242"/>
      <c r="G681" s="242"/>
      <c r="H681" s="227"/>
      <c r="I681" s="227"/>
      <c r="J681" s="228"/>
      <c r="K681" s="227"/>
      <c r="L681" s="227"/>
    </row>
    <row r="682" spans="1:12" ht="27.95" customHeight="1">
      <c r="A682" s="47"/>
      <c r="B682" s="251"/>
      <c r="C682" s="242"/>
      <c r="D682" s="227"/>
      <c r="E682" s="228"/>
      <c r="F682" s="227"/>
      <c r="G682" s="228"/>
      <c r="H682" s="227"/>
      <c r="I682" s="228"/>
      <c r="J682" s="227"/>
      <c r="K682" s="228"/>
      <c r="L682" s="228"/>
    </row>
    <row r="683" spans="1:12" ht="27.95" customHeight="1">
      <c r="A683" s="47"/>
      <c r="B683" s="251"/>
      <c r="C683" s="242"/>
      <c r="D683" s="242"/>
      <c r="E683" s="242"/>
      <c r="F683" s="242"/>
      <c r="G683" s="242"/>
      <c r="H683" s="227"/>
      <c r="I683" s="227"/>
      <c r="J683" s="348"/>
      <c r="K683" s="227"/>
      <c r="L683" s="227"/>
    </row>
    <row r="684" spans="1:12" ht="27.95" customHeight="1">
      <c r="A684" s="47"/>
      <c r="B684" s="251"/>
      <c r="C684" s="229"/>
      <c r="D684" s="229"/>
      <c r="E684" s="229"/>
      <c r="F684" s="229"/>
      <c r="G684" s="229"/>
      <c r="H684" s="47"/>
      <c r="I684" s="47"/>
      <c r="J684" s="47"/>
      <c r="K684" s="47"/>
      <c r="L684" s="47"/>
    </row>
    <row r="685" spans="1:12" ht="27.95" customHeight="1">
      <c r="A685" s="47"/>
      <c r="B685" s="251"/>
      <c r="C685" s="229"/>
      <c r="D685" s="229"/>
      <c r="E685" s="229"/>
      <c r="F685" s="229"/>
      <c r="G685" s="229"/>
      <c r="H685" s="47"/>
      <c r="I685" s="47"/>
      <c r="J685" s="47"/>
      <c r="K685" s="47"/>
      <c r="L685" s="47"/>
    </row>
    <row r="686" spans="1:12">
      <c r="A686" s="47"/>
      <c r="B686" s="47"/>
      <c r="C686" s="47"/>
      <c r="D686" s="47"/>
      <c r="E686" s="47"/>
      <c r="F686" s="47"/>
      <c r="G686" s="47"/>
      <c r="H686" s="47"/>
      <c r="I686" s="47"/>
      <c r="J686" s="47"/>
      <c r="K686" s="47"/>
      <c r="L686" s="47"/>
    </row>
    <row r="687" spans="1:12">
      <c r="A687" s="47"/>
      <c r="B687" s="47"/>
      <c r="C687" s="47"/>
      <c r="D687" s="47"/>
      <c r="E687" s="47"/>
      <c r="F687" s="47"/>
      <c r="G687" s="47"/>
      <c r="H687" s="47"/>
      <c r="I687" s="47"/>
      <c r="J687" s="47"/>
      <c r="K687" s="47"/>
      <c r="L687" s="47"/>
    </row>
    <row r="688" spans="1:12">
      <c r="A688" s="47"/>
      <c r="B688" s="47"/>
      <c r="C688" s="47"/>
      <c r="D688" s="47"/>
      <c r="E688" s="47"/>
      <c r="F688" s="47"/>
      <c r="G688" s="47"/>
      <c r="H688" s="47"/>
      <c r="I688" s="47"/>
      <c r="J688" s="47"/>
      <c r="K688" s="47"/>
      <c r="L688" s="47"/>
    </row>
    <row r="689" spans="1:12" ht="32.25">
      <c r="A689" s="47"/>
      <c r="B689" s="866"/>
      <c r="C689" s="786"/>
      <c r="D689" s="786"/>
      <c r="E689" s="786"/>
      <c r="F689" s="786"/>
      <c r="G689" s="786"/>
      <c r="H689" s="786"/>
      <c r="I689" s="786"/>
      <c r="J689" s="786"/>
      <c r="K689" s="786"/>
      <c r="L689" s="786"/>
    </row>
    <row r="690" spans="1:12" ht="23.25">
      <c r="A690" s="47"/>
      <c r="B690" s="745"/>
      <c r="C690" s="745"/>
      <c r="D690" s="745"/>
      <c r="E690" s="745"/>
      <c r="F690" s="745"/>
      <c r="G690" s="745"/>
      <c r="H690" s="745"/>
      <c r="I690" s="745"/>
      <c r="J690" s="745"/>
      <c r="K690" s="745"/>
      <c r="L690" s="745"/>
    </row>
    <row r="691" spans="1:12" ht="15.75">
      <c r="A691" s="47"/>
      <c r="B691" s="864"/>
      <c r="C691" s="864"/>
      <c r="D691" s="864"/>
      <c r="E691" s="864"/>
      <c r="F691" s="864"/>
      <c r="G691" s="864"/>
      <c r="H691" s="864"/>
      <c r="I691" s="864"/>
      <c r="J691" s="864"/>
      <c r="K691" s="864"/>
      <c r="L691" s="864"/>
    </row>
    <row r="692" spans="1:12" ht="15" customHeight="1">
      <c r="A692" s="47"/>
      <c r="B692" s="757"/>
      <c r="C692" s="757"/>
      <c r="D692" s="757"/>
      <c r="E692" s="757"/>
      <c r="F692" s="757"/>
      <c r="G692" s="47"/>
      <c r="H692" s="758"/>
      <c r="I692" s="758"/>
      <c r="J692" s="758"/>
      <c r="K692" s="758"/>
      <c r="L692" s="758"/>
    </row>
    <row r="693" spans="1:12">
      <c r="A693" s="47"/>
      <c r="B693" s="757"/>
      <c r="C693" s="757"/>
      <c r="D693" s="757"/>
      <c r="E693" s="757"/>
      <c r="F693" s="757"/>
      <c r="G693" s="47"/>
      <c r="H693" s="758"/>
      <c r="I693" s="758"/>
      <c r="J693" s="758"/>
      <c r="K693" s="758"/>
      <c r="L693" s="758"/>
    </row>
    <row r="694" spans="1:12">
      <c r="A694" s="47"/>
      <c r="B694" s="47"/>
      <c r="C694" s="47"/>
      <c r="D694" s="47"/>
      <c r="E694" s="47"/>
      <c r="F694" s="47"/>
      <c r="G694" s="47"/>
      <c r="H694" s="47"/>
      <c r="I694" s="47"/>
      <c r="J694" s="47"/>
      <c r="K694" s="47"/>
      <c r="L694" s="47"/>
    </row>
    <row r="695" spans="1:12">
      <c r="A695" s="47"/>
      <c r="B695" s="152"/>
      <c r="C695" s="144"/>
      <c r="D695" s="144"/>
      <c r="E695" s="144"/>
      <c r="F695" s="144"/>
      <c r="G695" s="47"/>
      <c r="H695" s="152"/>
      <c r="I695" s="144"/>
      <c r="J695" s="144"/>
      <c r="K695" s="144"/>
      <c r="L695" s="144"/>
    </row>
    <row r="696" spans="1:12">
      <c r="A696" s="47"/>
      <c r="B696" s="47"/>
      <c r="C696" s="144"/>
      <c r="D696" s="144"/>
      <c r="E696" s="144"/>
      <c r="F696" s="144"/>
      <c r="G696" s="47"/>
      <c r="H696" s="47"/>
      <c r="I696" s="144"/>
      <c r="J696" s="144"/>
      <c r="K696" s="144"/>
      <c r="L696" s="144"/>
    </row>
    <row r="697" spans="1:12">
      <c r="A697" s="47"/>
      <c r="B697" s="152"/>
      <c r="C697" s="144"/>
      <c r="D697" s="144"/>
      <c r="E697" s="144"/>
      <c r="F697" s="144"/>
      <c r="G697" s="47"/>
      <c r="H697" s="152"/>
      <c r="I697" s="144"/>
      <c r="J697" s="144"/>
      <c r="K697" s="144"/>
      <c r="L697" s="144"/>
    </row>
    <row r="698" spans="1:12">
      <c r="A698" s="47"/>
      <c r="B698" s="144"/>
      <c r="C698" s="144"/>
      <c r="D698" s="144"/>
      <c r="E698" s="144"/>
      <c r="F698" s="144"/>
      <c r="G698" s="47"/>
      <c r="H698" s="144"/>
      <c r="I698" s="144"/>
      <c r="J698" s="144"/>
      <c r="K698" s="144"/>
      <c r="L698" s="144"/>
    </row>
    <row r="699" spans="1:12">
      <c r="A699" s="47"/>
      <c r="B699" s="47"/>
      <c r="C699" s="47"/>
      <c r="D699" s="47"/>
      <c r="E699" s="47"/>
      <c r="F699" s="47"/>
      <c r="G699" s="47"/>
      <c r="H699" s="47"/>
      <c r="I699" s="47"/>
      <c r="J699" s="47"/>
      <c r="K699" s="47"/>
      <c r="L699" s="47"/>
    </row>
    <row r="700" spans="1:12">
      <c r="A700" s="47"/>
      <c r="B700" s="760"/>
      <c r="C700" s="760"/>
      <c r="D700" s="760"/>
      <c r="E700" s="760"/>
      <c r="F700" s="760"/>
      <c r="G700" s="47"/>
      <c r="H700" s="760"/>
      <c r="I700" s="760"/>
      <c r="J700" s="760"/>
      <c r="K700" s="760"/>
      <c r="L700" s="760"/>
    </row>
    <row r="701" spans="1:12">
      <c r="A701" s="47"/>
      <c r="B701" s="47"/>
      <c r="C701" s="47"/>
      <c r="D701" s="47"/>
      <c r="E701" s="47"/>
      <c r="F701" s="47"/>
      <c r="G701" s="47"/>
      <c r="H701" s="47"/>
      <c r="I701" s="47"/>
      <c r="J701" s="47"/>
      <c r="K701" s="47"/>
      <c r="L701" s="47"/>
    </row>
    <row r="702" spans="1:12">
      <c r="A702" s="47"/>
      <c r="B702" s="47"/>
      <c r="C702" s="47"/>
      <c r="D702" s="47"/>
      <c r="E702" s="47"/>
      <c r="F702" s="47"/>
      <c r="G702" s="47"/>
      <c r="H702" s="229"/>
      <c r="I702" s="229"/>
      <c r="J702" s="229"/>
      <c r="K702" s="229"/>
      <c r="L702" s="229"/>
    </row>
    <row r="703" spans="1:12">
      <c r="A703" s="47"/>
      <c r="B703" s="144"/>
      <c r="C703" s="144"/>
      <c r="D703" s="144"/>
      <c r="E703" s="144"/>
      <c r="F703" s="144"/>
      <c r="G703" s="47"/>
      <c r="H703" s="152"/>
      <c r="I703" s="152"/>
      <c r="J703" s="152"/>
      <c r="K703" s="152"/>
      <c r="L703" s="152"/>
    </row>
    <row r="704" spans="1:12">
      <c r="A704" s="47"/>
      <c r="B704" s="152"/>
      <c r="C704" s="144"/>
      <c r="D704" s="144"/>
      <c r="E704" s="144"/>
      <c r="F704" s="144"/>
      <c r="G704" s="47"/>
      <c r="H704" s="152"/>
      <c r="I704" s="152"/>
      <c r="J704" s="152"/>
      <c r="K704" s="152"/>
      <c r="L704" s="152"/>
    </row>
    <row r="705" spans="1:12">
      <c r="A705" s="47"/>
      <c r="B705" s="144"/>
      <c r="C705" s="144"/>
      <c r="D705" s="144"/>
      <c r="E705" s="144"/>
      <c r="F705" s="144"/>
      <c r="G705" s="47"/>
      <c r="H705" s="152"/>
      <c r="I705" s="152"/>
      <c r="J705" s="152"/>
      <c r="K705" s="152"/>
      <c r="L705" s="152"/>
    </row>
    <row r="706" spans="1:12">
      <c r="A706" s="47"/>
      <c r="B706" s="144"/>
      <c r="C706" s="144"/>
      <c r="D706" s="144"/>
      <c r="E706" s="144"/>
      <c r="F706" s="144"/>
      <c r="G706" s="47"/>
      <c r="H706" s="152"/>
      <c r="I706" s="152"/>
      <c r="J706" s="152"/>
      <c r="K706" s="152"/>
      <c r="L706" s="152"/>
    </row>
    <row r="707" spans="1:12" ht="27.95" customHeight="1">
      <c r="A707" s="343"/>
      <c r="B707" s="862"/>
      <c r="C707" s="862"/>
      <c r="D707" s="862"/>
      <c r="E707" s="862"/>
      <c r="F707" s="862"/>
      <c r="G707" s="862"/>
      <c r="H707" s="859"/>
      <c r="I707" s="860"/>
      <c r="J707" s="860"/>
      <c r="K707" s="860"/>
      <c r="L707" s="860"/>
    </row>
    <row r="708" spans="1:12" ht="27.95" customHeight="1">
      <c r="A708" s="343"/>
      <c r="B708" s="758"/>
      <c r="C708" s="758"/>
      <c r="D708" s="758"/>
      <c r="E708" s="758"/>
      <c r="F708" s="758"/>
      <c r="G708" s="758"/>
      <c r="H708" s="859"/>
      <c r="I708" s="860"/>
      <c r="J708" s="860"/>
      <c r="K708" s="860"/>
      <c r="L708" s="860"/>
    </row>
    <row r="709" spans="1:12" ht="27.95" customHeight="1">
      <c r="A709" s="343"/>
      <c r="B709" s="862"/>
      <c r="C709" s="862"/>
      <c r="D709" s="862"/>
      <c r="E709" s="862"/>
      <c r="F709" s="862"/>
      <c r="G709" s="862"/>
      <c r="H709" s="859"/>
      <c r="I709" s="860"/>
      <c r="J709" s="860"/>
      <c r="K709" s="860"/>
      <c r="L709" s="860"/>
    </row>
    <row r="710" spans="1:12" ht="27.95" customHeight="1">
      <c r="A710" s="343"/>
      <c r="B710" s="862"/>
      <c r="C710" s="862"/>
      <c r="D710" s="862"/>
      <c r="E710" s="862"/>
      <c r="F710" s="862"/>
      <c r="G710" s="862"/>
      <c r="H710" s="863"/>
      <c r="I710" s="860"/>
      <c r="J710" s="860"/>
      <c r="K710" s="860"/>
      <c r="L710" s="860"/>
    </row>
    <row r="711" spans="1:12" ht="27.95" customHeight="1">
      <c r="A711" s="343"/>
      <c r="B711" s="251"/>
      <c r="C711" s="242"/>
      <c r="D711" s="242"/>
      <c r="E711" s="242"/>
      <c r="F711" s="242"/>
      <c r="G711" s="242"/>
      <c r="H711" s="227"/>
      <c r="I711" s="343"/>
      <c r="J711" s="346"/>
      <c r="K711" s="227"/>
      <c r="L711" s="227"/>
    </row>
    <row r="712" spans="1:12" ht="27.95" customHeight="1">
      <c r="A712" s="343"/>
      <c r="B712" s="251"/>
      <c r="C712" s="242"/>
      <c r="D712" s="242"/>
      <c r="E712" s="242"/>
      <c r="F712" s="242"/>
      <c r="G712" s="242"/>
      <c r="H712" s="227"/>
      <c r="I712" s="227"/>
      <c r="J712" s="346"/>
      <c r="K712" s="227"/>
      <c r="L712" s="227"/>
    </row>
    <row r="713" spans="1:12" ht="27.95" customHeight="1">
      <c r="A713" s="343"/>
      <c r="B713" s="758"/>
      <c r="C713" s="758"/>
      <c r="D713" s="758"/>
      <c r="E713" s="758"/>
      <c r="F713" s="758"/>
      <c r="G713" s="758"/>
      <c r="H713" s="859"/>
      <c r="I713" s="860"/>
      <c r="J713" s="860"/>
      <c r="K713" s="860"/>
      <c r="L713" s="860"/>
    </row>
    <row r="714" spans="1:12" ht="27.95" customHeight="1">
      <c r="A714" s="343"/>
      <c r="B714" s="862"/>
      <c r="C714" s="862"/>
      <c r="D714" s="862"/>
      <c r="E714" s="862"/>
      <c r="F714" s="862"/>
      <c r="G714" s="862"/>
      <c r="H714" s="865"/>
      <c r="I714" s="860"/>
      <c r="J714" s="860"/>
      <c r="K714" s="860"/>
      <c r="L714" s="860"/>
    </row>
    <row r="715" spans="1:12" ht="27.95" customHeight="1">
      <c r="A715" s="47"/>
      <c r="B715" s="862"/>
      <c r="C715" s="862"/>
      <c r="D715" s="862"/>
      <c r="E715" s="862"/>
      <c r="F715" s="862"/>
      <c r="G715" s="862"/>
      <c r="H715" s="860"/>
      <c r="I715" s="860"/>
      <c r="J715" s="860"/>
      <c r="K715" s="860"/>
      <c r="L715" s="860"/>
    </row>
    <row r="716" spans="1:12" ht="27.95" customHeight="1">
      <c r="A716" s="47"/>
      <c r="B716" s="251"/>
      <c r="C716" s="242"/>
      <c r="D716" s="242"/>
      <c r="E716" s="242"/>
      <c r="F716" s="242"/>
      <c r="G716" s="242"/>
      <c r="H716" s="227"/>
      <c r="I716" s="227"/>
      <c r="J716" s="227"/>
      <c r="K716" s="227"/>
      <c r="L716" s="227"/>
    </row>
    <row r="717" spans="1:12" ht="27.95" customHeight="1">
      <c r="A717" s="47"/>
      <c r="B717" s="251"/>
      <c r="C717" s="242"/>
      <c r="D717" s="242"/>
      <c r="E717" s="242"/>
      <c r="F717" s="242"/>
      <c r="G717" s="242"/>
      <c r="H717" s="227"/>
      <c r="I717" s="227"/>
      <c r="J717" s="227"/>
      <c r="K717" s="227"/>
      <c r="L717" s="227"/>
    </row>
    <row r="718" spans="1:12" ht="27.95" customHeight="1">
      <c r="A718" s="47"/>
      <c r="B718" s="251"/>
      <c r="C718" s="242"/>
      <c r="D718" s="242"/>
      <c r="E718" s="242"/>
      <c r="F718" s="242"/>
      <c r="G718" s="242"/>
      <c r="H718" s="227"/>
      <c r="I718" s="227"/>
      <c r="J718" s="228"/>
      <c r="K718" s="227"/>
      <c r="L718" s="227"/>
    </row>
    <row r="719" spans="1:12" ht="27.95" customHeight="1">
      <c r="A719" s="47"/>
      <c r="B719" s="251"/>
      <c r="C719" s="242"/>
      <c r="D719" s="242"/>
      <c r="E719" s="242"/>
      <c r="F719" s="242"/>
      <c r="G719" s="242"/>
      <c r="H719" s="227"/>
      <c r="I719" s="227"/>
      <c r="J719" s="227"/>
      <c r="K719" s="227"/>
      <c r="L719" s="227"/>
    </row>
    <row r="720" spans="1:12" ht="27.95" customHeight="1">
      <c r="A720" s="47"/>
      <c r="B720" s="251"/>
      <c r="C720" s="242"/>
      <c r="D720" s="242"/>
      <c r="E720" s="242"/>
      <c r="F720" s="242"/>
      <c r="G720" s="242"/>
      <c r="H720" s="227"/>
      <c r="I720" s="227"/>
      <c r="J720" s="228"/>
      <c r="K720" s="227"/>
      <c r="L720" s="227"/>
    </row>
    <row r="721" spans="1:12" ht="27.95" customHeight="1">
      <c r="A721" s="47"/>
      <c r="B721" s="251"/>
      <c r="C721" s="242"/>
      <c r="D721" s="227"/>
      <c r="E721" s="228"/>
      <c r="F721" s="227"/>
      <c r="G721" s="228"/>
      <c r="H721" s="227"/>
      <c r="I721" s="228"/>
      <c r="J721" s="227"/>
      <c r="K721" s="228"/>
      <c r="L721" s="228"/>
    </row>
    <row r="722" spans="1:12" ht="27.95" customHeight="1">
      <c r="A722" s="47"/>
      <c r="B722" s="251"/>
      <c r="C722" s="242"/>
      <c r="D722" s="242"/>
      <c r="E722" s="242"/>
      <c r="F722" s="242"/>
      <c r="G722" s="242"/>
      <c r="H722" s="227"/>
      <c r="I722" s="227"/>
      <c r="J722" s="348"/>
      <c r="K722" s="227"/>
      <c r="L722" s="227"/>
    </row>
    <row r="723" spans="1:12" ht="27.95" customHeight="1">
      <c r="A723" s="47"/>
      <c r="B723" s="251"/>
      <c r="C723" s="229"/>
      <c r="D723" s="229"/>
      <c r="E723" s="229"/>
      <c r="F723" s="229"/>
      <c r="G723" s="229"/>
      <c r="H723" s="47"/>
      <c r="I723" s="47"/>
      <c r="J723" s="47"/>
      <c r="K723" s="47"/>
      <c r="L723" s="47"/>
    </row>
    <row r="724" spans="1:12" ht="27.95" customHeight="1">
      <c r="A724" s="47"/>
      <c r="B724" s="251"/>
      <c r="C724" s="229"/>
      <c r="D724" s="229"/>
      <c r="E724" s="229"/>
      <c r="F724" s="229"/>
      <c r="G724" s="229"/>
      <c r="H724" s="47"/>
      <c r="I724" s="47"/>
      <c r="J724" s="47"/>
      <c r="K724" s="47"/>
      <c r="L724" s="47"/>
    </row>
    <row r="725" spans="1:12">
      <c r="A725" s="47"/>
      <c r="B725" s="47"/>
      <c r="C725" s="47"/>
      <c r="D725" s="47"/>
      <c r="E725" s="47"/>
      <c r="F725" s="47"/>
      <c r="G725" s="47"/>
      <c r="H725" s="47"/>
      <c r="I725" s="47"/>
      <c r="J725" s="47"/>
      <c r="K725" s="47"/>
      <c r="L725" s="47"/>
    </row>
    <row r="726" spans="1:12">
      <c r="A726" s="47"/>
      <c r="B726" s="47"/>
      <c r="C726" s="47"/>
      <c r="D726" s="47"/>
      <c r="E726" s="47"/>
      <c r="F726" s="47"/>
      <c r="G726" s="47"/>
      <c r="H726" s="47"/>
      <c r="I726" s="47"/>
      <c r="J726" s="47"/>
      <c r="K726" s="47"/>
      <c r="L726" s="47"/>
    </row>
    <row r="727" spans="1:12">
      <c r="A727" s="47"/>
      <c r="B727" s="47"/>
      <c r="C727" s="47"/>
      <c r="D727" s="47"/>
      <c r="E727" s="47"/>
      <c r="F727" s="47"/>
      <c r="G727" s="47"/>
      <c r="H727" s="47"/>
      <c r="I727" s="47"/>
      <c r="J727" s="47"/>
      <c r="K727" s="47"/>
      <c r="L727" s="47"/>
    </row>
    <row r="728" spans="1:12" ht="32.25">
      <c r="A728" s="47"/>
      <c r="B728" s="866"/>
      <c r="C728" s="786"/>
      <c r="D728" s="786"/>
      <c r="E728" s="786"/>
      <c r="F728" s="786"/>
      <c r="G728" s="786"/>
      <c r="H728" s="786"/>
      <c r="I728" s="786"/>
      <c r="J728" s="786"/>
      <c r="K728" s="786"/>
      <c r="L728" s="786"/>
    </row>
    <row r="729" spans="1:12" ht="23.25">
      <c r="A729" s="47"/>
      <c r="B729" s="745"/>
      <c r="C729" s="745"/>
      <c r="D729" s="745"/>
      <c r="E729" s="745"/>
      <c r="F729" s="745"/>
      <c r="G729" s="745"/>
      <c r="H729" s="745"/>
      <c r="I729" s="745"/>
      <c r="J729" s="745"/>
      <c r="K729" s="745"/>
      <c r="L729" s="745"/>
    </row>
    <row r="730" spans="1:12" ht="15.75">
      <c r="A730" s="47"/>
      <c r="B730" s="864"/>
      <c r="C730" s="864"/>
      <c r="D730" s="864"/>
      <c r="E730" s="864"/>
      <c r="F730" s="864"/>
      <c r="G730" s="864"/>
      <c r="H730" s="864"/>
      <c r="I730" s="864"/>
      <c r="J730" s="864"/>
      <c r="K730" s="864"/>
      <c r="L730" s="864"/>
    </row>
    <row r="731" spans="1:12" ht="15" customHeight="1">
      <c r="A731" s="47"/>
      <c r="B731" s="757"/>
      <c r="C731" s="757"/>
      <c r="D731" s="757"/>
      <c r="E731" s="757"/>
      <c r="F731" s="757"/>
      <c r="G731" s="47"/>
      <c r="H731" s="758"/>
      <c r="I731" s="758"/>
      <c r="J731" s="758"/>
      <c r="K731" s="758"/>
      <c r="L731" s="758"/>
    </row>
    <row r="732" spans="1:12">
      <c r="A732" s="47"/>
      <c r="B732" s="757"/>
      <c r="C732" s="757"/>
      <c r="D732" s="757"/>
      <c r="E732" s="757"/>
      <c r="F732" s="757"/>
      <c r="G732" s="47"/>
      <c r="H732" s="758"/>
      <c r="I732" s="758"/>
      <c r="J732" s="758"/>
      <c r="K732" s="758"/>
      <c r="L732" s="758"/>
    </row>
    <row r="733" spans="1:12">
      <c r="A733" s="47"/>
      <c r="B733" s="47"/>
      <c r="C733" s="47"/>
      <c r="D733" s="47"/>
      <c r="E733" s="47"/>
      <c r="F733" s="47"/>
      <c r="G733" s="47"/>
      <c r="H733" s="47"/>
      <c r="I733" s="47"/>
      <c r="J733" s="47"/>
      <c r="K733" s="47"/>
      <c r="L733" s="47"/>
    </row>
    <row r="734" spans="1:12">
      <c r="A734" s="47"/>
      <c r="B734" s="152"/>
      <c r="C734" s="144"/>
      <c r="D734" s="144"/>
      <c r="E734" s="144"/>
      <c r="F734" s="144"/>
      <c r="G734" s="47"/>
      <c r="H734" s="152"/>
      <c r="I734" s="144"/>
      <c r="J734" s="144"/>
      <c r="K734" s="144"/>
      <c r="L734" s="144"/>
    </row>
    <row r="735" spans="1:12">
      <c r="A735" s="47"/>
      <c r="B735" s="47"/>
      <c r="C735" s="144"/>
      <c r="D735" s="144"/>
      <c r="E735" s="144"/>
      <c r="F735" s="144"/>
      <c r="G735" s="47"/>
      <c r="H735" s="47"/>
      <c r="I735" s="144"/>
      <c r="J735" s="144"/>
      <c r="K735" s="144"/>
      <c r="L735" s="144"/>
    </row>
    <row r="736" spans="1:12">
      <c r="A736" s="47"/>
      <c r="B736" s="152"/>
      <c r="C736" s="144"/>
      <c r="D736" s="144"/>
      <c r="E736" s="144"/>
      <c r="F736" s="144"/>
      <c r="G736" s="47"/>
      <c r="H736" s="152"/>
      <c r="I736" s="144"/>
      <c r="J736" s="144"/>
      <c r="K736" s="144"/>
      <c r="L736" s="144"/>
    </row>
    <row r="737" spans="1:12" ht="15" customHeight="1">
      <c r="A737" s="47"/>
      <c r="B737" s="144"/>
      <c r="C737" s="144"/>
      <c r="D737" s="144"/>
      <c r="E737" s="144"/>
      <c r="F737" s="144"/>
      <c r="G737" s="47"/>
      <c r="H737" s="144"/>
      <c r="I737" s="144"/>
      <c r="J737" s="144"/>
      <c r="K737" s="144"/>
      <c r="L737" s="144"/>
    </row>
    <row r="738" spans="1:12">
      <c r="A738" s="47"/>
      <c r="B738" s="47"/>
      <c r="C738" s="47"/>
      <c r="D738" s="47"/>
      <c r="E738" s="47"/>
      <c r="F738" s="47"/>
      <c r="G738" s="47"/>
      <c r="H738" s="47"/>
      <c r="I738" s="47"/>
      <c r="J738" s="47"/>
      <c r="K738" s="47"/>
      <c r="L738" s="47"/>
    </row>
    <row r="739" spans="1:12">
      <c r="A739" s="47"/>
      <c r="B739" s="760"/>
      <c r="C739" s="760"/>
      <c r="D739" s="760"/>
      <c r="E739" s="760"/>
      <c r="F739" s="760"/>
      <c r="G739" s="47"/>
      <c r="H739" s="760"/>
      <c r="I739" s="760"/>
      <c r="J739" s="760"/>
      <c r="K739" s="760"/>
      <c r="L739" s="760"/>
    </row>
    <row r="740" spans="1:12">
      <c r="A740" s="47"/>
      <c r="B740" s="47"/>
      <c r="C740" s="47"/>
      <c r="D740" s="47"/>
      <c r="E740" s="47"/>
      <c r="F740" s="47"/>
      <c r="G740" s="47"/>
      <c r="H740" s="47"/>
      <c r="I740" s="47"/>
      <c r="J740" s="47"/>
      <c r="K740" s="47"/>
      <c r="L740" s="47"/>
    </row>
    <row r="741" spans="1:12">
      <c r="A741" s="47"/>
      <c r="B741" s="47"/>
      <c r="C741" s="47"/>
      <c r="D741" s="47"/>
      <c r="E741" s="47"/>
      <c r="F741" s="47"/>
      <c r="G741" s="47"/>
      <c r="H741" s="229"/>
      <c r="I741" s="229"/>
      <c r="J741" s="229"/>
      <c r="K741" s="229"/>
      <c r="L741" s="229"/>
    </row>
    <row r="742" spans="1:12">
      <c r="A742" s="47"/>
      <c r="B742" s="144"/>
      <c r="C742" s="144"/>
      <c r="D742" s="144"/>
      <c r="E742" s="144"/>
      <c r="F742" s="144"/>
      <c r="G742" s="47"/>
      <c r="H742" s="152"/>
      <c r="I742" s="152"/>
      <c r="J742" s="152"/>
      <c r="K742" s="152"/>
      <c r="L742" s="152"/>
    </row>
    <row r="743" spans="1:12">
      <c r="A743" s="47"/>
      <c r="B743" s="152"/>
      <c r="C743" s="144"/>
      <c r="D743" s="144"/>
      <c r="E743" s="144"/>
      <c r="F743" s="144"/>
      <c r="G743" s="47"/>
      <c r="H743" s="152"/>
      <c r="I743" s="152"/>
      <c r="J743" s="152"/>
      <c r="K743" s="152"/>
      <c r="L743" s="152"/>
    </row>
    <row r="744" spans="1:12">
      <c r="A744" s="47"/>
      <c r="B744" s="144"/>
      <c r="C744" s="144"/>
      <c r="D744" s="144"/>
      <c r="E744" s="144"/>
      <c r="F744" s="144"/>
      <c r="G744" s="47"/>
      <c r="H744" s="152"/>
      <c r="I744" s="152"/>
      <c r="J744" s="152"/>
      <c r="K744" s="152"/>
      <c r="L744" s="152"/>
    </row>
    <row r="745" spans="1:12">
      <c r="A745" s="47"/>
      <c r="B745" s="144"/>
      <c r="C745" s="144"/>
      <c r="D745" s="144"/>
      <c r="E745" s="144"/>
      <c r="F745" s="144"/>
      <c r="G745" s="47"/>
      <c r="H745" s="152"/>
      <c r="I745" s="152"/>
      <c r="J745" s="152"/>
      <c r="K745" s="152"/>
      <c r="L745" s="152"/>
    </row>
    <row r="746" spans="1:12" ht="27.95" customHeight="1">
      <c r="A746" s="343"/>
      <c r="B746" s="862"/>
      <c r="C746" s="862"/>
      <c r="D746" s="862"/>
      <c r="E746" s="862"/>
      <c r="F746" s="862"/>
      <c r="G746" s="862"/>
      <c r="H746" s="859"/>
      <c r="I746" s="860"/>
      <c r="J746" s="860"/>
      <c r="K746" s="860"/>
      <c r="L746" s="860"/>
    </row>
    <row r="747" spans="1:12" ht="27.95" customHeight="1">
      <c r="A747" s="343"/>
      <c r="B747" s="758"/>
      <c r="C747" s="758"/>
      <c r="D747" s="758"/>
      <c r="E747" s="758"/>
      <c r="F747" s="758"/>
      <c r="G747" s="758"/>
      <c r="H747" s="859"/>
      <c r="I747" s="860"/>
      <c r="J747" s="860"/>
      <c r="K747" s="860"/>
      <c r="L747" s="860"/>
    </row>
    <row r="748" spans="1:12" ht="27.95" customHeight="1">
      <c r="A748" s="343"/>
      <c r="B748" s="862"/>
      <c r="C748" s="862"/>
      <c r="D748" s="862"/>
      <c r="E748" s="862"/>
      <c r="F748" s="862"/>
      <c r="G748" s="862"/>
      <c r="H748" s="859"/>
      <c r="I748" s="860"/>
      <c r="J748" s="860"/>
      <c r="K748" s="860"/>
      <c r="L748" s="860"/>
    </row>
    <row r="749" spans="1:12" ht="27.95" customHeight="1">
      <c r="A749" s="343"/>
      <c r="B749" s="862"/>
      <c r="C749" s="862"/>
      <c r="D749" s="862"/>
      <c r="E749" s="862"/>
      <c r="F749" s="862"/>
      <c r="G749" s="862"/>
      <c r="H749" s="863"/>
      <c r="I749" s="860"/>
      <c r="J749" s="860"/>
      <c r="K749" s="860"/>
      <c r="L749" s="860"/>
    </row>
    <row r="750" spans="1:12" ht="27.95" customHeight="1">
      <c r="A750" s="343"/>
      <c r="B750" s="251"/>
      <c r="C750" s="242"/>
      <c r="D750" s="242"/>
      <c r="E750" s="242"/>
      <c r="F750" s="242"/>
      <c r="G750" s="242"/>
      <c r="H750" s="227"/>
      <c r="I750" s="343"/>
      <c r="J750" s="346"/>
      <c r="K750" s="227"/>
      <c r="L750" s="227"/>
    </row>
    <row r="751" spans="1:12" ht="27.95" customHeight="1">
      <c r="A751" s="343"/>
      <c r="B751" s="251"/>
      <c r="C751" s="242"/>
      <c r="D751" s="242"/>
      <c r="E751" s="242"/>
      <c r="F751" s="242"/>
      <c r="G751" s="242"/>
      <c r="H751" s="227"/>
      <c r="I751" s="227"/>
      <c r="J751" s="346"/>
      <c r="K751" s="227"/>
      <c r="L751" s="227"/>
    </row>
    <row r="752" spans="1:12" ht="27.95" customHeight="1">
      <c r="A752" s="343"/>
      <c r="B752" s="758"/>
      <c r="C752" s="758"/>
      <c r="D752" s="758"/>
      <c r="E752" s="758"/>
      <c r="F752" s="758"/>
      <c r="G752" s="758"/>
      <c r="H752" s="859"/>
      <c r="I752" s="860"/>
      <c r="J752" s="860"/>
      <c r="K752" s="860"/>
      <c r="L752" s="860"/>
    </row>
    <row r="753" spans="1:12" ht="27.95" customHeight="1">
      <c r="A753" s="343"/>
      <c r="B753" s="862"/>
      <c r="C753" s="862"/>
      <c r="D753" s="862"/>
      <c r="E753" s="862"/>
      <c r="F753" s="862"/>
      <c r="G753" s="862"/>
      <c r="H753" s="865"/>
      <c r="I753" s="860"/>
      <c r="J753" s="860"/>
      <c r="K753" s="860"/>
      <c r="L753" s="860"/>
    </row>
    <row r="754" spans="1:12" ht="27.95" customHeight="1">
      <c r="A754" s="47"/>
      <c r="B754" s="862"/>
      <c r="C754" s="862"/>
      <c r="D754" s="862"/>
      <c r="E754" s="862"/>
      <c r="F754" s="862"/>
      <c r="G754" s="862"/>
      <c r="H754" s="860"/>
      <c r="I754" s="860"/>
      <c r="J754" s="860"/>
      <c r="K754" s="860"/>
      <c r="L754" s="860"/>
    </row>
    <row r="755" spans="1:12" ht="27.95" customHeight="1">
      <c r="A755" s="47"/>
      <c r="B755" s="251"/>
      <c r="C755" s="242"/>
      <c r="D755" s="242"/>
      <c r="E755" s="242"/>
      <c r="F755" s="242"/>
      <c r="G755" s="242"/>
      <c r="H755" s="227"/>
      <c r="I755" s="227"/>
      <c r="J755" s="227"/>
      <c r="K755" s="227"/>
      <c r="L755" s="227"/>
    </row>
    <row r="756" spans="1:12" ht="27.95" customHeight="1">
      <c r="A756" s="47"/>
      <c r="B756" s="251"/>
      <c r="C756" s="242"/>
      <c r="D756" s="242"/>
      <c r="E756" s="242"/>
      <c r="F756" s="242"/>
      <c r="G756" s="242"/>
      <c r="H756" s="227"/>
      <c r="I756" s="227"/>
      <c r="J756" s="227"/>
      <c r="K756" s="227"/>
      <c r="L756" s="227"/>
    </row>
    <row r="757" spans="1:12" ht="27.95" customHeight="1">
      <c r="A757" s="47"/>
      <c r="B757" s="251"/>
      <c r="C757" s="242"/>
      <c r="D757" s="242"/>
      <c r="E757" s="242"/>
      <c r="F757" s="242"/>
      <c r="G757" s="242"/>
      <c r="H757" s="227"/>
      <c r="I757" s="227"/>
      <c r="J757" s="228"/>
      <c r="K757" s="227"/>
      <c r="L757" s="227"/>
    </row>
    <row r="758" spans="1:12" ht="27.95" customHeight="1">
      <c r="A758" s="47"/>
      <c r="B758" s="251"/>
      <c r="C758" s="242"/>
      <c r="D758" s="242"/>
      <c r="E758" s="242"/>
      <c r="F758" s="242"/>
      <c r="G758" s="242"/>
      <c r="H758" s="227"/>
      <c r="I758" s="227"/>
      <c r="J758" s="227"/>
      <c r="K758" s="227"/>
      <c r="L758" s="227"/>
    </row>
    <row r="759" spans="1:12" ht="27.95" customHeight="1">
      <c r="A759" s="47"/>
      <c r="B759" s="251"/>
      <c r="C759" s="242"/>
      <c r="D759" s="242"/>
      <c r="E759" s="242"/>
      <c r="F759" s="242"/>
      <c r="G759" s="242"/>
      <c r="H759" s="227"/>
      <c r="I759" s="227"/>
      <c r="J759" s="228"/>
      <c r="K759" s="227"/>
      <c r="L759" s="227"/>
    </row>
    <row r="760" spans="1:12" ht="27.95" customHeight="1">
      <c r="A760" s="47"/>
      <c r="B760" s="251"/>
      <c r="C760" s="242"/>
      <c r="D760" s="227"/>
      <c r="E760" s="228"/>
      <c r="F760" s="227"/>
      <c r="G760" s="228"/>
      <c r="H760" s="227"/>
      <c r="I760" s="228"/>
      <c r="J760" s="227"/>
      <c r="K760" s="228"/>
      <c r="L760" s="228"/>
    </row>
    <row r="761" spans="1:12" ht="27.95" customHeight="1">
      <c r="A761" s="47"/>
      <c r="B761" s="251"/>
      <c r="C761" s="242"/>
      <c r="D761" s="242"/>
      <c r="E761" s="242"/>
      <c r="F761" s="242"/>
      <c r="G761" s="242"/>
      <c r="H761" s="227"/>
      <c r="I761" s="227"/>
      <c r="J761" s="348"/>
      <c r="K761" s="227"/>
      <c r="L761" s="227"/>
    </row>
    <row r="762" spans="1:12" ht="27.95" customHeight="1">
      <c r="A762" s="47"/>
      <c r="B762" s="251"/>
      <c r="C762" s="229"/>
      <c r="D762" s="229"/>
      <c r="E762" s="229"/>
      <c r="F762" s="229"/>
      <c r="G762" s="229"/>
      <c r="H762" s="47"/>
      <c r="I762" s="47"/>
      <c r="J762" s="47"/>
      <c r="K762" s="47"/>
      <c r="L762" s="47"/>
    </row>
    <row r="763" spans="1:12" ht="27.95" customHeight="1">
      <c r="A763" s="47"/>
      <c r="B763" s="251"/>
      <c r="C763" s="229"/>
      <c r="D763" s="229"/>
      <c r="E763" s="229"/>
      <c r="F763" s="229"/>
      <c r="G763" s="229"/>
      <c r="H763" s="47"/>
      <c r="I763" s="47"/>
      <c r="J763" s="47"/>
      <c r="K763" s="47"/>
      <c r="L763" s="47"/>
    </row>
    <row r="764" spans="1:12">
      <c r="A764" s="47"/>
      <c r="B764" s="47"/>
      <c r="C764" s="47"/>
      <c r="D764" s="47"/>
      <c r="E764" s="47"/>
      <c r="F764" s="47"/>
      <c r="G764" s="47"/>
      <c r="H764" s="47"/>
      <c r="I764" s="47"/>
      <c r="J764" s="47"/>
      <c r="K764" s="47"/>
      <c r="L764" s="47"/>
    </row>
    <row r="765" spans="1:12">
      <c r="A765" s="47"/>
      <c r="B765" s="47"/>
      <c r="C765" s="47"/>
      <c r="D765" s="47"/>
      <c r="E765" s="47"/>
      <c r="F765" s="47"/>
      <c r="G765" s="47"/>
      <c r="H765" s="47"/>
      <c r="I765" s="47"/>
      <c r="J765" s="47"/>
      <c r="K765" s="47"/>
      <c r="L765" s="47"/>
    </row>
    <row r="766" spans="1:12">
      <c r="A766" s="47"/>
      <c r="B766" s="47"/>
      <c r="C766" s="47"/>
      <c r="D766" s="47"/>
      <c r="E766" s="47"/>
      <c r="F766" s="47"/>
      <c r="G766" s="47"/>
      <c r="H766" s="47"/>
      <c r="I766" s="47"/>
      <c r="J766" s="47"/>
      <c r="K766" s="47"/>
      <c r="L766" s="47"/>
    </row>
    <row r="767" spans="1:12">
      <c r="A767" s="47"/>
      <c r="B767" s="47"/>
      <c r="C767" s="47"/>
      <c r="D767" s="47"/>
      <c r="E767" s="47"/>
      <c r="F767" s="47"/>
      <c r="G767" s="47"/>
      <c r="H767" s="47"/>
      <c r="I767" s="47"/>
      <c r="J767" s="47"/>
      <c r="K767" s="47"/>
      <c r="L767" s="47"/>
    </row>
    <row r="768" spans="1:12">
      <c r="A768" s="47"/>
      <c r="B768" s="47"/>
      <c r="C768" s="47"/>
      <c r="D768" s="47"/>
      <c r="E768" s="47"/>
      <c r="F768" s="47"/>
      <c r="G768" s="47"/>
      <c r="H768" s="47"/>
      <c r="I768" s="47"/>
      <c r="J768" s="47"/>
      <c r="K768" s="47"/>
      <c r="L768" s="47"/>
    </row>
    <row r="769" spans="1:12">
      <c r="A769" s="47"/>
      <c r="B769" s="47"/>
      <c r="C769" s="47"/>
      <c r="D769" s="47"/>
      <c r="E769" s="47"/>
      <c r="F769" s="47"/>
      <c r="G769" s="47"/>
      <c r="H769" s="47"/>
      <c r="I769" s="47"/>
      <c r="J769" s="47"/>
      <c r="K769" s="47"/>
      <c r="L769" s="47"/>
    </row>
    <row r="770" spans="1:12">
      <c r="A770" s="47"/>
      <c r="B770" s="47"/>
      <c r="C770" s="47"/>
      <c r="D770" s="47"/>
      <c r="E770" s="47"/>
      <c r="F770" s="47"/>
      <c r="G770" s="47"/>
      <c r="H770" s="47"/>
      <c r="I770" s="47"/>
      <c r="J770" s="47"/>
      <c r="K770" s="47"/>
      <c r="L770" s="47"/>
    </row>
    <row r="771" spans="1:12">
      <c r="A771" s="47"/>
      <c r="B771" s="47"/>
      <c r="C771" s="47"/>
      <c r="D771" s="47"/>
      <c r="E771" s="47"/>
      <c r="F771" s="47"/>
      <c r="G771" s="47"/>
      <c r="H771" s="47"/>
      <c r="I771" s="47"/>
      <c r="J771" s="47"/>
      <c r="K771" s="47"/>
      <c r="L771" s="47"/>
    </row>
    <row r="772" spans="1:12">
      <c r="A772" s="47"/>
      <c r="B772" s="47"/>
      <c r="C772" s="47"/>
      <c r="D772" s="47"/>
      <c r="E772" s="47"/>
      <c r="F772" s="47"/>
      <c r="G772" s="47"/>
      <c r="H772" s="47"/>
      <c r="I772" s="47"/>
      <c r="J772" s="47"/>
      <c r="K772" s="47"/>
      <c r="L772" s="47"/>
    </row>
    <row r="773" spans="1:12">
      <c r="A773" s="47"/>
      <c r="B773" s="47"/>
      <c r="C773" s="47"/>
      <c r="D773" s="47"/>
      <c r="E773" s="47"/>
      <c r="F773" s="47"/>
      <c r="G773" s="47"/>
      <c r="H773" s="47"/>
      <c r="I773" s="47"/>
      <c r="J773" s="47"/>
      <c r="K773" s="47"/>
      <c r="L773" s="47"/>
    </row>
    <row r="774" spans="1:12">
      <c r="A774" s="47"/>
      <c r="B774" s="47"/>
      <c r="C774" s="47"/>
      <c r="D774" s="47"/>
      <c r="E774" s="47"/>
      <c r="F774" s="47"/>
      <c r="G774" s="47"/>
      <c r="H774" s="47"/>
      <c r="I774" s="47"/>
      <c r="J774" s="47"/>
      <c r="K774" s="47"/>
      <c r="L774" s="47"/>
    </row>
    <row r="775" spans="1:12">
      <c r="A775" s="47"/>
      <c r="B775" s="47"/>
      <c r="C775" s="47"/>
      <c r="D775" s="47"/>
      <c r="E775" s="47"/>
      <c r="F775" s="47"/>
      <c r="G775" s="47"/>
      <c r="H775" s="47"/>
      <c r="I775" s="47"/>
      <c r="J775" s="47"/>
      <c r="K775" s="47"/>
      <c r="L775" s="47"/>
    </row>
    <row r="776" spans="1:12">
      <c r="A776" s="47"/>
      <c r="B776" s="47"/>
      <c r="C776" s="47"/>
      <c r="D776" s="47"/>
      <c r="E776" s="47"/>
      <c r="F776" s="47"/>
      <c r="G776" s="47"/>
      <c r="H776" s="47"/>
      <c r="I776" s="47"/>
      <c r="J776" s="47"/>
      <c r="K776" s="47"/>
      <c r="L776" s="47"/>
    </row>
    <row r="777" spans="1:12">
      <c r="A777" s="47"/>
      <c r="B777" s="47"/>
      <c r="C777" s="47"/>
      <c r="D777" s="47"/>
      <c r="E777" s="47"/>
      <c r="F777" s="47"/>
      <c r="G777" s="47"/>
      <c r="H777" s="47"/>
      <c r="I777" s="47"/>
      <c r="J777" s="47"/>
      <c r="K777" s="47"/>
      <c r="L777" s="47"/>
    </row>
    <row r="778" spans="1:12">
      <c r="A778" s="47"/>
      <c r="B778" s="47"/>
      <c r="C778" s="47"/>
      <c r="D778" s="47"/>
      <c r="E778" s="47"/>
      <c r="F778" s="47"/>
      <c r="G778" s="47"/>
      <c r="H778" s="47"/>
      <c r="I778" s="47"/>
      <c r="J778" s="47"/>
      <c r="K778" s="47"/>
      <c r="L778" s="47"/>
    </row>
    <row r="779" spans="1:12">
      <c r="A779" s="47"/>
      <c r="B779" s="47"/>
      <c r="C779" s="47"/>
      <c r="D779" s="47"/>
      <c r="E779" s="47"/>
      <c r="F779" s="47"/>
      <c r="G779" s="47"/>
      <c r="H779" s="47"/>
      <c r="I779" s="47"/>
      <c r="J779" s="47"/>
      <c r="K779" s="47"/>
      <c r="L779" s="47"/>
    </row>
    <row r="780" spans="1:12">
      <c r="A780" s="47"/>
      <c r="B780" s="47"/>
      <c r="C780" s="47"/>
      <c r="D780" s="47"/>
      <c r="E780" s="47"/>
      <c r="F780" s="47"/>
      <c r="G780" s="47"/>
      <c r="H780" s="47"/>
      <c r="I780" s="47"/>
      <c r="J780" s="47"/>
      <c r="K780" s="47"/>
      <c r="L780" s="47"/>
    </row>
    <row r="781" spans="1:12">
      <c r="A781" s="47"/>
      <c r="B781" s="47"/>
      <c r="C781" s="47"/>
      <c r="D781" s="47"/>
      <c r="E781" s="47"/>
      <c r="F781" s="47"/>
      <c r="G781" s="47"/>
      <c r="H781" s="47"/>
      <c r="I781" s="47"/>
      <c r="J781" s="47"/>
      <c r="K781" s="47"/>
      <c r="L781" s="47"/>
    </row>
    <row r="782" spans="1:12">
      <c r="A782" s="47"/>
      <c r="B782" s="47"/>
      <c r="C782" s="47"/>
      <c r="D782" s="47"/>
      <c r="E782" s="47"/>
      <c r="F782" s="47"/>
      <c r="G782" s="47"/>
      <c r="H782" s="47"/>
      <c r="I782" s="47"/>
      <c r="J782" s="47"/>
      <c r="K782" s="47"/>
      <c r="L782" s="47"/>
    </row>
    <row r="783" spans="1:12">
      <c r="A783" s="47"/>
      <c r="B783" s="47"/>
      <c r="C783" s="47"/>
      <c r="D783" s="47"/>
      <c r="E783" s="47"/>
      <c r="F783" s="47"/>
      <c r="G783" s="47"/>
      <c r="H783" s="47"/>
      <c r="I783" s="47"/>
      <c r="J783" s="47"/>
      <c r="K783" s="47"/>
      <c r="L783" s="47"/>
    </row>
    <row r="784" spans="1:12">
      <c r="A784" s="47"/>
      <c r="B784" s="47"/>
      <c r="C784" s="47"/>
      <c r="D784" s="47"/>
      <c r="E784" s="47"/>
      <c r="F784" s="47"/>
      <c r="G784" s="47"/>
      <c r="H784" s="47"/>
      <c r="I784" s="47"/>
      <c r="J784" s="47"/>
      <c r="K784" s="47"/>
      <c r="L784" s="47"/>
    </row>
    <row r="785" spans="1:12">
      <c r="A785" s="47"/>
      <c r="B785" s="47"/>
      <c r="C785" s="47"/>
      <c r="D785" s="47"/>
      <c r="E785" s="47"/>
      <c r="F785" s="47"/>
      <c r="G785" s="47"/>
      <c r="H785" s="47"/>
      <c r="I785" s="47"/>
      <c r="J785" s="47"/>
      <c r="K785" s="47"/>
      <c r="L785" s="47"/>
    </row>
    <row r="786" spans="1:12">
      <c r="A786" s="47"/>
      <c r="B786" s="47"/>
      <c r="C786" s="47"/>
      <c r="D786" s="47"/>
      <c r="E786" s="47"/>
      <c r="F786" s="47"/>
      <c r="G786" s="47"/>
      <c r="H786" s="47"/>
      <c r="I786" s="47"/>
      <c r="J786" s="47"/>
      <c r="K786" s="47"/>
      <c r="L786" s="47"/>
    </row>
    <row r="787" spans="1:12">
      <c r="A787" s="47"/>
      <c r="B787" s="47"/>
      <c r="C787" s="47"/>
      <c r="D787" s="47"/>
      <c r="E787" s="47"/>
      <c r="F787" s="47"/>
      <c r="G787" s="47"/>
      <c r="H787" s="47"/>
      <c r="I787" s="47"/>
      <c r="J787" s="47"/>
      <c r="K787" s="47"/>
      <c r="L787" s="47"/>
    </row>
    <row r="788" spans="1:12">
      <c r="A788" s="47"/>
      <c r="B788" s="47"/>
      <c r="C788" s="47"/>
      <c r="D788" s="47"/>
      <c r="E788" s="47"/>
      <c r="F788" s="47"/>
      <c r="G788" s="47"/>
      <c r="H788" s="47"/>
      <c r="I788" s="47"/>
      <c r="J788" s="47"/>
      <c r="K788" s="47"/>
      <c r="L788" s="47"/>
    </row>
    <row r="789" spans="1:12">
      <c r="A789" s="47"/>
      <c r="B789" s="47"/>
      <c r="C789" s="47"/>
      <c r="D789" s="47"/>
      <c r="E789" s="47"/>
      <c r="F789" s="47"/>
      <c r="G789" s="47"/>
      <c r="H789" s="47"/>
      <c r="I789" s="47"/>
      <c r="J789" s="47"/>
      <c r="K789" s="47"/>
      <c r="L789" s="47"/>
    </row>
    <row r="790" spans="1:12">
      <c r="A790" s="47"/>
      <c r="B790" s="47"/>
      <c r="C790" s="47"/>
      <c r="D790" s="47"/>
      <c r="E790" s="47"/>
      <c r="F790" s="47"/>
      <c r="G790" s="47"/>
      <c r="H790" s="47"/>
      <c r="I790" s="47"/>
      <c r="J790" s="47"/>
      <c r="K790" s="47"/>
      <c r="L790" s="47"/>
    </row>
    <row r="791" spans="1:12">
      <c r="A791" s="47"/>
      <c r="B791" s="47"/>
      <c r="C791" s="47"/>
      <c r="D791" s="47"/>
      <c r="E791" s="47"/>
      <c r="F791" s="47"/>
      <c r="G791" s="47"/>
      <c r="H791" s="47"/>
      <c r="I791" s="47"/>
      <c r="J791" s="47"/>
      <c r="K791" s="47"/>
      <c r="L791" s="47"/>
    </row>
    <row r="792" spans="1:12">
      <c r="A792" s="47"/>
      <c r="B792" s="47"/>
      <c r="C792" s="47"/>
      <c r="D792" s="47"/>
      <c r="E792" s="47"/>
      <c r="F792" s="47"/>
      <c r="G792" s="47"/>
      <c r="H792" s="47"/>
      <c r="I792" s="47"/>
      <c r="J792" s="47"/>
      <c r="K792" s="47"/>
      <c r="L792" s="47"/>
    </row>
    <row r="793" spans="1:12">
      <c r="A793" s="47"/>
      <c r="B793" s="47"/>
      <c r="C793" s="47"/>
      <c r="D793" s="47"/>
      <c r="E793" s="47"/>
      <c r="F793" s="47"/>
      <c r="G793" s="47"/>
      <c r="H793" s="47"/>
      <c r="I793" s="47"/>
      <c r="J793" s="47"/>
      <c r="K793" s="47"/>
      <c r="L793" s="47"/>
    </row>
    <row r="794" spans="1:12">
      <c r="A794" s="47"/>
      <c r="B794" s="47"/>
      <c r="C794" s="47"/>
      <c r="D794" s="47"/>
      <c r="E794" s="47"/>
      <c r="F794" s="47"/>
      <c r="G794" s="47"/>
      <c r="H794" s="47"/>
      <c r="I794" s="47"/>
      <c r="J794" s="47"/>
      <c r="K794" s="47"/>
      <c r="L794" s="47"/>
    </row>
    <row r="795" spans="1:12">
      <c r="A795" s="47"/>
      <c r="B795" s="47"/>
      <c r="C795" s="47"/>
      <c r="D795" s="47"/>
      <c r="E795" s="47"/>
      <c r="F795" s="47"/>
      <c r="G795" s="47"/>
      <c r="H795" s="47"/>
      <c r="I795" s="47"/>
      <c r="J795" s="47"/>
      <c r="K795" s="47"/>
      <c r="L795" s="47"/>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98"/>
  <sheetViews>
    <sheetView topLeftCell="A20" workbookViewId="0">
      <selection activeCell="L21" sqref="L21"/>
    </sheetView>
  </sheetViews>
  <sheetFormatPr defaultRowHeight="15"/>
  <cols>
    <col min="6" max="6" width="16.85546875" customWidth="1"/>
    <col min="10" max="10" width="14.5703125" customWidth="1"/>
    <col min="12" max="12" width="22.7109375" customWidth="1"/>
  </cols>
  <sheetData>
    <row r="1" spans="1:12" ht="32.25" customHeight="1">
      <c r="A1" s="174"/>
      <c r="B1" s="141"/>
      <c r="C1" s="141"/>
      <c r="D1" s="255"/>
      <c r="E1" s="255"/>
      <c r="F1" s="255"/>
      <c r="G1" s="255"/>
      <c r="H1" s="255"/>
      <c r="I1" s="255"/>
      <c r="J1" s="141"/>
      <c r="K1" s="257" t="s">
        <v>216</v>
      </c>
      <c r="L1" s="256"/>
    </row>
    <row r="2" spans="1:12" ht="21">
      <c r="A2" s="62"/>
      <c r="B2" s="869" t="s">
        <v>215</v>
      </c>
      <c r="C2" s="869"/>
      <c r="D2" s="869"/>
      <c r="E2" s="869"/>
      <c r="F2" s="869"/>
      <c r="G2" s="869"/>
      <c r="H2" s="869"/>
      <c r="I2" s="869"/>
      <c r="J2" s="869"/>
      <c r="K2" s="869"/>
      <c r="L2" s="870"/>
    </row>
    <row r="3" spans="1:12" ht="15.75">
      <c r="A3" s="62"/>
      <c r="B3" s="864" t="s">
        <v>217</v>
      </c>
      <c r="C3" s="864"/>
      <c r="D3" s="864"/>
      <c r="E3" s="864"/>
      <c r="F3" s="864"/>
      <c r="G3" s="864"/>
      <c r="H3" s="864"/>
      <c r="I3" s="864"/>
      <c r="J3" s="864"/>
      <c r="K3" s="864"/>
      <c r="L3" s="871"/>
    </row>
    <row r="4" spans="1:12" ht="15" customHeight="1">
      <c r="A4" s="62"/>
      <c r="B4" s="260" t="s">
        <v>218</v>
      </c>
      <c r="C4" s="258"/>
      <c r="D4" s="258"/>
      <c r="E4" s="258"/>
      <c r="F4" s="258"/>
      <c r="G4" s="47"/>
      <c r="H4" s="259"/>
      <c r="I4" s="259"/>
      <c r="J4" s="259"/>
      <c r="K4" s="259"/>
      <c r="L4" s="270"/>
    </row>
    <row r="5" spans="1:12">
      <c r="A5" s="62"/>
      <c r="B5" s="258"/>
      <c r="C5" s="258"/>
      <c r="D5" s="258"/>
      <c r="E5" s="258"/>
      <c r="F5" s="258"/>
      <c r="G5" s="47"/>
      <c r="H5" s="259"/>
      <c r="I5" s="259"/>
      <c r="J5" s="259"/>
      <c r="K5" s="259"/>
      <c r="L5" s="270"/>
    </row>
    <row r="6" spans="1:12">
      <c r="A6" s="62"/>
      <c r="B6" s="762" t="s">
        <v>188</v>
      </c>
      <c r="C6" s="762"/>
      <c r="D6" s="762"/>
      <c r="E6" s="762"/>
      <c r="F6" s="762"/>
      <c r="G6" s="762"/>
      <c r="H6" s="750" t="e">
        <f>'PUNJAB 04-22Master'!#REF!</f>
        <v>#REF!</v>
      </c>
      <c r="I6" s="751"/>
      <c r="J6" s="751"/>
      <c r="K6" s="751"/>
      <c r="L6" s="752"/>
    </row>
    <row r="7" spans="1:12">
      <c r="A7" s="62"/>
      <c r="B7" s="753" t="s">
        <v>189</v>
      </c>
      <c r="C7" s="753"/>
      <c r="D7" s="753"/>
      <c r="E7" s="753"/>
      <c r="F7" s="753"/>
      <c r="G7" s="753"/>
      <c r="H7" s="750" t="e">
        <f>'PUNJAB 04-22Master'!#REF!</f>
        <v>#REF!</v>
      </c>
      <c r="I7" s="751"/>
      <c r="J7" s="751"/>
      <c r="K7" s="751"/>
      <c r="L7" s="752"/>
    </row>
    <row r="8" spans="1:12">
      <c r="A8" s="62"/>
      <c r="B8" s="762" t="s">
        <v>190</v>
      </c>
      <c r="C8" s="762"/>
      <c r="D8" s="762"/>
      <c r="E8" s="762"/>
      <c r="F8" s="762"/>
      <c r="G8" s="762"/>
      <c r="H8" s="750" t="e">
        <f>'PUNJAB 04-22Master'!#REF!</f>
        <v>#REF!</v>
      </c>
      <c r="I8" s="751"/>
      <c r="J8" s="751"/>
      <c r="K8" s="751"/>
      <c r="L8" s="752"/>
    </row>
    <row r="9" spans="1:12">
      <c r="A9" s="62"/>
      <c r="B9" s="762" t="s">
        <v>191</v>
      </c>
      <c r="C9" s="762"/>
      <c r="D9" s="762"/>
      <c r="E9" s="762"/>
      <c r="F9" s="762"/>
      <c r="G9" s="762"/>
      <c r="H9" s="855" t="e">
        <f>'PUNJAB 04-22Master'!#REF!</f>
        <v>#REF!</v>
      </c>
      <c r="I9" s="751"/>
      <c r="J9" s="751"/>
      <c r="K9" s="751"/>
      <c r="L9" s="752"/>
    </row>
    <row r="10" spans="1:12">
      <c r="A10" s="62"/>
      <c r="B10" s="158" t="s">
        <v>192</v>
      </c>
      <c r="C10" s="283"/>
      <c r="D10" s="283"/>
      <c r="E10" s="283"/>
      <c r="F10" s="283"/>
      <c r="G10" s="283"/>
      <c r="H10" s="856" t="s">
        <v>193</v>
      </c>
      <c r="I10" s="857"/>
      <c r="J10" s="857"/>
      <c r="K10" s="857"/>
      <c r="L10" s="858"/>
    </row>
    <row r="11" spans="1:12">
      <c r="A11" s="62"/>
      <c r="B11" s="158" t="s">
        <v>194</v>
      </c>
      <c r="C11" s="283"/>
      <c r="D11" s="283"/>
      <c r="E11" s="283"/>
      <c r="F11" s="283"/>
      <c r="G11" s="283"/>
      <c r="H11" s="245"/>
      <c r="I11" s="246"/>
      <c r="J11" s="244"/>
      <c r="K11" s="246"/>
      <c r="L11" s="247"/>
    </row>
    <row r="12" spans="1:12">
      <c r="A12" s="62"/>
      <c r="B12" s="773" t="s">
        <v>195</v>
      </c>
      <c r="C12" s="773"/>
      <c r="D12" s="773"/>
      <c r="E12" s="773"/>
      <c r="F12" s="773"/>
      <c r="G12" s="773"/>
      <c r="H12" s="767" t="e">
        <f>'PUNJAB 04-22Master'!#REF!</f>
        <v>#REF!</v>
      </c>
      <c r="I12" s="768"/>
      <c r="J12" s="768"/>
      <c r="K12" s="768"/>
      <c r="L12" s="769"/>
    </row>
    <row r="13" spans="1:12">
      <c r="A13" s="62"/>
      <c r="B13" s="762"/>
      <c r="C13" s="762"/>
      <c r="D13" s="762"/>
      <c r="E13" s="762"/>
      <c r="F13" s="762"/>
      <c r="G13" s="762"/>
      <c r="H13" s="763" t="e">
        <f>'PUNJAB 04-22Master'!#REF!</f>
        <v>#REF!</v>
      </c>
      <c r="I13" s="751"/>
      <c r="J13" s="751"/>
      <c r="K13" s="751"/>
      <c r="L13" s="752"/>
    </row>
    <row r="14" spans="1:12">
      <c r="A14" s="62"/>
      <c r="B14" s="762"/>
      <c r="C14" s="762"/>
      <c r="D14" s="762"/>
      <c r="E14" s="762"/>
      <c r="F14" s="762"/>
      <c r="G14" s="762"/>
      <c r="H14" s="750" t="e">
        <f>'PUNJAB 04-22Master'!#REF!</f>
        <v>#REF!</v>
      </c>
      <c r="I14" s="751"/>
      <c r="J14" s="751"/>
      <c r="K14" s="751"/>
      <c r="L14" s="752"/>
    </row>
    <row r="15" spans="1:12">
      <c r="A15" s="62"/>
      <c r="B15" s="144"/>
      <c r="C15" s="144"/>
      <c r="D15" s="144"/>
      <c r="E15" s="144"/>
      <c r="F15" s="47"/>
      <c r="G15" s="152" t="s">
        <v>219</v>
      </c>
      <c r="H15" s="152"/>
      <c r="I15" s="152"/>
      <c r="J15" s="152"/>
      <c r="K15" s="152"/>
      <c r="L15" s="153"/>
    </row>
    <row r="16" spans="1:12">
      <c r="A16" s="62"/>
      <c r="B16" s="251" t="s">
        <v>203</v>
      </c>
      <c r="C16" s="242"/>
      <c r="D16" s="242"/>
      <c r="E16" s="242"/>
      <c r="F16" s="242"/>
      <c r="G16" s="242"/>
      <c r="H16" s="227"/>
      <c r="I16" s="227"/>
      <c r="J16" s="227"/>
      <c r="K16" s="227"/>
      <c r="L16" s="254"/>
    </row>
    <row r="17" spans="1:12">
      <c r="A17" s="62"/>
      <c r="B17" s="251" t="s">
        <v>204</v>
      </c>
      <c r="C17" s="242"/>
      <c r="D17" s="242"/>
      <c r="E17" s="242"/>
      <c r="F17" s="242"/>
      <c r="G17" s="242"/>
      <c r="H17" s="227"/>
      <c r="I17" s="227"/>
      <c r="J17" s="228"/>
      <c r="K17" s="227"/>
      <c r="L17" s="254"/>
    </row>
    <row r="18" spans="1:12" ht="27.95" customHeight="1">
      <c r="A18" s="157"/>
      <c r="B18" s="158" t="s">
        <v>207</v>
      </c>
      <c r="C18" s="283"/>
      <c r="D18" s="266"/>
      <c r="E18" s="236" t="s">
        <v>209</v>
      </c>
      <c r="F18" s="119"/>
      <c r="G18" s="850" t="s">
        <v>208</v>
      </c>
      <c r="H18" s="851"/>
      <c r="I18" s="235" t="s">
        <v>205</v>
      </c>
      <c r="J18" s="239" t="s">
        <v>210</v>
      </c>
      <c r="K18" s="850" t="s">
        <v>206</v>
      </c>
      <c r="L18" s="852"/>
    </row>
    <row r="19" spans="1:12" ht="20.100000000000001" customHeight="1">
      <c r="A19" s="157"/>
      <c r="B19" s="240">
        <v>1</v>
      </c>
      <c r="C19" s="283"/>
      <c r="D19" s="283"/>
      <c r="E19" s="243">
        <v>2</v>
      </c>
      <c r="F19" s="284"/>
      <c r="G19" s="243">
        <v>3</v>
      </c>
      <c r="H19" s="266"/>
      <c r="I19" s="266">
        <v>4</v>
      </c>
      <c r="J19" s="230">
        <v>5</v>
      </c>
      <c r="K19" s="159"/>
      <c r="L19" s="160">
        <v>6</v>
      </c>
    </row>
    <row r="20" spans="1:12" ht="20.100000000000001" customHeight="1">
      <c r="A20" s="157"/>
      <c r="B20" s="158" t="e">
        <f>'PUNJAB 04-22Master'!#REF!</f>
        <v>#REF!</v>
      </c>
      <c r="C20" s="261"/>
      <c r="D20" s="262"/>
      <c r="E20" s="263" t="s">
        <v>368</v>
      </c>
      <c r="F20" s="262"/>
      <c r="G20" s="263" t="s">
        <v>366</v>
      </c>
      <c r="H20" s="119"/>
      <c r="I20" s="30" t="s">
        <v>369</v>
      </c>
      <c r="J20" s="390">
        <v>1</v>
      </c>
      <c r="K20" s="264" t="s">
        <v>37</v>
      </c>
      <c r="L20" s="271"/>
    </row>
    <row r="21" spans="1:12" ht="20.100000000000001" customHeight="1">
      <c r="A21" s="157"/>
      <c r="B21" s="158"/>
      <c r="C21" s="261"/>
      <c r="D21" s="262"/>
      <c r="E21" s="263"/>
      <c r="F21" s="262"/>
      <c r="G21" s="263"/>
      <c r="H21" s="119"/>
      <c r="I21" s="30"/>
      <c r="J21" s="30"/>
      <c r="K21" s="264"/>
      <c r="L21" s="271"/>
    </row>
    <row r="22" spans="1:12" ht="20.100000000000001" customHeight="1">
      <c r="A22" s="157"/>
      <c r="B22" s="158"/>
      <c r="C22" s="261"/>
      <c r="D22" s="262"/>
      <c r="E22" s="263"/>
      <c r="F22" s="262"/>
      <c r="G22" s="263"/>
      <c r="H22" s="119"/>
      <c r="I22" s="30"/>
      <c r="J22" s="30"/>
      <c r="K22" s="264"/>
      <c r="L22" s="271"/>
    </row>
    <row r="23" spans="1:12" ht="20.100000000000001" customHeight="1">
      <c r="A23" s="157"/>
      <c r="B23" s="127"/>
      <c r="C23" s="68"/>
      <c r="D23" s="128"/>
      <c r="E23" s="263"/>
      <c r="F23" s="262"/>
      <c r="G23" s="263"/>
      <c r="H23" s="119"/>
      <c r="I23" s="30"/>
      <c r="J23" s="30"/>
      <c r="K23" s="264"/>
      <c r="L23" s="271"/>
    </row>
    <row r="24" spans="1:12" ht="27.95" customHeight="1">
      <c r="A24" s="157"/>
      <c r="B24" s="47" t="s">
        <v>211</v>
      </c>
      <c r="C24" s="47"/>
      <c r="D24" s="47"/>
      <c r="E24" s="47"/>
      <c r="F24" s="47"/>
      <c r="G24" s="47"/>
      <c r="H24" s="47"/>
      <c r="I24" s="47"/>
      <c r="J24" s="47"/>
      <c r="K24" s="47"/>
      <c r="L24" s="63"/>
    </row>
    <row r="25" spans="1:12" ht="27.95" customHeight="1">
      <c r="A25" s="62"/>
      <c r="B25" s="47" t="s">
        <v>212</v>
      </c>
      <c r="C25" s="47"/>
      <c r="D25" s="47"/>
      <c r="E25" s="47"/>
      <c r="F25" s="47"/>
      <c r="G25" s="47"/>
      <c r="H25" s="47"/>
      <c r="I25" s="47"/>
      <c r="J25" s="47"/>
      <c r="K25" s="47"/>
      <c r="L25" s="63"/>
    </row>
    <row r="26" spans="1:12" ht="27.95" customHeight="1">
      <c r="A26" s="62"/>
      <c r="B26" s="47" t="s">
        <v>223</v>
      </c>
      <c r="C26" s="47"/>
      <c r="D26" s="47"/>
      <c r="E26" s="47"/>
      <c r="F26" s="47"/>
      <c r="G26" s="47"/>
      <c r="H26" s="47"/>
      <c r="I26" s="47"/>
      <c r="J26" s="47" t="s">
        <v>222</v>
      </c>
      <c r="K26" s="47"/>
      <c r="L26" s="63"/>
    </row>
    <row r="27" spans="1:12" ht="19.5" customHeight="1">
      <c r="A27" s="62"/>
      <c r="B27" s="144"/>
      <c r="C27" s="144"/>
      <c r="D27" s="144"/>
      <c r="E27" s="144"/>
      <c r="F27" s="47"/>
      <c r="G27" s="152" t="s">
        <v>220</v>
      </c>
      <c r="H27" s="152"/>
      <c r="I27" s="152"/>
      <c r="J27" s="152"/>
      <c r="K27" s="152"/>
      <c r="L27" s="153"/>
    </row>
    <row r="28" spans="1:12" ht="11.25" customHeight="1">
      <c r="A28" s="62"/>
      <c r="B28" s="152"/>
      <c r="C28" s="144"/>
      <c r="D28" s="144"/>
      <c r="E28" s="144"/>
      <c r="F28" s="144"/>
      <c r="G28" s="47" t="s">
        <v>221</v>
      </c>
      <c r="H28" s="152"/>
      <c r="I28" s="152"/>
      <c r="J28" s="152"/>
      <c r="K28" s="152"/>
      <c r="L28" s="153"/>
    </row>
    <row r="29" spans="1:12" ht="27.95" customHeight="1">
      <c r="A29" s="62"/>
      <c r="B29" s="251" t="s">
        <v>224</v>
      </c>
      <c r="C29" s="242"/>
      <c r="D29" s="242"/>
      <c r="E29" s="242"/>
      <c r="F29" s="242"/>
      <c r="G29" s="242"/>
      <c r="H29" s="227"/>
      <c r="I29" s="227"/>
      <c r="J29" s="227"/>
      <c r="K29" s="227"/>
      <c r="L29" s="254"/>
    </row>
    <row r="30" spans="1:12" ht="27.95" customHeight="1">
      <c r="A30" s="62"/>
      <c r="B30" s="251" t="s">
        <v>225</v>
      </c>
      <c r="C30" s="242"/>
      <c r="D30" s="242"/>
      <c r="E30" s="242"/>
      <c r="F30" s="242"/>
      <c r="G30" s="242"/>
      <c r="H30" s="227"/>
      <c r="I30" s="227"/>
      <c r="J30" s="228"/>
      <c r="K30" s="227"/>
      <c r="L30" s="254"/>
    </row>
    <row r="31" spans="1:12" ht="27.95" customHeight="1">
      <c r="A31" s="62"/>
      <c r="B31" s="158" t="s">
        <v>5</v>
      </c>
      <c r="C31" s="872" t="s">
        <v>226</v>
      </c>
      <c r="D31" s="848"/>
      <c r="E31" s="848"/>
      <c r="F31" s="848"/>
      <c r="G31" s="848"/>
      <c r="H31" s="873"/>
      <c r="I31" s="238" t="s">
        <v>110</v>
      </c>
      <c r="J31" s="874" t="s">
        <v>227</v>
      </c>
      <c r="K31" s="875"/>
      <c r="L31" s="876"/>
    </row>
    <row r="32" spans="1:12" ht="20.100000000000001" customHeight="1">
      <c r="A32" s="62"/>
      <c r="B32" s="240">
        <v>1</v>
      </c>
      <c r="C32" s="282"/>
      <c r="D32" s="246"/>
      <c r="E32" s="237">
        <v>2</v>
      </c>
      <c r="F32" s="118"/>
      <c r="G32" s="868"/>
      <c r="H32" s="851"/>
      <c r="I32" s="246">
        <v>3</v>
      </c>
      <c r="J32" s="268" t="s">
        <v>228</v>
      </c>
      <c r="K32" s="877">
        <v>4</v>
      </c>
      <c r="L32" s="878"/>
    </row>
    <row r="33" spans="1:12" ht="20.100000000000001" customHeight="1">
      <c r="A33" s="62"/>
      <c r="B33" s="158"/>
      <c r="C33" s="282"/>
      <c r="D33" s="246"/>
      <c r="E33" s="237"/>
      <c r="F33" s="118"/>
      <c r="G33" s="868"/>
      <c r="H33" s="851"/>
      <c r="I33" s="264"/>
      <c r="J33" s="282"/>
      <c r="K33" s="868"/>
      <c r="L33" s="852"/>
    </row>
    <row r="34" spans="1:12" ht="20.100000000000001" customHeight="1">
      <c r="A34" s="62"/>
      <c r="B34" s="158"/>
      <c r="C34" s="282"/>
      <c r="D34" s="246"/>
      <c r="E34" s="237"/>
      <c r="F34" s="118"/>
      <c r="G34" s="868"/>
      <c r="H34" s="851"/>
      <c r="I34" s="264"/>
      <c r="J34" s="267"/>
      <c r="K34" s="868"/>
      <c r="L34" s="852"/>
    </row>
    <row r="35" spans="1:12" ht="20.100000000000001" customHeight="1">
      <c r="A35" s="62"/>
      <c r="B35" s="158"/>
      <c r="C35" s="282"/>
      <c r="D35" s="246"/>
      <c r="E35" s="237"/>
      <c r="F35" s="118"/>
      <c r="G35" s="868"/>
      <c r="H35" s="851"/>
      <c r="I35" s="264"/>
      <c r="J35" s="267"/>
      <c r="K35" s="868"/>
      <c r="L35" s="852"/>
    </row>
    <row r="36" spans="1:12" ht="20.100000000000001" customHeight="1">
      <c r="A36" s="62"/>
      <c r="B36" s="127"/>
      <c r="C36" s="282"/>
      <c r="D36" s="246"/>
      <c r="E36" s="237"/>
      <c r="F36" s="118"/>
      <c r="G36" s="868"/>
      <c r="H36" s="851"/>
      <c r="I36" s="264"/>
      <c r="J36" s="267"/>
      <c r="K36" s="868"/>
      <c r="L36" s="852"/>
    </row>
    <row r="37" spans="1:12" ht="27.95" customHeight="1">
      <c r="A37" s="62"/>
      <c r="B37" s="47" t="s">
        <v>232</v>
      </c>
      <c r="C37" s="47"/>
      <c r="D37" s="47"/>
      <c r="E37" s="47"/>
      <c r="F37" s="47"/>
      <c r="G37" s="47"/>
      <c r="H37" s="47"/>
      <c r="I37" s="47"/>
      <c r="J37" s="47"/>
      <c r="K37" s="47"/>
      <c r="L37" s="63"/>
    </row>
    <row r="38" spans="1:12" ht="19.5" customHeight="1">
      <c r="A38" s="62"/>
      <c r="B38" s="47" t="s">
        <v>233</v>
      </c>
      <c r="C38" s="47"/>
      <c r="D38" s="47"/>
      <c r="E38" s="47"/>
      <c r="F38" s="47"/>
      <c r="G38" s="47"/>
      <c r="H38" s="47"/>
      <c r="I38" s="47"/>
      <c r="J38" s="47"/>
      <c r="K38" s="47"/>
      <c r="L38" s="63"/>
    </row>
    <row r="39" spans="1:12" ht="19.5" customHeight="1">
      <c r="A39" s="62"/>
      <c r="B39" s="47" t="s">
        <v>234</v>
      </c>
      <c r="C39" s="47"/>
      <c r="D39" s="47"/>
      <c r="E39" s="47"/>
      <c r="F39" s="47"/>
      <c r="G39" s="47"/>
      <c r="H39" s="47"/>
      <c r="I39" s="47"/>
      <c r="J39" s="47"/>
      <c r="K39" s="47"/>
      <c r="L39" s="63"/>
    </row>
    <row r="40" spans="1:12" ht="15.75" customHeight="1">
      <c r="A40" s="62"/>
      <c r="B40" s="269" t="s">
        <v>235</v>
      </c>
      <c r="C40" s="47"/>
      <c r="D40" s="47"/>
      <c r="E40" s="47"/>
      <c r="F40" s="47"/>
      <c r="G40" s="47"/>
      <c r="H40" s="47"/>
      <c r="I40" s="47"/>
      <c r="J40" s="47"/>
      <c r="K40" s="47"/>
      <c r="L40" s="63"/>
    </row>
    <row r="41" spans="1:12" ht="27.95" customHeight="1">
      <c r="A41" s="62"/>
      <c r="B41" s="263" t="s">
        <v>229</v>
      </c>
      <c r="C41" s="118"/>
      <c r="D41" s="118"/>
      <c r="E41" s="118"/>
      <c r="F41" s="119"/>
      <c r="G41" s="263" t="s">
        <v>205</v>
      </c>
      <c r="H41" s="119"/>
      <c r="I41" s="263" t="s">
        <v>230</v>
      </c>
      <c r="J41" s="118"/>
      <c r="K41" s="119"/>
      <c r="L41" s="63"/>
    </row>
    <row r="42" spans="1:12" ht="27.95" customHeight="1">
      <c r="A42" s="62"/>
      <c r="B42" s="853"/>
      <c r="C42" s="867"/>
      <c r="D42" s="867"/>
      <c r="E42" s="867"/>
      <c r="F42" s="854"/>
      <c r="G42" s="853"/>
      <c r="H42" s="854"/>
      <c r="I42" s="853"/>
      <c r="J42" s="867"/>
      <c r="K42" s="854"/>
      <c r="L42" s="63"/>
    </row>
    <row r="43" spans="1:12" ht="27.95" customHeight="1">
      <c r="A43" s="62"/>
      <c r="B43" s="853"/>
      <c r="C43" s="867"/>
      <c r="D43" s="867"/>
      <c r="E43" s="867"/>
      <c r="F43" s="854"/>
      <c r="G43" s="853"/>
      <c r="H43" s="854"/>
      <c r="I43" s="853"/>
      <c r="J43" s="867"/>
      <c r="K43" s="854"/>
      <c r="L43" s="63"/>
    </row>
    <row r="44" spans="1:12" ht="27.95" customHeight="1">
      <c r="A44" s="62"/>
      <c r="B44" s="853"/>
      <c r="C44" s="867"/>
      <c r="D44" s="867"/>
      <c r="E44" s="867"/>
      <c r="F44" s="854"/>
      <c r="G44" s="853"/>
      <c r="H44" s="854"/>
      <c r="I44" s="853"/>
      <c r="J44" s="867"/>
      <c r="K44" s="854"/>
      <c r="L44" s="63"/>
    </row>
    <row r="45" spans="1:12" ht="27.95" customHeight="1">
      <c r="A45" s="62"/>
      <c r="B45" s="853"/>
      <c r="C45" s="867"/>
      <c r="D45" s="867"/>
      <c r="E45" s="867"/>
      <c r="F45" s="854"/>
      <c r="G45" s="853"/>
      <c r="H45" s="854"/>
      <c r="I45" s="853"/>
      <c r="J45" s="867"/>
      <c r="K45" s="854"/>
      <c r="L45" s="63"/>
    </row>
    <row r="46" spans="1:12">
      <c r="A46" s="62"/>
      <c r="B46" s="47"/>
      <c r="C46" s="47"/>
      <c r="D46" s="47"/>
      <c r="E46" s="47"/>
      <c r="F46" s="47"/>
      <c r="G46" s="47"/>
      <c r="H46" s="47"/>
      <c r="I46" s="47"/>
      <c r="J46" s="47"/>
      <c r="K46" s="47"/>
      <c r="L46" s="63"/>
    </row>
    <row r="47" spans="1:12">
      <c r="A47" s="62"/>
      <c r="B47" s="47" t="s">
        <v>202</v>
      </c>
      <c r="C47" s="389" t="e">
        <f>'PUNJAB 04-22Master'!#REF!</f>
        <v>#REF!</v>
      </c>
      <c r="D47" s="47"/>
      <c r="E47" s="47"/>
      <c r="F47" s="47"/>
      <c r="G47" s="47"/>
      <c r="H47" s="47"/>
      <c r="I47" s="47" t="s">
        <v>231</v>
      </c>
      <c r="J47" s="47"/>
      <c r="K47" s="47"/>
      <c r="L47" s="63"/>
    </row>
    <row r="48" spans="1:12" ht="18.75">
      <c r="A48" s="62"/>
      <c r="B48" s="47"/>
      <c r="C48" s="47"/>
      <c r="D48" s="47"/>
      <c r="E48" s="47"/>
      <c r="F48" s="248" t="s">
        <v>197</v>
      </c>
      <c r="G48" s="47"/>
      <c r="H48" s="47"/>
      <c r="I48" s="47"/>
      <c r="J48" s="47"/>
      <c r="K48" s="47"/>
      <c r="L48" s="63"/>
    </row>
    <row r="49" spans="1:12">
      <c r="A49" s="62" t="s">
        <v>198</v>
      </c>
      <c r="B49" s="47"/>
      <c r="C49" s="47"/>
      <c r="D49" s="47"/>
      <c r="E49" s="47"/>
      <c r="F49" s="47"/>
      <c r="G49" s="47"/>
      <c r="H49" s="47"/>
      <c r="I49" s="47"/>
      <c r="J49" s="47"/>
      <c r="K49" s="306" t="e">
        <f>'PUNJAB 04-22Master'!#REF!</f>
        <v>#REF!</v>
      </c>
      <c r="L49" s="63"/>
    </row>
    <row r="50" spans="1:12">
      <c r="A50" s="62" t="s">
        <v>199</v>
      </c>
      <c r="B50" s="47"/>
      <c r="C50" s="47"/>
      <c r="D50" s="47"/>
      <c r="E50" s="47"/>
      <c r="F50" s="47"/>
      <c r="G50" s="47"/>
      <c r="H50" s="47"/>
      <c r="I50" s="47"/>
      <c r="J50" s="47"/>
      <c r="K50" s="47"/>
      <c r="L50" s="63"/>
    </row>
    <row r="51" spans="1:12">
      <c r="A51" s="62"/>
      <c r="B51" s="47"/>
      <c r="C51" s="47"/>
      <c r="D51" s="47"/>
      <c r="E51" s="47"/>
      <c r="F51" s="47"/>
      <c r="G51" s="47"/>
      <c r="H51" s="47"/>
      <c r="I51" s="47"/>
      <c r="J51" s="47"/>
      <c r="K51" s="47"/>
      <c r="L51" s="63"/>
    </row>
    <row r="52" spans="1:12">
      <c r="A52" s="62"/>
      <c r="B52" s="47"/>
      <c r="C52" s="47"/>
      <c r="D52" s="47"/>
      <c r="E52" s="47"/>
      <c r="F52" s="47" t="s">
        <v>200</v>
      </c>
      <c r="G52" s="47"/>
      <c r="H52" s="47"/>
      <c r="I52" s="47"/>
      <c r="J52" s="47"/>
      <c r="K52" s="47"/>
      <c r="L52" s="63"/>
    </row>
    <row r="53" spans="1:12">
      <c r="A53" s="62" t="s">
        <v>201</v>
      </c>
      <c r="B53" s="47" t="s">
        <v>364</v>
      </c>
      <c r="C53" s="47"/>
      <c r="D53" s="47"/>
      <c r="E53" s="47"/>
      <c r="F53" s="47" t="str">
        <f>'PUNJAB 04-22Master'!F5</f>
        <v>Burgeon IT Services Pvt.Ltd.</v>
      </c>
      <c r="G53" s="47"/>
      <c r="H53" s="47"/>
      <c r="I53" s="47"/>
      <c r="J53" s="47"/>
      <c r="K53" s="47"/>
      <c r="L53" s="63"/>
    </row>
    <row r="54" spans="1:12" ht="15.75" thickBot="1">
      <c r="A54" s="76" t="s">
        <v>202</v>
      </c>
      <c r="B54" s="393" t="e">
        <f>'PUNJAB 04-22Master'!#REF!</f>
        <v>#REF!</v>
      </c>
      <c r="C54" s="74"/>
      <c r="D54" s="74"/>
      <c r="E54" s="74"/>
      <c r="F54" s="249" t="str">
        <f>'PUNJAB 04-22Master'!F6</f>
        <v>Siri Mansion LIGB 436 Dr.A S Rao Nagar,Hyderabad</v>
      </c>
      <c r="G54" s="249"/>
      <c r="H54" s="249"/>
      <c r="I54" s="249"/>
      <c r="J54" s="249"/>
      <c r="K54" s="249"/>
      <c r="L54" s="75"/>
    </row>
    <row r="55" spans="1:12" ht="27.95" customHeight="1">
      <c r="A55" s="174"/>
      <c r="B55" s="141"/>
      <c r="C55" s="141"/>
      <c r="D55" s="255"/>
      <c r="E55" s="255"/>
      <c r="F55" s="255"/>
      <c r="G55" s="255"/>
      <c r="H55" s="255"/>
      <c r="I55" s="255"/>
      <c r="J55" s="141"/>
      <c r="K55" s="257" t="s">
        <v>216</v>
      </c>
      <c r="L55" s="256"/>
    </row>
    <row r="56" spans="1:12" ht="27.95" customHeight="1">
      <c r="A56" s="62"/>
      <c r="B56" s="869" t="s">
        <v>215</v>
      </c>
      <c r="C56" s="869"/>
      <c r="D56" s="869"/>
      <c r="E56" s="869"/>
      <c r="F56" s="869"/>
      <c r="G56" s="869"/>
      <c r="H56" s="869"/>
      <c r="I56" s="869"/>
      <c r="J56" s="869"/>
      <c r="K56" s="869"/>
      <c r="L56" s="870"/>
    </row>
    <row r="57" spans="1:12" ht="27.95" customHeight="1">
      <c r="A57" s="62"/>
      <c r="B57" s="864" t="s">
        <v>217</v>
      </c>
      <c r="C57" s="864"/>
      <c r="D57" s="864"/>
      <c r="E57" s="864"/>
      <c r="F57" s="864"/>
      <c r="G57" s="864"/>
      <c r="H57" s="864"/>
      <c r="I57" s="864"/>
      <c r="J57" s="864"/>
      <c r="K57" s="864"/>
      <c r="L57" s="871"/>
    </row>
    <row r="58" spans="1:12" ht="27.95" customHeight="1">
      <c r="A58" s="62"/>
      <c r="B58" s="260" t="s">
        <v>218</v>
      </c>
      <c r="C58" s="258"/>
      <c r="D58" s="258"/>
      <c r="E58" s="258"/>
      <c r="F58" s="258"/>
      <c r="G58" s="47"/>
      <c r="H58" s="259"/>
      <c r="I58" s="259"/>
      <c r="J58" s="259"/>
      <c r="K58" s="259"/>
      <c r="L58" s="270"/>
    </row>
    <row r="59" spans="1:12" ht="27.95" customHeight="1">
      <c r="A59" s="62"/>
      <c r="B59" s="258"/>
      <c r="C59" s="258"/>
      <c r="D59" s="258"/>
      <c r="E59" s="258"/>
      <c r="F59" s="258"/>
      <c r="G59" s="47"/>
      <c r="H59" s="259"/>
      <c r="I59" s="259"/>
      <c r="J59" s="259"/>
      <c r="K59" s="259"/>
      <c r="L59" s="270"/>
    </row>
    <row r="60" spans="1:12" ht="27.95" customHeight="1">
      <c r="A60" s="62"/>
      <c r="B60" s="762" t="s">
        <v>188</v>
      </c>
      <c r="C60" s="762"/>
      <c r="D60" s="762"/>
      <c r="E60" s="762"/>
      <c r="F60" s="762"/>
      <c r="G60" s="762"/>
      <c r="H60" s="750" t="e">
        <f>'PUNJAB 04-22Master'!#REF!</f>
        <v>#REF!</v>
      </c>
      <c r="I60" s="751"/>
      <c r="J60" s="751"/>
      <c r="K60" s="751"/>
      <c r="L60" s="752"/>
    </row>
    <row r="61" spans="1:12" ht="27.95" customHeight="1">
      <c r="A61" s="62"/>
      <c r="B61" s="753" t="s">
        <v>189</v>
      </c>
      <c r="C61" s="753"/>
      <c r="D61" s="753"/>
      <c r="E61" s="753"/>
      <c r="F61" s="753"/>
      <c r="G61" s="753"/>
      <c r="H61" s="750" t="e">
        <f>'PUNJAB 04-22Master'!#REF!</f>
        <v>#REF!</v>
      </c>
      <c r="I61" s="751"/>
      <c r="J61" s="751"/>
      <c r="K61" s="751"/>
      <c r="L61" s="752"/>
    </row>
    <row r="62" spans="1:12" ht="27.95" customHeight="1">
      <c r="A62" s="62"/>
      <c r="B62" s="762" t="s">
        <v>190</v>
      </c>
      <c r="C62" s="762"/>
      <c r="D62" s="762"/>
      <c r="E62" s="762"/>
      <c r="F62" s="762"/>
      <c r="G62" s="762"/>
      <c r="H62" s="750" t="e">
        <f>'PUNJAB 04-22Master'!#REF!</f>
        <v>#REF!</v>
      </c>
      <c r="I62" s="751"/>
      <c r="J62" s="751"/>
      <c r="K62" s="751"/>
      <c r="L62" s="752"/>
    </row>
    <row r="63" spans="1:12" ht="27.95" customHeight="1">
      <c r="A63" s="62"/>
      <c r="B63" s="762" t="s">
        <v>191</v>
      </c>
      <c r="C63" s="762"/>
      <c r="D63" s="762"/>
      <c r="E63" s="762"/>
      <c r="F63" s="762"/>
      <c r="G63" s="762"/>
      <c r="H63" s="855" t="e">
        <f>'PUNJAB 04-22Master'!#REF!</f>
        <v>#REF!</v>
      </c>
      <c r="I63" s="751"/>
      <c r="J63" s="751"/>
      <c r="K63" s="751"/>
      <c r="L63" s="752"/>
    </row>
    <row r="64" spans="1:12" ht="27.95" customHeight="1">
      <c r="A64" s="62"/>
      <c r="B64" s="158" t="s">
        <v>192</v>
      </c>
      <c r="C64" s="283"/>
      <c r="D64" s="283"/>
      <c r="E64" s="283"/>
      <c r="F64" s="283"/>
      <c r="G64" s="283"/>
      <c r="H64" s="856" t="s">
        <v>193</v>
      </c>
      <c r="I64" s="857"/>
      <c r="J64" s="857"/>
      <c r="K64" s="857"/>
      <c r="L64" s="858"/>
    </row>
    <row r="65" spans="1:12" ht="27.95" customHeight="1">
      <c r="A65" s="62"/>
      <c r="B65" s="158" t="s">
        <v>194</v>
      </c>
      <c r="C65" s="283"/>
      <c r="D65" s="283"/>
      <c r="E65" s="283"/>
      <c r="F65" s="283"/>
      <c r="G65" s="283"/>
      <c r="H65" s="337"/>
      <c r="I65" s="338"/>
      <c r="J65" s="244"/>
      <c r="K65" s="338"/>
      <c r="L65" s="342"/>
    </row>
    <row r="66" spans="1:12">
      <c r="A66" s="62"/>
      <c r="B66" s="773" t="s">
        <v>195</v>
      </c>
      <c r="C66" s="773"/>
      <c r="D66" s="773"/>
      <c r="E66" s="773"/>
      <c r="F66" s="773"/>
      <c r="G66" s="773"/>
      <c r="H66" s="767" t="e">
        <f>'PUNJAB 04-22Master'!#REF!</f>
        <v>#REF!</v>
      </c>
      <c r="I66" s="768"/>
      <c r="J66" s="768"/>
      <c r="K66" s="768"/>
      <c r="L66" s="769"/>
    </row>
    <row r="67" spans="1:12">
      <c r="A67" s="62"/>
      <c r="B67" s="762"/>
      <c r="C67" s="762"/>
      <c r="D67" s="762"/>
      <c r="E67" s="762"/>
      <c r="F67" s="762"/>
      <c r="G67" s="762"/>
      <c r="H67" s="763" t="e">
        <f>'PUNJAB 04-22Master'!#REF!</f>
        <v>#REF!</v>
      </c>
      <c r="I67" s="751"/>
      <c r="J67" s="751"/>
      <c r="K67" s="751"/>
      <c r="L67" s="752"/>
    </row>
    <row r="68" spans="1:12">
      <c r="A68" s="62"/>
      <c r="B68" s="762"/>
      <c r="C68" s="762"/>
      <c r="D68" s="762"/>
      <c r="E68" s="762"/>
      <c r="F68" s="762"/>
      <c r="G68" s="762"/>
      <c r="H68" s="750" t="e">
        <f>'PUNJAB 04-22Master'!#REF!</f>
        <v>#REF!</v>
      </c>
      <c r="I68" s="751"/>
      <c r="J68" s="751"/>
      <c r="K68" s="751"/>
      <c r="L68" s="752"/>
    </row>
    <row r="69" spans="1:12">
      <c r="A69" s="62"/>
      <c r="B69" s="144"/>
      <c r="C69" s="144"/>
      <c r="D69" s="144"/>
      <c r="E69" s="144"/>
      <c r="F69" s="47"/>
      <c r="G69" s="152" t="s">
        <v>219</v>
      </c>
      <c r="H69" s="152"/>
      <c r="I69" s="152"/>
      <c r="J69" s="152"/>
      <c r="K69" s="152"/>
      <c r="L69" s="153"/>
    </row>
    <row r="70" spans="1:12">
      <c r="A70" s="62"/>
      <c r="B70" s="251" t="s">
        <v>203</v>
      </c>
      <c r="C70" s="344"/>
      <c r="D70" s="344"/>
      <c r="E70" s="344"/>
      <c r="F70" s="344"/>
      <c r="G70" s="344"/>
      <c r="H70" s="347"/>
      <c r="I70" s="347"/>
      <c r="J70" s="347"/>
      <c r="K70" s="347"/>
      <c r="L70" s="254"/>
    </row>
    <row r="71" spans="1:12">
      <c r="A71" s="62"/>
      <c r="B71" s="251" t="s">
        <v>204</v>
      </c>
      <c r="C71" s="344"/>
      <c r="D71" s="344"/>
      <c r="E71" s="344"/>
      <c r="F71" s="344"/>
      <c r="G71" s="344"/>
      <c r="H71" s="347"/>
      <c r="I71" s="347"/>
      <c r="J71" s="345"/>
      <c r="K71" s="347"/>
      <c r="L71" s="254"/>
    </row>
    <row r="72" spans="1:12" ht="45">
      <c r="A72" s="157"/>
      <c r="B72" s="158" t="s">
        <v>207</v>
      </c>
      <c r="C72" s="283"/>
      <c r="D72" s="339"/>
      <c r="E72" s="341" t="s">
        <v>209</v>
      </c>
      <c r="F72" s="119"/>
      <c r="G72" s="850" t="s">
        <v>208</v>
      </c>
      <c r="H72" s="851"/>
      <c r="I72" s="235" t="s">
        <v>205</v>
      </c>
      <c r="J72" s="239" t="s">
        <v>210</v>
      </c>
      <c r="K72" s="850" t="s">
        <v>206</v>
      </c>
      <c r="L72" s="852"/>
    </row>
    <row r="73" spans="1:12">
      <c r="A73" s="157"/>
      <c r="B73" s="240">
        <v>1</v>
      </c>
      <c r="C73" s="283"/>
      <c r="D73" s="283"/>
      <c r="E73" s="243">
        <v>2</v>
      </c>
      <c r="F73" s="284"/>
      <c r="G73" s="243">
        <v>3</v>
      </c>
      <c r="H73" s="339"/>
      <c r="I73" s="339">
        <v>4</v>
      </c>
      <c r="J73" s="328">
        <v>5</v>
      </c>
      <c r="K73" s="159"/>
      <c r="L73" s="160">
        <v>6</v>
      </c>
    </row>
    <row r="74" spans="1:12">
      <c r="A74" s="157"/>
      <c r="B74" s="158" t="e">
        <f>'PUNJAB 04-22Master'!#REF!</f>
        <v>#REF!</v>
      </c>
      <c r="C74" s="261"/>
      <c r="D74" s="262"/>
      <c r="E74" s="263" t="s">
        <v>368</v>
      </c>
      <c r="F74" s="262"/>
      <c r="G74" s="263" t="s">
        <v>366</v>
      </c>
      <c r="H74" s="119"/>
      <c r="I74" s="30" t="s">
        <v>369</v>
      </c>
      <c r="J74" s="390">
        <v>1</v>
      </c>
      <c r="K74" s="264" t="s">
        <v>37</v>
      </c>
      <c r="L74" s="271"/>
    </row>
    <row r="75" spans="1:12">
      <c r="A75" s="157"/>
      <c r="B75" s="158"/>
      <c r="C75" s="261"/>
      <c r="D75" s="262"/>
      <c r="E75" s="263"/>
      <c r="F75" s="262"/>
      <c r="G75" s="263"/>
      <c r="H75" s="119"/>
      <c r="I75" s="30"/>
      <c r="J75" s="30"/>
      <c r="K75" s="264"/>
      <c r="L75" s="271"/>
    </row>
    <row r="76" spans="1:12">
      <c r="A76" s="157"/>
      <c r="B76" s="158"/>
      <c r="C76" s="261"/>
      <c r="D76" s="262"/>
      <c r="E76" s="263"/>
      <c r="F76" s="262"/>
      <c r="G76" s="263"/>
      <c r="H76" s="119"/>
      <c r="I76" s="30"/>
      <c r="J76" s="30"/>
      <c r="K76" s="264"/>
      <c r="L76" s="271"/>
    </row>
    <row r="77" spans="1:12">
      <c r="A77" s="157"/>
      <c r="B77" s="127"/>
      <c r="C77" s="68"/>
      <c r="D77" s="128"/>
      <c r="E77" s="263"/>
      <c r="F77" s="262"/>
      <c r="G77" s="263"/>
      <c r="H77" s="119"/>
      <c r="I77" s="30"/>
      <c r="J77" s="30"/>
      <c r="K77" s="264"/>
      <c r="L77" s="271"/>
    </row>
    <row r="78" spans="1:12">
      <c r="A78" s="157"/>
      <c r="B78" s="47" t="s">
        <v>211</v>
      </c>
      <c r="C78" s="47"/>
      <c r="D78" s="47"/>
      <c r="E78" s="47"/>
      <c r="F78" s="47"/>
      <c r="G78" s="47"/>
      <c r="H78" s="47"/>
      <c r="I78" s="47"/>
      <c r="J78" s="47"/>
      <c r="K78" s="47"/>
      <c r="L78" s="63"/>
    </row>
    <row r="79" spans="1:12">
      <c r="A79" s="62"/>
      <c r="B79" s="47" t="s">
        <v>212</v>
      </c>
      <c r="C79" s="47"/>
      <c r="D79" s="47"/>
      <c r="E79" s="47"/>
      <c r="F79" s="47"/>
      <c r="G79" s="47"/>
      <c r="H79" s="47"/>
      <c r="I79" s="47"/>
      <c r="J79" s="47"/>
      <c r="K79" s="47"/>
      <c r="L79" s="63"/>
    </row>
    <row r="80" spans="1:12">
      <c r="A80" s="62"/>
      <c r="B80" s="47" t="s">
        <v>223</v>
      </c>
      <c r="C80" s="47"/>
      <c r="D80" s="47"/>
      <c r="E80" s="47"/>
      <c r="F80" s="47"/>
      <c r="G80" s="47"/>
      <c r="H80" s="47"/>
      <c r="I80" s="47"/>
      <c r="J80" s="47" t="s">
        <v>222</v>
      </c>
      <c r="K80" s="47"/>
      <c r="L80" s="63"/>
    </row>
    <row r="81" spans="1:12">
      <c r="A81" s="62"/>
      <c r="B81" s="144"/>
      <c r="C81" s="144"/>
      <c r="D81" s="144"/>
      <c r="E81" s="144"/>
      <c r="F81" s="47"/>
      <c r="G81" s="152" t="s">
        <v>220</v>
      </c>
      <c r="H81" s="152"/>
      <c r="I81" s="152"/>
      <c r="J81" s="152"/>
      <c r="K81" s="152"/>
      <c r="L81" s="153"/>
    </row>
    <row r="82" spans="1:12">
      <c r="A82" s="62"/>
      <c r="B82" s="152"/>
      <c r="C82" s="144"/>
      <c r="D82" s="144"/>
      <c r="E82" s="144"/>
      <c r="F82" s="144"/>
      <c r="G82" s="47" t="s">
        <v>221</v>
      </c>
      <c r="H82" s="152"/>
      <c r="I82" s="152"/>
      <c r="J82" s="152"/>
      <c r="K82" s="152"/>
      <c r="L82" s="153"/>
    </row>
    <row r="83" spans="1:12">
      <c r="A83" s="62"/>
      <c r="B83" s="251" t="s">
        <v>224</v>
      </c>
      <c r="C83" s="344"/>
      <c r="D83" s="344"/>
      <c r="E83" s="344"/>
      <c r="F83" s="344"/>
      <c r="G83" s="344"/>
      <c r="H83" s="347"/>
      <c r="I83" s="347"/>
      <c r="J83" s="347"/>
      <c r="K83" s="347"/>
      <c r="L83" s="254"/>
    </row>
    <row r="84" spans="1:12">
      <c r="A84" s="62"/>
      <c r="B84" s="251" t="s">
        <v>225</v>
      </c>
      <c r="C84" s="344"/>
      <c r="D84" s="344"/>
      <c r="E84" s="344"/>
      <c r="F84" s="344"/>
      <c r="G84" s="344"/>
      <c r="H84" s="347"/>
      <c r="I84" s="347"/>
      <c r="J84" s="345"/>
      <c r="K84" s="347"/>
      <c r="L84" s="254"/>
    </row>
    <row r="85" spans="1:12">
      <c r="A85" s="62"/>
      <c r="B85" s="158" t="s">
        <v>5</v>
      </c>
      <c r="C85" s="872" t="s">
        <v>226</v>
      </c>
      <c r="D85" s="848"/>
      <c r="E85" s="848"/>
      <c r="F85" s="848"/>
      <c r="G85" s="848"/>
      <c r="H85" s="873"/>
      <c r="I85" s="335" t="s">
        <v>110</v>
      </c>
      <c r="J85" s="874" t="s">
        <v>227</v>
      </c>
      <c r="K85" s="875"/>
      <c r="L85" s="876"/>
    </row>
    <row r="86" spans="1:12">
      <c r="A86" s="62"/>
      <c r="B86" s="240">
        <v>1</v>
      </c>
      <c r="C86" s="282"/>
      <c r="D86" s="338"/>
      <c r="E86" s="237">
        <v>2</v>
      </c>
      <c r="F86" s="118"/>
      <c r="G86" s="868"/>
      <c r="H86" s="851"/>
      <c r="I86" s="338">
        <v>3</v>
      </c>
      <c r="J86" s="268" t="s">
        <v>228</v>
      </c>
      <c r="K86" s="877">
        <v>4</v>
      </c>
      <c r="L86" s="878"/>
    </row>
    <row r="87" spans="1:12" ht="15" customHeight="1">
      <c r="A87" s="62"/>
      <c r="B87" s="158"/>
      <c r="C87" s="282"/>
      <c r="D87" s="338"/>
      <c r="E87" s="237"/>
      <c r="F87" s="118"/>
      <c r="G87" s="868"/>
      <c r="H87" s="851"/>
      <c r="I87" s="264"/>
      <c r="J87" s="267"/>
      <c r="K87" s="868"/>
      <c r="L87" s="852"/>
    </row>
    <row r="88" spans="1:12">
      <c r="A88" s="62"/>
      <c r="B88" s="158"/>
      <c r="C88" s="282"/>
      <c r="D88" s="338"/>
      <c r="E88" s="237"/>
      <c r="F88" s="118"/>
      <c r="G88" s="868"/>
      <c r="H88" s="851"/>
      <c r="I88" s="264"/>
      <c r="J88" s="267"/>
      <c r="K88" s="868"/>
      <c r="L88" s="852"/>
    </row>
    <row r="89" spans="1:12">
      <c r="A89" s="62"/>
      <c r="B89" s="158"/>
      <c r="C89" s="282"/>
      <c r="D89" s="338"/>
      <c r="E89" s="237"/>
      <c r="F89" s="118"/>
      <c r="G89" s="868"/>
      <c r="H89" s="851"/>
      <c r="I89" s="264"/>
      <c r="J89" s="267"/>
      <c r="K89" s="868"/>
      <c r="L89" s="852"/>
    </row>
    <row r="90" spans="1:12">
      <c r="A90" s="62"/>
      <c r="B90" s="127"/>
      <c r="C90" s="282"/>
      <c r="D90" s="338"/>
      <c r="E90" s="237"/>
      <c r="F90" s="118"/>
      <c r="G90" s="868"/>
      <c r="H90" s="851"/>
      <c r="I90" s="264"/>
      <c r="J90" s="267"/>
      <c r="K90" s="868"/>
      <c r="L90" s="852"/>
    </row>
    <row r="91" spans="1:12">
      <c r="A91" s="62"/>
      <c r="B91" s="47" t="s">
        <v>232</v>
      </c>
      <c r="C91" s="47"/>
      <c r="D91" s="47"/>
      <c r="E91" s="47"/>
      <c r="F91" s="47"/>
      <c r="G91" s="47"/>
      <c r="H91" s="47"/>
      <c r="I91" s="47"/>
      <c r="J91" s="47"/>
      <c r="K91" s="47"/>
      <c r="L91" s="63"/>
    </row>
    <row r="92" spans="1:12">
      <c r="A92" s="62"/>
      <c r="B92" s="47" t="s">
        <v>233</v>
      </c>
      <c r="C92" s="47"/>
      <c r="D92" s="47"/>
      <c r="E92" s="47"/>
      <c r="F92" s="47"/>
      <c r="G92" s="47"/>
      <c r="H92" s="47"/>
      <c r="I92" s="47"/>
      <c r="J92" s="47"/>
      <c r="K92" s="47"/>
      <c r="L92" s="63"/>
    </row>
    <row r="93" spans="1:12">
      <c r="A93" s="62"/>
      <c r="B93" s="47" t="s">
        <v>234</v>
      </c>
      <c r="C93" s="47"/>
      <c r="D93" s="47"/>
      <c r="E93" s="47"/>
      <c r="F93" s="47"/>
      <c r="G93" s="47"/>
      <c r="H93" s="47"/>
      <c r="I93" s="47"/>
      <c r="J93" s="47"/>
      <c r="K93" s="47"/>
      <c r="L93" s="63"/>
    </row>
    <row r="94" spans="1:12">
      <c r="A94" s="62"/>
      <c r="B94" s="269" t="s">
        <v>235</v>
      </c>
      <c r="C94" s="47"/>
      <c r="D94" s="47"/>
      <c r="E94" s="47"/>
      <c r="F94" s="47"/>
      <c r="G94" s="47"/>
      <c r="H94" s="47"/>
      <c r="I94" s="47"/>
      <c r="J94" s="47"/>
      <c r="K94" s="47"/>
      <c r="L94" s="63"/>
    </row>
    <row r="95" spans="1:12">
      <c r="A95" s="62"/>
      <c r="B95" s="263" t="s">
        <v>229</v>
      </c>
      <c r="C95" s="118"/>
      <c r="D95" s="118"/>
      <c r="E95" s="118"/>
      <c r="F95" s="119"/>
      <c r="G95" s="263" t="s">
        <v>205</v>
      </c>
      <c r="H95" s="119"/>
      <c r="I95" s="263" t="s">
        <v>230</v>
      </c>
      <c r="J95" s="118"/>
      <c r="K95" s="119"/>
      <c r="L95" s="63"/>
    </row>
    <row r="96" spans="1:12">
      <c r="A96" s="62"/>
      <c r="B96" s="853"/>
      <c r="C96" s="867"/>
      <c r="D96" s="867"/>
      <c r="E96" s="867"/>
      <c r="F96" s="854"/>
      <c r="G96" s="853"/>
      <c r="H96" s="854"/>
      <c r="I96" s="853"/>
      <c r="J96" s="867"/>
      <c r="K96" s="854"/>
      <c r="L96" s="63"/>
    </row>
    <row r="97" spans="1:12">
      <c r="A97" s="62"/>
      <c r="B97" s="853"/>
      <c r="C97" s="867"/>
      <c r="D97" s="867"/>
      <c r="E97" s="867"/>
      <c r="F97" s="854"/>
      <c r="G97" s="853"/>
      <c r="H97" s="854"/>
      <c r="I97" s="853"/>
      <c r="J97" s="867"/>
      <c r="K97" s="854"/>
      <c r="L97" s="63"/>
    </row>
    <row r="98" spans="1:12">
      <c r="A98" s="62"/>
      <c r="B98" s="853"/>
      <c r="C98" s="867"/>
      <c r="D98" s="867"/>
      <c r="E98" s="867"/>
      <c r="F98" s="854"/>
      <c r="G98" s="853"/>
      <c r="H98" s="854"/>
      <c r="I98" s="853"/>
      <c r="J98" s="867"/>
      <c r="K98" s="854"/>
      <c r="L98" s="63"/>
    </row>
    <row r="99" spans="1:12">
      <c r="A99" s="62"/>
      <c r="B99" s="853"/>
      <c r="C99" s="867"/>
      <c r="D99" s="867"/>
      <c r="E99" s="867"/>
      <c r="F99" s="854"/>
      <c r="G99" s="853"/>
      <c r="H99" s="854"/>
      <c r="I99" s="853"/>
      <c r="J99" s="867"/>
      <c r="K99" s="854"/>
      <c r="L99" s="63"/>
    </row>
    <row r="100" spans="1:12">
      <c r="A100" s="62"/>
      <c r="B100" s="47"/>
      <c r="C100" s="47"/>
      <c r="D100" s="47"/>
      <c r="E100" s="47"/>
      <c r="F100" s="47"/>
      <c r="G100" s="47"/>
      <c r="H100" s="47"/>
      <c r="I100" s="47"/>
      <c r="J100" s="47"/>
      <c r="K100" s="47"/>
      <c r="L100" s="63"/>
    </row>
    <row r="101" spans="1:12">
      <c r="A101" s="62"/>
      <c r="B101" s="47" t="s">
        <v>202</v>
      </c>
      <c r="C101" s="389" t="e">
        <f>'PUNJAB 04-22Master'!#REF!</f>
        <v>#REF!</v>
      </c>
      <c r="D101" s="47"/>
      <c r="E101" s="47"/>
      <c r="F101" s="47"/>
      <c r="G101" s="47"/>
      <c r="H101" s="47"/>
      <c r="I101" s="47" t="s">
        <v>231</v>
      </c>
      <c r="J101" s="47"/>
      <c r="K101" s="47"/>
      <c r="L101" s="63"/>
    </row>
    <row r="102" spans="1:12" ht="27.95" customHeight="1">
      <c r="A102" s="62"/>
      <c r="B102" s="47"/>
      <c r="C102" s="47"/>
      <c r="D102" s="47"/>
      <c r="E102" s="47"/>
      <c r="F102" s="248" t="s">
        <v>197</v>
      </c>
      <c r="G102" s="47"/>
      <c r="H102" s="47"/>
      <c r="I102" s="47"/>
      <c r="J102" s="47"/>
      <c r="K102" s="47"/>
      <c r="L102" s="63"/>
    </row>
    <row r="103" spans="1:12" ht="27.95" customHeight="1">
      <c r="A103" s="62" t="s">
        <v>198</v>
      </c>
      <c r="B103" s="47"/>
      <c r="C103" s="47"/>
      <c r="D103" s="47"/>
      <c r="E103" s="47"/>
      <c r="F103" s="47"/>
      <c r="G103" s="47"/>
      <c r="H103" s="47"/>
      <c r="I103" s="47"/>
      <c r="J103" s="47"/>
      <c r="K103" s="306" t="e">
        <f>'PUNJAB 04-22Master'!#REF!</f>
        <v>#REF!</v>
      </c>
      <c r="L103" s="63"/>
    </row>
    <row r="104" spans="1:12" ht="27.95" customHeight="1">
      <c r="A104" s="62" t="s">
        <v>199</v>
      </c>
      <c r="B104" s="47"/>
      <c r="C104" s="47"/>
      <c r="D104" s="47"/>
      <c r="E104" s="47"/>
      <c r="F104" s="47"/>
      <c r="G104" s="47"/>
      <c r="H104" s="47"/>
      <c r="I104" s="47"/>
      <c r="J104" s="47"/>
      <c r="K104" s="47"/>
      <c r="L104" s="63"/>
    </row>
    <row r="105" spans="1:12" ht="27.95" customHeight="1">
      <c r="A105" s="62"/>
      <c r="B105" s="47"/>
      <c r="C105" s="47"/>
      <c r="D105" s="47"/>
      <c r="E105" s="47"/>
      <c r="F105" s="47"/>
      <c r="G105" s="47"/>
      <c r="H105" s="47"/>
      <c r="I105" s="47"/>
      <c r="J105" s="47"/>
      <c r="K105" s="47"/>
      <c r="L105" s="63"/>
    </row>
    <row r="106" spans="1:12" ht="27.95" customHeight="1">
      <c r="A106" s="62"/>
      <c r="B106" s="47"/>
      <c r="C106" s="47"/>
      <c r="D106" s="47"/>
      <c r="E106" s="47"/>
      <c r="F106" s="47" t="s">
        <v>200</v>
      </c>
      <c r="G106" s="47"/>
      <c r="H106" s="47"/>
      <c r="I106" s="47"/>
      <c r="J106" s="47"/>
      <c r="K106" s="47"/>
      <c r="L106" s="63"/>
    </row>
    <row r="107" spans="1:12" ht="27.95" customHeight="1">
      <c r="A107" s="62" t="s">
        <v>201</v>
      </c>
      <c r="B107" s="47" t="s">
        <v>364</v>
      </c>
      <c r="C107" s="47"/>
      <c r="D107" s="47"/>
      <c r="E107" s="47"/>
      <c r="F107" s="47" t="str">
        <f>'PUNJAB 04-22Master'!F5</f>
        <v>Burgeon IT Services Pvt.Ltd.</v>
      </c>
      <c r="G107" s="47"/>
      <c r="H107" s="47"/>
      <c r="I107" s="47"/>
      <c r="J107" s="47"/>
      <c r="K107" s="47"/>
      <c r="L107" s="63"/>
    </row>
    <row r="108" spans="1:12" ht="27.95" customHeight="1" thickBot="1">
      <c r="A108" s="76" t="s">
        <v>202</v>
      </c>
      <c r="B108" s="393" t="e">
        <f>'PUNJAB 04-22Master'!#REF!</f>
        <v>#REF!</v>
      </c>
      <c r="C108" s="74"/>
      <c r="D108" s="74"/>
      <c r="E108" s="74"/>
      <c r="F108" s="249" t="str">
        <f>'PUNJAB 04-22Master'!F6</f>
        <v>Siri Mansion LIGB 436 Dr.A S Rao Nagar,Hyderabad</v>
      </c>
      <c r="G108" s="249"/>
      <c r="H108" s="249"/>
      <c r="I108" s="249"/>
      <c r="J108" s="249"/>
      <c r="K108" s="249"/>
      <c r="L108" s="75"/>
    </row>
    <row r="109" spans="1:12" ht="27.95" customHeight="1">
      <c r="A109" s="174"/>
      <c r="B109" s="141"/>
      <c r="C109" s="141"/>
      <c r="D109" s="255"/>
      <c r="E109" s="255"/>
      <c r="F109" s="255"/>
      <c r="G109" s="255"/>
      <c r="H109" s="255"/>
      <c r="I109" s="255"/>
      <c r="J109" s="141"/>
      <c r="K109" s="257" t="s">
        <v>216</v>
      </c>
      <c r="L109" s="256"/>
    </row>
    <row r="110" spans="1:12" ht="27.95" customHeight="1">
      <c r="A110" s="62"/>
      <c r="B110" s="869" t="s">
        <v>215</v>
      </c>
      <c r="C110" s="869"/>
      <c r="D110" s="869"/>
      <c r="E110" s="869"/>
      <c r="F110" s="869"/>
      <c r="G110" s="869"/>
      <c r="H110" s="869"/>
      <c r="I110" s="869"/>
      <c r="J110" s="869"/>
      <c r="K110" s="869"/>
      <c r="L110" s="870"/>
    </row>
    <row r="111" spans="1:12" ht="27.95" customHeight="1">
      <c r="A111" s="62"/>
      <c r="B111" s="864" t="s">
        <v>217</v>
      </c>
      <c r="C111" s="864"/>
      <c r="D111" s="864"/>
      <c r="E111" s="864"/>
      <c r="F111" s="864"/>
      <c r="G111" s="864"/>
      <c r="H111" s="864"/>
      <c r="I111" s="864"/>
      <c r="J111" s="864"/>
      <c r="K111" s="864"/>
      <c r="L111" s="871"/>
    </row>
    <row r="112" spans="1:12" ht="27.95" customHeight="1">
      <c r="A112" s="62"/>
      <c r="B112" s="260" t="s">
        <v>218</v>
      </c>
      <c r="C112" s="258"/>
      <c r="D112" s="258"/>
      <c r="E112" s="258"/>
      <c r="F112" s="258"/>
      <c r="G112" s="47"/>
      <c r="H112" s="259"/>
      <c r="I112" s="259"/>
      <c r="J112" s="259"/>
      <c r="K112" s="259"/>
      <c r="L112" s="270"/>
    </row>
    <row r="113" spans="1:12" ht="27.95" customHeight="1">
      <c r="A113" s="62"/>
      <c r="B113" s="258"/>
      <c r="C113" s="258"/>
      <c r="D113" s="258"/>
      <c r="E113" s="258"/>
      <c r="F113" s="258"/>
      <c r="G113" s="47"/>
      <c r="H113" s="259"/>
      <c r="I113" s="259"/>
      <c r="J113" s="259"/>
      <c r="K113" s="259"/>
      <c r="L113" s="270"/>
    </row>
    <row r="114" spans="1:12" ht="27.95" customHeight="1">
      <c r="A114" s="62"/>
      <c r="B114" s="762" t="s">
        <v>188</v>
      </c>
      <c r="C114" s="762"/>
      <c r="D114" s="762"/>
      <c r="E114" s="762"/>
      <c r="F114" s="762"/>
      <c r="G114" s="762"/>
      <c r="H114" s="750" t="e">
        <f>'PUNJAB 04-22Master'!#REF!</f>
        <v>#REF!</v>
      </c>
      <c r="I114" s="751"/>
      <c r="J114" s="751"/>
      <c r="K114" s="751"/>
      <c r="L114" s="752"/>
    </row>
    <row r="115" spans="1:12" ht="27.95" customHeight="1">
      <c r="A115" s="62"/>
      <c r="B115" s="753" t="s">
        <v>189</v>
      </c>
      <c r="C115" s="753"/>
      <c r="D115" s="753"/>
      <c r="E115" s="753"/>
      <c r="F115" s="753"/>
      <c r="G115" s="753"/>
      <c r="H115" s="750" t="e">
        <f>'PUNJAB 04-22Master'!#REF!</f>
        <v>#REF!</v>
      </c>
      <c r="I115" s="751"/>
      <c r="J115" s="751"/>
      <c r="K115" s="751"/>
      <c r="L115" s="752"/>
    </row>
    <row r="116" spans="1:12" ht="27.95" customHeight="1">
      <c r="A116" s="62"/>
      <c r="B116" s="762" t="s">
        <v>190</v>
      </c>
      <c r="C116" s="762"/>
      <c r="D116" s="762"/>
      <c r="E116" s="762"/>
      <c r="F116" s="762"/>
      <c r="G116" s="762"/>
      <c r="H116" s="750" t="e">
        <f>'PUNJAB 04-22Master'!#REF!</f>
        <v>#REF!</v>
      </c>
      <c r="I116" s="751"/>
      <c r="J116" s="751"/>
      <c r="K116" s="751"/>
      <c r="L116" s="752"/>
    </row>
    <row r="117" spans="1:12" ht="27.95" customHeight="1">
      <c r="A117" s="62"/>
      <c r="B117" s="762" t="s">
        <v>191</v>
      </c>
      <c r="C117" s="762"/>
      <c r="D117" s="762"/>
      <c r="E117" s="762"/>
      <c r="F117" s="762"/>
      <c r="G117" s="762"/>
      <c r="H117" s="855" t="e">
        <f>'PUNJAB 04-22Master'!#REF!</f>
        <v>#REF!</v>
      </c>
      <c r="I117" s="751"/>
      <c r="J117" s="751"/>
      <c r="K117" s="751"/>
      <c r="L117" s="752"/>
    </row>
    <row r="118" spans="1:12" ht="27.95" customHeight="1">
      <c r="A118" s="62"/>
      <c r="B118" s="158" t="s">
        <v>192</v>
      </c>
      <c r="C118" s="283"/>
      <c r="D118" s="283"/>
      <c r="E118" s="283"/>
      <c r="F118" s="283"/>
      <c r="G118" s="283"/>
      <c r="H118" s="856" t="s">
        <v>193</v>
      </c>
      <c r="I118" s="857"/>
      <c r="J118" s="857"/>
      <c r="K118" s="857"/>
      <c r="L118" s="858"/>
    </row>
    <row r="119" spans="1:12">
      <c r="A119" s="62"/>
      <c r="B119" s="158" t="s">
        <v>194</v>
      </c>
      <c r="C119" s="283"/>
      <c r="D119" s="283"/>
      <c r="E119" s="283"/>
      <c r="F119" s="283"/>
      <c r="G119" s="283"/>
    </row>
    <row r="120" spans="1:12">
      <c r="A120" s="62"/>
      <c r="B120" s="773" t="s">
        <v>195</v>
      </c>
      <c r="C120" s="773"/>
      <c r="D120" s="773"/>
      <c r="E120" s="773"/>
      <c r="F120" s="773"/>
      <c r="G120" s="773"/>
      <c r="H120" s="750" t="e">
        <f>'PUNJAB 04-22Master'!#REF!</f>
        <v>#REF!</v>
      </c>
      <c r="I120" s="751"/>
      <c r="J120" s="751"/>
      <c r="K120" s="751"/>
      <c r="L120" s="751"/>
    </row>
    <row r="121" spans="1:12">
      <c r="A121" s="62"/>
      <c r="B121" s="762"/>
      <c r="C121" s="762"/>
      <c r="D121" s="762"/>
      <c r="E121" s="762"/>
      <c r="F121" s="762"/>
      <c r="G121" s="762"/>
      <c r="H121" s="750" t="e">
        <f>'PUNJAB 04-22Master'!#REF!</f>
        <v>#REF!</v>
      </c>
      <c r="I121" s="751"/>
      <c r="J121" s="751"/>
      <c r="K121" s="751"/>
      <c r="L121" s="751"/>
    </row>
    <row r="122" spans="1:12">
      <c r="A122" s="62"/>
      <c r="B122" s="762"/>
      <c r="C122" s="762"/>
      <c r="D122" s="762"/>
      <c r="E122" s="762"/>
      <c r="F122" s="762"/>
      <c r="G122" s="762"/>
      <c r="H122" s="763" t="e">
        <f>'PUNJAB 04-22Master'!#REF!</f>
        <v>#REF!</v>
      </c>
      <c r="I122" s="751"/>
      <c r="J122" s="751"/>
      <c r="K122" s="751"/>
      <c r="L122" s="752"/>
    </row>
    <row r="123" spans="1:12">
      <c r="A123" s="62"/>
      <c r="B123" s="144"/>
      <c r="C123" s="144"/>
      <c r="D123" s="144"/>
      <c r="E123" s="144"/>
      <c r="F123" s="47"/>
      <c r="G123" s="152" t="s">
        <v>219</v>
      </c>
      <c r="H123" s="152"/>
      <c r="I123" s="152"/>
      <c r="J123" s="152"/>
      <c r="K123" s="152"/>
      <c r="L123" s="153"/>
    </row>
    <row r="124" spans="1:12">
      <c r="A124" s="62"/>
      <c r="B124" s="251" t="s">
        <v>203</v>
      </c>
      <c r="C124" s="344"/>
      <c r="D124" s="344"/>
      <c r="E124" s="344"/>
      <c r="F124" s="344"/>
      <c r="G124" s="344"/>
      <c r="H124" s="347"/>
      <c r="I124" s="347"/>
      <c r="J124" s="347"/>
      <c r="K124" s="347"/>
      <c r="L124" s="254"/>
    </row>
    <row r="125" spans="1:12">
      <c r="A125" s="62"/>
      <c r="B125" s="251" t="s">
        <v>204</v>
      </c>
      <c r="C125" s="344"/>
      <c r="D125" s="344"/>
      <c r="E125" s="344"/>
      <c r="F125" s="344"/>
      <c r="G125" s="344"/>
      <c r="H125" s="347"/>
      <c r="I125" s="347"/>
      <c r="J125" s="345"/>
      <c r="K125" s="347"/>
      <c r="L125" s="254"/>
    </row>
    <row r="126" spans="1:12" ht="45">
      <c r="A126" s="157"/>
      <c r="B126" s="158" t="s">
        <v>207</v>
      </c>
      <c r="C126" s="283"/>
      <c r="D126" s="339"/>
      <c r="E126" s="341" t="s">
        <v>209</v>
      </c>
      <c r="F126" s="119"/>
      <c r="G126" s="850" t="s">
        <v>208</v>
      </c>
      <c r="H126" s="851"/>
      <c r="I126" s="235" t="s">
        <v>205</v>
      </c>
      <c r="J126" s="239" t="s">
        <v>210</v>
      </c>
      <c r="K126" s="850" t="s">
        <v>206</v>
      </c>
      <c r="L126" s="852"/>
    </row>
    <row r="127" spans="1:12">
      <c r="A127" s="157"/>
      <c r="B127" s="240">
        <v>1</v>
      </c>
      <c r="C127" s="283"/>
      <c r="D127" s="283"/>
      <c r="E127" s="243">
        <v>2</v>
      </c>
      <c r="F127" s="284"/>
      <c r="G127" s="243">
        <v>3</v>
      </c>
      <c r="H127" s="339"/>
      <c r="I127" s="339">
        <v>4</v>
      </c>
      <c r="J127" s="328">
        <v>5</v>
      </c>
      <c r="K127" s="159"/>
      <c r="L127" s="160">
        <v>6</v>
      </c>
    </row>
    <row r="128" spans="1:12">
      <c r="A128" s="157"/>
      <c r="B128" s="158" t="e">
        <f>'PUNJAB 04-22Master'!#REF!</f>
        <v>#REF!</v>
      </c>
      <c r="C128" s="261"/>
      <c r="D128" s="262"/>
      <c r="E128" s="263" t="s">
        <v>368</v>
      </c>
      <c r="F128" s="262"/>
      <c r="G128" s="263" t="s">
        <v>366</v>
      </c>
      <c r="H128" s="119"/>
      <c r="I128" s="30" t="s">
        <v>369</v>
      </c>
      <c r="J128" s="390">
        <v>1</v>
      </c>
      <c r="K128" s="264" t="s">
        <v>37</v>
      </c>
      <c r="L128" s="271"/>
    </row>
    <row r="129" spans="1:12">
      <c r="A129" s="157"/>
      <c r="B129" s="158"/>
      <c r="C129" s="261"/>
      <c r="D129" s="262"/>
      <c r="E129" s="263"/>
      <c r="F129" s="262"/>
      <c r="G129" s="263"/>
      <c r="H129" s="119"/>
      <c r="I129" s="30"/>
      <c r="J129" s="30"/>
      <c r="K129" s="264"/>
      <c r="L129" s="271"/>
    </row>
    <row r="130" spans="1:12">
      <c r="A130" s="157"/>
      <c r="B130" s="158"/>
      <c r="C130" s="261"/>
      <c r="D130" s="262"/>
      <c r="E130" s="263"/>
      <c r="F130" s="262"/>
      <c r="G130" s="263"/>
      <c r="H130" s="119"/>
      <c r="I130" s="30"/>
      <c r="J130" s="30"/>
      <c r="K130" s="264"/>
      <c r="L130" s="271"/>
    </row>
    <row r="131" spans="1:12">
      <c r="A131" s="157"/>
      <c r="B131" s="127"/>
      <c r="C131" s="68"/>
      <c r="D131" s="128"/>
      <c r="E131" s="263"/>
      <c r="F131" s="262"/>
      <c r="G131" s="263"/>
      <c r="H131" s="119"/>
      <c r="I131" s="30"/>
      <c r="J131" s="30"/>
      <c r="K131" s="264"/>
      <c r="L131" s="271"/>
    </row>
    <row r="132" spans="1:12">
      <c r="A132" s="157"/>
      <c r="B132" s="47" t="s">
        <v>211</v>
      </c>
      <c r="C132" s="47"/>
      <c r="D132" s="47"/>
      <c r="E132" s="47"/>
      <c r="F132" s="47"/>
      <c r="G132" s="47"/>
      <c r="H132" s="47"/>
      <c r="I132" s="47"/>
      <c r="J132" s="47"/>
      <c r="K132" s="47"/>
      <c r="L132" s="63"/>
    </row>
    <row r="133" spans="1:12">
      <c r="A133" s="62"/>
      <c r="B133" s="47" t="s">
        <v>212</v>
      </c>
      <c r="C133" s="47"/>
      <c r="D133" s="47"/>
      <c r="E133" s="47"/>
      <c r="F133" s="47"/>
      <c r="G133" s="47"/>
      <c r="H133" s="47"/>
      <c r="I133" s="47"/>
      <c r="J133" s="47"/>
      <c r="K133" s="47"/>
      <c r="L133" s="63"/>
    </row>
    <row r="134" spans="1:12">
      <c r="A134" s="62"/>
      <c r="B134" s="47" t="s">
        <v>223</v>
      </c>
      <c r="C134" s="47"/>
      <c r="D134" s="47"/>
      <c r="E134" s="47"/>
      <c r="F134" s="47"/>
      <c r="G134" s="47"/>
      <c r="H134" s="47"/>
      <c r="I134" s="47"/>
      <c r="J134" s="47" t="s">
        <v>222</v>
      </c>
      <c r="K134" s="47"/>
      <c r="L134" s="63"/>
    </row>
    <row r="135" spans="1:12">
      <c r="A135" s="62"/>
      <c r="B135" s="144"/>
      <c r="C135" s="144"/>
      <c r="D135" s="144"/>
      <c r="E135" s="144"/>
      <c r="F135" s="47"/>
      <c r="G135" s="152" t="s">
        <v>220</v>
      </c>
      <c r="H135" s="152"/>
      <c r="I135" s="152"/>
      <c r="J135" s="152"/>
      <c r="K135" s="152"/>
      <c r="L135" s="153"/>
    </row>
    <row r="136" spans="1:12">
      <c r="A136" s="62"/>
      <c r="B136" s="152"/>
      <c r="C136" s="144"/>
      <c r="D136" s="144"/>
      <c r="E136" s="144"/>
      <c r="F136" s="144"/>
      <c r="G136" s="47" t="s">
        <v>221</v>
      </c>
      <c r="H136" s="152"/>
      <c r="I136" s="152"/>
      <c r="J136" s="152"/>
      <c r="K136" s="152"/>
      <c r="L136" s="153"/>
    </row>
    <row r="137" spans="1:12">
      <c r="A137" s="62"/>
      <c r="B137" s="251" t="s">
        <v>224</v>
      </c>
      <c r="C137" s="344"/>
      <c r="D137" s="344"/>
      <c r="E137" s="344"/>
      <c r="F137" s="344"/>
      <c r="G137" s="344"/>
      <c r="H137" s="347"/>
      <c r="I137" s="347"/>
      <c r="J137" s="347"/>
      <c r="K137" s="347"/>
      <c r="L137" s="254"/>
    </row>
    <row r="138" spans="1:12">
      <c r="A138" s="62"/>
      <c r="B138" s="251" t="s">
        <v>225</v>
      </c>
      <c r="C138" s="344"/>
      <c r="D138" s="344"/>
      <c r="E138" s="344"/>
      <c r="F138" s="344"/>
      <c r="G138" s="344"/>
      <c r="H138" s="347"/>
      <c r="I138" s="347"/>
      <c r="J138" s="345"/>
      <c r="K138" s="347"/>
      <c r="L138" s="254"/>
    </row>
    <row r="139" spans="1:12">
      <c r="A139" s="62"/>
      <c r="B139" s="158" t="s">
        <v>5</v>
      </c>
      <c r="C139" s="872" t="s">
        <v>226</v>
      </c>
      <c r="D139" s="848"/>
      <c r="E139" s="848"/>
      <c r="F139" s="848"/>
      <c r="G139" s="848"/>
      <c r="H139" s="873"/>
      <c r="I139" s="335" t="s">
        <v>110</v>
      </c>
      <c r="J139" s="874" t="s">
        <v>227</v>
      </c>
      <c r="K139" s="875"/>
      <c r="L139" s="876"/>
    </row>
    <row r="140" spans="1:12">
      <c r="A140" s="62"/>
      <c r="B140" s="240">
        <v>1</v>
      </c>
      <c r="C140" s="282"/>
      <c r="D140" s="338"/>
      <c r="E140" s="237">
        <v>2</v>
      </c>
      <c r="F140" s="118"/>
      <c r="G140" s="868"/>
      <c r="H140" s="851"/>
      <c r="I140" s="338">
        <v>3</v>
      </c>
      <c r="J140" s="268" t="s">
        <v>228</v>
      </c>
      <c r="K140" s="877">
        <v>4</v>
      </c>
      <c r="L140" s="878"/>
    </row>
    <row r="141" spans="1:12">
      <c r="A141" s="62"/>
      <c r="B141" s="158"/>
      <c r="C141" s="282"/>
      <c r="D141" s="338"/>
      <c r="E141" s="237"/>
      <c r="F141" s="118"/>
      <c r="G141" s="868"/>
      <c r="H141" s="851"/>
      <c r="I141" s="264"/>
      <c r="J141" s="267"/>
      <c r="K141" s="868"/>
      <c r="L141" s="852"/>
    </row>
    <row r="142" spans="1:12">
      <c r="A142" s="62"/>
      <c r="B142" s="158"/>
      <c r="C142" s="282"/>
      <c r="D142" s="338"/>
      <c r="E142" s="237"/>
      <c r="F142" s="118"/>
      <c r="G142" s="868"/>
      <c r="H142" s="851"/>
      <c r="I142" s="264"/>
      <c r="J142" s="267"/>
      <c r="K142" s="868"/>
      <c r="L142" s="852"/>
    </row>
    <row r="143" spans="1:12">
      <c r="A143" s="62"/>
      <c r="B143" s="158"/>
      <c r="C143" s="282"/>
      <c r="D143" s="338"/>
      <c r="E143" s="237"/>
      <c r="F143" s="118"/>
      <c r="G143" s="868"/>
      <c r="H143" s="851"/>
      <c r="I143" s="264"/>
      <c r="J143" s="267"/>
      <c r="K143" s="868"/>
      <c r="L143" s="852"/>
    </row>
    <row r="144" spans="1:12">
      <c r="A144" s="62"/>
      <c r="B144" s="127"/>
      <c r="C144" s="282"/>
      <c r="D144" s="338"/>
      <c r="E144" s="237"/>
      <c r="F144" s="118"/>
      <c r="G144" s="868"/>
      <c r="H144" s="851"/>
      <c r="I144" s="264"/>
      <c r="J144" s="267"/>
      <c r="K144" s="868"/>
      <c r="L144" s="852"/>
    </row>
    <row r="145" spans="1:12">
      <c r="A145" s="62"/>
      <c r="B145" s="47" t="s">
        <v>232</v>
      </c>
      <c r="C145" s="47"/>
      <c r="D145" s="47"/>
      <c r="E145" s="47"/>
      <c r="F145" s="47"/>
      <c r="G145" s="47"/>
      <c r="H145" s="47"/>
      <c r="I145" s="47"/>
      <c r="J145" s="47"/>
      <c r="K145" s="47"/>
      <c r="L145" s="63"/>
    </row>
    <row r="146" spans="1:12">
      <c r="A146" s="62"/>
      <c r="B146" s="47" t="s">
        <v>233</v>
      </c>
      <c r="C146" s="47"/>
      <c r="D146" s="47"/>
      <c r="E146" s="47"/>
      <c r="F146" s="47"/>
      <c r="G146" s="47"/>
      <c r="H146" s="47"/>
      <c r="I146" s="47"/>
      <c r="J146" s="47"/>
      <c r="K146" s="47"/>
      <c r="L146" s="63"/>
    </row>
    <row r="147" spans="1:12">
      <c r="A147" s="62"/>
      <c r="B147" s="47" t="s">
        <v>234</v>
      </c>
      <c r="C147" s="47"/>
      <c r="D147" s="47"/>
      <c r="E147" s="47"/>
      <c r="F147" s="47"/>
      <c r="G147" s="47"/>
      <c r="H147" s="47"/>
      <c r="I147" s="47"/>
      <c r="J147" s="47"/>
      <c r="K147" s="47"/>
      <c r="L147" s="63"/>
    </row>
    <row r="148" spans="1:12">
      <c r="A148" s="62"/>
      <c r="B148" s="269" t="s">
        <v>235</v>
      </c>
      <c r="C148" s="47"/>
      <c r="D148" s="47"/>
      <c r="E148" s="47"/>
      <c r="F148" s="47"/>
      <c r="G148" s="47"/>
      <c r="H148" s="47"/>
      <c r="I148" s="47"/>
      <c r="J148" s="47"/>
      <c r="K148" s="47"/>
      <c r="L148" s="63"/>
    </row>
    <row r="149" spans="1:12">
      <c r="A149" s="62"/>
      <c r="B149" s="263" t="s">
        <v>229</v>
      </c>
      <c r="C149" s="118"/>
      <c r="D149" s="118"/>
      <c r="E149" s="118"/>
      <c r="F149" s="119"/>
      <c r="G149" s="263" t="s">
        <v>205</v>
      </c>
      <c r="H149" s="119"/>
      <c r="I149" s="263" t="s">
        <v>230</v>
      </c>
      <c r="J149" s="118"/>
      <c r="K149" s="119"/>
      <c r="L149" s="63"/>
    </row>
    <row r="150" spans="1:12">
      <c r="A150" s="62"/>
      <c r="B150" s="853"/>
      <c r="C150" s="867"/>
      <c r="D150" s="867"/>
      <c r="E150" s="867"/>
      <c r="F150" s="854"/>
      <c r="G150" s="853"/>
      <c r="H150" s="854"/>
      <c r="I150" s="853"/>
      <c r="J150" s="867"/>
      <c r="K150" s="854"/>
      <c r="L150" s="63"/>
    </row>
    <row r="151" spans="1:12">
      <c r="A151" s="62"/>
      <c r="B151" s="853"/>
      <c r="C151" s="867"/>
      <c r="D151" s="867"/>
      <c r="E151" s="867"/>
      <c r="F151" s="854"/>
      <c r="G151" s="853"/>
      <c r="H151" s="854"/>
      <c r="I151" s="853"/>
      <c r="J151" s="867"/>
      <c r="K151" s="854"/>
      <c r="L151" s="63"/>
    </row>
    <row r="152" spans="1:12">
      <c r="A152" s="62"/>
      <c r="B152" s="853"/>
      <c r="C152" s="867"/>
      <c r="D152" s="867"/>
      <c r="E152" s="867"/>
      <c r="F152" s="854"/>
      <c r="G152" s="853"/>
      <c r="H152" s="854"/>
      <c r="I152" s="853"/>
      <c r="J152" s="867"/>
      <c r="K152" s="854"/>
      <c r="L152" s="63"/>
    </row>
    <row r="153" spans="1:12">
      <c r="A153" s="62"/>
      <c r="B153" s="853"/>
      <c r="C153" s="867"/>
      <c r="D153" s="867"/>
      <c r="E153" s="867"/>
      <c r="F153" s="854"/>
      <c r="G153" s="853"/>
      <c r="H153" s="854"/>
      <c r="I153" s="853"/>
      <c r="J153" s="867"/>
      <c r="K153" s="854"/>
      <c r="L153" s="63"/>
    </row>
    <row r="154" spans="1:12" ht="27.95" customHeight="1">
      <c r="A154" s="62"/>
      <c r="B154" s="47"/>
      <c r="C154" s="47"/>
      <c r="D154" s="47"/>
      <c r="E154" s="47"/>
      <c r="F154" s="47"/>
      <c r="G154" s="47"/>
      <c r="H154" s="47"/>
      <c r="I154" s="47"/>
      <c r="J154" s="47"/>
      <c r="K154" s="47"/>
      <c r="L154" s="63"/>
    </row>
    <row r="155" spans="1:12" ht="27.95" customHeight="1">
      <c r="A155" s="62"/>
      <c r="B155" s="47" t="s">
        <v>202</v>
      </c>
      <c r="C155" s="389" t="e">
        <f>'PUNJAB 04-22Master'!#REF!</f>
        <v>#REF!</v>
      </c>
      <c r="D155" s="47"/>
      <c r="E155" s="47"/>
      <c r="F155" s="47"/>
      <c r="G155" s="47"/>
      <c r="H155" s="47"/>
      <c r="I155" s="47" t="s">
        <v>231</v>
      </c>
      <c r="J155" s="47"/>
      <c r="K155" s="47"/>
      <c r="L155" s="63"/>
    </row>
    <row r="156" spans="1:12" ht="27.95" customHeight="1">
      <c r="A156" s="62"/>
      <c r="B156" s="47"/>
      <c r="C156" s="47"/>
      <c r="D156" s="47"/>
      <c r="E156" s="47"/>
      <c r="F156" s="248" t="s">
        <v>197</v>
      </c>
      <c r="G156" s="47"/>
      <c r="H156" s="47"/>
      <c r="I156" s="47"/>
      <c r="J156" s="47"/>
      <c r="K156" s="47"/>
      <c r="L156" s="63"/>
    </row>
    <row r="157" spans="1:12" ht="27.95" customHeight="1">
      <c r="A157" s="62" t="s">
        <v>198</v>
      </c>
      <c r="B157" s="47"/>
      <c r="C157" s="47"/>
      <c r="D157" s="47"/>
      <c r="E157" s="47"/>
      <c r="F157" s="47"/>
      <c r="G157" s="47"/>
      <c r="H157" s="47"/>
      <c r="I157" s="47"/>
      <c r="J157" s="47"/>
      <c r="K157" s="47"/>
      <c r="L157" s="63"/>
    </row>
    <row r="158" spans="1:12" ht="27.95" customHeight="1">
      <c r="A158" s="62" t="s">
        <v>199</v>
      </c>
      <c r="B158" s="47"/>
      <c r="C158" s="47"/>
      <c r="D158" s="47"/>
      <c r="E158" s="47"/>
      <c r="F158" s="47"/>
      <c r="G158" s="47"/>
      <c r="H158" s="47"/>
      <c r="I158" s="47"/>
      <c r="J158" s="47"/>
      <c r="K158" s="47"/>
      <c r="L158" s="63"/>
    </row>
    <row r="159" spans="1:12" ht="27.95" customHeight="1">
      <c r="A159" s="62"/>
      <c r="B159" s="47"/>
      <c r="C159" s="47"/>
      <c r="D159" s="47"/>
      <c r="E159" s="47"/>
      <c r="F159" s="47"/>
      <c r="G159" s="47"/>
      <c r="H159" s="47"/>
      <c r="I159" s="47"/>
      <c r="J159" s="47"/>
      <c r="K159" s="47"/>
      <c r="L159" s="63"/>
    </row>
    <row r="160" spans="1:12" ht="27.95" customHeight="1">
      <c r="A160" s="62"/>
      <c r="B160" s="47"/>
      <c r="C160" s="47"/>
      <c r="D160" s="47"/>
      <c r="E160" s="47"/>
      <c r="F160" s="47" t="s">
        <v>200</v>
      </c>
      <c r="G160" s="47"/>
      <c r="H160" s="47"/>
      <c r="I160" s="47"/>
      <c r="J160" s="47"/>
      <c r="K160" s="47"/>
      <c r="L160" s="63"/>
    </row>
    <row r="161" spans="1:12" ht="27.95" customHeight="1">
      <c r="A161" s="62" t="s">
        <v>201</v>
      </c>
      <c r="B161" s="47" t="s">
        <v>364</v>
      </c>
      <c r="C161" s="47"/>
      <c r="D161" s="47"/>
      <c r="E161" s="47"/>
      <c r="F161" s="47" t="str">
        <f>'PUNJAB 04-22Master'!F5</f>
        <v>Burgeon IT Services Pvt.Ltd.</v>
      </c>
      <c r="G161" s="47"/>
      <c r="H161" s="47"/>
      <c r="I161" s="47"/>
      <c r="J161" s="47"/>
      <c r="K161" s="47"/>
      <c r="L161" s="63"/>
    </row>
    <row r="162" spans="1:12" ht="27.95" customHeight="1" thickBot="1">
      <c r="A162" s="76" t="s">
        <v>202</v>
      </c>
      <c r="B162" s="393" t="e">
        <f>'PUNJAB 04-22Master'!#REF!</f>
        <v>#REF!</v>
      </c>
      <c r="C162" s="74"/>
      <c r="D162" s="74"/>
      <c r="E162" s="74"/>
      <c r="F162" s="249" t="str">
        <f>'PUNJAB 04-22Master'!F6</f>
        <v>Siri Mansion LIGB 436 Dr.A S Rao Nagar,Hyderabad</v>
      </c>
      <c r="G162" s="249"/>
      <c r="H162" s="249"/>
      <c r="I162" s="249"/>
      <c r="J162" s="249"/>
      <c r="K162" s="249"/>
      <c r="L162" s="75"/>
    </row>
    <row r="163" spans="1:12" ht="27.95" customHeight="1">
      <c r="A163" s="174"/>
      <c r="B163" s="141"/>
      <c r="C163" s="141"/>
      <c r="D163" s="255"/>
      <c r="E163" s="255"/>
      <c r="F163" s="255"/>
      <c r="G163" s="255"/>
      <c r="H163" s="255"/>
      <c r="I163" s="255"/>
      <c r="J163" s="141"/>
      <c r="K163" s="257" t="s">
        <v>216</v>
      </c>
      <c r="L163" s="256"/>
    </row>
    <row r="164" spans="1:12" ht="27.95" customHeight="1">
      <c r="A164" s="62"/>
      <c r="B164" s="869" t="s">
        <v>215</v>
      </c>
      <c r="C164" s="869"/>
      <c r="D164" s="869"/>
      <c r="E164" s="869"/>
      <c r="F164" s="869"/>
      <c r="G164" s="869"/>
      <c r="H164" s="869"/>
      <c r="I164" s="869"/>
      <c r="J164" s="869"/>
      <c r="K164" s="869"/>
      <c r="L164" s="870"/>
    </row>
    <row r="165" spans="1:12" ht="27.95" customHeight="1">
      <c r="A165" s="62"/>
      <c r="B165" s="864" t="s">
        <v>217</v>
      </c>
      <c r="C165" s="864"/>
      <c r="D165" s="864"/>
      <c r="E165" s="864"/>
      <c r="F165" s="864"/>
      <c r="G165" s="864"/>
      <c r="H165" s="864"/>
      <c r="I165" s="864"/>
      <c r="J165" s="864"/>
      <c r="K165" s="864"/>
      <c r="L165" s="871"/>
    </row>
    <row r="166" spans="1:12" ht="27.95" customHeight="1">
      <c r="A166" s="62"/>
      <c r="B166" s="260" t="s">
        <v>218</v>
      </c>
      <c r="C166" s="258"/>
      <c r="D166" s="258"/>
      <c r="E166" s="258"/>
      <c r="F166" s="258"/>
      <c r="G166" s="47"/>
      <c r="H166" s="259"/>
      <c r="I166" s="259"/>
      <c r="J166" s="259"/>
      <c r="K166" s="259"/>
      <c r="L166" s="270"/>
    </row>
    <row r="167" spans="1:12" ht="27.95" customHeight="1">
      <c r="A167" s="62"/>
      <c r="B167" s="258"/>
      <c r="C167" s="258"/>
      <c r="D167" s="258"/>
      <c r="E167" s="258"/>
      <c r="F167" s="258"/>
      <c r="G167" s="47"/>
      <c r="H167" s="259"/>
      <c r="I167" s="259"/>
      <c r="J167" s="259"/>
      <c r="K167" s="259"/>
      <c r="L167" s="270"/>
    </row>
    <row r="168" spans="1:12" ht="27.95" customHeight="1">
      <c r="A168" s="62"/>
      <c r="B168" s="762" t="s">
        <v>188</v>
      </c>
      <c r="C168" s="762"/>
      <c r="D168" s="762"/>
      <c r="E168" s="762"/>
      <c r="F168" s="762"/>
      <c r="G168" s="762"/>
      <c r="H168" s="750" t="e">
        <f>'PUNJAB 04-22Master'!#REF!</f>
        <v>#REF!</v>
      </c>
      <c r="I168" s="751"/>
      <c r="J168" s="751"/>
      <c r="K168" s="751"/>
      <c r="L168" s="752"/>
    </row>
    <row r="169" spans="1:12" ht="27.95" customHeight="1">
      <c r="A169" s="62"/>
      <c r="B169" s="753" t="s">
        <v>189</v>
      </c>
      <c r="C169" s="753"/>
      <c r="D169" s="753"/>
      <c r="E169" s="753"/>
      <c r="F169" s="753"/>
      <c r="G169" s="753"/>
      <c r="H169" s="750" t="e">
        <f>'PUNJAB 04-22Master'!#REF!</f>
        <v>#REF!</v>
      </c>
      <c r="I169" s="751"/>
      <c r="J169" s="751"/>
      <c r="K169" s="751"/>
      <c r="L169" s="752"/>
    </row>
    <row r="170" spans="1:12" ht="27.95" customHeight="1">
      <c r="A170" s="62"/>
      <c r="B170" s="762" t="s">
        <v>190</v>
      </c>
      <c r="C170" s="762"/>
      <c r="D170" s="762"/>
      <c r="E170" s="762"/>
      <c r="F170" s="762"/>
      <c r="G170" s="762"/>
      <c r="H170" s="750" t="e">
        <f>'PUNJAB 04-22Master'!#REF!</f>
        <v>#REF!</v>
      </c>
      <c r="I170" s="751"/>
      <c r="J170" s="751"/>
      <c r="K170" s="751"/>
      <c r="L170" s="752"/>
    </row>
    <row r="171" spans="1:12" ht="27.95" customHeight="1">
      <c r="A171" s="62"/>
      <c r="B171" s="762" t="s">
        <v>191</v>
      </c>
      <c r="C171" s="762"/>
      <c r="D171" s="762"/>
      <c r="E171" s="762"/>
      <c r="F171" s="762"/>
      <c r="G171" s="762"/>
      <c r="H171" s="855" t="e">
        <f>'PUNJAB 04-22Master'!#REF!</f>
        <v>#REF!</v>
      </c>
      <c r="I171" s="751"/>
      <c r="J171" s="751"/>
      <c r="K171" s="751"/>
      <c r="L171" s="752"/>
    </row>
    <row r="172" spans="1:12">
      <c r="A172" s="62"/>
      <c r="B172" s="158" t="s">
        <v>192</v>
      </c>
      <c r="C172" s="283"/>
      <c r="D172" s="283"/>
      <c r="E172" s="283"/>
      <c r="F172" s="283"/>
      <c r="G172" s="283"/>
      <c r="H172" s="856" t="s">
        <v>193</v>
      </c>
      <c r="I172" s="857"/>
      <c r="J172" s="857"/>
      <c r="K172" s="857"/>
      <c r="L172" s="858"/>
    </row>
    <row r="173" spans="1:12">
      <c r="A173" s="62"/>
      <c r="B173" s="158" t="s">
        <v>194</v>
      </c>
      <c r="C173" s="283"/>
      <c r="D173" s="283"/>
      <c r="E173" s="283"/>
      <c r="F173" s="283"/>
      <c r="G173" s="283"/>
      <c r="H173" s="337"/>
      <c r="I173" s="338"/>
      <c r="J173" s="244"/>
      <c r="K173" s="338"/>
      <c r="L173" s="342"/>
    </row>
    <row r="174" spans="1:12">
      <c r="A174" s="62"/>
      <c r="B174" s="773" t="s">
        <v>195</v>
      </c>
      <c r="C174" s="773"/>
      <c r="D174" s="773"/>
      <c r="E174" s="773"/>
      <c r="F174" s="773"/>
      <c r="G174" s="773"/>
      <c r="H174" s="767" t="e">
        <f>'PUNJAB 04-22Master'!#REF!</f>
        <v>#REF!</v>
      </c>
      <c r="I174" s="768"/>
      <c r="J174" s="768"/>
      <c r="K174" s="768"/>
      <c r="L174" s="769"/>
    </row>
    <row r="175" spans="1:12">
      <c r="A175" s="62"/>
      <c r="B175" s="762"/>
      <c r="C175" s="762"/>
      <c r="D175" s="762"/>
      <c r="E175" s="762"/>
      <c r="F175" s="762"/>
      <c r="G175" s="762"/>
      <c r="H175" s="763" t="e">
        <f>'PUNJAB 04-22Master'!#REF!</f>
        <v>#REF!</v>
      </c>
      <c r="I175" s="751"/>
      <c r="J175" s="751"/>
      <c r="K175" s="751"/>
      <c r="L175" s="752"/>
    </row>
    <row r="176" spans="1:12">
      <c r="A176" s="62"/>
      <c r="B176" s="762"/>
      <c r="C176" s="762"/>
      <c r="D176" s="762"/>
      <c r="E176" s="762"/>
      <c r="F176" s="762"/>
      <c r="G176" s="762"/>
      <c r="H176" s="750" t="e">
        <f>'PUNJAB 04-22Master'!#REF!</f>
        <v>#REF!</v>
      </c>
      <c r="I176" s="751"/>
      <c r="J176" s="751"/>
      <c r="K176" s="751"/>
      <c r="L176" s="752"/>
    </row>
    <row r="177" spans="1:12">
      <c r="A177" s="62"/>
      <c r="B177" s="144"/>
      <c r="C177" s="144"/>
      <c r="D177" s="144"/>
      <c r="E177" s="144"/>
      <c r="F177" s="47"/>
      <c r="G177" s="152" t="s">
        <v>219</v>
      </c>
      <c r="H177" s="152"/>
      <c r="I177" s="152"/>
      <c r="J177" s="152"/>
      <c r="K177" s="152"/>
      <c r="L177" s="153"/>
    </row>
    <row r="178" spans="1:12">
      <c r="A178" s="62"/>
      <c r="B178" s="251" t="s">
        <v>203</v>
      </c>
      <c r="C178" s="344"/>
      <c r="D178" s="344"/>
      <c r="E178" s="344"/>
      <c r="F178" s="344"/>
      <c r="G178" s="344"/>
      <c r="H178" s="347"/>
      <c r="I178" s="347"/>
      <c r="J178" s="347"/>
      <c r="K178" s="347"/>
      <c r="L178" s="254"/>
    </row>
    <row r="179" spans="1:12">
      <c r="A179" s="62"/>
      <c r="B179" s="251" t="s">
        <v>204</v>
      </c>
      <c r="C179" s="344"/>
      <c r="D179" s="344"/>
      <c r="E179" s="344"/>
      <c r="F179" s="344"/>
      <c r="G179" s="344"/>
      <c r="H179" s="347"/>
      <c r="I179" s="347"/>
      <c r="J179" s="345"/>
      <c r="K179" s="347"/>
      <c r="L179" s="254"/>
    </row>
    <row r="180" spans="1:12" ht="45">
      <c r="A180" s="157"/>
      <c r="B180" s="158" t="s">
        <v>207</v>
      </c>
      <c r="C180" s="283"/>
      <c r="D180" s="339"/>
      <c r="E180" s="341" t="s">
        <v>209</v>
      </c>
      <c r="F180" s="119"/>
      <c r="G180" s="850" t="s">
        <v>208</v>
      </c>
      <c r="H180" s="851"/>
      <c r="I180" s="235" t="s">
        <v>205</v>
      </c>
      <c r="J180" s="239" t="s">
        <v>210</v>
      </c>
      <c r="K180" s="850" t="s">
        <v>206</v>
      </c>
      <c r="L180" s="852"/>
    </row>
    <row r="181" spans="1:12">
      <c r="A181" s="157"/>
      <c r="B181" s="240">
        <v>1</v>
      </c>
      <c r="C181" s="283"/>
      <c r="D181" s="283"/>
      <c r="E181" s="243">
        <v>2</v>
      </c>
      <c r="F181" s="284"/>
      <c r="G181" s="243">
        <v>3</v>
      </c>
      <c r="H181" s="339"/>
      <c r="I181" s="339">
        <v>4</v>
      </c>
      <c r="J181" s="328">
        <v>5</v>
      </c>
      <c r="K181" s="159"/>
      <c r="L181" s="160">
        <v>6</v>
      </c>
    </row>
    <row r="182" spans="1:12">
      <c r="A182" s="157"/>
      <c r="B182" s="158" t="e">
        <f>'PUNJAB 04-22Master'!#REF!</f>
        <v>#REF!</v>
      </c>
      <c r="C182" s="261"/>
      <c r="D182" s="262"/>
      <c r="E182" s="263" t="s">
        <v>368</v>
      </c>
      <c r="F182" s="262"/>
      <c r="G182" s="263" t="s">
        <v>366</v>
      </c>
      <c r="H182" s="119"/>
      <c r="I182" s="30" t="s">
        <v>369</v>
      </c>
      <c r="J182" s="390">
        <v>1</v>
      </c>
      <c r="K182" s="264" t="s">
        <v>37</v>
      </c>
      <c r="L182" s="271"/>
    </row>
    <row r="183" spans="1:12">
      <c r="A183" s="157"/>
      <c r="B183" s="158"/>
      <c r="C183" s="261"/>
      <c r="D183" s="262"/>
      <c r="E183" s="263"/>
      <c r="F183" s="262"/>
      <c r="G183" s="263"/>
      <c r="H183" s="119"/>
      <c r="I183" s="30"/>
      <c r="J183" s="30"/>
      <c r="K183" s="264"/>
      <c r="L183" s="271"/>
    </row>
    <row r="184" spans="1:12">
      <c r="A184" s="157"/>
      <c r="B184" s="158"/>
      <c r="C184" s="261"/>
      <c r="D184" s="262"/>
      <c r="E184" s="263"/>
      <c r="F184" s="262"/>
      <c r="G184" s="263"/>
      <c r="H184" s="119"/>
      <c r="I184" s="30"/>
      <c r="J184" s="30"/>
      <c r="K184" s="264"/>
      <c r="L184" s="271"/>
    </row>
    <row r="185" spans="1:12">
      <c r="A185" s="157"/>
      <c r="B185" s="127"/>
      <c r="C185" s="68"/>
      <c r="D185" s="128"/>
      <c r="E185" s="263"/>
      <c r="F185" s="262"/>
      <c r="G185" s="263"/>
      <c r="H185" s="119"/>
      <c r="I185" s="30"/>
      <c r="J185" s="30"/>
      <c r="K185" s="264"/>
      <c r="L185" s="271"/>
    </row>
    <row r="186" spans="1:12">
      <c r="A186" s="157"/>
      <c r="B186" s="47" t="s">
        <v>211</v>
      </c>
      <c r="C186" s="47"/>
      <c r="D186" s="47"/>
      <c r="E186" s="47"/>
      <c r="F186" s="47"/>
      <c r="G186" s="47"/>
      <c r="H186" s="47"/>
      <c r="I186" s="47"/>
      <c r="J186" s="47"/>
      <c r="K186" s="47"/>
      <c r="L186" s="63"/>
    </row>
    <row r="187" spans="1:12">
      <c r="A187" s="62"/>
      <c r="B187" s="47" t="s">
        <v>212</v>
      </c>
      <c r="C187" s="47"/>
      <c r="D187" s="47"/>
      <c r="E187" s="47"/>
      <c r="F187" s="47"/>
      <c r="G187" s="47"/>
      <c r="H187" s="47"/>
      <c r="I187" s="47"/>
      <c r="J187" s="47"/>
      <c r="K187" s="47"/>
      <c r="L187" s="63"/>
    </row>
    <row r="188" spans="1:12">
      <c r="A188" s="62"/>
      <c r="B188" s="47" t="s">
        <v>223</v>
      </c>
      <c r="C188" s="47"/>
      <c r="D188" s="47"/>
      <c r="E188" s="47"/>
      <c r="F188" s="47"/>
      <c r="G188" s="47"/>
      <c r="H188" s="47"/>
      <c r="I188" s="47"/>
      <c r="J188" s="47" t="s">
        <v>222</v>
      </c>
      <c r="K188" s="47"/>
      <c r="L188" s="63"/>
    </row>
    <row r="189" spans="1:12">
      <c r="A189" s="62"/>
      <c r="B189" s="144"/>
      <c r="C189" s="144"/>
      <c r="D189" s="144"/>
      <c r="E189" s="144"/>
      <c r="F189" s="47"/>
      <c r="G189" s="152" t="s">
        <v>220</v>
      </c>
      <c r="H189" s="152"/>
      <c r="I189" s="152"/>
      <c r="J189" s="152"/>
      <c r="K189" s="152"/>
      <c r="L189" s="153"/>
    </row>
    <row r="190" spans="1:12">
      <c r="A190" s="62"/>
      <c r="B190" s="152"/>
      <c r="C190" s="144"/>
      <c r="D190" s="144"/>
      <c r="E190" s="144"/>
      <c r="F190" s="144"/>
      <c r="G190" s="47" t="s">
        <v>221</v>
      </c>
      <c r="H190" s="152"/>
      <c r="I190" s="152"/>
      <c r="J190" s="152"/>
      <c r="K190" s="152"/>
      <c r="L190" s="153"/>
    </row>
    <row r="191" spans="1:12">
      <c r="A191" s="62"/>
      <c r="B191" s="251" t="s">
        <v>224</v>
      </c>
      <c r="C191" s="344"/>
      <c r="D191" s="344"/>
      <c r="E191" s="344"/>
      <c r="F191" s="344"/>
      <c r="G191" s="344"/>
      <c r="H191" s="347"/>
      <c r="I191" s="347"/>
      <c r="J191" s="347"/>
      <c r="K191" s="347"/>
      <c r="L191" s="254"/>
    </row>
    <row r="192" spans="1:12">
      <c r="A192" s="62"/>
      <c r="B192" s="251" t="s">
        <v>225</v>
      </c>
      <c r="C192" s="344"/>
      <c r="D192" s="344"/>
      <c r="E192" s="344"/>
      <c r="F192" s="344"/>
      <c r="G192" s="344"/>
      <c r="H192" s="347"/>
      <c r="I192" s="347"/>
      <c r="J192" s="345"/>
      <c r="K192" s="347"/>
      <c r="L192" s="254"/>
    </row>
    <row r="193" spans="1:12">
      <c r="A193" s="62"/>
      <c r="B193" s="158" t="s">
        <v>5</v>
      </c>
      <c r="C193" s="872" t="s">
        <v>226</v>
      </c>
      <c r="D193" s="848"/>
      <c r="E193" s="848"/>
      <c r="F193" s="848"/>
      <c r="G193" s="848"/>
      <c r="H193" s="873"/>
      <c r="I193" s="335" t="s">
        <v>110</v>
      </c>
      <c r="J193" s="874" t="s">
        <v>227</v>
      </c>
      <c r="K193" s="875"/>
      <c r="L193" s="876"/>
    </row>
    <row r="194" spans="1:12">
      <c r="A194" s="62"/>
      <c r="B194" s="240">
        <v>1</v>
      </c>
      <c r="C194" s="282"/>
      <c r="D194" s="338"/>
      <c r="E194" s="237">
        <v>2</v>
      </c>
      <c r="F194" s="118"/>
      <c r="G194" s="868"/>
      <c r="H194" s="851"/>
      <c r="I194" s="338">
        <v>3</v>
      </c>
      <c r="J194" s="268" t="s">
        <v>228</v>
      </c>
      <c r="K194" s="877">
        <v>4</v>
      </c>
      <c r="L194" s="878"/>
    </row>
    <row r="195" spans="1:12">
      <c r="A195" s="62"/>
      <c r="B195" s="158"/>
      <c r="C195" s="282"/>
      <c r="D195" s="338"/>
      <c r="E195" s="237"/>
      <c r="F195" s="118"/>
      <c r="G195" s="868"/>
      <c r="H195" s="851"/>
      <c r="I195" s="264"/>
      <c r="J195" s="267"/>
      <c r="K195" s="868"/>
      <c r="L195" s="852"/>
    </row>
    <row r="196" spans="1:12">
      <c r="A196" s="62"/>
      <c r="B196" s="158"/>
      <c r="C196" s="282"/>
      <c r="D196" s="338"/>
      <c r="E196" s="237"/>
      <c r="F196" s="118"/>
      <c r="G196" s="868"/>
      <c r="H196" s="851"/>
      <c r="I196" s="264"/>
      <c r="J196" s="267"/>
      <c r="K196" s="868"/>
      <c r="L196" s="852"/>
    </row>
    <row r="197" spans="1:12">
      <c r="A197" s="62"/>
      <c r="B197" s="158"/>
      <c r="C197" s="282"/>
      <c r="D197" s="338"/>
      <c r="E197" s="237"/>
      <c r="F197" s="118"/>
      <c r="G197" s="868"/>
      <c r="H197" s="851"/>
      <c r="I197" s="264"/>
      <c r="J197" s="267"/>
      <c r="K197" s="868"/>
      <c r="L197" s="852"/>
    </row>
    <row r="198" spans="1:12">
      <c r="A198" s="62"/>
      <c r="B198" s="127"/>
      <c r="C198" s="282"/>
      <c r="D198" s="338"/>
      <c r="E198" s="237"/>
      <c r="F198" s="118"/>
      <c r="G198" s="868"/>
      <c r="H198" s="851"/>
      <c r="I198" s="264"/>
      <c r="J198" s="267"/>
      <c r="K198" s="868"/>
      <c r="L198" s="852"/>
    </row>
    <row r="199" spans="1:12">
      <c r="A199" s="62"/>
      <c r="B199" s="47" t="s">
        <v>232</v>
      </c>
      <c r="C199" s="47"/>
      <c r="D199" s="47"/>
      <c r="E199" s="47"/>
      <c r="F199" s="47"/>
      <c r="G199" s="47"/>
      <c r="H199" s="47"/>
      <c r="I199" s="47"/>
      <c r="J199" s="47"/>
      <c r="K199" s="47"/>
      <c r="L199" s="63"/>
    </row>
    <row r="200" spans="1:12">
      <c r="A200" s="62"/>
      <c r="B200" s="47" t="s">
        <v>233</v>
      </c>
      <c r="C200" s="47"/>
      <c r="D200" s="47"/>
      <c r="E200" s="47"/>
      <c r="F200" s="47"/>
      <c r="G200" s="47"/>
      <c r="H200" s="47"/>
      <c r="I200" s="47"/>
      <c r="J200" s="47"/>
      <c r="K200" s="47"/>
      <c r="L200" s="63"/>
    </row>
    <row r="201" spans="1:12">
      <c r="A201" s="62"/>
      <c r="B201" s="47" t="s">
        <v>234</v>
      </c>
      <c r="C201" s="47"/>
      <c r="D201" s="47"/>
      <c r="E201" s="47"/>
      <c r="F201" s="47"/>
      <c r="G201" s="47"/>
      <c r="H201" s="47"/>
      <c r="I201" s="47"/>
      <c r="J201" s="47"/>
      <c r="K201" s="47"/>
      <c r="L201" s="63"/>
    </row>
    <row r="202" spans="1:12">
      <c r="A202" s="62"/>
      <c r="B202" s="269" t="s">
        <v>235</v>
      </c>
      <c r="C202" s="47"/>
      <c r="D202" s="47"/>
      <c r="E202" s="47"/>
      <c r="F202" s="47"/>
      <c r="G202" s="47"/>
      <c r="H202" s="47"/>
      <c r="I202" s="47"/>
      <c r="J202" s="47"/>
      <c r="K202" s="47"/>
      <c r="L202" s="63"/>
    </row>
    <row r="203" spans="1:12">
      <c r="A203" s="62"/>
      <c r="B203" s="263" t="s">
        <v>229</v>
      </c>
      <c r="C203" s="118"/>
      <c r="D203" s="118"/>
      <c r="E203" s="118"/>
      <c r="F203" s="119"/>
      <c r="G203" s="263" t="s">
        <v>205</v>
      </c>
      <c r="H203" s="119"/>
      <c r="I203" s="263" t="s">
        <v>230</v>
      </c>
      <c r="J203" s="118"/>
      <c r="K203" s="119"/>
      <c r="L203" s="63"/>
    </row>
    <row r="204" spans="1:12">
      <c r="A204" s="62"/>
      <c r="B204" s="853"/>
      <c r="C204" s="867"/>
      <c r="D204" s="867"/>
      <c r="E204" s="867"/>
      <c r="F204" s="854"/>
      <c r="G204" s="853"/>
      <c r="H204" s="854"/>
      <c r="I204" s="853"/>
      <c r="J204" s="867"/>
      <c r="K204" s="854"/>
      <c r="L204" s="63"/>
    </row>
    <row r="205" spans="1:12">
      <c r="A205" s="62"/>
      <c r="B205" s="853"/>
      <c r="C205" s="867"/>
      <c r="D205" s="867"/>
      <c r="E205" s="867"/>
      <c r="F205" s="854"/>
      <c r="G205" s="853"/>
      <c r="H205" s="854"/>
      <c r="I205" s="853"/>
      <c r="J205" s="867"/>
      <c r="K205" s="854"/>
      <c r="L205" s="63"/>
    </row>
    <row r="206" spans="1:12">
      <c r="A206" s="62"/>
      <c r="B206" s="853"/>
      <c r="C206" s="867"/>
      <c r="D206" s="867"/>
      <c r="E206" s="867"/>
      <c r="F206" s="854"/>
      <c r="G206" s="853"/>
      <c r="H206" s="854"/>
      <c r="I206" s="853"/>
      <c r="J206" s="867"/>
      <c r="K206" s="854"/>
      <c r="L206" s="63"/>
    </row>
    <row r="207" spans="1:12" ht="27.95" customHeight="1">
      <c r="A207" s="62"/>
      <c r="B207" s="853"/>
      <c r="C207" s="867"/>
      <c r="D207" s="867"/>
      <c r="E207" s="867"/>
      <c r="F207" s="854"/>
      <c r="G207" s="853"/>
      <c r="H207" s="854"/>
      <c r="I207" s="853"/>
      <c r="J207" s="867"/>
      <c r="K207" s="854"/>
      <c r="L207" s="63"/>
    </row>
    <row r="208" spans="1:12" ht="27.95" customHeight="1">
      <c r="A208" s="62"/>
      <c r="B208" s="47"/>
      <c r="C208" s="47"/>
      <c r="D208" s="47"/>
      <c r="E208" s="47"/>
      <c r="F208" s="47"/>
      <c r="G208" s="47"/>
      <c r="H208" s="47"/>
      <c r="I208" s="47"/>
      <c r="J208" s="47"/>
      <c r="K208" s="47"/>
      <c r="L208" s="63"/>
    </row>
    <row r="209" spans="1:12" ht="27.95" customHeight="1">
      <c r="A209" s="62"/>
      <c r="B209" s="47" t="s">
        <v>202</v>
      </c>
      <c r="C209" s="389" t="e">
        <f>'PUNJAB 04-22Master'!#REF!</f>
        <v>#REF!</v>
      </c>
      <c r="D209" s="47"/>
      <c r="E209" s="47"/>
      <c r="F209" s="47"/>
      <c r="G209" s="47"/>
      <c r="H209" s="47"/>
      <c r="I209" s="47" t="s">
        <v>231</v>
      </c>
      <c r="J209" s="47"/>
      <c r="K209" s="47"/>
      <c r="L209" s="63"/>
    </row>
    <row r="210" spans="1:12" ht="27.95" customHeight="1">
      <c r="A210" s="62"/>
      <c r="B210" s="47"/>
      <c r="C210" s="47"/>
      <c r="D210" s="47"/>
      <c r="E210" s="47"/>
      <c r="F210" s="248" t="s">
        <v>197</v>
      </c>
      <c r="G210" s="47"/>
      <c r="H210" s="47"/>
      <c r="I210" s="47"/>
      <c r="J210" s="47"/>
      <c r="K210" s="47"/>
      <c r="L210" s="63"/>
    </row>
    <row r="211" spans="1:12" ht="27.95" customHeight="1">
      <c r="A211" s="62" t="s">
        <v>198</v>
      </c>
      <c r="B211" s="47"/>
      <c r="C211" s="47"/>
      <c r="D211" s="47"/>
      <c r="E211" s="47"/>
      <c r="F211" s="47"/>
      <c r="G211" s="47"/>
      <c r="H211" s="47"/>
      <c r="I211" s="47"/>
      <c r="J211" s="47"/>
      <c r="K211" s="306" t="e">
        <f>'PUNJAB 04-22Master'!#REF!</f>
        <v>#REF!</v>
      </c>
      <c r="L211" s="63"/>
    </row>
    <row r="212" spans="1:12" ht="27.95" customHeight="1">
      <c r="A212" s="62" t="s">
        <v>199</v>
      </c>
      <c r="B212" s="47"/>
      <c r="C212" s="47"/>
      <c r="D212" s="47"/>
      <c r="E212" s="47"/>
      <c r="F212" s="47"/>
      <c r="G212" s="47"/>
      <c r="H212" s="47"/>
      <c r="I212" s="47"/>
      <c r="J212" s="47"/>
      <c r="K212" s="47"/>
      <c r="L212" s="63"/>
    </row>
    <row r="213" spans="1:12" ht="27.95" customHeight="1">
      <c r="A213" s="62"/>
      <c r="B213" s="47"/>
      <c r="C213" s="47"/>
      <c r="D213" s="47"/>
      <c r="E213" s="47"/>
      <c r="F213" s="47"/>
      <c r="G213" s="47"/>
      <c r="H213" s="47"/>
      <c r="I213" s="47"/>
      <c r="J213" s="47"/>
      <c r="K213" s="47"/>
      <c r="L213" s="63"/>
    </row>
    <row r="214" spans="1:12" ht="27.95" customHeight="1">
      <c r="A214" s="62"/>
      <c r="B214" s="47"/>
      <c r="C214" s="47"/>
      <c r="D214" s="47"/>
      <c r="E214" s="47"/>
      <c r="F214" s="47" t="s">
        <v>200</v>
      </c>
      <c r="G214" s="47"/>
      <c r="H214" s="47"/>
      <c r="I214" s="47"/>
      <c r="J214" s="47"/>
      <c r="K214" s="47"/>
      <c r="L214" s="63"/>
    </row>
    <row r="215" spans="1:12" ht="27.95" customHeight="1">
      <c r="A215" s="62" t="s">
        <v>201</v>
      </c>
      <c r="B215" s="47" t="s">
        <v>364</v>
      </c>
      <c r="C215" s="47"/>
      <c r="D215" s="47"/>
      <c r="E215" s="47"/>
      <c r="F215" s="47" t="str">
        <f>'PUNJAB 04-22Master'!F5</f>
        <v>Burgeon IT Services Pvt.Ltd.</v>
      </c>
      <c r="G215" s="47"/>
      <c r="H215" s="47"/>
      <c r="I215" s="47"/>
      <c r="J215" s="47"/>
      <c r="K215" s="47"/>
      <c r="L215" s="63"/>
    </row>
    <row r="216" spans="1:12" ht="27.95" customHeight="1" thickBot="1">
      <c r="A216" s="76" t="s">
        <v>202</v>
      </c>
      <c r="B216" s="393" t="e">
        <f>'PUNJAB 04-22Master'!#REF!</f>
        <v>#REF!</v>
      </c>
      <c r="C216" s="74"/>
      <c r="D216" s="74"/>
      <c r="E216" s="74"/>
      <c r="F216" s="249" t="str">
        <f>'PUNJAB 04-22Master'!F6</f>
        <v>Siri Mansion LIGB 436 Dr.A S Rao Nagar,Hyderabad</v>
      </c>
      <c r="G216" s="249"/>
      <c r="H216" s="249"/>
      <c r="I216" s="249"/>
      <c r="J216" s="249"/>
      <c r="K216" s="249"/>
      <c r="L216" s="75"/>
    </row>
    <row r="217" spans="1:12" ht="27.95" customHeight="1">
      <c r="A217" s="174"/>
      <c r="B217" s="141"/>
      <c r="C217" s="141"/>
      <c r="D217" s="255"/>
      <c r="E217" s="255"/>
      <c r="F217" s="255"/>
      <c r="G217" s="255"/>
      <c r="H217" s="255"/>
      <c r="I217" s="255"/>
      <c r="J217" s="141"/>
      <c r="K217" s="257" t="s">
        <v>216</v>
      </c>
      <c r="L217" s="256"/>
    </row>
    <row r="218" spans="1:12" ht="27.95" customHeight="1">
      <c r="A218" s="62"/>
      <c r="B218" s="869" t="s">
        <v>215</v>
      </c>
      <c r="C218" s="869"/>
      <c r="D218" s="869"/>
      <c r="E218" s="869"/>
      <c r="F218" s="869"/>
      <c r="G218" s="869"/>
      <c r="H218" s="869"/>
      <c r="I218" s="869"/>
      <c r="J218" s="869"/>
      <c r="K218" s="869"/>
      <c r="L218" s="870"/>
    </row>
    <row r="219" spans="1:12" ht="27.95" customHeight="1">
      <c r="A219" s="62"/>
      <c r="B219" s="864" t="s">
        <v>217</v>
      </c>
      <c r="C219" s="864"/>
      <c r="D219" s="864"/>
      <c r="E219" s="864"/>
      <c r="F219" s="864"/>
      <c r="G219" s="864"/>
      <c r="H219" s="864"/>
      <c r="I219" s="864"/>
      <c r="J219" s="864"/>
      <c r="K219" s="864"/>
      <c r="L219" s="871"/>
    </row>
    <row r="220" spans="1:12" ht="27.95" customHeight="1">
      <c r="A220" s="62"/>
      <c r="B220" s="260" t="s">
        <v>218</v>
      </c>
      <c r="C220" s="258"/>
      <c r="D220" s="258"/>
      <c r="E220" s="258"/>
      <c r="F220" s="258"/>
      <c r="G220" s="47"/>
      <c r="H220" s="259"/>
      <c r="I220" s="259"/>
      <c r="J220" s="259"/>
      <c r="K220" s="259"/>
      <c r="L220" s="270"/>
    </row>
    <row r="221" spans="1:12" ht="27.95" customHeight="1">
      <c r="A221" s="62"/>
      <c r="B221" s="258"/>
      <c r="C221" s="258"/>
      <c r="D221" s="258"/>
      <c r="E221" s="258"/>
      <c r="F221" s="258"/>
      <c r="G221" s="47"/>
      <c r="H221" s="259"/>
      <c r="I221" s="259"/>
      <c r="J221" s="259"/>
      <c r="K221" s="259"/>
      <c r="L221" s="270"/>
    </row>
    <row r="222" spans="1:12" ht="27.95" customHeight="1">
      <c r="A222" s="62"/>
      <c r="B222" s="762" t="s">
        <v>188</v>
      </c>
      <c r="C222" s="762"/>
      <c r="D222" s="762"/>
      <c r="E222" s="762"/>
      <c r="F222" s="762"/>
      <c r="G222" s="762"/>
      <c r="H222" s="750" t="e">
        <f>'PUNJAB 04-22Master'!#REF!</f>
        <v>#REF!</v>
      </c>
      <c r="I222" s="751"/>
      <c r="J222" s="751"/>
      <c r="K222" s="751"/>
      <c r="L222" s="752"/>
    </row>
    <row r="223" spans="1:12" ht="27.95" customHeight="1">
      <c r="A223" s="62"/>
      <c r="B223" s="753" t="s">
        <v>189</v>
      </c>
      <c r="C223" s="753"/>
      <c r="D223" s="753"/>
      <c r="E223" s="753"/>
      <c r="F223" s="753"/>
      <c r="G223" s="753"/>
      <c r="H223" s="750" t="e">
        <f>'PUNJAB 04-22Master'!#REF!</f>
        <v>#REF!</v>
      </c>
      <c r="I223" s="751"/>
      <c r="J223" s="751"/>
      <c r="K223" s="751"/>
      <c r="L223" s="752"/>
    </row>
    <row r="224" spans="1:12" ht="27.95" customHeight="1">
      <c r="A224" s="62"/>
      <c r="B224" s="762" t="s">
        <v>190</v>
      </c>
      <c r="C224" s="762"/>
      <c r="D224" s="762"/>
      <c r="E224" s="762"/>
      <c r="F224" s="762"/>
      <c r="G224" s="762"/>
      <c r="H224" s="750" t="e">
        <f>'PUNJAB 04-22Master'!#REF!</f>
        <v>#REF!</v>
      </c>
      <c r="I224" s="751"/>
      <c r="J224" s="751"/>
      <c r="K224" s="751"/>
      <c r="L224" s="752"/>
    </row>
    <row r="225" spans="1:12">
      <c r="A225" s="62"/>
      <c r="B225" s="762" t="s">
        <v>191</v>
      </c>
      <c r="C225" s="762"/>
      <c r="D225" s="762"/>
      <c r="E225" s="762"/>
      <c r="F225" s="762"/>
      <c r="G225" s="762"/>
      <c r="H225" s="855" t="e">
        <f>'PUNJAB 04-22Master'!#REF!</f>
        <v>#REF!</v>
      </c>
      <c r="I225" s="751"/>
      <c r="J225" s="751"/>
      <c r="K225" s="751"/>
      <c r="L225" s="752"/>
    </row>
    <row r="226" spans="1:12">
      <c r="A226" s="62"/>
      <c r="B226" s="158" t="s">
        <v>192</v>
      </c>
      <c r="C226" s="283"/>
      <c r="D226" s="283"/>
      <c r="E226" s="283"/>
      <c r="F226" s="283"/>
      <c r="G226" s="283"/>
      <c r="H226" s="856" t="s">
        <v>193</v>
      </c>
      <c r="I226" s="857"/>
      <c r="J226" s="857"/>
      <c r="K226" s="857"/>
      <c r="L226" s="858"/>
    </row>
    <row r="227" spans="1:12">
      <c r="A227" s="62"/>
      <c r="B227" s="158" t="s">
        <v>194</v>
      </c>
      <c r="C227" s="283"/>
      <c r="D227" s="283"/>
      <c r="E227" s="283"/>
      <c r="F227" s="283"/>
      <c r="G227" s="283"/>
      <c r="H227" s="337"/>
      <c r="I227" s="338"/>
      <c r="J227" s="244"/>
      <c r="K227" s="338"/>
      <c r="L227" s="342"/>
    </row>
    <row r="228" spans="1:12">
      <c r="A228" s="62"/>
      <c r="B228" s="773" t="s">
        <v>195</v>
      </c>
      <c r="C228" s="773"/>
      <c r="D228" s="773"/>
      <c r="E228" s="773"/>
      <c r="F228" s="773"/>
      <c r="G228" s="773"/>
      <c r="H228" s="767" t="e">
        <f>'PUNJAB 04-22Master'!#REF!</f>
        <v>#REF!</v>
      </c>
      <c r="I228" s="768"/>
      <c r="J228" s="768"/>
      <c r="K228" s="768"/>
      <c r="L228" s="769"/>
    </row>
    <row r="229" spans="1:12">
      <c r="A229" s="62"/>
      <c r="B229" s="762"/>
      <c r="C229" s="762"/>
      <c r="D229" s="762"/>
      <c r="E229" s="762"/>
      <c r="F229" s="762"/>
      <c r="G229" s="762"/>
      <c r="H229" s="763" t="e">
        <f>'PUNJAB 04-22Master'!#REF!</f>
        <v>#REF!</v>
      </c>
      <c r="I229" s="751"/>
      <c r="J229" s="751"/>
      <c r="K229" s="751"/>
      <c r="L229" s="752"/>
    </row>
    <row r="230" spans="1:12">
      <c r="A230" s="62"/>
      <c r="B230" s="762"/>
      <c r="C230" s="762"/>
      <c r="D230" s="762"/>
      <c r="E230" s="762"/>
      <c r="F230" s="762"/>
      <c r="G230" s="762"/>
      <c r="H230" s="750" t="e">
        <f>'PUNJAB 04-22Master'!#REF!</f>
        <v>#REF!</v>
      </c>
      <c r="I230" s="751"/>
      <c r="J230" s="751"/>
      <c r="K230" s="751"/>
      <c r="L230" s="752"/>
    </row>
    <row r="231" spans="1:12">
      <c r="A231" s="62"/>
      <c r="B231" s="144"/>
      <c r="C231" s="144"/>
      <c r="D231" s="144"/>
      <c r="E231" s="144"/>
      <c r="F231" s="47"/>
      <c r="G231" s="152" t="s">
        <v>219</v>
      </c>
      <c r="H231" s="152"/>
      <c r="I231" s="152"/>
      <c r="J231" s="152"/>
      <c r="K231" s="152"/>
      <c r="L231" s="153"/>
    </row>
    <row r="232" spans="1:12">
      <c r="A232" s="62"/>
      <c r="B232" s="251" t="s">
        <v>203</v>
      </c>
      <c r="C232" s="344"/>
      <c r="D232" s="344"/>
      <c r="E232" s="344"/>
      <c r="F232" s="344"/>
      <c r="G232" s="344"/>
      <c r="H232" s="347"/>
      <c r="I232" s="347"/>
      <c r="J232" s="347"/>
      <c r="K232" s="347"/>
      <c r="L232" s="254"/>
    </row>
    <row r="233" spans="1:12">
      <c r="A233" s="62"/>
      <c r="B233" s="251" t="s">
        <v>204</v>
      </c>
      <c r="C233" s="344"/>
      <c r="D233" s="344"/>
      <c r="E233" s="344"/>
      <c r="F233" s="344"/>
      <c r="G233" s="344"/>
      <c r="H233" s="347"/>
      <c r="I233" s="347"/>
      <c r="J233" s="345"/>
      <c r="K233" s="347"/>
      <c r="L233" s="254"/>
    </row>
    <row r="234" spans="1:12" ht="45">
      <c r="A234" s="157"/>
      <c r="B234" s="158" t="s">
        <v>207</v>
      </c>
      <c r="C234" s="283"/>
      <c r="D234" s="339"/>
      <c r="E234" s="341" t="s">
        <v>209</v>
      </c>
      <c r="F234" s="119"/>
      <c r="G234" s="850" t="s">
        <v>208</v>
      </c>
      <c r="H234" s="851"/>
      <c r="I234" s="235" t="s">
        <v>205</v>
      </c>
      <c r="J234" s="239" t="s">
        <v>210</v>
      </c>
      <c r="K234" s="850" t="s">
        <v>206</v>
      </c>
      <c r="L234" s="852"/>
    </row>
    <row r="235" spans="1:12">
      <c r="A235" s="157"/>
      <c r="B235" s="240">
        <v>1</v>
      </c>
      <c r="C235" s="283"/>
      <c r="D235" s="283"/>
      <c r="E235" s="243">
        <v>2</v>
      </c>
      <c r="F235" s="284"/>
      <c r="G235" s="243">
        <v>3</v>
      </c>
      <c r="H235" s="339"/>
      <c r="I235" s="339">
        <v>4</v>
      </c>
      <c r="J235" s="328">
        <v>5</v>
      </c>
      <c r="K235" s="159"/>
      <c r="L235" s="160">
        <v>6</v>
      </c>
    </row>
    <row r="236" spans="1:12">
      <c r="A236" s="157"/>
      <c r="B236" s="158" t="e">
        <f>'PUNJAB 04-22Master'!#REF!</f>
        <v>#REF!</v>
      </c>
      <c r="C236" s="261"/>
      <c r="D236" s="262"/>
      <c r="E236" s="263" t="s">
        <v>368</v>
      </c>
      <c r="F236" s="262"/>
      <c r="G236" s="263" t="s">
        <v>366</v>
      </c>
      <c r="H236" s="119"/>
      <c r="I236" s="30" t="s">
        <v>369</v>
      </c>
      <c r="J236" s="390">
        <v>1</v>
      </c>
      <c r="K236" s="264" t="s">
        <v>37</v>
      </c>
      <c r="L236" s="271"/>
    </row>
    <row r="237" spans="1:12">
      <c r="A237" s="157"/>
      <c r="B237" s="158"/>
      <c r="C237" s="261"/>
      <c r="D237" s="262"/>
      <c r="E237" s="263"/>
      <c r="F237" s="262"/>
      <c r="G237" s="263"/>
      <c r="H237" s="119"/>
      <c r="I237" s="30"/>
      <c r="J237" s="30"/>
      <c r="K237" s="264"/>
      <c r="L237" s="271"/>
    </row>
    <row r="238" spans="1:12">
      <c r="A238" s="157"/>
      <c r="B238" s="158"/>
      <c r="C238" s="261"/>
      <c r="D238" s="262"/>
      <c r="E238" s="263"/>
      <c r="F238" s="262"/>
      <c r="G238" s="263"/>
      <c r="H238" s="119"/>
      <c r="I238" s="30"/>
      <c r="J238" s="30"/>
      <c r="K238" s="264"/>
      <c r="L238" s="271"/>
    </row>
    <row r="239" spans="1:12">
      <c r="A239" s="157"/>
      <c r="B239" s="127"/>
      <c r="C239" s="68"/>
      <c r="D239" s="128"/>
      <c r="E239" s="263"/>
      <c r="F239" s="262"/>
      <c r="G239" s="263"/>
      <c r="H239" s="119"/>
      <c r="I239" s="30"/>
      <c r="J239" s="30"/>
      <c r="K239" s="264"/>
      <c r="L239" s="271"/>
    </row>
    <row r="240" spans="1:12">
      <c r="A240" s="157"/>
      <c r="B240" s="47" t="s">
        <v>211</v>
      </c>
      <c r="C240" s="47"/>
      <c r="D240" s="47"/>
      <c r="E240" s="47"/>
      <c r="F240" s="47"/>
      <c r="G240" s="47"/>
      <c r="H240" s="47"/>
      <c r="I240" s="47"/>
      <c r="J240" s="47"/>
      <c r="K240" s="47"/>
      <c r="L240" s="63"/>
    </row>
    <row r="241" spans="1:12">
      <c r="A241" s="62"/>
      <c r="B241" s="47" t="s">
        <v>212</v>
      </c>
      <c r="C241" s="47"/>
      <c r="D241" s="47"/>
      <c r="E241" s="47"/>
      <c r="F241" s="47"/>
      <c r="G241" s="47"/>
      <c r="H241" s="47"/>
      <c r="I241" s="47"/>
      <c r="J241" s="47"/>
      <c r="K241" s="47"/>
      <c r="L241" s="63"/>
    </row>
    <row r="242" spans="1:12">
      <c r="A242" s="62"/>
      <c r="B242" s="47" t="s">
        <v>223</v>
      </c>
      <c r="C242" s="47"/>
      <c r="D242" s="47"/>
      <c r="E242" s="47"/>
      <c r="F242" s="47"/>
      <c r="G242" s="47"/>
      <c r="H242" s="47"/>
      <c r="I242" s="47"/>
      <c r="J242" s="47" t="s">
        <v>222</v>
      </c>
      <c r="K242" s="47"/>
      <c r="L242" s="63"/>
    </row>
    <row r="243" spans="1:12">
      <c r="A243" s="62"/>
      <c r="B243" s="144"/>
      <c r="C243" s="144"/>
      <c r="D243" s="144"/>
      <c r="E243" s="144"/>
      <c r="F243" s="47"/>
      <c r="G243" s="152" t="s">
        <v>220</v>
      </c>
      <c r="H243" s="152"/>
      <c r="I243" s="152"/>
      <c r="J243" s="152"/>
      <c r="K243" s="152"/>
      <c r="L243" s="153"/>
    </row>
    <row r="244" spans="1:12">
      <c r="A244" s="62"/>
      <c r="B244" s="152"/>
      <c r="C244" s="144"/>
      <c r="D244" s="144"/>
      <c r="E244" s="144"/>
      <c r="F244" s="144"/>
      <c r="G244" s="47" t="s">
        <v>221</v>
      </c>
      <c r="H244" s="152"/>
      <c r="I244" s="152"/>
      <c r="J244" s="152"/>
      <c r="K244" s="152"/>
      <c r="L244" s="153"/>
    </row>
    <row r="245" spans="1:12">
      <c r="A245" s="62"/>
      <c r="B245" s="251" t="s">
        <v>224</v>
      </c>
      <c r="C245" s="344"/>
      <c r="D245" s="344"/>
      <c r="E245" s="344"/>
      <c r="F245" s="344"/>
      <c r="G245" s="344"/>
      <c r="H245" s="347"/>
      <c r="I245" s="347"/>
      <c r="J245" s="347"/>
      <c r="K245" s="347"/>
      <c r="L245" s="254"/>
    </row>
    <row r="246" spans="1:12">
      <c r="A246" s="62"/>
      <c r="B246" s="251" t="s">
        <v>225</v>
      </c>
      <c r="C246" s="344"/>
      <c r="D246" s="344"/>
      <c r="E246" s="344"/>
      <c r="F246" s="344"/>
      <c r="G246" s="344"/>
      <c r="H246" s="347"/>
      <c r="I246" s="347"/>
      <c r="J246" s="345"/>
      <c r="K246" s="347"/>
      <c r="L246" s="254"/>
    </row>
    <row r="247" spans="1:12">
      <c r="A247" s="62"/>
      <c r="B247" s="158" t="s">
        <v>5</v>
      </c>
      <c r="C247" s="872" t="s">
        <v>226</v>
      </c>
      <c r="D247" s="848"/>
      <c r="E247" s="848"/>
      <c r="F247" s="848"/>
      <c r="G247" s="848"/>
      <c r="H247" s="873"/>
      <c r="I247" s="335" t="s">
        <v>110</v>
      </c>
      <c r="J247" s="874" t="s">
        <v>227</v>
      </c>
      <c r="K247" s="875"/>
      <c r="L247" s="876"/>
    </row>
    <row r="248" spans="1:12">
      <c r="A248" s="62"/>
      <c r="B248" s="240">
        <v>1</v>
      </c>
      <c r="C248" s="282"/>
      <c r="D248" s="338"/>
      <c r="E248" s="237">
        <v>2</v>
      </c>
      <c r="F248" s="118"/>
      <c r="G248" s="868"/>
      <c r="H248" s="851"/>
      <c r="I248" s="338">
        <v>3</v>
      </c>
      <c r="J248" s="268" t="s">
        <v>228</v>
      </c>
      <c r="K248" s="877">
        <v>4</v>
      </c>
      <c r="L248" s="878"/>
    </row>
    <row r="249" spans="1:12">
      <c r="A249" s="62"/>
      <c r="B249" s="158"/>
      <c r="C249" s="282"/>
      <c r="D249" s="338"/>
      <c r="E249" s="237"/>
      <c r="F249" s="118"/>
      <c r="G249" s="868"/>
      <c r="H249" s="851"/>
      <c r="I249" s="264"/>
      <c r="J249" s="267"/>
      <c r="K249" s="868"/>
      <c r="L249" s="852"/>
    </row>
    <row r="250" spans="1:12">
      <c r="A250" s="62"/>
      <c r="B250" s="158"/>
      <c r="C250" s="282"/>
      <c r="D250" s="338"/>
      <c r="E250" s="237"/>
      <c r="F250" s="118"/>
      <c r="G250" s="868"/>
      <c r="H250" s="851"/>
      <c r="I250" s="264"/>
      <c r="J250" s="267"/>
      <c r="K250" s="868"/>
      <c r="L250" s="852"/>
    </row>
    <row r="251" spans="1:12">
      <c r="A251" s="62"/>
      <c r="B251" s="158"/>
      <c r="C251" s="282"/>
      <c r="D251" s="338"/>
      <c r="E251" s="237"/>
      <c r="F251" s="118"/>
      <c r="G251" s="868"/>
      <c r="H251" s="851"/>
      <c r="I251" s="264"/>
      <c r="J251" s="267"/>
      <c r="K251" s="868"/>
      <c r="L251" s="852"/>
    </row>
    <row r="252" spans="1:12">
      <c r="A252" s="62"/>
      <c r="B252" s="127"/>
      <c r="C252" s="282"/>
      <c r="D252" s="338"/>
      <c r="E252" s="237"/>
      <c r="F252" s="118"/>
      <c r="G252" s="868"/>
      <c r="H252" s="851"/>
      <c r="I252" s="264"/>
      <c r="J252" s="267"/>
      <c r="K252" s="868"/>
      <c r="L252" s="852"/>
    </row>
    <row r="253" spans="1:12">
      <c r="A253" s="62"/>
      <c r="B253" s="47" t="s">
        <v>232</v>
      </c>
      <c r="C253" s="47"/>
      <c r="D253" s="47"/>
      <c r="E253" s="47"/>
      <c r="F253" s="47"/>
      <c r="G253" s="47"/>
      <c r="H253" s="47"/>
      <c r="I253" s="47"/>
      <c r="J253" s="47"/>
      <c r="K253" s="47"/>
      <c r="L253" s="63"/>
    </row>
    <row r="254" spans="1:12">
      <c r="A254" s="62"/>
      <c r="B254" s="47" t="s">
        <v>233</v>
      </c>
      <c r="C254" s="47"/>
      <c r="D254" s="47"/>
      <c r="E254" s="47"/>
      <c r="F254" s="47"/>
      <c r="G254" s="47"/>
      <c r="H254" s="47"/>
      <c r="I254" s="47"/>
      <c r="J254" s="47"/>
      <c r="K254" s="47"/>
      <c r="L254" s="63"/>
    </row>
    <row r="255" spans="1:12">
      <c r="A255" s="62"/>
      <c r="B255" s="47" t="s">
        <v>234</v>
      </c>
      <c r="C255" s="47"/>
      <c r="D255" s="47"/>
      <c r="E255" s="47"/>
      <c r="F255" s="47"/>
      <c r="G255" s="47"/>
      <c r="H255" s="47"/>
      <c r="I255" s="47"/>
      <c r="J255" s="47"/>
      <c r="K255" s="47"/>
      <c r="L255" s="63"/>
    </row>
    <row r="256" spans="1:12">
      <c r="A256" s="62"/>
      <c r="B256" s="269" t="s">
        <v>235</v>
      </c>
      <c r="C256" s="47"/>
      <c r="D256" s="47"/>
      <c r="E256" s="47"/>
      <c r="F256" s="47"/>
      <c r="G256" s="47"/>
      <c r="H256" s="47"/>
      <c r="I256" s="47"/>
      <c r="J256" s="47"/>
      <c r="K256" s="47"/>
      <c r="L256" s="63"/>
    </row>
    <row r="257" spans="1:12">
      <c r="A257" s="62"/>
      <c r="B257" s="263" t="s">
        <v>229</v>
      </c>
      <c r="C257" s="118"/>
      <c r="D257" s="118"/>
      <c r="E257" s="118"/>
      <c r="F257" s="119"/>
      <c r="G257" s="263" t="s">
        <v>205</v>
      </c>
      <c r="H257" s="119"/>
      <c r="I257" s="263" t="s">
        <v>230</v>
      </c>
      <c r="J257" s="118"/>
      <c r="K257" s="119"/>
      <c r="L257" s="63"/>
    </row>
    <row r="258" spans="1:12">
      <c r="A258" s="62"/>
      <c r="B258" s="853"/>
      <c r="C258" s="867"/>
      <c r="D258" s="867"/>
      <c r="E258" s="867"/>
      <c r="F258" s="854"/>
      <c r="G258" s="853"/>
      <c r="H258" s="854"/>
      <c r="I258" s="853"/>
      <c r="J258" s="867"/>
      <c r="K258" s="854"/>
      <c r="L258" s="63"/>
    </row>
    <row r="259" spans="1:12">
      <c r="A259" s="62"/>
      <c r="B259" s="853"/>
      <c r="C259" s="867"/>
      <c r="D259" s="867"/>
      <c r="E259" s="867"/>
      <c r="F259" s="854"/>
      <c r="G259" s="853"/>
      <c r="H259" s="854"/>
      <c r="I259" s="853"/>
      <c r="J259" s="867"/>
      <c r="K259" s="854"/>
      <c r="L259" s="63"/>
    </row>
    <row r="260" spans="1:12" ht="27.95" customHeight="1">
      <c r="A260" s="62"/>
      <c r="B260" s="853"/>
      <c r="C260" s="867"/>
      <c r="D260" s="867"/>
      <c r="E260" s="867"/>
      <c r="F260" s="854"/>
      <c r="G260" s="853"/>
      <c r="H260" s="854"/>
      <c r="I260" s="853"/>
      <c r="J260" s="867"/>
      <c r="K260" s="854"/>
      <c r="L260" s="63"/>
    </row>
    <row r="261" spans="1:12" ht="27.95" customHeight="1">
      <c r="A261" s="62"/>
      <c r="B261" s="853"/>
      <c r="C261" s="867"/>
      <c r="D261" s="867"/>
      <c r="E261" s="867"/>
      <c r="F261" s="854"/>
      <c r="G261" s="853"/>
      <c r="H261" s="854"/>
      <c r="I261" s="853"/>
      <c r="J261" s="867"/>
      <c r="K261" s="854"/>
      <c r="L261" s="63"/>
    </row>
    <row r="262" spans="1:12" ht="27.95" customHeight="1">
      <c r="A262" s="62"/>
      <c r="B262" s="47"/>
      <c r="C262" s="47"/>
      <c r="D262" s="47"/>
      <c r="E262" s="47"/>
      <c r="F262" s="47"/>
      <c r="G262" s="47"/>
      <c r="H262" s="47"/>
      <c r="I262" s="47"/>
      <c r="J262" s="47"/>
      <c r="K262" s="47"/>
      <c r="L262" s="63"/>
    </row>
    <row r="263" spans="1:12" ht="27.95" customHeight="1">
      <c r="A263" s="62"/>
      <c r="B263" s="47" t="s">
        <v>202</v>
      </c>
      <c r="C263" s="389" t="e">
        <f>'PUNJAB 04-22Master'!#REF!</f>
        <v>#REF!</v>
      </c>
      <c r="D263" s="47"/>
      <c r="E263" s="47"/>
      <c r="F263" s="47"/>
      <c r="G263" s="47"/>
      <c r="H263" s="47"/>
      <c r="I263" s="47" t="s">
        <v>231</v>
      </c>
      <c r="J263" s="47"/>
      <c r="K263" s="47"/>
      <c r="L263" s="63"/>
    </row>
    <row r="264" spans="1:12" ht="27.95" customHeight="1">
      <c r="A264" s="62"/>
      <c r="B264" s="47"/>
      <c r="C264" s="47"/>
      <c r="D264" s="47"/>
      <c r="E264" s="47"/>
      <c r="F264" s="248" t="s">
        <v>197</v>
      </c>
      <c r="G264" s="47"/>
      <c r="H264" s="47"/>
      <c r="I264" s="47"/>
      <c r="J264" s="47"/>
      <c r="K264" s="47"/>
      <c r="L264" s="63"/>
    </row>
    <row r="265" spans="1:12" ht="27.95" customHeight="1">
      <c r="A265" s="62" t="s">
        <v>198</v>
      </c>
      <c r="B265" s="47"/>
      <c r="C265" s="47"/>
      <c r="D265" s="47"/>
      <c r="E265" s="47"/>
      <c r="F265" s="47"/>
      <c r="G265" s="47"/>
      <c r="H265" s="47"/>
      <c r="I265" s="47"/>
      <c r="J265" s="47"/>
      <c r="K265" s="306" t="e">
        <f>'PUNJAB 04-22Master'!#REF!</f>
        <v>#REF!</v>
      </c>
      <c r="L265" s="63"/>
    </row>
    <row r="266" spans="1:12" ht="27.95" customHeight="1">
      <c r="A266" s="62" t="s">
        <v>199</v>
      </c>
      <c r="B266" s="47"/>
      <c r="C266" s="47"/>
      <c r="D266" s="47"/>
      <c r="E266" s="47"/>
      <c r="F266" s="47"/>
      <c r="G266" s="47"/>
      <c r="H266" s="47"/>
      <c r="I266" s="47"/>
      <c r="J266" s="47"/>
      <c r="K266" s="47"/>
      <c r="L266" s="63"/>
    </row>
    <row r="267" spans="1:12" ht="27.95" customHeight="1">
      <c r="A267" s="62"/>
      <c r="B267" s="47"/>
      <c r="C267" s="47"/>
      <c r="D267" s="47"/>
      <c r="E267" s="47"/>
      <c r="F267" s="47"/>
      <c r="G267" s="47"/>
      <c r="H267" s="47"/>
      <c r="I267" s="47"/>
      <c r="J267" s="47"/>
      <c r="K267" s="47"/>
      <c r="L267" s="63"/>
    </row>
    <row r="268" spans="1:12" ht="27.95" customHeight="1">
      <c r="A268" s="62"/>
      <c r="B268" s="47"/>
      <c r="C268" s="47"/>
      <c r="D268" s="47"/>
      <c r="E268" s="47"/>
      <c r="F268" s="47" t="s">
        <v>200</v>
      </c>
      <c r="G268" s="47"/>
      <c r="H268" s="47"/>
      <c r="I268" s="47"/>
      <c r="J268" s="47"/>
      <c r="K268" s="47"/>
      <c r="L268" s="63"/>
    </row>
    <row r="269" spans="1:12" ht="27.95" customHeight="1">
      <c r="A269" s="62" t="s">
        <v>201</v>
      </c>
      <c r="B269" s="47" t="s">
        <v>364</v>
      </c>
      <c r="C269" s="47"/>
      <c r="D269" s="47"/>
      <c r="E269" s="47"/>
      <c r="F269" s="346" t="str">
        <f>'PUNJAB 04-22Master'!F5</f>
        <v>Burgeon IT Services Pvt.Ltd.</v>
      </c>
      <c r="G269" s="47"/>
      <c r="H269" s="47"/>
      <c r="I269" s="47"/>
      <c r="J269" s="47"/>
      <c r="K269" s="47"/>
      <c r="L269" s="63"/>
    </row>
    <row r="270" spans="1:12" ht="27.95" customHeight="1" thickBot="1">
      <c r="A270" s="76" t="s">
        <v>202</v>
      </c>
      <c r="B270" s="393" t="e">
        <f>'PUNJAB 04-22Master'!#REF!</f>
        <v>#REF!</v>
      </c>
      <c r="C270" s="74"/>
      <c r="D270" s="74"/>
      <c r="E270" s="74"/>
      <c r="F270" s="249" t="str">
        <f>'PUNJAB 04-22Master'!F6</f>
        <v>Siri Mansion LIGB 436 Dr.A S Rao Nagar,Hyderabad</v>
      </c>
      <c r="G270" s="249"/>
      <c r="H270" s="249"/>
      <c r="I270" s="249"/>
      <c r="J270" s="249"/>
      <c r="K270" s="249"/>
      <c r="L270" s="75"/>
    </row>
    <row r="271" spans="1:12" ht="27.95" customHeight="1">
      <c r="A271" s="174"/>
      <c r="B271" s="141"/>
      <c r="C271" s="141"/>
      <c r="D271" s="255"/>
      <c r="E271" s="255"/>
      <c r="F271" s="255"/>
      <c r="G271" s="255"/>
      <c r="H271" s="255"/>
      <c r="I271" s="255"/>
      <c r="J271" s="141"/>
      <c r="K271" s="257" t="s">
        <v>216</v>
      </c>
      <c r="L271" s="256"/>
    </row>
    <row r="272" spans="1:12" ht="27.95" customHeight="1">
      <c r="A272" s="62"/>
      <c r="B272" s="869" t="s">
        <v>215</v>
      </c>
      <c r="C272" s="869"/>
      <c r="D272" s="869"/>
      <c r="E272" s="869"/>
      <c r="F272" s="869"/>
      <c r="G272" s="869"/>
      <c r="H272" s="869"/>
      <c r="I272" s="869"/>
      <c r="J272" s="869"/>
      <c r="K272" s="869"/>
      <c r="L272" s="870"/>
    </row>
    <row r="273" spans="1:12" ht="27.95" customHeight="1">
      <c r="A273" s="62"/>
      <c r="B273" s="864" t="s">
        <v>217</v>
      </c>
      <c r="C273" s="864"/>
      <c r="D273" s="864"/>
      <c r="E273" s="864"/>
      <c r="F273" s="864"/>
      <c r="G273" s="864"/>
      <c r="H273" s="864"/>
      <c r="I273" s="864"/>
      <c r="J273" s="864"/>
      <c r="K273" s="864"/>
      <c r="L273" s="871"/>
    </row>
    <row r="274" spans="1:12" ht="27.95" customHeight="1">
      <c r="A274" s="62"/>
      <c r="B274" s="260" t="s">
        <v>218</v>
      </c>
      <c r="C274" s="258"/>
      <c r="D274" s="258"/>
      <c r="E274" s="258"/>
      <c r="F274" s="258"/>
      <c r="G274" s="47"/>
      <c r="H274" s="259"/>
      <c r="I274" s="259"/>
      <c r="J274" s="259"/>
      <c r="K274" s="259"/>
      <c r="L274" s="270"/>
    </row>
    <row r="275" spans="1:12" ht="27.95" customHeight="1">
      <c r="A275" s="62"/>
      <c r="B275" s="762" t="s">
        <v>188</v>
      </c>
      <c r="C275" s="762"/>
      <c r="D275" s="762"/>
      <c r="E275" s="762"/>
      <c r="F275" s="762"/>
      <c r="G275" s="762"/>
      <c r="H275" s="750" t="e">
        <f>'PUNJAB 04-22Master'!#REF!</f>
        <v>#REF!</v>
      </c>
      <c r="I275" s="751"/>
      <c r="J275" s="751"/>
      <c r="K275" s="751"/>
      <c r="L275" s="752"/>
    </row>
    <row r="276" spans="1:12" ht="27.95" customHeight="1">
      <c r="A276" s="62"/>
      <c r="B276" s="753" t="s">
        <v>189</v>
      </c>
      <c r="C276" s="753"/>
      <c r="D276" s="753"/>
      <c r="E276" s="753"/>
      <c r="F276" s="753"/>
      <c r="G276" s="753"/>
      <c r="H276" s="750" t="e">
        <f>'PUNJAB 04-22Master'!#REF!</f>
        <v>#REF!</v>
      </c>
      <c r="I276" s="751"/>
      <c r="J276" s="751"/>
      <c r="K276" s="751"/>
      <c r="L276" s="752"/>
    </row>
    <row r="277" spans="1:12">
      <c r="A277" s="62"/>
      <c r="B277" s="762" t="s">
        <v>190</v>
      </c>
      <c r="C277" s="762"/>
      <c r="D277" s="762"/>
      <c r="E277" s="762"/>
      <c r="F277" s="762"/>
      <c r="G277" s="762"/>
      <c r="H277" s="750" t="e">
        <f>'PUNJAB 04-22Master'!#REF!</f>
        <v>#REF!</v>
      </c>
      <c r="I277" s="751"/>
      <c r="J277" s="751"/>
      <c r="K277" s="751"/>
      <c r="L277" s="752"/>
    </row>
    <row r="278" spans="1:12">
      <c r="A278" s="62"/>
      <c r="B278" s="762" t="s">
        <v>191</v>
      </c>
      <c r="C278" s="762"/>
      <c r="D278" s="762"/>
      <c r="E278" s="762"/>
      <c r="F278" s="762"/>
      <c r="G278" s="762"/>
      <c r="H278" s="855" t="e">
        <f>'PUNJAB 04-22Master'!#REF!</f>
        <v>#REF!</v>
      </c>
      <c r="I278" s="751"/>
      <c r="J278" s="751"/>
      <c r="K278" s="751"/>
      <c r="L278" s="752"/>
    </row>
    <row r="279" spans="1:12">
      <c r="A279" s="62"/>
      <c r="B279" s="158" t="s">
        <v>192</v>
      </c>
      <c r="C279" s="283"/>
      <c r="D279" s="283"/>
      <c r="E279" s="283"/>
      <c r="F279" s="283"/>
      <c r="G279" s="283"/>
      <c r="H279" s="856" t="s">
        <v>193</v>
      </c>
      <c r="I279" s="857"/>
      <c r="J279" s="857"/>
      <c r="K279" s="857"/>
      <c r="L279" s="858"/>
    </row>
    <row r="280" spans="1:12">
      <c r="A280" s="62"/>
      <c r="B280" s="158" t="s">
        <v>194</v>
      </c>
      <c r="C280" s="283"/>
      <c r="D280" s="283"/>
      <c r="E280" s="283"/>
      <c r="F280" s="283"/>
      <c r="G280" s="283"/>
      <c r="H280" s="337"/>
      <c r="I280" s="338"/>
      <c r="J280" s="244"/>
      <c r="K280" s="338"/>
      <c r="L280" s="342"/>
    </row>
    <row r="281" spans="1:12">
      <c r="A281" s="62"/>
      <c r="B281" s="773" t="s">
        <v>195</v>
      </c>
      <c r="C281" s="773"/>
      <c r="D281" s="773"/>
      <c r="E281" s="773"/>
      <c r="F281" s="773"/>
      <c r="G281" s="773"/>
      <c r="H281" s="767" t="e">
        <f>'PUNJAB 04-22Master'!#REF!</f>
        <v>#REF!</v>
      </c>
      <c r="I281" s="768"/>
      <c r="J281" s="768"/>
      <c r="K281" s="768"/>
      <c r="L281" s="769"/>
    </row>
    <row r="282" spans="1:12">
      <c r="A282" s="62"/>
      <c r="B282" s="762"/>
      <c r="C282" s="762"/>
      <c r="D282" s="762"/>
      <c r="E282" s="762"/>
      <c r="F282" s="762"/>
      <c r="G282" s="762"/>
      <c r="H282" s="763" t="e">
        <f>'PUNJAB 04-22Master'!#REF!</f>
        <v>#REF!</v>
      </c>
      <c r="I282" s="751"/>
      <c r="J282" s="751"/>
      <c r="K282" s="751"/>
      <c r="L282" s="752"/>
    </row>
    <row r="283" spans="1:12">
      <c r="A283" s="62"/>
      <c r="B283" s="762"/>
      <c r="C283" s="762"/>
      <c r="D283" s="762"/>
      <c r="E283" s="762"/>
      <c r="F283" s="762"/>
      <c r="G283" s="762"/>
      <c r="H283" s="750" t="e">
        <f>'PUNJAB 04-22Master'!#REF!</f>
        <v>#REF!</v>
      </c>
      <c r="I283" s="751"/>
      <c r="J283" s="751"/>
      <c r="K283" s="751"/>
      <c r="L283" s="752"/>
    </row>
    <row r="284" spans="1:12">
      <c r="A284" s="62"/>
      <c r="B284" s="144"/>
      <c r="C284" s="144"/>
      <c r="D284" s="144"/>
      <c r="E284" s="144"/>
      <c r="F284" s="47"/>
      <c r="G284" s="152" t="s">
        <v>219</v>
      </c>
      <c r="H284" s="152"/>
      <c r="I284" s="152"/>
      <c r="J284" s="152"/>
      <c r="K284" s="152"/>
      <c r="L284" s="153"/>
    </row>
    <row r="285" spans="1:12">
      <c r="A285" s="62"/>
      <c r="B285" s="251" t="s">
        <v>203</v>
      </c>
      <c r="C285" s="344"/>
      <c r="D285" s="344"/>
      <c r="E285" s="344"/>
      <c r="F285" s="344"/>
      <c r="G285" s="344"/>
      <c r="H285" s="347"/>
      <c r="I285" s="347"/>
      <c r="J285" s="347"/>
      <c r="K285" s="347"/>
      <c r="L285" s="254"/>
    </row>
    <row r="286" spans="1:12">
      <c r="A286" s="62"/>
      <c r="B286" s="251" t="s">
        <v>204</v>
      </c>
      <c r="C286" s="344"/>
      <c r="D286" s="344"/>
      <c r="E286" s="344"/>
      <c r="F286" s="344"/>
      <c r="G286" s="344"/>
      <c r="H286" s="347"/>
      <c r="I286" s="347"/>
      <c r="J286" s="345"/>
      <c r="K286" s="347"/>
      <c r="L286" s="254"/>
    </row>
    <row r="287" spans="1:12" ht="45">
      <c r="A287" s="157"/>
      <c r="B287" s="158" t="s">
        <v>207</v>
      </c>
      <c r="C287" s="283"/>
      <c r="D287" s="339"/>
      <c r="E287" s="341" t="s">
        <v>209</v>
      </c>
      <c r="F287" s="119"/>
      <c r="G287" s="850" t="s">
        <v>208</v>
      </c>
      <c r="H287" s="851"/>
      <c r="I287" s="235" t="s">
        <v>205</v>
      </c>
      <c r="J287" s="239" t="s">
        <v>210</v>
      </c>
      <c r="K287" s="850" t="s">
        <v>206</v>
      </c>
      <c r="L287" s="852"/>
    </row>
    <row r="288" spans="1:12">
      <c r="A288" s="157"/>
      <c r="B288" s="240">
        <v>1</v>
      </c>
      <c r="C288" s="283"/>
      <c r="D288" s="283"/>
      <c r="E288" s="243">
        <v>2</v>
      </c>
      <c r="F288" s="284"/>
      <c r="G288" s="243">
        <v>3</v>
      </c>
      <c r="H288" s="339"/>
      <c r="I288" s="339">
        <v>4</v>
      </c>
      <c r="J288" s="328">
        <v>5</v>
      </c>
      <c r="K288" s="159"/>
      <c r="L288" s="160">
        <v>6</v>
      </c>
    </row>
    <row r="289" spans="1:12">
      <c r="A289" s="157"/>
      <c r="B289" s="158" t="e">
        <f>'PUNJAB 04-22Master'!#REF!</f>
        <v>#REF!</v>
      </c>
      <c r="C289" s="261"/>
      <c r="D289" s="262"/>
      <c r="E289" s="263" t="s">
        <v>368</v>
      </c>
      <c r="F289" s="262"/>
      <c r="G289" s="263" t="s">
        <v>366</v>
      </c>
      <c r="H289" s="119"/>
      <c r="I289" s="30" t="s">
        <v>369</v>
      </c>
      <c r="J289" s="390">
        <v>1</v>
      </c>
      <c r="K289" s="264" t="s">
        <v>37</v>
      </c>
      <c r="L289" s="271"/>
    </row>
    <row r="290" spans="1:12">
      <c r="A290" s="157"/>
      <c r="B290" s="158"/>
      <c r="C290" s="261"/>
      <c r="D290" s="262"/>
      <c r="E290" s="263"/>
      <c r="F290" s="262"/>
      <c r="G290" s="263"/>
      <c r="H290" s="119"/>
      <c r="I290" s="30"/>
      <c r="J290" s="30"/>
      <c r="K290" s="264"/>
      <c r="L290" s="271"/>
    </row>
    <row r="291" spans="1:12">
      <c r="A291" s="157"/>
      <c r="B291" s="158"/>
      <c r="C291" s="261"/>
      <c r="D291" s="262"/>
      <c r="E291" s="263"/>
      <c r="F291" s="262"/>
      <c r="G291" s="263"/>
      <c r="H291" s="119"/>
      <c r="I291" s="30"/>
      <c r="J291" s="30"/>
      <c r="K291" s="264"/>
      <c r="L291" s="271"/>
    </row>
    <row r="292" spans="1:12">
      <c r="A292" s="157"/>
      <c r="B292" s="127"/>
      <c r="C292" s="68"/>
      <c r="D292" s="128"/>
      <c r="E292" s="263"/>
      <c r="F292" s="262"/>
      <c r="G292" s="263"/>
      <c r="H292" s="119"/>
      <c r="I292" s="30"/>
      <c r="J292" s="30"/>
      <c r="K292" s="264"/>
      <c r="L292" s="271"/>
    </row>
    <row r="293" spans="1:12">
      <c r="A293" s="157"/>
      <c r="B293" s="47" t="s">
        <v>211</v>
      </c>
      <c r="C293" s="47"/>
      <c r="D293" s="47"/>
      <c r="E293" s="47"/>
      <c r="F293" s="47"/>
      <c r="G293" s="47"/>
      <c r="H293" s="47"/>
      <c r="I293" s="47"/>
      <c r="J293" s="47"/>
      <c r="K293" s="47"/>
      <c r="L293" s="63"/>
    </row>
    <row r="294" spans="1:12">
      <c r="A294" s="62"/>
      <c r="B294" s="47" t="s">
        <v>212</v>
      </c>
      <c r="C294" s="47"/>
      <c r="D294" s="47"/>
      <c r="E294" s="47"/>
      <c r="F294" s="47"/>
      <c r="G294" s="47"/>
      <c r="H294" s="47"/>
      <c r="I294" s="47"/>
      <c r="J294" s="47"/>
      <c r="K294" s="47"/>
      <c r="L294" s="63"/>
    </row>
    <row r="295" spans="1:12">
      <c r="A295" s="62"/>
      <c r="B295" s="47" t="s">
        <v>223</v>
      </c>
      <c r="C295" s="47"/>
      <c r="D295" s="47"/>
      <c r="E295" s="47"/>
      <c r="F295" s="47"/>
      <c r="G295" s="47"/>
      <c r="H295" s="47"/>
      <c r="I295" s="47"/>
      <c r="J295" s="47" t="s">
        <v>222</v>
      </c>
      <c r="K295" s="47"/>
      <c r="L295" s="63"/>
    </row>
    <row r="296" spans="1:12">
      <c r="A296" s="62"/>
      <c r="B296" s="144"/>
      <c r="C296" s="144"/>
      <c r="D296" s="144"/>
      <c r="E296" s="144"/>
      <c r="F296" s="47"/>
      <c r="G296" s="152" t="s">
        <v>220</v>
      </c>
      <c r="H296" s="152"/>
      <c r="I296" s="152"/>
      <c r="J296" s="152"/>
      <c r="K296" s="152"/>
      <c r="L296" s="153"/>
    </row>
    <row r="297" spans="1:12">
      <c r="A297" s="62"/>
      <c r="B297" s="152"/>
      <c r="C297" s="144"/>
      <c r="D297" s="144"/>
      <c r="E297" s="144"/>
      <c r="F297" s="144"/>
      <c r="G297" s="47" t="s">
        <v>221</v>
      </c>
      <c r="H297" s="152"/>
      <c r="I297" s="152"/>
      <c r="J297" s="152"/>
      <c r="K297" s="152"/>
      <c r="L297" s="153"/>
    </row>
    <row r="298" spans="1:12">
      <c r="A298" s="62"/>
      <c r="B298" s="251" t="s">
        <v>224</v>
      </c>
      <c r="C298" s="344"/>
      <c r="D298" s="344"/>
      <c r="E298" s="344"/>
      <c r="F298" s="344"/>
      <c r="G298" s="344"/>
      <c r="H298" s="347"/>
      <c r="I298" s="347"/>
      <c r="J298" s="347"/>
      <c r="K298" s="347"/>
      <c r="L298" s="254"/>
    </row>
    <row r="299" spans="1:12">
      <c r="A299" s="62"/>
      <c r="B299" s="251" t="s">
        <v>225</v>
      </c>
      <c r="C299" s="344"/>
      <c r="D299" s="344"/>
      <c r="E299" s="344"/>
      <c r="F299" s="344"/>
      <c r="G299" s="344"/>
      <c r="H299" s="347"/>
      <c r="I299" s="347"/>
      <c r="J299" s="345"/>
      <c r="K299" s="347"/>
      <c r="L299" s="254"/>
    </row>
    <row r="300" spans="1:12">
      <c r="A300" s="62"/>
      <c r="B300" s="158" t="s">
        <v>5</v>
      </c>
      <c r="C300" s="872" t="s">
        <v>226</v>
      </c>
      <c r="D300" s="848"/>
      <c r="E300" s="848"/>
      <c r="F300" s="848"/>
      <c r="G300" s="848"/>
      <c r="H300" s="873"/>
      <c r="I300" s="335" t="s">
        <v>110</v>
      </c>
      <c r="J300" s="874" t="s">
        <v>227</v>
      </c>
      <c r="K300" s="875"/>
      <c r="L300" s="876"/>
    </row>
    <row r="301" spans="1:12">
      <c r="A301" s="62"/>
      <c r="B301" s="240">
        <v>1</v>
      </c>
      <c r="C301" s="282"/>
      <c r="D301" s="338"/>
      <c r="E301" s="237">
        <v>2</v>
      </c>
      <c r="F301" s="118"/>
      <c r="G301" s="868"/>
      <c r="H301" s="851"/>
      <c r="I301" s="338">
        <v>3</v>
      </c>
      <c r="J301" s="268" t="s">
        <v>228</v>
      </c>
      <c r="K301" s="877">
        <v>4</v>
      </c>
      <c r="L301" s="878"/>
    </row>
    <row r="302" spans="1:12">
      <c r="A302" s="62"/>
      <c r="B302" s="158"/>
      <c r="C302" s="282"/>
      <c r="D302" s="338"/>
      <c r="E302" s="237"/>
      <c r="F302" s="118"/>
      <c r="G302" s="868"/>
      <c r="H302" s="851"/>
      <c r="I302" s="264"/>
      <c r="J302" s="267"/>
      <c r="K302" s="868"/>
      <c r="L302" s="852"/>
    </row>
    <row r="303" spans="1:12">
      <c r="A303" s="62"/>
      <c r="B303" s="158"/>
      <c r="C303" s="282"/>
      <c r="D303" s="338"/>
      <c r="E303" s="237"/>
      <c r="F303" s="118"/>
      <c r="G303" s="868"/>
      <c r="H303" s="851"/>
      <c r="I303" s="264"/>
      <c r="J303" s="267"/>
      <c r="K303" s="868"/>
      <c r="L303" s="852"/>
    </row>
    <row r="304" spans="1:12">
      <c r="A304" s="62"/>
      <c r="B304" s="158"/>
      <c r="C304" s="282"/>
      <c r="D304" s="338"/>
      <c r="E304" s="237"/>
      <c r="F304" s="118"/>
      <c r="G304" s="868"/>
      <c r="H304" s="851"/>
      <c r="I304" s="264"/>
      <c r="J304" s="267"/>
      <c r="K304" s="868"/>
      <c r="L304" s="852"/>
    </row>
    <row r="305" spans="1:12">
      <c r="A305" s="62"/>
      <c r="B305" s="127"/>
      <c r="C305" s="282"/>
      <c r="D305" s="338"/>
      <c r="E305" s="237"/>
      <c r="F305" s="118"/>
      <c r="G305" s="868"/>
      <c r="H305" s="851"/>
      <c r="I305" s="264"/>
      <c r="J305" s="267"/>
      <c r="K305" s="868"/>
      <c r="L305" s="852"/>
    </row>
    <row r="306" spans="1:12">
      <c r="A306" s="62"/>
      <c r="B306" s="47" t="s">
        <v>232</v>
      </c>
      <c r="C306" s="47"/>
      <c r="D306" s="47"/>
      <c r="E306" s="47"/>
      <c r="F306" s="47"/>
      <c r="G306" s="47"/>
      <c r="H306" s="47"/>
      <c r="I306" s="47"/>
      <c r="J306" s="47"/>
      <c r="K306" s="47"/>
      <c r="L306" s="63"/>
    </row>
    <row r="307" spans="1:12">
      <c r="A307" s="62"/>
      <c r="B307" s="47" t="s">
        <v>233</v>
      </c>
      <c r="C307" s="47"/>
      <c r="D307" s="47"/>
      <c r="E307" s="47"/>
      <c r="F307" s="47"/>
      <c r="G307" s="47"/>
      <c r="H307" s="47"/>
      <c r="I307" s="47"/>
      <c r="J307" s="47"/>
      <c r="K307" s="47"/>
      <c r="L307" s="63"/>
    </row>
    <row r="308" spans="1:12">
      <c r="A308" s="62"/>
      <c r="B308" s="47" t="s">
        <v>234</v>
      </c>
      <c r="C308" s="47"/>
      <c r="D308" s="47"/>
      <c r="E308" s="47"/>
      <c r="F308" s="47"/>
      <c r="G308" s="47"/>
      <c r="H308" s="47"/>
      <c r="I308" s="47"/>
      <c r="J308" s="47"/>
      <c r="K308" s="47"/>
      <c r="L308" s="63"/>
    </row>
    <row r="309" spans="1:12">
      <c r="A309" s="62"/>
      <c r="B309" s="269" t="s">
        <v>235</v>
      </c>
      <c r="C309" s="47"/>
      <c r="D309" s="47"/>
      <c r="E309" s="47"/>
      <c r="F309" s="47"/>
      <c r="G309" s="47"/>
      <c r="H309" s="47"/>
      <c r="I309" s="47"/>
      <c r="J309" s="47"/>
      <c r="K309" s="47"/>
      <c r="L309" s="63"/>
    </row>
    <row r="310" spans="1:12">
      <c r="A310" s="62"/>
      <c r="B310" s="263" t="s">
        <v>229</v>
      </c>
      <c r="C310" s="118"/>
      <c r="D310" s="118"/>
      <c r="E310" s="118"/>
      <c r="F310" s="119"/>
      <c r="G310" s="263" t="s">
        <v>205</v>
      </c>
      <c r="H310" s="119"/>
      <c r="I310" s="263" t="s">
        <v>230</v>
      </c>
      <c r="J310" s="118"/>
      <c r="K310" s="119"/>
      <c r="L310" s="63"/>
    </row>
    <row r="311" spans="1:12">
      <c r="A311" s="62"/>
      <c r="B311" s="853"/>
      <c r="C311" s="867"/>
      <c r="D311" s="867"/>
      <c r="E311" s="867"/>
      <c r="F311" s="854"/>
      <c r="G311" s="853"/>
      <c r="H311" s="854"/>
      <c r="I311" s="853"/>
      <c r="J311" s="867"/>
      <c r="K311" s="854"/>
      <c r="L311" s="63"/>
    </row>
    <row r="312" spans="1:12" ht="27.95" customHeight="1">
      <c r="A312" s="62"/>
      <c r="B312" s="853"/>
      <c r="C312" s="867"/>
      <c r="D312" s="867"/>
      <c r="E312" s="867"/>
      <c r="F312" s="854"/>
      <c r="G312" s="853"/>
      <c r="H312" s="854"/>
      <c r="I312" s="853"/>
      <c r="J312" s="867"/>
      <c r="K312" s="854"/>
      <c r="L312" s="63"/>
    </row>
    <row r="313" spans="1:12" ht="27.95" customHeight="1">
      <c r="A313" s="62"/>
      <c r="B313" s="853"/>
      <c r="C313" s="867"/>
      <c r="D313" s="867"/>
      <c r="E313" s="867"/>
      <c r="F313" s="854"/>
      <c r="G313" s="853"/>
      <c r="H313" s="854"/>
      <c r="I313" s="853"/>
      <c r="J313" s="867"/>
      <c r="K313" s="854"/>
      <c r="L313" s="63"/>
    </row>
    <row r="314" spans="1:12" ht="27.95" customHeight="1">
      <c r="A314" s="62"/>
      <c r="B314" s="853"/>
      <c r="C314" s="867"/>
      <c r="D314" s="867"/>
      <c r="E314" s="867"/>
      <c r="F314" s="854"/>
      <c r="G314" s="853"/>
      <c r="H314" s="854"/>
      <c r="I314" s="853"/>
      <c r="J314" s="867"/>
      <c r="K314" s="854"/>
      <c r="L314" s="63"/>
    </row>
    <row r="315" spans="1:12" ht="27.95" customHeight="1">
      <c r="A315" s="62"/>
      <c r="B315" s="47"/>
      <c r="C315" s="47"/>
      <c r="D315" s="47"/>
      <c r="E315" s="47"/>
      <c r="F315" s="47"/>
      <c r="G315" s="47"/>
      <c r="H315" s="47"/>
      <c r="I315" s="47"/>
      <c r="J315" s="47"/>
      <c r="K315" s="47"/>
      <c r="L315" s="63"/>
    </row>
    <row r="316" spans="1:12" ht="27.95" customHeight="1">
      <c r="A316" s="62"/>
      <c r="B316" s="47" t="s">
        <v>202</v>
      </c>
      <c r="C316" s="389" t="e">
        <f>'PUNJAB 04-22Master'!#REF!</f>
        <v>#REF!</v>
      </c>
      <c r="D316" s="47"/>
      <c r="E316" s="47"/>
      <c r="F316" s="47"/>
      <c r="G316" s="47"/>
      <c r="H316" s="47"/>
      <c r="I316" s="47" t="s">
        <v>231</v>
      </c>
      <c r="J316" s="47"/>
      <c r="K316" s="47"/>
      <c r="L316" s="63"/>
    </row>
    <row r="317" spans="1:12" ht="27.95" customHeight="1">
      <c r="A317" s="62"/>
      <c r="B317" s="47"/>
      <c r="C317" s="47"/>
      <c r="D317" s="47"/>
      <c r="E317" s="47"/>
      <c r="F317" s="248" t="s">
        <v>197</v>
      </c>
      <c r="G317" s="47"/>
      <c r="H317" s="47"/>
      <c r="I317" s="47"/>
      <c r="J317" s="47"/>
      <c r="K317" s="47"/>
      <c r="L317" s="63"/>
    </row>
    <row r="318" spans="1:12" ht="27.95" customHeight="1">
      <c r="A318" s="62" t="s">
        <v>198</v>
      </c>
      <c r="B318" s="47"/>
      <c r="C318" s="47"/>
      <c r="D318" s="47"/>
      <c r="E318" s="47"/>
      <c r="F318" s="47"/>
      <c r="G318" s="47"/>
      <c r="H318" s="47"/>
      <c r="I318" s="47"/>
      <c r="J318" s="47"/>
      <c r="K318" s="306" t="e">
        <f>'PUNJAB 04-22Master'!#REF!</f>
        <v>#REF!</v>
      </c>
      <c r="L318" s="63"/>
    </row>
    <row r="319" spans="1:12" ht="27.95" customHeight="1">
      <c r="A319" s="62" t="s">
        <v>199</v>
      </c>
      <c r="B319" s="47"/>
      <c r="C319" s="47"/>
      <c r="D319" s="47"/>
      <c r="E319" s="47"/>
      <c r="F319" s="47"/>
      <c r="G319" s="47"/>
      <c r="H319" s="47"/>
      <c r="I319" s="47"/>
      <c r="J319" s="47"/>
      <c r="K319" s="47"/>
      <c r="L319" s="63"/>
    </row>
    <row r="320" spans="1:12" ht="27.95" customHeight="1">
      <c r="A320" s="62"/>
      <c r="B320" s="47"/>
      <c r="C320" s="47"/>
      <c r="D320" s="47"/>
      <c r="E320" s="47"/>
      <c r="F320" s="47"/>
      <c r="G320" s="47"/>
      <c r="H320" s="47"/>
      <c r="I320" s="47"/>
      <c r="J320" s="47"/>
      <c r="K320" s="47"/>
      <c r="L320" s="63"/>
    </row>
    <row r="321" spans="1:12" ht="27.95" customHeight="1">
      <c r="A321" s="62"/>
      <c r="B321" s="47"/>
      <c r="C321" s="47"/>
      <c r="D321" s="47"/>
      <c r="E321" s="47"/>
      <c r="F321" s="47" t="s">
        <v>200</v>
      </c>
      <c r="G321" s="47"/>
      <c r="H321" s="47"/>
      <c r="I321" s="47"/>
      <c r="J321" s="47"/>
      <c r="K321" s="47"/>
      <c r="L321" s="63"/>
    </row>
    <row r="322" spans="1:12" ht="27.95" customHeight="1">
      <c r="A322" s="62" t="s">
        <v>201</v>
      </c>
      <c r="B322" s="47" t="s">
        <v>364</v>
      </c>
      <c r="C322" s="47"/>
      <c r="D322" s="47"/>
      <c r="E322" s="47"/>
      <c r="F322" s="47" t="str">
        <f>'PUNJAB 04-22Master'!F5</f>
        <v>Burgeon IT Services Pvt.Ltd.</v>
      </c>
      <c r="G322" s="47"/>
      <c r="H322" s="47"/>
      <c r="I322" s="47"/>
      <c r="J322" s="47"/>
      <c r="K322" s="47"/>
      <c r="L322" s="63"/>
    </row>
    <row r="323" spans="1:12" ht="27.95" customHeight="1" thickBot="1">
      <c r="A323" s="76" t="s">
        <v>202</v>
      </c>
      <c r="B323" s="393" t="e">
        <f>'PUNJAB 04-22Master'!#REF!</f>
        <v>#REF!</v>
      </c>
      <c r="C323" s="74"/>
      <c r="D323" s="74"/>
      <c r="E323" s="74"/>
      <c r="F323" s="249" t="str">
        <f>'PUNJAB 04-22Master'!F6</f>
        <v>Siri Mansion LIGB 436 Dr.A S Rao Nagar,Hyderabad</v>
      </c>
      <c r="G323" s="249"/>
      <c r="H323" s="249"/>
      <c r="I323" s="249"/>
      <c r="J323" s="249"/>
      <c r="K323" s="249"/>
      <c r="L323" s="75"/>
    </row>
    <row r="324" spans="1:12" ht="27.95" customHeight="1" thickBot="1">
      <c r="A324" s="62"/>
      <c r="B324" s="389"/>
      <c r="C324" s="47"/>
      <c r="D324" s="47"/>
      <c r="E324" s="47"/>
      <c r="F324" s="250"/>
      <c r="G324" s="250"/>
      <c r="H324" s="250"/>
      <c r="I324" s="250"/>
      <c r="J324" s="250"/>
      <c r="K324" s="250"/>
      <c r="L324" s="63"/>
    </row>
    <row r="325" spans="1:12" ht="27.95" customHeight="1">
      <c r="A325" s="174"/>
      <c r="B325" s="141"/>
      <c r="C325" s="141"/>
      <c r="D325" s="255"/>
      <c r="E325" s="255"/>
      <c r="F325" s="255"/>
      <c r="G325" s="255"/>
      <c r="H325" s="255"/>
      <c r="I325" s="255"/>
      <c r="J325" s="141"/>
      <c r="K325" s="257" t="s">
        <v>216</v>
      </c>
      <c r="L325" s="256"/>
    </row>
    <row r="326" spans="1:12" ht="27.95" customHeight="1">
      <c r="A326" s="62"/>
      <c r="B326" s="869" t="s">
        <v>215</v>
      </c>
      <c r="C326" s="869"/>
      <c r="D326" s="869"/>
      <c r="E326" s="869"/>
      <c r="F326" s="869"/>
      <c r="G326" s="869"/>
      <c r="H326" s="869"/>
      <c r="I326" s="869"/>
      <c r="J326" s="869"/>
      <c r="K326" s="869"/>
      <c r="L326" s="870"/>
    </row>
    <row r="327" spans="1:12" ht="27.95" customHeight="1">
      <c r="A327" s="62"/>
      <c r="B327" s="864" t="s">
        <v>217</v>
      </c>
      <c r="C327" s="864"/>
      <c r="D327" s="864"/>
      <c r="E327" s="864"/>
      <c r="F327" s="864"/>
      <c r="G327" s="864"/>
      <c r="H327" s="864"/>
      <c r="I327" s="864"/>
      <c r="J327" s="864"/>
      <c r="K327" s="864"/>
      <c r="L327" s="871"/>
    </row>
    <row r="328" spans="1:12" ht="27.95" customHeight="1">
      <c r="A328" s="62"/>
      <c r="B328" s="260" t="s">
        <v>218</v>
      </c>
      <c r="C328" s="258"/>
      <c r="D328" s="258"/>
      <c r="E328" s="258"/>
      <c r="F328" s="258"/>
      <c r="G328" s="47"/>
      <c r="H328" s="259"/>
      <c r="I328" s="259"/>
      <c r="J328" s="259"/>
      <c r="K328" s="259"/>
      <c r="L328" s="270"/>
    </row>
    <row r="329" spans="1:12" ht="27.95" customHeight="1">
      <c r="A329" s="62"/>
      <c r="B329" s="258"/>
      <c r="C329" s="258"/>
      <c r="D329" s="258"/>
      <c r="E329" s="258"/>
      <c r="F329" s="258"/>
      <c r="G329" s="47"/>
      <c r="H329" s="259"/>
      <c r="I329" s="259"/>
      <c r="J329" s="259"/>
      <c r="K329" s="259"/>
      <c r="L329" s="270"/>
    </row>
    <row r="330" spans="1:12" ht="27.95" customHeight="1">
      <c r="A330" s="62"/>
      <c r="B330" s="762" t="s">
        <v>188</v>
      </c>
      <c r="C330" s="762"/>
      <c r="D330" s="762"/>
      <c r="E330" s="762"/>
      <c r="F330" s="762"/>
      <c r="G330" s="762"/>
      <c r="H330" s="750" t="e">
        <f>'PUNJAB 04-22Master'!#REF!</f>
        <v>#REF!</v>
      </c>
      <c r="I330" s="751"/>
      <c r="J330" s="751"/>
      <c r="K330" s="751"/>
      <c r="L330" s="752"/>
    </row>
    <row r="331" spans="1:12">
      <c r="A331" s="62"/>
      <c r="B331" s="753" t="s">
        <v>189</v>
      </c>
      <c r="C331" s="753"/>
      <c r="D331" s="753"/>
      <c r="E331" s="753"/>
      <c r="F331" s="753"/>
      <c r="G331" s="753"/>
      <c r="H331" s="750" t="e">
        <f>'PUNJAB 04-22Master'!#REF!</f>
        <v>#REF!</v>
      </c>
      <c r="I331" s="751"/>
      <c r="J331" s="751"/>
      <c r="K331" s="751"/>
      <c r="L331" s="752"/>
    </row>
    <row r="332" spans="1:12">
      <c r="A332" s="62"/>
      <c r="B332" s="762" t="s">
        <v>190</v>
      </c>
      <c r="C332" s="762"/>
      <c r="D332" s="762"/>
      <c r="E332" s="762"/>
      <c r="F332" s="762"/>
      <c r="G332" s="762"/>
      <c r="H332" s="750" t="e">
        <f>'PUNJAB 04-22Master'!#REF!</f>
        <v>#REF!</v>
      </c>
      <c r="I332" s="751"/>
      <c r="J332" s="751"/>
      <c r="K332" s="751"/>
      <c r="L332" s="752"/>
    </row>
    <row r="333" spans="1:12">
      <c r="A333" s="62"/>
      <c r="B333" s="762" t="s">
        <v>191</v>
      </c>
      <c r="C333" s="762"/>
      <c r="D333" s="762"/>
      <c r="E333" s="762"/>
      <c r="F333" s="762"/>
      <c r="G333" s="762"/>
      <c r="H333" s="855" t="e">
        <f>'PUNJAB 04-22Master'!#REF!</f>
        <v>#REF!</v>
      </c>
      <c r="I333" s="751"/>
      <c r="J333" s="751"/>
      <c r="K333" s="751"/>
      <c r="L333" s="752"/>
    </row>
    <row r="334" spans="1:12">
      <c r="A334" s="62"/>
      <c r="B334" s="158" t="s">
        <v>192</v>
      </c>
      <c r="C334" s="283"/>
      <c r="D334" s="283"/>
      <c r="E334" s="283"/>
      <c r="F334" s="283"/>
      <c r="G334" s="283"/>
      <c r="H334" s="856" t="s">
        <v>193</v>
      </c>
      <c r="I334" s="857"/>
      <c r="J334" s="857"/>
      <c r="K334" s="857"/>
      <c r="L334" s="858"/>
    </row>
    <row r="335" spans="1:12">
      <c r="A335" s="62"/>
      <c r="B335" s="158" t="s">
        <v>194</v>
      </c>
      <c r="C335" s="283"/>
      <c r="D335" s="283"/>
      <c r="E335" s="283"/>
      <c r="F335" s="283"/>
      <c r="G335" s="283"/>
      <c r="H335" s="337"/>
      <c r="I335" s="338"/>
      <c r="J335" s="244"/>
      <c r="K335" s="338"/>
      <c r="L335" s="342"/>
    </row>
    <row r="336" spans="1:12">
      <c r="A336" s="62"/>
      <c r="B336" s="773" t="s">
        <v>195</v>
      </c>
      <c r="C336" s="773"/>
      <c r="D336" s="773"/>
      <c r="E336" s="773"/>
      <c r="F336" s="773"/>
      <c r="G336" s="773"/>
      <c r="H336" s="767" t="e">
        <f>'PUNJAB 04-22Master'!#REF!</f>
        <v>#REF!</v>
      </c>
      <c r="I336" s="768"/>
      <c r="J336" s="768"/>
      <c r="K336" s="768"/>
      <c r="L336" s="769"/>
    </row>
    <row r="337" spans="1:12">
      <c r="A337" s="62"/>
      <c r="B337" s="762"/>
      <c r="C337" s="762"/>
      <c r="D337" s="762"/>
      <c r="E337" s="762"/>
      <c r="F337" s="762"/>
      <c r="G337" s="762"/>
      <c r="H337" s="763" t="e">
        <f>'PUNJAB 04-22Master'!#REF!</f>
        <v>#REF!</v>
      </c>
      <c r="I337" s="751"/>
      <c r="J337" s="751"/>
      <c r="K337" s="751"/>
      <c r="L337" s="752"/>
    </row>
    <row r="338" spans="1:12">
      <c r="A338" s="62"/>
      <c r="B338" s="762"/>
      <c r="C338" s="762"/>
      <c r="D338" s="762"/>
      <c r="E338" s="762"/>
      <c r="F338" s="762"/>
      <c r="G338" s="762"/>
      <c r="H338" s="750" t="e">
        <f>'PUNJAB 04-22Master'!#REF!</f>
        <v>#REF!</v>
      </c>
      <c r="I338" s="751"/>
      <c r="J338" s="751"/>
      <c r="K338" s="751"/>
      <c r="L338" s="752"/>
    </row>
    <row r="339" spans="1:12">
      <c r="A339" s="62"/>
      <c r="B339" s="144"/>
      <c r="C339" s="144"/>
      <c r="D339" s="144"/>
      <c r="E339" s="144"/>
      <c r="F339" s="47"/>
      <c r="G339" s="152" t="s">
        <v>219</v>
      </c>
      <c r="H339" s="152"/>
      <c r="I339" s="152"/>
      <c r="J339" s="152"/>
      <c r="K339" s="152"/>
      <c r="L339" s="153"/>
    </row>
    <row r="340" spans="1:12">
      <c r="A340" s="62"/>
      <c r="B340" s="251" t="s">
        <v>203</v>
      </c>
      <c r="C340" s="344"/>
      <c r="D340" s="344"/>
      <c r="E340" s="344"/>
      <c r="F340" s="344"/>
      <c r="G340" s="344"/>
      <c r="H340" s="347"/>
      <c r="I340" s="347"/>
      <c r="J340" s="347"/>
      <c r="K340" s="347"/>
      <c r="L340" s="254"/>
    </row>
    <row r="341" spans="1:12">
      <c r="A341" s="62"/>
      <c r="B341" s="251" t="s">
        <v>204</v>
      </c>
      <c r="C341" s="344"/>
      <c r="D341" s="344"/>
      <c r="E341" s="344"/>
      <c r="F341" s="344"/>
      <c r="G341" s="344"/>
      <c r="H341" s="347"/>
      <c r="I341" s="347"/>
      <c r="J341" s="345"/>
      <c r="K341" s="347"/>
      <c r="L341" s="254"/>
    </row>
    <row r="342" spans="1:12" ht="45">
      <c r="A342" s="157"/>
      <c r="B342" s="158" t="s">
        <v>207</v>
      </c>
      <c r="C342" s="283"/>
      <c r="D342" s="339"/>
      <c r="E342" s="341" t="s">
        <v>209</v>
      </c>
      <c r="F342" s="119"/>
      <c r="G342" s="850" t="s">
        <v>208</v>
      </c>
      <c r="H342" s="851"/>
      <c r="I342" s="235" t="s">
        <v>205</v>
      </c>
      <c r="J342" s="239" t="s">
        <v>210</v>
      </c>
      <c r="K342" s="850" t="s">
        <v>206</v>
      </c>
      <c r="L342" s="852"/>
    </row>
    <row r="343" spans="1:12">
      <c r="A343" s="157"/>
      <c r="B343" s="240">
        <v>1</v>
      </c>
      <c r="C343" s="283"/>
      <c r="D343" s="283"/>
      <c r="E343" s="243">
        <v>2</v>
      </c>
      <c r="F343" s="284"/>
      <c r="G343" s="243">
        <v>3</v>
      </c>
      <c r="H343" s="339"/>
      <c r="I343" s="339">
        <v>4</v>
      </c>
      <c r="J343" s="328">
        <v>5</v>
      </c>
      <c r="K343" s="159"/>
      <c r="L343" s="160">
        <v>6</v>
      </c>
    </row>
    <row r="344" spans="1:12">
      <c r="A344" s="157"/>
      <c r="B344" s="158" t="e">
        <f>'PUNJAB 04-22Master'!#REF!</f>
        <v>#REF!</v>
      </c>
      <c r="C344" s="261"/>
      <c r="D344" s="262"/>
      <c r="E344" s="263" t="s">
        <v>368</v>
      </c>
      <c r="F344" s="262"/>
      <c r="G344" s="263" t="s">
        <v>366</v>
      </c>
      <c r="H344" s="119"/>
      <c r="I344" s="30" t="s">
        <v>369</v>
      </c>
      <c r="J344" s="390">
        <v>1</v>
      </c>
      <c r="K344" s="264" t="s">
        <v>37</v>
      </c>
      <c r="L344" s="271"/>
    </row>
    <row r="345" spans="1:12">
      <c r="A345" s="157"/>
      <c r="B345" s="158"/>
      <c r="C345" s="261"/>
      <c r="D345" s="262"/>
      <c r="E345" s="263"/>
      <c r="F345" s="262"/>
      <c r="G345" s="263"/>
      <c r="H345" s="119"/>
      <c r="I345" s="30"/>
      <c r="J345" s="30"/>
      <c r="K345" s="264"/>
      <c r="L345" s="271"/>
    </row>
    <row r="346" spans="1:12">
      <c r="A346" s="157"/>
      <c r="B346" s="158"/>
      <c r="C346" s="261"/>
      <c r="D346" s="262"/>
      <c r="E346" s="263"/>
      <c r="F346" s="262"/>
      <c r="G346" s="263"/>
      <c r="H346" s="119"/>
      <c r="I346" s="30"/>
      <c r="J346" s="30"/>
      <c r="K346" s="264"/>
      <c r="L346" s="271"/>
    </row>
    <row r="347" spans="1:12">
      <c r="A347" s="157"/>
      <c r="B347" s="127"/>
      <c r="C347" s="68"/>
      <c r="D347" s="128"/>
      <c r="E347" s="263"/>
      <c r="F347" s="262"/>
      <c r="G347" s="263"/>
      <c r="H347" s="119"/>
      <c r="I347" s="30"/>
      <c r="J347" s="30"/>
      <c r="K347" s="264"/>
      <c r="L347" s="271"/>
    </row>
    <row r="348" spans="1:12">
      <c r="A348" s="157"/>
      <c r="B348" s="47" t="s">
        <v>211</v>
      </c>
      <c r="C348" s="47"/>
      <c r="D348" s="47"/>
      <c r="E348" s="47"/>
      <c r="F348" s="47"/>
      <c r="G348" s="47"/>
      <c r="H348" s="47"/>
      <c r="I348" s="47"/>
      <c r="J348" s="47"/>
      <c r="K348" s="47"/>
      <c r="L348" s="63"/>
    </row>
    <row r="349" spans="1:12">
      <c r="A349" s="62"/>
      <c r="B349" s="47" t="s">
        <v>212</v>
      </c>
      <c r="C349" s="47"/>
      <c r="D349" s="47"/>
      <c r="E349" s="47"/>
      <c r="F349" s="47"/>
      <c r="G349" s="47"/>
      <c r="H349" s="47"/>
      <c r="I349" s="47"/>
      <c r="J349" s="47"/>
      <c r="K349" s="47"/>
      <c r="L349" s="63"/>
    </row>
    <row r="350" spans="1:12">
      <c r="A350" s="62"/>
      <c r="B350" s="47" t="s">
        <v>223</v>
      </c>
      <c r="C350" s="47"/>
      <c r="D350" s="47"/>
      <c r="E350" s="47"/>
      <c r="F350" s="47"/>
      <c r="G350" s="47"/>
      <c r="H350" s="47"/>
      <c r="I350" s="47"/>
      <c r="J350" s="47" t="s">
        <v>222</v>
      </c>
      <c r="K350" s="47"/>
      <c r="L350" s="63"/>
    </row>
    <row r="351" spans="1:12">
      <c r="A351" s="62"/>
      <c r="B351" s="144"/>
      <c r="C351" s="144"/>
      <c r="D351" s="144"/>
      <c r="E351" s="144"/>
      <c r="F351" s="47"/>
      <c r="G351" s="152" t="s">
        <v>220</v>
      </c>
      <c r="H351" s="152"/>
      <c r="I351" s="152"/>
      <c r="J351" s="152"/>
      <c r="K351" s="152"/>
      <c r="L351" s="153"/>
    </row>
    <row r="352" spans="1:12">
      <c r="A352" s="62"/>
      <c r="B352" s="152"/>
      <c r="C352" s="144"/>
      <c r="D352" s="144"/>
      <c r="E352" s="144"/>
      <c r="F352" s="144"/>
      <c r="G352" s="47" t="s">
        <v>221</v>
      </c>
      <c r="H352" s="152"/>
      <c r="I352" s="152"/>
      <c r="J352" s="152"/>
      <c r="K352" s="152"/>
      <c r="L352" s="153"/>
    </row>
    <row r="353" spans="1:12">
      <c r="A353" s="62"/>
      <c r="B353" s="251" t="s">
        <v>224</v>
      </c>
      <c r="C353" s="344"/>
      <c r="D353" s="344"/>
      <c r="E353" s="344"/>
      <c r="F353" s="344"/>
      <c r="G353" s="344"/>
      <c r="H353" s="347"/>
      <c r="I353" s="347"/>
      <c r="J353" s="347"/>
      <c r="K353" s="347"/>
      <c r="L353" s="254"/>
    </row>
    <row r="354" spans="1:12">
      <c r="A354" s="62"/>
      <c r="B354" s="251" t="s">
        <v>225</v>
      </c>
      <c r="C354" s="344"/>
      <c r="D354" s="344"/>
      <c r="E354" s="344"/>
      <c r="F354" s="344"/>
      <c r="G354" s="344"/>
      <c r="H354" s="347"/>
      <c r="I354" s="347"/>
      <c r="J354" s="345"/>
      <c r="K354" s="347"/>
      <c r="L354" s="254"/>
    </row>
    <row r="355" spans="1:12">
      <c r="A355" s="62"/>
      <c r="B355" s="158" t="s">
        <v>5</v>
      </c>
      <c r="C355" s="872" t="s">
        <v>226</v>
      </c>
      <c r="D355" s="848"/>
      <c r="E355" s="848"/>
      <c r="F355" s="848"/>
      <c r="G355" s="848"/>
      <c r="H355" s="873"/>
      <c r="I355" s="335" t="s">
        <v>110</v>
      </c>
      <c r="J355" s="874" t="s">
        <v>227</v>
      </c>
      <c r="K355" s="875"/>
      <c r="L355" s="876"/>
    </row>
    <row r="356" spans="1:12">
      <c r="A356" s="62"/>
      <c r="B356" s="240">
        <v>1</v>
      </c>
      <c r="C356" s="282"/>
      <c r="D356" s="338"/>
      <c r="E356" s="237">
        <v>2</v>
      </c>
      <c r="F356" s="118"/>
      <c r="G356" s="868"/>
      <c r="H356" s="851"/>
      <c r="I356" s="338">
        <v>3</v>
      </c>
      <c r="J356" s="268" t="s">
        <v>228</v>
      </c>
      <c r="K356" s="877">
        <v>4</v>
      </c>
      <c r="L356" s="878"/>
    </row>
    <row r="357" spans="1:12">
      <c r="A357" s="62"/>
      <c r="B357" s="158"/>
      <c r="C357" s="282"/>
      <c r="D357" s="338"/>
      <c r="E357" s="237"/>
      <c r="F357" s="118"/>
      <c r="G357" s="868"/>
      <c r="H357" s="851"/>
      <c r="I357" s="264"/>
      <c r="J357" s="267"/>
      <c r="K357" s="868"/>
      <c r="L357" s="852"/>
    </row>
    <row r="358" spans="1:12">
      <c r="A358" s="62"/>
      <c r="B358" s="158"/>
      <c r="C358" s="282"/>
      <c r="D358" s="338"/>
      <c r="E358" s="237"/>
      <c r="F358" s="118"/>
      <c r="G358" s="868"/>
      <c r="H358" s="851"/>
      <c r="I358" s="264"/>
      <c r="J358" s="267"/>
      <c r="K358" s="868"/>
      <c r="L358" s="852"/>
    </row>
    <row r="359" spans="1:12">
      <c r="A359" s="62"/>
      <c r="B359" s="158"/>
      <c r="C359" s="282"/>
      <c r="D359" s="338"/>
      <c r="E359" s="237"/>
      <c r="F359" s="118"/>
      <c r="G359" s="868"/>
      <c r="H359" s="851"/>
      <c r="I359" s="264"/>
      <c r="J359" s="267"/>
      <c r="K359" s="868"/>
      <c r="L359" s="852"/>
    </row>
    <row r="360" spans="1:12">
      <c r="A360" s="62"/>
      <c r="B360" s="127"/>
      <c r="C360" s="282"/>
      <c r="D360" s="338"/>
      <c r="E360" s="237"/>
      <c r="F360" s="118"/>
      <c r="G360" s="868"/>
      <c r="H360" s="851"/>
      <c r="I360" s="264"/>
      <c r="J360" s="267"/>
      <c r="K360" s="868"/>
      <c r="L360" s="852"/>
    </row>
    <row r="361" spans="1:12">
      <c r="A361" s="62"/>
      <c r="B361" s="47" t="s">
        <v>232</v>
      </c>
      <c r="C361" s="47"/>
      <c r="D361" s="47"/>
      <c r="E361" s="47"/>
      <c r="F361" s="47"/>
      <c r="G361" s="47"/>
      <c r="H361" s="47"/>
      <c r="I361" s="47"/>
      <c r="J361" s="47"/>
      <c r="K361" s="47"/>
      <c r="L361" s="63"/>
    </row>
    <row r="362" spans="1:12">
      <c r="A362" s="62"/>
      <c r="B362" s="47" t="s">
        <v>233</v>
      </c>
      <c r="C362" s="47"/>
      <c r="D362" s="47"/>
      <c r="E362" s="47"/>
      <c r="F362" s="47"/>
      <c r="G362" s="47"/>
      <c r="H362" s="47"/>
      <c r="I362" s="47"/>
      <c r="J362" s="47"/>
      <c r="K362" s="47"/>
      <c r="L362" s="63"/>
    </row>
    <row r="363" spans="1:12">
      <c r="A363" s="62"/>
      <c r="B363" s="47" t="s">
        <v>234</v>
      </c>
      <c r="C363" s="47"/>
      <c r="D363" s="47"/>
      <c r="E363" s="47"/>
      <c r="F363" s="47"/>
      <c r="G363" s="47"/>
      <c r="H363" s="47"/>
      <c r="I363" s="47"/>
      <c r="J363" s="47"/>
      <c r="K363" s="47"/>
      <c r="L363" s="63"/>
    </row>
    <row r="364" spans="1:12">
      <c r="A364" s="62"/>
      <c r="B364" s="269" t="s">
        <v>235</v>
      </c>
      <c r="C364" s="47"/>
      <c r="D364" s="47"/>
      <c r="E364" s="47"/>
      <c r="F364" s="47"/>
      <c r="G364" s="47"/>
      <c r="H364" s="47"/>
      <c r="I364" s="47"/>
      <c r="J364" s="47"/>
      <c r="K364" s="47"/>
      <c r="L364" s="63"/>
    </row>
    <row r="365" spans="1:12">
      <c r="A365" s="62"/>
      <c r="B365" s="263" t="s">
        <v>229</v>
      </c>
      <c r="C365" s="118"/>
      <c r="D365" s="118"/>
      <c r="E365" s="118"/>
      <c r="F365" s="119"/>
      <c r="G365" s="263" t="s">
        <v>205</v>
      </c>
      <c r="H365" s="119"/>
      <c r="I365" s="263" t="s">
        <v>230</v>
      </c>
      <c r="J365" s="118"/>
      <c r="K365" s="119"/>
      <c r="L365" s="63"/>
    </row>
    <row r="366" spans="1:12" ht="27.95" customHeight="1">
      <c r="A366" s="62"/>
      <c r="B366" s="853"/>
      <c r="C366" s="867"/>
      <c r="D366" s="867"/>
      <c r="E366" s="867"/>
      <c r="F366" s="854"/>
      <c r="G366" s="853"/>
      <c r="H366" s="854"/>
      <c r="I366" s="853"/>
      <c r="J366" s="867"/>
      <c r="K366" s="854"/>
      <c r="L366" s="63"/>
    </row>
    <row r="367" spans="1:12" ht="27.95" customHeight="1">
      <c r="A367" s="62"/>
      <c r="B367" s="853"/>
      <c r="C367" s="867"/>
      <c r="D367" s="867"/>
      <c r="E367" s="867"/>
      <c r="F367" s="854"/>
      <c r="G367" s="853"/>
      <c r="H367" s="854"/>
      <c r="I367" s="853"/>
      <c r="J367" s="867"/>
      <c r="K367" s="854"/>
      <c r="L367" s="63"/>
    </row>
    <row r="368" spans="1:12" ht="27.95" customHeight="1">
      <c r="A368" s="62"/>
      <c r="B368" s="853"/>
      <c r="C368" s="867"/>
      <c r="D368" s="867"/>
      <c r="E368" s="867"/>
      <c r="F368" s="854"/>
      <c r="G368" s="853"/>
      <c r="H368" s="854"/>
      <c r="I368" s="853"/>
      <c r="J368" s="867"/>
      <c r="K368" s="854"/>
      <c r="L368" s="63"/>
    </row>
    <row r="369" spans="1:12" ht="27.95" customHeight="1">
      <c r="A369" s="62"/>
      <c r="B369" s="853"/>
      <c r="C369" s="867"/>
      <c r="D369" s="867"/>
      <c r="E369" s="867"/>
      <c r="F369" s="854"/>
      <c r="G369" s="853"/>
      <c r="H369" s="854"/>
      <c r="I369" s="853"/>
      <c r="J369" s="867"/>
      <c r="K369" s="854"/>
      <c r="L369" s="63"/>
    </row>
    <row r="370" spans="1:12" ht="27.95" customHeight="1">
      <c r="A370" s="62"/>
      <c r="B370" s="47"/>
      <c r="C370" s="47"/>
      <c r="D370" s="47"/>
      <c r="E370" s="47"/>
      <c r="F370" s="47"/>
      <c r="G370" s="47"/>
      <c r="H370" s="47"/>
      <c r="I370" s="47"/>
      <c r="J370" s="47"/>
      <c r="K370" s="47"/>
      <c r="L370" s="63"/>
    </row>
    <row r="371" spans="1:12" ht="27.95" customHeight="1">
      <c r="A371" s="62"/>
      <c r="B371" s="47" t="s">
        <v>202</v>
      </c>
      <c r="C371" s="389" t="e">
        <f>'PUNJAB 04-22Master'!#REF!</f>
        <v>#REF!</v>
      </c>
      <c r="D371" s="47"/>
      <c r="E371" s="47"/>
      <c r="F371" s="47"/>
      <c r="G371" s="47"/>
      <c r="H371" s="47"/>
      <c r="I371" s="47" t="s">
        <v>231</v>
      </c>
      <c r="J371" s="47"/>
      <c r="K371" s="47"/>
      <c r="L371" s="63"/>
    </row>
    <row r="372" spans="1:12" ht="27.95" customHeight="1">
      <c r="A372" s="62"/>
      <c r="B372" s="47"/>
      <c r="C372" s="47"/>
      <c r="D372" s="47"/>
      <c r="E372" s="47"/>
      <c r="F372" s="248" t="s">
        <v>197</v>
      </c>
      <c r="G372" s="47"/>
      <c r="H372" s="47"/>
      <c r="I372" s="47"/>
      <c r="J372" s="47"/>
      <c r="K372" s="47"/>
      <c r="L372" s="63"/>
    </row>
    <row r="373" spans="1:12" ht="27.95" customHeight="1">
      <c r="A373" s="62" t="s">
        <v>198</v>
      </c>
      <c r="B373" s="47"/>
      <c r="C373" s="47"/>
      <c r="D373" s="47"/>
      <c r="E373" s="47"/>
      <c r="F373" s="47"/>
      <c r="G373" s="47"/>
      <c r="H373" s="47"/>
      <c r="I373" s="47"/>
      <c r="J373" s="47"/>
      <c r="K373" s="306" t="e">
        <f>'PUNJAB 04-22Master'!#REF!</f>
        <v>#REF!</v>
      </c>
      <c r="L373" s="63"/>
    </row>
    <row r="374" spans="1:12" ht="27.95" customHeight="1">
      <c r="A374" s="62" t="s">
        <v>199</v>
      </c>
      <c r="B374" s="47"/>
      <c r="C374" s="47"/>
      <c r="D374" s="47"/>
      <c r="E374" s="47"/>
      <c r="F374" s="47"/>
      <c r="G374" s="47"/>
      <c r="H374" s="47"/>
      <c r="I374" s="47"/>
      <c r="J374" s="47"/>
      <c r="K374" s="47"/>
      <c r="L374" s="63"/>
    </row>
    <row r="375" spans="1:12" ht="27.95" customHeight="1">
      <c r="A375" s="62"/>
      <c r="B375" s="47"/>
      <c r="C375" s="47"/>
      <c r="D375" s="47"/>
      <c r="E375" s="47"/>
      <c r="F375" s="47"/>
      <c r="G375" s="47"/>
      <c r="H375" s="47"/>
      <c r="I375" s="47"/>
      <c r="J375" s="47"/>
      <c r="K375" s="47"/>
      <c r="L375" s="63"/>
    </row>
    <row r="376" spans="1:12" ht="27.95" customHeight="1">
      <c r="A376" s="62"/>
      <c r="B376" s="47"/>
      <c r="C376" s="47"/>
      <c r="D376" s="47"/>
      <c r="E376" s="47"/>
      <c r="F376" s="47" t="s">
        <v>200</v>
      </c>
      <c r="G376" s="47"/>
      <c r="H376" s="47"/>
      <c r="I376" s="47"/>
      <c r="J376" s="47"/>
      <c r="K376" s="47"/>
      <c r="L376" s="63"/>
    </row>
    <row r="377" spans="1:12" ht="27.95" customHeight="1">
      <c r="A377" s="62" t="s">
        <v>201</v>
      </c>
      <c r="B377" s="47" t="s">
        <v>364</v>
      </c>
      <c r="C377" s="47"/>
      <c r="D377" s="47"/>
      <c r="E377" s="47"/>
      <c r="F377" s="47" t="str">
        <f>'PUNJAB 04-22Master'!F5</f>
        <v>Burgeon IT Services Pvt.Ltd.</v>
      </c>
      <c r="G377" s="47"/>
      <c r="H377" s="47"/>
      <c r="I377" s="47"/>
      <c r="J377" s="47"/>
      <c r="K377" s="47"/>
      <c r="L377" s="63"/>
    </row>
    <row r="378" spans="1:12" ht="27.95" customHeight="1" thickBot="1">
      <c r="A378" s="76" t="s">
        <v>202</v>
      </c>
      <c r="B378" s="393" t="e">
        <f>'PUNJAB 04-22Master'!#REF!</f>
        <v>#REF!</v>
      </c>
      <c r="C378" s="74"/>
      <c r="D378" s="74"/>
      <c r="E378" s="74"/>
      <c r="F378" s="249" t="str">
        <f>'PUNJAB 04-22Master'!F6</f>
        <v>Siri Mansion LIGB 436 Dr.A S Rao Nagar,Hyderabad</v>
      </c>
      <c r="G378" s="249"/>
      <c r="H378" s="249"/>
      <c r="I378" s="249"/>
      <c r="J378" s="249"/>
      <c r="K378" s="249"/>
      <c r="L378" s="75"/>
    </row>
    <row r="379" spans="1:12" ht="27.95" customHeight="1">
      <c r="A379" s="174"/>
      <c r="B379" s="141"/>
      <c r="C379" s="141"/>
      <c r="D379" s="255"/>
      <c r="E379" s="255"/>
      <c r="F379" s="255"/>
      <c r="G379" s="255"/>
      <c r="H379" s="255"/>
      <c r="I379" s="255"/>
      <c r="J379" s="141"/>
      <c r="K379" s="257" t="s">
        <v>216</v>
      </c>
      <c r="L379" s="256"/>
    </row>
    <row r="380" spans="1:12" ht="27.95" customHeight="1">
      <c r="A380" s="62"/>
      <c r="B380" s="869" t="s">
        <v>215</v>
      </c>
      <c r="C380" s="869"/>
      <c r="D380" s="869"/>
      <c r="E380" s="869"/>
      <c r="F380" s="869"/>
      <c r="G380" s="869"/>
      <c r="H380" s="869"/>
      <c r="I380" s="869"/>
      <c r="J380" s="869"/>
      <c r="K380" s="869"/>
      <c r="L380" s="870"/>
    </row>
    <row r="381" spans="1:12" ht="27.95" customHeight="1">
      <c r="A381" s="62"/>
      <c r="B381" s="864" t="s">
        <v>217</v>
      </c>
      <c r="C381" s="864"/>
      <c r="D381" s="864"/>
      <c r="E381" s="864"/>
      <c r="F381" s="864"/>
      <c r="G381" s="864"/>
      <c r="H381" s="864"/>
      <c r="I381" s="864"/>
      <c r="J381" s="864"/>
      <c r="K381" s="864"/>
      <c r="L381" s="871"/>
    </row>
    <row r="382" spans="1:12" ht="27.95" customHeight="1">
      <c r="A382" s="62"/>
      <c r="B382" s="260" t="s">
        <v>218</v>
      </c>
      <c r="C382" s="258"/>
      <c r="D382" s="258"/>
      <c r="E382" s="258"/>
      <c r="F382" s="258"/>
      <c r="G382" s="47"/>
      <c r="H382" s="259"/>
      <c r="I382" s="259"/>
      <c r="J382" s="259"/>
      <c r="K382" s="259"/>
      <c r="L382" s="270"/>
    </row>
    <row r="383" spans="1:12" ht="27.95" customHeight="1">
      <c r="A383" s="62"/>
      <c r="B383" s="258"/>
      <c r="C383" s="258"/>
      <c r="D383" s="258"/>
      <c r="E383" s="258"/>
      <c r="F383" s="258"/>
      <c r="G383" s="47"/>
      <c r="H383" s="259"/>
      <c r="I383" s="259"/>
      <c r="J383" s="259"/>
      <c r="K383" s="259"/>
      <c r="L383" s="270"/>
    </row>
    <row r="384" spans="1:12">
      <c r="A384" s="62"/>
      <c r="B384" s="762" t="s">
        <v>188</v>
      </c>
      <c r="C384" s="762"/>
      <c r="D384" s="762"/>
      <c r="E384" s="762"/>
      <c r="F384" s="762"/>
      <c r="G384" s="762"/>
      <c r="H384" s="750" t="e">
        <f>'PUNJAB 04-22Master'!#REF!</f>
        <v>#REF!</v>
      </c>
      <c r="I384" s="751"/>
      <c r="J384" s="751"/>
      <c r="K384" s="751"/>
      <c r="L384" s="752"/>
    </row>
    <row r="385" spans="1:12">
      <c r="A385" s="62"/>
      <c r="B385" s="753" t="s">
        <v>189</v>
      </c>
      <c r="C385" s="753"/>
      <c r="D385" s="753"/>
      <c r="E385" s="753"/>
      <c r="F385" s="753"/>
      <c r="G385" s="753"/>
      <c r="H385" s="750" t="e">
        <f>'PUNJAB 04-22Master'!#REF!</f>
        <v>#REF!</v>
      </c>
      <c r="I385" s="751"/>
      <c r="J385" s="751"/>
      <c r="K385" s="751"/>
      <c r="L385" s="752"/>
    </row>
    <row r="386" spans="1:12">
      <c r="A386" s="62"/>
      <c r="B386" s="762" t="s">
        <v>190</v>
      </c>
      <c r="C386" s="762"/>
      <c r="D386" s="762"/>
      <c r="E386" s="762"/>
      <c r="F386" s="762"/>
      <c r="G386" s="762"/>
      <c r="H386" s="750" t="e">
        <f>'PUNJAB 04-22Master'!#REF!</f>
        <v>#REF!</v>
      </c>
      <c r="I386" s="751"/>
      <c r="J386" s="751"/>
      <c r="K386" s="751"/>
      <c r="L386" s="752"/>
    </row>
    <row r="387" spans="1:12">
      <c r="A387" s="62"/>
      <c r="B387" s="762" t="s">
        <v>191</v>
      </c>
      <c r="C387" s="762"/>
      <c r="D387" s="762"/>
      <c r="E387" s="762"/>
      <c r="F387" s="762"/>
      <c r="G387" s="762"/>
      <c r="H387" s="855" t="e">
        <f>'PUNJAB 04-22Master'!#REF!</f>
        <v>#REF!</v>
      </c>
      <c r="I387" s="751"/>
      <c r="J387" s="751"/>
      <c r="K387" s="751"/>
      <c r="L387" s="752"/>
    </row>
    <row r="388" spans="1:12">
      <c r="A388" s="62"/>
      <c r="B388" s="158" t="s">
        <v>192</v>
      </c>
      <c r="C388" s="283"/>
      <c r="D388" s="283"/>
      <c r="E388" s="283"/>
      <c r="F388" s="283"/>
      <c r="G388" s="283"/>
      <c r="H388" s="856" t="s">
        <v>193</v>
      </c>
      <c r="I388" s="857"/>
      <c r="J388" s="857"/>
      <c r="K388" s="857"/>
      <c r="L388" s="858"/>
    </row>
    <row r="389" spans="1:12">
      <c r="A389" s="62"/>
      <c r="B389" s="158" t="s">
        <v>194</v>
      </c>
      <c r="C389" s="283"/>
      <c r="D389" s="283"/>
      <c r="E389" s="283"/>
      <c r="F389" s="283"/>
      <c r="G389" s="283"/>
      <c r="H389" s="337"/>
      <c r="I389" s="338"/>
      <c r="J389" s="244"/>
      <c r="K389" s="338"/>
      <c r="L389" s="342"/>
    </row>
    <row r="390" spans="1:12" ht="15" customHeight="1">
      <c r="A390" s="62"/>
      <c r="B390" s="773" t="s">
        <v>195</v>
      </c>
      <c r="C390" s="773"/>
      <c r="D390" s="773"/>
      <c r="E390" s="773"/>
      <c r="F390" s="773"/>
      <c r="G390" s="773"/>
      <c r="H390" s="767" t="e">
        <f>'PUNJAB 04-22Master'!#REF!</f>
        <v>#REF!</v>
      </c>
      <c r="I390" s="768"/>
      <c r="J390" s="768"/>
      <c r="K390" s="768"/>
      <c r="L390" s="769"/>
    </row>
    <row r="391" spans="1:12">
      <c r="A391" s="62"/>
      <c r="B391" s="762"/>
      <c r="C391" s="762"/>
      <c r="D391" s="762"/>
      <c r="E391" s="762"/>
      <c r="F391" s="762"/>
      <c r="G391" s="762"/>
      <c r="H391" s="763" t="e">
        <f>'PUNJAB 04-22Master'!#REF!</f>
        <v>#REF!</v>
      </c>
      <c r="I391" s="751"/>
      <c r="J391" s="751"/>
      <c r="K391" s="751"/>
      <c r="L391" s="752"/>
    </row>
    <row r="392" spans="1:12">
      <c r="A392" s="62"/>
      <c r="B392" s="762"/>
      <c r="C392" s="762"/>
      <c r="D392" s="762"/>
      <c r="E392" s="762"/>
      <c r="F392" s="762"/>
      <c r="G392" s="762"/>
      <c r="H392" s="750" t="e">
        <f>'PUNJAB 04-22Master'!#REF!</f>
        <v>#REF!</v>
      </c>
      <c r="I392" s="751"/>
      <c r="J392" s="751"/>
      <c r="K392" s="751"/>
      <c r="L392" s="752"/>
    </row>
    <row r="393" spans="1:12">
      <c r="A393" s="62"/>
      <c r="B393" s="144"/>
      <c r="C393" s="144"/>
      <c r="D393" s="144"/>
      <c r="E393" s="144"/>
      <c r="F393" s="47"/>
      <c r="G393" s="152" t="s">
        <v>219</v>
      </c>
      <c r="H393" s="152"/>
      <c r="I393" s="152"/>
      <c r="J393" s="152"/>
      <c r="K393" s="152"/>
      <c r="L393" s="153"/>
    </row>
    <row r="394" spans="1:12">
      <c r="A394" s="62"/>
      <c r="B394" s="251" t="s">
        <v>203</v>
      </c>
      <c r="C394" s="344"/>
      <c r="D394" s="344"/>
      <c r="E394" s="344"/>
      <c r="F394" s="344"/>
      <c r="G394" s="344"/>
      <c r="H394" s="347"/>
      <c r="I394" s="347"/>
      <c r="J394" s="347"/>
      <c r="K394" s="347"/>
      <c r="L394" s="254"/>
    </row>
    <row r="395" spans="1:12">
      <c r="A395" s="62"/>
      <c r="B395" s="251" t="s">
        <v>204</v>
      </c>
      <c r="C395" s="344"/>
      <c r="D395" s="344"/>
      <c r="E395" s="344"/>
      <c r="F395" s="344"/>
      <c r="G395" s="344"/>
      <c r="H395" s="347"/>
      <c r="I395" s="347"/>
      <c r="J395" s="345"/>
      <c r="K395" s="347"/>
      <c r="L395" s="254"/>
    </row>
    <row r="396" spans="1:12" ht="45">
      <c r="A396" s="157"/>
      <c r="B396" s="158" t="s">
        <v>207</v>
      </c>
      <c r="C396" s="283"/>
      <c r="D396" s="339"/>
      <c r="E396" s="341" t="s">
        <v>209</v>
      </c>
      <c r="F396" s="119"/>
      <c r="G396" s="850" t="s">
        <v>208</v>
      </c>
      <c r="H396" s="851"/>
      <c r="I396" s="235" t="s">
        <v>205</v>
      </c>
      <c r="J396" s="239" t="s">
        <v>210</v>
      </c>
      <c r="K396" s="850" t="s">
        <v>206</v>
      </c>
      <c r="L396" s="852"/>
    </row>
    <row r="397" spans="1:12">
      <c r="A397" s="157"/>
      <c r="B397" s="240">
        <v>1</v>
      </c>
      <c r="C397" s="283"/>
      <c r="D397" s="283"/>
      <c r="E397" s="243">
        <v>2</v>
      </c>
      <c r="F397" s="284"/>
      <c r="G397" s="243">
        <v>3</v>
      </c>
      <c r="H397" s="339"/>
      <c r="I397" s="339">
        <v>4</v>
      </c>
      <c r="J397" s="328">
        <v>5</v>
      </c>
      <c r="K397" s="159"/>
      <c r="L397" s="160">
        <v>6</v>
      </c>
    </row>
    <row r="398" spans="1:12">
      <c r="A398" s="157"/>
      <c r="B398" s="158" t="e">
        <f>'PUNJAB 04-22Master'!#REF!</f>
        <v>#REF!</v>
      </c>
      <c r="C398" s="261"/>
      <c r="D398" s="262"/>
      <c r="E398" s="263" t="s">
        <v>368</v>
      </c>
      <c r="F398" s="262"/>
      <c r="G398" s="263" t="s">
        <v>366</v>
      </c>
      <c r="H398" s="119"/>
      <c r="I398" s="30" t="s">
        <v>369</v>
      </c>
      <c r="J398" s="390">
        <v>1</v>
      </c>
      <c r="K398" s="264" t="s">
        <v>37</v>
      </c>
      <c r="L398" s="271"/>
    </row>
    <row r="399" spans="1:12">
      <c r="A399" s="157"/>
      <c r="B399" s="158"/>
      <c r="C399" s="261"/>
      <c r="D399" s="262"/>
      <c r="E399" s="263"/>
      <c r="F399" s="262"/>
      <c r="G399" s="263"/>
      <c r="H399" s="119"/>
      <c r="I399" s="30"/>
      <c r="J399" s="30"/>
      <c r="K399" s="264"/>
      <c r="L399" s="271"/>
    </row>
    <row r="400" spans="1:12">
      <c r="A400" s="157"/>
      <c r="B400" s="158"/>
      <c r="C400" s="261"/>
      <c r="D400" s="262"/>
      <c r="E400" s="263"/>
      <c r="F400" s="262"/>
      <c r="G400" s="263"/>
      <c r="H400" s="119"/>
      <c r="I400" s="30"/>
      <c r="J400" s="30"/>
      <c r="K400" s="264"/>
      <c r="L400" s="271"/>
    </row>
    <row r="401" spans="1:12">
      <c r="A401" s="157"/>
      <c r="B401" s="127"/>
      <c r="C401" s="68"/>
      <c r="D401" s="128"/>
      <c r="E401" s="263"/>
      <c r="F401" s="262"/>
      <c r="G401" s="263"/>
      <c r="H401" s="119"/>
      <c r="I401" s="30"/>
      <c r="J401" s="30"/>
      <c r="K401" s="264"/>
      <c r="L401" s="271"/>
    </row>
    <row r="402" spans="1:12">
      <c r="A402" s="157"/>
      <c r="B402" s="47" t="s">
        <v>211</v>
      </c>
      <c r="C402" s="47"/>
      <c r="D402" s="47"/>
      <c r="E402" s="47"/>
      <c r="F402" s="47"/>
      <c r="G402" s="47"/>
      <c r="H402" s="47"/>
      <c r="I402" s="47"/>
      <c r="J402" s="47"/>
      <c r="K402" s="47"/>
      <c r="L402" s="63"/>
    </row>
    <row r="403" spans="1:12">
      <c r="A403" s="62"/>
      <c r="B403" s="47" t="s">
        <v>212</v>
      </c>
      <c r="C403" s="47"/>
      <c r="D403" s="47"/>
      <c r="E403" s="47"/>
      <c r="F403" s="47"/>
      <c r="G403" s="47"/>
      <c r="H403" s="47"/>
      <c r="I403" s="47"/>
      <c r="J403" s="47"/>
      <c r="K403" s="47"/>
      <c r="L403" s="63"/>
    </row>
    <row r="404" spans="1:12">
      <c r="A404" s="62"/>
      <c r="B404" s="47" t="s">
        <v>223</v>
      </c>
      <c r="C404" s="47"/>
      <c r="D404" s="47"/>
      <c r="E404" s="47"/>
      <c r="F404" s="47"/>
      <c r="G404" s="47"/>
      <c r="H404" s="47"/>
      <c r="I404" s="47"/>
      <c r="J404" s="47" t="s">
        <v>222</v>
      </c>
      <c r="K404" s="47"/>
      <c r="L404" s="63"/>
    </row>
    <row r="405" spans="1:12" ht="21" customHeight="1">
      <c r="A405" s="62"/>
      <c r="B405" s="144"/>
      <c r="C405" s="144"/>
      <c r="D405" s="144"/>
      <c r="E405" s="144"/>
      <c r="F405" s="47"/>
      <c r="G405" s="152" t="s">
        <v>220</v>
      </c>
      <c r="H405" s="152"/>
      <c r="I405" s="152"/>
      <c r="J405" s="152"/>
      <c r="K405" s="152"/>
      <c r="L405" s="153"/>
    </row>
    <row r="406" spans="1:12" ht="15" customHeight="1">
      <c r="A406" s="62"/>
      <c r="B406" s="152"/>
      <c r="C406" s="144"/>
      <c r="D406" s="144"/>
      <c r="E406" s="144"/>
      <c r="F406" s="144"/>
      <c r="G406" s="47" t="s">
        <v>221</v>
      </c>
      <c r="H406" s="152"/>
      <c r="I406" s="152"/>
      <c r="J406" s="152"/>
      <c r="K406" s="152"/>
      <c r="L406" s="153"/>
    </row>
    <row r="407" spans="1:12" ht="20.25" customHeight="1">
      <c r="A407" s="62"/>
      <c r="B407" s="251" t="s">
        <v>224</v>
      </c>
      <c r="C407" s="344"/>
      <c r="D407" s="344"/>
      <c r="E407" s="344"/>
      <c r="F407" s="344"/>
      <c r="G407" s="344"/>
      <c r="H407" s="347"/>
      <c r="I407" s="347"/>
      <c r="J407" s="347"/>
      <c r="K407" s="347"/>
      <c r="L407" s="254"/>
    </row>
    <row r="408" spans="1:12" ht="18.75" customHeight="1">
      <c r="A408" s="62"/>
      <c r="B408" s="251" t="s">
        <v>225</v>
      </c>
      <c r="C408" s="344"/>
      <c r="D408" s="344"/>
      <c r="E408" s="344"/>
      <c r="F408" s="344"/>
      <c r="G408" s="344"/>
      <c r="H408" s="347"/>
      <c r="I408" s="347"/>
      <c r="J408" s="345"/>
      <c r="K408" s="347"/>
      <c r="L408" s="254"/>
    </row>
    <row r="409" spans="1:12" ht="27.95" customHeight="1">
      <c r="A409" s="62"/>
      <c r="B409" s="158" t="s">
        <v>5</v>
      </c>
      <c r="C409" s="872" t="s">
        <v>226</v>
      </c>
      <c r="D409" s="848"/>
      <c r="E409" s="848"/>
      <c r="F409" s="848"/>
      <c r="G409" s="848"/>
      <c r="H409" s="873"/>
      <c r="I409" s="335" t="s">
        <v>110</v>
      </c>
      <c r="J409" s="874" t="s">
        <v>227</v>
      </c>
      <c r="K409" s="875"/>
      <c r="L409" s="876"/>
    </row>
    <row r="410" spans="1:12" ht="27.95" customHeight="1">
      <c r="A410" s="62"/>
      <c r="B410" s="240">
        <v>1</v>
      </c>
      <c r="C410" s="282"/>
      <c r="D410" s="338"/>
      <c r="E410" s="237">
        <v>2</v>
      </c>
      <c r="F410" s="118"/>
      <c r="G410" s="868"/>
      <c r="H410" s="851"/>
      <c r="I410" s="338">
        <v>3</v>
      </c>
      <c r="J410" s="268" t="s">
        <v>228</v>
      </c>
      <c r="K410" s="877">
        <v>4</v>
      </c>
      <c r="L410" s="878"/>
    </row>
    <row r="411" spans="1:12" ht="27.95" customHeight="1">
      <c r="A411" s="62"/>
      <c r="B411" s="158"/>
      <c r="C411" s="282"/>
      <c r="D411" s="338"/>
      <c r="E411" s="237"/>
      <c r="F411" s="118"/>
      <c r="G411" s="868"/>
      <c r="H411" s="851"/>
      <c r="I411" s="264"/>
      <c r="J411" s="267"/>
      <c r="K411" s="868"/>
      <c r="L411" s="852"/>
    </row>
    <row r="412" spans="1:12" ht="27.95" customHeight="1">
      <c r="A412" s="62"/>
      <c r="B412" s="158"/>
      <c r="C412" s="282"/>
      <c r="D412" s="338"/>
      <c r="E412" s="237"/>
      <c r="F412" s="118"/>
      <c r="G412" s="868"/>
      <c r="H412" s="851"/>
      <c r="I412" s="264"/>
      <c r="J412" s="267"/>
      <c r="K412" s="868"/>
      <c r="L412" s="852"/>
    </row>
    <row r="413" spans="1:12" ht="27.95" customHeight="1">
      <c r="A413" s="62"/>
      <c r="B413" s="158"/>
      <c r="C413" s="282"/>
      <c r="D413" s="338"/>
      <c r="E413" s="237"/>
      <c r="F413" s="118"/>
      <c r="G413" s="868"/>
      <c r="H413" s="851"/>
      <c r="I413" s="264"/>
      <c r="J413" s="267"/>
      <c r="K413" s="868"/>
      <c r="L413" s="852"/>
    </row>
    <row r="414" spans="1:12" ht="27.95" customHeight="1">
      <c r="A414" s="62"/>
      <c r="B414" s="127"/>
      <c r="C414" s="282"/>
      <c r="D414" s="338"/>
      <c r="E414" s="237"/>
      <c r="F414" s="118"/>
      <c r="G414" s="868"/>
      <c r="H414" s="851"/>
      <c r="I414" s="264"/>
      <c r="J414" s="267"/>
      <c r="K414" s="868"/>
      <c r="L414" s="852"/>
    </row>
    <row r="415" spans="1:12" ht="27.95" customHeight="1">
      <c r="A415" s="62"/>
      <c r="B415" s="47" t="s">
        <v>232</v>
      </c>
      <c r="C415" s="47"/>
      <c r="D415" s="47"/>
      <c r="E415" s="47"/>
      <c r="F415" s="47"/>
      <c r="G415" s="47"/>
      <c r="H415" s="47"/>
      <c r="I415" s="47"/>
      <c r="J415" s="47"/>
      <c r="K415" s="47"/>
      <c r="L415" s="63"/>
    </row>
    <row r="416" spans="1:12" ht="21" customHeight="1">
      <c r="A416" s="62"/>
      <c r="B416" s="47" t="s">
        <v>233</v>
      </c>
      <c r="C416" s="47"/>
      <c r="D416" s="47"/>
      <c r="E416" s="47"/>
      <c r="F416" s="47"/>
      <c r="G416" s="47"/>
      <c r="H416" s="47"/>
      <c r="I416" s="47"/>
      <c r="J416" s="47"/>
      <c r="K416" s="47"/>
      <c r="L416" s="63"/>
    </row>
    <row r="417" spans="1:12" ht="18" customHeight="1">
      <c r="A417" s="62"/>
      <c r="B417" s="47" t="s">
        <v>234</v>
      </c>
      <c r="C417" s="47"/>
      <c r="D417" s="47"/>
      <c r="E417" s="47"/>
      <c r="F417" s="47"/>
      <c r="G417" s="47"/>
      <c r="H417" s="47"/>
      <c r="I417" s="47"/>
      <c r="J417" s="47"/>
      <c r="K417" s="47"/>
      <c r="L417" s="63"/>
    </row>
    <row r="418" spans="1:12" ht="23.25" customHeight="1">
      <c r="A418" s="62"/>
      <c r="B418" s="269" t="s">
        <v>235</v>
      </c>
      <c r="C418" s="47"/>
      <c r="D418" s="47"/>
      <c r="E418" s="47"/>
      <c r="F418" s="47"/>
      <c r="G418" s="47"/>
      <c r="H418" s="47"/>
      <c r="I418" s="47"/>
      <c r="J418" s="47"/>
      <c r="K418" s="47"/>
      <c r="L418" s="63"/>
    </row>
    <row r="419" spans="1:12" ht="27.95" customHeight="1">
      <c r="A419" s="62"/>
      <c r="B419" s="263" t="s">
        <v>229</v>
      </c>
      <c r="C419" s="118"/>
      <c r="D419" s="118"/>
      <c r="E419" s="118"/>
      <c r="F419" s="119"/>
      <c r="G419" s="263" t="s">
        <v>205</v>
      </c>
      <c r="H419" s="119"/>
      <c r="I419" s="263" t="s">
        <v>230</v>
      </c>
      <c r="J419" s="118"/>
      <c r="K419" s="119"/>
      <c r="L419" s="63"/>
    </row>
    <row r="420" spans="1:12" ht="27.95" customHeight="1">
      <c r="A420" s="62"/>
      <c r="B420" s="853"/>
      <c r="C420" s="867"/>
      <c r="D420" s="867"/>
      <c r="E420" s="867"/>
      <c r="F420" s="854"/>
      <c r="G420" s="853"/>
      <c r="H420" s="854"/>
      <c r="I420" s="853"/>
      <c r="J420" s="867"/>
      <c r="K420" s="854"/>
      <c r="L420" s="63"/>
    </row>
    <row r="421" spans="1:12" ht="27.95" customHeight="1">
      <c r="A421" s="62"/>
      <c r="B421" s="853"/>
      <c r="C421" s="867"/>
      <c r="D421" s="867"/>
      <c r="E421" s="867"/>
      <c r="F421" s="854"/>
      <c r="G421" s="853"/>
      <c r="H421" s="854"/>
      <c r="I421" s="853"/>
      <c r="J421" s="867"/>
      <c r="K421" s="854"/>
      <c r="L421" s="63"/>
    </row>
    <row r="422" spans="1:12" ht="27.95" customHeight="1">
      <c r="A422" s="62"/>
      <c r="B422" s="853"/>
      <c r="C422" s="867"/>
      <c r="D422" s="867"/>
      <c r="E422" s="867"/>
      <c r="F422" s="854"/>
      <c r="G422" s="853"/>
      <c r="H422" s="854"/>
      <c r="I422" s="853"/>
      <c r="J422" s="867"/>
      <c r="K422" s="854"/>
      <c r="L422" s="63"/>
    </row>
    <row r="423" spans="1:12">
      <c r="A423" s="62"/>
      <c r="B423" s="853"/>
      <c r="C423" s="867"/>
      <c r="D423" s="867"/>
      <c r="E423" s="867"/>
      <c r="F423" s="854"/>
      <c r="G423" s="853"/>
      <c r="H423" s="854"/>
      <c r="I423" s="853"/>
      <c r="J423" s="867"/>
      <c r="K423" s="854"/>
      <c r="L423" s="63"/>
    </row>
    <row r="424" spans="1:12">
      <c r="A424" s="62"/>
      <c r="B424" s="47"/>
      <c r="C424" s="47"/>
      <c r="D424" s="47"/>
      <c r="E424" s="47"/>
      <c r="F424" s="47"/>
      <c r="G424" s="47"/>
      <c r="H424" s="47"/>
      <c r="I424" s="47"/>
      <c r="J424" s="47"/>
      <c r="K424" s="47"/>
      <c r="L424" s="63"/>
    </row>
    <row r="425" spans="1:12">
      <c r="A425" s="62"/>
      <c r="B425" s="47" t="s">
        <v>202</v>
      </c>
      <c r="C425" s="389" t="e">
        <f>'PUNJAB 04-22Master'!#REF!</f>
        <v>#REF!</v>
      </c>
      <c r="D425" s="47"/>
      <c r="E425" s="47"/>
      <c r="F425" s="47"/>
      <c r="G425" s="47"/>
      <c r="H425" s="47"/>
      <c r="I425" s="47" t="s">
        <v>231</v>
      </c>
      <c r="J425" s="47"/>
      <c r="K425" s="47"/>
      <c r="L425" s="63"/>
    </row>
    <row r="426" spans="1:12" ht="18.75">
      <c r="A426" s="62"/>
      <c r="B426" s="47"/>
      <c r="C426" s="47"/>
      <c r="D426" s="47"/>
      <c r="E426" s="47"/>
      <c r="F426" s="248" t="s">
        <v>197</v>
      </c>
      <c r="G426" s="47"/>
      <c r="H426" s="47"/>
      <c r="I426" s="47"/>
      <c r="J426" s="47"/>
      <c r="K426" s="47"/>
      <c r="L426" s="63"/>
    </row>
    <row r="427" spans="1:12">
      <c r="A427" s="62" t="s">
        <v>198</v>
      </c>
      <c r="B427" s="47"/>
      <c r="C427" s="47"/>
      <c r="D427" s="47"/>
      <c r="E427" s="47"/>
      <c r="F427" s="47"/>
      <c r="G427" s="47"/>
      <c r="H427" s="47"/>
      <c r="I427" s="47"/>
      <c r="J427" s="47"/>
      <c r="K427" s="306" t="e">
        <f>'PUNJAB 04-22Master'!#REF!</f>
        <v>#REF!</v>
      </c>
      <c r="L427" s="63"/>
    </row>
    <row r="428" spans="1:12">
      <c r="A428" s="62" t="s">
        <v>199</v>
      </c>
      <c r="B428" s="47"/>
      <c r="C428" s="47"/>
      <c r="D428" s="47"/>
      <c r="E428" s="47"/>
      <c r="F428" s="47"/>
      <c r="G428" s="47"/>
      <c r="H428" s="47"/>
      <c r="I428" s="47"/>
      <c r="J428" s="47"/>
      <c r="K428" s="47"/>
      <c r="L428" s="63"/>
    </row>
    <row r="429" spans="1:12" ht="15" customHeight="1">
      <c r="A429" s="62"/>
      <c r="B429" s="47"/>
      <c r="C429" s="47"/>
      <c r="D429" s="47"/>
      <c r="E429" s="47"/>
      <c r="F429" s="47"/>
      <c r="G429" s="47"/>
      <c r="H429" s="47"/>
      <c r="I429" s="47"/>
      <c r="J429" s="47"/>
      <c r="K429" s="47"/>
      <c r="L429" s="63"/>
    </row>
    <row r="430" spans="1:12">
      <c r="A430" s="62"/>
      <c r="B430" s="47"/>
      <c r="C430" s="47"/>
      <c r="D430" s="47"/>
      <c r="E430" s="47"/>
      <c r="F430" s="47" t="s">
        <v>200</v>
      </c>
      <c r="G430" s="47"/>
      <c r="H430" s="47"/>
      <c r="I430" s="47"/>
      <c r="J430" s="47"/>
      <c r="K430" s="47"/>
      <c r="L430" s="63"/>
    </row>
    <row r="431" spans="1:12">
      <c r="A431" s="62" t="s">
        <v>201</v>
      </c>
      <c r="B431" s="47" t="s">
        <v>364</v>
      </c>
      <c r="C431" s="47"/>
      <c r="D431" s="47"/>
      <c r="E431" s="47"/>
      <c r="F431" s="47" t="str">
        <f>'PUNJAB 04-22Master'!F5</f>
        <v>Burgeon IT Services Pvt.Ltd.</v>
      </c>
      <c r="G431" s="47"/>
      <c r="H431" s="47"/>
      <c r="I431" s="47"/>
      <c r="J431" s="47"/>
      <c r="K431" s="47"/>
      <c r="L431" s="63"/>
    </row>
    <row r="432" spans="1:12" ht="15.75" thickBot="1">
      <c r="A432" s="76" t="s">
        <v>202</v>
      </c>
      <c r="B432" s="393" t="e">
        <f>'PUNJAB 04-22Master'!#REF!</f>
        <v>#REF!</v>
      </c>
      <c r="C432" s="74"/>
      <c r="D432" s="74"/>
      <c r="E432" s="74"/>
      <c r="F432" s="249" t="str">
        <f>'PUNJAB 04-22Master'!F6</f>
        <v>Siri Mansion LIGB 436 Dr.A S Rao Nagar,Hyderabad</v>
      </c>
      <c r="G432" s="249"/>
      <c r="H432" s="249"/>
      <c r="I432" s="249"/>
      <c r="J432" s="249"/>
      <c r="K432" s="249"/>
      <c r="L432" s="75"/>
    </row>
    <row r="433" spans="1:12" ht="32.25">
      <c r="A433" s="174"/>
      <c r="B433" s="141"/>
      <c r="C433" s="141"/>
      <c r="D433" s="255"/>
      <c r="E433" s="255"/>
      <c r="F433" s="255"/>
      <c r="G433" s="255"/>
      <c r="H433" s="255"/>
      <c r="I433" s="255"/>
      <c r="J433" s="141"/>
      <c r="K433" s="257" t="s">
        <v>216</v>
      </c>
      <c r="L433" s="256"/>
    </row>
    <row r="434" spans="1:12" ht="21">
      <c r="A434" s="62"/>
      <c r="B434" s="869" t="s">
        <v>215</v>
      </c>
      <c r="C434" s="869"/>
      <c r="D434" s="869"/>
      <c r="E434" s="869"/>
      <c r="F434" s="869"/>
      <c r="G434" s="869"/>
      <c r="H434" s="869"/>
      <c r="I434" s="869"/>
      <c r="J434" s="869"/>
      <c r="K434" s="869"/>
      <c r="L434" s="870"/>
    </row>
    <row r="435" spans="1:12" ht="15.75">
      <c r="A435" s="62"/>
      <c r="B435" s="864" t="s">
        <v>217</v>
      </c>
      <c r="C435" s="864"/>
      <c r="D435" s="864"/>
      <c r="E435" s="864"/>
      <c r="F435" s="864"/>
      <c r="G435" s="864"/>
      <c r="H435" s="864"/>
      <c r="I435" s="864"/>
      <c r="J435" s="864"/>
      <c r="K435" s="864"/>
      <c r="L435" s="871"/>
    </row>
    <row r="436" spans="1:12">
      <c r="A436" s="62"/>
      <c r="B436" s="260" t="s">
        <v>218</v>
      </c>
      <c r="C436" s="258"/>
      <c r="D436" s="258"/>
      <c r="E436" s="258"/>
      <c r="F436" s="258"/>
      <c r="G436" s="47"/>
      <c r="H436" s="259"/>
      <c r="I436" s="259"/>
      <c r="J436" s="259"/>
      <c r="K436" s="259"/>
      <c r="L436" s="270"/>
    </row>
    <row r="437" spans="1:12">
      <c r="A437" s="62"/>
      <c r="B437" s="258"/>
      <c r="C437" s="258"/>
      <c r="D437" s="258"/>
      <c r="E437" s="258"/>
      <c r="F437" s="258"/>
      <c r="G437" s="47"/>
      <c r="H437" s="259"/>
      <c r="I437" s="259"/>
      <c r="J437" s="259"/>
      <c r="K437" s="259"/>
      <c r="L437" s="270"/>
    </row>
    <row r="438" spans="1:12">
      <c r="A438" s="62"/>
      <c r="B438" s="762" t="s">
        <v>188</v>
      </c>
      <c r="C438" s="762"/>
      <c r="D438" s="762"/>
      <c r="E438" s="762"/>
      <c r="F438" s="762"/>
      <c r="G438" s="762"/>
      <c r="H438" s="750" t="e">
        <f>'PUNJAB 04-22Master'!#REF!</f>
        <v>#REF!</v>
      </c>
      <c r="I438" s="751"/>
      <c r="J438" s="751"/>
      <c r="K438" s="751"/>
      <c r="L438" s="752"/>
    </row>
    <row r="439" spans="1:12">
      <c r="A439" s="62"/>
      <c r="B439" s="753" t="s">
        <v>189</v>
      </c>
      <c r="C439" s="753"/>
      <c r="D439" s="753"/>
      <c r="E439" s="753"/>
      <c r="F439" s="753"/>
      <c r="G439" s="753"/>
      <c r="H439" s="750" t="e">
        <f>'PUNJAB 04-22Master'!#REF!</f>
        <v>#REF!</v>
      </c>
      <c r="I439" s="751"/>
      <c r="J439" s="751"/>
      <c r="K439" s="751"/>
      <c r="L439" s="752"/>
    </row>
    <row r="440" spans="1:12">
      <c r="A440" s="62"/>
      <c r="B440" s="762" t="s">
        <v>190</v>
      </c>
      <c r="C440" s="762"/>
      <c r="D440" s="762"/>
      <c r="E440" s="762"/>
      <c r="F440" s="762"/>
      <c r="G440" s="762"/>
      <c r="H440" s="750" t="e">
        <f>'PUNJAB 04-22Master'!#REF!</f>
        <v>#REF!</v>
      </c>
      <c r="I440" s="751"/>
      <c r="J440" s="751"/>
      <c r="K440" s="751"/>
      <c r="L440" s="752"/>
    </row>
    <row r="441" spans="1:12">
      <c r="A441" s="62"/>
      <c r="B441" s="762" t="s">
        <v>191</v>
      </c>
      <c r="C441" s="762"/>
      <c r="D441" s="762"/>
      <c r="E441" s="762"/>
      <c r="F441" s="762"/>
      <c r="G441" s="762"/>
      <c r="H441" s="855" t="e">
        <f>'PUNJAB 04-22Master'!#REF!</f>
        <v>#REF!</v>
      </c>
      <c r="I441" s="751"/>
      <c r="J441" s="751"/>
      <c r="K441" s="751"/>
      <c r="L441" s="752"/>
    </row>
    <row r="442" spans="1:12">
      <c r="A442" s="62"/>
      <c r="B442" s="158" t="s">
        <v>192</v>
      </c>
      <c r="C442" s="283"/>
      <c r="D442" s="283"/>
      <c r="E442" s="283"/>
      <c r="F442" s="283"/>
      <c r="G442" s="283"/>
      <c r="H442" s="856" t="s">
        <v>193</v>
      </c>
      <c r="I442" s="857"/>
      <c r="J442" s="857"/>
      <c r="K442" s="857"/>
      <c r="L442" s="858"/>
    </row>
    <row r="443" spans="1:12">
      <c r="A443" s="62"/>
      <c r="B443" s="158" t="s">
        <v>194</v>
      </c>
      <c r="C443" s="283"/>
      <c r="D443" s="283"/>
      <c r="E443" s="283"/>
      <c r="F443" s="283"/>
      <c r="G443" s="283"/>
      <c r="H443" s="337"/>
      <c r="I443" s="338"/>
      <c r="J443" s="244"/>
      <c r="K443" s="338"/>
      <c r="L443" s="342"/>
    </row>
    <row r="444" spans="1:12" ht="27.95" customHeight="1">
      <c r="A444" s="62"/>
      <c r="B444" s="773" t="s">
        <v>195</v>
      </c>
      <c r="C444" s="773"/>
      <c r="D444" s="773"/>
      <c r="E444" s="773"/>
      <c r="F444" s="773"/>
      <c r="G444" s="773"/>
      <c r="H444" s="767" t="e">
        <f>'PUNJAB 04-22Master'!#REF!</f>
        <v>#REF!</v>
      </c>
      <c r="I444" s="768"/>
      <c r="J444" s="768"/>
      <c r="K444" s="768"/>
      <c r="L444" s="769"/>
    </row>
    <row r="445" spans="1:12" ht="27.95" customHeight="1">
      <c r="A445" s="62"/>
      <c r="B445" s="762"/>
      <c r="C445" s="762"/>
      <c r="D445" s="762"/>
      <c r="E445" s="762"/>
      <c r="F445" s="762"/>
      <c r="G445" s="762"/>
      <c r="H445" s="763" t="e">
        <f>'PUNJAB 04-22Master'!#REF!</f>
        <v>#REF!</v>
      </c>
      <c r="I445" s="751"/>
      <c r="J445" s="751"/>
      <c r="K445" s="751"/>
      <c r="L445" s="752"/>
    </row>
    <row r="446" spans="1:12" ht="27.95" customHeight="1">
      <c r="A446" s="62"/>
      <c r="B446" s="762"/>
      <c r="C446" s="762"/>
      <c r="D446" s="762"/>
      <c r="E446" s="762"/>
      <c r="F446" s="762"/>
      <c r="G446" s="762"/>
      <c r="H446" s="750" t="e">
        <f>'PUNJAB 04-22Master'!#REF!</f>
        <v>#REF!</v>
      </c>
      <c r="I446" s="751"/>
      <c r="J446" s="751"/>
      <c r="K446" s="751"/>
      <c r="L446" s="752"/>
    </row>
    <row r="447" spans="1:12" ht="27.95" customHeight="1">
      <c r="A447" s="62"/>
      <c r="B447" s="144"/>
      <c r="C447" s="144"/>
      <c r="D447" s="144"/>
      <c r="E447" s="144"/>
      <c r="F447" s="47"/>
      <c r="G447" s="152" t="s">
        <v>219</v>
      </c>
      <c r="H447" s="152"/>
      <c r="I447" s="152"/>
      <c r="J447" s="152"/>
      <c r="K447" s="152"/>
      <c r="L447" s="153"/>
    </row>
    <row r="448" spans="1:12" ht="27.95" customHeight="1">
      <c r="A448" s="62"/>
      <c r="B448" s="251" t="s">
        <v>203</v>
      </c>
      <c r="C448" s="344"/>
      <c r="D448" s="344"/>
      <c r="E448" s="344"/>
      <c r="F448" s="344"/>
      <c r="G448" s="344"/>
      <c r="H448" s="347"/>
      <c r="I448" s="347"/>
      <c r="J448" s="347"/>
      <c r="K448" s="347"/>
      <c r="L448" s="254"/>
    </row>
    <row r="449" spans="1:12" ht="27.95" customHeight="1">
      <c r="A449" s="62"/>
      <c r="B449" s="251" t="s">
        <v>204</v>
      </c>
      <c r="C449" s="344"/>
      <c r="D449" s="344"/>
      <c r="E449" s="344"/>
      <c r="F449" s="344"/>
      <c r="G449" s="344"/>
      <c r="H449" s="347"/>
      <c r="I449" s="347"/>
      <c r="J449" s="345"/>
      <c r="K449" s="347"/>
      <c r="L449" s="254"/>
    </row>
    <row r="450" spans="1:12" ht="27.95" customHeight="1">
      <c r="A450" s="157"/>
      <c r="B450" s="158" t="s">
        <v>207</v>
      </c>
      <c r="C450" s="283"/>
      <c r="D450" s="339"/>
      <c r="E450" s="341" t="s">
        <v>209</v>
      </c>
      <c r="F450" s="119"/>
      <c r="G450" s="850" t="s">
        <v>208</v>
      </c>
      <c r="H450" s="851"/>
      <c r="I450" s="235" t="s">
        <v>205</v>
      </c>
      <c r="J450" s="239" t="s">
        <v>210</v>
      </c>
      <c r="K450" s="850" t="s">
        <v>206</v>
      </c>
      <c r="L450" s="852"/>
    </row>
    <row r="451" spans="1:12" ht="27.95" customHeight="1">
      <c r="A451" s="157"/>
      <c r="B451" s="240">
        <v>1</v>
      </c>
      <c r="C451" s="283"/>
      <c r="D451" s="283"/>
      <c r="E451" s="243">
        <v>2</v>
      </c>
      <c r="F451" s="284"/>
      <c r="G451" s="243">
        <v>3</v>
      </c>
      <c r="H451" s="339"/>
      <c r="I451" s="339">
        <v>4</v>
      </c>
      <c r="J451" s="328">
        <v>5</v>
      </c>
      <c r="K451" s="159"/>
      <c r="L451" s="160">
        <v>6</v>
      </c>
    </row>
    <row r="452" spans="1:12" ht="27.95" customHeight="1">
      <c r="A452" s="157"/>
      <c r="B452" s="158" t="e">
        <f>'PUNJAB 04-22Master'!#REF!</f>
        <v>#REF!</v>
      </c>
      <c r="C452" s="261"/>
      <c r="D452" s="262"/>
      <c r="E452" s="263" t="s">
        <v>368</v>
      </c>
      <c r="F452" s="262"/>
      <c r="G452" s="263" t="s">
        <v>366</v>
      </c>
      <c r="H452" s="119"/>
      <c r="I452" s="30" t="s">
        <v>369</v>
      </c>
      <c r="J452" s="390">
        <v>1</v>
      </c>
      <c r="K452" s="264" t="s">
        <v>37</v>
      </c>
      <c r="L452" s="271"/>
    </row>
    <row r="453" spans="1:12" ht="27.95" customHeight="1">
      <c r="A453" s="157"/>
      <c r="B453" s="158"/>
      <c r="C453" s="261"/>
      <c r="D453" s="262"/>
      <c r="E453" s="263"/>
      <c r="F453" s="262"/>
      <c r="G453" s="263"/>
      <c r="H453" s="119"/>
      <c r="I453" s="30"/>
      <c r="J453" s="30"/>
      <c r="K453" s="264"/>
      <c r="L453" s="271"/>
    </row>
    <row r="454" spans="1:12" ht="27.95" customHeight="1">
      <c r="A454" s="157"/>
      <c r="B454" s="158"/>
      <c r="C454" s="261"/>
      <c r="D454" s="262"/>
      <c r="E454" s="263"/>
      <c r="F454" s="262"/>
      <c r="G454" s="263"/>
      <c r="H454" s="119"/>
      <c r="I454" s="30"/>
      <c r="J454" s="30"/>
      <c r="K454" s="264"/>
      <c r="L454" s="271"/>
    </row>
    <row r="455" spans="1:12" ht="27.95" customHeight="1">
      <c r="A455" s="157"/>
      <c r="B455" s="127"/>
      <c r="C455" s="68"/>
      <c r="D455" s="128"/>
      <c r="E455" s="263"/>
      <c r="F455" s="262"/>
      <c r="G455" s="263"/>
      <c r="H455" s="119"/>
      <c r="I455" s="30"/>
      <c r="J455" s="30"/>
      <c r="K455" s="264"/>
      <c r="L455" s="271"/>
    </row>
    <row r="456" spans="1:12" ht="27.95" customHeight="1">
      <c r="A456" s="157"/>
      <c r="B456" s="47" t="s">
        <v>211</v>
      </c>
      <c r="C456" s="47"/>
      <c r="D456" s="47"/>
      <c r="E456" s="47"/>
      <c r="F456" s="47"/>
      <c r="G456" s="47"/>
      <c r="H456" s="47"/>
      <c r="I456" s="47"/>
      <c r="J456" s="47"/>
      <c r="K456" s="47"/>
      <c r="L456" s="63"/>
    </row>
    <row r="457" spans="1:12" ht="27.95" customHeight="1">
      <c r="A457" s="62"/>
      <c r="B457" s="47" t="s">
        <v>212</v>
      </c>
      <c r="C457" s="47"/>
      <c r="D457" s="47"/>
      <c r="E457" s="47"/>
      <c r="F457" s="47"/>
      <c r="G457" s="47"/>
      <c r="H457" s="47"/>
      <c r="I457" s="47"/>
      <c r="J457" s="47"/>
      <c r="K457" s="47"/>
      <c r="L457" s="63"/>
    </row>
    <row r="458" spans="1:12" ht="27.95" customHeight="1">
      <c r="A458" s="62"/>
      <c r="B458" s="47" t="s">
        <v>223</v>
      </c>
      <c r="C458" s="47"/>
      <c r="D458" s="47"/>
      <c r="E458" s="47"/>
      <c r="F458" s="47"/>
      <c r="G458" s="47"/>
      <c r="H458" s="47"/>
      <c r="I458" s="47"/>
      <c r="J458" s="47" t="s">
        <v>222</v>
      </c>
      <c r="K458" s="47"/>
      <c r="L458" s="63"/>
    </row>
    <row r="459" spans="1:12" ht="24" customHeight="1">
      <c r="A459" s="62"/>
      <c r="B459" s="144"/>
      <c r="C459" s="144"/>
      <c r="D459" s="144"/>
      <c r="E459" s="144"/>
      <c r="F459" s="47"/>
      <c r="G459" s="152" t="s">
        <v>220</v>
      </c>
      <c r="H459" s="152"/>
      <c r="I459" s="152"/>
      <c r="J459" s="152"/>
      <c r="K459" s="152"/>
      <c r="L459" s="153"/>
    </row>
    <row r="460" spans="1:12" ht="18" customHeight="1">
      <c r="A460" s="62"/>
      <c r="B460" s="152"/>
      <c r="C460" s="144"/>
      <c r="D460" s="144"/>
      <c r="E460" s="144"/>
      <c r="F460" s="144"/>
      <c r="G460" s="47" t="s">
        <v>221</v>
      </c>
      <c r="H460" s="152"/>
      <c r="I460" s="152"/>
      <c r="J460" s="152"/>
      <c r="K460" s="152"/>
      <c r="L460" s="153"/>
    </row>
    <row r="461" spans="1:12" ht="18.75" customHeight="1">
      <c r="A461" s="62"/>
      <c r="B461" s="251" t="s">
        <v>224</v>
      </c>
      <c r="C461" s="344"/>
      <c r="D461" s="344"/>
      <c r="E461" s="344"/>
      <c r="F461" s="344"/>
      <c r="G461" s="344"/>
      <c r="H461" s="347"/>
      <c r="I461" s="347"/>
      <c r="J461" s="347"/>
      <c r="K461" s="347"/>
      <c r="L461" s="254"/>
    </row>
    <row r="462" spans="1:12">
      <c r="A462" s="62"/>
      <c r="B462" s="251" t="s">
        <v>225</v>
      </c>
      <c r="C462" s="344"/>
      <c r="D462" s="344"/>
      <c r="E462" s="344"/>
      <c r="F462" s="344"/>
      <c r="G462" s="344"/>
      <c r="H462" s="347"/>
      <c r="I462" s="347"/>
      <c r="J462" s="345"/>
      <c r="K462" s="347"/>
      <c r="L462" s="254"/>
    </row>
    <row r="463" spans="1:12">
      <c r="A463" s="62"/>
      <c r="B463" s="158" t="s">
        <v>5</v>
      </c>
      <c r="C463" s="872" t="s">
        <v>226</v>
      </c>
      <c r="D463" s="848"/>
      <c r="E463" s="848"/>
      <c r="F463" s="848"/>
      <c r="G463" s="848"/>
      <c r="H463" s="873"/>
      <c r="I463" s="335" t="s">
        <v>110</v>
      </c>
      <c r="J463" s="874" t="s">
        <v>227</v>
      </c>
      <c r="K463" s="875"/>
      <c r="L463" s="876"/>
    </row>
    <row r="464" spans="1:12">
      <c r="A464" s="62"/>
      <c r="B464" s="240">
        <v>1</v>
      </c>
      <c r="C464" s="282"/>
      <c r="D464" s="338"/>
      <c r="E464" s="237">
        <v>2</v>
      </c>
      <c r="F464" s="118"/>
      <c r="G464" s="868"/>
      <c r="H464" s="851"/>
      <c r="I464" s="338">
        <v>3</v>
      </c>
      <c r="J464" s="268" t="s">
        <v>228</v>
      </c>
      <c r="K464" s="877">
        <v>4</v>
      </c>
      <c r="L464" s="878"/>
    </row>
    <row r="465" spans="1:12">
      <c r="A465" s="62"/>
      <c r="B465" s="158"/>
      <c r="C465" s="282"/>
      <c r="D465" s="338"/>
      <c r="E465" s="237"/>
      <c r="F465" s="118"/>
      <c r="G465" s="868"/>
      <c r="H465" s="851"/>
      <c r="I465" s="264"/>
      <c r="J465" s="267"/>
      <c r="K465" s="868"/>
      <c r="L465" s="852"/>
    </row>
    <row r="466" spans="1:12">
      <c r="A466" s="62"/>
      <c r="B466" s="158"/>
      <c r="C466" s="282"/>
      <c r="D466" s="338"/>
      <c r="E466" s="237"/>
      <c r="F466" s="118"/>
      <c r="G466" s="868"/>
      <c r="H466" s="851"/>
      <c r="I466" s="264"/>
      <c r="J466" s="267"/>
      <c r="K466" s="868"/>
      <c r="L466" s="852"/>
    </row>
    <row r="467" spans="1:12" ht="15" customHeight="1">
      <c r="A467" s="62"/>
      <c r="B467" s="158"/>
      <c r="C467" s="282"/>
      <c r="D467" s="338"/>
      <c r="E467" s="237"/>
      <c r="F467" s="118"/>
      <c r="G467" s="868"/>
      <c r="H467" s="851"/>
      <c r="I467" s="264"/>
      <c r="J467" s="267"/>
      <c r="K467" s="868"/>
      <c r="L467" s="852"/>
    </row>
    <row r="468" spans="1:12">
      <c r="A468" s="62"/>
      <c r="B468" s="127"/>
      <c r="C468" s="282"/>
      <c r="D468" s="338"/>
      <c r="E468" s="237"/>
      <c r="F468" s="118"/>
      <c r="G468" s="868"/>
      <c r="H468" s="851"/>
      <c r="I468" s="264"/>
      <c r="J468" s="267"/>
      <c r="K468" s="868"/>
      <c r="L468" s="852"/>
    </row>
    <row r="469" spans="1:12">
      <c r="A469" s="62"/>
      <c r="B469" s="47" t="s">
        <v>232</v>
      </c>
      <c r="C469" s="47"/>
      <c r="D469" s="47"/>
      <c r="E469" s="47"/>
      <c r="F469" s="47"/>
      <c r="G469" s="47"/>
      <c r="H469" s="47"/>
      <c r="I469" s="47"/>
      <c r="J469" s="47"/>
      <c r="K469" s="47"/>
      <c r="L469" s="63"/>
    </row>
    <row r="470" spans="1:12">
      <c r="A470" s="62"/>
      <c r="B470" s="47" t="s">
        <v>233</v>
      </c>
      <c r="C470" s="47"/>
      <c r="D470" s="47"/>
      <c r="E470" s="47"/>
      <c r="F470" s="47"/>
      <c r="G470" s="47"/>
      <c r="H470" s="47"/>
      <c r="I470" s="47"/>
      <c r="J470" s="47"/>
      <c r="K470" s="47"/>
      <c r="L470" s="63"/>
    </row>
    <row r="471" spans="1:12">
      <c r="A471" s="62"/>
      <c r="B471" s="47" t="s">
        <v>234</v>
      </c>
      <c r="C471" s="47"/>
      <c r="D471" s="47"/>
      <c r="E471" s="47"/>
      <c r="F471" s="47"/>
      <c r="G471" s="47"/>
      <c r="H471" s="47"/>
      <c r="I471" s="47"/>
      <c r="J471" s="47"/>
      <c r="K471" s="47"/>
      <c r="L471" s="63"/>
    </row>
    <row r="472" spans="1:12">
      <c r="A472" s="62"/>
      <c r="B472" s="269" t="s">
        <v>235</v>
      </c>
      <c r="C472" s="47"/>
      <c r="D472" s="47"/>
      <c r="E472" s="47"/>
      <c r="F472" s="47"/>
      <c r="G472" s="47"/>
      <c r="H472" s="47"/>
      <c r="I472" s="47"/>
      <c r="J472" s="47"/>
      <c r="K472" s="47"/>
      <c r="L472" s="63"/>
    </row>
    <row r="473" spans="1:12">
      <c r="A473" s="62"/>
      <c r="B473" s="263" t="s">
        <v>229</v>
      </c>
      <c r="C473" s="118"/>
      <c r="D473" s="118"/>
      <c r="E473" s="118"/>
      <c r="F473" s="119"/>
      <c r="G473" s="263" t="s">
        <v>205</v>
      </c>
      <c r="H473" s="119"/>
      <c r="I473" s="263" t="s">
        <v>230</v>
      </c>
      <c r="J473" s="118"/>
      <c r="K473" s="119"/>
      <c r="L473" s="63"/>
    </row>
    <row r="474" spans="1:12">
      <c r="A474" s="62"/>
      <c r="B474" s="853"/>
      <c r="C474" s="867"/>
      <c r="D474" s="867"/>
      <c r="E474" s="867"/>
      <c r="F474" s="854"/>
      <c r="G474" s="853"/>
      <c r="H474" s="854"/>
      <c r="I474" s="853"/>
      <c r="J474" s="867"/>
      <c r="K474" s="854"/>
      <c r="L474" s="63"/>
    </row>
    <row r="475" spans="1:12">
      <c r="A475" s="62"/>
      <c r="B475" s="853"/>
      <c r="C475" s="867"/>
      <c r="D475" s="867"/>
      <c r="E475" s="867"/>
      <c r="F475" s="854"/>
      <c r="G475" s="853"/>
      <c r="H475" s="854"/>
      <c r="I475" s="853"/>
      <c r="J475" s="867"/>
      <c r="K475" s="854"/>
      <c r="L475" s="63"/>
    </row>
    <row r="476" spans="1:12">
      <c r="A476" s="62"/>
      <c r="B476" s="853"/>
      <c r="C476" s="867"/>
      <c r="D476" s="867"/>
      <c r="E476" s="867"/>
      <c r="F476" s="854"/>
      <c r="G476" s="853"/>
      <c r="H476" s="854"/>
      <c r="I476" s="853"/>
      <c r="J476" s="867"/>
      <c r="K476" s="854"/>
      <c r="L476" s="63"/>
    </row>
    <row r="477" spans="1:12">
      <c r="A477" s="62"/>
      <c r="B477" s="853"/>
      <c r="C477" s="867"/>
      <c r="D477" s="867"/>
      <c r="E477" s="867"/>
      <c r="F477" s="854"/>
      <c r="G477" s="853"/>
      <c r="H477" s="854"/>
      <c r="I477" s="853"/>
      <c r="J477" s="867"/>
      <c r="K477" s="854"/>
      <c r="L477" s="63"/>
    </row>
    <row r="478" spans="1:12">
      <c r="A478" s="62"/>
      <c r="B478" s="47"/>
      <c r="C478" s="47"/>
      <c r="D478" s="47"/>
      <c r="E478" s="47"/>
      <c r="F478" s="47"/>
      <c r="G478" s="47"/>
      <c r="H478" s="47"/>
      <c r="I478" s="47"/>
      <c r="J478" s="47"/>
      <c r="K478" s="47"/>
      <c r="L478" s="63"/>
    </row>
    <row r="479" spans="1:12">
      <c r="A479" s="62"/>
      <c r="B479" s="47" t="s">
        <v>202</v>
      </c>
      <c r="C479" s="389" t="e">
        <f>'PUNJAB 04-22Master'!#REF!</f>
        <v>#REF!</v>
      </c>
      <c r="D479" s="47"/>
      <c r="E479" s="47"/>
      <c r="F479" s="47"/>
      <c r="G479" s="47"/>
      <c r="H479" s="47"/>
      <c r="I479" s="47" t="s">
        <v>231</v>
      </c>
      <c r="J479" s="47"/>
      <c r="K479" s="47"/>
      <c r="L479" s="63"/>
    </row>
    <row r="480" spans="1:12" ht="18.75">
      <c r="A480" s="62"/>
      <c r="B480" s="47"/>
      <c r="C480" s="47"/>
      <c r="D480" s="47"/>
      <c r="E480" s="47"/>
      <c r="F480" s="248" t="s">
        <v>197</v>
      </c>
      <c r="G480" s="47"/>
      <c r="H480" s="47"/>
      <c r="I480" s="47"/>
      <c r="J480" s="47"/>
      <c r="K480" s="47"/>
      <c r="L480" s="63"/>
    </row>
    <row r="481" spans="1:12">
      <c r="A481" s="62" t="s">
        <v>198</v>
      </c>
      <c r="B481" s="47"/>
      <c r="C481" s="47"/>
      <c r="D481" s="47"/>
      <c r="E481" s="47"/>
      <c r="F481" s="47"/>
      <c r="G481" s="47"/>
      <c r="H481" s="47"/>
      <c r="I481" s="47"/>
      <c r="J481" s="47"/>
      <c r="K481" s="306" t="e">
        <f>'PUNJAB 04-22Master'!#REF!</f>
        <v>#REF!</v>
      </c>
      <c r="L481" s="63"/>
    </row>
    <row r="482" spans="1:12" ht="27.95" customHeight="1">
      <c r="A482" s="62" t="s">
        <v>199</v>
      </c>
      <c r="B482" s="47"/>
      <c r="C482" s="47"/>
      <c r="D482" s="47"/>
      <c r="E482" s="47"/>
      <c r="F482" s="47"/>
      <c r="G482" s="47"/>
      <c r="H482" s="47"/>
      <c r="I482" s="47"/>
      <c r="J482" s="47"/>
      <c r="K482" s="47"/>
      <c r="L482" s="63"/>
    </row>
    <row r="483" spans="1:12" ht="27.95" customHeight="1">
      <c r="A483" s="62"/>
      <c r="B483" s="47"/>
      <c r="C483" s="47"/>
      <c r="D483" s="47"/>
      <c r="E483" s="47"/>
      <c r="F483" s="47" t="s">
        <v>200</v>
      </c>
      <c r="G483" s="47"/>
      <c r="H483" s="47"/>
      <c r="I483" s="47"/>
      <c r="J483" s="47"/>
      <c r="K483" s="47"/>
      <c r="L483" s="63"/>
    </row>
    <row r="484" spans="1:12" ht="27.95" customHeight="1">
      <c r="A484" s="62" t="s">
        <v>201</v>
      </c>
      <c r="B484" s="47" t="s">
        <v>364</v>
      </c>
      <c r="C484" s="47"/>
      <c r="D484" s="47"/>
      <c r="E484" s="47"/>
      <c r="F484" s="47" t="str">
        <f>'PUNJAB 04-22Master'!F5</f>
        <v>Burgeon IT Services Pvt.Ltd.</v>
      </c>
      <c r="G484" s="47"/>
      <c r="H484" s="47"/>
      <c r="I484" s="47"/>
      <c r="J484" s="47"/>
      <c r="K484" s="47"/>
      <c r="L484" s="63"/>
    </row>
    <row r="485" spans="1:12" ht="27.95" customHeight="1" thickBot="1">
      <c r="A485" s="76" t="s">
        <v>202</v>
      </c>
      <c r="B485" s="393" t="e">
        <f>'PUNJAB 04-22Master'!#REF!</f>
        <v>#REF!</v>
      </c>
      <c r="C485" s="74"/>
      <c r="D485" s="74"/>
      <c r="E485" s="74"/>
      <c r="F485" s="249" t="str">
        <f>'PUNJAB 04-22Master'!F6</f>
        <v>Siri Mansion LIGB 436 Dr.A S Rao Nagar,Hyderabad</v>
      </c>
      <c r="G485" s="249"/>
      <c r="H485" s="249"/>
      <c r="I485" s="249"/>
      <c r="J485" s="249"/>
      <c r="K485" s="249"/>
      <c r="L485" s="75"/>
    </row>
    <row r="486" spans="1:12" ht="27.95" customHeight="1">
      <c r="A486" s="174"/>
      <c r="B486" s="141"/>
      <c r="C486" s="141"/>
      <c r="D486" s="255"/>
      <c r="E486" s="255"/>
      <c r="F486" s="255"/>
      <c r="G486" s="255"/>
      <c r="H486" s="255"/>
      <c r="I486" s="255"/>
      <c r="J486" s="141"/>
      <c r="K486" s="257" t="s">
        <v>216</v>
      </c>
      <c r="L486" s="256"/>
    </row>
    <row r="487" spans="1:12" ht="27.95" customHeight="1">
      <c r="A487" s="62"/>
      <c r="B487" s="869" t="s">
        <v>215</v>
      </c>
      <c r="C487" s="869"/>
      <c r="D487" s="869"/>
      <c r="E487" s="869"/>
      <c r="F487" s="869"/>
      <c r="G487" s="869"/>
      <c r="H487" s="869"/>
      <c r="I487" s="869"/>
      <c r="J487" s="869"/>
      <c r="K487" s="869"/>
      <c r="L487" s="870"/>
    </row>
    <row r="488" spans="1:12" ht="21.75" customHeight="1">
      <c r="A488" s="62"/>
      <c r="B488" s="864" t="s">
        <v>217</v>
      </c>
      <c r="C488" s="864"/>
      <c r="D488" s="864"/>
      <c r="E488" s="864"/>
      <c r="F488" s="864"/>
      <c r="G488" s="864"/>
      <c r="H488" s="864"/>
      <c r="I488" s="864"/>
      <c r="J488" s="864"/>
      <c r="K488" s="864"/>
      <c r="L488" s="871"/>
    </row>
    <row r="489" spans="1:12" ht="27.95" customHeight="1">
      <c r="A489" s="62"/>
      <c r="B489" s="260" t="s">
        <v>218</v>
      </c>
      <c r="C489" s="258"/>
      <c r="D489" s="258"/>
      <c r="E489" s="258"/>
      <c r="F489" s="258"/>
      <c r="G489" s="47"/>
      <c r="H489" s="259"/>
      <c r="I489" s="259"/>
      <c r="J489" s="259"/>
      <c r="K489" s="259"/>
      <c r="L489" s="270"/>
    </row>
    <row r="490" spans="1:12" ht="27.95" customHeight="1">
      <c r="A490" s="62"/>
      <c r="B490" s="762" t="s">
        <v>188</v>
      </c>
      <c r="C490" s="762"/>
      <c r="D490" s="762"/>
      <c r="E490" s="762"/>
      <c r="F490" s="762"/>
      <c r="G490" s="762"/>
      <c r="H490" s="750">
        <f>'PUNJAB 04-22Master'!B490</f>
        <v>0</v>
      </c>
      <c r="I490" s="751"/>
      <c r="J490" s="751"/>
      <c r="K490" s="751"/>
      <c r="L490" s="752"/>
    </row>
    <row r="491" spans="1:12" ht="24" customHeight="1">
      <c r="A491" s="62"/>
      <c r="B491" s="753" t="s">
        <v>189</v>
      </c>
      <c r="C491" s="753"/>
      <c r="D491" s="753"/>
      <c r="E491" s="753"/>
      <c r="F491" s="753"/>
      <c r="G491" s="753"/>
      <c r="H491" s="750">
        <f>'PUNJAB 04-22Master'!E490</f>
        <v>0</v>
      </c>
      <c r="I491" s="751"/>
      <c r="J491" s="751"/>
      <c r="K491" s="751"/>
      <c r="L491" s="752"/>
    </row>
    <row r="492" spans="1:12" ht="24.75" customHeight="1">
      <c r="A492" s="62"/>
      <c r="B492" s="762" t="s">
        <v>190</v>
      </c>
      <c r="C492" s="762"/>
      <c r="D492" s="762"/>
      <c r="E492" s="762"/>
      <c r="F492" s="762"/>
      <c r="G492" s="762"/>
      <c r="H492" s="750">
        <f>'PUNJAB 04-22Master'!C490</f>
        <v>0</v>
      </c>
      <c r="I492" s="751"/>
      <c r="J492" s="751"/>
      <c r="K492" s="751"/>
      <c r="L492" s="752"/>
    </row>
    <row r="493" spans="1:12" ht="26.25" customHeight="1">
      <c r="A493" s="62"/>
      <c r="B493" s="762" t="s">
        <v>191</v>
      </c>
      <c r="C493" s="762"/>
      <c r="D493" s="762"/>
      <c r="E493" s="762"/>
      <c r="F493" s="762"/>
      <c r="G493" s="762"/>
      <c r="H493" s="855">
        <f>'PUNJAB 04-22Master'!D490</f>
        <v>0</v>
      </c>
      <c r="I493" s="751"/>
      <c r="J493" s="751"/>
      <c r="K493" s="751"/>
      <c r="L493" s="752"/>
    </row>
    <row r="494" spans="1:12" ht="25.5" customHeight="1">
      <c r="A494" s="62"/>
      <c r="B494" s="158" t="s">
        <v>192</v>
      </c>
      <c r="C494" s="283"/>
      <c r="D494" s="283"/>
      <c r="E494" s="283"/>
      <c r="F494" s="283"/>
      <c r="G494" s="283"/>
      <c r="H494" s="856" t="s">
        <v>193</v>
      </c>
      <c r="I494" s="857"/>
      <c r="J494" s="857"/>
      <c r="K494" s="857"/>
      <c r="L494" s="858"/>
    </row>
    <row r="495" spans="1:12" ht="27.95" customHeight="1">
      <c r="A495" s="62"/>
      <c r="B495" s="158" t="s">
        <v>194</v>
      </c>
      <c r="C495" s="283"/>
      <c r="D495" s="283"/>
      <c r="E495" s="283"/>
      <c r="F495" s="283"/>
      <c r="G495" s="283"/>
      <c r="H495" s="337"/>
      <c r="I495" s="338"/>
      <c r="J495" s="244"/>
      <c r="K495" s="338"/>
      <c r="L495" s="342"/>
    </row>
    <row r="496" spans="1:12" ht="24" customHeight="1">
      <c r="A496" s="62"/>
      <c r="B496" s="773" t="s">
        <v>195</v>
      </c>
      <c r="C496" s="773"/>
      <c r="D496" s="773"/>
      <c r="E496" s="773"/>
      <c r="F496" s="773"/>
      <c r="G496" s="773"/>
      <c r="H496" s="767">
        <f>'PUNJAB 04-22Master'!G490</f>
        <v>0</v>
      </c>
      <c r="I496" s="768"/>
      <c r="J496" s="768"/>
      <c r="K496" s="768"/>
      <c r="L496" s="769"/>
    </row>
    <row r="497" spans="1:12" ht="22.5" customHeight="1">
      <c r="A497" s="62"/>
      <c r="B497" s="762"/>
      <c r="C497" s="762"/>
      <c r="D497" s="762"/>
      <c r="E497" s="762"/>
      <c r="F497" s="762"/>
      <c r="G497" s="762"/>
      <c r="H497" s="763">
        <f>'PUNJAB 04-22Master'!H490</f>
        <v>0</v>
      </c>
      <c r="I497" s="751"/>
      <c r="J497" s="751"/>
      <c r="K497" s="751"/>
      <c r="L497" s="752"/>
    </row>
    <row r="498" spans="1:12" ht="18.75" customHeight="1">
      <c r="A498" s="62"/>
      <c r="B498" s="762"/>
      <c r="C498" s="762"/>
      <c r="D498" s="762"/>
      <c r="E498" s="762"/>
      <c r="F498" s="762"/>
      <c r="G498" s="762"/>
      <c r="H498" s="750">
        <f>'PUNJAB 04-22Master'!I490</f>
        <v>0</v>
      </c>
      <c r="I498" s="751"/>
      <c r="J498" s="751"/>
      <c r="K498" s="751"/>
      <c r="L498" s="752"/>
    </row>
    <row r="499" spans="1:12">
      <c r="A499" s="62"/>
      <c r="B499" s="144"/>
      <c r="C499" s="144"/>
      <c r="D499" s="144"/>
      <c r="E499" s="144"/>
      <c r="F499" s="47"/>
      <c r="G499" s="152" t="s">
        <v>219</v>
      </c>
      <c r="H499" s="152"/>
      <c r="I499" s="152"/>
      <c r="J499" s="152"/>
      <c r="K499" s="152"/>
      <c r="L499" s="153"/>
    </row>
    <row r="500" spans="1:12">
      <c r="A500" s="62"/>
      <c r="B500" s="251" t="s">
        <v>203</v>
      </c>
      <c r="C500" s="344"/>
      <c r="D500" s="344"/>
      <c r="E500" s="344"/>
      <c r="F500" s="344"/>
      <c r="G500" s="344"/>
      <c r="H500" s="347"/>
      <c r="I500" s="347"/>
      <c r="J500" s="347"/>
      <c r="K500" s="347"/>
      <c r="L500" s="254"/>
    </row>
    <row r="501" spans="1:12">
      <c r="A501" s="62"/>
      <c r="B501" s="251" t="s">
        <v>204</v>
      </c>
      <c r="C501" s="344"/>
      <c r="D501" s="344"/>
      <c r="E501" s="344"/>
      <c r="F501" s="344"/>
      <c r="G501" s="344"/>
      <c r="H501" s="347"/>
      <c r="I501" s="347"/>
      <c r="J501" s="345"/>
      <c r="K501" s="347"/>
      <c r="L501" s="254"/>
    </row>
    <row r="502" spans="1:12" ht="45">
      <c r="A502" s="157"/>
      <c r="B502" s="158" t="s">
        <v>207</v>
      </c>
      <c r="C502" s="283"/>
      <c r="D502" s="339"/>
      <c r="E502" s="341" t="s">
        <v>209</v>
      </c>
      <c r="F502" s="119"/>
      <c r="G502" s="850" t="s">
        <v>208</v>
      </c>
      <c r="H502" s="851"/>
      <c r="I502" s="235" t="s">
        <v>205</v>
      </c>
      <c r="J502" s="239" t="s">
        <v>210</v>
      </c>
      <c r="K502" s="850" t="s">
        <v>206</v>
      </c>
      <c r="L502" s="852"/>
    </row>
    <row r="503" spans="1:12" ht="15" customHeight="1">
      <c r="A503" s="157"/>
      <c r="B503" s="240">
        <v>1</v>
      </c>
      <c r="C503" s="283"/>
      <c r="D503" s="283"/>
      <c r="E503" s="243">
        <v>2</v>
      </c>
      <c r="F503" s="284"/>
      <c r="G503" s="243">
        <v>3</v>
      </c>
      <c r="H503" s="339"/>
      <c r="I503" s="339">
        <v>4</v>
      </c>
      <c r="J503" s="328">
        <v>5</v>
      </c>
      <c r="K503" s="159"/>
      <c r="L503" s="160">
        <v>6</v>
      </c>
    </row>
    <row r="504" spans="1:12">
      <c r="A504" s="157"/>
      <c r="B504" s="158"/>
      <c r="C504" s="261"/>
      <c r="D504" s="262"/>
      <c r="E504" s="263" t="s">
        <v>368</v>
      </c>
      <c r="F504" s="262"/>
      <c r="G504" s="263" t="s">
        <v>366</v>
      </c>
      <c r="H504" s="119"/>
      <c r="I504" s="30" t="s">
        <v>369</v>
      </c>
      <c r="J504" s="390">
        <v>1</v>
      </c>
      <c r="K504" s="264" t="s">
        <v>37</v>
      </c>
      <c r="L504" s="271"/>
    </row>
    <row r="505" spans="1:12">
      <c r="A505" s="157"/>
      <c r="B505" s="158"/>
      <c r="C505" s="261"/>
      <c r="D505" s="262"/>
      <c r="E505" s="263"/>
      <c r="F505" s="262"/>
      <c r="G505" s="263"/>
      <c r="H505" s="119"/>
      <c r="I505" s="30"/>
      <c r="J505" s="30"/>
      <c r="K505" s="264"/>
      <c r="L505" s="271"/>
    </row>
    <row r="506" spans="1:12">
      <c r="A506" s="157"/>
      <c r="B506" s="158"/>
      <c r="C506" s="261"/>
      <c r="D506" s="262"/>
      <c r="E506" s="263"/>
      <c r="F506" s="262"/>
      <c r="G506" s="263"/>
      <c r="H506" s="119"/>
      <c r="I506" s="30"/>
      <c r="J506" s="30"/>
      <c r="K506" s="264"/>
      <c r="L506" s="271"/>
    </row>
    <row r="507" spans="1:12">
      <c r="A507" s="157"/>
      <c r="B507" s="127"/>
      <c r="C507" s="68"/>
      <c r="D507" s="128"/>
      <c r="E507" s="263"/>
      <c r="F507" s="262"/>
      <c r="G507" s="263"/>
      <c r="H507" s="119"/>
      <c r="I507" s="30"/>
      <c r="J507" s="30"/>
      <c r="K507" s="264"/>
      <c r="L507" s="271"/>
    </row>
    <row r="508" spans="1:12">
      <c r="A508" s="157"/>
      <c r="B508" s="47" t="s">
        <v>211</v>
      </c>
      <c r="C508" s="47"/>
      <c r="D508" s="47"/>
      <c r="E508" s="47"/>
      <c r="F508" s="47"/>
      <c r="G508" s="47"/>
      <c r="H508" s="47"/>
      <c r="I508" s="47"/>
      <c r="J508" s="47"/>
      <c r="K508" s="47"/>
      <c r="L508" s="63"/>
    </row>
    <row r="509" spans="1:12">
      <c r="A509" s="62"/>
      <c r="B509" s="47" t="s">
        <v>212</v>
      </c>
      <c r="C509" s="47"/>
      <c r="D509" s="47"/>
      <c r="E509" s="47"/>
      <c r="F509" s="47"/>
      <c r="G509" s="47"/>
      <c r="H509" s="47"/>
      <c r="I509" s="47"/>
      <c r="J509" s="47"/>
      <c r="K509" s="47"/>
      <c r="L509" s="63"/>
    </row>
    <row r="510" spans="1:12">
      <c r="A510" s="62"/>
      <c r="B510" s="47" t="s">
        <v>223</v>
      </c>
      <c r="C510" s="47"/>
      <c r="D510" s="47"/>
      <c r="E510" s="47"/>
      <c r="F510" s="47"/>
      <c r="G510" s="47"/>
      <c r="H510" s="47"/>
      <c r="I510" s="47"/>
      <c r="J510" s="47" t="s">
        <v>222</v>
      </c>
      <c r="K510" s="47"/>
      <c r="L510" s="63"/>
    </row>
    <row r="511" spans="1:12">
      <c r="A511" s="62"/>
      <c r="B511" s="144"/>
      <c r="C511" s="144"/>
      <c r="D511" s="144"/>
      <c r="E511" s="144"/>
      <c r="F511" s="47"/>
      <c r="G511" s="152" t="s">
        <v>220</v>
      </c>
      <c r="H511" s="152"/>
      <c r="I511" s="152"/>
      <c r="J511" s="152"/>
      <c r="K511" s="152"/>
      <c r="L511" s="153"/>
    </row>
    <row r="512" spans="1:12">
      <c r="A512" s="62"/>
      <c r="B512" s="152"/>
      <c r="C512" s="144"/>
      <c r="D512" s="144"/>
      <c r="E512" s="144"/>
      <c r="F512" s="144"/>
      <c r="G512" s="47" t="s">
        <v>221</v>
      </c>
      <c r="H512" s="152"/>
      <c r="I512" s="152"/>
      <c r="J512" s="152"/>
      <c r="K512" s="152"/>
      <c r="L512" s="153"/>
    </row>
    <row r="513" spans="1:12">
      <c r="A513" s="62"/>
      <c r="B513" s="251" t="s">
        <v>224</v>
      </c>
      <c r="C513" s="344"/>
      <c r="D513" s="344"/>
      <c r="E513" s="344"/>
      <c r="F513" s="344"/>
      <c r="G513" s="344"/>
      <c r="H513" s="347"/>
      <c r="I513" s="347"/>
      <c r="J513" s="347"/>
      <c r="K513" s="347"/>
      <c r="L513" s="254"/>
    </row>
    <row r="514" spans="1:12">
      <c r="A514" s="62"/>
      <c r="B514" s="251" t="s">
        <v>225</v>
      </c>
      <c r="C514" s="344"/>
      <c r="D514" s="344"/>
      <c r="E514" s="344"/>
      <c r="F514" s="344"/>
      <c r="G514" s="344"/>
      <c r="H514" s="347"/>
      <c r="I514" s="347"/>
      <c r="J514" s="345"/>
      <c r="K514" s="347"/>
      <c r="L514" s="254"/>
    </row>
    <row r="515" spans="1:12">
      <c r="A515" s="62"/>
      <c r="B515" s="158" t="s">
        <v>5</v>
      </c>
      <c r="C515" s="872" t="s">
        <v>226</v>
      </c>
      <c r="D515" s="848"/>
      <c r="E515" s="848"/>
      <c r="F515" s="848"/>
      <c r="G515" s="848"/>
      <c r="H515" s="873"/>
      <c r="I515" s="335" t="s">
        <v>110</v>
      </c>
      <c r="J515" s="874" t="s">
        <v>227</v>
      </c>
      <c r="K515" s="875"/>
      <c r="L515" s="876"/>
    </row>
    <row r="516" spans="1:12">
      <c r="A516" s="62"/>
      <c r="B516" s="240">
        <v>1</v>
      </c>
      <c r="C516" s="282"/>
      <c r="D516" s="338"/>
      <c r="E516" s="237">
        <v>2</v>
      </c>
      <c r="F516" s="118"/>
      <c r="G516" s="868"/>
      <c r="H516" s="851"/>
      <c r="I516" s="338">
        <v>3</v>
      </c>
      <c r="J516" s="268" t="s">
        <v>228</v>
      </c>
      <c r="K516" s="877">
        <v>4</v>
      </c>
      <c r="L516" s="878"/>
    </row>
    <row r="517" spans="1:12">
      <c r="A517" s="62"/>
      <c r="B517" s="158"/>
      <c r="C517" s="282"/>
      <c r="D517" s="338"/>
      <c r="E517" s="237"/>
      <c r="F517" s="118"/>
      <c r="G517" s="868"/>
      <c r="H517" s="851"/>
      <c r="I517" s="264"/>
      <c r="J517" s="267"/>
      <c r="K517" s="868"/>
      <c r="L517" s="852"/>
    </row>
    <row r="518" spans="1:12" ht="27.95" customHeight="1">
      <c r="A518" s="62"/>
      <c r="B518" s="158"/>
      <c r="C518" s="282"/>
      <c r="D518" s="338"/>
      <c r="E518" s="237"/>
      <c r="F518" s="118"/>
      <c r="G518" s="868"/>
      <c r="H518" s="851"/>
      <c r="I518" s="264"/>
      <c r="J518" s="267"/>
      <c r="K518" s="868"/>
      <c r="L518" s="852"/>
    </row>
    <row r="519" spans="1:12" ht="27.95" customHeight="1">
      <c r="A519" s="62"/>
      <c r="B519" s="158"/>
      <c r="C519" s="282"/>
      <c r="D519" s="338"/>
      <c r="E519" s="237"/>
      <c r="F519" s="118"/>
      <c r="G519" s="868"/>
      <c r="H519" s="851"/>
      <c r="I519" s="264"/>
      <c r="J519" s="267"/>
      <c r="K519" s="868"/>
      <c r="L519" s="852"/>
    </row>
    <row r="520" spans="1:12" ht="27.95" customHeight="1">
      <c r="A520" s="62"/>
      <c r="B520" s="127"/>
      <c r="C520" s="282"/>
      <c r="D520" s="338"/>
      <c r="E520" s="237"/>
      <c r="F520" s="118"/>
      <c r="G520" s="868"/>
      <c r="H520" s="851"/>
      <c r="I520" s="264"/>
      <c r="J520" s="267"/>
      <c r="K520" s="868"/>
      <c r="L520" s="852"/>
    </row>
    <row r="521" spans="1:12" ht="25.5" customHeight="1">
      <c r="A521" s="62"/>
      <c r="B521" s="47" t="s">
        <v>232</v>
      </c>
      <c r="C521" s="47"/>
      <c r="D521" s="47"/>
      <c r="E521" s="47"/>
      <c r="F521" s="47"/>
      <c r="G521" s="47"/>
      <c r="H521" s="47"/>
      <c r="I521" s="47"/>
      <c r="J521" s="47"/>
      <c r="K521" s="47"/>
      <c r="L521" s="63"/>
    </row>
    <row r="522" spans="1:12" ht="18" customHeight="1">
      <c r="A522" s="62"/>
      <c r="B522" s="47" t="s">
        <v>233</v>
      </c>
      <c r="C522" s="47"/>
      <c r="D522" s="47"/>
      <c r="E522" s="47"/>
      <c r="F522" s="47"/>
      <c r="G522" s="47"/>
      <c r="H522" s="47"/>
      <c r="I522" s="47"/>
      <c r="J522" s="47"/>
      <c r="K522" s="47"/>
      <c r="L522" s="63"/>
    </row>
    <row r="523" spans="1:12" ht="16.5" customHeight="1">
      <c r="A523" s="62"/>
      <c r="B523" s="47" t="s">
        <v>234</v>
      </c>
      <c r="C523" s="47"/>
      <c r="D523" s="47"/>
      <c r="E523" s="47"/>
      <c r="F523" s="47"/>
      <c r="G523" s="47"/>
      <c r="H523" s="47"/>
      <c r="I523" s="47"/>
      <c r="J523" s="47"/>
      <c r="K523" s="47"/>
      <c r="L523" s="63"/>
    </row>
    <row r="524" spans="1:12" ht="16.5" customHeight="1">
      <c r="A524" s="62"/>
      <c r="B524" s="269" t="s">
        <v>235</v>
      </c>
      <c r="C524" s="47"/>
      <c r="D524" s="47"/>
      <c r="E524" s="47"/>
      <c r="F524" s="47"/>
      <c r="G524" s="47"/>
      <c r="H524" s="47"/>
      <c r="I524" s="47"/>
      <c r="J524" s="47"/>
      <c r="K524" s="47"/>
      <c r="L524" s="63"/>
    </row>
    <row r="525" spans="1:12" ht="27.95" customHeight="1">
      <c r="A525" s="62"/>
      <c r="B525" s="263" t="s">
        <v>229</v>
      </c>
      <c r="C525" s="118"/>
      <c r="D525" s="118"/>
      <c r="E525" s="118"/>
      <c r="F525" s="119"/>
      <c r="G525" s="263" t="s">
        <v>205</v>
      </c>
      <c r="H525" s="119"/>
      <c r="I525" s="263" t="s">
        <v>230</v>
      </c>
      <c r="J525" s="118"/>
      <c r="K525" s="119"/>
      <c r="L525" s="63"/>
    </row>
    <row r="526" spans="1:12" ht="24.75" customHeight="1">
      <c r="A526" s="62"/>
      <c r="B526" s="853"/>
      <c r="C526" s="867"/>
      <c r="D526" s="867"/>
      <c r="E526" s="867"/>
      <c r="F526" s="854"/>
      <c r="G526" s="853"/>
      <c r="H526" s="854"/>
      <c r="I526" s="853"/>
      <c r="J526" s="867"/>
      <c r="K526" s="854"/>
      <c r="L526" s="63"/>
    </row>
    <row r="527" spans="1:12" ht="23.25" customHeight="1">
      <c r="A527" s="62"/>
      <c r="B527" s="853"/>
      <c r="C527" s="867"/>
      <c r="D527" s="867"/>
      <c r="E527" s="867"/>
      <c r="F527" s="854"/>
      <c r="G527" s="853"/>
      <c r="H527" s="854"/>
      <c r="I527" s="853"/>
      <c r="J527" s="867"/>
      <c r="K527" s="854"/>
      <c r="L527" s="63"/>
    </row>
    <row r="528" spans="1:12" ht="21.75" customHeight="1">
      <c r="A528" s="62"/>
      <c r="B528" s="853"/>
      <c r="C528" s="867"/>
      <c r="D528" s="867"/>
      <c r="E528" s="867"/>
      <c r="F528" s="854"/>
      <c r="G528" s="853"/>
      <c r="H528" s="854"/>
      <c r="I528" s="853"/>
      <c r="J528" s="867"/>
      <c r="K528" s="854"/>
      <c r="L528" s="63"/>
    </row>
    <row r="529" spans="1:12" ht="19.5" customHeight="1">
      <c r="A529" s="62"/>
      <c r="B529" s="853"/>
      <c r="C529" s="867"/>
      <c r="D529" s="867"/>
      <c r="E529" s="867"/>
      <c r="F529" s="854"/>
      <c r="G529" s="853"/>
      <c r="H529" s="854"/>
      <c r="I529" s="853"/>
      <c r="J529" s="867"/>
      <c r="K529" s="854"/>
      <c r="L529" s="63"/>
    </row>
    <row r="530" spans="1:12" ht="27.95" customHeight="1">
      <c r="A530" s="62"/>
      <c r="B530" s="47" t="s">
        <v>202</v>
      </c>
      <c r="C530" s="47"/>
      <c r="D530" s="47"/>
      <c r="E530" s="47"/>
      <c r="F530" s="47"/>
      <c r="G530" s="47"/>
      <c r="H530" s="47"/>
      <c r="I530" s="47" t="s">
        <v>231</v>
      </c>
      <c r="J530" s="47"/>
      <c r="K530" s="47"/>
      <c r="L530" s="63"/>
    </row>
    <row r="531" spans="1:12" ht="24" customHeight="1">
      <c r="A531" s="62"/>
      <c r="B531" s="47"/>
      <c r="C531" s="47"/>
      <c r="D531" s="47"/>
      <c r="E531" s="47"/>
      <c r="F531" s="248" t="s">
        <v>197</v>
      </c>
      <c r="G531" s="47"/>
      <c r="H531" s="47"/>
      <c r="I531" s="47"/>
      <c r="J531" s="47"/>
      <c r="K531" s="47"/>
      <c r="L531" s="63"/>
    </row>
    <row r="532" spans="1:12" ht="27.95" customHeight="1">
      <c r="A532" s="62" t="s">
        <v>198</v>
      </c>
      <c r="B532" s="47"/>
      <c r="C532" s="47"/>
      <c r="D532" s="47"/>
      <c r="E532" s="47"/>
      <c r="F532" s="47"/>
      <c r="G532" s="47"/>
      <c r="H532" s="47"/>
      <c r="I532" s="47"/>
      <c r="J532" s="47"/>
      <c r="K532" s="47"/>
      <c r="L532" s="63"/>
    </row>
    <row r="533" spans="1:12" ht="27.95" customHeight="1">
      <c r="A533" s="62" t="s">
        <v>199</v>
      </c>
      <c r="B533" s="47"/>
      <c r="C533" s="47"/>
      <c r="D533" s="47"/>
      <c r="E533" s="47"/>
      <c r="F533" s="47"/>
      <c r="G533" s="47"/>
      <c r="H533" s="47"/>
      <c r="I533" s="47"/>
      <c r="J533" s="47"/>
      <c r="K533" s="47"/>
      <c r="L533" s="63"/>
    </row>
    <row r="534" spans="1:12" ht="27.95" customHeight="1">
      <c r="A534" s="62"/>
      <c r="B534" s="47"/>
      <c r="C534" s="47"/>
      <c r="D534" s="47"/>
      <c r="E534" s="47"/>
      <c r="F534" s="47" t="s">
        <v>200</v>
      </c>
      <c r="G534" s="47"/>
      <c r="H534" s="47"/>
      <c r="I534" s="47"/>
      <c r="J534" s="47"/>
      <c r="K534" s="47"/>
      <c r="L534" s="63"/>
    </row>
    <row r="535" spans="1:12">
      <c r="A535" s="62" t="s">
        <v>201</v>
      </c>
      <c r="B535" s="47"/>
      <c r="C535" s="47"/>
      <c r="D535" s="47"/>
      <c r="E535" s="47"/>
      <c r="F535" s="47">
        <f>'PUNJAB 04-22Master'!F480</f>
        <v>0</v>
      </c>
      <c r="G535" s="47"/>
      <c r="H535" s="47"/>
      <c r="I535" s="47"/>
      <c r="J535" s="47"/>
      <c r="K535" s="47"/>
      <c r="L535" s="63"/>
    </row>
    <row r="536" spans="1:12" ht="15.75" thickBot="1">
      <c r="A536" s="76" t="s">
        <v>202</v>
      </c>
      <c r="B536" s="74"/>
      <c r="C536" s="74"/>
      <c r="D536" s="74"/>
      <c r="E536" s="74"/>
      <c r="F536" s="249">
        <f>'PUNJAB 04-22Master'!F481</f>
        <v>0</v>
      </c>
      <c r="G536" s="249"/>
      <c r="H536" s="249"/>
      <c r="I536" s="249"/>
      <c r="J536" s="249"/>
      <c r="K536" s="249"/>
      <c r="L536" s="75"/>
    </row>
    <row r="537" spans="1:12" ht="32.25">
      <c r="A537" s="174"/>
      <c r="B537" s="141"/>
      <c r="C537" s="141"/>
      <c r="D537" s="255"/>
      <c r="E537" s="255"/>
      <c r="F537" s="255"/>
      <c r="G537" s="255"/>
      <c r="H537" s="255"/>
      <c r="I537" s="255"/>
      <c r="J537" s="141"/>
      <c r="K537" s="257" t="s">
        <v>216</v>
      </c>
      <c r="L537" s="256"/>
    </row>
    <row r="538" spans="1:12" ht="21">
      <c r="A538" s="62"/>
      <c r="B538" s="869" t="s">
        <v>215</v>
      </c>
      <c r="C538" s="869"/>
      <c r="D538" s="869"/>
      <c r="E538" s="869"/>
      <c r="F538" s="869"/>
      <c r="G538" s="869"/>
      <c r="H538" s="869"/>
      <c r="I538" s="869"/>
      <c r="J538" s="869"/>
      <c r="K538" s="869"/>
      <c r="L538" s="870"/>
    </row>
    <row r="539" spans="1:12" ht="15.75">
      <c r="A539" s="62"/>
      <c r="B539" s="864" t="s">
        <v>217</v>
      </c>
      <c r="C539" s="864"/>
      <c r="D539" s="864"/>
      <c r="E539" s="864"/>
      <c r="F539" s="864"/>
      <c r="G539" s="864"/>
      <c r="H539" s="864"/>
      <c r="I539" s="864"/>
      <c r="J539" s="864"/>
      <c r="K539" s="864"/>
      <c r="L539" s="871"/>
    </row>
    <row r="540" spans="1:12" ht="15" customHeight="1">
      <c r="A540" s="62"/>
      <c r="B540" s="260" t="s">
        <v>218</v>
      </c>
      <c r="C540" s="258"/>
      <c r="D540" s="258"/>
      <c r="E540" s="258"/>
      <c r="F540" s="258"/>
      <c r="G540" s="47"/>
      <c r="H540" s="259"/>
      <c r="I540" s="259"/>
      <c r="J540" s="259"/>
      <c r="K540" s="259"/>
      <c r="L540" s="270"/>
    </row>
    <row r="541" spans="1:12">
      <c r="A541" s="62"/>
      <c r="B541" s="762" t="s">
        <v>188</v>
      </c>
      <c r="C541" s="762"/>
      <c r="D541" s="762"/>
      <c r="E541" s="762"/>
      <c r="F541" s="762"/>
      <c r="G541" s="762"/>
      <c r="H541" s="750">
        <f>'PUNJAB 04-22Master'!B541</f>
        <v>0</v>
      </c>
      <c r="I541" s="751"/>
      <c r="J541" s="751"/>
      <c r="K541" s="751"/>
      <c r="L541" s="752"/>
    </row>
    <row r="542" spans="1:12">
      <c r="A542" s="62"/>
      <c r="B542" s="753" t="s">
        <v>189</v>
      </c>
      <c r="C542" s="753"/>
      <c r="D542" s="753"/>
      <c r="E542" s="753"/>
      <c r="F542" s="753"/>
      <c r="G542" s="753"/>
      <c r="H542" s="750">
        <f>'PUNJAB 04-22Master'!E541</f>
        <v>0</v>
      </c>
      <c r="I542" s="751"/>
      <c r="J542" s="751"/>
      <c r="K542" s="751"/>
      <c r="L542" s="752"/>
    </row>
    <row r="543" spans="1:12">
      <c r="A543" s="62"/>
      <c r="B543" s="762" t="s">
        <v>190</v>
      </c>
      <c r="C543" s="762"/>
      <c r="D543" s="762"/>
      <c r="E543" s="762"/>
      <c r="F543" s="762"/>
      <c r="G543" s="762"/>
      <c r="H543" s="750">
        <f>'PUNJAB 04-22Master'!C541</f>
        <v>0</v>
      </c>
      <c r="I543" s="751"/>
      <c r="J543" s="751"/>
      <c r="K543" s="751"/>
      <c r="L543" s="752"/>
    </row>
    <row r="544" spans="1:12">
      <c r="A544" s="62"/>
      <c r="B544" s="762" t="s">
        <v>191</v>
      </c>
      <c r="C544" s="762"/>
      <c r="D544" s="762"/>
      <c r="E544" s="762"/>
      <c r="F544" s="762"/>
      <c r="G544" s="762"/>
      <c r="H544" s="855">
        <f>'PUNJAB 04-22Master'!D541</f>
        <v>0</v>
      </c>
      <c r="I544" s="751"/>
      <c r="J544" s="751"/>
      <c r="K544" s="751"/>
      <c r="L544" s="752"/>
    </row>
    <row r="545" spans="1:12">
      <c r="A545" s="62"/>
      <c r="B545" s="158" t="s">
        <v>192</v>
      </c>
      <c r="C545" s="283"/>
      <c r="D545" s="283"/>
      <c r="E545" s="283"/>
      <c r="F545" s="283"/>
      <c r="G545" s="283"/>
      <c r="H545" s="856" t="s">
        <v>193</v>
      </c>
      <c r="I545" s="857"/>
      <c r="J545" s="857"/>
      <c r="K545" s="857"/>
      <c r="L545" s="858"/>
    </row>
    <row r="546" spans="1:12">
      <c r="A546" s="62"/>
      <c r="B546" s="158" t="s">
        <v>194</v>
      </c>
      <c r="C546" s="283"/>
      <c r="D546" s="283"/>
      <c r="E546" s="283"/>
      <c r="F546" s="283"/>
      <c r="G546" s="283"/>
      <c r="H546" s="337"/>
      <c r="I546" s="338"/>
      <c r="J546" s="244"/>
      <c r="K546" s="338"/>
      <c r="L546" s="342"/>
    </row>
    <row r="547" spans="1:12">
      <c r="A547" s="62"/>
      <c r="B547" s="773" t="s">
        <v>195</v>
      </c>
      <c r="C547" s="773"/>
      <c r="D547" s="773"/>
      <c r="E547" s="773"/>
      <c r="F547" s="773"/>
      <c r="G547" s="773"/>
      <c r="H547" s="767">
        <f>'PUNJAB 04-22Master'!G541</f>
        <v>0</v>
      </c>
      <c r="I547" s="768"/>
      <c r="J547" s="768"/>
      <c r="K547" s="768"/>
      <c r="L547" s="769"/>
    </row>
    <row r="548" spans="1:12">
      <c r="A548" s="62"/>
      <c r="B548" s="762"/>
      <c r="C548" s="762"/>
      <c r="D548" s="762"/>
      <c r="E548" s="762"/>
      <c r="F548" s="762"/>
      <c r="G548" s="762"/>
      <c r="H548" s="763">
        <f>'PUNJAB 04-22Master'!H541</f>
        <v>0</v>
      </c>
      <c r="I548" s="751"/>
      <c r="J548" s="751"/>
      <c r="K548" s="751"/>
      <c r="L548" s="752"/>
    </row>
    <row r="549" spans="1:12">
      <c r="A549" s="62"/>
      <c r="B549" s="762"/>
      <c r="C549" s="762"/>
      <c r="D549" s="762"/>
      <c r="E549" s="762"/>
      <c r="F549" s="762"/>
      <c r="G549" s="762"/>
      <c r="H549" s="750">
        <f>'PUNJAB 04-22Master'!I541</f>
        <v>0</v>
      </c>
      <c r="I549" s="751"/>
      <c r="J549" s="751"/>
      <c r="K549" s="751"/>
      <c r="L549" s="752"/>
    </row>
    <row r="550" spans="1:12">
      <c r="A550" s="62"/>
      <c r="B550" s="144"/>
      <c r="C550" s="144"/>
      <c r="D550" s="144"/>
      <c r="E550" s="144"/>
      <c r="F550" s="47"/>
      <c r="G550" s="152" t="s">
        <v>219</v>
      </c>
      <c r="H550" s="152"/>
      <c r="I550" s="152"/>
      <c r="J550" s="152"/>
      <c r="K550" s="152"/>
      <c r="L550" s="153"/>
    </row>
    <row r="551" spans="1:12">
      <c r="A551" s="62"/>
      <c r="B551" s="251" t="s">
        <v>203</v>
      </c>
      <c r="C551" s="344"/>
      <c r="D551" s="344"/>
      <c r="E551" s="344"/>
      <c r="F551" s="344"/>
      <c r="G551" s="344"/>
      <c r="H551" s="347"/>
      <c r="I551" s="347"/>
      <c r="J551" s="347"/>
      <c r="K551" s="347"/>
      <c r="L551" s="254"/>
    </row>
    <row r="552" spans="1:12">
      <c r="A552" s="62"/>
      <c r="B552" s="251" t="s">
        <v>204</v>
      </c>
      <c r="C552" s="344"/>
      <c r="D552" s="344"/>
      <c r="E552" s="344"/>
      <c r="F552" s="344"/>
      <c r="G552" s="344"/>
      <c r="H552" s="347"/>
      <c r="I552" s="347"/>
      <c r="J552" s="345"/>
      <c r="K552" s="347"/>
      <c r="L552" s="254"/>
    </row>
    <row r="553" spans="1:12" ht="45">
      <c r="A553" s="157"/>
      <c r="B553" s="158" t="s">
        <v>207</v>
      </c>
      <c r="C553" s="283"/>
      <c r="D553" s="339"/>
      <c r="E553" s="341" t="s">
        <v>209</v>
      </c>
      <c r="F553" s="119"/>
      <c r="G553" s="850" t="s">
        <v>208</v>
      </c>
      <c r="H553" s="851"/>
      <c r="I553" s="235" t="s">
        <v>205</v>
      </c>
      <c r="J553" s="239" t="s">
        <v>210</v>
      </c>
      <c r="K553" s="850" t="s">
        <v>206</v>
      </c>
      <c r="L553" s="852"/>
    </row>
    <row r="554" spans="1:12">
      <c r="A554" s="157"/>
      <c r="B554" s="240">
        <v>1</v>
      </c>
      <c r="C554" s="283"/>
      <c r="D554" s="283"/>
      <c r="E554" s="243">
        <v>2</v>
      </c>
      <c r="F554" s="284"/>
      <c r="G554" s="243">
        <v>3</v>
      </c>
      <c r="H554" s="339"/>
      <c r="I554" s="339">
        <v>4</v>
      </c>
      <c r="J554" s="328">
        <v>5</v>
      </c>
      <c r="K554" s="159"/>
      <c r="L554" s="160">
        <v>6</v>
      </c>
    </row>
    <row r="555" spans="1:12" ht="27.95" customHeight="1">
      <c r="A555" s="157"/>
      <c r="B555" s="158"/>
      <c r="C555" s="261"/>
      <c r="D555" s="262"/>
      <c r="E555" s="263" t="s">
        <v>368</v>
      </c>
      <c r="F555" s="262"/>
      <c r="G555" s="263" t="s">
        <v>366</v>
      </c>
      <c r="H555" s="119"/>
      <c r="I555" s="30" t="s">
        <v>369</v>
      </c>
      <c r="J555" s="390">
        <v>1</v>
      </c>
      <c r="K555" s="264" t="s">
        <v>37</v>
      </c>
      <c r="L555" s="271"/>
    </row>
    <row r="556" spans="1:12" ht="27.95" customHeight="1">
      <c r="A556" s="157"/>
      <c r="B556" s="158"/>
      <c r="C556" s="261"/>
      <c r="D556" s="262"/>
      <c r="E556" s="263"/>
      <c r="F556" s="262"/>
      <c r="G556" s="263"/>
      <c r="H556" s="119"/>
      <c r="I556" s="30"/>
      <c r="J556" s="30"/>
      <c r="K556" s="264"/>
      <c r="L556" s="271"/>
    </row>
    <row r="557" spans="1:12" ht="27.95" customHeight="1">
      <c r="A557" s="157"/>
      <c r="B557" s="158"/>
      <c r="C557" s="261"/>
      <c r="D557" s="262"/>
      <c r="E557" s="263"/>
      <c r="F557" s="262"/>
      <c r="G557" s="263"/>
      <c r="H557" s="119"/>
      <c r="I557" s="30"/>
      <c r="J557" s="30"/>
      <c r="K557" s="264"/>
      <c r="L557" s="271"/>
    </row>
    <row r="558" spans="1:12" ht="27.95" customHeight="1">
      <c r="A558" s="157"/>
      <c r="B558" s="127"/>
      <c r="C558" s="68"/>
      <c r="D558" s="128"/>
      <c r="E558" s="263"/>
      <c r="F558" s="262"/>
      <c r="G558" s="263"/>
      <c r="H558" s="119"/>
      <c r="I558" s="30"/>
      <c r="J558" s="30"/>
      <c r="K558" s="264"/>
      <c r="L558" s="271"/>
    </row>
    <row r="559" spans="1:12" ht="27.95" customHeight="1">
      <c r="A559" s="157"/>
      <c r="B559" s="47" t="s">
        <v>211</v>
      </c>
      <c r="C559" s="47"/>
      <c r="D559" s="47"/>
      <c r="E559" s="47"/>
      <c r="F559" s="47"/>
      <c r="G559" s="47"/>
      <c r="H559" s="47"/>
      <c r="I559" s="47"/>
      <c r="J559" s="47"/>
      <c r="K559" s="47"/>
      <c r="L559" s="63"/>
    </row>
    <row r="560" spans="1:12" ht="27.95" customHeight="1">
      <c r="A560" s="62"/>
      <c r="B560" s="47" t="s">
        <v>212</v>
      </c>
      <c r="C560" s="47"/>
      <c r="D560" s="47"/>
      <c r="E560" s="47"/>
      <c r="F560" s="47"/>
      <c r="G560" s="47"/>
      <c r="H560" s="47"/>
      <c r="I560" s="47"/>
      <c r="J560" s="47"/>
      <c r="K560" s="47"/>
      <c r="L560" s="63"/>
    </row>
    <row r="561" spans="1:12" ht="27.95" customHeight="1">
      <c r="A561" s="62"/>
      <c r="B561" s="47" t="s">
        <v>223</v>
      </c>
      <c r="C561" s="47"/>
      <c r="D561" s="47"/>
      <c r="E561" s="47"/>
      <c r="F561" s="47"/>
      <c r="G561" s="47"/>
      <c r="H561" s="47"/>
      <c r="I561" s="47"/>
      <c r="J561" s="47" t="s">
        <v>222</v>
      </c>
      <c r="K561" s="47"/>
      <c r="L561" s="63"/>
    </row>
    <row r="562" spans="1:12" ht="27.95" customHeight="1">
      <c r="A562" s="62"/>
      <c r="B562" s="144"/>
      <c r="C562" s="144"/>
      <c r="D562" s="144"/>
      <c r="E562" s="144"/>
      <c r="F562" s="47"/>
      <c r="G562" s="152" t="s">
        <v>220</v>
      </c>
      <c r="H562" s="152"/>
      <c r="I562" s="152"/>
      <c r="J562" s="152"/>
      <c r="K562" s="152"/>
      <c r="L562" s="153"/>
    </row>
    <row r="563" spans="1:12" ht="27.95" customHeight="1">
      <c r="A563" s="62"/>
      <c r="B563" s="152"/>
      <c r="C563" s="144"/>
      <c r="D563" s="144"/>
      <c r="E563" s="144"/>
      <c r="F563" s="144"/>
      <c r="G563" s="47" t="s">
        <v>221</v>
      </c>
      <c r="H563" s="152"/>
      <c r="I563" s="152"/>
      <c r="J563" s="152"/>
      <c r="K563" s="152"/>
      <c r="L563" s="153"/>
    </row>
    <row r="564" spans="1:12" ht="27.95" customHeight="1">
      <c r="A564" s="62"/>
      <c r="B564" s="251" t="s">
        <v>224</v>
      </c>
      <c r="C564" s="344"/>
      <c r="D564" s="344"/>
      <c r="E564" s="344"/>
      <c r="F564" s="344"/>
      <c r="G564" s="344"/>
      <c r="H564" s="347"/>
      <c r="I564" s="347"/>
      <c r="J564" s="347"/>
      <c r="K564" s="347"/>
      <c r="L564" s="254"/>
    </row>
    <row r="565" spans="1:12" ht="27.95" customHeight="1">
      <c r="A565" s="62"/>
      <c r="B565" s="251" t="s">
        <v>225</v>
      </c>
      <c r="C565" s="344"/>
      <c r="D565" s="344"/>
      <c r="E565" s="344"/>
      <c r="F565" s="344"/>
      <c r="G565" s="344"/>
      <c r="H565" s="347"/>
      <c r="I565" s="347"/>
      <c r="J565" s="345"/>
      <c r="K565" s="347"/>
      <c r="L565" s="254"/>
    </row>
    <row r="566" spans="1:12" ht="27.95" customHeight="1">
      <c r="A566" s="62"/>
      <c r="B566" s="158" t="s">
        <v>5</v>
      </c>
      <c r="C566" s="872" t="s">
        <v>226</v>
      </c>
      <c r="D566" s="848"/>
      <c r="E566" s="848"/>
      <c r="F566" s="848"/>
      <c r="G566" s="848"/>
      <c r="H566" s="873"/>
      <c r="I566" s="335" t="s">
        <v>110</v>
      </c>
      <c r="J566" s="874" t="s">
        <v>227</v>
      </c>
      <c r="K566" s="875"/>
      <c r="L566" s="876"/>
    </row>
    <row r="567" spans="1:12" ht="27.95" customHeight="1">
      <c r="A567" s="62"/>
      <c r="B567" s="240">
        <v>1</v>
      </c>
      <c r="C567" s="282"/>
      <c r="D567" s="338"/>
      <c r="E567" s="237">
        <v>2</v>
      </c>
      <c r="F567" s="118"/>
      <c r="G567" s="868"/>
      <c r="H567" s="851"/>
      <c r="I567" s="338">
        <v>3</v>
      </c>
      <c r="J567" s="268" t="s">
        <v>228</v>
      </c>
      <c r="K567" s="877">
        <v>4</v>
      </c>
      <c r="L567" s="878"/>
    </row>
    <row r="568" spans="1:12" ht="27.95" customHeight="1">
      <c r="A568" s="62"/>
      <c r="B568" s="158"/>
      <c r="C568" s="282"/>
      <c r="D568" s="338"/>
      <c r="E568" s="237"/>
      <c r="F568" s="118"/>
      <c r="G568" s="868"/>
      <c r="H568" s="851"/>
      <c r="I568" s="264"/>
      <c r="J568" s="267"/>
      <c r="K568" s="868"/>
      <c r="L568" s="852"/>
    </row>
    <row r="569" spans="1:12" ht="27.95" customHeight="1">
      <c r="A569" s="62"/>
      <c r="B569" s="158"/>
      <c r="C569" s="282"/>
      <c r="D569" s="338"/>
      <c r="E569" s="237"/>
      <c r="F569" s="118"/>
      <c r="G569" s="868"/>
      <c r="H569" s="851"/>
      <c r="I569" s="264"/>
      <c r="J569" s="267"/>
      <c r="K569" s="868"/>
      <c r="L569" s="852"/>
    </row>
    <row r="570" spans="1:12" ht="27.95" customHeight="1">
      <c r="A570" s="62"/>
      <c r="B570" s="158"/>
      <c r="C570" s="282"/>
      <c r="D570" s="338"/>
      <c r="E570" s="237"/>
      <c r="F570" s="118"/>
      <c r="G570" s="868"/>
      <c r="H570" s="851"/>
      <c r="I570" s="264"/>
      <c r="J570" s="267"/>
      <c r="K570" s="868"/>
      <c r="L570" s="852"/>
    </row>
    <row r="571" spans="1:12" ht="27.95" customHeight="1">
      <c r="A571" s="62"/>
      <c r="B571" s="127"/>
      <c r="C571" s="282"/>
      <c r="D571" s="338"/>
      <c r="E571" s="237"/>
      <c r="F571" s="118"/>
      <c r="G571" s="868"/>
      <c r="H571" s="851"/>
      <c r="I571" s="264"/>
      <c r="J571" s="267"/>
      <c r="K571" s="868"/>
      <c r="L571" s="852"/>
    </row>
    <row r="572" spans="1:12" ht="27.95" customHeight="1">
      <c r="A572" s="62"/>
      <c r="B572" s="47" t="s">
        <v>232</v>
      </c>
      <c r="C572" s="47"/>
      <c r="D572" s="47"/>
      <c r="E572" s="47"/>
      <c r="F572" s="47"/>
      <c r="G572" s="47"/>
      <c r="H572" s="47"/>
      <c r="I572" s="47"/>
      <c r="J572" s="47"/>
      <c r="K572" s="47"/>
      <c r="L572" s="63"/>
    </row>
    <row r="573" spans="1:12">
      <c r="A573" s="62"/>
      <c r="B573" s="47" t="s">
        <v>233</v>
      </c>
      <c r="C573" s="47"/>
      <c r="D573" s="47"/>
      <c r="E573" s="47"/>
      <c r="F573" s="47"/>
      <c r="G573" s="47"/>
      <c r="H573" s="47"/>
      <c r="I573" s="47"/>
      <c r="J573" s="47"/>
      <c r="K573" s="47"/>
      <c r="L573" s="63"/>
    </row>
    <row r="574" spans="1:12">
      <c r="A574" s="62"/>
      <c r="B574" s="47" t="s">
        <v>234</v>
      </c>
      <c r="C574" s="47"/>
      <c r="D574" s="47"/>
      <c r="E574" s="47"/>
      <c r="F574" s="47"/>
      <c r="G574" s="47"/>
      <c r="H574" s="47"/>
      <c r="I574" s="47"/>
      <c r="J574" s="47"/>
      <c r="K574" s="47"/>
      <c r="L574" s="63"/>
    </row>
    <row r="575" spans="1:12">
      <c r="A575" s="62"/>
      <c r="B575" s="269" t="s">
        <v>235</v>
      </c>
      <c r="C575" s="47"/>
      <c r="D575" s="47"/>
      <c r="E575" s="47"/>
      <c r="F575" s="47"/>
      <c r="G575" s="47"/>
      <c r="H575" s="47"/>
      <c r="I575" s="47"/>
      <c r="J575" s="47"/>
      <c r="K575" s="47"/>
      <c r="L575" s="63"/>
    </row>
    <row r="576" spans="1:12">
      <c r="A576" s="62"/>
      <c r="B576" s="263" t="s">
        <v>229</v>
      </c>
      <c r="C576" s="118"/>
      <c r="D576" s="118"/>
      <c r="E576" s="118"/>
      <c r="F576" s="119"/>
      <c r="G576" s="263" t="s">
        <v>205</v>
      </c>
      <c r="H576" s="119"/>
      <c r="I576" s="263" t="s">
        <v>230</v>
      </c>
      <c r="J576" s="118"/>
      <c r="K576" s="119"/>
      <c r="L576" s="63"/>
    </row>
    <row r="577" spans="1:12">
      <c r="A577" s="62"/>
      <c r="B577" s="853"/>
      <c r="C577" s="867"/>
      <c r="D577" s="867"/>
      <c r="E577" s="867"/>
      <c r="F577" s="854"/>
      <c r="G577" s="853"/>
      <c r="H577" s="854"/>
      <c r="I577" s="853"/>
      <c r="J577" s="867"/>
      <c r="K577" s="854"/>
      <c r="L577" s="63"/>
    </row>
    <row r="578" spans="1:12">
      <c r="A578" s="62"/>
      <c r="B578" s="853"/>
      <c r="C578" s="867"/>
      <c r="D578" s="867"/>
      <c r="E578" s="867"/>
      <c r="F578" s="854"/>
      <c r="G578" s="853"/>
      <c r="H578" s="854"/>
      <c r="I578" s="853"/>
      <c r="J578" s="867"/>
      <c r="K578" s="854"/>
      <c r="L578" s="63"/>
    </row>
    <row r="579" spans="1:12" ht="15" customHeight="1">
      <c r="A579" s="62"/>
      <c r="B579" s="853"/>
      <c r="C579" s="867"/>
      <c r="D579" s="867"/>
      <c r="E579" s="867"/>
      <c r="F579" s="854"/>
      <c r="G579" s="853"/>
      <c r="H579" s="854"/>
      <c r="I579" s="853"/>
      <c r="J579" s="867"/>
      <c r="K579" s="854"/>
      <c r="L579" s="63"/>
    </row>
    <row r="580" spans="1:12">
      <c r="A580" s="62"/>
      <c r="B580" s="853"/>
      <c r="C580" s="867"/>
      <c r="D580" s="867"/>
      <c r="E580" s="867"/>
      <c r="F580" s="854"/>
      <c r="G580" s="853"/>
      <c r="H580" s="854"/>
      <c r="I580" s="853"/>
      <c r="J580" s="867"/>
      <c r="K580" s="854"/>
      <c r="L580" s="63"/>
    </row>
    <row r="581" spans="1:12">
      <c r="A581" s="62"/>
      <c r="B581" s="47" t="s">
        <v>202</v>
      </c>
      <c r="C581" s="47"/>
      <c r="D581" s="47"/>
      <c r="E581" s="47"/>
      <c r="F581" s="47"/>
      <c r="G581" s="47"/>
      <c r="H581" s="47"/>
      <c r="I581" s="47" t="s">
        <v>231</v>
      </c>
      <c r="J581" s="47"/>
      <c r="K581" s="47"/>
      <c r="L581" s="63"/>
    </row>
    <row r="582" spans="1:12" ht="18.75">
      <c r="A582" s="62"/>
      <c r="B582" s="47"/>
      <c r="C582" s="47"/>
      <c r="D582" s="47"/>
      <c r="E582" s="47"/>
      <c r="F582" s="248" t="s">
        <v>197</v>
      </c>
      <c r="G582" s="47"/>
      <c r="H582" s="47"/>
      <c r="I582" s="47"/>
      <c r="J582" s="47"/>
      <c r="K582" s="47"/>
      <c r="L582" s="63"/>
    </row>
    <row r="583" spans="1:12">
      <c r="A583" s="62" t="s">
        <v>198</v>
      </c>
      <c r="B583" s="47"/>
      <c r="C583" s="47"/>
      <c r="D583" s="47"/>
      <c r="E583" s="47"/>
      <c r="F583" s="47"/>
      <c r="G583" s="47"/>
      <c r="H583" s="47"/>
      <c r="I583" s="47"/>
      <c r="J583" s="47"/>
      <c r="K583" s="47"/>
      <c r="L583" s="63"/>
    </row>
    <row r="584" spans="1:12">
      <c r="A584" s="62" t="s">
        <v>199</v>
      </c>
      <c r="B584" s="47"/>
      <c r="C584" s="47"/>
      <c r="D584" s="47"/>
      <c r="E584" s="47"/>
      <c r="F584" s="47"/>
      <c r="G584" s="47"/>
      <c r="H584" s="47"/>
      <c r="I584" s="47"/>
      <c r="J584" s="47"/>
      <c r="K584" s="47"/>
      <c r="L584" s="63"/>
    </row>
    <row r="585" spans="1:12">
      <c r="A585" s="62"/>
      <c r="B585" s="47"/>
      <c r="C585" s="47"/>
      <c r="D585" s="47"/>
      <c r="E585" s="47"/>
      <c r="F585" s="47" t="s">
        <v>200</v>
      </c>
      <c r="G585" s="47"/>
      <c r="H585" s="47"/>
      <c r="I585" s="47"/>
      <c r="J585" s="47"/>
      <c r="K585" s="47"/>
      <c r="L585" s="63"/>
    </row>
    <row r="586" spans="1:12">
      <c r="A586" s="62" t="s">
        <v>201</v>
      </c>
      <c r="B586" s="47"/>
      <c r="C586" s="47"/>
      <c r="D586" s="47"/>
      <c r="E586" s="47"/>
      <c r="F586" s="47">
        <f>'PUNJAB 04-22Master'!F531</f>
        <v>0</v>
      </c>
      <c r="G586" s="47"/>
      <c r="H586" s="47"/>
      <c r="I586" s="47"/>
      <c r="J586" s="47"/>
      <c r="K586" s="47"/>
      <c r="L586" s="63"/>
    </row>
    <row r="587" spans="1:12" ht="15.75" thickBot="1">
      <c r="A587" s="76" t="s">
        <v>202</v>
      </c>
      <c r="B587" s="74"/>
      <c r="C587" s="74"/>
      <c r="D587" s="74"/>
      <c r="E587" s="74"/>
      <c r="F587" s="249">
        <f>'PUNJAB 04-22Master'!F532</f>
        <v>0</v>
      </c>
      <c r="G587" s="249"/>
      <c r="H587" s="249"/>
      <c r="I587" s="249"/>
      <c r="J587" s="249"/>
      <c r="K587" s="249"/>
      <c r="L587" s="75"/>
    </row>
    <row r="588" spans="1:12">
      <c r="A588" s="47"/>
      <c r="B588" s="47"/>
      <c r="C588" s="47"/>
      <c r="D588" s="47"/>
      <c r="E588" s="47"/>
      <c r="F588" s="47"/>
      <c r="G588" s="47"/>
      <c r="H588" s="47"/>
      <c r="I588" s="47"/>
      <c r="J588" s="47"/>
      <c r="K588" s="47"/>
      <c r="L588" s="47"/>
    </row>
    <row r="589" spans="1:12">
      <c r="A589" s="47"/>
      <c r="B589" s="47"/>
      <c r="C589" s="47"/>
      <c r="D589" s="47"/>
      <c r="E589" s="47"/>
      <c r="F589" s="47"/>
      <c r="G589" s="47"/>
      <c r="H589" s="229"/>
      <c r="I589" s="229"/>
      <c r="J589" s="229"/>
      <c r="K589" s="229"/>
      <c r="L589" s="229"/>
    </row>
    <row r="590" spans="1:12">
      <c r="A590" s="47"/>
      <c r="B590" s="144"/>
      <c r="C590" s="144"/>
      <c r="D590" s="144"/>
      <c r="E590" s="144"/>
      <c r="F590" s="144"/>
      <c r="G590" s="47"/>
      <c r="H590" s="152"/>
      <c r="I590" s="152"/>
      <c r="J590" s="152"/>
      <c r="K590" s="152"/>
      <c r="L590" s="152"/>
    </row>
    <row r="591" spans="1:12">
      <c r="A591" s="47"/>
      <c r="B591" s="152"/>
      <c r="C591" s="144"/>
      <c r="D591" s="144"/>
      <c r="E591" s="144"/>
      <c r="F591" s="144"/>
      <c r="G591" s="47"/>
      <c r="H591" s="152"/>
      <c r="I591" s="152"/>
      <c r="J591" s="152"/>
      <c r="K591" s="152"/>
      <c r="L591" s="152"/>
    </row>
    <row r="592" spans="1:12">
      <c r="A592" s="47"/>
      <c r="B592" s="144"/>
      <c r="C592" s="144"/>
      <c r="D592" s="144"/>
      <c r="E592" s="144"/>
      <c r="F592" s="144"/>
      <c r="G592" s="47"/>
      <c r="H592" s="152"/>
      <c r="I592" s="152"/>
      <c r="J592" s="152"/>
      <c r="K592" s="152"/>
      <c r="L592" s="152"/>
    </row>
    <row r="593" spans="1:12">
      <c r="A593" s="47"/>
      <c r="B593" s="144"/>
      <c r="C593" s="144"/>
      <c r="D593" s="144"/>
      <c r="E593" s="144"/>
      <c r="F593" s="144"/>
      <c r="G593" s="47"/>
      <c r="H593" s="152"/>
      <c r="I593" s="152"/>
      <c r="J593" s="152"/>
      <c r="K593" s="152"/>
      <c r="L593" s="152"/>
    </row>
    <row r="594" spans="1:12" ht="27.95" customHeight="1">
      <c r="A594" s="343"/>
      <c r="B594" s="862"/>
      <c r="C594" s="862"/>
      <c r="D594" s="862"/>
      <c r="E594" s="862"/>
      <c r="F594" s="862"/>
      <c r="G594" s="862"/>
      <c r="H594" s="859"/>
      <c r="I594" s="860"/>
      <c r="J594" s="860"/>
      <c r="K594" s="860"/>
      <c r="L594" s="860"/>
    </row>
    <row r="595" spans="1:12" ht="27.95" customHeight="1">
      <c r="A595" s="343"/>
      <c r="B595" s="758"/>
      <c r="C595" s="758"/>
      <c r="D595" s="758"/>
      <c r="E595" s="758"/>
      <c r="F595" s="758"/>
      <c r="G595" s="758"/>
      <c r="H595" s="859"/>
      <c r="I595" s="860"/>
      <c r="J595" s="860"/>
      <c r="K595" s="860"/>
      <c r="L595" s="860"/>
    </row>
    <row r="596" spans="1:12" ht="27.95" customHeight="1">
      <c r="A596" s="343"/>
      <c r="B596" s="862"/>
      <c r="C596" s="862"/>
      <c r="D596" s="862"/>
      <c r="E596" s="862"/>
      <c r="F596" s="862"/>
      <c r="G596" s="862"/>
      <c r="H596" s="859"/>
      <c r="I596" s="860"/>
      <c r="J596" s="860"/>
      <c r="K596" s="860"/>
      <c r="L596" s="860"/>
    </row>
    <row r="597" spans="1:12" ht="27.95" customHeight="1">
      <c r="A597" s="343"/>
      <c r="B597" s="862"/>
      <c r="C597" s="862"/>
      <c r="D597" s="862"/>
      <c r="E597" s="862"/>
      <c r="F597" s="862"/>
      <c r="G597" s="862"/>
      <c r="H597" s="863"/>
      <c r="I597" s="860"/>
      <c r="J597" s="860"/>
      <c r="K597" s="860"/>
      <c r="L597" s="860"/>
    </row>
    <row r="598" spans="1:12" ht="27.95" customHeight="1">
      <c r="A598" s="343"/>
      <c r="B598" s="251"/>
      <c r="C598" s="242"/>
      <c r="D598" s="242"/>
      <c r="E598" s="242"/>
      <c r="F598" s="242"/>
      <c r="G598" s="242"/>
      <c r="H598" s="227"/>
      <c r="I598" s="343"/>
      <c r="J598" s="346"/>
      <c r="K598" s="227"/>
      <c r="L598" s="227"/>
    </row>
    <row r="599" spans="1:12" ht="27.95" customHeight="1">
      <c r="A599" s="343"/>
      <c r="B599" s="251"/>
      <c r="C599" s="242"/>
      <c r="D599" s="242"/>
      <c r="E599" s="242"/>
      <c r="F599" s="242"/>
      <c r="G599" s="242"/>
      <c r="H599" s="227"/>
      <c r="I599" s="227"/>
      <c r="J599" s="346"/>
      <c r="K599" s="227"/>
      <c r="L599" s="227"/>
    </row>
    <row r="600" spans="1:12" ht="27.95" customHeight="1">
      <c r="A600" s="343"/>
      <c r="B600" s="758"/>
      <c r="C600" s="758"/>
      <c r="D600" s="758"/>
      <c r="E600" s="758"/>
      <c r="F600" s="758"/>
      <c r="G600" s="758"/>
      <c r="H600" s="859"/>
      <c r="I600" s="860"/>
      <c r="J600" s="860"/>
      <c r="K600" s="860"/>
      <c r="L600" s="860"/>
    </row>
    <row r="601" spans="1:12" ht="27.95" customHeight="1">
      <c r="A601" s="343"/>
      <c r="B601" s="862"/>
      <c r="C601" s="862"/>
      <c r="D601" s="862"/>
      <c r="E601" s="862"/>
      <c r="F601" s="862"/>
      <c r="G601" s="862"/>
      <c r="H601" s="865"/>
      <c r="I601" s="860"/>
      <c r="J601" s="860"/>
      <c r="K601" s="860"/>
      <c r="L601" s="860"/>
    </row>
    <row r="602" spans="1:12" ht="27.95" customHeight="1">
      <c r="A602" s="47"/>
      <c r="B602" s="862"/>
      <c r="C602" s="862"/>
      <c r="D602" s="862"/>
      <c r="E602" s="862"/>
      <c r="F602" s="862"/>
      <c r="G602" s="862"/>
      <c r="H602" s="860"/>
      <c r="I602" s="860"/>
      <c r="J602" s="860"/>
      <c r="K602" s="860"/>
      <c r="L602" s="860"/>
    </row>
    <row r="603" spans="1:12" ht="27.95" customHeight="1">
      <c r="A603" s="47"/>
      <c r="B603" s="251"/>
      <c r="C603" s="242"/>
      <c r="D603" s="242"/>
      <c r="E603" s="242"/>
      <c r="F603" s="242"/>
      <c r="G603" s="242"/>
      <c r="H603" s="227"/>
      <c r="I603" s="227"/>
      <c r="J603" s="227"/>
      <c r="K603" s="227"/>
      <c r="L603" s="227"/>
    </row>
    <row r="604" spans="1:12" ht="27.95" customHeight="1">
      <c r="A604" s="47"/>
      <c r="B604" s="251"/>
      <c r="C604" s="242"/>
      <c r="D604" s="242"/>
      <c r="E604" s="242"/>
      <c r="F604" s="242"/>
      <c r="G604" s="242"/>
      <c r="H604" s="227"/>
      <c r="I604" s="227"/>
      <c r="J604" s="227"/>
      <c r="K604" s="227"/>
      <c r="L604" s="227"/>
    </row>
    <row r="605" spans="1:12" ht="27.95" customHeight="1">
      <c r="A605" s="47"/>
      <c r="B605" s="251"/>
      <c r="C605" s="242"/>
      <c r="D605" s="242"/>
      <c r="E605" s="242"/>
      <c r="F605" s="242"/>
      <c r="G605" s="242"/>
      <c r="H605" s="227"/>
      <c r="I605" s="227"/>
      <c r="J605" s="228"/>
      <c r="K605" s="227"/>
      <c r="L605" s="227"/>
    </row>
    <row r="606" spans="1:12" ht="27.95" customHeight="1">
      <c r="A606" s="47"/>
      <c r="B606" s="251"/>
      <c r="C606" s="242"/>
      <c r="D606" s="242"/>
      <c r="E606" s="242"/>
      <c r="F606" s="242"/>
      <c r="G606" s="242"/>
      <c r="H606" s="227"/>
      <c r="I606" s="227"/>
      <c r="J606" s="227"/>
      <c r="K606" s="227"/>
      <c r="L606" s="227"/>
    </row>
    <row r="607" spans="1:12" ht="27.95" customHeight="1">
      <c r="A607" s="47"/>
      <c r="B607" s="251"/>
      <c r="C607" s="242"/>
      <c r="D607" s="242"/>
      <c r="E607" s="242"/>
      <c r="F607" s="242"/>
      <c r="G607" s="242"/>
      <c r="H607" s="227"/>
      <c r="I607" s="227"/>
      <c r="J607" s="228"/>
      <c r="K607" s="227"/>
      <c r="L607" s="227"/>
    </row>
    <row r="608" spans="1:12" ht="27.95" customHeight="1">
      <c r="A608" s="47"/>
      <c r="B608" s="251"/>
      <c r="C608" s="242"/>
      <c r="D608" s="227"/>
      <c r="E608" s="228"/>
      <c r="F608" s="227"/>
      <c r="G608" s="228"/>
      <c r="H608" s="227"/>
      <c r="I608" s="228"/>
      <c r="J608" s="227"/>
      <c r="K608" s="228"/>
      <c r="L608" s="228"/>
    </row>
    <row r="609" spans="1:12" ht="27.95" customHeight="1">
      <c r="A609" s="47"/>
      <c r="B609" s="251"/>
      <c r="C609" s="242"/>
      <c r="D609" s="242"/>
      <c r="E609" s="242"/>
      <c r="F609" s="242"/>
      <c r="G609" s="242"/>
      <c r="H609" s="227"/>
      <c r="I609" s="227"/>
      <c r="J609" s="348"/>
      <c r="K609" s="227"/>
      <c r="L609" s="227"/>
    </row>
    <row r="610" spans="1:12" ht="27.95" customHeight="1">
      <c r="A610" s="47"/>
      <c r="B610" s="251"/>
      <c r="C610" s="229"/>
      <c r="D610" s="229"/>
      <c r="E610" s="229"/>
      <c r="F610" s="229"/>
      <c r="G610" s="229"/>
      <c r="H610" s="47"/>
      <c r="I610" s="47"/>
      <c r="J610" s="47"/>
      <c r="K610" s="47"/>
      <c r="L610" s="47"/>
    </row>
    <row r="611" spans="1:12" ht="27.95" customHeight="1">
      <c r="A611" s="47"/>
      <c r="B611" s="251"/>
      <c r="C611" s="229"/>
      <c r="D611" s="229"/>
      <c r="E611" s="229"/>
      <c r="F611" s="229"/>
      <c r="G611" s="229"/>
      <c r="H611" s="47"/>
      <c r="I611" s="47"/>
      <c r="J611" s="47"/>
      <c r="K611" s="47"/>
      <c r="L611" s="47"/>
    </row>
    <row r="612" spans="1:12">
      <c r="A612" s="47"/>
      <c r="B612" s="47"/>
      <c r="C612" s="47"/>
      <c r="D612" s="47"/>
      <c r="E612" s="47"/>
      <c r="F612" s="47"/>
      <c r="G612" s="47"/>
      <c r="H612" s="47"/>
      <c r="I612" s="47"/>
      <c r="J612" s="47"/>
      <c r="K612" s="47"/>
      <c r="L612" s="47"/>
    </row>
    <row r="613" spans="1:12">
      <c r="A613" s="47"/>
      <c r="B613" s="47"/>
      <c r="C613" s="47"/>
      <c r="D613" s="47"/>
      <c r="E613" s="47"/>
      <c r="F613" s="47"/>
      <c r="G613" s="47"/>
      <c r="H613" s="47"/>
      <c r="I613" s="47"/>
      <c r="J613" s="47"/>
      <c r="K613" s="47"/>
      <c r="L613" s="47"/>
    </row>
    <row r="614" spans="1:12" ht="32.25">
      <c r="A614" s="47"/>
      <c r="B614" s="866"/>
      <c r="C614" s="786"/>
      <c r="D614" s="786"/>
      <c r="E614" s="786"/>
      <c r="F614" s="786"/>
      <c r="G614" s="786"/>
      <c r="H614" s="786"/>
      <c r="I614" s="786"/>
      <c r="J614" s="786"/>
      <c r="K614" s="786"/>
      <c r="L614" s="786"/>
    </row>
    <row r="615" spans="1:12" ht="23.25">
      <c r="A615" s="47"/>
      <c r="B615" s="745"/>
      <c r="C615" s="745"/>
      <c r="D615" s="745"/>
      <c r="E615" s="745"/>
      <c r="F615" s="745"/>
      <c r="G615" s="745"/>
      <c r="H615" s="745"/>
      <c r="I615" s="745"/>
      <c r="J615" s="745"/>
      <c r="K615" s="745"/>
      <c r="L615" s="745"/>
    </row>
    <row r="616" spans="1:12" ht="15.75">
      <c r="A616" s="47"/>
      <c r="B616" s="864"/>
      <c r="C616" s="864"/>
      <c r="D616" s="864"/>
      <c r="E616" s="864"/>
      <c r="F616" s="864"/>
      <c r="G616" s="864"/>
      <c r="H616" s="864"/>
      <c r="I616" s="864"/>
      <c r="J616" s="864"/>
      <c r="K616" s="864"/>
      <c r="L616" s="864"/>
    </row>
    <row r="617" spans="1:12" ht="15" customHeight="1">
      <c r="A617" s="47"/>
      <c r="B617" s="757"/>
      <c r="C617" s="757"/>
      <c r="D617" s="757"/>
      <c r="E617" s="757"/>
      <c r="F617" s="757"/>
      <c r="G617" s="47"/>
      <c r="H617" s="758"/>
      <c r="I617" s="758"/>
      <c r="J617" s="758"/>
      <c r="K617" s="758"/>
      <c r="L617" s="758"/>
    </row>
    <row r="618" spans="1:12">
      <c r="A618" s="47"/>
      <c r="B618" s="757"/>
      <c r="C618" s="757"/>
      <c r="D618" s="757"/>
      <c r="E618" s="757"/>
      <c r="F618" s="757"/>
      <c r="G618" s="47"/>
      <c r="H618" s="758"/>
      <c r="I618" s="758"/>
      <c r="J618" s="758"/>
      <c r="K618" s="758"/>
      <c r="L618" s="758"/>
    </row>
    <row r="619" spans="1:12">
      <c r="A619" s="47"/>
      <c r="B619" s="47"/>
      <c r="C619" s="47"/>
      <c r="D619" s="47"/>
      <c r="E619" s="47"/>
      <c r="F619" s="47"/>
      <c r="G619" s="47"/>
      <c r="H619" s="47"/>
      <c r="I619" s="47"/>
      <c r="J619" s="47"/>
      <c r="K619" s="47"/>
      <c r="L619" s="47"/>
    </row>
    <row r="620" spans="1:12">
      <c r="A620" s="47"/>
      <c r="B620" s="152"/>
      <c r="C620" s="144"/>
      <c r="D620" s="144"/>
      <c r="E620" s="144"/>
      <c r="F620" s="144"/>
      <c r="G620" s="47"/>
      <c r="H620" s="152"/>
      <c r="I620" s="144"/>
      <c r="J620" s="144"/>
      <c r="K620" s="144"/>
      <c r="L620" s="144"/>
    </row>
    <row r="621" spans="1:12">
      <c r="A621" s="47"/>
      <c r="B621" s="47"/>
      <c r="C621" s="144"/>
      <c r="D621" s="144"/>
      <c r="E621" s="144"/>
      <c r="F621" s="144"/>
      <c r="G621" s="47"/>
      <c r="H621" s="47"/>
      <c r="I621" s="144"/>
      <c r="J621" s="144"/>
      <c r="K621" s="144"/>
      <c r="L621" s="144"/>
    </row>
    <row r="622" spans="1:12">
      <c r="A622" s="47"/>
      <c r="B622" s="152"/>
      <c r="C622" s="144"/>
      <c r="D622" s="144"/>
      <c r="E622" s="144"/>
      <c r="F622" s="144"/>
      <c r="G622" s="47"/>
      <c r="H622" s="152"/>
      <c r="I622" s="144"/>
      <c r="J622" s="144"/>
      <c r="K622" s="144"/>
      <c r="L622" s="144"/>
    </row>
    <row r="623" spans="1:12">
      <c r="A623" s="47"/>
      <c r="B623" s="144"/>
      <c r="C623" s="144"/>
      <c r="D623" s="144"/>
      <c r="E623" s="144"/>
      <c r="F623" s="144"/>
      <c r="G623" s="47"/>
      <c r="H623" s="144"/>
      <c r="I623" s="144"/>
      <c r="J623" s="144"/>
      <c r="K623" s="144"/>
      <c r="L623" s="144"/>
    </row>
    <row r="624" spans="1:12">
      <c r="A624" s="47"/>
      <c r="B624" s="47"/>
      <c r="C624" s="47"/>
      <c r="D624" s="47"/>
      <c r="E624" s="47"/>
      <c r="F624" s="47"/>
      <c r="G624" s="47"/>
      <c r="H624" s="47"/>
      <c r="I624" s="47"/>
      <c r="J624" s="47"/>
      <c r="K624" s="47"/>
      <c r="L624" s="47"/>
    </row>
    <row r="625" spans="1:12">
      <c r="A625" s="47"/>
      <c r="B625" s="760"/>
      <c r="C625" s="760"/>
      <c r="D625" s="760"/>
      <c r="E625" s="760"/>
      <c r="F625" s="760"/>
      <c r="G625" s="47"/>
      <c r="H625" s="760"/>
      <c r="I625" s="760"/>
      <c r="J625" s="760"/>
      <c r="K625" s="760"/>
      <c r="L625" s="760"/>
    </row>
    <row r="626" spans="1:12">
      <c r="A626" s="47"/>
      <c r="B626" s="47"/>
      <c r="C626" s="47"/>
      <c r="D626" s="47"/>
      <c r="E626" s="47"/>
      <c r="F626" s="47"/>
      <c r="G626" s="47"/>
      <c r="H626" s="47"/>
      <c r="I626" s="47"/>
      <c r="J626" s="47"/>
      <c r="K626" s="47"/>
      <c r="L626" s="47"/>
    </row>
    <row r="627" spans="1:12">
      <c r="A627" s="47"/>
      <c r="B627" s="47"/>
      <c r="C627" s="47"/>
      <c r="D627" s="47"/>
      <c r="E627" s="47"/>
      <c r="F627" s="47"/>
      <c r="G627" s="47"/>
      <c r="H627" s="229"/>
      <c r="I627" s="229"/>
      <c r="J627" s="229"/>
      <c r="K627" s="229"/>
      <c r="L627" s="229"/>
    </row>
    <row r="628" spans="1:12">
      <c r="A628" s="47"/>
      <c r="B628" s="144"/>
      <c r="C628" s="144"/>
      <c r="D628" s="144"/>
      <c r="E628" s="144"/>
      <c r="F628" s="144"/>
      <c r="G628" s="47"/>
      <c r="H628" s="152"/>
      <c r="I628" s="152"/>
      <c r="J628" s="152"/>
      <c r="K628" s="152"/>
      <c r="L628" s="152"/>
    </row>
    <row r="629" spans="1:12">
      <c r="A629" s="47"/>
      <c r="B629" s="152"/>
      <c r="C629" s="144"/>
      <c r="D629" s="144"/>
      <c r="E629" s="144"/>
      <c r="F629" s="144"/>
      <c r="G629" s="47"/>
      <c r="H629" s="152"/>
      <c r="I629" s="152"/>
      <c r="J629" s="152"/>
      <c r="K629" s="152"/>
      <c r="L629" s="152"/>
    </row>
    <row r="630" spans="1:12">
      <c r="A630" s="47"/>
      <c r="B630" s="144"/>
      <c r="C630" s="144"/>
      <c r="D630" s="144"/>
      <c r="E630" s="144"/>
      <c r="F630" s="144"/>
      <c r="G630" s="47"/>
      <c r="H630" s="152"/>
      <c r="I630" s="152"/>
      <c r="J630" s="152"/>
      <c r="K630" s="152"/>
      <c r="L630" s="152"/>
    </row>
    <row r="631" spans="1:12">
      <c r="A631" s="47"/>
      <c r="B631" s="144"/>
      <c r="C631" s="144"/>
      <c r="D631" s="144"/>
      <c r="E631" s="144"/>
      <c r="F631" s="144"/>
      <c r="G631" s="47"/>
      <c r="H631" s="152"/>
      <c r="I631" s="152"/>
      <c r="J631" s="152"/>
      <c r="K631" s="152"/>
      <c r="L631" s="152"/>
    </row>
    <row r="632" spans="1:12" ht="27.95" customHeight="1">
      <c r="A632" s="343"/>
      <c r="B632" s="862"/>
      <c r="C632" s="862"/>
      <c r="D632" s="862"/>
      <c r="E632" s="862"/>
      <c r="F632" s="862"/>
      <c r="G632" s="862"/>
      <c r="H632" s="859"/>
      <c r="I632" s="860"/>
      <c r="J632" s="860"/>
      <c r="K632" s="860"/>
      <c r="L632" s="860"/>
    </row>
    <row r="633" spans="1:12" ht="27.95" customHeight="1">
      <c r="A633" s="343"/>
      <c r="B633" s="758"/>
      <c r="C633" s="758"/>
      <c r="D633" s="758"/>
      <c r="E633" s="758"/>
      <c r="F633" s="758"/>
      <c r="G633" s="758"/>
      <c r="H633" s="859"/>
      <c r="I633" s="860"/>
      <c r="J633" s="860"/>
      <c r="K633" s="860"/>
      <c r="L633" s="860"/>
    </row>
    <row r="634" spans="1:12" ht="27.95" customHeight="1">
      <c r="A634" s="343"/>
      <c r="B634" s="862"/>
      <c r="C634" s="862"/>
      <c r="D634" s="862"/>
      <c r="E634" s="862"/>
      <c r="F634" s="862"/>
      <c r="G634" s="862"/>
      <c r="H634" s="859"/>
      <c r="I634" s="860"/>
      <c r="J634" s="860"/>
      <c r="K634" s="860"/>
      <c r="L634" s="860"/>
    </row>
    <row r="635" spans="1:12" ht="27.95" customHeight="1">
      <c r="A635" s="343"/>
      <c r="B635" s="862"/>
      <c r="C635" s="862"/>
      <c r="D635" s="862"/>
      <c r="E635" s="862"/>
      <c r="F635" s="862"/>
      <c r="G635" s="862"/>
      <c r="H635" s="863"/>
      <c r="I635" s="860"/>
      <c r="J635" s="860"/>
      <c r="K635" s="860"/>
      <c r="L635" s="860"/>
    </row>
    <row r="636" spans="1:12" ht="27.95" customHeight="1">
      <c r="A636" s="343"/>
      <c r="B636" s="251"/>
      <c r="C636" s="242"/>
      <c r="D636" s="242"/>
      <c r="E636" s="242"/>
      <c r="F636" s="242"/>
      <c r="G636" s="242"/>
      <c r="H636" s="227"/>
      <c r="I636" s="343"/>
      <c r="J636" s="346"/>
      <c r="K636" s="227"/>
      <c r="L636" s="227"/>
    </row>
    <row r="637" spans="1:12" ht="27.95" customHeight="1">
      <c r="A637" s="343"/>
      <c r="B637" s="251"/>
      <c r="C637" s="242"/>
      <c r="D637" s="242"/>
      <c r="E637" s="242"/>
      <c r="F637" s="242"/>
      <c r="G637" s="242"/>
      <c r="H637" s="227"/>
      <c r="I637" s="227"/>
      <c r="J637" s="346"/>
      <c r="K637" s="227"/>
      <c r="L637" s="227"/>
    </row>
    <row r="638" spans="1:12" ht="27.95" customHeight="1">
      <c r="A638" s="343"/>
      <c r="B638" s="758"/>
      <c r="C638" s="758"/>
      <c r="D638" s="758"/>
      <c r="E638" s="758"/>
      <c r="F638" s="758"/>
      <c r="G638" s="758"/>
      <c r="H638" s="859"/>
      <c r="I638" s="860"/>
      <c r="J638" s="860"/>
      <c r="K638" s="860"/>
      <c r="L638" s="860"/>
    </row>
    <row r="639" spans="1:12" ht="27.95" customHeight="1">
      <c r="A639" s="343"/>
      <c r="B639" s="862"/>
      <c r="C639" s="862"/>
      <c r="D639" s="862"/>
      <c r="E639" s="862"/>
      <c r="F639" s="862"/>
      <c r="G639" s="862"/>
      <c r="H639" s="865"/>
      <c r="I639" s="860"/>
      <c r="J639" s="860"/>
      <c r="K639" s="860"/>
      <c r="L639" s="860"/>
    </row>
    <row r="640" spans="1:12" ht="27.95" customHeight="1">
      <c r="A640" s="47"/>
      <c r="B640" s="862"/>
      <c r="C640" s="862"/>
      <c r="D640" s="862"/>
      <c r="E640" s="862"/>
      <c r="F640" s="862"/>
      <c r="G640" s="862"/>
      <c r="H640" s="860"/>
      <c r="I640" s="860"/>
      <c r="J640" s="860"/>
      <c r="K640" s="860"/>
      <c r="L640" s="860"/>
    </row>
    <row r="641" spans="1:12" ht="27.95" customHeight="1">
      <c r="A641" s="47"/>
      <c r="B641" s="251"/>
      <c r="C641" s="242"/>
      <c r="D641" s="242"/>
      <c r="E641" s="242"/>
      <c r="F641" s="242"/>
      <c r="G641" s="242"/>
      <c r="H641" s="227"/>
      <c r="I641" s="227"/>
      <c r="J641" s="227"/>
      <c r="K641" s="227"/>
      <c r="L641" s="227"/>
    </row>
    <row r="642" spans="1:12" ht="27.95" customHeight="1">
      <c r="A642" s="47"/>
      <c r="B642" s="251"/>
      <c r="C642" s="242"/>
      <c r="D642" s="242"/>
      <c r="E642" s="242"/>
      <c r="F642" s="242"/>
      <c r="G642" s="242"/>
      <c r="H642" s="227"/>
      <c r="I642" s="227"/>
      <c r="J642" s="227"/>
      <c r="K642" s="227"/>
      <c r="L642" s="227"/>
    </row>
    <row r="643" spans="1:12" ht="27.95" customHeight="1">
      <c r="A643" s="47"/>
      <c r="B643" s="251"/>
      <c r="C643" s="242"/>
      <c r="D643" s="242"/>
      <c r="E643" s="242"/>
      <c r="F643" s="242"/>
      <c r="G643" s="242"/>
      <c r="H643" s="227"/>
      <c r="I643" s="227"/>
      <c r="J643" s="228"/>
      <c r="K643" s="227"/>
      <c r="L643" s="227"/>
    </row>
    <row r="644" spans="1:12" ht="27.95" customHeight="1">
      <c r="A644" s="47"/>
      <c r="B644" s="251"/>
      <c r="C644" s="242"/>
      <c r="D644" s="242"/>
      <c r="E644" s="242"/>
      <c r="F644" s="242"/>
      <c r="G644" s="242"/>
      <c r="H644" s="227"/>
      <c r="I644" s="227"/>
      <c r="J644" s="227"/>
      <c r="K644" s="227"/>
      <c r="L644" s="227"/>
    </row>
    <row r="645" spans="1:12" ht="27.95" customHeight="1">
      <c r="A645" s="47"/>
      <c r="B645" s="251"/>
      <c r="C645" s="242"/>
      <c r="D645" s="242"/>
      <c r="E645" s="242"/>
      <c r="F645" s="242"/>
      <c r="G645" s="242"/>
      <c r="H645" s="227"/>
      <c r="I645" s="227"/>
      <c r="J645" s="228"/>
      <c r="K645" s="227"/>
      <c r="L645" s="227"/>
    </row>
    <row r="646" spans="1:12" ht="27.95" customHeight="1">
      <c r="A646" s="47"/>
      <c r="B646" s="251"/>
      <c r="C646" s="242"/>
      <c r="D646" s="227"/>
      <c r="E646" s="228"/>
      <c r="F646" s="227"/>
      <c r="G646" s="228"/>
      <c r="H646" s="227"/>
      <c r="I646" s="228"/>
      <c r="J646" s="227"/>
      <c r="K646" s="228"/>
      <c r="L646" s="228"/>
    </row>
    <row r="647" spans="1:12" ht="27.95" customHeight="1">
      <c r="A647" s="47"/>
      <c r="B647" s="251"/>
      <c r="C647" s="242"/>
      <c r="D647" s="242"/>
      <c r="E647" s="242"/>
      <c r="F647" s="242"/>
      <c r="G647" s="242"/>
      <c r="H647" s="227"/>
      <c r="I647" s="227"/>
      <c r="J647" s="348"/>
      <c r="K647" s="227"/>
      <c r="L647" s="227"/>
    </row>
    <row r="648" spans="1:12" ht="27.95" customHeight="1">
      <c r="A648" s="47"/>
      <c r="B648" s="251"/>
      <c r="C648" s="229"/>
      <c r="D648" s="229"/>
      <c r="E648" s="229"/>
      <c r="F648" s="229"/>
      <c r="G648" s="229"/>
      <c r="H648" s="47"/>
      <c r="I648" s="47"/>
      <c r="J648" s="47"/>
      <c r="K648" s="47"/>
      <c r="L648" s="47"/>
    </row>
    <row r="649" spans="1:12" ht="27.95" customHeight="1">
      <c r="A649" s="47"/>
      <c r="B649" s="251"/>
      <c r="C649" s="229"/>
      <c r="D649" s="229"/>
      <c r="E649" s="229"/>
      <c r="F649" s="229"/>
      <c r="G649" s="229"/>
      <c r="H649" s="47"/>
      <c r="I649" s="47"/>
      <c r="J649" s="47"/>
      <c r="K649" s="47"/>
      <c r="L649" s="47"/>
    </row>
    <row r="650" spans="1:12">
      <c r="A650" s="47"/>
      <c r="B650" s="47"/>
      <c r="C650" s="47"/>
      <c r="D650" s="47"/>
      <c r="E650" s="47"/>
      <c r="F650" s="47"/>
      <c r="G650" s="47"/>
      <c r="H650" s="47"/>
      <c r="I650" s="47"/>
      <c r="J650" s="47"/>
      <c r="K650" s="47"/>
      <c r="L650" s="47"/>
    </row>
    <row r="651" spans="1:12">
      <c r="A651" s="47"/>
      <c r="B651" s="47"/>
      <c r="C651" s="47"/>
      <c r="D651" s="47"/>
      <c r="E651" s="47"/>
      <c r="F651" s="47"/>
      <c r="G651" s="47"/>
      <c r="H651" s="47"/>
      <c r="I651" s="47"/>
      <c r="J651" s="47"/>
      <c r="K651" s="47"/>
      <c r="L651" s="47"/>
    </row>
    <row r="652" spans="1:12">
      <c r="A652" s="47"/>
      <c r="B652" s="47"/>
      <c r="C652" s="47"/>
      <c r="D652" s="47"/>
      <c r="E652" s="47"/>
      <c r="F652" s="47"/>
      <c r="G652" s="47"/>
      <c r="H652" s="47"/>
      <c r="I652" s="47"/>
      <c r="J652" s="47"/>
      <c r="K652" s="47"/>
      <c r="L652" s="47"/>
    </row>
    <row r="653" spans="1:12" ht="32.25">
      <c r="A653" s="47"/>
      <c r="B653" s="866"/>
      <c r="C653" s="786"/>
      <c r="D653" s="786"/>
      <c r="E653" s="786"/>
      <c r="F653" s="786"/>
      <c r="G653" s="786"/>
      <c r="H653" s="786"/>
      <c r="I653" s="786"/>
      <c r="J653" s="786"/>
      <c r="K653" s="786"/>
      <c r="L653" s="786"/>
    </row>
    <row r="654" spans="1:12" ht="23.25">
      <c r="A654" s="47"/>
      <c r="B654" s="745"/>
      <c r="C654" s="745"/>
      <c r="D654" s="745"/>
      <c r="E654" s="745"/>
      <c r="F654" s="745"/>
      <c r="G654" s="745"/>
      <c r="H654" s="745"/>
      <c r="I654" s="745"/>
      <c r="J654" s="745"/>
      <c r="K654" s="745"/>
      <c r="L654" s="745"/>
    </row>
    <row r="655" spans="1:12" ht="15.75">
      <c r="A655" s="47"/>
      <c r="B655" s="864"/>
      <c r="C655" s="864"/>
      <c r="D655" s="864"/>
      <c r="E655" s="864"/>
      <c r="F655" s="864"/>
      <c r="G655" s="864"/>
      <c r="H655" s="864"/>
      <c r="I655" s="864"/>
      <c r="J655" s="864"/>
      <c r="K655" s="864"/>
      <c r="L655" s="864"/>
    </row>
    <row r="656" spans="1:12" ht="15" customHeight="1">
      <c r="A656" s="47"/>
      <c r="B656" s="757"/>
      <c r="C656" s="757"/>
      <c r="D656" s="757"/>
      <c r="E656" s="757"/>
      <c r="F656" s="757"/>
      <c r="G656" s="47"/>
      <c r="H656" s="758"/>
      <c r="I656" s="758"/>
      <c r="J656" s="758"/>
      <c r="K656" s="758"/>
      <c r="L656" s="758"/>
    </row>
    <row r="657" spans="1:12">
      <c r="A657" s="47"/>
      <c r="B657" s="757"/>
      <c r="C657" s="757"/>
      <c r="D657" s="757"/>
      <c r="E657" s="757"/>
      <c r="F657" s="757"/>
      <c r="G657" s="47"/>
      <c r="H657" s="758"/>
      <c r="I657" s="758"/>
      <c r="J657" s="758"/>
      <c r="K657" s="758"/>
      <c r="L657" s="758"/>
    </row>
    <row r="658" spans="1:12">
      <c r="A658" s="47"/>
      <c r="B658" s="47"/>
      <c r="C658" s="47"/>
      <c r="D658" s="47"/>
      <c r="E658" s="47"/>
      <c r="F658" s="47"/>
      <c r="G658" s="47"/>
      <c r="H658" s="47"/>
      <c r="I658" s="47"/>
      <c r="J658" s="47"/>
      <c r="K658" s="47"/>
      <c r="L658" s="47"/>
    </row>
    <row r="659" spans="1:12">
      <c r="A659" s="47"/>
      <c r="B659" s="152"/>
      <c r="C659" s="144"/>
      <c r="D659" s="144"/>
      <c r="E659" s="144"/>
      <c r="F659" s="144"/>
      <c r="G659" s="47"/>
      <c r="H659" s="152"/>
      <c r="I659" s="144"/>
      <c r="J659" s="144"/>
      <c r="K659" s="144"/>
      <c r="L659" s="144"/>
    </row>
    <row r="660" spans="1:12">
      <c r="A660" s="47"/>
      <c r="B660" s="47"/>
      <c r="C660" s="144"/>
      <c r="D660" s="144"/>
      <c r="E660" s="144"/>
      <c r="F660" s="144"/>
      <c r="G660" s="47"/>
      <c r="H660" s="47"/>
      <c r="I660" s="144"/>
      <c r="J660" s="144"/>
      <c r="K660" s="144"/>
      <c r="L660" s="144"/>
    </row>
    <row r="661" spans="1:12">
      <c r="A661" s="47"/>
      <c r="B661" s="152"/>
      <c r="C661" s="144"/>
      <c r="D661" s="144"/>
      <c r="E661" s="144"/>
      <c r="F661" s="144"/>
      <c r="G661" s="47"/>
      <c r="H661" s="152"/>
      <c r="I661" s="144"/>
      <c r="J661" s="144"/>
      <c r="K661" s="144"/>
      <c r="L661" s="144"/>
    </row>
    <row r="662" spans="1:12">
      <c r="A662" s="47"/>
      <c r="B662" s="144"/>
      <c r="C662" s="144"/>
      <c r="D662" s="144"/>
      <c r="E662" s="144"/>
      <c r="F662" s="144"/>
      <c r="G662" s="47"/>
      <c r="H662" s="144"/>
      <c r="I662" s="144"/>
      <c r="J662" s="144"/>
      <c r="K662" s="144"/>
      <c r="L662" s="144"/>
    </row>
    <row r="663" spans="1:12">
      <c r="A663" s="47"/>
      <c r="B663" s="47"/>
      <c r="C663" s="47"/>
      <c r="D663" s="47"/>
      <c r="E663" s="47"/>
      <c r="F663" s="47"/>
      <c r="G663" s="47"/>
      <c r="H663" s="47"/>
      <c r="I663" s="47"/>
      <c r="J663" s="47"/>
      <c r="K663" s="47"/>
      <c r="L663" s="47"/>
    </row>
    <row r="664" spans="1:12">
      <c r="A664" s="47"/>
      <c r="B664" s="760"/>
      <c r="C664" s="760"/>
      <c r="D664" s="760"/>
      <c r="E664" s="760"/>
      <c r="F664" s="760"/>
      <c r="G664" s="47"/>
      <c r="H664" s="760"/>
      <c r="I664" s="760"/>
      <c r="J664" s="760"/>
      <c r="K664" s="760"/>
      <c r="L664" s="760"/>
    </row>
    <row r="665" spans="1:12">
      <c r="A665" s="47"/>
      <c r="B665" s="47"/>
      <c r="C665" s="47"/>
      <c r="D665" s="47"/>
      <c r="E665" s="47"/>
      <c r="F665" s="47"/>
      <c r="G665" s="47"/>
      <c r="H665" s="47"/>
      <c r="I665" s="47"/>
      <c r="J665" s="47"/>
      <c r="K665" s="47"/>
      <c r="L665" s="47"/>
    </row>
    <row r="666" spans="1:12">
      <c r="A666" s="47"/>
      <c r="B666" s="47"/>
      <c r="C666" s="47"/>
      <c r="D666" s="47"/>
      <c r="E666" s="47"/>
      <c r="F666" s="47"/>
      <c r="G666" s="47"/>
      <c r="H666" s="229"/>
      <c r="I666" s="229"/>
      <c r="J666" s="229"/>
      <c r="K666" s="229"/>
      <c r="L666" s="229"/>
    </row>
    <row r="667" spans="1:12">
      <c r="A667" s="47"/>
      <c r="B667" s="144"/>
      <c r="C667" s="144"/>
      <c r="D667" s="144"/>
      <c r="E667" s="144"/>
      <c r="F667" s="144"/>
      <c r="G667" s="47"/>
      <c r="H667" s="152"/>
      <c r="I667" s="152"/>
      <c r="J667" s="152"/>
      <c r="K667" s="152"/>
      <c r="L667" s="152"/>
    </row>
    <row r="668" spans="1:12">
      <c r="A668" s="47"/>
      <c r="B668" s="152"/>
      <c r="C668" s="144"/>
      <c r="D668" s="144"/>
      <c r="E668" s="144"/>
      <c r="F668" s="144"/>
      <c r="G668" s="47"/>
      <c r="H668" s="152"/>
      <c r="I668" s="152"/>
      <c r="J668" s="152"/>
      <c r="K668" s="152"/>
      <c r="L668" s="152"/>
    </row>
    <row r="669" spans="1:12">
      <c r="A669" s="47"/>
      <c r="B669" s="144"/>
      <c r="C669" s="144"/>
      <c r="D669" s="144"/>
      <c r="E669" s="144"/>
      <c r="F669" s="144"/>
      <c r="G669" s="47"/>
      <c r="H669" s="152"/>
      <c r="I669" s="152"/>
      <c r="J669" s="152"/>
      <c r="K669" s="152"/>
      <c r="L669" s="152"/>
    </row>
    <row r="670" spans="1:12">
      <c r="A670" s="47"/>
      <c r="B670" s="144"/>
      <c r="C670" s="144"/>
      <c r="D670" s="144"/>
      <c r="E670" s="144"/>
      <c r="F670" s="144"/>
      <c r="G670" s="47"/>
      <c r="H670" s="152"/>
      <c r="I670" s="152"/>
      <c r="J670" s="152"/>
      <c r="K670" s="152"/>
      <c r="L670" s="152"/>
    </row>
    <row r="671" spans="1:12" ht="27.95" customHeight="1">
      <c r="A671" s="343"/>
      <c r="B671" s="862"/>
      <c r="C671" s="862"/>
      <c r="D671" s="862"/>
      <c r="E671" s="862"/>
      <c r="F671" s="862"/>
      <c r="G671" s="862"/>
      <c r="H671" s="859"/>
      <c r="I671" s="860"/>
      <c r="J671" s="860"/>
      <c r="K671" s="860"/>
      <c r="L671" s="860"/>
    </row>
    <row r="672" spans="1:12" ht="27.95" customHeight="1">
      <c r="A672" s="343"/>
      <c r="B672" s="758"/>
      <c r="C672" s="758"/>
      <c r="D672" s="758"/>
      <c r="E672" s="758"/>
      <c r="F672" s="758"/>
      <c r="G672" s="758"/>
      <c r="H672" s="859"/>
      <c r="I672" s="860"/>
      <c r="J672" s="860"/>
      <c r="K672" s="860"/>
      <c r="L672" s="860"/>
    </row>
    <row r="673" spans="1:12" ht="27.95" customHeight="1">
      <c r="A673" s="343"/>
      <c r="B673" s="862"/>
      <c r="C673" s="862"/>
      <c r="D673" s="862"/>
      <c r="E673" s="862"/>
      <c r="F673" s="862"/>
      <c r="G673" s="862"/>
      <c r="H673" s="859"/>
      <c r="I673" s="860"/>
      <c r="J673" s="860"/>
      <c r="K673" s="860"/>
      <c r="L673" s="860"/>
    </row>
    <row r="674" spans="1:12" ht="27.95" customHeight="1">
      <c r="A674" s="343"/>
      <c r="B674" s="862"/>
      <c r="C674" s="862"/>
      <c r="D674" s="862"/>
      <c r="E674" s="862"/>
      <c r="F674" s="862"/>
      <c r="G674" s="862"/>
      <c r="H674" s="863"/>
      <c r="I674" s="860"/>
      <c r="J674" s="860"/>
      <c r="K674" s="860"/>
      <c r="L674" s="860"/>
    </row>
    <row r="675" spans="1:12" ht="27.95" customHeight="1">
      <c r="A675" s="343"/>
      <c r="B675" s="251"/>
      <c r="C675" s="242"/>
      <c r="D675" s="242"/>
      <c r="E675" s="242"/>
      <c r="F675" s="242"/>
      <c r="G675" s="242"/>
      <c r="H675" s="227"/>
      <c r="I675" s="343"/>
      <c r="J675" s="346"/>
      <c r="K675" s="227"/>
      <c r="L675" s="227"/>
    </row>
    <row r="676" spans="1:12" ht="27.95" customHeight="1">
      <c r="A676" s="343"/>
      <c r="B676" s="251"/>
      <c r="C676" s="242"/>
      <c r="D676" s="242"/>
      <c r="E676" s="242"/>
      <c r="F676" s="242"/>
      <c r="G676" s="242"/>
      <c r="H676" s="227"/>
      <c r="I676" s="227"/>
      <c r="J676" s="346"/>
      <c r="K676" s="227"/>
      <c r="L676" s="227"/>
    </row>
    <row r="677" spans="1:12" ht="27.95" customHeight="1">
      <c r="A677" s="343"/>
      <c r="B677" s="758"/>
      <c r="C677" s="758"/>
      <c r="D677" s="758"/>
      <c r="E677" s="758"/>
      <c r="F677" s="758"/>
      <c r="G677" s="758"/>
      <c r="H677" s="859"/>
      <c r="I677" s="860"/>
      <c r="J677" s="860"/>
      <c r="K677" s="860"/>
      <c r="L677" s="860"/>
    </row>
    <row r="678" spans="1:12" ht="27.95" customHeight="1">
      <c r="A678" s="343"/>
      <c r="B678" s="862"/>
      <c r="C678" s="862"/>
      <c r="D678" s="862"/>
      <c r="E678" s="862"/>
      <c r="F678" s="862"/>
      <c r="G678" s="862"/>
      <c r="H678" s="865"/>
      <c r="I678" s="860"/>
      <c r="J678" s="860"/>
      <c r="K678" s="860"/>
      <c r="L678" s="860"/>
    </row>
    <row r="679" spans="1:12" ht="27.95" customHeight="1">
      <c r="A679" s="47"/>
      <c r="B679" s="862"/>
      <c r="C679" s="862"/>
      <c r="D679" s="862"/>
      <c r="E679" s="862"/>
      <c r="F679" s="862"/>
      <c r="G679" s="862"/>
      <c r="H679" s="860"/>
      <c r="I679" s="860"/>
      <c r="J679" s="860"/>
      <c r="K679" s="860"/>
      <c r="L679" s="860"/>
    </row>
    <row r="680" spans="1:12" ht="27.95" customHeight="1">
      <c r="A680" s="47"/>
      <c r="B680" s="251"/>
      <c r="C680" s="242"/>
      <c r="D680" s="242"/>
      <c r="E680" s="242"/>
      <c r="F680" s="242"/>
      <c r="G680" s="242"/>
      <c r="H680" s="227"/>
      <c r="I680" s="227"/>
      <c r="J680" s="227"/>
      <c r="K680" s="227"/>
      <c r="L680" s="227"/>
    </row>
    <row r="681" spans="1:12" ht="27.95" customHeight="1">
      <c r="A681" s="47"/>
      <c r="B681" s="251"/>
      <c r="C681" s="242"/>
      <c r="D681" s="242"/>
      <c r="E681" s="242"/>
      <c r="F681" s="242"/>
      <c r="G681" s="242"/>
      <c r="H681" s="227"/>
      <c r="I681" s="227"/>
      <c r="J681" s="227"/>
      <c r="K681" s="227"/>
      <c r="L681" s="227"/>
    </row>
    <row r="682" spans="1:12" ht="27.95" customHeight="1">
      <c r="A682" s="47"/>
      <c r="B682" s="251"/>
      <c r="C682" s="242"/>
      <c r="D682" s="242"/>
      <c r="E682" s="242"/>
      <c r="F682" s="242"/>
      <c r="G682" s="242"/>
      <c r="H682" s="227"/>
      <c r="I682" s="227"/>
      <c r="J682" s="228"/>
      <c r="K682" s="227"/>
      <c r="L682" s="227"/>
    </row>
    <row r="683" spans="1:12" ht="27.95" customHeight="1">
      <c r="A683" s="47"/>
      <c r="B683" s="251"/>
      <c r="C683" s="242"/>
      <c r="D683" s="242"/>
      <c r="E683" s="242"/>
      <c r="F683" s="242"/>
      <c r="G683" s="242"/>
      <c r="H683" s="227"/>
      <c r="I683" s="227"/>
      <c r="J683" s="227"/>
      <c r="K683" s="227"/>
      <c r="L683" s="227"/>
    </row>
    <row r="684" spans="1:12" ht="27.95" customHeight="1">
      <c r="A684" s="47"/>
      <c r="B684" s="251"/>
      <c r="C684" s="242"/>
      <c r="D684" s="242"/>
      <c r="E684" s="242"/>
      <c r="F684" s="242"/>
      <c r="G684" s="242"/>
      <c r="H684" s="227"/>
      <c r="I684" s="227"/>
      <c r="J684" s="228"/>
      <c r="K684" s="227"/>
      <c r="L684" s="227"/>
    </row>
    <row r="685" spans="1:12" ht="27.95" customHeight="1">
      <c r="A685" s="47"/>
      <c r="B685" s="251"/>
      <c r="C685" s="242"/>
      <c r="D685" s="227"/>
      <c r="E685" s="228"/>
      <c r="F685" s="227"/>
      <c r="G685" s="228"/>
      <c r="H685" s="227"/>
      <c r="I685" s="228"/>
      <c r="J685" s="227"/>
      <c r="K685" s="228"/>
      <c r="L685" s="228"/>
    </row>
    <row r="686" spans="1:12" ht="27.95" customHeight="1">
      <c r="A686" s="47"/>
      <c r="B686" s="251"/>
      <c r="C686" s="242"/>
      <c r="D686" s="242"/>
      <c r="E686" s="242"/>
      <c r="F686" s="242"/>
      <c r="G686" s="242"/>
      <c r="H686" s="227"/>
      <c r="I686" s="227"/>
      <c r="J686" s="348"/>
      <c r="K686" s="227"/>
      <c r="L686" s="227"/>
    </row>
    <row r="687" spans="1:12" ht="27.95" customHeight="1">
      <c r="A687" s="47"/>
      <c r="B687" s="251"/>
      <c r="C687" s="229"/>
      <c r="D687" s="229"/>
      <c r="E687" s="229"/>
      <c r="F687" s="229"/>
      <c r="G687" s="229"/>
      <c r="H687" s="47"/>
      <c r="I687" s="47"/>
      <c r="J687" s="47"/>
      <c r="K687" s="47"/>
      <c r="L687" s="47"/>
    </row>
    <row r="688" spans="1:12" ht="27.95" customHeight="1">
      <c r="A688" s="47"/>
      <c r="B688" s="251"/>
      <c r="C688" s="229"/>
      <c r="D688" s="229"/>
      <c r="E688" s="229"/>
      <c r="F688" s="229"/>
      <c r="G688" s="229"/>
      <c r="H688" s="47"/>
      <c r="I688" s="47"/>
      <c r="J688" s="47"/>
      <c r="K688" s="47"/>
      <c r="L688" s="47"/>
    </row>
    <row r="689" spans="1:12">
      <c r="A689" s="47"/>
      <c r="B689" s="47"/>
      <c r="C689" s="47"/>
      <c r="D689" s="47"/>
      <c r="E689" s="47"/>
      <c r="F689" s="47"/>
      <c r="G689" s="47"/>
      <c r="H689" s="47"/>
      <c r="I689" s="47"/>
      <c r="J689" s="47"/>
      <c r="K689" s="47"/>
      <c r="L689" s="47"/>
    </row>
    <row r="690" spans="1:12">
      <c r="A690" s="47"/>
      <c r="B690" s="47"/>
      <c r="C690" s="47"/>
      <c r="D690" s="47"/>
      <c r="E690" s="47"/>
      <c r="F690" s="47"/>
      <c r="G690" s="47"/>
      <c r="H690" s="47"/>
      <c r="I690" s="47"/>
      <c r="J690" s="47"/>
      <c r="K690" s="47"/>
      <c r="L690" s="47"/>
    </row>
    <row r="691" spans="1:12">
      <c r="A691" s="47"/>
      <c r="B691" s="47"/>
      <c r="C691" s="47"/>
      <c r="D691" s="47"/>
      <c r="E691" s="47"/>
      <c r="F691" s="47"/>
      <c r="G691" s="47"/>
      <c r="H691" s="47"/>
      <c r="I691" s="47"/>
      <c r="J691" s="47"/>
      <c r="K691" s="47"/>
      <c r="L691" s="47"/>
    </row>
    <row r="692" spans="1:12" ht="32.25">
      <c r="A692" s="47"/>
      <c r="B692" s="866"/>
      <c r="C692" s="786"/>
      <c r="D692" s="786"/>
      <c r="E692" s="786"/>
      <c r="F692" s="786"/>
      <c r="G692" s="786"/>
      <c r="H692" s="786"/>
      <c r="I692" s="786"/>
      <c r="J692" s="786"/>
      <c r="K692" s="786"/>
      <c r="L692" s="786"/>
    </row>
    <row r="693" spans="1:12" ht="23.25">
      <c r="A693" s="47"/>
      <c r="B693" s="745"/>
      <c r="C693" s="745"/>
      <c r="D693" s="745"/>
      <c r="E693" s="745"/>
      <c r="F693" s="745"/>
      <c r="G693" s="745"/>
      <c r="H693" s="745"/>
      <c r="I693" s="745"/>
      <c r="J693" s="745"/>
      <c r="K693" s="745"/>
      <c r="L693" s="745"/>
    </row>
    <row r="694" spans="1:12" ht="15.75">
      <c r="A694" s="47"/>
      <c r="B694" s="864"/>
      <c r="C694" s="864"/>
      <c r="D694" s="864"/>
      <c r="E694" s="864"/>
      <c r="F694" s="864"/>
      <c r="G694" s="864"/>
      <c r="H694" s="864"/>
      <c r="I694" s="864"/>
      <c r="J694" s="864"/>
      <c r="K694" s="864"/>
      <c r="L694" s="864"/>
    </row>
    <row r="695" spans="1:12" ht="15" customHeight="1">
      <c r="A695" s="47"/>
      <c r="B695" s="757"/>
      <c r="C695" s="757"/>
      <c r="D695" s="757"/>
      <c r="E695" s="757"/>
      <c r="F695" s="757"/>
      <c r="G695" s="47"/>
      <c r="H695" s="758"/>
      <c r="I695" s="758"/>
      <c r="J695" s="758"/>
      <c r="K695" s="758"/>
      <c r="L695" s="758"/>
    </row>
    <row r="696" spans="1:12">
      <c r="A696" s="47"/>
      <c r="B696" s="757"/>
      <c r="C696" s="757"/>
      <c r="D696" s="757"/>
      <c r="E696" s="757"/>
      <c r="F696" s="757"/>
      <c r="G696" s="47"/>
      <c r="H696" s="758"/>
      <c r="I696" s="758"/>
      <c r="J696" s="758"/>
      <c r="K696" s="758"/>
      <c r="L696" s="758"/>
    </row>
    <row r="697" spans="1:12">
      <c r="A697" s="47"/>
      <c r="B697" s="47"/>
      <c r="C697" s="47"/>
      <c r="D697" s="47"/>
      <c r="E697" s="47"/>
      <c r="F697" s="47"/>
      <c r="G697" s="47"/>
      <c r="H697" s="47"/>
      <c r="I697" s="47"/>
      <c r="J697" s="47"/>
      <c r="K697" s="47"/>
      <c r="L697" s="47"/>
    </row>
    <row r="698" spans="1:12">
      <c r="A698" s="47"/>
      <c r="B698" s="152"/>
      <c r="C698" s="144"/>
      <c r="D698" s="144"/>
      <c r="E698" s="144"/>
      <c r="F698" s="144"/>
      <c r="G698" s="47"/>
      <c r="H698" s="152"/>
      <c r="I698" s="144"/>
      <c r="J698" s="144"/>
      <c r="K698" s="144"/>
      <c r="L698" s="144"/>
    </row>
    <row r="699" spans="1:12">
      <c r="A699" s="47"/>
      <c r="B699" s="47"/>
      <c r="C699" s="144"/>
      <c r="D699" s="144"/>
      <c r="E699" s="144"/>
      <c r="F699" s="144"/>
      <c r="G699" s="47"/>
      <c r="H699" s="47"/>
      <c r="I699" s="144"/>
      <c r="J699" s="144"/>
      <c r="K699" s="144"/>
      <c r="L699" s="144"/>
    </row>
    <row r="700" spans="1:12">
      <c r="A700" s="47"/>
      <c r="B700" s="152"/>
      <c r="C700" s="144"/>
      <c r="D700" s="144"/>
      <c r="E700" s="144"/>
      <c r="F700" s="144"/>
      <c r="G700" s="47"/>
      <c r="H700" s="152"/>
      <c r="I700" s="144"/>
      <c r="J700" s="144"/>
      <c r="K700" s="144"/>
      <c r="L700" s="144"/>
    </row>
    <row r="701" spans="1:12">
      <c r="A701" s="47"/>
      <c r="B701" s="144"/>
      <c r="C701" s="144"/>
      <c r="D701" s="144"/>
      <c r="E701" s="144"/>
      <c r="F701" s="144"/>
      <c r="G701" s="47"/>
      <c r="H701" s="144"/>
      <c r="I701" s="144"/>
      <c r="J701" s="144"/>
      <c r="K701" s="144"/>
      <c r="L701" s="144"/>
    </row>
    <row r="702" spans="1:12">
      <c r="A702" s="47"/>
      <c r="B702" s="47"/>
      <c r="C702" s="47"/>
      <c r="D702" s="47"/>
      <c r="E702" s="47"/>
      <c r="F702" s="47"/>
      <c r="G702" s="47"/>
      <c r="H702" s="47"/>
      <c r="I702" s="47"/>
      <c r="J702" s="47"/>
      <c r="K702" s="47"/>
      <c r="L702" s="47"/>
    </row>
    <row r="703" spans="1:12">
      <c r="A703" s="47"/>
      <c r="B703" s="760"/>
      <c r="C703" s="760"/>
      <c r="D703" s="760"/>
      <c r="E703" s="760"/>
      <c r="F703" s="760"/>
      <c r="G703" s="47"/>
      <c r="H703" s="760"/>
      <c r="I703" s="760"/>
      <c r="J703" s="760"/>
      <c r="K703" s="760"/>
      <c r="L703" s="760"/>
    </row>
    <row r="704" spans="1:12">
      <c r="A704" s="47"/>
      <c r="B704" s="47"/>
      <c r="C704" s="47"/>
      <c r="D704" s="47"/>
      <c r="E704" s="47"/>
      <c r="F704" s="47"/>
      <c r="G704" s="47"/>
      <c r="H704" s="47"/>
      <c r="I704" s="47"/>
      <c r="J704" s="47"/>
      <c r="K704" s="47"/>
      <c r="L704" s="47"/>
    </row>
    <row r="705" spans="1:12">
      <c r="A705" s="47"/>
      <c r="B705" s="47"/>
      <c r="C705" s="47"/>
      <c r="D705" s="47"/>
      <c r="E705" s="47"/>
      <c r="F705" s="47"/>
      <c r="G705" s="47"/>
      <c r="H705" s="229"/>
      <c r="I705" s="229"/>
      <c r="J705" s="229"/>
      <c r="K705" s="229"/>
      <c r="L705" s="229"/>
    </row>
    <row r="706" spans="1:12">
      <c r="A706" s="47"/>
      <c r="B706" s="144"/>
      <c r="C706" s="144"/>
      <c r="D706" s="144"/>
      <c r="E706" s="144"/>
      <c r="F706" s="144"/>
      <c r="G706" s="47"/>
      <c r="H706" s="152"/>
      <c r="I706" s="152"/>
      <c r="J706" s="152"/>
      <c r="K706" s="152"/>
      <c r="L706" s="152"/>
    </row>
    <row r="707" spans="1:12">
      <c r="A707" s="47"/>
      <c r="B707" s="152"/>
      <c r="C707" s="144"/>
      <c r="D707" s="144"/>
      <c r="E707" s="144"/>
      <c r="F707" s="144"/>
      <c r="G707" s="47"/>
      <c r="H707" s="152"/>
      <c r="I707" s="152"/>
      <c r="J707" s="152"/>
      <c r="K707" s="152"/>
      <c r="L707" s="152"/>
    </row>
    <row r="708" spans="1:12">
      <c r="A708" s="47"/>
      <c r="B708" s="144"/>
      <c r="C708" s="144"/>
      <c r="D708" s="144"/>
      <c r="E708" s="144"/>
      <c r="F708" s="144"/>
      <c r="G708" s="47"/>
      <c r="H708" s="152"/>
      <c r="I708" s="152"/>
      <c r="J708" s="152"/>
      <c r="K708" s="152"/>
      <c r="L708" s="152"/>
    </row>
    <row r="709" spans="1:12">
      <c r="A709" s="47"/>
      <c r="B709" s="144"/>
      <c r="C709" s="144"/>
      <c r="D709" s="144"/>
      <c r="E709" s="144"/>
      <c r="F709" s="144"/>
      <c r="G709" s="47"/>
      <c r="H709" s="152"/>
      <c r="I709" s="152"/>
      <c r="J709" s="152"/>
      <c r="K709" s="152"/>
      <c r="L709" s="152"/>
    </row>
    <row r="710" spans="1:12" ht="27.95" customHeight="1">
      <c r="A710" s="343"/>
      <c r="B710" s="862"/>
      <c r="C710" s="862"/>
      <c r="D710" s="862"/>
      <c r="E710" s="862"/>
      <c r="F710" s="862"/>
      <c r="G710" s="862"/>
      <c r="H710" s="859"/>
      <c r="I710" s="860"/>
      <c r="J710" s="860"/>
      <c r="K710" s="860"/>
      <c r="L710" s="860"/>
    </row>
    <row r="711" spans="1:12" ht="27.95" customHeight="1">
      <c r="A711" s="343"/>
      <c r="B711" s="758"/>
      <c r="C711" s="758"/>
      <c r="D711" s="758"/>
      <c r="E711" s="758"/>
      <c r="F711" s="758"/>
      <c r="G711" s="758"/>
      <c r="H711" s="859"/>
      <c r="I711" s="860"/>
      <c r="J711" s="860"/>
      <c r="K711" s="860"/>
      <c r="L711" s="860"/>
    </row>
    <row r="712" spans="1:12" ht="27.95" customHeight="1">
      <c r="A712" s="343"/>
      <c r="B712" s="862"/>
      <c r="C712" s="862"/>
      <c r="D712" s="862"/>
      <c r="E712" s="862"/>
      <c r="F712" s="862"/>
      <c r="G712" s="862"/>
      <c r="H712" s="859"/>
      <c r="I712" s="860"/>
      <c r="J712" s="860"/>
      <c r="K712" s="860"/>
      <c r="L712" s="860"/>
    </row>
    <row r="713" spans="1:12" ht="27.95" customHeight="1">
      <c r="A713" s="343"/>
      <c r="B713" s="862"/>
      <c r="C713" s="862"/>
      <c r="D713" s="862"/>
      <c r="E713" s="862"/>
      <c r="F713" s="862"/>
      <c r="G713" s="862"/>
      <c r="H713" s="863"/>
      <c r="I713" s="860"/>
      <c r="J713" s="860"/>
      <c r="K713" s="860"/>
      <c r="L713" s="860"/>
    </row>
    <row r="714" spans="1:12" ht="27.95" customHeight="1">
      <c r="A714" s="343"/>
      <c r="B714" s="251"/>
      <c r="C714" s="242"/>
      <c r="D714" s="242"/>
      <c r="E714" s="242"/>
      <c r="F714" s="242"/>
      <c r="G714" s="242"/>
      <c r="H714" s="227"/>
      <c r="I714" s="343"/>
      <c r="J714" s="346"/>
      <c r="K714" s="227"/>
      <c r="L714" s="227"/>
    </row>
    <row r="715" spans="1:12" ht="27.95" customHeight="1">
      <c r="A715" s="343"/>
      <c r="B715" s="251"/>
      <c r="C715" s="242"/>
      <c r="D715" s="242"/>
      <c r="E715" s="242"/>
      <c r="F715" s="242"/>
      <c r="G715" s="242"/>
      <c r="H715" s="227"/>
      <c r="I715" s="227"/>
      <c r="J715" s="346"/>
      <c r="K715" s="227"/>
      <c r="L715" s="227"/>
    </row>
    <row r="716" spans="1:12" ht="27.95" customHeight="1">
      <c r="A716" s="343"/>
      <c r="B716" s="758"/>
      <c r="C716" s="758"/>
      <c r="D716" s="758"/>
      <c r="E716" s="758"/>
      <c r="F716" s="758"/>
      <c r="G716" s="758"/>
      <c r="H716" s="859"/>
      <c r="I716" s="860"/>
      <c r="J716" s="860"/>
      <c r="K716" s="860"/>
      <c r="L716" s="860"/>
    </row>
    <row r="717" spans="1:12" ht="27.95" customHeight="1">
      <c r="A717" s="343"/>
      <c r="B717" s="862"/>
      <c r="C717" s="862"/>
      <c r="D717" s="862"/>
      <c r="E717" s="862"/>
      <c r="F717" s="862"/>
      <c r="G717" s="862"/>
      <c r="H717" s="865"/>
      <c r="I717" s="860"/>
      <c r="J717" s="860"/>
      <c r="K717" s="860"/>
      <c r="L717" s="860"/>
    </row>
    <row r="718" spans="1:12" ht="27.95" customHeight="1">
      <c r="A718" s="47"/>
      <c r="B718" s="862"/>
      <c r="C718" s="862"/>
      <c r="D718" s="862"/>
      <c r="E718" s="862"/>
      <c r="F718" s="862"/>
      <c r="G718" s="862"/>
      <c r="H718" s="860"/>
      <c r="I718" s="860"/>
      <c r="J718" s="860"/>
      <c r="K718" s="860"/>
      <c r="L718" s="860"/>
    </row>
    <row r="719" spans="1:12" ht="27.95" customHeight="1">
      <c r="A719" s="47"/>
      <c r="B719" s="251"/>
      <c r="C719" s="242"/>
      <c r="D719" s="242"/>
      <c r="E719" s="242"/>
      <c r="F719" s="242"/>
      <c r="G719" s="242"/>
      <c r="H719" s="227"/>
      <c r="I719" s="227"/>
      <c r="J719" s="227"/>
      <c r="K719" s="227"/>
      <c r="L719" s="227"/>
    </row>
    <row r="720" spans="1:12" ht="27.95" customHeight="1">
      <c r="A720" s="47"/>
      <c r="B720" s="251"/>
      <c r="C720" s="242"/>
      <c r="D720" s="242"/>
      <c r="E720" s="242"/>
      <c r="F720" s="242"/>
      <c r="G720" s="242"/>
      <c r="H720" s="227"/>
      <c r="I720" s="227"/>
      <c r="J720" s="227"/>
      <c r="K720" s="227"/>
      <c r="L720" s="227"/>
    </row>
    <row r="721" spans="1:12" ht="27.95" customHeight="1">
      <c r="A721" s="47"/>
      <c r="B721" s="251"/>
      <c r="C721" s="242"/>
      <c r="D721" s="242"/>
      <c r="E721" s="242"/>
      <c r="F721" s="242"/>
      <c r="G721" s="242"/>
      <c r="H721" s="227"/>
      <c r="I721" s="227"/>
      <c r="J721" s="228"/>
      <c r="K721" s="227"/>
      <c r="L721" s="227"/>
    </row>
    <row r="722" spans="1:12" ht="27.95" customHeight="1">
      <c r="A722" s="47"/>
      <c r="B722" s="251"/>
      <c r="C722" s="242"/>
      <c r="D722" s="242"/>
      <c r="E722" s="242"/>
      <c r="F722" s="242"/>
      <c r="G722" s="242"/>
      <c r="H722" s="227"/>
      <c r="I722" s="227"/>
      <c r="J722" s="227"/>
      <c r="K722" s="227"/>
      <c r="L722" s="227"/>
    </row>
    <row r="723" spans="1:12" ht="27.95" customHeight="1">
      <c r="A723" s="47"/>
      <c r="B723" s="251"/>
      <c r="C723" s="242"/>
      <c r="D723" s="242"/>
      <c r="E723" s="242"/>
      <c r="F723" s="242"/>
      <c r="G723" s="242"/>
      <c r="H723" s="227"/>
      <c r="I723" s="227"/>
      <c r="J723" s="228"/>
      <c r="K723" s="227"/>
      <c r="L723" s="227"/>
    </row>
    <row r="724" spans="1:12" ht="27.95" customHeight="1">
      <c r="A724" s="47"/>
      <c r="B724" s="251"/>
      <c r="C724" s="242"/>
      <c r="D724" s="227"/>
      <c r="E724" s="228"/>
      <c r="F724" s="227"/>
      <c r="G724" s="228"/>
      <c r="H724" s="227"/>
      <c r="I724" s="228"/>
      <c r="J724" s="227"/>
      <c r="K724" s="228"/>
      <c r="L724" s="228"/>
    </row>
    <row r="725" spans="1:12" ht="27.95" customHeight="1">
      <c r="A725" s="47"/>
      <c r="B725" s="251"/>
      <c r="C725" s="242"/>
      <c r="D725" s="242"/>
      <c r="E725" s="242"/>
      <c r="F725" s="242"/>
      <c r="G725" s="242"/>
      <c r="H725" s="227"/>
      <c r="I725" s="227"/>
      <c r="J725" s="348"/>
      <c r="K725" s="227"/>
      <c r="L725" s="227"/>
    </row>
    <row r="726" spans="1:12" ht="27.95" customHeight="1">
      <c r="A726" s="47"/>
      <c r="B726" s="251"/>
      <c r="C726" s="229"/>
      <c r="D726" s="229"/>
      <c r="E726" s="229"/>
      <c r="F726" s="229"/>
      <c r="G726" s="229"/>
      <c r="H726" s="47"/>
      <c r="I726" s="47"/>
      <c r="J726" s="47"/>
      <c r="K726" s="47"/>
      <c r="L726" s="47"/>
    </row>
    <row r="727" spans="1:12" ht="27.95" customHeight="1">
      <c r="A727" s="47"/>
      <c r="B727" s="251"/>
      <c r="C727" s="229"/>
      <c r="D727" s="229"/>
      <c r="E727" s="229"/>
      <c r="F727" s="229"/>
      <c r="G727" s="229"/>
      <c r="H727" s="47"/>
      <c r="I727" s="47"/>
      <c r="J727" s="47"/>
      <c r="K727" s="47"/>
      <c r="L727" s="47"/>
    </row>
    <row r="728" spans="1:12">
      <c r="A728" s="47"/>
      <c r="B728" s="47"/>
      <c r="C728" s="47"/>
      <c r="D728" s="47"/>
      <c r="E728" s="47"/>
      <c r="F728" s="47"/>
      <c r="G728" s="47"/>
      <c r="H728" s="47"/>
      <c r="I728" s="47"/>
      <c r="J728" s="47"/>
      <c r="K728" s="47"/>
      <c r="L728" s="47"/>
    </row>
    <row r="729" spans="1:12">
      <c r="A729" s="47"/>
      <c r="B729" s="47"/>
      <c r="C729" s="47"/>
      <c r="D729" s="47"/>
      <c r="E729" s="47"/>
      <c r="F729" s="47"/>
      <c r="G729" s="47"/>
      <c r="H729" s="47"/>
      <c r="I729" s="47"/>
      <c r="J729" s="47"/>
      <c r="K729" s="47"/>
      <c r="L729" s="47"/>
    </row>
    <row r="730" spans="1:12">
      <c r="A730" s="47"/>
      <c r="B730" s="47"/>
      <c r="C730" s="47"/>
      <c r="D730" s="47"/>
      <c r="E730" s="47"/>
      <c r="F730" s="47"/>
      <c r="G730" s="47"/>
      <c r="H730" s="47"/>
      <c r="I730" s="47"/>
      <c r="J730" s="47"/>
      <c r="K730" s="47"/>
      <c r="L730" s="47"/>
    </row>
    <row r="731" spans="1:12" ht="32.25">
      <c r="A731" s="47"/>
      <c r="B731" s="866"/>
      <c r="C731" s="786"/>
      <c r="D731" s="786"/>
      <c r="E731" s="786"/>
      <c r="F731" s="786"/>
      <c r="G731" s="786"/>
      <c r="H731" s="786"/>
      <c r="I731" s="786"/>
      <c r="J731" s="786"/>
      <c r="K731" s="786"/>
      <c r="L731" s="786"/>
    </row>
    <row r="732" spans="1:12" ht="23.25">
      <c r="A732" s="47"/>
      <c r="B732" s="745"/>
      <c r="C732" s="745"/>
      <c r="D732" s="745"/>
      <c r="E732" s="745"/>
      <c r="F732" s="745"/>
      <c r="G732" s="745"/>
      <c r="H732" s="745"/>
      <c r="I732" s="745"/>
      <c r="J732" s="745"/>
      <c r="K732" s="745"/>
      <c r="L732" s="745"/>
    </row>
    <row r="733" spans="1:12" ht="15.75">
      <c r="A733" s="47"/>
      <c r="B733" s="864"/>
      <c r="C733" s="864"/>
      <c r="D733" s="864"/>
      <c r="E733" s="864"/>
      <c r="F733" s="864"/>
      <c r="G733" s="864"/>
      <c r="H733" s="864"/>
      <c r="I733" s="864"/>
      <c r="J733" s="864"/>
      <c r="K733" s="864"/>
      <c r="L733" s="864"/>
    </row>
    <row r="734" spans="1:12" ht="15" customHeight="1">
      <c r="A734" s="47"/>
      <c r="B734" s="757"/>
      <c r="C734" s="757"/>
      <c r="D734" s="757"/>
      <c r="E734" s="757"/>
      <c r="F734" s="757"/>
      <c r="G734" s="47"/>
      <c r="H734" s="758"/>
      <c r="I734" s="758"/>
      <c r="J734" s="758"/>
      <c r="K734" s="758"/>
      <c r="L734" s="758"/>
    </row>
    <row r="735" spans="1:12">
      <c r="A735" s="47"/>
      <c r="B735" s="757"/>
      <c r="C735" s="757"/>
      <c r="D735" s="757"/>
      <c r="E735" s="757"/>
      <c r="F735" s="757"/>
      <c r="G735" s="47"/>
      <c r="H735" s="758"/>
      <c r="I735" s="758"/>
      <c r="J735" s="758"/>
      <c r="K735" s="758"/>
      <c r="L735" s="758"/>
    </row>
    <row r="736" spans="1:12">
      <c r="A736" s="47"/>
      <c r="B736" s="47"/>
      <c r="C736" s="47"/>
      <c r="D736" s="47"/>
      <c r="E736" s="47"/>
      <c r="F736" s="47"/>
      <c r="G736" s="47"/>
      <c r="H736" s="47"/>
      <c r="I736" s="47"/>
      <c r="J736" s="47"/>
      <c r="K736" s="47"/>
      <c r="L736" s="47"/>
    </row>
    <row r="737" spans="1:12">
      <c r="A737" s="47"/>
      <c r="B737" s="152"/>
      <c r="C737" s="144"/>
      <c r="D737" s="144"/>
      <c r="E737" s="144"/>
      <c r="F737" s="144"/>
      <c r="G737" s="47"/>
      <c r="H737" s="152"/>
      <c r="I737" s="144"/>
      <c r="J737" s="144"/>
      <c r="K737" s="144"/>
      <c r="L737" s="144"/>
    </row>
    <row r="738" spans="1:12">
      <c r="A738" s="47"/>
      <c r="B738" s="47"/>
      <c r="C738" s="144"/>
      <c r="D738" s="144"/>
      <c r="E738" s="144"/>
      <c r="F738" s="144"/>
      <c r="G738" s="47"/>
      <c r="H738" s="47"/>
      <c r="I738" s="144"/>
      <c r="J738" s="144"/>
      <c r="K738" s="144"/>
      <c r="L738" s="144"/>
    </row>
    <row r="739" spans="1:12">
      <c r="A739" s="47"/>
      <c r="B739" s="152"/>
      <c r="C739" s="144"/>
      <c r="D739" s="144"/>
      <c r="E739" s="144"/>
      <c r="F739" s="144"/>
      <c r="G739" s="47"/>
      <c r="H739" s="152"/>
      <c r="I739" s="144"/>
      <c r="J739" s="144"/>
      <c r="K739" s="144"/>
      <c r="L739" s="144"/>
    </row>
    <row r="740" spans="1:12" ht="15" customHeight="1">
      <c r="A740" s="47"/>
      <c r="B740" s="144"/>
      <c r="C740" s="144"/>
      <c r="D740" s="144"/>
      <c r="E740" s="144"/>
      <c r="F740" s="144"/>
      <c r="G740" s="47"/>
      <c r="H740" s="144"/>
      <c r="I740" s="144"/>
      <c r="J740" s="144"/>
      <c r="K740" s="144"/>
      <c r="L740" s="144"/>
    </row>
    <row r="741" spans="1:12">
      <c r="A741" s="47"/>
      <c r="B741" s="47"/>
      <c r="C741" s="47"/>
      <c r="D741" s="47"/>
      <c r="E741" s="47"/>
      <c r="F741" s="47"/>
      <c r="G741" s="47"/>
      <c r="H741" s="47"/>
      <c r="I741" s="47"/>
      <c r="J741" s="47"/>
      <c r="K741" s="47"/>
      <c r="L741" s="47"/>
    </row>
    <row r="742" spans="1:12">
      <c r="A742" s="47"/>
      <c r="B742" s="760"/>
      <c r="C742" s="760"/>
      <c r="D742" s="760"/>
      <c r="E742" s="760"/>
      <c r="F742" s="760"/>
      <c r="G742" s="47"/>
      <c r="H742" s="760"/>
      <c r="I742" s="760"/>
      <c r="J742" s="760"/>
      <c r="K742" s="760"/>
      <c r="L742" s="760"/>
    </row>
    <row r="743" spans="1:12">
      <c r="A743" s="47"/>
      <c r="B743" s="47"/>
      <c r="C743" s="47"/>
      <c r="D743" s="47"/>
      <c r="E743" s="47"/>
      <c r="F743" s="47"/>
      <c r="G743" s="47"/>
      <c r="H743" s="47"/>
      <c r="I743" s="47"/>
      <c r="J743" s="47"/>
      <c r="K743" s="47"/>
      <c r="L743" s="47"/>
    </row>
    <row r="744" spans="1:12">
      <c r="A744" s="47"/>
      <c r="B744" s="47"/>
      <c r="C744" s="47"/>
      <c r="D744" s="47"/>
      <c r="E744" s="47"/>
      <c r="F744" s="47"/>
      <c r="G744" s="47"/>
      <c r="H744" s="229"/>
      <c r="I744" s="229"/>
      <c r="J744" s="229"/>
      <c r="K744" s="229"/>
      <c r="L744" s="229"/>
    </row>
    <row r="745" spans="1:12">
      <c r="A745" s="47"/>
      <c r="B745" s="144"/>
      <c r="C745" s="144"/>
      <c r="D745" s="144"/>
      <c r="E745" s="144"/>
      <c r="F745" s="144"/>
      <c r="G745" s="47"/>
      <c r="H745" s="152"/>
      <c r="I745" s="152"/>
      <c r="J745" s="152"/>
      <c r="K745" s="152"/>
      <c r="L745" s="152"/>
    </row>
    <row r="746" spans="1:12">
      <c r="A746" s="47"/>
      <c r="B746" s="152"/>
      <c r="C746" s="144"/>
      <c r="D746" s="144"/>
      <c r="E746" s="144"/>
      <c r="F746" s="144"/>
      <c r="G746" s="47"/>
      <c r="H746" s="152"/>
      <c r="I746" s="152"/>
      <c r="J746" s="152"/>
      <c r="K746" s="152"/>
      <c r="L746" s="152"/>
    </row>
    <row r="747" spans="1:12">
      <c r="A747" s="47"/>
      <c r="B747" s="144"/>
      <c r="C747" s="144"/>
      <c r="D747" s="144"/>
      <c r="E747" s="144"/>
      <c r="F747" s="144"/>
      <c r="G747" s="47"/>
      <c r="H747" s="152"/>
      <c r="I747" s="152"/>
      <c r="J747" s="152"/>
      <c r="K747" s="152"/>
      <c r="L747" s="152"/>
    </row>
    <row r="748" spans="1:12">
      <c r="A748" s="47"/>
      <c r="B748" s="144"/>
      <c r="C748" s="144"/>
      <c r="D748" s="144"/>
      <c r="E748" s="144"/>
      <c r="F748" s="144"/>
      <c r="G748" s="47"/>
      <c r="H748" s="152"/>
      <c r="I748" s="152"/>
      <c r="J748" s="152"/>
      <c r="K748" s="152"/>
      <c r="L748" s="152"/>
    </row>
    <row r="749" spans="1:12" ht="27.95" customHeight="1">
      <c r="A749" s="343"/>
      <c r="B749" s="862"/>
      <c r="C749" s="862"/>
      <c r="D749" s="862"/>
      <c r="E749" s="862"/>
      <c r="F749" s="862"/>
      <c r="G749" s="862"/>
      <c r="H749" s="859"/>
      <c r="I749" s="860"/>
      <c r="J749" s="860"/>
      <c r="K749" s="860"/>
      <c r="L749" s="860"/>
    </row>
    <row r="750" spans="1:12" ht="27.95" customHeight="1">
      <c r="A750" s="343"/>
      <c r="B750" s="758"/>
      <c r="C750" s="758"/>
      <c r="D750" s="758"/>
      <c r="E750" s="758"/>
      <c r="F750" s="758"/>
      <c r="G750" s="758"/>
      <c r="H750" s="859"/>
      <c r="I750" s="860"/>
      <c r="J750" s="860"/>
      <c r="K750" s="860"/>
      <c r="L750" s="860"/>
    </row>
    <row r="751" spans="1:12" ht="27.95" customHeight="1">
      <c r="A751" s="343"/>
      <c r="B751" s="862"/>
      <c r="C751" s="862"/>
      <c r="D751" s="862"/>
      <c r="E751" s="862"/>
      <c r="F751" s="862"/>
      <c r="G751" s="862"/>
      <c r="H751" s="859"/>
      <c r="I751" s="860"/>
      <c r="J751" s="860"/>
      <c r="K751" s="860"/>
      <c r="L751" s="860"/>
    </row>
    <row r="752" spans="1:12" ht="27.95" customHeight="1">
      <c r="A752" s="343"/>
      <c r="B752" s="862"/>
      <c r="C752" s="862"/>
      <c r="D752" s="862"/>
      <c r="E752" s="862"/>
      <c r="F752" s="862"/>
      <c r="G752" s="862"/>
      <c r="H752" s="863"/>
      <c r="I752" s="860"/>
      <c r="J752" s="860"/>
      <c r="K752" s="860"/>
      <c r="L752" s="860"/>
    </row>
    <row r="753" spans="1:12" ht="27.95" customHeight="1">
      <c r="A753" s="343"/>
      <c r="B753" s="251"/>
      <c r="C753" s="242"/>
      <c r="D753" s="242"/>
      <c r="E753" s="242"/>
      <c r="F753" s="242"/>
      <c r="G753" s="242"/>
      <c r="H753" s="227"/>
      <c r="I753" s="343"/>
      <c r="J753" s="346"/>
      <c r="K753" s="227"/>
      <c r="L753" s="227"/>
    </row>
    <row r="754" spans="1:12" ht="27.95" customHeight="1">
      <c r="A754" s="343"/>
      <c r="B754" s="251"/>
      <c r="C754" s="242"/>
      <c r="D754" s="242"/>
      <c r="E754" s="242"/>
      <c r="F754" s="242"/>
      <c r="G754" s="242"/>
      <c r="H754" s="227"/>
      <c r="I754" s="227"/>
      <c r="J754" s="346"/>
      <c r="K754" s="227"/>
      <c r="L754" s="227"/>
    </row>
    <row r="755" spans="1:12" ht="27.95" customHeight="1">
      <c r="A755" s="343"/>
      <c r="B755" s="758"/>
      <c r="C755" s="758"/>
      <c r="D755" s="758"/>
      <c r="E755" s="758"/>
      <c r="F755" s="758"/>
      <c r="G755" s="758"/>
      <c r="H755" s="859"/>
      <c r="I755" s="860"/>
      <c r="J755" s="860"/>
      <c r="K755" s="860"/>
      <c r="L755" s="860"/>
    </row>
    <row r="756" spans="1:12" ht="27.95" customHeight="1">
      <c r="A756" s="343"/>
      <c r="B756" s="862"/>
      <c r="C756" s="862"/>
      <c r="D756" s="862"/>
      <c r="E756" s="862"/>
      <c r="F756" s="862"/>
      <c r="G756" s="862"/>
      <c r="H756" s="865"/>
      <c r="I756" s="860"/>
      <c r="J756" s="860"/>
      <c r="K756" s="860"/>
      <c r="L756" s="860"/>
    </row>
    <row r="757" spans="1:12" ht="27.95" customHeight="1">
      <c r="A757" s="47"/>
      <c r="B757" s="862"/>
      <c r="C757" s="862"/>
      <c r="D757" s="862"/>
      <c r="E757" s="862"/>
      <c r="F757" s="862"/>
      <c r="G757" s="862"/>
      <c r="H757" s="860"/>
      <c r="I757" s="860"/>
      <c r="J757" s="860"/>
      <c r="K757" s="860"/>
      <c r="L757" s="860"/>
    </row>
    <row r="758" spans="1:12" ht="27.95" customHeight="1">
      <c r="A758" s="47"/>
      <c r="B758" s="251"/>
      <c r="C758" s="242"/>
      <c r="D758" s="242"/>
      <c r="E758" s="242"/>
      <c r="F758" s="242"/>
      <c r="G758" s="242"/>
      <c r="H758" s="227"/>
      <c r="I758" s="227"/>
      <c r="J758" s="227"/>
      <c r="K758" s="227"/>
      <c r="L758" s="227"/>
    </row>
    <row r="759" spans="1:12" ht="27.95" customHeight="1">
      <c r="A759" s="47"/>
      <c r="B759" s="251"/>
      <c r="C759" s="242"/>
      <c r="D759" s="242"/>
      <c r="E759" s="242"/>
      <c r="F759" s="242"/>
      <c r="G759" s="242"/>
      <c r="H759" s="227"/>
      <c r="I759" s="227"/>
      <c r="J759" s="227"/>
      <c r="K759" s="227"/>
      <c r="L759" s="227"/>
    </row>
    <row r="760" spans="1:12" ht="27.95" customHeight="1">
      <c r="A760" s="47"/>
      <c r="B760" s="251"/>
      <c r="C760" s="242"/>
      <c r="D760" s="242"/>
      <c r="E760" s="242"/>
      <c r="F760" s="242"/>
      <c r="G760" s="242"/>
      <c r="H760" s="227"/>
      <c r="I760" s="227"/>
      <c r="J760" s="228"/>
      <c r="K760" s="227"/>
      <c r="L760" s="227"/>
    </row>
    <row r="761" spans="1:12" ht="27.95" customHeight="1">
      <c r="A761" s="47"/>
      <c r="B761" s="251"/>
      <c r="C761" s="242"/>
      <c r="D761" s="242"/>
      <c r="E761" s="242"/>
      <c r="F761" s="242"/>
      <c r="G761" s="242"/>
      <c r="H761" s="227"/>
      <c r="I761" s="227"/>
      <c r="J761" s="227"/>
      <c r="K761" s="227"/>
      <c r="L761" s="227"/>
    </row>
    <row r="762" spans="1:12" ht="27.95" customHeight="1">
      <c r="A762" s="47"/>
      <c r="B762" s="251"/>
      <c r="C762" s="242"/>
      <c r="D762" s="242"/>
      <c r="E762" s="242"/>
      <c r="F762" s="242"/>
      <c r="G762" s="242"/>
      <c r="H762" s="227"/>
      <c r="I762" s="227"/>
      <c r="J762" s="228"/>
      <c r="K762" s="227"/>
      <c r="L762" s="227"/>
    </row>
    <row r="763" spans="1:12" ht="27.95" customHeight="1">
      <c r="A763" s="47"/>
      <c r="B763" s="251"/>
      <c r="C763" s="242"/>
      <c r="D763" s="227"/>
      <c r="E763" s="228"/>
      <c r="F763" s="227"/>
      <c r="G763" s="228"/>
      <c r="H763" s="227"/>
      <c r="I763" s="228"/>
      <c r="J763" s="227"/>
      <c r="K763" s="228"/>
      <c r="L763" s="228"/>
    </row>
    <row r="764" spans="1:12" ht="27.95" customHeight="1">
      <c r="A764" s="47"/>
      <c r="B764" s="251"/>
      <c r="C764" s="242"/>
      <c r="D764" s="242"/>
      <c r="E764" s="242"/>
      <c r="F764" s="242"/>
      <c r="G764" s="242"/>
      <c r="H764" s="227"/>
      <c r="I764" s="227"/>
      <c r="J764" s="348"/>
      <c r="K764" s="227"/>
      <c r="L764" s="227"/>
    </row>
    <row r="765" spans="1:12" ht="27.95" customHeight="1">
      <c r="A765" s="47"/>
      <c r="B765" s="251"/>
      <c r="C765" s="229"/>
      <c r="D765" s="229"/>
      <c r="E765" s="229"/>
      <c r="F765" s="229"/>
      <c r="G765" s="229"/>
      <c r="H765" s="47"/>
      <c r="I765" s="47"/>
      <c r="J765" s="47"/>
      <c r="K765" s="47"/>
      <c r="L765" s="47"/>
    </row>
    <row r="766" spans="1:12" ht="27.95" customHeight="1">
      <c r="A766" s="47"/>
      <c r="B766" s="251"/>
      <c r="C766" s="229"/>
      <c r="D766" s="229"/>
      <c r="E766" s="229"/>
      <c r="F766" s="229"/>
      <c r="G766" s="229"/>
      <c r="H766" s="47"/>
      <c r="I766" s="47"/>
      <c r="J766" s="47"/>
      <c r="K766" s="47"/>
      <c r="L766" s="47"/>
    </row>
    <row r="767" spans="1:12">
      <c r="A767" s="47"/>
      <c r="B767" s="47"/>
      <c r="C767" s="47"/>
      <c r="D767" s="47"/>
      <c r="E767" s="47"/>
      <c r="F767" s="47"/>
      <c r="G767" s="47"/>
      <c r="H767" s="47"/>
      <c r="I767" s="47"/>
      <c r="J767" s="47"/>
      <c r="K767" s="47"/>
      <c r="L767" s="47"/>
    </row>
    <row r="768" spans="1:12">
      <c r="A768" s="47"/>
      <c r="B768" s="47"/>
      <c r="C768" s="47"/>
      <c r="D768" s="47"/>
      <c r="E768" s="47"/>
      <c r="F768" s="47"/>
      <c r="G768" s="47"/>
      <c r="H768" s="47"/>
      <c r="I768" s="47"/>
      <c r="J768" s="47"/>
      <c r="K768" s="47"/>
      <c r="L768" s="47"/>
    </row>
    <row r="769" spans="1:12">
      <c r="A769" s="47"/>
      <c r="B769" s="47"/>
      <c r="C769" s="47"/>
      <c r="D769" s="47"/>
      <c r="E769" s="47"/>
      <c r="F769" s="47"/>
      <c r="G769" s="47"/>
      <c r="H769" s="47"/>
      <c r="I769" s="47"/>
      <c r="J769" s="47"/>
      <c r="K769" s="47"/>
      <c r="L769" s="47"/>
    </row>
    <row r="770" spans="1:12">
      <c r="A770" s="47"/>
      <c r="B770" s="47"/>
      <c r="C770" s="47"/>
      <c r="D770" s="47"/>
      <c r="E770" s="47"/>
      <c r="F770" s="47"/>
      <c r="G770" s="47"/>
      <c r="H770" s="47"/>
      <c r="I770" s="47"/>
      <c r="J770" s="47"/>
      <c r="K770" s="47"/>
      <c r="L770" s="47"/>
    </row>
    <row r="771" spans="1:12">
      <c r="A771" s="47"/>
      <c r="B771" s="47"/>
      <c r="C771" s="47"/>
      <c r="D771" s="47"/>
      <c r="E771" s="47"/>
      <c r="F771" s="47"/>
      <c r="G771" s="47"/>
      <c r="H771" s="47"/>
      <c r="I771" s="47"/>
      <c r="J771" s="47"/>
      <c r="K771" s="47"/>
      <c r="L771" s="47"/>
    </row>
    <row r="772" spans="1:12">
      <c r="A772" s="47"/>
      <c r="B772" s="47"/>
      <c r="C772" s="47"/>
      <c r="D772" s="47"/>
      <c r="E772" s="47"/>
      <c r="F772" s="47"/>
      <c r="G772" s="47"/>
      <c r="H772" s="47"/>
      <c r="I772" s="47"/>
      <c r="J772" s="47"/>
      <c r="K772" s="47"/>
      <c r="L772" s="47"/>
    </row>
    <row r="773" spans="1:12">
      <c r="A773" s="47"/>
      <c r="B773" s="47"/>
      <c r="C773" s="47"/>
      <c r="D773" s="47"/>
      <c r="E773" s="47"/>
      <c r="F773" s="47"/>
      <c r="G773" s="47"/>
      <c r="H773" s="47"/>
      <c r="I773" s="47"/>
      <c r="J773" s="47"/>
      <c r="K773" s="47"/>
      <c r="L773" s="47"/>
    </row>
    <row r="774" spans="1:12">
      <c r="A774" s="47"/>
      <c r="B774" s="47"/>
      <c r="C774" s="47"/>
      <c r="D774" s="47"/>
      <c r="E774" s="47"/>
      <c r="F774" s="47"/>
      <c r="G774" s="47"/>
      <c r="H774" s="47"/>
      <c r="I774" s="47"/>
      <c r="J774" s="47"/>
      <c r="K774" s="47"/>
      <c r="L774" s="47"/>
    </row>
    <row r="775" spans="1:12">
      <c r="A775" s="47"/>
      <c r="B775" s="47"/>
      <c r="C775" s="47"/>
      <c r="D775" s="47"/>
      <c r="E775" s="47"/>
      <c r="F775" s="47"/>
      <c r="G775" s="47"/>
      <c r="H775" s="47"/>
      <c r="I775" s="47"/>
      <c r="J775" s="47"/>
      <c r="K775" s="47"/>
      <c r="L775" s="47"/>
    </row>
    <row r="776" spans="1:12">
      <c r="A776" s="47"/>
      <c r="B776" s="47"/>
      <c r="C776" s="47"/>
      <c r="D776" s="47"/>
      <c r="E776" s="47"/>
      <c r="F776" s="47"/>
      <c r="G776" s="47"/>
      <c r="H776" s="47"/>
      <c r="I776" s="47"/>
      <c r="J776" s="47"/>
      <c r="K776" s="47"/>
      <c r="L776" s="47"/>
    </row>
    <row r="777" spans="1:12">
      <c r="A777" s="47"/>
      <c r="B777" s="47"/>
      <c r="C777" s="47"/>
      <c r="D777" s="47"/>
      <c r="E777" s="47"/>
      <c r="F777" s="47"/>
      <c r="G777" s="47"/>
      <c r="H777" s="47"/>
      <c r="I777" s="47"/>
      <c r="J777" s="47"/>
      <c r="K777" s="47"/>
      <c r="L777" s="47"/>
    </row>
    <row r="778" spans="1:12">
      <c r="A778" s="47"/>
      <c r="B778" s="47"/>
      <c r="C778" s="47"/>
      <c r="D778" s="47"/>
      <c r="E778" s="47"/>
      <c r="F778" s="47"/>
      <c r="G778" s="47"/>
      <c r="H778" s="47"/>
      <c r="I778" s="47"/>
      <c r="J778" s="47"/>
      <c r="K778" s="47"/>
      <c r="L778" s="47"/>
    </row>
    <row r="779" spans="1:12">
      <c r="A779" s="47"/>
      <c r="B779" s="47"/>
      <c r="C779" s="47"/>
      <c r="D779" s="47"/>
      <c r="E779" s="47"/>
      <c r="F779" s="47"/>
      <c r="G779" s="47"/>
      <c r="H779" s="47"/>
      <c r="I779" s="47"/>
      <c r="J779" s="47"/>
      <c r="K779" s="47"/>
      <c r="L779" s="47"/>
    </row>
    <row r="780" spans="1:12">
      <c r="A780" s="47"/>
      <c r="B780" s="47"/>
      <c r="C780" s="47"/>
      <c r="D780" s="47"/>
      <c r="E780" s="47"/>
      <c r="F780" s="47"/>
      <c r="G780" s="47"/>
      <c r="H780" s="47"/>
      <c r="I780" s="47"/>
      <c r="J780" s="47"/>
      <c r="K780" s="47"/>
      <c r="L780" s="47"/>
    </row>
    <row r="781" spans="1:12">
      <c r="A781" s="47"/>
      <c r="B781" s="47"/>
      <c r="C781" s="47"/>
      <c r="D781" s="47"/>
      <c r="E781" s="47"/>
      <c r="F781" s="47"/>
      <c r="G781" s="47"/>
      <c r="H781" s="47"/>
      <c r="I781" s="47"/>
      <c r="J781" s="47"/>
      <c r="K781" s="47"/>
      <c r="L781" s="47"/>
    </row>
    <row r="782" spans="1:12">
      <c r="A782" s="47"/>
      <c r="B782" s="47"/>
      <c r="C782" s="47"/>
      <c r="D782" s="47"/>
      <c r="E782" s="47"/>
      <c r="F782" s="47"/>
      <c r="G782" s="47"/>
      <c r="H782" s="47"/>
      <c r="I782" s="47"/>
      <c r="J782" s="47"/>
      <c r="K782" s="47"/>
      <c r="L782" s="47"/>
    </row>
    <row r="783" spans="1:12">
      <c r="A783" s="47"/>
      <c r="B783" s="47"/>
      <c r="C783" s="47"/>
      <c r="D783" s="47"/>
      <c r="E783" s="47"/>
      <c r="F783" s="47"/>
      <c r="G783" s="47"/>
      <c r="H783" s="47"/>
      <c r="I783" s="47"/>
      <c r="J783" s="47"/>
      <c r="K783" s="47"/>
      <c r="L783" s="47"/>
    </row>
    <row r="784" spans="1:12">
      <c r="A784" s="47"/>
      <c r="B784" s="47"/>
      <c r="C784" s="47"/>
      <c r="D784" s="47"/>
      <c r="E784" s="47"/>
      <c r="F784" s="47"/>
      <c r="G784" s="47"/>
      <c r="H784" s="47"/>
      <c r="I784" s="47"/>
      <c r="J784" s="47"/>
      <c r="K784" s="47"/>
      <c r="L784" s="47"/>
    </row>
    <row r="785" spans="1:12">
      <c r="A785" s="47"/>
      <c r="B785" s="47"/>
      <c r="C785" s="47"/>
      <c r="D785" s="47"/>
      <c r="E785" s="47"/>
      <c r="F785" s="47"/>
      <c r="G785" s="47"/>
      <c r="H785" s="47"/>
      <c r="I785" s="47"/>
      <c r="J785" s="47"/>
      <c r="K785" s="47"/>
      <c r="L785" s="47"/>
    </row>
    <row r="786" spans="1:12">
      <c r="A786" s="47"/>
      <c r="B786" s="47"/>
      <c r="C786" s="47"/>
      <c r="D786" s="47"/>
      <c r="E786" s="47"/>
      <c r="F786" s="47"/>
      <c r="G786" s="47"/>
      <c r="H786" s="47"/>
      <c r="I786" s="47"/>
      <c r="J786" s="47"/>
      <c r="K786" s="47"/>
      <c r="L786" s="47"/>
    </row>
    <row r="787" spans="1:12">
      <c r="A787" s="47"/>
      <c r="B787" s="47"/>
      <c r="C787" s="47"/>
      <c r="D787" s="47"/>
      <c r="E787" s="47"/>
      <c r="F787" s="47"/>
      <c r="G787" s="47"/>
      <c r="H787" s="47"/>
      <c r="I787" s="47"/>
      <c r="J787" s="47"/>
      <c r="K787" s="47"/>
      <c r="L787" s="47"/>
    </row>
    <row r="788" spans="1:12">
      <c r="A788" s="47"/>
      <c r="B788" s="47"/>
      <c r="C788" s="47"/>
      <c r="D788" s="47"/>
      <c r="E788" s="47"/>
      <c r="F788" s="47"/>
      <c r="G788" s="47"/>
      <c r="H788" s="47"/>
      <c r="I788" s="47"/>
      <c r="J788" s="47"/>
      <c r="K788" s="47"/>
      <c r="L788" s="47"/>
    </row>
    <row r="789" spans="1:12">
      <c r="A789" s="47"/>
      <c r="B789" s="47"/>
      <c r="C789" s="47"/>
      <c r="D789" s="47"/>
      <c r="E789" s="47"/>
      <c r="F789" s="47"/>
      <c r="G789" s="47"/>
      <c r="H789" s="47"/>
      <c r="I789" s="47"/>
      <c r="J789" s="47"/>
      <c r="K789" s="47"/>
      <c r="L789" s="47"/>
    </row>
    <row r="790" spans="1:12">
      <c r="A790" s="47"/>
      <c r="B790" s="47"/>
      <c r="C790" s="47"/>
      <c r="D790" s="47"/>
      <c r="E790" s="47"/>
      <c r="F790" s="47"/>
      <c r="G790" s="47"/>
      <c r="H790" s="47"/>
      <c r="I790" s="47"/>
      <c r="J790" s="47"/>
      <c r="K790" s="47"/>
      <c r="L790" s="47"/>
    </row>
    <row r="791" spans="1:12">
      <c r="A791" s="47"/>
      <c r="B791" s="47"/>
      <c r="C791" s="47"/>
      <c r="D791" s="47"/>
      <c r="E791" s="47"/>
      <c r="F791" s="47"/>
      <c r="G791" s="47"/>
      <c r="H791" s="47"/>
      <c r="I791" s="47"/>
      <c r="J791" s="47"/>
      <c r="K791" s="47"/>
      <c r="L791" s="47"/>
    </row>
    <row r="792" spans="1:12">
      <c r="A792" s="47"/>
      <c r="B792" s="47"/>
      <c r="C792" s="47"/>
      <c r="D792" s="47"/>
      <c r="E792" s="47"/>
      <c r="F792" s="47"/>
      <c r="G792" s="47"/>
      <c r="H792" s="47"/>
      <c r="I792" s="47"/>
      <c r="J792" s="47"/>
      <c r="K792" s="47"/>
      <c r="L792" s="47"/>
    </row>
    <row r="793" spans="1:12">
      <c r="A793" s="47"/>
      <c r="B793" s="47"/>
      <c r="C793" s="47"/>
      <c r="D793" s="47"/>
      <c r="E793" s="47"/>
      <c r="F793" s="47"/>
      <c r="G793" s="47"/>
      <c r="H793" s="47"/>
      <c r="I793" s="47"/>
      <c r="J793" s="47"/>
      <c r="K793" s="47"/>
      <c r="L793" s="47"/>
    </row>
    <row r="794" spans="1:12">
      <c r="A794" s="47"/>
      <c r="B794" s="47"/>
      <c r="C794" s="47"/>
      <c r="D794" s="47"/>
      <c r="E794" s="47"/>
      <c r="F794" s="47"/>
      <c r="G794" s="47"/>
      <c r="H794" s="47"/>
      <c r="I794" s="47"/>
      <c r="J794" s="47"/>
      <c r="K794" s="47"/>
      <c r="L794" s="47"/>
    </row>
    <row r="795" spans="1:12">
      <c r="A795" s="47"/>
      <c r="B795" s="47"/>
      <c r="C795" s="47"/>
      <c r="D795" s="47"/>
      <c r="E795" s="47"/>
      <c r="F795" s="47"/>
      <c r="G795" s="47"/>
      <c r="H795" s="47"/>
      <c r="I795" s="47"/>
      <c r="J795" s="47"/>
      <c r="K795" s="47"/>
      <c r="L795" s="47"/>
    </row>
    <row r="796" spans="1:12">
      <c r="A796" s="47"/>
      <c r="B796" s="47"/>
      <c r="C796" s="47"/>
      <c r="D796" s="47"/>
      <c r="E796" s="47"/>
      <c r="F796" s="47"/>
      <c r="G796" s="47"/>
      <c r="H796" s="47"/>
      <c r="I796" s="47"/>
      <c r="J796" s="47"/>
      <c r="K796" s="47"/>
      <c r="L796" s="47"/>
    </row>
    <row r="797" spans="1:12">
      <c r="A797" s="47"/>
      <c r="B797" s="47"/>
      <c r="C797" s="47"/>
      <c r="D797" s="47"/>
      <c r="E797" s="47"/>
      <c r="F797" s="47"/>
      <c r="G797" s="47"/>
      <c r="H797" s="47"/>
      <c r="I797" s="47"/>
      <c r="J797" s="47"/>
      <c r="K797" s="47"/>
      <c r="L797" s="47"/>
    </row>
    <row r="798" spans="1:12">
      <c r="A798" s="47"/>
      <c r="B798" s="47"/>
      <c r="C798" s="47"/>
      <c r="D798" s="47"/>
      <c r="E798" s="47"/>
      <c r="F798" s="47"/>
      <c r="G798" s="47"/>
      <c r="H798" s="47"/>
      <c r="I798" s="47"/>
      <c r="J798" s="47"/>
      <c r="K798" s="47"/>
      <c r="L798" s="47"/>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807"/>
  <sheetViews>
    <sheetView topLeftCell="A16" workbookViewId="0">
      <selection activeCell="P8" sqref="P8"/>
    </sheetView>
  </sheetViews>
  <sheetFormatPr defaultRowHeight="15"/>
  <cols>
    <col min="6" max="6" width="16.85546875" customWidth="1"/>
    <col min="10" max="10" width="14.5703125" customWidth="1"/>
    <col min="12" max="12" width="22.7109375" customWidth="1"/>
  </cols>
  <sheetData>
    <row r="1" spans="1:14" ht="15" customHeight="1">
      <c r="A1" s="140"/>
      <c r="B1" s="141"/>
      <c r="C1" s="141"/>
      <c r="D1" s="141"/>
      <c r="E1" s="141"/>
      <c r="F1" s="141"/>
      <c r="G1" s="141"/>
      <c r="H1" s="141"/>
      <c r="I1" s="150" t="s">
        <v>236</v>
      </c>
      <c r="J1" s="141"/>
      <c r="K1" s="141"/>
      <c r="L1" s="142"/>
    </row>
    <row r="2" spans="1:14" ht="16.5" customHeight="1">
      <c r="A2" s="62"/>
      <c r="B2" s="778" t="s">
        <v>291</v>
      </c>
      <c r="C2" s="778"/>
      <c r="D2" s="778"/>
      <c r="E2" s="778"/>
      <c r="F2" s="778"/>
      <c r="G2" s="778"/>
      <c r="H2" s="778"/>
      <c r="I2" s="778"/>
      <c r="J2" s="778"/>
      <c r="K2" s="778"/>
      <c r="L2" s="779"/>
    </row>
    <row r="3" spans="1:14" ht="23.25">
      <c r="A3" s="62"/>
      <c r="B3" s="285"/>
      <c r="C3" s="285"/>
      <c r="D3" s="294" t="s">
        <v>238</v>
      </c>
      <c r="E3" s="285"/>
      <c r="F3" s="285"/>
      <c r="G3" s="285"/>
      <c r="H3" s="285"/>
      <c r="I3" s="288" t="s">
        <v>292</v>
      </c>
      <c r="J3" s="289"/>
      <c r="K3" s="395" t="e">
        <f>'PUNJAB 04-22Master'!#REF!</f>
        <v>#REF!</v>
      </c>
      <c r="L3" s="320"/>
    </row>
    <row r="4" spans="1:14" ht="15.75">
      <c r="A4" s="62"/>
      <c r="B4" s="286"/>
      <c r="C4" s="286" t="s">
        <v>239</v>
      </c>
      <c r="D4" s="47"/>
      <c r="E4" s="286"/>
      <c r="F4" s="286"/>
      <c r="G4" s="286"/>
      <c r="H4" s="286"/>
      <c r="I4" s="287" t="s">
        <v>293</v>
      </c>
      <c r="J4" s="308" t="str">
        <f>'PUNJAB 04-22Master'!F5</f>
        <v>Burgeon IT Services Pvt.Ltd.</v>
      </c>
      <c r="K4" s="290"/>
      <c r="L4" s="321"/>
    </row>
    <row r="5" spans="1:14" ht="15" customHeight="1">
      <c r="A5" s="62"/>
      <c r="B5" s="295"/>
      <c r="C5" s="258" t="s">
        <v>240</v>
      </c>
      <c r="D5" s="47"/>
      <c r="E5" s="295"/>
      <c r="F5" s="295"/>
      <c r="G5" s="47"/>
      <c r="H5" s="259"/>
      <c r="I5" s="311" t="str">
        <f>'PUNJAB 04-22Master'!F6</f>
        <v>Siri Mansion LIGB 436 Dr.A S Rao Nagar,Hyderabad</v>
      </c>
      <c r="J5" s="309"/>
      <c r="K5" s="310"/>
      <c r="L5" s="271"/>
    </row>
    <row r="6" spans="1:14" ht="15" customHeight="1">
      <c r="A6" s="62"/>
      <c r="B6" s="295"/>
      <c r="C6" s="258"/>
      <c r="D6" s="47"/>
      <c r="E6" s="295"/>
      <c r="F6" s="295"/>
      <c r="G6" s="47"/>
      <c r="H6" s="259"/>
      <c r="I6" s="312"/>
      <c r="J6" s="319"/>
      <c r="K6" s="319"/>
      <c r="L6" s="63"/>
    </row>
    <row r="7" spans="1:14">
      <c r="A7" s="62"/>
      <c r="B7" s="47"/>
      <c r="C7" s="47"/>
      <c r="D7" s="47"/>
      <c r="E7" s="47"/>
      <c r="F7" s="47"/>
      <c r="G7" s="47"/>
      <c r="H7" s="47"/>
      <c r="I7" s="47"/>
      <c r="J7" s="47"/>
      <c r="K7" s="47"/>
      <c r="L7" s="63"/>
    </row>
    <row r="8" spans="1:14" ht="26.25" customHeight="1">
      <c r="A8" s="62">
        <v>1</v>
      </c>
      <c r="B8" s="291" t="s">
        <v>241</v>
      </c>
      <c r="C8" s="265"/>
      <c r="D8" s="265"/>
      <c r="E8" s="265"/>
      <c r="F8" s="265"/>
      <c r="G8" s="119"/>
      <c r="H8" s="856" t="e">
        <f>'PUNJAB 04-22Master'!#REF!</f>
        <v>#REF!</v>
      </c>
      <c r="I8" s="875"/>
      <c r="J8" s="875"/>
      <c r="K8" s="875"/>
      <c r="L8" s="876"/>
    </row>
    <row r="9" spans="1:14">
      <c r="A9" s="62">
        <v>2</v>
      </c>
      <c r="B9" s="897" t="s">
        <v>242</v>
      </c>
      <c r="C9" s="898"/>
      <c r="D9" s="898"/>
      <c r="E9" s="898"/>
      <c r="F9" s="292" t="s">
        <v>243</v>
      </c>
      <c r="G9" s="273"/>
      <c r="H9" s="899" t="e">
        <f>'PUNJAB 04-22Master'!#REF!</f>
        <v>#REF!</v>
      </c>
      <c r="I9" s="900"/>
      <c r="J9" s="900"/>
      <c r="K9" s="900"/>
      <c r="L9" s="901"/>
      <c r="M9" s="278" t="s">
        <v>237</v>
      </c>
      <c r="N9" s="278" t="s">
        <v>237</v>
      </c>
    </row>
    <row r="10" spans="1:14" ht="10.5" customHeight="1">
      <c r="A10" s="62"/>
      <c r="B10" s="274" t="s">
        <v>244</v>
      </c>
      <c r="C10" s="275"/>
      <c r="D10" s="275"/>
      <c r="E10" s="275"/>
      <c r="F10" s="275" t="s">
        <v>237</v>
      </c>
      <c r="G10" s="276"/>
      <c r="H10" s="902"/>
      <c r="I10" s="903"/>
      <c r="J10" s="903"/>
      <c r="K10" s="903"/>
      <c r="L10" s="904"/>
      <c r="M10" s="277"/>
      <c r="N10" s="277"/>
    </row>
    <row r="11" spans="1:14">
      <c r="A11" s="62">
        <v>3</v>
      </c>
      <c r="B11" s="293" t="s">
        <v>245</v>
      </c>
      <c r="C11" s="280"/>
      <c r="D11" s="280"/>
      <c r="E11" s="280"/>
      <c r="F11" s="280"/>
      <c r="G11" s="281"/>
      <c r="H11" s="879" t="e">
        <f>'PUNJAB 04-22Master'!#REF!</f>
        <v>#REF!</v>
      </c>
      <c r="I11" s="880"/>
      <c r="J11" s="880"/>
      <c r="K11" s="880"/>
      <c r="L11" s="881"/>
      <c r="M11" s="277"/>
      <c r="N11" s="277"/>
    </row>
    <row r="12" spans="1:14">
      <c r="A12" s="323">
        <v>4</v>
      </c>
      <c r="B12" s="264" t="s">
        <v>246</v>
      </c>
      <c r="C12" s="118"/>
      <c r="D12" s="118"/>
      <c r="E12" s="118"/>
      <c r="F12" s="118"/>
      <c r="G12" s="119"/>
      <c r="H12" s="853" t="e">
        <f>'PUNJAB 04-22Master'!#REF!</f>
        <v>#REF!</v>
      </c>
      <c r="I12" s="867"/>
      <c r="J12" s="867"/>
      <c r="K12" s="867"/>
      <c r="L12" s="861"/>
    </row>
    <row r="13" spans="1:14">
      <c r="A13" s="323">
        <v>5</v>
      </c>
      <c r="B13" s="882" t="s">
        <v>294</v>
      </c>
      <c r="C13" s="883"/>
      <c r="D13" s="883"/>
      <c r="E13" s="883"/>
      <c r="F13" s="883"/>
      <c r="G13" s="119"/>
      <c r="H13" s="874" t="s">
        <v>370</v>
      </c>
      <c r="I13" s="875"/>
      <c r="J13" s="875"/>
      <c r="K13" s="875"/>
      <c r="L13" s="876"/>
    </row>
    <row r="14" spans="1:14" ht="15" customHeight="1">
      <c r="A14" s="323">
        <v>6</v>
      </c>
      <c r="B14" s="279" t="s">
        <v>247</v>
      </c>
      <c r="C14" s="280" t="s">
        <v>248</v>
      </c>
      <c r="D14" s="280"/>
      <c r="E14" s="280"/>
      <c r="F14" s="280"/>
      <c r="G14" s="281"/>
      <c r="H14" s="293"/>
      <c r="I14" s="280"/>
      <c r="J14" s="280"/>
      <c r="K14" s="280"/>
      <c r="L14" s="322"/>
      <c r="M14" s="277"/>
      <c r="N14" s="277"/>
    </row>
    <row r="15" spans="1:14">
      <c r="A15" s="62"/>
      <c r="B15" s="279" t="s">
        <v>249</v>
      </c>
      <c r="C15" s="280" t="s">
        <v>250</v>
      </c>
      <c r="D15" s="280"/>
      <c r="E15" s="280"/>
      <c r="F15" s="280"/>
      <c r="G15" s="281"/>
      <c r="H15" s="293"/>
      <c r="I15" s="272"/>
      <c r="J15" s="272"/>
      <c r="K15" s="280"/>
      <c r="L15" s="322"/>
      <c r="M15" s="277"/>
      <c r="N15" s="277"/>
    </row>
    <row r="16" spans="1:14" ht="15" customHeight="1">
      <c r="A16" s="323">
        <v>7</v>
      </c>
      <c r="B16" s="879" t="s">
        <v>251</v>
      </c>
      <c r="C16" s="880"/>
      <c r="D16" s="880"/>
      <c r="E16" s="880"/>
      <c r="F16" s="880"/>
      <c r="G16" s="887"/>
      <c r="H16" s="297" t="s">
        <v>252</v>
      </c>
      <c r="I16" s="298"/>
      <c r="J16" s="299"/>
      <c r="K16" s="297" t="s">
        <v>253</v>
      </c>
      <c r="L16" s="324"/>
      <c r="M16" s="296"/>
      <c r="N16" s="296"/>
    </row>
    <row r="17" spans="1:14">
      <c r="A17" s="323">
        <v>8</v>
      </c>
      <c r="B17" s="879" t="s">
        <v>295</v>
      </c>
      <c r="C17" s="880"/>
      <c r="D17" s="880"/>
      <c r="E17" s="880"/>
      <c r="F17" s="880"/>
      <c r="G17" s="887"/>
      <c r="H17" s="297" t="s">
        <v>252</v>
      </c>
      <c r="I17" s="298"/>
      <c r="J17" s="299"/>
      <c r="K17" s="297" t="s">
        <v>253</v>
      </c>
      <c r="L17" s="324"/>
      <c r="M17" s="296"/>
      <c r="N17" s="296"/>
    </row>
    <row r="18" spans="1:14">
      <c r="A18" s="62"/>
      <c r="B18" s="264"/>
      <c r="C18" s="301"/>
      <c r="D18" s="301"/>
      <c r="E18" s="301"/>
      <c r="F18" s="301" t="s">
        <v>254</v>
      </c>
      <c r="G18" s="301"/>
      <c r="H18" s="301"/>
      <c r="I18" s="301"/>
      <c r="J18" s="301"/>
      <c r="K18" s="301"/>
      <c r="L18" s="325"/>
      <c r="M18" s="300"/>
      <c r="N18" s="300"/>
    </row>
    <row r="19" spans="1:14">
      <c r="A19" s="323">
        <v>9</v>
      </c>
      <c r="B19" s="279" t="s">
        <v>255</v>
      </c>
      <c r="C19" s="280" t="s">
        <v>256</v>
      </c>
      <c r="D19" s="280"/>
      <c r="E19" s="280"/>
      <c r="F19" s="280"/>
      <c r="G19" s="281"/>
      <c r="H19" s="293"/>
      <c r="I19" s="280"/>
      <c r="J19" s="280"/>
      <c r="K19" s="280"/>
      <c r="L19" s="322"/>
      <c r="M19" s="277"/>
      <c r="N19" s="277"/>
    </row>
    <row r="20" spans="1:14" ht="21.75" customHeight="1">
      <c r="A20" s="157"/>
      <c r="B20" s="279" t="s">
        <v>257</v>
      </c>
      <c r="C20" s="280" t="s">
        <v>258</v>
      </c>
      <c r="D20" s="280"/>
      <c r="E20" s="280"/>
      <c r="F20" s="280"/>
      <c r="G20" s="281"/>
      <c r="H20" s="293"/>
      <c r="I20" s="280"/>
      <c r="J20" s="280"/>
      <c r="K20" s="280"/>
      <c r="L20" s="322"/>
      <c r="M20" s="277"/>
      <c r="N20" s="277"/>
    </row>
    <row r="21" spans="1:14" ht="27.95" customHeight="1">
      <c r="A21" s="157"/>
      <c r="B21" s="279" t="s">
        <v>296</v>
      </c>
      <c r="C21" s="280" t="s">
        <v>297</v>
      </c>
      <c r="D21" s="280"/>
      <c r="E21" s="280"/>
      <c r="F21" s="280"/>
      <c r="G21" s="281"/>
      <c r="H21" s="293"/>
      <c r="I21" s="280"/>
      <c r="J21" s="280"/>
      <c r="K21" s="280"/>
      <c r="L21" s="322"/>
    </row>
    <row r="22" spans="1:14" ht="27.95" customHeight="1">
      <c r="A22" s="157"/>
      <c r="B22" s="279" t="s">
        <v>260</v>
      </c>
      <c r="C22" s="280" t="s">
        <v>261</v>
      </c>
      <c r="D22" s="280"/>
      <c r="E22" s="280"/>
      <c r="F22" s="280"/>
      <c r="G22" s="281"/>
      <c r="H22" s="293"/>
      <c r="I22" s="280"/>
      <c r="J22" s="280"/>
      <c r="K22" s="280"/>
      <c r="L22" s="322"/>
    </row>
    <row r="23" spans="1:14" ht="27.95" customHeight="1">
      <c r="A23" s="157"/>
      <c r="B23" s="279" t="s">
        <v>262</v>
      </c>
      <c r="C23" s="280" t="s">
        <v>263</v>
      </c>
      <c r="D23" s="280"/>
      <c r="E23" s="280"/>
      <c r="F23" s="280"/>
      <c r="G23" s="281"/>
      <c r="H23" s="293"/>
      <c r="I23" s="280"/>
      <c r="J23" s="280"/>
      <c r="K23" s="280"/>
      <c r="L23" s="322"/>
    </row>
    <row r="24" spans="1:14" ht="27.95" customHeight="1">
      <c r="A24" s="157">
        <v>10</v>
      </c>
      <c r="B24" s="279" t="s">
        <v>255</v>
      </c>
      <c r="C24" s="280" t="s">
        <v>298</v>
      </c>
      <c r="D24" s="280"/>
      <c r="E24" s="280"/>
      <c r="F24" s="280"/>
      <c r="G24" s="281"/>
      <c r="H24" s="297" t="s">
        <v>252</v>
      </c>
      <c r="I24" s="298"/>
      <c r="J24" s="299"/>
      <c r="K24" s="297" t="s">
        <v>253</v>
      </c>
      <c r="L24" s="324"/>
    </row>
    <row r="25" spans="1:14" ht="27.95" customHeight="1">
      <c r="A25" s="157"/>
      <c r="B25" s="279" t="s">
        <v>257</v>
      </c>
      <c r="C25" s="280" t="s">
        <v>299</v>
      </c>
      <c r="D25" s="280"/>
      <c r="E25" s="280"/>
      <c r="F25" s="280"/>
      <c r="G25" s="281"/>
      <c r="H25" s="293"/>
      <c r="I25" s="280"/>
      <c r="J25" s="280"/>
      <c r="K25" s="280"/>
      <c r="L25" s="322"/>
    </row>
    <row r="26" spans="1:14" ht="27.95" customHeight="1">
      <c r="A26" s="157"/>
      <c r="B26" s="279" t="s">
        <v>296</v>
      </c>
      <c r="C26" s="280" t="s">
        <v>264</v>
      </c>
      <c r="D26" s="280"/>
      <c r="E26" s="280"/>
      <c r="F26" s="280"/>
      <c r="G26" s="281"/>
      <c r="H26" s="293"/>
      <c r="I26" s="280"/>
      <c r="J26" s="280"/>
      <c r="K26" s="280"/>
      <c r="L26" s="322"/>
    </row>
    <row r="27" spans="1:14" ht="27.95" customHeight="1">
      <c r="A27" s="157"/>
      <c r="B27" s="279" t="s">
        <v>260</v>
      </c>
      <c r="C27" s="280" t="s">
        <v>300</v>
      </c>
      <c r="D27" s="280"/>
      <c r="E27" s="280"/>
      <c r="F27" s="280"/>
      <c r="G27" s="281"/>
      <c r="H27" s="293"/>
      <c r="I27" s="280"/>
      <c r="J27" s="280"/>
      <c r="K27" s="280"/>
      <c r="L27" s="322"/>
    </row>
    <row r="28" spans="1:14" ht="27.95" customHeight="1">
      <c r="A28" s="62"/>
      <c r="B28" s="264"/>
      <c r="C28" s="301"/>
      <c r="D28" s="301"/>
      <c r="E28" s="301" t="s">
        <v>301</v>
      </c>
      <c r="F28" s="301"/>
      <c r="G28" s="301"/>
      <c r="H28" s="301"/>
      <c r="I28" s="301"/>
      <c r="J28" s="301"/>
      <c r="K28" s="301"/>
      <c r="L28" s="325"/>
    </row>
    <row r="29" spans="1:14" ht="27.95" customHeight="1">
      <c r="A29" s="62">
        <v>11</v>
      </c>
      <c r="B29" s="279" t="s">
        <v>255</v>
      </c>
      <c r="C29" s="280" t="s">
        <v>265</v>
      </c>
      <c r="D29" s="280"/>
      <c r="E29" s="280"/>
      <c r="F29" s="280"/>
      <c r="G29" s="281"/>
      <c r="H29" s="293"/>
      <c r="I29" s="280"/>
      <c r="J29" s="280"/>
      <c r="K29" s="280"/>
      <c r="L29" s="322"/>
    </row>
    <row r="30" spans="1:14" ht="27.95" customHeight="1">
      <c r="A30" s="62"/>
      <c r="B30" s="279" t="s">
        <v>257</v>
      </c>
      <c r="C30" s="280" t="s">
        <v>266</v>
      </c>
      <c r="D30" s="280"/>
      <c r="E30" s="280"/>
      <c r="F30" s="280"/>
      <c r="G30" s="281"/>
      <c r="H30" s="293"/>
      <c r="I30" s="280"/>
      <c r="J30" s="280"/>
      <c r="K30" s="280"/>
      <c r="L30" s="322"/>
    </row>
    <row r="31" spans="1:14" ht="27.95" customHeight="1">
      <c r="A31" s="62"/>
      <c r="B31" s="279" t="s">
        <v>259</v>
      </c>
      <c r="C31" s="280" t="s">
        <v>267</v>
      </c>
      <c r="D31" s="280"/>
      <c r="E31" s="280"/>
      <c r="F31" s="280"/>
      <c r="G31" s="281"/>
      <c r="H31" s="293"/>
      <c r="I31" s="280"/>
      <c r="J31" s="280"/>
      <c r="K31" s="280"/>
      <c r="L31" s="322"/>
    </row>
    <row r="32" spans="1:14" ht="20.25" customHeight="1">
      <c r="A32" s="62"/>
      <c r="B32" s="251"/>
      <c r="C32" s="242"/>
      <c r="D32" s="242"/>
      <c r="E32" s="242"/>
      <c r="F32" s="302" t="s">
        <v>268</v>
      </c>
      <c r="G32" s="242"/>
      <c r="H32" s="227"/>
      <c r="I32" s="227"/>
      <c r="J32" s="227"/>
      <c r="K32" s="227"/>
      <c r="L32" s="254"/>
    </row>
    <row r="33" spans="1:32" ht="27.95" customHeight="1">
      <c r="A33" s="62"/>
      <c r="B33" s="314" t="s">
        <v>269</v>
      </c>
      <c r="C33" s="313" t="s">
        <v>270</v>
      </c>
      <c r="D33" s="242"/>
      <c r="E33" s="242"/>
      <c r="F33" s="242"/>
      <c r="G33" s="242"/>
      <c r="H33" s="227"/>
      <c r="I33" s="227"/>
      <c r="J33" s="228"/>
      <c r="K33" s="227"/>
      <c r="L33" s="254"/>
    </row>
    <row r="34" spans="1:32" ht="19.5" customHeight="1">
      <c r="A34" s="62"/>
      <c r="B34" s="314" t="s">
        <v>271</v>
      </c>
      <c r="C34" s="312" t="s">
        <v>272</v>
      </c>
      <c r="D34" s="227"/>
      <c r="E34" s="228"/>
      <c r="F34" s="47"/>
      <c r="G34" s="888"/>
      <c r="H34" s="888"/>
      <c r="I34" s="252"/>
      <c r="J34" s="253"/>
      <c r="K34" s="888"/>
      <c r="L34" s="889"/>
    </row>
    <row r="35" spans="1:32" ht="26.25" customHeight="1">
      <c r="A35" s="62"/>
      <c r="B35" s="315" t="s">
        <v>273</v>
      </c>
      <c r="C35" s="890" t="s">
        <v>302</v>
      </c>
      <c r="D35" s="890"/>
      <c r="E35" s="890"/>
      <c r="F35" s="890"/>
      <c r="G35" s="890"/>
      <c r="H35" s="890"/>
      <c r="I35" s="890"/>
      <c r="J35" s="890"/>
      <c r="K35" s="890"/>
      <c r="L35" s="891"/>
    </row>
    <row r="36" spans="1:32" ht="19.5" customHeight="1">
      <c r="A36" s="62"/>
      <c r="B36" s="314" t="s">
        <v>274</v>
      </c>
      <c r="C36" s="313" t="s">
        <v>275</v>
      </c>
      <c r="D36" s="305"/>
      <c r="E36" s="305"/>
      <c r="F36" s="305"/>
      <c r="G36" s="305"/>
      <c r="H36" s="305"/>
      <c r="I36" s="305"/>
      <c r="J36" s="305"/>
      <c r="K36" s="305"/>
      <c r="L36" s="326"/>
    </row>
    <row r="37" spans="1:32" ht="27.95" customHeight="1">
      <c r="A37" s="62"/>
      <c r="B37" s="251"/>
      <c r="C37" s="250" t="s">
        <v>303</v>
      </c>
      <c r="D37" s="389" t="e">
        <f>'PUNJAB 04-22Master'!#REF!</f>
        <v>#REF!</v>
      </c>
      <c r="E37" s="229"/>
      <c r="F37" s="229"/>
      <c r="G37" s="229"/>
      <c r="H37" s="47"/>
      <c r="I37" s="47"/>
      <c r="J37" s="47"/>
      <c r="K37" s="47"/>
      <c r="L37" s="63"/>
    </row>
    <row r="38" spans="1:32" ht="15" customHeight="1">
      <c r="A38" s="62"/>
      <c r="B38" s="47"/>
      <c r="C38" s="250" t="s">
        <v>276</v>
      </c>
      <c r="D38" t="s">
        <v>364</v>
      </c>
      <c r="E38" s="47"/>
      <c r="F38" s="47"/>
      <c r="G38" s="47"/>
      <c r="H38" s="47"/>
      <c r="I38" s="47"/>
      <c r="J38" s="47" t="s">
        <v>304</v>
      </c>
      <c r="K38" s="47"/>
      <c r="L38" s="63"/>
    </row>
    <row r="39" spans="1:32" ht="15.75" customHeight="1">
      <c r="A39" s="62"/>
      <c r="B39" s="47"/>
      <c r="C39" s="47"/>
      <c r="D39" s="47"/>
      <c r="E39" s="47"/>
      <c r="F39" s="47"/>
      <c r="G39" s="47"/>
      <c r="H39" s="47"/>
      <c r="I39" s="47"/>
      <c r="J39" s="47"/>
      <c r="K39" s="47"/>
      <c r="L39" s="63"/>
    </row>
    <row r="40" spans="1:32">
      <c r="A40" s="62"/>
      <c r="B40" s="47"/>
      <c r="C40" s="47"/>
      <c r="D40" s="47"/>
      <c r="E40" s="47"/>
      <c r="F40" s="303" t="s">
        <v>277</v>
      </c>
      <c r="G40" s="47"/>
      <c r="H40" s="47"/>
      <c r="I40" s="47"/>
      <c r="J40" s="47"/>
      <c r="K40" s="47"/>
      <c r="L40" s="63"/>
    </row>
    <row r="41" spans="1:32" ht="12.75" customHeight="1">
      <c r="A41" s="62" t="s">
        <v>305</v>
      </c>
      <c r="B41" s="47" t="s">
        <v>278</v>
      </c>
      <c r="C41" s="47"/>
      <c r="D41" s="47"/>
      <c r="E41" s="306" t="e">
        <f>'PUNJAB 04-22Master'!#REF!</f>
        <v>#REF!</v>
      </c>
      <c r="F41" s="47"/>
      <c r="G41" s="47"/>
      <c r="H41" s="892" t="s">
        <v>279</v>
      </c>
      <c r="I41" s="892"/>
      <c r="J41" s="307" t="e">
        <f>'PUNJAB 04-22Master'!#REF!</f>
        <v>#REF!</v>
      </c>
      <c r="K41" s="47" t="s">
        <v>280</v>
      </c>
      <c r="L41" s="63"/>
    </row>
    <row r="42" spans="1:32" ht="12.75" customHeight="1">
      <c r="A42" s="62"/>
      <c r="B42" s="893" t="e">
        <f>'PUNJAB 04-22Master'!#REF!</f>
        <v>#REF!</v>
      </c>
      <c r="C42" s="894"/>
      <c r="D42" s="304"/>
      <c r="E42" s="304"/>
      <c r="F42" s="304"/>
      <c r="G42" s="304"/>
      <c r="H42" s="304"/>
      <c r="I42" s="304"/>
      <c r="J42" s="304"/>
      <c r="K42" s="304"/>
      <c r="L42" s="327"/>
      <c r="M42" s="304"/>
      <c r="N42" s="304"/>
      <c r="O42" s="304"/>
      <c r="P42" s="304"/>
      <c r="Q42" s="304"/>
      <c r="R42" s="304"/>
      <c r="S42" s="304"/>
      <c r="T42" s="304"/>
      <c r="U42" s="304"/>
      <c r="V42" s="304"/>
      <c r="W42" s="304"/>
      <c r="X42" s="304"/>
      <c r="Y42" s="304"/>
      <c r="Z42" s="304"/>
      <c r="AA42" s="304"/>
      <c r="AB42" s="304"/>
      <c r="AC42" s="304"/>
      <c r="AD42" s="304"/>
      <c r="AE42" s="304"/>
      <c r="AF42" s="304"/>
    </row>
    <row r="43" spans="1:32" ht="12.75" customHeight="1">
      <c r="A43" s="62" t="s">
        <v>307</v>
      </c>
      <c r="B43" s="304" t="s">
        <v>281</v>
      </c>
      <c r="C43" s="304"/>
      <c r="D43" s="304"/>
      <c r="E43" s="304"/>
      <c r="F43" s="304"/>
      <c r="G43" s="304"/>
      <c r="H43" s="304"/>
      <c r="I43" s="304"/>
      <c r="J43" s="304"/>
      <c r="K43" s="304"/>
      <c r="L43" s="327"/>
      <c r="M43" s="304"/>
      <c r="N43" s="304"/>
      <c r="O43" s="304"/>
      <c r="P43" s="304"/>
      <c r="Q43" s="304"/>
      <c r="R43" s="304"/>
      <c r="S43" s="304"/>
      <c r="T43" s="304"/>
      <c r="U43" s="304"/>
      <c r="V43" s="304"/>
      <c r="W43" s="304"/>
      <c r="X43" s="304"/>
      <c r="Y43" s="304"/>
      <c r="Z43" s="304"/>
      <c r="AA43" s="304"/>
      <c r="AB43" s="304"/>
      <c r="AC43" s="304"/>
      <c r="AD43" s="304"/>
      <c r="AE43" s="304"/>
      <c r="AF43" s="304"/>
    </row>
    <row r="44" spans="1:32" ht="12.75" customHeight="1">
      <c r="A44" s="62"/>
      <c r="B44" s="304" t="s">
        <v>306</v>
      </c>
      <c r="C44" s="304"/>
      <c r="D44" s="304"/>
      <c r="E44" s="304"/>
      <c r="F44" s="304"/>
      <c r="G44" s="304"/>
      <c r="H44" s="304"/>
      <c r="I44" s="304"/>
      <c r="J44" s="304"/>
      <c r="K44" s="304"/>
      <c r="L44" s="327"/>
      <c r="M44" s="304"/>
      <c r="N44" s="304"/>
      <c r="O44" s="304"/>
      <c r="P44" s="304"/>
      <c r="Q44" s="304"/>
      <c r="R44" s="304"/>
      <c r="S44" s="304"/>
      <c r="T44" s="304"/>
      <c r="U44" s="304"/>
      <c r="V44" s="304"/>
      <c r="W44" s="304"/>
      <c r="X44" s="304"/>
      <c r="Y44" s="304"/>
      <c r="Z44" s="304"/>
      <c r="AA44" s="304"/>
      <c r="AB44" s="304"/>
      <c r="AC44" s="304"/>
      <c r="AD44" s="304"/>
      <c r="AE44" s="304"/>
      <c r="AF44" s="304"/>
    </row>
    <row r="45" spans="1:32" ht="12.75" customHeight="1">
      <c r="A45" s="323"/>
      <c r="B45" s="47" t="s">
        <v>282</v>
      </c>
      <c r="C45" s="47"/>
      <c r="D45" s="47"/>
      <c r="E45" s="47"/>
      <c r="F45" s="47"/>
      <c r="G45" s="47"/>
      <c r="H45" s="47"/>
      <c r="I45" s="47"/>
      <c r="J45" s="47"/>
      <c r="K45" s="47"/>
      <c r="L45" s="63"/>
    </row>
    <row r="46" spans="1:32" ht="12.75" customHeight="1">
      <c r="A46" s="62"/>
      <c r="B46" s="229" t="s">
        <v>283</v>
      </c>
      <c r="C46" s="47"/>
      <c r="D46" s="47"/>
      <c r="E46" s="47"/>
      <c r="F46" s="248"/>
      <c r="G46" s="47"/>
      <c r="H46" s="47"/>
      <c r="I46" s="47"/>
      <c r="J46" s="47"/>
      <c r="K46" s="47"/>
      <c r="L46" s="63"/>
    </row>
    <row r="47" spans="1:32" ht="12.75" customHeight="1">
      <c r="A47" s="62"/>
      <c r="B47" s="229" t="s">
        <v>284</v>
      </c>
      <c r="C47" s="47"/>
      <c r="D47" s="47"/>
      <c r="E47" s="47"/>
      <c r="F47" s="47"/>
      <c r="G47" s="47"/>
      <c r="H47" s="47"/>
      <c r="I47" s="47"/>
      <c r="J47" s="47"/>
      <c r="K47" s="47"/>
      <c r="L47" s="63"/>
    </row>
    <row r="48" spans="1:32" ht="12.75" customHeight="1">
      <c r="A48" s="62"/>
      <c r="B48" s="47" t="s">
        <v>285</v>
      </c>
      <c r="C48" s="47"/>
      <c r="D48" s="47"/>
      <c r="E48" s="47"/>
      <c r="F48" s="47"/>
      <c r="G48" s="47"/>
      <c r="H48" s="47"/>
      <c r="I48" s="47"/>
      <c r="J48" s="47"/>
      <c r="K48" s="47"/>
      <c r="L48" s="63"/>
    </row>
    <row r="49" spans="1:12" ht="12.75" customHeight="1">
      <c r="A49" s="62"/>
      <c r="B49" s="47" t="s">
        <v>286</v>
      </c>
      <c r="C49" s="47"/>
      <c r="D49" s="47"/>
      <c r="E49" s="47"/>
      <c r="F49" s="47"/>
      <c r="G49" s="47"/>
      <c r="H49" s="47"/>
      <c r="I49" s="47"/>
      <c r="J49" s="47"/>
      <c r="K49" s="47"/>
      <c r="L49" s="63"/>
    </row>
    <row r="50" spans="1:12" ht="12.75" customHeight="1">
      <c r="A50" s="62" t="s">
        <v>296</v>
      </c>
      <c r="B50" s="47" t="s">
        <v>287</v>
      </c>
      <c r="C50" s="47"/>
      <c r="D50" s="47"/>
      <c r="E50" s="47"/>
      <c r="F50" s="47"/>
      <c r="G50" s="47"/>
      <c r="H50" s="47"/>
      <c r="I50" s="47"/>
      <c r="J50" s="47"/>
      <c r="K50" s="47"/>
      <c r="L50" s="63"/>
    </row>
    <row r="51" spans="1:12" ht="12.75" customHeight="1">
      <c r="A51" s="62"/>
      <c r="B51" s="316" t="s">
        <v>308</v>
      </c>
      <c r="C51" s="47"/>
      <c r="D51" s="47"/>
      <c r="E51" s="47"/>
      <c r="F51" s="47"/>
      <c r="G51" s="47"/>
      <c r="H51" s="47"/>
      <c r="I51" s="47"/>
      <c r="J51" s="47"/>
      <c r="K51" s="47"/>
      <c r="L51" s="63"/>
    </row>
    <row r="52" spans="1:12" ht="12.75" customHeight="1">
      <c r="A52" s="62"/>
      <c r="B52" s="47" t="s">
        <v>282</v>
      </c>
      <c r="C52" s="47"/>
      <c r="D52" s="47"/>
      <c r="E52" s="47"/>
      <c r="F52" s="47"/>
      <c r="G52" s="47"/>
      <c r="H52" s="47"/>
      <c r="I52" s="47"/>
      <c r="J52" s="47"/>
      <c r="K52" s="47"/>
      <c r="L52" s="63"/>
    </row>
    <row r="53" spans="1:12" ht="12.75" customHeight="1">
      <c r="A53" s="62"/>
      <c r="B53" s="47" t="s">
        <v>288</v>
      </c>
      <c r="C53" s="47"/>
      <c r="D53" s="47"/>
      <c r="E53" s="47"/>
      <c r="F53" s="250"/>
      <c r="G53" s="250"/>
      <c r="H53" s="250"/>
      <c r="I53" s="250"/>
      <c r="J53" s="250"/>
      <c r="K53" s="250"/>
      <c r="L53" s="63"/>
    </row>
    <row r="54" spans="1:12" ht="12.75" customHeight="1">
      <c r="A54" s="62"/>
      <c r="B54" s="47" t="s">
        <v>289</v>
      </c>
      <c r="C54" s="47"/>
      <c r="D54" s="47"/>
      <c r="E54" s="47"/>
      <c r="F54" s="47"/>
      <c r="G54" s="47"/>
      <c r="H54" s="47"/>
      <c r="I54" s="47"/>
      <c r="J54" s="47"/>
      <c r="K54" s="47"/>
      <c r="L54" s="63"/>
    </row>
    <row r="55" spans="1:12" ht="15.75" customHeight="1">
      <c r="A55" s="62"/>
      <c r="B55" s="895" t="s">
        <v>290</v>
      </c>
      <c r="C55" s="895"/>
      <c r="D55" s="895"/>
      <c r="E55" s="895"/>
      <c r="F55" s="895"/>
      <c r="G55" s="895"/>
      <c r="H55" s="895"/>
      <c r="I55" s="895"/>
      <c r="J55" s="895"/>
      <c r="K55" s="895"/>
      <c r="L55" s="896"/>
    </row>
    <row r="56" spans="1:12" ht="23.25">
      <c r="A56" s="62"/>
      <c r="B56" s="318" t="s">
        <v>202</v>
      </c>
      <c r="C56" s="394" t="e">
        <f>D37</f>
        <v>#REF!</v>
      </c>
      <c r="D56" s="285"/>
      <c r="E56" s="285"/>
      <c r="F56" s="285"/>
      <c r="G56" s="285"/>
      <c r="H56" s="285"/>
      <c r="I56" s="318" t="s">
        <v>309</v>
      </c>
      <c r="J56" s="285"/>
      <c r="K56" s="285"/>
      <c r="L56" s="317"/>
    </row>
    <row r="57" spans="1:12" ht="16.5" thickBot="1">
      <c r="A57" s="76"/>
      <c r="B57" s="747"/>
      <c r="C57" s="747"/>
      <c r="D57" s="747"/>
      <c r="E57" s="747"/>
      <c r="F57" s="747"/>
      <c r="G57" s="747"/>
      <c r="H57" s="747"/>
      <c r="I57" s="747"/>
      <c r="J57" s="747"/>
      <c r="K57" s="747"/>
      <c r="L57" s="748"/>
    </row>
    <row r="58" spans="1:12" ht="27.95" customHeight="1" thickBot="1">
      <c r="A58" s="343"/>
      <c r="B58" s="862"/>
      <c r="C58" s="862"/>
      <c r="D58" s="862"/>
      <c r="E58" s="862"/>
      <c r="F58" s="862"/>
      <c r="G58" s="862"/>
      <c r="H58" s="859"/>
      <c r="I58" s="859"/>
      <c r="J58" s="859"/>
      <c r="K58" s="859"/>
      <c r="L58" s="859"/>
    </row>
    <row r="59" spans="1:12" ht="27.95" customHeight="1">
      <c r="A59" s="140"/>
      <c r="B59" s="141"/>
      <c r="C59" s="141"/>
      <c r="D59" s="141"/>
      <c r="E59" s="141"/>
      <c r="F59" s="141"/>
      <c r="G59" s="141"/>
      <c r="H59" s="141"/>
      <c r="I59" s="150" t="s">
        <v>236</v>
      </c>
      <c r="J59" s="141"/>
      <c r="K59" s="141"/>
      <c r="L59" s="142"/>
    </row>
    <row r="60" spans="1:12" ht="27.95" customHeight="1">
      <c r="A60" s="62"/>
      <c r="B60" s="778" t="s">
        <v>291</v>
      </c>
      <c r="C60" s="778"/>
      <c r="D60" s="778"/>
      <c r="E60" s="778"/>
      <c r="F60" s="778"/>
      <c r="G60" s="778"/>
      <c r="H60" s="778"/>
      <c r="I60" s="778"/>
      <c r="J60" s="778"/>
      <c r="K60" s="778"/>
      <c r="L60" s="779"/>
    </row>
    <row r="61" spans="1:12" ht="27.95" customHeight="1">
      <c r="A61" s="62"/>
      <c r="B61" s="285"/>
      <c r="C61" s="285"/>
      <c r="D61" s="294" t="s">
        <v>238</v>
      </c>
      <c r="E61" s="285"/>
      <c r="F61" s="285"/>
      <c r="G61" s="285"/>
      <c r="H61" s="285"/>
      <c r="I61" s="288" t="s">
        <v>292</v>
      </c>
      <c r="J61" s="289"/>
      <c r="K61" s="395" t="e">
        <f>'PUNJAB 04-22Master'!#REF!</f>
        <v>#REF!</v>
      </c>
      <c r="L61" s="320"/>
    </row>
    <row r="62" spans="1:12" ht="21.75" customHeight="1">
      <c r="A62" s="62"/>
      <c r="B62" s="286"/>
      <c r="C62" s="286" t="s">
        <v>239</v>
      </c>
      <c r="D62" s="47"/>
      <c r="E62" s="286"/>
      <c r="F62" s="286"/>
      <c r="G62" s="286"/>
      <c r="H62" s="286"/>
      <c r="I62" s="287" t="s">
        <v>293</v>
      </c>
      <c r="J62" s="308" t="str">
        <f>'PUNJAB 04-22Master'!F5</f>
        <v>Burgeon IT Services Pvt.Ltd.</v>
      </c>
      <c r="K62" s="290"/>
      <c r="L62" s="321"/>
    </row>
    <row r="63" spans="1:12" ht="20.25" customHeight="1">
      <c r="A63" s="62"/>
      <c r="B63" s="295"/>
      <c r="C63" s="258" t="s">
        <v>240</v>
      </c>
      <c r="D63" s="47"/>
      <c r="E63" s="295"/>
      <c r="F63" s="295"/>
      <c r="G63" s="47"/>
      <c r="H63" s="259"/>
      <c r="I63" s="311" t="str">
        <f>'PUNJAB 04-22Master'!F6</f>
        <v>Siri Mansion LIGB 436 Dr.A S Rao Nagar,Hyderabad</v>
      </c>
      <c r="J63" s="309"/>
      <c r="K63" s="310"/>
      <c r="L63" s="271"/>
    </row>
    <row r="64" spans="1:12" ht="18.75" customHeight="1">
      <c r="A64" s="62"/>
      <c r="B64" s="47"/>
      <c r="C64" s="47"/>
      <c r="D64" s="47"/>
      <c r="E64" s="47"/>
      <c r="F64" s="47"/>
      <c r="G64" s="47"/>
      <c r="H64" s="47"/>
      <c r="I64" s="47"/>
      <c r="J64" s="47"/>
      <c r="K64" s="47"/>
      <c r="L64" s="63"/>
    </row>
    <row r="65" spans="1:12" ht="27.95" customHeight="1">
      <c r="A65" s="62">
        <v>1</v>
      </c>
      <c r="B65" s="291" t="s">
        <v>241</v>
      </c>
      <c r="C65" s="265"/>
      <c r="D65" s="265"/>
      <c r="E65" s="265"/>
      <c r="F65" s="265"/>
      <c r="G65" s="119"/>
      <c r="H65" s="856" t="e">
        <f>'PUNJAB 04-22Master'!#REF!</f>
        <v>#REF!</v>
      </c>
      <c r="I65" s="875"/>
      <c r="J65" s="875"/>
      <c r="K65" s="875"/>
      <c r="L65" s="876"/>
    </row>
    <row r="66" spans="1:12" ht="21.75" customHeight="1">
      <c r="A66" s="62">
        <v>2</v>
      </c>
      <c r="B66" s="897" t="s">
        <v>242</v>
      </c>
      <c r="C66" s="898"/>
      <c r="D66" s="898"/>
      <c r="E66" s="898"/>
      <c r="F66" s="292" t="s">
        <v>243</v>
      </c>
      <c r="G66" s="273"/>
      <c r="H66" s="899" t="e">
        <f>'PUNJAB 04-22Master'!#REF!</f>
        <v>#REF!</v>
      </c>
      <c r="I66" s="900"/>
      <c r="J66" s="900"/>
      <c r="K66" s="900"/>
      <c r="L66" s="901"/>
    </row>
    <row r="67" spans="1:12" ht="12.75" customHeight="1">
      <c r="A67" s="62"/>
      <c r="B67" s="274" t="s">
        <v>244</v>
      </c>
      <c r="C67" s="275"/>
      <c r="D67" s="275"/>
      <c r="E67" s="275"/>
      <c r="F67" s="275" t="s">
        <v>237</v>
      </c>
      <c r="G67" s="276"/>
      <c r="H67" s="902"/>
      <c r="I67" s="903"/>
      <c r="J67" s="903"/>
      <c r="K67" s="903"/>
      <c r="L67" s="904"/>
    </row>
    <row r="68" spans="1:12" ht="27.95" customHeight="1">
      <c r="A68" s="62">
        <v>3</v>
      </c>
      <c r="B68" s="293" t="s">
        <v>245</v>
      </c>
      <c r="C68" s="280"/>
      <c r="D68" s="280"/>
      <c r="E68" s="280"/>
      <c r="F68" s="280"/>
      <c r="G68" s="281"/>
      <c r="H68" s="879" t="e">
        <f>'PUNJAB 04-22Master'!#REF!</f>
        <v>#REF!</v>
      </c>
      <c r="I68" s="880"/>
      <c r="J68" s="880"/>
      <c r="K68" s="880"/>
      <c r="L68" s="887"/>
    </row>
    <row r="69" spans="1:12" ht="27.95" customHeight="1">
      <c r="A69" s="323">
        <v>4</v>
      </c>
      <c r="B69" s="264" t="s">
        <v>246</v>
      </c>
      <c r="C69" s="118"/>
      <c r="D69" s="118"/>
      <c r="E69" s="118"/>
      <c r="F69" s="118"/>
      <c r="G69" s="119"/>
      <c r="H69" s="853" t="e">
        <f>'PUNJAB 04-22Master'!#REF!</f>
        <v>#REF!</v>
      </c>
      <c r="I69" s="867"/>
      <c r="J69" s="867"/>
      <c r="K69" s="867"/>
      <c r="L69" s="854"/>
    </row>
    <row r="70" spans="1:12" ht="27.95" customHeight="1">
      <c r="A70" s="323">
        <v>5</v>
      </c>
      <c r="B70" s="882" t="s">
        <v>294</v>
      </c>
      <c r="C70" s="883"/>
      <c r="D70" s="883"/>
      <c r="E70" s="883"/>
      <c r="F70" s="883"/>
      <c r="G70" s="119"/>
      <c r="H70" s="874" t="s">
        <v>371</v>
      </c>
      <c r="I70" s="875"/>
      <c r="J70" s="875"/>
      <c r="K70" s="875"/>
      <c r="L70" s="876"/>
    </row>
    <row r="71" spans="1:12" ht="21.75" customHeight="1">
      <c r="A71" s="323">
        <v>6</v>
      </c>
      <c r="B71" s="334" t="s">
        <v>247</v>
      </c>
      <c r="C71" s="280" t="s">
        <v>248</v>
      </c>
      <c r="D71" s="280"/>
      <c r="E71" s="280"/>
      <c r="F71" s="280"/>
      <c r="G71" s="281"/>
      <c r="H71" s="293"/>
      <c r="I71" s="280"/>
      <c r="J71" s="280"/>
      <c r="K71" s="280"/>
      <c r="L71" s="322"/>
    </row>
    <row r="72" spans="1:12" ht="22.5" customHeight="1">
      <c r="A72" s="62"/>
      <c r="B72" s="334" t="s">
        <v>249</v>
      </c>
      <c r="C72" s="280" t="s">
        <v>250</v>
      </c>
      <c r="D72" s="280"/>
      <c r="E72" s="280"/>
      <c r="F72" s="280"/>
      <c r="G72" s="281"/>
      <c r="H72" s="293"/>
      <c r="I72" s="333"/>
      <c r="J72" s="333"/>
      <c r="K72" s="280"/>
      <c r="L72" s="322"/>
    </row>
    <row r="73" spans="1:12">
      <c r="A73" s="323">
        <v>7</v>
      </c>
      <c r="B73" s="879" t="s">
        <v>251</v>
      </c>
      <c r="C73" s="880"/>
      <c r="D73" s="880"/>
      <c r="E73" s="880"/>
      <c r="F73" s="880"/>
      <c r="G73" s="887"/>
      <c r="H73" s="297" t="s">
        <v>252</v>
      </c>
      <c r="I73" s="298"/>
      <c r="J73" s="299"/>
      <c r="K73" s="297" t="s">
        <v>253</v>
      </c>
      <c r="L73" s="324"/>
    </row>
    <row r="74" spans="1:12">
      <c r="A74" s="323">
        <v>8</v>
      </c>
      <c r="B74" s="879" t="s">
        <v>295</v>
      </c>
      <c r="C74" s="880"/>
      <c r="D74" s="880"/>
      <c r="E74" s="880"/>
      <c r="F74" s="880"/>
      <c r="G74" s="887"/>
      <c r="H74" s="297" t="s">
        <v>252</v>
      </c>
      <c r="I74" s="298"/>
      <c r="J74" s="299"/>
      <c r="K74" s="297" t="s">
        <v>253</v>
      </c>
      <c r="L74" s="324"/>
    </row>
    <row r="75" spans="1:12">
      <c r="A75" s="62"/>
      <c r="B75" s="264"/>
      <c r="C75" s="301"/>
      <c r="D75" s="301"/>
      <c r="E75" s="301"/>
      <c r="F75" s="301" t="s">
        <v>254</v>
      </c>
      <c r="G75" s="301"/>
      <c r="H75" s="301"/>
      <c r="I75" s="301"/>
      <c r="J75" s="301"/>
      <c r="K75" s="301"/>
      <c r="L75" s="325"/>
    </row>
    <row r="76" spans="1:12">
      <c r="A76" s="323">
        <v>9</v>
      </c>
      <c r="B76" s="334" t="s">
        <v>255</v>
      </c>
      <c r="C76" s="280" t="s">
        <v>256</v>
      </c>
      <c r="D76" s="280"/>
      <c r="E76" s="280"/>
      <c r="F76" s="280"/>
      <c r="G76" s="281"/>
      <c r="H76" s="293"/>
      <c r="I76" s="280"/>
      <c r="J76" s="280"/>
      <c r="K76" s="280"/>
      <c r="L76" s="322"/>
    </row>
    <row r="77" spans="1:12">
      <c r="A77" s="157"/>
      <c r="B77" s="334" t="s">
        <v>257</v>
      </c>
      <c r="C77" s="280" t="s">
        <v>258</v>
      </c>
      <c r="D77" s="280"/>
      <c r="E77" s="280"/>
      <c r="F77" s="280"/>
      <c r="G77" s="281"/>
      <c r="H77" s="293"/>
      <c r="I77" s="280"/>
      <c r="J77" s="280"/>
      <c r="K77" s="280"/>
      <c r="L77" s="322"/>
    </row>
    <row r="78" spans="1:12">
      <c r="A78" s="157"/>
      <c r="B78" s="334" t="s">
        <v>296</v>
      </c>
      <c r="C78" s="280" t="s">
        <v>297</v>
      </c>
      <c r="D78" s="280"/>
      <c r="E78" s="280"/>
      <c r="F78" s="280"/>
      <c r="G78" s="281"/>
      <c r="H78" s="293"/>
      <c r="I78" s="280"/>
      <c r="J78" s="280"/>
      <c r="K78" s="280"/>
      <c r="L78" s="322"/>
    </row>
    <row r="79" spans="1:12">
      <c r="A79" s="157"/>
      <c r="B79" s="334" t="s">
        <v>260</v>
      </c>
      <c r="C79" s="280" t="s">
        <v>261</v>
      </c>
      <c r="D79" s="280"/>
      <c r="E79" s="280"/>
      <c r="F79" s="280"/>
      <c r="G79" s="281"/>
      <c r="H79" s="293"/>
      <c r="I79" s="280"/>
      <c r="J79" s="280"/>
      <c r="K79" s="280"/>
      <c r="L79" s="322"/>
    </row>
    <row r="80" spans="1:12">
      <c r="A80" s="157"/>
      <c r="B80" s="334" t="s">
        <v>262</v>
      </c>
      <c r="C80" s="280" t="s">
        <v>263</v>
      </c>
      <c r="D80" s="280"/>
      <c r="E80" s="280"/>
      <c r="F80" s="280"/>
      <c r="G80" s="281"/>
      <c r="H80" s="293"/>
      <c r="I80" s="280"/>
      <c r="J80" s="280"/>
      <c r="K80" s="280"/>
      <c r="L80" s="322"/>
    </row>
    <row r="81" spans="1:12">
      <c r="A81" s="157">
        <v>10</v>
      </c>
      <c r="B81" s="334" t="s">
        <v>255</v>
      </c>
      <c r="C81" s="280" t="s">
        <v>298</v>
      </c>
      <c r="D81" s="280"/>
      <c r="E81" s="280"/>
      <c r="F81" s="280"/>
      <c r="G81" s="281"/>
      <c r="H81" s="297" t="s">
        <v>252</v>
      </c>
      <c r="I81" s="298"/>
      <c r="J81" s="299"/>
      <c r="K81" s="297" t="s">
        <v>253</v>
      </c>
      <c r="L81" s="324"/>
    </row>
    <row r="82" spans="1:12">
      <c r="A82" s="157"/>
      <c r="B82" s="334" t="s">
        <v>257</v>
      </c>
      <c r="C82" s="280" t="s">
        <v>299</v>
      </c>
      <c r="D82" s="280"/>
      <c r="E82" s="280"/>
      <c r="F82" s="280"/>
      <c r="G82" s="281"/>
      <c r="H82" s="293"/>
      <c r="I82" s="280"/>
      <c r="J82" s="280"/>
      <c r="K82" s="280"/>
      <c r="L82" s="322"/>
    </row>
    <row r="83" spans="1:12">
      <c r="A83" s="157"/>
      <c r="B83" s="334" t="s">
        <v>296</v>
      </c>
      <c r="C83" s="280" t="s">
        <v>264</v>
      </c>
      <c r="D83" s="280"/>
      <c r="E83" s="280"/>
      <c r="F83" s="280"/>
      <c r="G83" s="281"/>
      <c r="H83" s="293"/>
      <c r="I83" s="280"/>
      <c r="J83" s="280"/>
      <c r="K83" s="280"/>
      <c r="L83" s="322"/>
    </row>
    <row r="84" spans="1:12">
      <c r="A84" s="157"/>
      <c r="B84" s="334" t="s">
        <v>260</v>
      </c>
      <c r="C84" s="280" t="s">
        <v>300</v>
      </c>
      <c r="D84" s="280"/>
      <c r="E84" s="280"/>
      <c r="F84" s="280"/>
      <c r="G84" s="281"/>
      <c r="H84" s="293"/>
      <c r="I84" s="280"/>
      <c r="J84" s="280"/>
      <c r="K84" s="280"/>
      <c r="L84" s="322"/>
    </row>
    <row r="85" spans="1:12">
      <c r="A85" s="62"/>
      <c r="B85" s="264"/>
      <c r="C85" s="301"/>
      <c r="D85" s="301"/>
      <c r="E85" s="301" t="s">
        <v>301</v>
      </c>
      <c r="F85" s="301"/>
      <c r="G85" s="301"/>
      <c r="H85" s="301"/>
      <c r="I85" s="301"/>
      <c r="J85" s="301"/>
      <c r="K85" s="301"/>
      <c r="L85" s="325"/>
    </row>
    <row r="86" spans="1:12">
      <c r="A86" s="62">
        <v>11</v>
      </c>
      <c r="B86" s="334" t="s">
        <v>255</v>
      </c>
      <c r="C86" s="280" t="s">
        <v>265</v>
      </c>
      <c r="D86" s="280"/>
      <c r="E86" s="280"/>
      <c r="F86" s="280"/>
      <c r="G86" s="281"/>
      <c r="H86" s="293"/>
      <c r="I86" s="280"/>
      <c r="J86" s="280"/>
      <c r="K86" s="280"/>
      <c r="L86" s="322"/>
    </row>
    <row r="87" spans="1:12">
      <c r="A87" s="62"/>
      <c r="B87" s="334" t="s">
        <v>257</v>
      </c>
      <c r="C87" s="280" t="s">
        <v>266</v>
      </c>
      <c r="D87" s="280"/>
      <c r="E87" s="280"/>
      <c r="F87" s="280"/>
      <c r="G87" s="281"/>
      <c r="H87" s="293"/>
      <c r="I87" s="280"/>
      <c r="J87" s="280"/>
      <c r="K87" s="280"/>
      <c r="L87" s="322"/>
    </row>
    <row r="88" spans="1:12">
      <c r="A88" s="62"/>
      <c r="B88" s="334" t="s">
        <v>259</v>
      </c>
      <c r="C88" s="280" t="s">
        <v>267</v>
      </c>
      <c r="D88" s="280"/>
      <c r="E88" s="280"/>
      <c r="F88" s="280"/>
      <c r="G88" s="281"/>
      <c r="H88" s="293"/>
      <c r="I88" s="280"/>
      <c r="J88" s="280"/>
      <c r="K88" s="280"/>
      <c r="L88" s="322"/>
    </row>
    <row r="89" spans="1:12">
      <c r="A89" s="62"/>
      <c r="B89" s="251"/>
      <c r="C89" s="344"/>
      <c r="D89" s="344"/>
      <c r="E89" s="344"/>
      <c r="F89" s="302" t="s">
        <v>268</v>
      </c>
      <c r="G89" s="344"/>
      <c r="H89" s="347"/>
      <c r="I89" s="347"/>
      <c r="J89" s="347"/>
      <c r="K89" s="347"/>
      <c r="L89" s="254"/>
    </row>
    <row r="90" spans="1:12">
      <c r="A90" s="62"/>
      <c r="B90" s="314" t="s">
        <v>269</v>
      </c>
      <c r="C90" s="313" t="s">
        <v>270</v>
      </c>
      <c r="D90" s="344"/>
      <c r="E90" s="344"/>
      <c r="F90" s="344"/>
      <c r="G90" s="344"/>
      <c r="H90" s="347"/>
      <c r="I90" s="347"/>
      <c r="J90" s="345"/>
      <c r="K90" s="347"/>
      <c r="L90" s="254"/>
    </row>
    <row r="91" spans="1:12">
      <c r="A91" s="62"/>
      <c r="B91" s="314" t="s">
        <v>271</v>
      </c>
      <c r="C91" s="312" t="s">
        <v>272</v>
      </c>
      <c r="D91" s="347"/>
      <c r="E91" s="345"/>
      <c r="F91" s="47"/>
      <c r="G91" s="888"/>
      <c r="H91" s="888"/>
      <c r="I91" s="340"/>
      <c r="J91" s="253"/>
      <c r="K91" s="888"/>
      <c r="L91" s="889"/>
    </row>
    <row r="92" spans="1:12">
      <c r="A92" s="62"/>
      <c r="B92" s="315" t="s">
        <v>273</v>
      </c>
      <c r="C92" s="890" t="s">
        <v>302</v>
      </c>
      <c r="D92" s="890"/>
      <c r="E92" s="890"/>
      <c r="F92" s="890"/>
      <c r="G92" s="890"/>
      <c r="H92" s="890"/>
      <c r="I92" s="890"/>
      <c r="J92" s="890"/>
      <c r="K92" s="890"/>
      <c r="L92" s="891"/>
    </row>
    <row r="93" spans="1:12">
      <c r="A93" s="62"/>
      <c r="B93" s="314" t="s">
        <v>274</v>
      </c>
      <c r="C93" s="313" t="s">
        <v>275</v>
      </c>
      <c r="D93" s="305"/>
      <c r="E93" s="305"/>
      <c r="F93" s="305"/>
      <c r="G93" s="305"/>
      <c r="H93" s="305"/>
      <c r="I93" s="305"/>
      <c r="J93" s="305"/>
      <c r="K93" s="305"/>
      <c r="L93" s="326"/>
    </row>
    <row r="94" spans="1:12" ht="15" customHeight="1">
      <c r="A94" s="62"/>
      <c r="B94" s="251"/>
      <c r="C94" s="250" t="s">
        <v>303</v>
      </c>
      <c r="D94" s="389" t="e">
        <f>'PUNJAB 04-22Master'!#REF!</f>
        <v>#REF!</v>
      </c>
      <c r="E94" s="229"/>
      <c r="F94" s="229"/>
      <c r="G94" s="229"/>
      <c r="H94" s="47"/>
      <c r="I94" s="47"/>
      <c r="J94" s="47"/>
      <c r="K94" s="47"/>
      <c r="L94" s="63"/>
    </row>
    <row r="95" spans="1:12">
      <c r="A95" s="62"/>
      <c r="B95" s="47"/>
      <c r="C95" s="250" t="s">
        <v>276</v>
      </c>
      <c r="D95" t="s">
        <v>364</v>
      </c>
      <c r="E95" s="47"/>
      <c r="F95" s="47"/>
      <c r="G95" s="47"/>
      <c r="H95" s="47"/>
      <c r="I95" s="47"/>
      <c r="J95" s="47" t="s">
        <v>304</v>
      </c>
      <c r="K95" s="47"/>
      <c r="L95" s="63"/>
    </row>
    <row r="96" spans="1:12">
      <c r="A96" s="62"/>
      <c r="B96" s="47"/>
      <c r="C96" s="47"/>
      <c r="D96" s="47"/>
      <c r="E96" s="47"/>
      <c r="F96" s="47"/>
      <c r="G96" s="47"/>
      <c r="H96" s="47"/>
      <c r="I96" s="47"/>
      <c r="J96" s="47"/>
      <c r="K96" s="47"/>
      <c r="L96" s="63"/>
    </row>
    <row r="97" spans="1:12">
      <c r="A97" s="62"/>
      <c r="B97" s="47"/>
      <c r="C97" s="47"/>
      <c r="D97" s="47"/>
      <c r="E97" s="47"/>
      <c r="F97" s="303" t="s">
        <v>277</v>
      </c>
      <c r="G97" s="47"/>
      <c r="H97" s="47"/>
      <c r="I97" s="47"/>
      <c r="J97" s="47"/>
      <c r="K97" s="47"/>
      <c r="L97" s="63"/>
    </row>
    <row r="98" spans="1:12">
      <c r="A98" s="62" t="s">
        <v>305</v>
      </c>
      <c r="B98" s="47" t="s">
        <v>278</v>
      </c>
      <c r="C98" s="47"/>
      <c r="D98" s="47"/>
      <c r="E98" s="306" t="e">
        <f>'PUNJAB 04-22Master'!#REF!</f>
        <v>#REF!</v>
      </c>
      <c r="F98" s="47"/>
      <c r="G98" s="47"/>
      <c r="H98" s="892" t="s">
        <v>279</v>
      </c>
      <c r="I98" s="892"/>
      <c r="J98" s="307" t="e">
        <f>'PUNJAB 04-22Master'!#REF!</f>
        <v>#REF!</v>
      </c>
      <c r="K98" s="47" t="s">
        <v>280</v>
      </c>
      <c r="L98" s="63"/>
    </row>
    <row r="99" spans="1:12">
      <c r="A99" s="62"/>
      <c r="B99" s="893" t="e">
        <f>'PUNJAB 04-22Master'!#REF!</f>
        <v>#REF!</v>
      </c>
      <c r="C99" s="894"/>
      <c r="D99" s="304"/>
      <c r="E99" s="304"/>
      <c r="F99" s="304"/>
      <c r="G99" s="304"/>
      <c r="H99" s="304"/>
      <c r="I99" s="304"/>
      <c r="J99" s="304"/>
      <c r="K99" s="304"/>
      <c r="L99" s="327"/>
    </row>
    <row r="100" spans="1:12">
      <c r="A100" s="62" t="s">
        <v>307</v>
      </c>
      <c r="B100" s="304" t="s">
        <v>281</v>
      </c>
      <c r="C100" s="304"/>
      <c r="D100" s="304"/>
      <c r="E100" s="304"/>
      <c r="F100" s="304"/>
      <c r="G100" s="304"/>
      <c r="H100" s="304"/>
      <c r="I100" s="304"/>
      <c r="J100" s="304"/>
      <c r="K100" s="304"/>
      <c r="L100" s="327"/>
    </row>
    <row r="101" spans="1:12">
      <c r="A101" s="62"/>
      <c r="B101" s="304" t="s">
        <v>306</v>
      </c>
      <c r="C101" s="304"/>
      <c r="D101" s="304"/>
      <c r="E101" s="304"/>
      <c r="F101" s="304"/>
      <c r="G101" s="304"/>
      <c r="H101" s="304"/>
      <c r="I101" s="304"/>
      <c r="J101" s="304"/>
      <c r="K101" s="304"/>
      <c r="L101" s="327"/>
    </row>
    <row r="102" spans="1:12">
      <c r="A102" s="323"/>
      <c r="B102" s="47" t="s">
        <v>282</v>
      </c>
      <c r="C102" s="47"/>
      <c r="D102" s="47"/>
      <c r="E102" s="47"/>
      <c r="F102" s="47"/>
      <c r="G102" s="47"/>
      <c r="H102" s="47"/>
      <c r="I102" s="47"/>
      <c r="J102" s="47"/>
      <c r="K102" s="47"/>
      <c r="L102" s="63"/>
    </row>
    <row r="103" spans="1:12" ht="18.75">
      <c r="A103" s="62"/>
      <c r="B103" s="229" t="s">
        <v>283</v>
      </c>
      <c r="C103" s="47"/>
      <c r="D103" s="47"/>
      <c r="E103" s="47"/>
      <c r="F103" s="248"/>
      <c r="G103" s="47"/>
      <c r="H103" s="47"/>
      <c r="I103" s="47"/>
      <c r="J103" s="47"/>
      <c r="K103" s="47"/>
      <c r="L103" s="63"/>
    </row>
    <row r="104" spans="1:12">
      <c r="A104" s="62"/>
      <c r="B104" s="229" t="s">
        <v>284</v>
      </c>
      <c r="C104" s="47"/>
      <c r="D104" s="47"/>
      <c r="E104" s="47"/>
      <c r="F104" s="47"/>
      <c r="G104" s="47"/>
      <c r="H104" s="47"/>
      <c r="I104" s="47"/>
      <c r="J104" s="47"/>
      <c r="K104" s="47"/>
      <c r="L104" s="63"/>
    </row>
    <row r="105" spans="1:12">
      <c r="A105" s="62"/>
      <c r="B105" s="47" t="s">
        <v>285</v>
      </c>
      <c r="C105" s="47"/>
      <c r="D105" s="47"/>
      <c r="E105" s="47"/>
      <c r="F105" s="47"/>
      <c r="G105" s="47"/>
      <c r="H105" s="47"/>
      <c r="I105" s="47"/>
      <c r="J105" s="47"/>
      <c r="K105" s="47"/>
      <c r="L105" s="63"/>
    </row>
    <row r="106" spans="1:12">
      <c r="A106" s="62"/>
      <c r="B106" s="47" t="s">
        <v>286</v>
      </c>
      <c r="C106" s="47"/>
      <c r="D106" s="47"/>
      <c r="E106" s="47"/>
      <c r="F106" s="47"/>
      <c r="G106" s="47"/>
      <c r="H106" s="47"/>
      <c r="I106" s="47"/>
      <c r="J106" s="47"/>
      <c r="K106" s="47"/>
      <c r="L106" s="63"/>
    </row>
    <row r="107" spans="1:12">
      <c r="A107" s="62" t="s">
        <v>296</v>
      </c>
      <c r="B107" s="47" t="s">
        <v>287</v>
      </c>
      <c r="C107" s="47"/>
      <c r="D107" s="47"/>
      <c r="E107" s="47"/>
      <c r="F107" s="47"/>
      <c r="G107" s="47"/>
      <c r="H107" s="47"/>
      <c r="I107" s="47"/>
      <c r="J107" s="47"/>
      <c r="K107" s="47"/>
      <c r="L107" s="63"/>
    </row>
    <row r="108" spans="1:12">
      <c r="A108" s="62"/>
      <c r="B108" s="316" t="s">
        <v>308</v>
      </c>
      <c r="C108" s="47"/>
      <c r="D108" s="47"/>
      <c r="E108" s="47"/>
      <c r="F108" s="47"/>
      <c r="G108" s="47"/>
      <c r="H108" s="47"/>
      <c r="I108" s="47"/>
      <c r="J108" s="47"/>
      <c r="K108" s="47"/>
      <c r="L108" s="63"/>
    </row>
    <row r="109" spans="1:12" ht="27.95" customHeight="1">
      <c r="A109" s="62"/>
      <c r="B109" s="47" t="s">
        <v>282</v>
      </c>
      <c r="C109" s="47"/>
      <c r="D109" s="47"/>
      <c r="E109" s="47"/>
      <c r="F109" s="47"/>
      <c r="G109" s="47"/>
      <c r="H109" s="47"/>
      <c r="I109" s="47"/>
      <c r="J109" s="47"/>
      <c r="K109" s="47"/>
      <c r="L109" s="63"/>
    </row>
    <row r="110" spans="1:12" ht="27.95" customHeight="1">
      <c r="A110" s="62"/>
      <c r="B110" s="47" t="s">
        <v>288</v>
      </c>
      <c r="C110" s="47"/>
      <c r="D110" s="47"/>
      <c r="E110" s="47"/>
      <c r="F110" s="250"/>
      <c r="G110" s="250"/>
      <c r="H110" s="250"/>
      <c r="I110" s="250"/>
      <c r="J110" s="250"/>
      <c r="K110" s="250"/>
      <c r="L110" s="63"/>
    </row>
    <row r="111" spans="1:12" ht="27.95" customHeight="1">
      <c r="A111" s="62"/>
      <c r="B111" s="47" t="s">
        <v>289</v>
      </c>
      <c r="C111" s="47"/>
      <c r="D111" s="47"/>
      <c r="E111" s="47"/>
      <c r="F111" s="47"/>
      <c r="G111" s="47"/>
      <c r="H111" s="47"/>
      <c r="I111" s="47"/>
      <c r="J111" s="47"/>
      <c r="K111" s="47"/>
      <c r="L111" s="63"/>
    </row>
    <row r="112" spans="1:12" ht="27.95" customHeight="1">
      <c r="A112" s="62"/>
      <c r="B112" s="895" t="s">
        <v>290</v>
      </c>
      <c r="C112" s="895"/>
      <c r="D112" s="895"/>
      <c r="E112" s="895"/>
      <c r="F112" s="895"/>
      <c r="G112" s="895"/>
      <c r="H112" s="895"/>
      <c r="I112" s="895"/>
      <c r="J112" s="895"/>
      <c r="K112" s="895"/>
      <c r="L112" s="896"/>
    </row>
    <row r="113" spans="1:12" ht="27.95" customHeight="1">
      <c r="A113" s="62"/>
      <c r="B113" s="318" t="s">
        <v>202</v>
      </c>
      <c r="C113" s="394" t="e">
        <f>D94</f>
        <v>#REF!</v>
      </c>
      <c r="D113" s="285"/>
      <c r="E113" s="285"/>
      <c r="F113" s="285"/>
      <c r="G113" s="285"/>
      <c r="H113" s="285"/>
      <c r="I113" s="318" t="s">
        <v>309</v>
      </c>
      <c r="J113" s="285"/>
      <c r="K113" s="285"/>
      <c r="L113" s="317"/>
    </row>
    <row r="114" spans="1:12" ht="27.95" customHeight="1" thickBot="1">
      <c r="A114" s="76"/>
      <c r="B114" s="747"/>
      <c r="C114" s="747"/>
      <c r="D114" s="747"/>
      <c r="E114" s="747"/>
      <c r="F114" s="747"/>
      <c r="G114" s="747"/>
      <c r="H114" s="747"/>
      <c r="I114" s="747"/>
      <c r="J114" s="747"/>
      <c r="K114" s="747"/>
      <c r="L114" s="748"/>
    </row>
    <row r="115" spans="1:12" ht="27.95" customHeight="1" thickBot="1">
      <c r="A115" s="343"/>
      <c r="B115" s="862"/>
      <c r="C115" s="862"/>
      <c r="D115" s="862"/>
      <c r="E115" s="862"/>
      <c r="F115" s="862"/>
      <c r="G115" s="862"/>
      <c r="H115" s="859"/>
      <c r="I115" s="859"/>
      <c r="J115" s="859"/>
      <c r="K115" s="859"/>
      <c r="L115" s="859"/>
    </row>
    <row r="116" spans="1:12" ht="27.95" customHeight="1">
      <c r="A116" s="140"/>
      <c r="B116" s="141"/>
      <c r="C116" s="141"/>
      <c r="D116" s="141"/>
      <c r="E116" s="141"/>
      <c r="F116" s="141"/>
      <c r="G116" s="141"/>
      <c r="H116" s="141"/>
      <c r="I116" s="150" t="s">
        <v>236</v>
      </c>
      <c r="J116" s="141"/>
      <c r="K116" s="141"/>
      <c r="L116" s="142"/>
    </row>
    <row r="117" spans="1:12" ht="27.95" customHeight="1">
      <c r="A117" s="62"/>
      <c r="B117" s="778" t="s">
        <v>291</v>
      </c>
      <c r="C117" s="778"/>
      <c r="D117" s="778"/>
      <c r="E117" s="778"/>
      <c r="F117" s="778"/>
      <c r="G117" s="778"/>
      <c r="H117" s="778"/>
      <c r="I117" s="778"/>
      <c r="J117" s="778"/>
      <c r="K117" s="778"/>
      <c r="L117" s="779"/>
    </row>
    <row r="118" spans="1:12" ht="27.95" customHeight="1">
      <c r="A118" s="62"/>
      <c r="B118" s="285"/>
      <c r="C118" s="285"/>
      <c r="D118" s="294" t="s">
        <v>238</v>
      </c>
      <c r="E118" s="285"/>
      <c r="F118" s="285"/>
      <c r="G118" s="285"/>
      <c r="H118" s="285"/>
      <c r="I118" s="288" t="s">
        <v>292</v>
      </c>
      <c r="J118" s="289"/>
      <c r="K118" s="395" t="e">
        <f>'PUNJAB 04-22Master'!#REF!</f>
        <v>#REF!</v>
      </c>
      <c r="L118" s="320"/>
    </row>
    <row r="119" spans="1:12" ht="27.95" customHeight="1">
      <c r="A119" s="62"/>
      <c r="B119" s="286"/>
      <c r="C119" s="286" t="s">
        <v>239</v>
      </c>
      <c r="D119" s="47"/>
      <c r="E119" s="286"/>
      <c r="F119" s="286"/>
      <c r="G119" s="286"/>
      <c r="H119" s="286"/>
      <c r="I119" s="287" t="s">
        <v>293</v>
      </c>
      <c r="J119" s="308" t="str">
        <f>'PUNJAB 04-22Master'!F5</f>
        <v>Burgeon IT Services Pvt.Ltd.</v>
      </c>
      <c r="K119" s="290"/>
      <c r="L119" s="321"/>
    </row>
    <row r="120" spans="1:12" ht="27.95" customHeight="1">
      <c r="A120" s="62"/>
      <c r="B120" s="295"/>
      <c r="C120" s="258" t="s">
        <v>240</v>
      </c>
      <c r="D120" s="47"/>
      <c r="E120" s="295"/>
      <c r="F120" s="295"/>
      <c r="G120" s="47"/>
      <c r="H120" s="259"/>
      <c r="I120" s="311" t="str">
        <f>'PUNJAB 04-22Master'!F6</f>
        <v>Siri Mansion LIGB 436 Dr.A S Rao Nagar,Hyderabad</v>
      </c>
      <c r="J120" s="309"/>
      <c r="K120" s="310"/>
      <c r="L120" s="271"/>
    </row>
    <row r="121" spans="1:12" ht="27.95" customHeight="1">
      <c r="A121" s="62"/>
      <c r="B121" s="47"/>
      <c r="C121" s="47"/>
      <c r="D121" s="47"/>
      <c r="E121" s="47"/>
      <c r="F121" s="47"/>
      <c r="G121" s="47"/>
      <c r="H121" s="47"/>
      <c r="I121" s="47"/>
      <c r="J121" s="47"/>
      <c r="K121" s="47"/>
      <c r="L121" s="63"/>
    </row>
    <row r="122" spans="1:12" ht="27.95" customHeight="1">
      <c r="A122" s="62">
        <v>1</v>
      </c>
      <c r="B122" s="291" t="s">
        <v>241</v>
      </c>
      <c r="C122" s="265"/>
      <c r="D122" s="265"/>
      <c r="E122" s="265"/>
      <c r="F122" s="265"/>
      <c r="G122" s="119"/>
      <c r="H122" s="856" t="e">
        <f>'PUNJAB 04-22Master'!#REF!</f>
        <v>#REF!</v>
      </c>
      <c r="I122" s="875"/>
      <c r="J122" s="875"/>
      <c r="K122" s="875"/>
      <c r="L122" s="876"/>
    </row>
    <row r="123" spans="1:12" ht="22.5" customHeight="1">
      <c r="A123" s="62">
        <v>2</v>
      </c>
      <c r="B123" s="897" t="s">
        <v>242</v>
      </c>
      <c r="C123" s="898"/>
      <c r="D123" s="898"/>
      <c r="E123" s="898"/>
      <c r="F123" s="292" t="s">
        <v>243</v>
      </c>
      <c r="G123" s="273"/>
      <c r="H123" s="899" t="e">
        <f>'PUNJAB 04-22Master'!#REF!</f>
        <v>#REF!</v>
      </c>
      <c r="I123" s="900"/>
      <c r="J123" s="900"/>
      <c r="K123" s="900"/>
      <c r="L123" s="901"/>
    </row>
    <row r="124" spans="1:12" ht="9.75" customHeight="1">
      <c r="A124" s="62"/>
      <c r="B124" s="274" t="s">
        <v>244</v>
      </c>
      <c r="C124" s="275"/>
      <c r="D124" s="275"/>
      <c r="E124" s="275"/>
      <c r="F124" s="275" t="s">
        <v>237</v>
      </c>
      <c r="G124" s="276"/>
      <c r="H124" s="902"/>
      <c r="I124" s="903"/>
      <c r="J124" s="903"/>
      <c r="K124" s="903"/>
      <c r="L124" s="904"/>
    </row>
    <row r="125" spans="1:12" ht="22.5" customHeight="1">
      <c r="A125" s="62">
        <v>3</v>
      </c>
      <c r="B125" s="293" t="s">
        <v>245</v>
      </c>
      <c r="C125" s="280"/>
      <c r="D125" s="280"/>
      <c r="E125" s="280"/>
      <c r="F125" s="280"/>
      <c r="G125" s="281"/>
      <c r="H125" s="879" t="e">
        <f>'PUNJAB 04-22Master'!#REF!</f>
        <v>#REF!</v>
      </c>
      <c r="I125" s="880"/>
      <c r="J125" s="880"/>
      <c r="K125" s="880"/>
      <c r="L125" s="881"/>
    </row>
    <row r="126" spans="1:12" ht="20.25" customHeight="1">
      <c r="A126" s="323">
        <v>4</v>
      </c>
      <c r="B126" s="264" t="s">
        <v>246</v>
      </c>
      <c r="C126" s="118"/>
      <c r="D126" s="118"/>
      <c r="E126" s="118"/>
      <c r="F126" s="118"/>
      <c r="G126" s="119"/>
      <c r="H126" s="853" t="e">
        <f>'PUNJAB 04-22Master'!#REF!</f>
        <v>#REF!</v>
      </c>
      <c r="I126" s="867"/>
      <c r="J126" s="867"/>
      <c r="K126" s="867"/>
      <c r="L126" s="861"/>
    </row>
    <row r="127" spans="1:12">
      <c r="A127" s="323">
        <v>5</v>
      </c>
      <c r="B127" s="882" t="s">
        <v>294</v>
      </c>
      <c r="C127" s="883"/>
      <c r="D127" s="883"/>
      <c r="E127" s="883"/>
      <c r="F127" s="883"/>
      <c r="G127" s="119"/>
      <c r="H127" s="874" t="s">
        <v>372</v>
      </c>
      <c r="I127" s="875"/>
      <c r="J127" s="875"/>
      <c r="K127" s="875"/>
      <c r="L127" s="876"/>
    </row>
    <row r="128" spans="1:12">
      <c r="A128" s="323">
        <v>6</v>
      </c>
      <c r="B128" s="334" t="s">
        <v>247</v>
      </c>
      <c r="C128" s="280" t="s">
        <v>248</v>
      </c>
      <c r="D128" s="280"/>
      <c r="E128" s="280"/>
      <c r="F128" s="280"/>
      <c r="G128" s="281"/>
      <c r="H128" s="293"/>
      <c r="I128" s="280"/>
      <c r="J128" s="280"/>
      <c r="K128" s="280"/>
      <c r="L128" s="322"/>
    </row>
    <row r="129" spans="1:12">
      <c r="A129" s="62"/>
      <c r="B129" s="334" t="s">
        <v>249</v>
      </c>
      <c r="C129" s="280" t="s">
        <v>250</v>
      </c>
      <c r="D129" s="280"/>
      <c r="E129" s="280"/>
      <c r="F129" s="280"/>
      <c r="G129" s="281"/>
      <c r="H129" s="293"/>
      <c r="I129" s="333"/>
      <c r="J129" s="333"/>
      <c r="K129" s="280"/>
      <c r="L129" s="322"/>
    </row>
    <row r="130" spans="1:12">
      <c r="A130" s="323">
        <v>7</v>
      </c>
      <c r="B130" s="879" t="s">
        <v>251</v>
      </c>
      <c r="C130" s="880"/>
      <c r="D130" s="880"/>
      <c r="E130" s="880"/>
      <c r="F130" s="880"/>
      <c r="G130" s="887"/>
      <c r="H130" s="297" t="s">
        <v>252</v>
      </c>
      <c r="I130" s="298"/>
      <c r="J130" s="299"/>
      <c r="K130" s="297" t="s">
        <v>253</v>
      </c>
      <c r="L130" s="324"/>
    </row>
    <row r="131" spans="1:12">
      <c r="A131" s="323">
        <v>8</v>
      </c>
      <c r="B131" s="879" t="s">
        <v>295</v>
      </c>
      <c r="C131" s="880"/>
      <c r="D131" s="880"/>
      <c r="E131" s="880"/>
      <c r="F131" s="880"/>
      <c r="G131" s="887"/>
      <c r="H131" s="297" t="s">
        <v>252</v>
      </c>
      <c r="I131" s="298"/>
      <c r="J131" s="299"/>
      <c r="K131" s="297" t="s">
        <v>253</v>
      </c>
      <c r="L131" s="324"/>
    </row>
    <row r="132" spans="1:12">
      <c r="A132" s="62"/>
      <c r="B132" s="264"/>
      <c r="C132" s="301"/>
      <c r="D132" s="301"/>
      <c r="E132" s="301"/>
      <c r="F132" s="301" t="s">
        <v>254</v>
      </c>
      <c r="G132" s="301"/>
      <c r="H132" s="301"/>
      <c r="I132" s="301"/>
      <c r="J132" s="301"/>
      <c r="K132" s="301"/>
      <c r="L132" s="325"/>
    </row>
    <row r="133" spans="1:12">
      <c r="A133" s="323">
        <v>9</v>
      </c>
      <c r="B133" s="334" t="s">
        <v>255</v>
      </c>
      <c r="C133" s="280" t="s">
        <v>256</v>
      </c>
      <c r="D133" s="280"/>
      <c r="E133" s="280"/>
      <c r="F133" s="280"/>
      <c r="G133" s="281"/>
      <c r="H133" s="293"/>
      <c r="I133" s="280"/>
      <c r="J133" s="280"/>
      <c r="K133" s="280"/>
      <c r="L133" s="322"/>
    </row>
    <row r="134" spans="1:12">
      <c r="A134" s="157"/>
      <c r="B134" s="334" t="s">
        <v>257</v>
      </c>
      <c r="C134" s="280" t="s">
        <v>258</v>
      </c>
      <c r="D134" s="280"/>
      <c r="E134" s="280"/>
      <c r="F134" s="280"/>
      <c r="G134" s="281"/>
      <c r="H134" s="293"/>
      <c r="I134" s="280"/>
      <c r="J134" s="280"/>
      <c r="K134" s="280"/>
      <c r="L134" s="322"/>
    </row>
    <row r="135" spans="1:12">
      <c r="A135" s="157"/>
      <c r="B135" s="334" t="s">
        <v>296</v>
      </c>
      <c r="C135" s="280" t="s">
        <v>297</v>
      </c>
      <c r="D135" s="280"/>
      <c r="E135" s="280"/>
      <c r="F135" s="280"/>
      <c r="G135" s="281"/>
      <c r="H135" s="293"/>
      <c r="I135" s="280"/>
      <c r="J135" s="280"/>
      <c r="K135" s="280"/>
      <c r="L135" s="322"/>
    </row>
    <row r="136" spans="1:12">
      <c r="A136" s="157"/>
      <c r="B136" s="334" t="s">
        <v>260</v>
      </c>
      <c r="C136" s="280" t="s">
        <v>261</v>
      </c>
      <c r="D136" s="280"/>
      <c r="E136" s="280"/>
      <c r="F136" s="280"/>
      <c r="G136" s="281"/>
      <c r="H136" s="293"/>
      <c r="I136" s="280"/>
      <c r="J136" s="280"/>
      <c r="K136" s="280"/>
      <c r="L136" s="322"/>
    </row>
    <row r="137" spans="1:12">
      <c r="A137" s="157"/>
      <c r="B137" s="334" t="s">
        <v>262</v>
      </c>
      <c r="C137" s="280" t="s">
        <v>263</v>
      </c>
      <c r="D137" s="280"/>
      <c r="E137" s="280"/>
      <c r="F137" s="280"/>
      <c r="G137" s="281"/>
      <c r="H137" s="293"/>
      <c r="I137" s="280"/>
      <c r="J137" s="280"/>
      <c r="K137" s="280"/>
      <c r="L137" s="322"/>
    </row>
    <row r="138" spans="1:12">
      <c r="A138" s="157">
        <v>10</v>
      </c>
      <c r="B138" s="334" t="s">
        <v>255</v>
      </c>
      <c r="C138" s="280" t="s">
        <v>298</v>
      </c>
      <c r="D138" s="280"/>
      <c r="E138" s="280"/>
      <c r="F138" s="280"/>
      <c r="G138" s="281"/>
      <c r="H138" s="297" t="s">
        <v>252</v>
      </c>
      <c r="I138" s="298"/>
      <c r="J138" s="299"/>
      <c r="K138" s="297" t="s">
        <v>253</v>
      </c>
      <c r="L138" s="324"/>
    </row>
    <row r="139" spans="1:12">
      <c r="A139" s="157"/>
      <c r="B139" s="334" t="s">
        <v>257</v>
      </c>
      <c r="C139" s="280" t="s">
        <v>299</v>
      </c>
      <c r="D139" s="280"/>
      <c r="E139" s="280"/>
      <c r="F139" s="280"/>
      <c r="G139" s="281"/>
      <c r="H139" s="293"/>
      <c r="I139" s="280"/>
      <c r="J139" s="280"/>
      <c r="K139" s="280"/>
      <c r="L139" s="322"/>
    </row>
    <row r="140" spans="1:12">
      <c r="A140" s="157"/>
      <c r="B140" s="334" t="s">
        <v>296</v>
      </c>
      <c r="C140" s="280" t="s">
        <v>264</v>
      </c>
      <c r="D140" s="280"/>
      <c r="E140" s="280"/>
      <c r="F140" s="280"/>
      <c r="G140" s="281"/>
      <c r="H140" s="293"/>
      <c r="I140" s="280"/>
      <c r="J140" s="280"/>
      <c r="K140" s="280"/>
      <c r="L140" s="322"/>
    </row>
    <row r="141" spans="1:12">
      <c r="A141" s="157"/>
      <c r="B141" s="334" t="s">
        <v>260</v>
      </c>
      <c r="C141" s="280" t="s">
        <v>300</v>
      </c>
      <c r="D141" s="280"/>
      <c r="E141" s="280"/>
      <c r="F141" s="280"/>
      <c r="G141" s="281"/>
      <c r="H141" s="293"/>
      <c r="I141" s="280"/>
      <c r="J141" s="280"/>
      <c r="K141" s="280"/>
      <c r="L141" s="322"/>
    </row>
    <row r="142" spans="1:12">
      <c r="A142" s="62"/>
      <c r="B142" s="264"/>
      <c r="C142" s="301"/>
      <c r="D142" s="301"/>
      <c r="E142" s="301" t="s">
        <v>301</v>
      </c>
      <c r="F142" s="301"/>
      <c r="G142" s="301"/>
      <c r="H142" s="301"/>
      <c r="I142" s="301"/>
      <c r="J142" s="301"/>
      <c r="K142" s="301"/>
      <c r="L142" s="325"/>
    </row>
    <row r="143" spans="1:12">
      <c r="A143" s="62">
        <v>11</v>
      </c>
      <c r="B143" s="334" t="s">
        <v>255</v>
      </c>
      <c r="C143" s="280" t="s">
        <v>265</v>
      </c>
      <c r="D143" s="280"/>
      <c r="E143" s="280"/>
      <c r="F143" s="280"/>
      <c r="G143" s="281"/>
      <c r="H143" s="293"/>
      <c r="I143" s="280"/>
      <c r="J143" s="280"/>
      <c r="K143" s="280"/>
      <c r="L143" s="322"/>
    </row>
    <row r="144" spans="1:12">
      <c r="A144" s="62"/>
      <c r="B144" s="334" t="s">
        <v>257</v>
      </c>
      <c r="C144" s="280" t="s">
        <v>266</v>
      </c>
      <c r="D144" s="280"/>
      <c r="E144" s="280"/>
      <c r="F144" s="280"/>
      <c r="G144" s="281"/>
      <c r="H144" s="293"/>
      <c r="I144" s="280"/>
      <c r="J144" s="280"/>
      <c r="K144" s="280"/>
      <c r="L144" s="322"/>
    </row>
    <row r="145" spans="1:12">
      <c r="A145" s="62"/>
      <c r="B145" s="334" t="s">
        <v>259</v>
      </c>
      <c r="C145" s="280" t="s">
        <v>267</v>
      </c>
      <c r="D145" s="280"/>
      <c r="E145" s="280"/>
      <c r="F145" s="280"/>
      <c r="G145" s="281"/>
      <c r="H145" s="293"/>
      <c r="I145" s="280"/>
      <c r="J145" s="280"/>
      <c r="K145" s="280"/>
      <c r="L145" s="322"/>
    </row>
    <row r="146" spans="1:12">
      <c r="A146" s="62"/>
      <c r="B146" s="251"/>
      <c r="C146" s="344"/>
      <c r="D146" s="344"/>
      <c r="E146" s="344"/>
      <c r="F146" s="302" t="s">
        <v>268</v>
      </c>
      <c r="G146" s="344"/>
      <c r="H146" s="347"/>
      <c r="I146" s="347"/>
      <c r="J146" s="347"/>
      <c r="K146" s="347"/>
      <c r="L146" s="254"/>
    </row>
    <row r="147" spans="1:12">
      <c r="A147" s="62"/>
      <c r="B147" s="314" t="s">
        <v>269</v>
      </c>
      <c r="C147" s="313" t="s">
        <v>270</v>
      </c>
      <c r="D147" s="344"/>
      <c r="E147" s="344"/>
      <c r="F147" s="344"/>
      <c r="G147" s="344"/>
      <c r="H147" s="347"/>
      <c r="I147" s="347"/>
      <c r="J147" s="345"/>
      <c r="K147" s="347"/>
      <c r="L147" s="254"/>
    </row>
    <row r="148" spans="1:12">
      <c r="A148" s="62"/>
      <c r="B148" s="314" t="s">
        <v>271</v>
      </c>
      <c r="C148" s="312" t="s">
        <v>272</v>
      </c>
      <c r="D148" s="347"/>
      <c r="E148" s="345"/>
      <c r="F148" s="47"/>
      <c r="G148" s="888"/>
      <c r="H148" s="888"/>
      <c r="I148" s="340"/>
      <c r="J148" s="253"/>
      <c r="K148" s="888"/>
      <c r="L148" s="889"/>
    </row>
    <row r="149" spans="1:12">
      <c r="A149" s="62"/>
      <c r="B149" s="315" t="s">
        <v>273</v>
      </c>
      <c r="C149" s="890" t="s">
        <v>302</v>
      </c>
      <c r="D149" s="890"/>
      <c r="E149" s="890"/>
      <c r="F149" s="890"/>
      <c r="G149" s="890"/>
      <c r="H149" s="890"/>
      <c r="I149" s="890"/>
      <c r="J149" s="890"/>
      <c r="K149" s="890"/>
      <c r="L149" s="891"/>
    </row>
    <row r="150" spans="1:12">
      <c r="A150" s="62"/>
      <c r="B150" s="314" t="s">
        <v>274</v>
      </c>
      <c r="C150" s="313" t="s">
        <v>275</v>
      </c>
      <c r="D150" s="305"/>
      <c r="E150" s="305"/>
      <c r="F150" s="305"/>
      <c r="G150" s="305"/>
      <c r="H150" s="305"/>
      <c r="I150" s="305"/>
      <c r="J150" s="305"/>
      <c r="K150" s="305"/>
      <c r="L150" s="326"/>
    </row>
    <row r="151" spans="1:12">
      <c r="A151" s="62"/>
      <c r="B151" s="251"/>
      <c r="C151" s="250" t="s">
        <v>303</v>
      </c>
      <c r="D151" s="396" t="e">
        <f>'PUNJAB 04-22Master'!#REF!</f>
        <v>#REF!</v>
      </c>
      <c r="E151" s="229"/>
      <c r="F151" s="229"/>
      <c r="G151" s="229"/>
      <c r="H151" s="47"/>
      <c r="I151" s="47"/>
      <c r="J151" s="47"/>
      <c r="K151" s="47"/>
      <c r="L151" s="63"/>
    </row>
    <row r="152" spans="1:12">
      <c r="A152" s="62"/>
      <c r="B152" s="47"/>
      <c r="C152" s="250" t="s">
        <v>276</v>
      </c>
      <c r="D152" s="47" t="s">
        <v>364</v>
      </c>
      <c r="E152" s="47"/>
      <c r="F152" s="47"/>
      <c r="G152" s="47"/>
      <c r="H152" s="47"/>
      <c r="I152" s="47"/>
      <c r="J152" s="47" t="s">
        <v>304</v>
      </c>
      <c r="K152" s="47"/>
      <c r="L152" s="63"/>
    </row>
    <row r="153" spans="1:12">
      <c r="A153" s="62"/>
      <c r="B153" s="47"/>
      <c r="C153" s="47"/>
      <c r="D153" s="47"/>
      <c r="E153" s="47"/>
      <c r="F153" s="47"/>
      <c r="G153" s="47"/>
      <c r="H153" s="47"/>
      <c r="I153" s="47"/>
      <c r="J153" s="47"/>
      <c r="K153" s="47"/>
      <c r="L153" s="63"/>
    </row>
    <row r="154" spans="1:12">
      <c r="A154" s="62"/>
      <c r="B154" s="47"/>
      <c r="C154" s="47"/>
      <c r="D154" s="47"/>
      <c r="E154" s="47"/>
      <c r="F154" s="303" t="s">
        <v>277</v>
      </c>
      <c r="G154" s="47"/>
      <c r="H154" s="47"/>
      <c r="I154" s="47"/>
      <c r="J154" s="47"/>
      <c r="K154" s="47"/>
      <c r="L154" s="63"/>
    </row>
    <row r="155" spans="1:12">
      <c r="A155" s="62" t="s">
        <v>305</v>
      </c>
      <c r="B155" s="47" t="s">
        <v>278</v>
      </c>
      <c r="C155" s="47"/>
      <c r="D155" s="47"/>
      <c r="E155" s="306" t="e">
        <f>'PUNJAB 04-22Master'!#REF!</f>
        <v>#REF!</v>
      </c>
      <c r="F155" s="47"/>
      <c r="G155" s="47"/>
      <c r="H155" s="892" t="s">
        <v>279</v>
      </c>
      <c r="I155" s="892"/>
      <c r="J155" s="307" t="e">
        <f>'PUNJAB 04-22Master'!#REF!</f>
        <v>#REF!</v>
      </c>
      <c r="K155" s="47" t="s">
        <v>280</v>
      </c>
      <c r="L155" s="63"/>
    </row>
    <row r="156" spans="1:12">
      <c r="A156" s="62"/>
      <c r="B156" s="893" t="e">
        <f>'PUNJAB 04-22Master'!#REF!</f>
        <v>#REF!</v>
      </c>
      <c r="C156" s="894"/>
      <c r="D156" s="304"/>
      <c r="E156" s="304"/>
      <c r="F156" s="304"/>
      <c r="G156" s="304"/>
      <c r="H156" s="304"/>
      <c r="I156" s="304"/>
      <c r="J156" s="304"/>
      <c r="K156" s="304"/>
      <c r="L156" s="327"/>
    </row>
    <row r="157" spans="1:12">
      <c r="A157" s="62" t="s">
        <v>307</v>
      </c>
      <c r="B157" s="304" t="s">
        <v>281</v>
      </c>
      <c r="C157" s="304"/>
      <c r="D157" s="304"/>
      <c r="E157" s="304"/>
      <c r="F157" s="304"/>
      <c r="G157" s="304"/>
      <c r="H157" s="304"/>
      <c r="I157" s="304"/>
      <c r="J157" s="304"/>
      <c r="K157" s="304"/>
      <c r="L157" s="327"/>
    </row>
    <row r="158" spans="1:12">
      <c r="A158" s="62"/>
      <c r="B158" s="304" t="s">
        <v>306</v>
      </c>
      <c r="C158" s="304"/>
      <c r="D158" s="304"/>
      <c r="E158" s="304"/>
      <c r="F158" s="304"/>
      <c r="G158" s="304"/>
      <c r="H158" s="304"/>
      <c r="I158" s="304"/>
      <c r="J158" s="304"/>
      <c r="K158" s="304"/>
      <c r="L158" s="327"/>
    </row>
    <row r="159" spans="1:12">
      <c r="A159" s="323"/>
      <c r="B159" s="47" t="s">
        <v>282</v>
      </c>
      <c r="C159" s="47"/>
      <c r="D159" s="47"/>
      <c r="E159" s="47"/>
      <c r="F159" s="47"/>
      <c r="G159" s="47"/>
      <c r="H159" s="47"/>
      <c r="I159" s="47"/>
      <c r="J159" s="47"/>
      <c r="K159" s="47"/>
      <c r="L159" s="63"/>
    </row>
    <row r="160" spans="1:12" ht="18.75">
      <c r="A160" s="62"/>
      <c r="B160" s="229" t="s">
        <v>283</v>
      </c>
      <c r="C160" s="47"/>
      <c r="D160" s="47"/>
      <c r="E160" s="47"/>
      <c r="F160" s="248"/>
      <c r="G160" s="47"/>
      <c r="H160" s="47"/>
      <c r="I160" s="47"/>
      <c r="J160" s="47"/>
      <c r="K160" s="47"/>
      <c r="L160" s="63"/>
    </row>
    <row r="161" spans="1:12">
      <c r="A161" s="62"/>
      <c r="B161" s="229" t="s">
        <v>284</v>
      </c>
      <c r="C161" s="47"/>
      <c r="D161" s="47"/>
      <c r="E161" s="47"/>
      <c r="F161" s="47"/>
      <c r="G161" s="47"/>
      <c r="H161" s="47"/>
      <c r="I161" s="47"/>
      <c r="J161" s="47"/>
      <c r="K161" s="47"/>
      <c r="L161" s="63"/>
    </row>
    <row r="162" spans="1:12" ht="27.95" customHeight="1">
      <c r="A162" s="62"/>
      <c r="B162" s="47" t="s">
        <v>285</v>
      </c>
      <c r="C162" s="47"/>
      <c r="D162" s="47"/>
      <c r="E162" s="47"/>
      <c r="F162" s="47"/>
      <c r="G162" s="47"/>
      <c r="H162" s="47"/>
      <c r="I162" s="47"/>
      <c r="J162" s="47"/>
      <c r="K162" s="47"/>
      <c r="L162" s="63"/>
    </row>
    <row r="163" spans="1:12" ht="27.95" customHeight="1">
      <c r="A163" s="62"/>
      <c r="B163" s="47" t="s">
        <v>286</v>
      </c>
      <c r="C163" s="47"/>
      <c r="D163" s="47"/>
      <c r="E163" s="47"/>
      <c r="F163" s="47"/>
      <c r="G163" s="47"/>
      <c r="H163" s="47"/>
      <c r="I163" s="47"/>
      <c r="J163" s="47"/>
      <c r="K163" s="47"/>
      <c r="L163" s="63"/>
    </row>
    <row r="164" spans="1:12" ht="27.95" customHeight="1">
      <c r="A164" s="62" t="s">
        <v>296</v>
      </c>
      <c r="B164" s="47" t="s">
        <v>287</v>
      </c>
      <c r="C164" s="47"/>
      <c r="D164" s="47"/>
      <c r="E164" s="47"/>
      <c r="F164" s="47"/>
      <c r="G164" s="47"/>
      <c r="H164" s="47"/>
      <c r="I164" s="47"/>
      <c r="J164" s="47"/>
      <c r="K164" s="47"/>
      <c r="L164" s="63"/>
    </row>
    <row r="165" spans="1:12" ht="27.95" customHeight="1">
      <c r="A165" s="62"/>
      <c r="B165" s="316" t="s">
        <v>308</v>
      </c>
      <c r="C165" s="47"/>
      <c r="D165" s="47"/>
      <c r="E165" s="47"/>
      <c r="F165" s="47"/>
      <c r="G165" s="47"/>
      <c r="H165" s="47"/>
      <c r="I165" s="47"/>
      <c r="J165" s="47"/>
      <c r="K165" s="47"/>
      <c r="L165" s="63"/>
    </row>
    <row r="166" spans="1:12" ht="27.95" customHeight="1">
      <c r="A166" s="62"/>
      <c r="B166" s="47" t="s">
        <v>282</v>
      </c>
      <c r="C166" s="47"/>
      <c r="D166" s="47"/>
      <c r="E166" s="47"/>
      <c r="F166" s="47"/>
      <c r="G166" s="47"/>
      <c r="H166" s="47"/>
      <c r="I166" s="47"/>
      <c r="J166" s="47"/>
      <c r="K166" s="47"/>
      <c r="L166" s="63"/>
    </row>
    <row r="167" spans="1:12" ht="27.95" customHeight="1">
      <c r="A167" s="62"/>
      <c r="B167" s="47" t="s">
        <v>288</v>
      </c>
      <c r="C167" s="47"/>
      <c r="D167" s="47"/>
      <c r="E167" s="47"/>
      <c r="F167" s="250"/>
      <c r="G167" s="250"/>
      <c r="H167" s="250"/>
      <c r="I167" s="250"/>
      <c r="J167" s="250"/>
      <c r="K167" s="250"/>
      <c r="L167" s="63"/>
    </row>
    <row r="168" spans="1:12" ht="27.95" customHeight="1">
      <c r="A168" s="62"/>
      <c r="B168" s="47" t="s">
        <v>289</v>
      </c>
      <c r="C168" s="47"/>
      <c r="D168" s="47"/>
      <c r="E168" s="47"/>
      <c r="F168" s="47"/>
      <c r="G168" s="47"/>
      <c r="H168" s="47"/>
      <c r="I168" s="47"/>
      <c r="J168" s="47"/>
      <c r="K168" s="47"/>
      <c r="L168" s="63"/>
    </row>
    <row r="169" spans="1:12" ht="27.95" customHeight="1">
      <c r="A169" s="62"/>
      <c r="B169" s="895" t="s">
        <v>290</v>
      </c>
      <c r="C169" s="895"/>
      <c r="D169" s="895"/>
      <c r="E169" s="895"/>
      <c r="F169" s="895"/>
      <c r="G169" s="895"/>
      <c r="H169" s="895"/>
      <c r="I169" s="895"/>
      <c r="J169" s="895"/>
      <c r="K169" s="895"/>
      <c r="L169" s="896"/>
    </row>
    <row r="170" spans="1:12" ht="27.95" customHeight="1">
      <c r="A170" s="62"/>
      <c r="B170" s="318" t="s">
        <v>202</v>
      </c>
      <c r="C170" s="394" t="e">
        <f>D151</f>
        <v>#REF!</v>
      </c>
      <c r="D170" s="285"/>
      <c r="E170" s="285"/>
      <c r="F170" s="285"/>
      <c r="G170" s="285"/>
      <c r="H170" s="285"/>
      <c r="I170" s="318" t="s">
        <v>309</v>
      </c>
      <c r="J170" s="285"/>
      <c r="K170" s="285"/>
      <c r="L170" s="317"/>
    </row>
    <row r="171" spans="1:12" ht="27.95" customHeight="1" thickBot="1">
      <c r="A171" s="76"/>
      <c r="B171" s="747"/>
      <c r="C171" s="747"/>
      <c r="D171" s="747"/>
      <c r="E171" s="747"/>
      <c r="F171" s="747"/>
      <c r="G171" s="747"/>
      <c r="H171" s="747"/>
      <c r="I171" s="747"/>
      <c r="J171" s="747"/>
      <c r="K171" s="747"/>
      <c r="L171" s="748"/>
    </row>
    <row r="172" spans="1:12" ht="27.95" customHeight="1">
      <c r="A172" s="140"/>
      <c r="B172" s="141"/>
      <c r="C172" s="141"/>
      <c r="D172" s="141"/>
      <c r="E172" s="141"/>
      <c r="F172" s="141"/>
      <c r="G172" s="141"/>
      <c r="H172" s="141"/>
      <c r="I172" s="150" t="s">
        <v>236</v>
      </c>
      <c r="J172" s="141"/>
      <c r="K172" s="141"/>
      <c r="L172" s="142"/>
    </row>
    <row r="173" spans="1:12" ht="27.95" customHeight="1">
      <c r="A173" s="62"/>
      <c r="B173" s="778" t="s">
        <v>291</v>
      </c>
      <c r="C173" s="778"/>
      <c r="D173" s="778"/>
      <c r="E173" s="778"/>
      <c r="F173" s="778"/>
      <c r="G173" s="778"/>
      <c r="H173" s="778"/>
      <c r="I173" s="778"/>
      <c r="J173" s="778"/>
      <c r="K173" s="778"/>
      <c r="L173" s="779"/>
    </row>
    <row r="174" spans="1:12" ht="27.95" customHeight="1">
      <c r="A174" s="62"/>
      <c r="B174" s="285"/>
      <c r="C174" s="285"/>
      <c r="D174" s="294" t="s">
        <v>238</v>
      </c>
      <c r="E174" s="285"/>
      <c r="F174" s="285"/>
      <c r="G174" s="285"/>
      <c r="H174" s="285"/>
      <c r="I174" s="288" t="s">
        <v>292</v>
      </c>
      <c r="J174" s="289"/>
      <c r="K174" s="395" t="e">
        <f>'PUNJAB 04-22Master'!#REF!</f>
        <v>#REF!</v>
      </c>
      <c r="L174" s="320"/>
    </row>
    <row r="175" spans="1:12" ht="27.95" customHeight="1">
      <c r="A175" s="62"/>
      <c r="B175" s="286"/>
      <c r="C175" s="286" t="s">
        <v>239</v>
      </c>
      <c r="D175" s="47"/>
      <c r="E175" s="286"/>
      <c r="F175" s="286"/>
      <c r="G175" s="286"/>
      <c r="H175" s="286"/>
      <c r="I175" s="287" t="s">
        <v>293</v>
      </c>
      <c r="J175" s="397" t="str">
        <f>'PUNJAB 04-22Master'!F5</f>
        <v>Burgeon IT Services Pvt.Ltd.</v>
      </c>
      <c r="K175" s="290"/>
      <c r="L175" s="321"/>
    </row>
    <row r="176" spans="1:12" ht="27.95" customHeight="1">
      <c r="A176" s="62"/>
      <c r="B176" s="295"/>
      <c r="C176" s="258" t="s">
        <v>240</v>
      </c>
      <c r="D176" s="47"/>
      <c r="E176" s="295"/>
      <c r="F176" s="295"/>
      <c r="G176" s="47"/>
      <c r="H176" s="259"/>
      <c r="I176" s="311" t="str">
        <f>'PUNJAB 04-22Master'!F6</f>
        <v>Siri Mansion LIGB 436 Dr.A S Rao Nagar,Hyderabad</v>
      </c>
      <c r="J176" s="309"/>
      <c r="K176" s="310"/>
      <c r="L176" s="271"/>
    </row>
    <row r="177" spans="1:12" ht="15.75" customHeight="1">
      <c r="A177" s="62"/>
      <c r="B177" s="47"/>
      <c r="C177" s="47"/>
      <c r="D177" s="47"/>
      <c r="E177" s="47"/>
      <c r="F177" s="47"/>
      <c r="G177" s="47"/>
      <c r="H177" s="47"/>
      <c r="I177" s="47"/>
      <c r="J177" s="47"/>
      <c r="K177" s="47"/>
      <c r="L177" s="63"/>
    </row>
    <row r="178" spans="1:12" ht="27" customHeight="1">
      <c r="A178" s="62">
        <v>1</v>
      </c>
      <c r="B178" s="291" t="s">
        <v>241</v>
      </c>
      <c r="C178" s="265"/>
      <c r="D178" s="265"/>
      <c r="E178" s="265"/>
      <c r="F178" s="265"/>
      <c r="G178" s="119"/>
      <c r="H178" s="856" t="e">
        <f>'PUNJAB 04-22Master'!#REF!</f>
        <v>#REF!</v>
      </c>
      <c r="I178" s="875"/>
      <c r="J178" s="875"/>
      <c r="K178" s="875"/>
      <c r="L178" s="876"/>
    </row>
    <row r="179" spans="1:12" ht="17.25" customHeight="1">
      <c r="A179" s="62">
        <v>2</v>
      </c>
      <c r="B179" s="897" t="s">
        <v>242</v>
      </c>
      <c r="C179" s="898"/>
      <c r="D179" s="898"/>
      <c r="E179" s="898"/>
      <c r="F179" s="292" t="s">
        <v>243</v>
      </c>
      <c r="G179" s="273"/>
      <c r="H179" s="899" t="e">
        <f>'PUNJAB 04-22Master'!#REF!</f>
        <v>#REF!</v>
      </c>
      <c r="I179" s="900"/>
      <c r="J179" s="900"/>
      <c r="K179" s="900"/>
      <c r="L179" s="901"/>
    </row>
    <row r="180" spans="1:12" ht="11.25" customHeight="1">
      <c r="A180" s="62"/>
      <c r="B180" s="274" t="s">
        <v>244</v>
      </c>
      <c r="C180" s="275"/>
      <c r="D180" s="275"/>
      <c r="E180" s="275"/>
      <c r="F180" s="275" t="s">
        <v>237</v>
      </c>
      <c r="G180" s="276"/>
      <c r="H180" s="902"/>
      <c r="I180" s="903"/>
      <c r="J180" s="903"/>
      <c r="K180" s="903"/>
      <c r="L180" s="904"/>
    </row>
    <row r="181" spans="1:12">
      <c r="A181" s="62">
        <v>3</v>
      </c>
      <c r="B181" s="293" t="s">
        <v>245</v>
      </c>
      <c r="C181" s="280"/>
      <c r="D181" s="280"/>
      <c r="E181" s="280"/>
      <c r="F181" s="280"/>
      <c r="G181" s="281"/>
      <c r="H181" s="879" t="e">
        <f>'PUNJAB 04-22Master'!#REF!</f>
        <v>#REF!</v>
      </c>
      <c r="I181" s="880"/>
      <c r="J181" s="880"/>
      <c r="K181" s="880"/>
      <c r="L181" s="881"/>
    </row>
    <row r="182" spans="1:12">
      <c r="A182" s="323">
        <v>4</v>
      </c>
      <c r="B182" s="264" t="s">
        <v>246</v>
      </c>
      <c r="C182" s="118"/>
      <c r="D182" s="118"/>
      <c r="E182" s="118"/>
      <c r="F182" s="118"/>
      <c r="G182" s="119"/>
      <c r="H182" s="853" t="e">
        <f>'PUNJAB 04-22Master'!#REF!</f>
        <v>#REF!</v>
      </c>
      <c r="I182" s="867"/>
      <c r="J182" s="867"/>
      <c r="K182" s="867"/>
      <c r="L182" s="861"/>
    </row>
    <row r="183" spans="1:12">
      <c r="A183" s="323">
        <v>5</v>
      </c>
      <c r="B183" s="882" t="s">
        <v>294</v>
      </c>
      <c r="C183" s="883"/>
      <c r="D183" s="883"/>
      <c r="E183" s="883"/>
      <c r="F183" s="883"/>
      <c r="G183" s="119"/>
      <c r="H183" s="874" t="s">
        <v>372</v>
      </c>
      <c r="I183" s="875"/>
      <c r="J183" s="875"/>
      <c r="K183" s="875"/>
      <c r="L183" s="876"/>
    </row>
    <row r="184" spans="1:12">
      <c r="A184" s="323">
        <v>6</v>
      </c>
      <c r="B184" s="334" t="s">
        <v>247</v>
      </c>
      <c r="C184" s="280" t="s">
        <v>248</v>
      </c>
      <c r="D184" s="280"/>
      <c r="E184" s="280"/>
      <c r="F184" s="280"/>
      <c r="G184" s="281"/>
      <c r="H184" s="293"/>
      <c r="I184" s="280"/>
      <c r="J184" s="280"/>
      <c r="K184" s="280"/>
      <c r="L184" s="322"/>
    </row>
    <row r="185" spans="1:12">
      <c r="A185" s="62"/>
      <c r="B185" s="334" t="s">
        <v>249</v>
      </c>
      <c r="C185" s="280" t="s">
        <v>250</v>
      </c>
      <c r="D185" s="280"/>
      <c r="E185" s="280"/>
      <c r="F185" s="280"/>
      <c r="G185" s="281"/>
      <c r="H185" s="293"/>
      <c r="I185" s="333"/>
      <c r="J185" s="333"/>
      <c r="K185" s="280"/>
      <c r="L185" s="322"/>
    </row>
    <row r="186" spans="1:12">
      <c r="A186" s="323">
        <v>7</v>
      </c>
      <c r="B186" s="879" t="s">
        <v>251</v>
      </c>
      <c r="C186" s="880"/>
      <c r="D186" s="880"/>
      <c r="E186" s="880"/>
      <c r="F186" s="880"/>
      <c r="G186" s="887"/>
      <c r="H186" s="297" t="s">
        <v>252</v>
      </c>
      <c r="I186" s="298"/>
      <c r="J186" s="299"/>
      <c r="K186" s="297" t="s">
        <v>253</v>
      </c>
      <c r="L186" s="324"/>
    </row>
    <row r="187" spans="1:12">
      <c r="A187" s="323">
        <v>8</v>
      </c>
      <c r="B187" s="879" t="s">
        <v>295</v>
      </c>
      <c r="C187" s="880"/>
      <c r="D187" s="880"/>
      <c r="E187" s="880"/>
      <c r="F187" s="880"/>
      <c r="G187" s="887"/>
      <c r="H187" s="297" t="s">
        <v>252</v>
      </c>
      <c r="I187" s="298"/>
      <c r="J187" s="299"/>
      <c r="K187" s="297" t="s">
        <v>253</v>
      </c>
      <c r="L187" s="324"/>
    </row>
    <row r="188" spans="1:12">
      <c r="A188" s="62"/>
      <c r="B188" s="264"/>
      <c r="C188" s="301"/>
      <c r="D188" s="301"/>
      <c r="E188" s="301"/>
      <c r="F188" s="301" t="s">
        <v>254</v>
      </c>
      <c r="G188" s="301"/>
      <c r="H188" s="301"/>
      <c r="I188" s="301"/>
      <c r="J188" s="301"/>
      <c r="K188" s="301"/>
      <c r="L188" s="325"/>
    </row>
    <row r="189" spans="1:12">
      <c r="A189" s="323">
        <v>9</v>
      </c>
      <c r="B189" s="334" t="s">
        <v>255</v>
      </c>
      <c r="C189" s="280" t="s">
        <v>256</v>
      </c>
      <c r="D189" s="280"/>
      <c r="E189" s="280"/>
      <c r="F189" s="280"/>
      <c r="G189" s="281"/>
      <c r="H189" s="293"/>
      <c r="I189" s="280"/>
      <c r="J189" s="280"/>
      <c r="K189" s="280"/>
      <c r="L189" s="322"/>
    </row>
    <row r="190" spans="1:12">
      <c r="A190" s="157"/>
      <c r="B190" s="334" t="s">
        <v>257</v>
      </c>
      <c r="C190" s="280" t="s">
        <v>258</v>
      </c>
      <c r="D190" s="280"/>
      <c r="E190" s="280"/>
      <c r="F190" s="280"/>
      <c r="G190" s="281"/>
      <c r="H190" s="293"/>
      <c r="I190" s="280"/>
      <c r="J190" s="280"/>
      <c r="K190" s="280"/>
      <c r="L190" s="322"/>
    </row>
    <row r="191" spans="1:12">
      <c r="A191" s="157"/>
      <c r="B191" s="334" t="s">
        <v>296</v>
      </c>
      <c r="C191" s="280" t="s">
        <v>297</v>
      </c>
      <c r="D191" s="280"/>
      <c r="E191" s="280"/>
      <c r="F191" s="280"/>
      <c r="G191" s="281"/>
      <c r="H191" s="293"/>
      <c r="I191" s="280"/>
      <c r="J191" s="280"/>
      <c r="K191" s="280"/>
      <c r="L191" s="322"/>
    </row>
    <row r="192" spans="1:12">
      <c r="A192" s="157"/>
      <c r="B192" s="334" t="s">
        <v>260</v>
      </c>
      <c r="C192" s="280" t="s">
        <v>261</v>
      </c>
      <c r="D192" s="280"/>
      <c r="E192" s="280"/>
      <c r="F192" s="280"/>
      <c r="G192" s="281"/>
      <c r="H192" s="293"/>
      <c r="I192" s="280"/>
      <c r="J192" s="280"/>
      <c r="K192" s="280"/>
      <c r="L192" s="322"/>
    </row>
    <row r="193" spans="1:12">
      <c r="A193" s="157"/>
      <c r="B193" s="334" t="s">
        <v>262</v>
      </c>
      <c r="C193" s="280" t="s">
        <v>263</v>
      </c>
      <c r="D193" s="280"/>
      <c r="E193" s="280"/>
      <c r="F193" s="280"/>
      <c r="G193" s="281"/>
      <c r="H193" s="293"/>
      <c r="I193" s="280"/>
      <c r="J193" s="280"/>
      <c r="K193" s="280"/>
      <c r="L193" s="322"/>
    </row>
    <row r="194" spans="1:12">
      <c r="A194" s="157">
        <v>10</v>
      </c>
      <c r="B194" s="334" t="s">
        <v>255</v>
      </c>
      <c r="C194" s="280" t="s">
        <v>298</v>
      </c>
      <c r="D194" s="280"/>
      <c r="E194" s="280"/>
      <c r="F194" s="280"/>
      <c r="G194" s="281"/>
      <c r="H194" s="297" t="s">
        <v>252</v>
      </c>
      <c r="I194" s="298"/>
      <c r="J194" s="299"/>
      <c r="K194" s="297" t="s">
        <v>253</v>
      </c>
      <c r="L194" s="324"/>
    </row>
    <row r="195" spans="1:12">
      <c r="A195" s="157"/>
      <c r="B195" s="334" t="s">
        <v>257</v>
      </c>
      <c r="C195" s="280" t="s">
        <v>299</v>
      </c>
      <c r="D195" s="280"/>
      <c r="E195" s="280"/>
      <c r="F195" s="280"/>
      <c r="G195" s="281"/>
      <c r="H195" s="293"/>
      <c r="I195" s="280"/>
      <c r="J195" s="280"/>
      <c r="K195" s="280"/>
      <c r="L195" s="322"/>
    </row>
    <row r="196" spans="1:12">
      <c r="A196" s="157"/>
      <c r="B196" s="334" t="s">
        <v>296</v>
      </c>
      <c r="C196" s="280" t="s">
        <v>264</v>
      </c>
      <c r="D196" s="280"/>
      <c r="E196" s="280"/>
      <c r="F196" s="280"/>
      <c r="G196" s="281"/>
      <c r="H196" s="293"/>
      <c r="I196" s="280"/>
      <c r="J196" s="280"/>
      <c r="K196" s="280"/>
      <c r="L196" s="322"/>
    </row>
    <row r="197" spans="1:12">
      <c r="A197" s="157"/>
      <c r="B197" s="334" t="s">
        <v>260</v>
      </c>
      <c r="C197" s="280" t="s">
        <v>300</v>
      </c>
      <c r="D197" s="280"/>
      <c r="E197" s="280"/>
      <c r="F197" s="280"/>
      <c r="G197" s="281"/>
      <c r="H197" s="293"/>
      <c r="I197" s="280"/>
      <c r="J197" s="280"/>
      <c r="K197" s="280"/>
      <c r="L197" s="322"/>
    </row>
    <row r="198" spans="1:12">
      <c r="A198" s="62"/>
      <c r="B198" s="264"/>
      <c r="C198" s="301"/>
      <c r="D198" s="301"/>
      <c r="E198" s="301" t="s">
        <v>301</v>
      </c>
      <c r="F198" s="301"/>
      <c r="G198" s="301"/>
      <c r="H198" s="301"/>
      <c r="I198" s="301"/>
      <c r="J198" s="301"/>
      <c r="K198" s="301"/>
      <c r="L198" s="325"/>
    </row>
    <row r="199" spans="1:12">
      <c r="A199" s="62">
        <v>11</v>
      </c>
      <c r="B199" s="334" t="s">
        <v>255</v>
      </c>
      <c r="C199" s="280" t="s">
        <v>265</v>
      </c>
      <c r="D199" s="280"/>
      <c r="E199" s="280"/>
      <c r="F199" s="280"/>
      <c r="G199" s="281"/>
      <c r="H199" s="293"/>
      <c r="I199" s="280"/>
      <c r="J199" s="280"/>
      <c r="K199" s="280"/>
      <c r="L199" s="322"/>
    </row>
    <row r="200" spans="1:12">
      <c r="A200" s="62"/>
      <c r="B200" s="334" t="s">
        <v>257</v>
      </c>
      <c r="C200" s="280" t="s">
        <v>266</v>
      </c>
      <c r="D200" s="280"/>
      <c r="E200" s="280"/>
      <c r="F200" s="280"/>
      <c r="G200" s="281"/>
      <c r="H200" s="293"/>
      <c r="I200" s="280"/>
      <c r="J200" s="280"/>
      <c r="K200" s="280"/>
      <c r="L200" s="322"/>
    </row>
    <row r="201" spans="1:12">
      <c r="A201" s="62"/>
      <c r="B201" s="334" t="s">
        <v>259</v>
      </c>
      <c r="C201" s="280" t="s">
        <v>267</v>
      </c>
      <c r="D201" s="280"/>
      <c r="E201" s="280"/>
      <c r="F201" s="280"/>
      <c r="G201" s="281"/>
      <c r="H201" s="293"/>
      <c r="I201" s="280"/>
      <c r="J201" s="280"/>
      <c r="K201" s="280"/>
      <c r="L201" s="322"/>
    </row>
    <row r="202" spans="1:12">
      <c r="A202" s="62"/>
      <c r="B202" s="251"/>
      <c r="C202" s="344"/>
      <c r="D202" s="344"/>
      <c r="E202" s="344"/>
      <c r="F202" s="302" t="s">
        <v>268</v>
      </c>
      <c r="G202" s="344"/>
      <c r="H202" s="347"/>
      <c r="I202" s="347"/>
      <c r="J202" s="347"/>
      <c r="K202" s="347"/>
      <c r="L202" s="254"/>
    </row>
    <row r="203" spans="1:12">
      <c r="A203" s="62"/>
      <c r="B203" s="314" t="s">
        <v>269</v>
      </c>
      <c r="C203" s="313" t="s">
        <v>270</v>
      </c>
      <c r="D203" s="344"/>
      <c r="E203" s="344"/>
      <c r="F203" s="344"/>
      <c r="G203" s="344"/>
      <c r="H203" s="347"/>
      <c r="I203" s="347"/>
      <c r="J203" s="345"/>
      <c r="K203" s="347"/>
      <c r="L203" s="254"/>
    </row>
    <row r="204" spans="1:12">
      <c r="A204" s="62"/>
      <c r="B204" s="314" t="s">
        <v>271</v>
      </c>
      <c r="C204" s="312" t="s">
        <v>272</v>
      </c>
      <c r="D204" s="347"/>
      <c r="E204" s="345"/>
      <c r="F204" s="47"/>
      <c r="G204" s="888"/>
      <c r="H204" s="888"/>
      <c r="I204" s="340"/>
      <c r="J204" s="253"/>
      <c r="K204" s="888"/>
      <c r="L204" s="889"/>
    </row>
    <row r="205" spans="1:12">
      <c r="A205" s="62"/>
      <c r="B205" s="315" t="s">
        <v>273</v>
      </c>
      <c r="C205" s="890" t="s">
        <v>302</v>
      </c>
      <c r="D205" s="890"/>
      <c r="E205" s="890"/>
      <c r="F205" s="890"/>
      <c r="G205" s="890"/>
      <c r="H205" s="890"/>
      <c r="I205" s="890"/>
      <c r="J205" s="890"/>
      <c r="K205" s="890"/>
      <c r="L205" s="891"/>
    </row>
    <row r="206" spans="1:12">
      <c r="A206" s="62"/>
      <c r="B206" s="314" t="s">
        <v>274</v>
      </c>
      <c r="C206" s="313" t="s">
        <v>275</v>
      </c>
      <c r="D206" s="305"/>
      <c r="E206" s="305"/>
      <c r="F206" s="305"/>
      <c r="G206" s="305"/>
      <c r="H206" s="305"/>
      <c r="I206" s="305"/>
      <c r="J206" s="305"/>
      <c r="K206" s="305"/>
      <c r="L206" s="326"/>
    </row>
    <row r="207" spans="1:12">
      <c r="A207" s="62"/>
      <c r="B207" s="251"/>
      <c r="C207" s="250" t="s">
        <v>303</v>
      </c>
      <c r="D207" s="396" t="e">
        <f>'PUNJAB 04-22Master'!#REF!</f>
        <v>#REF!</v>
      </c>
      <c r="E207" s="229"/>
      <c r="F207" s="229"/>
      <c r="G207" s="229"/>
      <c r="H207" s="47"/>
      <c r="I207" s="47"/>
      <c r="J207" s="47"/>
      <c r="K207" s="47"/>
      <c r="L207" s="63"/>
    </row>
    <row r="208" spans="1:12">
      <c r="A208" s="62"/>
      <c r="B208" s="47"/>
      <c r="C208" s="250" t="s">
        <v>276</v>
      </c>
      <c r="D208" s="47" t="s">
        <v>364</v>
      </c>
      <c r="E208" s="47"/>
      <c r="F208" s="47"/>
      <c r="G208" s="47"/>
      <c r="H208" s="47"/>
      <c r="I208" s="47"/>
      <c r="J208" s="47" t="s">
        <v>304</v>
      </c>
      <c r="K208" s="47"/>
      <c r="L208" s="63"/>
    </row>
    <row r="209" spans="1:12">
      <c r="A209" s="62"/>
      <c r="B209" s="47"/>
      <c r="C209" s="47"/>
      <c r="D209" s="47"/>
      <c r="E209" s="47"/>
      <c r="F209" s="47"/>
      <c r="G209" s="47"/>
      <c r="H209" s="47"/>
      <c r="I209" s="47"/>
      <c r="J209" s="47"/>
      <c r="K209" s="47"/>
      <c r="L209" s="63"/>
    </row>
    <row r="210" spans="1:12">
      <c r="A210" s="62"/>
      <c r="B210" s="47"/>
      <c r="C210" s="47"/>
      <c r="D210" s="47"/>
      <c r="E210" s="47"/>
      <c r="F210" s="303" t="s">
        <v>277</v>
      </c>
      <c r="G210" s="47"/>
      <c r="H210" s="47"/>
      <c r="I210" s="47"/>
      <c r="J210" s="47"/>
      <c r="K210" s="47"/>
      <c r="L210" s="63"/>
    </row>
    <row r="211" spans="1:12">
      <c r="A211" s="62" t="s">
        <v>305</v>
      </c>
      <c r="B211" s="47" t="s">
        <v>278</v>
      </c>
      <c r="C211" s="47"/>
      <c r="D211" s="47"/>
      <c r="E211" s="306" t="e">
        <f>'PUNJAB 04-22Master'!#REF!</f>
        <v>#REF!</v>
      </c>
      <c r="F211" s="47"/>
      <c r="G211" s="47"/>
      <c r="H211" s="892" t="s">
        <v>279</v>
      </c>
      <c r="I211" s="892"/>
      <c r="J211" s="307" t="e">
        <f>'PUNJAB 04-22Master'!#REF!</f>
        <v>#REF!</v>
      </c>
      <c r="K211" s="47" t="s">
        <v>280</v>
      </c>
      <c r="L211" s="63"/>
    </row>
    <row r="212" spans="1:12">
      <c r="A212" s="62"/>
      <c r="B212" s="893" t="e">
        <f>'PUNJAB 04-22Master'!#REF!</f>
        <v>#REF!</v>
      </c>
      <c r="C212" s="894"/>
      <c r="D212" s="304"/>
      <c r="E212" s="304"/>
      <c r="F212" s="304"/>
      <c r="G212" s="304"/>
      <c r="H212" s="304"/>
      <c r="I212" s="304"/>
      <c r="J212" s="304"/>
      <c r="K212" s="304"/>
      <c r="L212" s="327"/>
    </row>
    <row r="213" spans="1:12">
      <c r="A213" s="62" t="s">
        <v>307</v>
      </c>
      <c r="B213" s="304" t="s">
        <v>281</v>
      </c>
      <c r="C213" s="304"/>
      <c r="D213" s="304"/>
      <c r="E213" s="304"/>
      <c r="F213" s="304"/>
      <c r="G213" s="304"/>
      <c r="H213" s="304"/>
      <c r="I213" s="304"/>
      <c r="J213" s="304"/>
      <c r="K213" s="304"/>
      <c r="L213" s="327"/>
    </row>
    <row r="214" spans="1:12">
      <c r="A214" s="62"/>
      <c r="B214" s="304" t="s">
        <v>306</v>
      </c>
      <c r="C214" s="304"/>
      <c r="D214" s="304"/>
      <c r="E214" s="304"/>
      <c r="F214" s="304"/>
      <c r="G214" s="304"/>
      <c r="H214" s="304"/>
      <c r="I214" s="304"/>
      <c r="J214" s="304"/>
      <c r="K214" s="304"/>
      <c r="L214" s="327"/>
    </row>
    <row r="215" spans="1:12" ht="27.95" customHeight="1">
      <c r="A215" s="323"/>
      <c r="B215" s="47" t="s">
        <v>282</v>
      </c>
      <c r="C215" s="47"/>
      <c r="D215" s="47"/>
      <c r="E215" s="47"/>
      <c r="F215" s="47"/>
      <c r="G215" s="47"/>
      <c r="H215" s="47"/>
      <c r="I215" s="47"/>
      <c r="J215" s="47"/>
      <c r="K215" s="47"/>
      <c r="L215" s="63"/>
    </row>
    <row r="216" spans="1:12" ht="27.95" customHeight="1">
      <c r="A216" s="62"/>
      <c r="B216" s="229" t="s">
        <v>283</v>
      </c>
      <c r="C216" s="47"/>
      <c r="D216" s="47"/>
      <c r="E216" s="47"/>
      <c r="F216" s="248"/>
      <c r="G216" s="47"/>
      <c r="H216" s="47"/>
      <c r="I216" s="47"/>
      <c r="J216" s="47"/>
      <c r="K216" s="47"/>
      <c r="L216" s="63"/>
    </row>
    <row r="217" spans="1:12" ht="27.95" customHeight="1">
      <c r="A217" s="62"/>
      <c r="B217" s="229" t="s">
        <v>284</v>
      </c>
      <c r="C217" s="47"/>
      <c r="D217" s="47"/>
      <c r="E217" s="47"/>
      <c r="F217" s="47"/>
      <c r="G217" s="47"/>
      <c r="H217" s="47"/>
      <c r="I217" s="47"/>
      <c r="J217" s="47"/>
      <c r="K217" s="47"/>
      <c r="L217" s="63"/>
    </row>
    <row r="218" spans="1:12" ht="27.95" customHeight="1">
      <c r="A218" s="62"/>
      <c r="B218" s="47" t="s">
        <v>285</v>
      </c>
      <c r="C218" s="47"/>
      <c r="D218" s="47"/>
      <c r="E218" s="47"/>
      <c r="F218" s="47"/>
      <c r="G218" s="47"/>
      <c r="H218" s="47"/>
      <c r="I218" s="47"/>
      <c r="J218" s="47"/>
      <c r="K218" s="47"/>
      <c r="L218" s="63"/>
    </row>
    <row r="219" spans="1:12" ht="27.95" customHeight="1">
      <c r="A219" s="62"/>
      <c r="B219" s="47" t="s">
        <v>286</v>
      </c>
      <c r="C219" s="47"/>
      <c r="D219" s="47"/>
      <c r="E219" s="47"/>
      <c r="F219" s="47"/>
      <c r="G219" s="47"/>
      <c r="H219" s="47"/>
      <c r="I219" s="47"/>
      <c r="J219" s="47"/>
      <c r="K219" s="47"/>
      <c r="L219" s="63"/>
    </row>
    <row r="220" spans="1:12" ht="27.95" customHeight="1">
      <c r="A220" s="62" t="s">
        <v>296</v>
      </c>
      <c r="B220" s="47" t="s">
        <v>287</v>
      </c>
      <c r="C220" s="47"/>
      <c r="D220" s="47"/>
      <c r="E220" s="47"/>
      <c r="F220" s="47"/>
      <c r="G220" s="47"/>
      <c r="H220" s="47"/>
      <c r="I220" s="47"/>
      <c r="J220" s="47"/>
      <c r="K220" s="47"/>
      <c r="L220" s="63"/>
    </row>
    <row r="221" spans="1:12" ht="27.95" customHeight="1">
      <c r="A221" s="62"/>
      <c r="B221" s="316" t="s">
        <v>308</v>
      </c>
      <c r="C221" s="47"/>
      <c r="D221" s="47"/>
      <c r="E221" s="47"/>
      <c r="F221" s="47"/>
      <c r="G221" s="47"/>
      <c r="H221" s="47"/>
      <c r="I221" s="47"/>
      <c r="J221" s="47"/>
      <c r="K221" s="47"/>
      <c r="L221" s="63"/>
    </row>
    <row r="222" spans="1:12" ht="27.95" customHeight="1">
      <c r="A222" s="62"/>
      <c r="B222" s="47" t="s">
        <v>282</v>
      </c>
      <c r="C222" s="47"/>
      <c r="D222" s="47"/>
      <c r="E222" s="47"/>
      <c r="F222" s="47"/>
      <c r="G222" s="47"/>
      <c r="H222" s="47"/>
      <c r="I222" s="47"/>
      <c r="J222" s="47"/>
      <c r="K222" s="47"/>
      <c r="L222" s="63"/>
    </row>
    <row r="223" spans="1:12" ht="27.95" customHeight="1">
      <c r="A223" s="62"/>
      <c r="B223" s="47" t="s">
        <v>288</v>
      </c>
      <c r="C223" s="47"/>
      <c r="D223" s="47"/>
      <c r="E223" s="47"/>
      <c r="F223" s="250"/>
      <c r="G223" s="250"/>
      <c r="H223" s="250"/>
      <c r="I223" s="250"/>
      <c r="J223" s="250"/>
      <c r="K223" s="250"/>
      <c r="L223" s="63"/>
    </row>
    <row r="224" spans="1:12" ht="27.95" customHeight="1">
      <c r="A224" s="62"/>
      <c r="B224" s="47" t="s">
        <v>289</v>
      </c>
      <c r="C224" s="47"/>
      <c r="D224" s="47"/>
      <c r="E224" s="47"/>
      <c r="F224" s="47"/>
      <c r="G224" s="47"/>
      <c r="H224" s="47"/>
      <c r="I224" s="47"/>
      <c r="J224" s="47"/>
      <c r="K224" s="47"/>
      <c r="L224" s="63"/>
    </row>
    <row r="225" spans="1:12" ht="27.95" customHeight="1">
      <c r="A225" s="62"/>
      <c r="B225" s="895" t="s">
        <v>290</v>
      </c>
      <c r="C225" s="895"/>
      <c r="D225" s="895"/>
      <c r="E225" s="895"/>
      <c r="F225" s="895"/>
      <c r="G225" s="895"/>
      <c r="H225" s="895"/>
      <c r="I225" s="895"/>
      <c r="J225" s="895"/>
      <c r="K225" s="895"/>
      <c r="L225" s="896"/>
    </row>
    <row r="226" spans="1:12" ht="27.95" customHeight="1">
      <c r="A226" s="62"/>
      <c r="B226" s="318" t="s">
        <v>202</v>
      </c>
      <c r="C226" s="394" t="e">
        <f>D207</f>
        <v>#REF!</v>
      </c>
      <c r="D226" s="285"/>
      <c r="E226" s="285"/>
      <c r="F226" s="285"/>
      <c r="G226" s="285"/>
      <c r="H226" s="285"/>
      <c r="I226" s="318" t="s">
        <v>309</v>
      </c>
      <c r="J226" s="285"/>
      <c r="K226" s="285"/>
      <c r="L226" s="317"/>
    </row>
    <row r="227" spans="1:12" ht="27.95" customHeight="1" thickBot="1">
      <c r="A227" s="76"/>
      <c r="B227" s="747"/>
      <c r="C227" s="747"/>
      <c r="D227" s="747"/>
      <c r="E227" s="747"/>
      <c r="F227" s="747"/>
      <c r="G227" s="747"/>
      <c r="H227" s="747"/>
      <c r="I227" s="747"/>
      <c r="J227" s="747"/>
      <c r="K227" s="747"/>
      <c r="L227" s="748"/>
    </row>
    <row r="228" spans="1:12" ht="27.95" customHeight="1">
      <c r="A228" s="140"/>
      <c r="B228" s="141"/>
      <c r="C228" s="141"/>
      <c r="D228" s="141"/>
      <c r="E228" s="141"/>
      <c r="F228" s="141"/>
      <c r="G228" s="141"/>
      <c r="H228" s="141"/>
      <c r="I228" s="150" t="s">
        <v>236</v>
      </c>
      <c r="J228" s="141"/>
      <c r="K228" s="141"/>
      <c r="L228" s="142"/>
    </row>
    <row r="229" spans="1:12" ht="27.95" customHeight="1">
      <c r="A229" s="62"/>
      <c r="B229" s="778" t="s">
        <v>291</v>
      </c>
      <c r="C229" s="778"/>
      <c r="D229" s="778"/>
      <c r="E229" s="778"/>
      <c r="F229" s="778"/>
      <c r="G229" s="778"/>
      <c r="H229" s="778"/>
      <c r="I229" s="778"/>
      <c r="J229" s="778"/>
      <c r="K229" s="778"/>
      <c r="L229" s="779"/>
    </row>
    <row r="230" spans="1:12" ht="27.95" customHeight="1">
      <c r="A230" s="62"/>
      <c r="B230" s="285"/>
      <c r="C230" s="285"/>
      <c r="D230" s="294" t="s">
        <v>238</v>
      </c>
      <c r="E230" s="285"/>
      <c r="F230" s="285"/>
      <c r="G230" s="285"/>
      <c r="H230" s="285"/>
      <c r="I230" s="288" t="s">
        <v>292</v>
      </c>
      <c r="J230" s="289"/>
      <c r="K230" s="395" t="e">
        <f>'PUNJAB 04-22Master'!#REF!</f>
        <v>#REF!</v>
      </c>
      <c r="L230" s="320"/>
    </row>
    <row r="231" spans="1:12" ht="27.95" customHeight="1">
      <c r="A231" s="62"/>
      <c r="B231" s="286"/>
      <c r="C231" s="286" t="s">
        <v>239</v>
      </c>
      <c r="D231" s="47"/>
      <c r="E231" s="286"/>
      <c r="F231" s="286"/>
      <c r="G231" s="286"/>
      <c r="H231" s="286"/>
      <c r="I231" s="287" t="s">
        <v>293</v>
      </c>
      <c r="J231" s="308" t="str">
        <f>'PUNJAB 04-22Master'!F5</f>
        <v>Burgeon IT Services Pvt.Ltd.</v>
      </c>
      <c r="K231" s="290"/>
      <c r="L231" s="321"/>
    </row>
    <row r="232" spans="1:12" ht="27.95" customHeight="1">
      <c r="A232" s="62"/>
      <c r="B232" s="295"/>
      <c r="C232" s="258" t="s">
        <v>240</v>
      </c>
      <c r="D232" s="47"/>
      <c r="E232" s="295"/>
      <c r="F232" s="295"/>
      <c r="G232" s="47"/>
      <c r="H232" s="259"/>
      <c r="I232" s="311" t="str">
        <f>'PUNJAB 04-22Master'!F6</f>
        <v>Siri Mansion LIGB 436 Dr.A S Rao Nagar,Hyderabad</v>
      </c>
      <c r="J232" s="309"/>
      <c r="K232" s="310"/>
      <c r="L232" s="271"/>
    </row>
    <row r="233" spans="1:12">
      <c r="A233" s="62"/>
      <c r="B233" s="47"/>
      <c r="C233" s="47"/>
      <c r="D233" s="47"/>
      <c r="E233" s="47"/>
      <c r="F233" s="47"/>
      <c r="G233" s="47"/>
      <c r="H233" s="47"/>
      <c r="I233" s="47"/>
      <c r="J233" s="47"/>
      <c r="K233" s="47"/>
      <c r="L233" s="63"/>
    </row>
    <row r="234" spans="1:12" ht="19.5" customHeight="1">
      <c r="A234" s="62">
        <v>1</v>
      </c>
      <c r="B234" s="291" t="s">
        <v>241</v>
      </c>
      <c r="C234" s="265"/>
      <c r="D234" s="265"/>
      <c r="E234" s="265"/>
      <c r="F234" s="265"/>
      <c r="G234" s="119"/>
      <c r="H234" s="856" t="e">
        <f>'PUNJAB 04-22Master'!#REF!</f>
        <v>#REF!</v>
      </c>
      <c r="I234" s="875"/>
      <c r="J234" s="875"/>
      <c r="K234" s="875"/>
      <c r="L234" s="876"/>
    </row>
    <row r="235" spans="1:12">
      <c r="A235" s="62">
        <v>2</v>
      </c>
      <c r="B235" s="897" t="s">
        <v>242</v>
      </c>
      <c r="C235" s="898"/>
      <c r="D235" s="898"/>
      <c r="E235" s="898"/>
      <c r="F235" s="292" t="s">
        <v>243</v>
      </c>
      <c r="G235" s="273"/>
      <c r="H235" s="899" t="e">
        <f>'PUNJAB 04-22Master'!#REF!</f>
        <v>#REF!</v>
      </c>
      <c r="I235" s="900"/>
      <c r="J235" s="900"/>
      <c r="K235" s="900"/>
      <c r="L235" s="901"/>
    </row>
    <row r="236" spans="1:12" ht="12" customHeight="1">
      <c r="A236" s="62"/>
      <c r="B236" s="274" t="s">
        <v>244</v>
      </c>
      <c r="C236" s="275"/>
      <c r="D236" s="275"/>
      <c r="E236" s="275"/>
      <c r="F236" s="275" t="s">
        <v>237</v>
      </c>
      <c r="G236" s="276"/>
      <c r="H236" s="902"/>
      <c r="I236" s="903"/>
      <c r="J236" s="903"/>
      <c r="K236" s="903"/>
      <c r="L236" s="904"/>
    </row>
    <row r="237" spans="1:12">
      <c r="A237" s="62">
        <v>3</v>
      </c>
      <c r="B237" s="293" t="s">
        <v>245</v>
      </c>
      <c r="C237" s="280"/>
      <c r="D237" s="280"/>
      <c r="E237" s="280"/>
      <c r="F237" s="280"/>
      <c r="G237" s="281"/>
      <c r="H237" s="879" t="e">
        <f>'PUNJAB 04-22Master'!#REF!</f>
        <v>#REF!</v>
      </c>
      <c r="I237" s="880"/>
      <c r="J237" s="880"/>
      <c r="K237" s="880"/>
      <c r="L237" s="881"/>
    </row>
    <row r="238" spans="1:12">
      <c r="A238" s="323">
        <v>4</v>
      </c>
      <c r="B238" s="264" t="s">
        <v>246</v>
      </c>
      <c r="C238" s="118"/>
      <c r="D238" s="118"/>
      <c r="E238" s="118"/>
      <c r="F238" s="118"/>
      <c r="G238" s="119"/>
      <c r="H238" s="853" t="e">
        <f>'PUNJAB 04-22Master'!#REF!</f>
        <v>#REF!</v>
      </c>
      <c r="I238" s="867"/>
      <c r="J238" s="867"/>
      <c r="K238" s="867"/>
      <c r="L238" s="861"/>
    </row>
    <row r="239" spans="1:12">
      <c r="A239" s="323">
        <v>5</v>
      </c>
      <c r="B239" s="882" t="s">
        <v>294</v>
      </c>
      <c r="C239" s="883"/>
      <c r="D239" s="883"/>
      <c r="E239" s="883"/>
      <c r="F239" s="883"/>
      <c r="G239" s="119"/>
      <c r="H239" s="874" t="s">
        <v>372</v>
      </c>
      <c r="I239" s="875"/>
      <c r="J239" s="875"/>
      <c r="K239" s="875"/>
      <c r="L239" s="876"/>
    </row>
    <row r="240" spans="1:12">
      <c r="A240" s="323">
        <v>6</v>
      </c>
      <c r="B240" s="334" t="s">
        <v>247</v>
      </c>
      <c r="C240" s="280" t="s">
        <v>248</v>
      </c>
      <c r="D240" s="280"/>
      <c r="E240" s="280"/>
      <c r="F240" s="280"/>
      <c r="G240" s="281"/>
      <c r="H240" s="293"/>
      <c r="I240" s="280"/>
      <c r="J240" s="280"/>
      <c r="K240" s="280"/>
      <c r="L240" s="322"/>
    </row>
    <row r="241" spans="1:12">
      <c r="A241" s="62"/>
      <c r="B241" s="334" t="s">
        <v>249</v>
      </c>
      <c r="C241" s="280" t="s">
        <v>250</v>
      </c>
      <c r="D241" s="280"/>
      <c r="E241" s="280"/>
      <c r="F241" s="280"/>
      <c r="G241" s="281"/>
      <c r="H241" s="293"/>
      <c r="I241" s="333"/>
      <c r="J241" s="333"/>
      <c r="K241" s="280"/>
      <c r="L241" s="322"/>
    </row>
    <row r="242" spans="1:12">
      <c r="A242" s="323">
        <v>7</v>
      </c>
      <c r="B242" s="879" t="s">
        <v>251</v>
      </c>
      <c r="C242" s="880"/>
      <c r="D242" s="880"/>
      <c r="E242" s="880"/>
      <c r="F242" s="880"/>
      <c r="G242" s="887"/>
      <c r="H242" s="297" t="s">
        <v>252</v>
      </c>
      <c r="I242" s="298"/>
      <c r="J242" s="299"/>
      <c r="K242" s="297" t="s">
        <v>253</v>
      </c>
      <c r="L242" s="324"/>
    </row>
    <row r="243" spans="1:12">
      <c r="A243" s="323">
        <v>8</v>
      </c>
      <c r="B243" s="879" t="s">
        <v>295</v>
      </c>
      <c r="C243" s="880"/>
      <c r="D243" s="880"/>
      <c r="E243" s="880"/>
      <c r="F243" s="880"/>
      <c r="G243" s="887"/>
      <c r="H243" s="297" t="s">
        <v>252</v>
      </c>
      <c r="I243" s="298"/>
      <c r="J243" s="299"/>
      <c r="K243" s="297" t="s">
        <v>253</v>
      </c>
      <c r="L243" s="324"/>
    </row>
    <row r="244" spans="1:12">
      <c r="A244" s="62"/>
      <c r="B244" s="264"/>
      <c r="C244" s="301"/>
      <c r="D244" s="301"/>
      <c r="E244" s="301"/>
      <c r="F244" s="301" t="s">
        <v>254</v>
      </c>
      <c r="G244" s="301"/>
      <c r="H244" s="301"/>
      <c r="I244" s="301"/>
      <c r="J244" s="301"/>
      <c r="K244" s="301"/>
      <c r="L244" s="325"/>
    </row>
    <row r="245" spans="1:12">
      <c r="A245" s="323">
        <v>9</v>
      </c>
      <c r="B245" s="334" t="s">
        <v>255</v>
      </c>
      <c r="C245" s="280" t="s">
        <v>256</v>
      </c>
      <c r="D245" s="280"/>
      <c r="E245" s="280"/>
      <c r="F245" s="280"/>
      <c r="G245" s="281"/>
      <c r="H245" s="293"/>
      <c r="I245" s="280"/>
      <c r="J245" s="280"/>
      <c r="K245" s="280"/>
      <c r="L245" s="322"/>
    </row>
    <row r="246" spans="1:12">
      <c r="A246" s="157"/>
      <c r="B246" s="334" t="s">
        <v>257</v>
      </c>
      <c r="C246" s="280" t="s">
        <v>258</v>
      </c>
      <c r="D246" s="280"/>
      <c r="E246" s="280"/>
      <c r="F246" s="280"/>
      <c r="G246" s="281"/>
      <c r="H246" s="293"/>
      <c r="I246" s="280"/>
      <c r="J246" s="280"/>
      <c r="K246" s="280"/>
      <c r="L246" s="322"/>
    </row>
    <row r="247" spans="1:12">
      <c r="A247" s="157"/>
      <c r="B247" s="334" t="s">
        <v>296</v>
      </c>
      <c r="C247" s="280" t="s">
        <v>297</v>
      </c>
      <c r="D247" s="280"/>
      <c r="E247" s="280"/>
      <c r="F247" s="280"/>
      <c r="G247" s="281"/>
      <c r="H247" s="293"/>
      <c r="I247" s="280"/>
      <c r="J247" s="280"/>
      <c r="K247" s="280"/>
      <c r="L247" s="322"/>
    </row>
    <row r="248" spans="1:12">
      <c r="A248" s="157"/>
      <c r="B248" s="334" t="s">
        <v>260</v>
      </c>
      <c r="C248" s="280" t="s">
        <v>261</v>
      </c>
      <c r="D248" s="280"/>
      <c r="E248" s="280"/>
      <c r="F248" s="280"/>
      <c r="G248" s="281"/>
      <c r="H248" s="293"/>
      <c r="I248" s="280"/>
      <c r="J248" s="280"/>
      <c r="K248" s="280"/>
      <c r="L248" s="322"/>
    </row>
    <row r="249" spans="1:12">
      <c r="A249" s="157"/>
      <c r="B249" s="334" t="s">
        <v>262</v>
      </c>
      <c r="C249" s="280" t="s">
        <v>263</v>
      </c>
      <c r="D249" s="280"/>
      <c r="E249" s="280"/>
      <c r="F249" s="280"/>
      <c r="G249" s="281"/>
      <c r="H249" s="293"/>
      <c r="I249" s="280"/>
      <c r="J249" s="280"/>
      <c r="K249" s="280"/>
      <c r="L249" s="322"/>
    </row>
    <row r="250" spans="1:12">
      <c r="A250" s="157">
        <v>10</v>
      </c>
      <c r="B250" s="334" t="s">
        <v>255</v>
      </c>
      <c r="C250" s="280" t="s">
        <v>298</v>
      </c>
      <c r="D250" s="280"/>
      <c r="E250" s="280"/>
      <c r="F250" s="280"/>
      <c r="G250" s="281"/>
      <c r="H250" s="297" t="s">
        <v>252</v>
      </c>
      <c r="I250" s="298"/>
      <c r="J250" s="299"/>
      <c r="K250" s="297" t="s">
        <v>253</v>
      </c>
      <c r="L250" s="324"/>
    </row>
    <row r="251" spans="1:12">
      <c r="A251" s="157"/>
      <c r="B251" s="334" t="s">
        <v>257</v>
      </c>
      <c r="C251" s="280" t="s">
        <v>299</v>
      </c>
      <c r="D251" s="280"/>
      <c r="E251" s="280"/>
      <c r="F251" s="280"/>
      <c r="G251" s="281"/>
      <c r="H251" s="293"/>
      <c r="I251" s="280"/>
      <c r="J251" s="280"/>
      <c r="K251" s="280"/>
      <c r="L251" s="322"/>
    </row>
    <row r="252" spans="1:12">
      <c r="A252" s="157"/>
      <c r="B252" s="334" t="s">
        <v>296</v>
      </c>
      <c r="C252" s="280" t="s">
        <v>264</v>
      </c>
      <c r="D252" s="280"/>
      <c r="E252" s="280"/>
      <c r="F252" s="280"/>
      <c r="G252" s="281"/>
      <c r="H252" s="293"/>
      <c r="I252" s="280"/>
      <c r="J252" s="280"/>
      <c r="K252" s="280"/>
      <c r="L252" s="322"/>
    </row>
    <row r="253" spans="1:12">
      <c r="A253" s="157"/>
      <c r="B253" s="334" t="s">
        <v>260</v>
      </c>
      <c r="C253" s="280" t="s">
        <v>300</v>
      </c>
      <c r="D253" s="280"/>
      <c r="E253" s="280"/>
      <c r="F253" s="280"/>
      <c r="G253" s="281"/>
      <c r="H253" s="293"/>
      <c r="I253" s="280"/>
      <c r="J253" s="280"/>
      <c r="K253" s="280"/>
      <c r="L253" s="322"/>
    </row>
    <row r="254" spans="1:12">
      <c r="A254" s="62"/>
      <c r="B254" s="264"/>
      <c r="C254" s="301"/>
      <c r="D254" s="301"/>
      <c r="E254" s="301" t="s">
        <v>301</v>
      </c>
      <c r="F254" s="301"/>
      <c r="G254" s="301"/>
      <c r="H254" s="301"/>
      <c r="I254" s="301"/>
      <c r="J254" s="301"/>
      <c r="K254" s="301"/>
      <c r="L254" s="325"/>
    </row>
    <row r="255" spans="1:12">
      <c r="A255" s="62">
        <v>11</v>
      </c>
      <c r="B255" s="334" t="s">
        <v>255</v>
      </c>
      <c r="C255" s="280" t="s">
        <v>265</v>
      </c>
      <c r="D255" s="280"/>
      <c r="E255" s="280"/>
      <c r="F255" s="280"/>
      <c r="G255" s="281"/>
      <c r="H255" s="293"/>
      <c r="I255" s="280"/>
      <c r="J255" s="280"/>
      <c r="K255" s="280"/>
      <c r="L255" s="322"/>
    </row>
    <row r="256" spans="1:12">
      <c r="A256" s="62"/>
      <c r="B256" s="334" t="s">
        <v>257</v>
      </c>
      <c r="C256" s="280" t="s">
        <v>266</v>
      </c>
      <c r="D256" s="280"/>
      <c r="E256" s="280"/>
      <c r="F256" s="280"/>
      <c r="G256" s="281"/>
      <c r="H256" s="293"/>
      <c r="I256" s="280"/>
      <c r="J256" s="280"/>
      <c r="K256" s="280"/>
      <c r="L256" s="322"/>
    </row>
    <row r="257" spans="1:12">
      <c r="A257" s="62"/>
      <c r="B257" s="334" t="s">
        <v>259</v>
      </c>
      <c r="C257" s="280" t="s">
        <v>267</v>
      </c>
      <c r="D257" s="280"/>
      <c r="E257" s="280"/>
      <c r="F257" s="280"/>
      <c r="G257" s="281"/>
      <c r="H257" s="293"/>
      <c r="I257" s="280"/>
      <c r="J257" s="280"/>
      <c r="K257" s="280"/>
      <c r="L257" s="322"/>
    </row>
    <row r="258" spans="1:12">
      <c r="A258" s="62"/>
      <c r="B258" s="251"/>
      <c r="C258" s="344"/>
      <c r="D258" s="344"/>
      <c r="E258" s="344"/>
      <c r="F258" s="302" t="s">
        <v>268</v>
      </c>
      <c r="G258" s="344"/>
      <c r="H258" s="347"/>
      <c r="I258" s="347"/>
      <c r="J258" s="347"/>
      <c r="K258" s="347"/>
      <c r="L258" s="254"/>
    </row>
    <row r="259" spans="1:12">
      <c r="A259" s="62"/>
      <c r="B259" s="314" t="s">
        <v>269</v>
      </c>
      <c r="C259" s="313" t="s">
        <v>270</v>
      </c>
      <c r="D259" s="344"/>
      <c r="E259" s="344"/>
      <c r="F259" s="344"/>
      <c r="G259" s="344"/>
      <c r="H259" s="347"/>
      <c r="I259" s="347"/>
      <c r="J259" s="345"/>
      <c r="K259" s="347"/>
      <c r="L259" s="254"/>
    </row>
    <row r="260" spans="1:12">
      <c r="A260" s="62"/>
      <c r="B260" s="314" t="s">
        <v>271</v>
      </c>
      <c r="C260" s="312" t="s">
        <v>272</v>
      </c>
      <c r="D260" s="347"/>
      <c r="E260" s="345"/>
      <c r="F260" s="47"/>
      <c r="G260" s="888"/>
      <c r="H260" s="888"/>
      <c r="I260" s="340"/>
      <c r="J260" s="253"/>
      <c r="K260" s="888"/>
      <c r="L260" s="889"/>
    </row>
    <row r="261" spans="1:12">
      <c r="A261" s="62"/>
      <c r="B261" s="315" t="s">
        <v>273</v>
      </c>
      <c r="C261" s="890" t="s">
        <v>302</v>
      </c>
      <c r="D261" s="890"/>
      <c r="E261" s="890"/>
      <c r="F261" s="890"/>
      <c r="G261" s="890"/>
      <c r="H261" s="890"/>
      <c r="I261" s="890"/>
      <c r="J261" s="890"/>
      <c r="K261" s="890"/>
      <c r="L261" s="891"/>
    </row>
    <row r="262" spans="1:12">
      <c r="A262" s="62"/>
      <c r="B262" s="314" t="s">
        <v>274</v>
      </c>
      <c r="C262" s="313" t="s">
        <v>275</v>
      </c>
      <c r="D262" s="305"/>
      <c r="E262" s="305"/>
      <c r="F262" s="305"/>
      <c r="G262" s="305"/>
      <c r="H262" s="305"/>
      <c r="I262" s="305"/>
      <c r="J262" s="305"/>
      <c r="K262" s="305"/>
      <c r="L262" s="326"/>
    </row>
    <row r="263" spans="1:12">
      <c r="A263" s="62"/>
      <c r="B263" s="251"/>
      <c r="C263" s="250" t="s">
        <v>303</v>
      </c>
      <c r="D263" s="396" t="e">
        <f>'PUNJAB 04-22Master'!#REF!</f>
        <v>#REF!</v>
      </c>
      <c r="E263" s="229"/>
      <c r="F263" s="229"/>
      <c r="G263" s="229"/>
      <c r="H263" s="47"/>
      <c r="I263" s="47"/>
      <c r="J263" s="47"/>
      <c r="K263" s="47"/>
      <c r="L263" s="63"/>
    </row>
    <row r="264" spans="1:12">
      <c r="A264" s="62"/>
      <c r="B264" s="47"/>
      <c r="C264" s="250" t="s">
        <v>276</v>
      </c>
      <c r="D264" s="47" t="s">
        <v>364</v>
      </c>
      <c r="E264" s="47"/>
      <c r="F264" s="47"/>
      <c r="G264" s="47"/>
      <c r="H264" s="47"/>
      <c r="I264" s="47"/>
      <c r="J264" s="47" t="s">
        <v>304</v>
      </c>
      <c r="K264" s="47"/>
      <c r="L264" s="63"/>
    </row>
    <row r="265" spans="1:12">
      <c r="A265" s="62"/>
      <c r="B265" s="47"/>
      <c r="C265" s="47"/>
      <c r="D265" s="47"/>
      <c r="E265" s="47"/>
      <c r="F265" s="47"/>
      <c r="G265" s="47"/>
      <c r="H265" s="47"/>
      <c r="I265" s="47"/>
      <c r="J265" s="47"/>
      <c r="K265" s="47"/>
      <c r="L265" s="63"/>
    </row>
    <row r="266" spans="1:12">
      <c r="A266" s="62"/>
      <c r="B266" s="47"/>
      <c r="C266" s="47"/>
      <c r="D266" s="47"/>
      <c r="E266" s="47"/>
      <c r="F266" s="303" t="s">
        <v>277</v>
      </c>
      <c r="G266" s="47"/>
      <c r="H266" s="47"/>
      <c r="I266" s="47"/>
      <c r="J266" s="47"/>
      <c r="K266" s="47"/>
      <c r="L266" s="63"/>
    </row>
    <row r="267" spans="1:12">
      <c r="A267" s="62" t="s">
        <v>305</v>
      </c>
      <c r="B267" s="47" t="s">
        <v>278</v>
      </c>
      <c r="C267" s="47"/>
      <c r="D267" s="47"/>
      <c r="E267" s="306" t="e">
        <f>'PUNJAB 04-22Master'!#REF!</f>
        <v>#REF!</v>
      </c>
      <c r="F267" s="47"/>
      <c r="G267" s="47"/>
      <c r="H267" s="892" t="s">
        <v>279</v>
      </c>
      <c r="I267" s="892"/>
      <c r="J267" s="307" t="e">
        <f>'PUNJAB 04-22Master'!#REF!</f>
        <v>#REF!</v>
      </c>
      <c r="K267" s="47" t="s">
        <v>280</v>
      </c>
      <c r="L267" s="63"/>
    </row>
    <row r="268" spans="1:12" ht="24" customHeight="1">
      <c r="A268" s="62"/>
      <c r="B268" s="893" t="e">
        <f>'PUNJAB 04-22Master'!#REF!</f>
        <v>#REF!</v>
      </c>
      <c r="C268" s="894"/>
      <c r="D268" s="304"/>
      <c r="E268" s="304"/>
      <c r="F268" s="304"/>
      <c r="G268" s="304"/>
      <c r="H268" s="304"/>
      <c r="I268" s="304"/>
      <c r="J268" s="304"/>
      <c r="K268" s="304"/>
      <c r="L268" s="327"/>
    </row>
    <row r="269" spans="1:12" ht="24" customHeight="1">
      <c r="A269" s="62" t="s">
        <v>307</v>
      </c>
      <c r="B269" s="304" t="s">
        <v>281</v>
      </c>
      <c r="C269" s="304"/>
      <c r="D269" s="304"/>
      <c r="E269" s="304"/>
      <c r="F269" s="304"/>
      <c r="G269" s="304"/>
      <c r="H269" s="304"/>
      <c r="I269" s="304"/>
      <c r="J269" s="304"/>
      <c r="K269" s="304"/>
      <c r="L269" s="327"/>
    </row>
    <row r="270" spans="1:12" ht="23.25" customHeight="1">
      <c r="A270" s="62"/>
      <c r="B270" s="304" t="s">
        <v>306</v>
      </c>
      <c r="C270" s="304"/>
      <c r="D270" s="304"/>
      <c r="E270" s="304"/>
      <c r="F270" s="304"/>
      <c r="G270" s="304"/>
      <c r="H270" s="304"/>
      <c r="I270" s="304"/>
      <c r="J270" s="304"/>
      <c r="K270" s="304"/>
      <c r="L270" s="327"/>
    </row>
    <row r="271" spans="1:12" ht="21.75" customHeight="1">
      <c r="A271" s="323"/>
      <c r="B271" s="47" t="s">
        <v>282</v>
      </c>
      <c r="C271" s="47"/>
      <c r="D271" s="47"/>
      <c r="E271" s="47"/>
      <c r="F271" s="47"/>
      <c r="G271" s="47"/>
      <c r="H271" s="47"/>
      <c r="I271" s="47"/>
      <c r="J271" s="47"/>
      <c r="K271" s="47"/>
      <c r="L271" s="63"/>
    </row>
    <row r="272" spans="1:12" ht="27.95" customHeight="1">
      <c r="A272" s="62"/>
      <c r="B272" s="229" t="s">
        <v>283</v>
      </c>
      <c r="C272" s="47"/>
      <c r="D272" s="47"/>
      <c r="E272" s="47"/>
      <c r="F272" s="248"/>
      <c r="G272" s="47"/>
      <c r="H272" s="47"/>
      <c r="I272" s="47"/>
      <c r="J272" s="47"/>
      <c r="K272" s="47"/>
      <c r="L272" s="63"/>
    </row>
    <row r="273" spans="1:12" ht="21" customHeight="1">
      <c r="A273" s="62"/>
      <c r="B273" s="229" t="s">
        <v>284</v>
      </c>
      <c r="C273" s="47"/>
      <c r="D273" s="47"/>
      <c r="E273" s="47"/>
      <c r="F273" s="47"/>
      <c r="G273" s="47"/>
      <c r="H273" s="47"/>
      <c r="I273" s="47"/>
      <c r="J273" s="47"/>
      <c r="K273" s="47"/>
      <c r="L273" s="63"/>
    </row>
    <row r="274" spans="1:12" ht="27.95" customHeight="1">
      <c r="A274" s="62"/>
      <c r="B274" s="47" t="s">
        <v>285</v>
      </c>
      <c r="C274" s="47"/>
      <c r="D274" s="47"/>
      <c r="E274" s="47"/>
      <c r="F274" s="47"/>
      <c r="G274" s="47"/>
      <c r="H274" s="47"/>
      <c r="I274" s="47"/>
      <c r="J274" s="47"/>
      <c r="K274" s="47"/>
      <c r="L274" s="63"/>
    </row>
    <row r="275" spans="1:12" ht="27.95" customHeight="1">
      <c r="A275" s="62"/>
      <c r="B275" s="47" t="s">
        <v>286</v>
      </c>
      <c r="C275" s="47"/>
      <c r="D275" s="47"/>
      <c r="E275" s="47"/>
      <c r="F275" s="47"/>
      <c r="G275" s="47"/>
      <c r="H275" s="47"/>
      <c r="I275" s="47"/>
      <c r="J275" s="47"/>
      <c r="K275" s="47"/>
      <c r="L275" s="63"/>
    </row>
    <row r="276" spans="1:12" ht="27.95" customHeight="1">
      <c r="A276" s="62" t="s">
        <v>296</v>
      </c>
      <c r="B276" s="47" t="s">
        <v>287</v>
      </c>
      <c r="C276" s="47"/>
      <c r="D276" s="47"/>
      <c r="E276" s="47"/>
      <c r="F276" s="47"/>
      <c r="G276" s="47"/>
      <c r="H276" s="47"/>
      <c r="I276" s="47"/>
      <c r="J276" s="47"/>
      <c r="K276" s="47"/>
      <c r="L276" s="63"/>
    </row>
    <row r="277" spans="1:12" ht="27.95" customHeight="1">
      <c r="A277" s="62"/>
      <c r="B277" s="316" t="s">
        <v>308</v>
      </c>
      <c r="C277" s="47"/>
      <c r="D277" s="47"/>
      <c r="E277" s="47"/>
      <c r="F277" s="47"/>
      <c r="G277" s="47"/>
      <c r="H277" s="47"/>
      <c r="I277" s="47"/>
      <c r="J277" s="47"/>
      <c r="K277" s="47"/>
      <c r="L277" s="63"/>
    </row>
    <row r="278" spans="1:12" ht="27.95" customHeight="1">
      <c r="A278" s="62"/>
      <c r="B278" s="47" t="s">
        <v>282</v>
      </c>
      <c r="C278" s="47"/>
      <c r="D278" s="47"/>
      <c r="E278" s="47"/>
      <c r="F278" s="47"/>
      <c r="G278" s="47"/>
      <c r="H278" s="47"/>
      <c r="I278" s="47"/>
      <c r="J278" s="47"/>
      <c r="K278" s="47"/>
      <c r="L278" s="63"/>
    </row>
    <row r="279" spans="1:12" ht="19.5" customHeight="1">
      <c r="A279" s="62"/>
      <c r="B279" s="47" t="s">
        <v>288</v>
      </c>
      <c r="C279" s="47"/>
      <c r="D279" s="47"/>
      <c r="E279" s="47"/>
      <c r="F279" s="250"/>
      <c r="G279" s="250"/>
      <c r="H279" s="250"/>
      <c r="I279" s="250"/>
      <c r="J279" s="250"/>
      <c r="K279" s="250"/>
      <c r="L279" s="63"/>
    </row>
    <row r="280" spans="1:12" ht="21.75" customHeight="1">
      <c r="A280" s="62"/>
      <c r="B280" s="47" t="s">
        <v>289</v>
      </c>
      <c r="C280" s="47"/>
      <c r="D280" s="47"/>
      <c r="E280" s="47"/>
      <c r="F280" s="47"/>
      <c r="G280" s="47"/>
      <c r="H280" s="47"/>
      <c r="I280" s="47"/>
      <c r="J280" s="47"/>
      <c r="K280" s="47"/>
      <c r="L280" s="63"/>
    </row>
    <row r="281" spans="1:12" ht="18.75" customHeight="1">
      <c r="A281" s="62"/>
      <c r="B281" s="895" t="s">
        <v>290</v>
      </c>
      <c r="C281" s="895"/>
      <c r="D281" s="895"/>
      <c r="E281" s="895"/>
      <c r="F281" s="895"/>
      <c r="G281" s="895"/>
      <c r="H281" s="895"/>
      <c r="I281" s="895"/>
      <c r="J281" s="895"/>
      <c r="K281" s="895"/>
      <c r="L281" s="896"/>
    </row>
    <row r="282" spans="1:12" ht="27.95" customHeight="1">
      <c r="A282" s="62"/>
      <c r="B282" s="318" t="s">
        <v>202</v>
      </c>
      <c r="C282" s="394" t="e">
        <f>'PUNJAB 04-22Master'!#REF!</f>
        <v>#REF!</v>
      </c>
      <c r="D282" s="285"/>
      <c r="E282" s="285"/>
      <c r="F282" s="285"/>
      <c r="G282" s="285"/>
      <c r="H282" s="285"/>
      <c r="I282" s="318" t="s">
        <v>309</v>
      </c>
      <c r="J282" s="285"/>
      <c r="K282" s="285"/>
      <c r="L282" s="317"/>
    </row>
    <row r="283" spans="1:12" ht="27.95" customHeight="1" thickBot="1">
      <c r="A283" s="76"/>
      <c r="B283" s="747"/>
      <c r="C283" s="747"/>
      <c r="D283" s="747"/>
      <c r="E283" s="747"/>
      <c r="F283" s="747"/>
      <c r="G283" s="747"/>
      <c r="H283" s="747"/>
      <c r="I283" s="747"/>
      <c r="J283" s="747"/>
      <c r="K283" s="747"/>
      <c r="L283" s="748"/>
    </row>
    <row r="284" spans="1:12" ht="27.95" customHeight="1">
      <c r="A284" s="140"/>
      <c r="B284" s="141"/>
      <c r="C284" s="141"/>
      <c r="D284" s="141"/>
      <c r="E284" s="141"/>
      <c r="F284" s="141"/>
      <c r="G284" s="141"/>
      <c r="H284" s="141"/>
      <c r="I284" s="150" t="s">
        <v>236</v>
      </c>
      <c r="J284" s="141"/>
      <c r="K284" s="141"/>
      <c r="L284" s="142"/>
    </row>
    <row r="285" spans="1:12" ht="27.95" customHeight="1">
      <c r="A285" s="62"/>
      <c r="B285" s="778" t="s">
        <v>291</v>
      </c>
      <c r="C285" s="778"/>
      <c r="D285" s="778"/>
      <c r="E285" s="778"/>
      <c r="F285" s="778"/>
      <c r="G285" s="778"/>
      <c r="H285" s="778"/>
      <c r="I285" s="778"/>
      <c r="J285" s="778"/>
      <c r="K285" s="778"/>
      <c r="L285" s="779"/>
    </row>
    <row r="286" spans="1:12" ht="23.25">
      <c r="A286" s="62"/>
      <c r="B286" s="285"/>
      <c r="C286" s="285"/>
      <c r="D286" s="294" t="s">
        <v>238</v>
      </c>
      <c r="E286" s="285"/>
      <c r="F286" s="285"/>
      <c r="G286" s="285"/>
      <c r="H286" s="285"/>
      <c r="I286" s="288" t="s">
        <v>292</v>
      </c>
      <c r="J286" s="289"/>
      <c r="K286" s="395" t="e">
        <f>'PUNJAB 04-22Master'!#REF!</f>
        <v>#REF!</v>
      </c>
      <c r="L286" s="320"/>
    </row>
    <row r="287" spans="1:12" ht="15.75">
      <c r="A287" s="62"/>
      <c r="B287" s="286"/>
      <c r="C287" s="286" t="s">
        <v>239</v>
      </c>
      <c r="D287" s="47"/>
      <c r="E287" s="286"/>
      <c r="F287" s="286"/>
      <c r="G287" s="286"/>
      <c r="H287" s="286"/>
      <c r="I287" s="287" t="s">
        <v>293</v>
      </c>
      <c r="J287" s="308" t="str">
        <f>'PUNJAB 04-22Master'!F5</f>
        <v>Burgeon IT Services Pvt.Ltd.</v>
      </c>
      <c r="K287" s="290"/>
      <c r="L287" s="321"/>
    </row>
    <row r="288" spans="1:12">
      <c r="A288" s="62"/>
      <c r="B288" s="295"/>
      <c r="C288" s="258" t="s">
        <v>240</v>
      </c>
      <c r="D288" s="47"/>
      <c r="E288" s="295"/>
      <c r="F288" s="295"/>
      <c r="G288" s="47"/>
      <c r="H288" s="259"/>
      <c r="I288" s="311" t="str">
        <f>'PUNJAB 04-22Master'!F6</f>
        <v>Siri Mansion LIGB 436 Dr.A S Rao Nagar,Hyderabad</v>
      </c>
      <c r="J288" s="309"/>
      <c r="K288" s="310"/>
      <c r="L288" s="271"/>
    </row>
    <row r="289" spans="1:12">
      <c r="A289" s="62"/>
      <c r="B289" s="47"/>
      <c r="C289" s="47"/>
      <c r="D289" s="47"/>
      <c r="E289" s="47"/>
      <c r="F289" s="47"/>
      <c r="G289" s="47"/>
      <c r="H289" s="47"/>
      <c r="I289" s="47"/>
      <c r="J289" s="47"/>
      <c r="K289" s="47"/>
      <c r="L289" s="63"/>
    </row>
    <row r="290" spans="1:12">
      <c r="A290" s="62">
        <v>1</v>
      </c>
      <c r="B290" s="291" t="s">
        <v>241</v>
      </c>
      <c r="C290" s="265"/>
      <c r="D290" s="265"/>
      <c r="E290" s="265"/>
      <c r="F290" s="265"/>
      <c r="G290" s="119"/>
      <c r="H290" s="856" t="e">
        <f>'PUNJAB 04-22Master'!#REF!</f>
        <v>#REF!</v>
      </c>
      <c r="I290" s="875"/>
      <c r="J290" s="875"/>
      <c r="K290" s="875"/>
      <c r="L290" s="876"/>
    </row>
    <row r="291" spans="1:12">
      <c r="A291" s="62">
        <v>2</v>
      </c>
      <c r="B291" s="897" t="s">
        <v>242</v>
      </c>
      <c r="C291" s="898"/>
      <c r="D291" s="898"/>
      <c r="E291" s="898"/>
      <c r="F291" s="292" t="s">
        <v>243</v>
      </c>
      <c r="G291" s="273"/>
      <c r="H291" s="899" t="e">
        <f>'PUNJAB 04-22Master'!#REF!</f>
        <v>#REF!</v>
      </c>
      <c r="I291" s="900"/>
      <c r="J291" s="900"/>
      <c r="K291" s="900"/>
      <c r="L291" s="901"/>
    </row>
    <row r="292" spans="1:12">
      <c r="A292" s="62"/>
      <c r="B292" s="274" t="s">
        <v>244</v>
      </c>
      <c r="C292" s="275"/>
      <c r="D292" s="275"/>
      <c r="E292" s="275"/>
      <c r="F292" s="275" t="s">
        <v>237</v>
      </c>
      <c r="G292" s="276"/>
      <c r="H292" s="902"/>
      <c r="I292" s="903"/>
      <c r="J292" s="903"/>
      <c r="K292" s="903"/>
      <c r="L292" s="904"/>
    </row>
    <row r="293" spans="1:12">
      <c r="A293" s="62">
        <v>3</v>
      </c>
      <c r="B293" s="293" t="s">
        <v>245</v>
      </c>
      <c r="C293" s="280"/>
      <c r="D293" s="280"/>
      <c r="E293" s="280"/>
      <c r="F293" s="280"/>
      <c r="G293" s="281"/>
      <c r="H293" s="879" t="e">
        <f>'PUNJAB 04-22Master'!#REF!</f>
        <v>#REF!</v>
      </c>
      <c r="I293" s="880"/>
      <c r="J293" s="880"/>
      <c r="K293" s="880"/>
      <c r="L293" s="881"/>
    </row>
    <row r="294" spans="1:12">
      <c r="A294" s="323">
        <v>4</v>
      </c>
      <c r="B294" s="264" t="s">
        <v>246</v>
      </c>
      <c r="C294" s="118"/>
      <c r="D294" s="118"/>
      <c r="E294" s="118"/>
      <c r="F294" s="118"/>
      <c r="G294" s="119"/>
      <c r="H294" s="853" t="e">
        <f>'PUNJAB 04-22Master'!#REF!</f>
        <v>#REF!</v>
      </c>
      <c r="I294" s="867"/>
      <c r="J294" s="867"/>
      <c r="K294" s="867"/>
      <c r="L294" s="861"/>
    </row>
    <row r="295" spans="1:12">
      <c r="A295" s="323">
        <v>5</v>
      </c>
      <c r="B295" s="882" t="s">
        <v>294</v>
      </c>
      <c r="C295" s="883"/>
      <c r="D295" s="883"/>
      <c r="E295" s="883"/>
      <c r="F295" s="883"/>
      <c r="G295" s="119"/>
      <c r="H295" s="874" t="s">
        <v>372</v>
      </c>
      <c r="I295" s="875"/>
      <c r="J295" s="875"/>
      <c r="K295" s="875"/>
      <c r="L295" s="876"/>
    </row>
    <row r="296" spans="1:12">
      <c r="A296" s="323">
        <v>6</v>
      </c>
      <c r="B296" s="334" t="s">
        <v>247</v>
      </c>
      <c r="C296" s="280" t="s">
        <v>248</v>
      </c>
      <c r="D296" s="280"/>
      <c r="E296" s="280"/>
      <c r="F296" s="280"/>
      <c r="G296" s="281"/>
      <c r="H296" s="293"/>
      <c r="I296" s="280"/>
      <c r="J296" s="280"/>
      <c r="K296" s="280"/>
      <c r="L296" s="322"/>
    </row>
    <row r="297" spans="1:12">
      <c r="A297" s="62"/>
      <c r="B297" s="334" t="s">
        <v>249</v>
      </c>
      <c r="C297" s="280" t="s">
        <v>250</v>
      </c>
      <c r="D297" s="280"/>
      <c r="E297" s="280"/>
      <c r="F297" s="280"/>
      <c r="G297" s="281"/>
      <c r="H297" s="293"/>
      <c r="I297" s="333"/>
      <c r="J297" s="333"/>
      <c r="K297" s="280"/>
      <c r="L297" s="322"/>
    </row>
    <row r="298" spans="1:12">
      <c r="A298" s="323">
        <v>7</v>
      </c>
      <c r="B298" s="879" t="s">
        <v>251</v>
      </c>
      <c r="C298" s="880"/>
      <c r="D298" s="880"/>
      <c r="E298" s="880"/>
      <c r="F298" s="880"/>
      <c r="G298" s="887"/>
      <c r="H298" s="297" t="s">
        <v>252</v>
      </c>
      <c r="I298" s="298"/>
      <c r="J298" s="299"/>
      <c r="K298" s="297" t="s">
        <v>253</v>
      </c>
      <c r="L298" s="324"/>
    </row>
    <row r="299" spans="1:12">
      <c r="A299" s="323">
        <v>8</v>
      </c>
      <c r="B299" s="879" t="s">
        <v>295</v>
      </c>
      <c r="C299" s="880"/>
      <c r="D299" s="880"/>
      <c r="E299" s="880"/>
      <c r="F299" s="880"/>
      <c r="G299" s="887"/>
      <c r="H299" s="297" t="s">
        <v>252</v>
      </c>
      <c r="I299" s="298"/>
      <c r="J299" s="299"/>
      <c r="K299" s="297" t="s">
        <v>253</v>
      </c>
      <c r="L299" s="324"/>
    </row>
    <row r="300" spans="1:12">
      <c r="A300" s="62"/>
      <c r="B300" s="264"/>
      <c r="C300" s="301"/>
      <c r="D300" s="301"/>
      <c r="E300" s="301"/>
      <c r="F300" s="301" t="s">
        <v>254</v>
      </c>
      <c r="G300" s="301"/>
      <c r="H300" s="301"/>
      <c r="I300" s="301"/>
      <c r="J300" s="301"/>
      <c r="K300" s="301"/>
      <c r="L300" s="325"/>
    </row>
    <row r="301" spans="1:12">
      <c r="A301" s="323">
        <v>9</v>
      </c>
      <c r="B301" s="334" t="s">
        <v>255</v>
      </c>
      <c r="C301" s="280" t="s">
        <v>256</v>
      </c>
      <c r="D301" s="280"/>
      <c r="E301" s="280"/>
      <c r="F301" s="280"/>
      <c r="G301" s="281"/>
      <c r="H301" s="293"/>
      <c r="I301" s="280"/>
      <c r="J301" s="280"/>
      <c r="K301" s="280"/>
      <c r="L301" s="322"/>
    </row>
    <row r="302" spans="1:12">
      <c r="A302" s="157"/>
      <c r="B302" s="334" t="s">
        <v>257</v>
      </c>
      <c r="C302" s="280" t="s">
        <v>258</v>
      </c>
      <c r="D302" s="280"/>
      <c r="E302" s="280"/>
      <c r="F302" s="280"/>
      <c r="G302" s="281"/>
      <c r="H302" s="293"/>
      <c r="I302" s="280"/>
      <c r="J302" s="280"/>
      <c r="K302" s="280"/>
      <c r="L302" s="322"/>
    </row>
    <row r="303" spans="1:12">
      <c r="A303" s="157"/>
      <c r="B303" s="334" t="s">
        <v>296</v>
      </c>
      <c r="C303" s="280" t="s">
        <v>297</v>
      </c>
      <c r="D303" s="280"/>
      <c r="E303" s="280"/>
      <c r="F303" s="280"/>
      <c r="G303" s="281"/>
      <c r="H303" s="293"/>
      <c r="I303" s="280"/>
      <c r="J303" s="280"/>
      <c r="K303" s="280"/>
      <c r="L303" s="322"/>
    </row>
    <row r="304" spans="1:12">
      <c r="A304" s="157"/>
      <c r="B304" s="334" t="s">
        <v>260</v>
      </c>
      <c r="C304" s="280" t="s">
        <v>261</v>
      </c>
      <c r="D304" s="280"/>
      <c r="E304" s="280"/>
      <c r="F304" s="280"/>
      <c r="G304" s="281"/>
      <c r="H304" s="293"/>
      <c r="I304" s="280"/>
      <c r="J304" s="280"/>
      <c r="K304" s="280"/>
      <c r="L304" s="322"/>
    </row>
    <row r="305" spans="1:12">
      <c r="A305" s="157"/>
      <c r="B305" s="334" t="s">
        <v>262</v>
      </c>
      <c r="C305" s="280" t="s">
        <v>263</v>
      </c>
      <c r="D305" s="280"/>
      <c r="E305" s="280"/>
      <c r="F305" s="280"/>
      <c r="G305" s="281"/>
      <c r="H305" s="293"/>
      <c r="I305" s="280"/>
      <c r="J305" s="280"/>
      <c r="K305" s="280"/>
      <c r="L305" s="322"/>
    </row>
    <row r="306" spans="1:12">
      <c r="A306" s="157">
        <v>10</v>
      </c>
      <c r="B306" s="334" t="s">
        <v>255</v>
      </c>
      <c r="C306" s="280" t="s">
        <v>298</v>
      </c>
      <c r="D306" s="280"/>
      <c r="E306" s="280"/>
      <c r="F306" s="280"/>
      <c r="G306" s="281"/>
      <c r="H306" s="297" t="s">
        <v>252</v>
      </c>
      <c r="I306" s="298"/>
      <c r="J306" s="299"/>
      <c r="K306" s="297" t="s">
        <v>253</v>
      </c>
      <c r="L306" s="324"/>
    </row>
    <row r="307" spans="1:12">
      <c r="A307" s="157"/>
      <c r="B307" s="334" t="s">
        <v>257</v>
      </c>
      <c r="C307" s="280" t="s">
        <v>299</v>
      </c>
      <c r="D307" s="280"/>
      <c r="E307" s="280"/>
      <c r="F307" s="280"/>
      <c r="G307" s="281"/>
      <c r="H307" s="293"/>
      <c r="I307" s="280"/>
      <c r="J307" s="280"/>
      <c r="K307" s="280"/>
      <c r="L307" s="322"/>
    </row>
    <row r="308" spans="1:12">
      <c r="A308" s="157"/>
      <c r="B308" s="334" t="s">
        <v>296</v>
      </c>
      <c r="C308" s="280" t="s">
        <v>264</v>
      </c>
      <c r="D308" s="280"/>
      <c r="E308" s="280"/>
      <c r="F308" s="280"/>
      <c r="G308" s="281"/>
      <c r="H308" s="293"/>
      <c r="I308" s="280"/>
      <c r="J308" s="280"/>
      <c r="K308" s="280"/>
      <c r="L308" s="322"/>
    </row>
    <row r="309" spans="1:12">
      <c r="A309" s="157"/>
      <c r="B309" s="334" t="s">
        <v>260</v>
      </c>
      <c r="C309" s="280" t="s">
        <v>300</v>
      </c>
      <c r="D309" s="280"/>
      <c r="E309" s="280"/>
      <c r="F309" s="280"/>
      <c r="G309" s="281"/>
      <c r="H309" s="293"/>
      <c r="I309" s="280"/>
      <c r="J309" s="280"/>
      <c r="K309" s="280"/>
      <c r="L309" s="322"/>
    </row>
    <row r="310" spans="1:12">
      <c r="A310" s="62"/>
      <c r="B310" s="264"/>
      <c r="C310" s="301"/>
      <c r="D310" s="301"/>
      <c r="E310" s="301" t="s">
        <v>301</v>
      </c>
      <c r="F310" s="301"/>
      <c r="G310" s="301"/>
      <c r="H310" s="301"/>
      <c r="I310" s="301"/>
      <c r="J310" s="301"/>
      <c r="K310" s="301"/>
      <c r="L310" s="325"/>
    </row>
    <row r="311" spans="1:12">
      <c r="A311" s="62">
        <v>11</v>
      </c>
      <c r="B311" s="334" t="s">
        <v>255</v>
      </c>
      <c r="C311" s="280" t="s">
        <v>265</v>
      </c>
      <c r="D311" s="280"/>
      <c r="E311" s="280"/>
      <c r="F311" s="280"/>
      <c r="G311" s="281"/>
      <c r="H311" s="293"/>
      <c r="I311" s="280"/>
      <c r="J311" s="280"/>
      <c r="K311" s="280"/>
      <c r="L311" s="322"/>
    </row>
    <row r="312" spans="1:12">
      <c r="A312" s="62"/>
      <c r="B312" s="334" t="s">
        <v>257</v>
      </c>
      <c r="C312" s="280" t="s">
        <v>266</v>
      </c>
      <c r="D312" s="280"/>
      <c r="E312" s="280"/>
      <c r="F312" s="280"/>
      <c r="G312" s="281"/>
      <c r="H312" s="293"/>
      <c r="I312" s="280"/>
      <c r="J312" s="280"/>
      <c r="K312" s="280"/>
      <c r="L312" s="322"/>
    </row>
    <row r="313" spans="1:12">
      <c r="A313" s="62"/>
      <c r="B313" s="334" t="s">
        <v>259</v>
      </c>
      <c r="C313" s="280" t="s">
        <v>267</v>
      </c>
      <c r="D313" s="280"/>
      <c r="E313" s="280"/>
      <c r="F313" s="280"/>
      <c r="G313" s="281"/>
      <c r="H313" s="293"/>
      <c r="I313" s="280"/>
      <c r="J313" s="280"/>
      <c r="K313" s="280"/>
      <c r="L313" s="322"/>
    </row>
    <row r="314" spans="1:12">
      <c r="A314" s="62"/>
      <c r="B314" s="251"/>
      <c r="C314" s="344"/>
      <c r="D314" s="344"/>
      <c r="E314" s="344"/>
      <c r="F314" s="302" t="s">
        <v>268</v>
      </c>
      <c r="G314" s="344"/>
      <c r="H314" s="347"/>
      <c r="I314" s="347"/>
      <c r="J314" s="347"/>
      <c r="K314" s="347"/>
      <c r="L314" s="254"/>
    </row>
    <row r="315" spans="1:12">
      <c r="A315" s="62"/>
      <c r="B315" s="314" t="s">
        <v>269</v>
      </c>
      <c r="C315" s="313" t="s">
        <v>270</v>
      </c>
      <c r="D315" s="344"/>
      <c r="E315" s="344"/>
      <c r="F315" s="344"/>
      <c r="G315" s="344"/>
      <c r="H315" s="347"/>
      <c r="I315" s="347"/>
      <c r="J315" s="345"/>
      <c r="K315" s="347"/>
      <c r="L315" s="254"/>
    </row>
    <row r="316" spans="1:12">
      <c r="A316" s="62"/>
      <c r="B316" s="314" t="s">
        <v>271</v>
      </c>
      <c r="C316" s="312" t="s">
        <v>272</v>
      </c>
      <c r="D316" s="347"/>
      <c r="E316" s="345"/>
      <c r="F316" s="47"/>
      <c r="G316" s="888"/>
      <c r="H316" s="888"/>
      <c r="I316" s="340"/>
      <c r="J316" s="253"/>
      <c r="K316" s="888"/>
      <c r="L316" s="889"/>
    </row>
    <row r="317" spans="1:12">
      <c r="A317" s="62"/>
      <c r="B317" s="315" t="s">
        <v>273</v>
      </c>
      <c r="C317" s="890" t="s">
        <v>302</v>
      </c>
      <c r="D317" s="890"/>
      <c r="E317" s="890"/>
      <c r="F317" s="890"/>
      <c r="G317" s="890"/>
      <c r="H317" s="890"/>
      <c r="I317" s="890"/>
      <c r="J317" s="890"/>
      <c r="K317" s="890"/>
      <c r="L317" s="891"/>
    </row>
    <row r="318" spans="1:12">
      <c r="A318" s="62"/>
      <c r="B318" s="314" t="s">
        <v>274</v>
      </c>
      <c r="C318" s="313" t="s">
        <v>275</v>
      </c>
      <c r="D318" s="305"/>
      <c r="E318" s="305"/>
      <c r="F318" s="305"/>
      <c r="G318" s="305"/>
      <c r="H318" s="305"/>
      <c r="I318" s="305"/>
      <c r="J318" s="305"/>
      <c r="K318" s="305"/>
      <c r="L318" s="326"/>
    </row>
    <row r="319" spans="1:12">
      <c r="A319" s="62"/>
      <c r="B319" s="251"/>
      <c r="C319" s="250" t="s">
        <v>303</v>
      </c>
      <c r="D319" s="396" t="e">
        <f>'PUNJAB 04-22Master'!#REF!</f>
        <v>#REF!</v>
      </c>
      <c r="E319" s="229"/>
      <c r="F319" s="229"/>
      <c r="G319" s="229"/>
      <c r="H319" s="47"/>
      <c r="I319" s="47"/>
      <c r="J319" s="47"/>
      <c r="K319" s="47"/>
      <c r="L319" s="63"/>
    </row>
    <row r="320" spans="1:12">
      <c r="A320" s="62"/>
      <c r="B320" s="47"/>
      <c r="C320" s="250" t="s">
        <v>276</v>
      </c>
      <c r="D320" s="47" t="s">
        <v>364</v>
      </c>
      <c r="E320" s="47"/>
      <c r="F320" s="47"/>
      <c r="G320" s="47"/>
      <c r="H320" s="47"/>
      <c r="I320" s="47"/>
      <c r="J320" s="47" t="s">
        <v>304</v>
      </c>
      <c r="K320" s="47"/>
      <c r="L320" s="63"/>
    </row>
    <row r="321" spans="1:12" ht="16.5" customHeight="1">
      <c r="A321" s="62"/>
      <c r="B321" s="47"/>
      <c r="C321" s="47"/>
      <c r="D321" s="47"/>
      <c r="E321" s="47"/>
      <c r="F321" s="47"/>
      <c r="G321" s="47"/>
      <c r="H321" s="47"/>
      <c r="I321" s="47"/>
      <c r="J321" s="47"/>
      <c r="K321" s="47"/>
      <c r="L321" s="63"/>
    </row>
    <row r="322" spans="1:12" ht="21.75" customHeight="1">
      <c r="A322" s="62"/>
      <c r="B322" s="47"/>
      <c r="C322" s="47"/>
      <c r="D322" s="47"/>
      <c r="E322" s="47"/>
      <c r="F322" s="303" t="s">
        <v>277</v>
      </c>
      <c r="G322" s="47"/>
      <c r="H322" s="47"/>
      <c r="I322" s="47"/>
      <c r="J322" s="47"/>
      <c r="K322" s="47"/>
      <c r="L322" s="63"/>
    </row>
    <row r="323" spans="1:12" ht="27.95" customHeight="1">
      <c r="A323" s="62" t="s">
        <v>305</v>
      </c>
      <c r="B323" s="47" t="s">
        <v>278</v>
      </c>
      <c r="C323" s="47"/>
      <c r="D323" s="47"/>
      <c r="E323" s="306" t="e">
        <f>'PUNJAB 04-22Master'!#REF!</f>
        <v>#REF!</v>
      </c>
      <c r="F323" s="47"/>
      <c r="G323" s="47"/>
      <c r="H323" s="892" t="s">
        <v>279</v>
      </c>
      <c r="I323" s="892"/>
      <c r="J323" s="307" t="e">
        <f>'PUNJAB 04-22Master'!#REF!</f>
        <v>#REF!</v>
      </c>
      <c r="K323" s="47" t="s">
        <v>280</v>
      </c>
      <c r="L323" s="63"/>
    </row>
    <row r="324" spans="1:12" ht="25.5" customHeight="1">
      <c r="A324" s="62"/>
      <c r="B324" s="893" t="e">
        <f>'PUNJAB 04-22Master'!#REF!</f>
        <v>#REF!</v>
      </c>
      <c r="C324" s="894"/>
      <c r="D324" s="304"/>
      <c r="E324" s="304"/>
      <c r="F324" s="304"/>
      <c r="G324" s="304"/>
      <c r="H324" s="304"/>
      <c r="I324" s="304"/>
      <c r="J324" s="304"/>
      <c r="K324" s="304"/>
      <c r="L324" s="327"/>
    </row>
    <row r="325" spans="1:12" ht="24.75" customHeight="1">
      <c r="A325" s="62" t="s">
        <v>307</v>
      </c>
      <c r="B325" s="304" t="s">
        <v>281</v>
      </c>
      <c r="C325" s="304"/>
      <c r="D325" s="304"/>
      <c r="E325" s="304"/>
      <c r="F325" s="304"/>
      <c r="G325" s="304"/>
      <c r="H325" s="304"/>
      <c r="I325" s="304"/>
      <c r="J325" s="304"/>
      <c r="K325" s="304"/>
      <c r="L325" s="327"/>
    </row>
    <row r="326" spans="1:12" ht="27.95" customHeight="1">
      <c r="A326" s="62"/>
      <c r="B326" s="304" t="s">
        <v>306</v>
      </c>
      <c r="C326" s="304"/>
      <c r="D326" s="304"/>
      <c r="E326" s="304"/>
      <c r="F326" s="304"/>
      <c r="G326" s="304"/>
      <c r="H326" s="304"/>
      <c r="I326" s="304"/>
      <c r="J326" s="304"/>
      <c r="K326" s="304"/>
      <c r="L326" s="327"/>
    </row>
    <row r="327" spans="1:12" ht="27.95" customHeight="1">
      <c r="A327" s="323"/>
      <c r="B327" s="47" t="s">
        <v>282</v>
      </c>
      <c r="C327" s="47"/>
      <c r="D327" s="47"/>
      <c r="E327" s="47"/>
      <c r="F327" s="47"/>
      <c r="G327" s="47"/>
      <c r="H327" s="47"/>
      <c r="I327" s="47"/>
      <c r="J327" s="47"/>
      <c r="K327" s="47"/>
      <c r="L327" s="63"/>
    </row>
    <row r="328" spans="1:12" ht="27.95" customHeight="1">
      <c r="A328" s="62"/>
      <c r="B328" s="229" t="s">
        <v>283</v>
      </c>
      <c r="C328" s="47"/>
      <c r="D328" s="47"/>
      <c r="E328" s="47"/>
      <c r="F328" s="248"/>
      <c r="G328" s="47"/>
      <c r="H328" s="47"/>
      <c r="I328" s="47"/>
      <c r="J328" s="47"/>
      <c r="K328" s="47"/>
      <c r="L328" s="63"/>
    </row>
    <row r="329" spans="1:12" ht="27.95" customHeight="1">
      <c r="A329" s="62"/>
      <c r="B329" s="229" t="s">
        <v>284</v>
      </c>
      <c r="C329" s="47"/>
      <c r="D329" s="47"/>
      <c r="E329" s="47"/>
      <c r="F329" s="47"/>
      <c r="G329" s="47"/>
      <c r="H329" s="47"/>
      <c r="I329" s="47"/>
      <c r="J329" s="47"/>
      <c r="K329" s="47"/>
      <c r="L329" s="63"/>
    </row>
    <row r="330" spans="1:12" ht="27.95" customHeight="1">
      <c r="A330" s="62"/>
      <c r="B330" s="47" t="s">
        <v>285</v>
      </c>
      <c r="C330" s="47"/>
      <c r="D330" s="47"/>
      <c r="E330" s="47"/>
      <c r="F330" s="47"/>
      <c r="G330" s="47"/>
      <c r="H330" s="47"/>
      <c r="I330" s="47"/>
      <c r="J330" s="47"/>
      <c r="K330" s="47"/>
      <c r="L330" s="63"/>
    </row>
    <row r="331" spans="1:12" ht="27.95" customHeight="1">
      <c r="A331" s="62"/>
      <c r="B331" s="47" t="s">
        <v>286</v>
      </c>
      <c r="C331" s="47"/>
      <c r="D331" s="47"/>
      <c r="E331" s="47"/>
      <c r="F331" s="47"/>
      <c r="G331" s="47"/>
      <c r="H331" s="47"/>
      <c r="I331" s="47"/>
      <c r="J331" s="47"/>
      <c r="K331" s="47"/>
      <c r="L331" s="63"/>
    </row>
    <row r="332" spans="1:12" ht="27.95" customHeight="1">
      <c r="A332" s="62" t="s">
        <v>296</v>
      </c>
      <c r="B332" s="47" t="s">
        <v>287</v>
      </c>
      <c r="C332" s="47"/>
      <c r="D332" s="47"/>
      <c r="E332" s="47"/>
      <c r="F332" s="47"/>
      <c r="G332" s="47"/>
      <c r="H332" s="47"/>
      <c r="I332" s="47"/>
      <c r="J332" s="47"/>
      <c r="K332" s="47"/>
      <c r="L332" s="63"/>
    </row>
    <row r="333" spans="1:12" ht="27.95" customHeight="1">
      <c r="A333" s="62"/>
      <c r="B333" s="316" t="s">
        <v>308</v>
      </c>
      <c r="C333" s="47"/>
      <c r="D333" s="47"/>
      <c r="E333" s="47"/>
      <c r="F333" s="47"/>
      <c r="G333" s="47"/>
      <c r="H333" s="47"/>
      <c r="I333" s="47"/>
      <c r="J333" s="47"/>
      <c r="K333" s="47"/>
      <c r="L333" s="63"/>
    </row>
    <row r="334" spans="1:12" ht="27.95" customHeight="1">
      <c r="A334" s="62"/>
      <c r="B334" s="47" t="s">
        <v>282</v>
      </c>
      <c r="C334" s="47"/>
      <c r="D334" s="47"/>
      <c r="E334" s="47"/>
      <c r="F334" s="47"/>
      <c r="G334" s="47"/>
      <c r="H334" s="47"/>
      <c r="I334" s="47"/>
      <c r="J334" s="47"/>
      <c r="K334" s="47"/>
      <c r="L334" s="63"/>
    </row>
    <row r="335" spans="1:12" ht="27.95" customHeight="1">
      <c r="A335" s="62"/>
      <c r="B335" s="47" t="s">
        <v>288</v>
      </c>
      <c r="C335" s="47"/>
      <c r="D335" s="47"/>
      <c r="E335" s="47"/>
      <c r="F335" s="250"/>
      <c r="G335" s="250"/>
      <c r="H335" s="250"/>
      <c r="I335" s="250"/>
      <c r="J335" s="250"/>
      <c r="K335" s="250"/>
      <c r="L335" s="63"/>
    </row>
    <row r="336" spans="1:12" ht="27.95" customHeight="1">
      <c r="A336" s="62"/>
      <c r="B336" s="47" t="s">
        <v>289</v>
      </c>
      <c r="C336" s="47"/>
      <c r="D336" s="47"/>
      <c r="E336" s="47"/>
      <c r="F336" s="47"/>
      <c r="G336" s="47"/>
      <c r="H336" s="47"/>
      <c r="I336" s="47"/>
      <c r="J336" s="47"/>
      <c r="K336" s="47"/>
      <c r="L336" s="63"/>
    </row>
    <row r="337" spans="1:12" ht="27.95" customHeight="1">
      <c r="A337" s="62"/>
      <c r="B337" s="895" t="s">
        <v>290</v>
      </c>
      <c r="C337" s="895"/>
      <c r="D337" s="895"/>
      <c r="E337" s="895"/>
      <c r="F337" s="895"/>
      <c r="G337" s="895"/>
      <c r="H337" s="895"/>
      <c r="I337" s="895"/>
      <c r="J337" s="895"/>
      <c r="K337" s="895"/>
      <c r="L337" s="896"/>
    </row>
    <row r="338" spans="1:12" ht="27.95" customHeight="1">
      <c r="A338" s="62"/>
      <c r="B338" s="318" t="s">
        <v>202</v>
      </c>
      <c r="C338" s="394" t="e">
        <f>'PUNJAB 04-22Master'!#REF!</f>
        <v>#REF!</v>
      </c>
      <c r="D338" s="285"/>
      <c r="E338" s="285"/>
      <c r="F338" s="285"/>
      <c r="G338" s="285"/>
      <c r="H338" s="285"/>
      <c r="I338" s="318" t="s">
        <v>309</v>
      </c>
      <c r="J338" s="285"/>
      <c r="K338" s="285"/>
      <c r="L338" s="317"/>
    </row>
    <row r="339" spans="1:12" ht="16.5" thickBot="1">
      <c r="A339" s="76"/>
      <c r="B339" s="747"/>
      <c r="C339" s="747"/>
      <c r="D339" s="747"/>
      <c r="E339" s="747"/>
      <c r="F339" s="747"/>
      <c r="G339" s="747"/>
      <c r="H339" s="747"/>
      <c r="I339" s="747"/>
      <c r="J339" s="747"/>
      <c r="K339" s="747"/>
      <c r="L339" s="748"/>
    </row>
    <row r="340" spans="1:12">
      <c r="A340" s="140"/>
      <c r="B340" s="141"/>
      <c r="C340" s="141"/>
      <c r="D340" s="141"/>
      <c r="E340" s="141"/>
      <c r="F340" s="141"/>
      <c r="G340" s="141"/>
      <c r="H340" s="141"/>
      <c r="I340" s="150" t="s">
        <v>236</v>
      </c>
      <c r="J340" s="141"/>
      <c r="K340" s="141"/>
      <c r="L340" s="142"/>
    </row>
    <row r="341" spans="1:12">
      <c r="A341" s="62"/>
      <c r="B341" s="778" t="s">
        <v>291</v>
      </c>
      <c r="C341" s="778"/>
      <c r="D341" s="778"/>
      <c r="E341" s="778"/>
      <c r="F341" s="778"/>
      <c r="G341" s="778"/>
      <c r="H341" s="778"/>
      <c r="I341" s="778"/>
      <c r="J341" s="778"/>
      <c r="K341" s="778"/>
      <c r="L341" s="779"/>
    </row>
    <row r="342" spans="1:12" ht="23.25">
      <c r="A342" s="62"/>
      <c r="B342" s="285"/>
      <c r="C342" s="285"/>
      <c r="D342" s="294" t="s">
        <v>238</v>
      </c>
      <c r="E342" s="285"/>
      <c r="F342" s="285"/>
      <c r="G342" s="285"/>
      <c r="H342" s="285"/>
      <c r="I342" s="288" t="s">
        <v>292</v>
      </c>
      <c r="J342" s="289"/>
      <c r="K342" s="395" t="e">
        <f>'PUNJAB 04-22Master'!#REF!</f>
        <v>#REF!</v>
      </c>
      <c r="L342" s="320"/>
    </row>
    <row r="343" spans="1:12" ht="15.75">
      <c r="A343" s="62"/>
      <c r="B343" s="286"/>
      <c r="C343" s="286" t="s">
        <v>239</v>
      </c>
      <c r="D343" s="47"/>
      <c r="E343" s="286"/>
      <c r="F343" s="286"/>
      <c r="G343" s="286"/>
      <c r="H343" s="286"/>
      <c r="I343" s="287" t="s">
        <v>293</v>
      </c>
      <c r="J343" s="308" t="str">
        <f>'PUNJAB 04-22Master'!F5</f>
        <v>Burgeon IT Services Pvt.Ltd.</v>
      </c>
      <c r="K343" s="290"/>
      <c r="L343" s="321"/>
    </row>
    <row r="344" spans="1:12">
      <c r="A344" s="62"/>
      <c r="B344" s="295"/>
      <c r="C344" s="258" t="s">
        <v>240</v>
      </c>
      <c r="D344" s="47"/>
      <c r="E344" s="295"/>
      <c r="F344" s="295"/>
      <c r="G344" s="47"/>
      <c r="H344" s="259"/>
      <c r="I344" s="311" t="str">
        <f>'PUNJAB 04-22Master'!F6</f>
        <v>Siri Mansion LIGB 436 Dr.A S Rao Nagar,Hyderabad</v>
      </c>
      <c r="J344" s="309"/>
      <c r="K344" s="310"/>
      <c r="L344" s="271"/>
    </row>
    <row r="345" spans="1:12">
      <c r="A345" s="62"/>
      <c r="B345" s="47"/>
      <c r="C345" s="47"/>
      <c r="D345" s="47"/>
      <c r="E345" s="47"/>
      <c r="F345" s="47"/>
      <c r="G345" s="47"/>
      <c r="H345" s="47"/>
      <c r="I345" s="47"/>
      <c r="J345" s="47"/>
      <c r="K345" s="47"/>
      <c r="L345" s="63"/>
    </row>
    <row r="346" spans="1:12" ht="20.25" customHeight="1">
      <c r="A346" s="62">
        <v>1</v>
      </c>
      <c r="B346" s="291" t="s">
        <v>241</v>
      </c>
      <c r="C346" s="265"/>
      <c r="D346" s="265"/>
      <c r="E346" s="265"/>
      <c r="F346" s="265"/>
      <c r="G346" s="119"/>
      <c r="H346" s="856" t="e">
        <f>'PUNJAB 04-22Master'!#REF!</f>
        <v>#REF!</v>
      </c>
      <c r="I346" s="875"/>
      <c r="J346" s="875"/>
      <c r="K346" s="875"/>
      <c r="L346" s="876"/>
    </row>
    <row r="347" spans="1:12" ht="11.25" customHeight="1">
      <c r="A347" s="62">
        <v>2</v>
      </c>
      <c r="B347" s="897" t="s">
        <v>242</v>
      </c>
      <c r="C347" s="898"/>
      <c r="D347" s="898"/>
      <c r="E347" s="898"/>
      <c r="F347" s="292" t="s">
        <v>243</v>
      </c>
      <c r="G347" s="273"/>
      <c r="H347" s="899" t="e">
        <f>'PUNJAB 04-22Master'!#REF!</f>
        <v>#REF!</v>
      </c>
      <c r="I347" s="900"/>
      <c r="J347" s="900"/>
      <c r="K347" s="900"/>
      <c r="L347" s="901"/>
    </row>
    <row r="348" spans="1:12" ht="11.25" customHeight="1">
      <c r="A348" s="62"/>
      <c r="B348" s="274" t="s">
        <v>244</v>
      </c>
      <c r="C348" s="275"/>
      <c r="D348" s="275"/>
      <c r="E348" s="275"/>
      <c r="F348" s="275" t="s">
        <v>237</v>
      </c>
      <c r="G348" s="276"/>
      <c r="H348" s="902"/>
      <c r="I348" s="903"/>
      <c r="J348" s="903"/>
      <c r="K348" s="903"/>
      <c r="L348" s="904"/>
    </row>
    <row r="349" spans="1:12">
      <c r="A349" s="62">
        <v>3</v>
      </c>
      <c r="B349" s="293" t="s">
        <v>245</v>
      </c>
      <c r="C349" s="280"/>
      <c r="D349" s="280"/>
      <c r="E349" s="280"/>
      <c r="F349" s="280"/>
      <c r="G349" s="281"/>
      <c r="H349" s="879">
        <f>'PUNJAB 04-22Master'!C65</f>
        <v>0</v>
      </c>
      <c r="I349" s="880"/>
      <c r="J349" s="880"/>
      <c r="K349" s="880"/>
      <c r="L349" s="881"/>
    </row>
    <row r="350" spans="1:12">
      <c r="A350" s="323">
        <v>4</v>
      </c>
      <c r="B350" s="264" t="s">
        <v>246</v>
      </c>
      <c r="C350" s="118"/>
      <c r="D350" s="118"/>
      <c r="E350" s="118"/>
      <c r="F350" s="118"/>
      <c r="G350" s="119"/>
      <c r="H350" s="853">
        <f>'PUNJAB 04-22Master'!D65</f>
        <v>0</v>
      </c>
      <c r="I350" s="867"/>
      <c r="J350" s="867"/>
      <c r="K350" s="867"/>
      <c r="L350" s="861"/>
    </row>
    <row r="351" spans="1:12">
      <c r="A351" s="323">
        <v>5</v>
      </c>
      <c r="B351" s="882" t="s">
        <v>294</v>
      </c>
      <c r="C351" s="883"/>
      <c r="D351" s="883"/>
      <c r="E351" s="883"/>
      <c r="F351" s="883"/>
      <c r="G351" s="119"/>
      <c r="H351" s="874" t="s">
        <v>372</v>
      </c>
      <c r="I351" s="875"/>
      <c r="J351" s="875"/>
      <c r="K351" s="875"/>
      <c r="L351" s="876"/>
    </row>
    <row r="352" spans="1:12">
      <c r="A352" s="323">
        <v>6</v>
      </c>
      <c r="B352" s="334" t="s">
        <v>247</v>
      </c>
      <c r="C352" s="280" t="s">
        <v>248</v>
      </c>
      <c r="D352" s="280"/>
      <c r="E352" s="280"/>
      <c r="F352" s="280"/>
      <c r="G352" s="281"/>
      <c r="H352" s="293"/>
      <c r="I352" s="280"/>
      <c r="J352" s="280"/>
      <c r="K352" s="280"/>
      <c r="L352" s="322"/>
    </row>
    <row r="353" spans="1:12">
      <c r="A353" s="62"/>
      <c r="B353" s="334" t="s">
        <v>249</v>
      </c>
      <c r="C353" s="280" t="s">
        <v>250</v>
      </c>
      <c r="D353" s="280"/>
      <c r="E353" s="280"/>
      <c r="F353" s="280"/>
      <c r="G353" s="281"/>
      <c r="H353" s="293"/>
      <c r="I353" s="333"/>
      <c r="J353" s="333"/>
      <c r="K353" s="280"/>
      <c r="L353" s="322"/>
    </row>
    <row r="354" spans="1:12">
      <c r="A354" s="323">
        <v>7</v>
      </c>
      <c r="B354" s="879" t="s">
        <v>251</v>
      </c>
      <c r="C354" s="880"/>
      <c r="D354" s="880"/>
      <c r="E354" s="880"/>
      <c r="F354" s="880"/>
      <c r="G354" s="887"/>
      <c r="H354" s="297" t="s">
        <v>252</v>
      </c>
      <c r="I354" s="298"/>
      <c r="J354" s="299"/>
      <c r="K354" s="297" t="s">
        <v>253</v>
      </c>
      <c r="L354" s="324"/>
    </row>
    <row r="355" spans="1:12">
      <c r="A355" s="323">
        <v>8</v>
      </c>
      <c r="B355" s="879" t="s">
        <v>295</v>
      </c>
      <c r="C355" s="880"/>
      <c r="D355" s="880"/>
      <c r="E355" s="880"/>
      <c r="F355" s="880"/>
      <c r="G355" s="887"/>
      <c r="H355" s="297" t="s">
        <v>252</v>
      </c>
      <c r="I355" s="298"/>
      <c r="J355" s="299"/>
      <c r="K355" s="297" t="s">
        <v>253</v>
      </c>
      <c r="L355" s="324"/>
    </row>
    <row r="356" spans="1:12">
      <c r="A356" s="62"/>
      <c r="B356" s="264"/>
      <c r="C356" s="301"/>
      <c r="D356" s="301"/>
      <c r="E356" s="301"/>
      <c r="F356" s="301" t="s">
        <v>254</v>
      </c>
      <c r="G356" s="301"/>
      <c r="H356" s="301"/>
      <c r="I356" s="301"/>
      <c r="J356" s="301"/>
      <c r="K356" s="301"/>
      <c r="L356" s="325"/>
    </row>
    <row r="357" spans="1:12">
      <c r="A357" s="323">
        <v>9</v>
      </c>
      <c r="B357" s="334" t="s">
        <v>255</v>
      </c>
      <c r="C357" s="280" t="s">
        <v>256</v>
      </c>
      <c r="D357" s="280"/>
      <c r="E357" s="280"/>
      <c r="F357" s="280"/>
      <c r="G357" s="281"/>
      <c r="H357" s="293"/>
      <c r="I357" s="280"/>
      <c r="J357" s="280"/>
      <c r="K357" s="280"/>
      <c r="L357" s="322"/>
    </row>
    <row r="358" spans="1:12">
      <c r="A358" s="157"/>
      <c r="B358" s="334" t="s">
        <v>257</v>
      </c>
      <c r="C358" s="280" t="s">
        <v>258</v>
      </c>
      <c r="D358" s="280"/>
      <c r="E358" s="280"/>
      <c r="F358" s="280"/>
      <c r="G358" s="281"/>
      <c r="H358" s="293"/>
      <c r="I358" s="280"/>
      <c r="J358" s="280"/>
      <c r="K358" s="280"/>
      <c r="L358" s="322"/>
    </row>
    <row r="359" spans="1:12">
      <c r="A359" s="157"/>
      <c r="B359" s="334" t="s">
        <v>296</v>
      </c>
      <c r="C359" s="280" t="s">
        <v>297</v>
      </c>
      <c r="D359" s="280"/>
      <c r="E359" s="280"/>
      <c r="F359" s="280"/>
      <c r="G359" s="281"/>
      <c r="H359" s="293"/>
      <c r="I359" s="280"/>
      <c r="J359" s="280"/>
      <c r="K359" s="280"/>
      <c r="L359" s="322"/>
    </row>
    <row r="360" spans="1:12">
      <c r="A360" s="157"/>
      <c r="B360" s="334" t="s">
        <v>260</v>
      </c>
      <c r="C360" s="280" t="s">
        <v>261</v>
      </c>
      <c r="D360" s="280"/>
      <c r="E360" s="280"/>
      <c r="F360" s="280"/>
      <c r="G360" s="281"/>
      <c r="H360" s="293"/>
      <c r="I360" s="280"/>
      <c r="J360" s="280"/>
      <c r="K360" s="280"/>
      <c r="L360" s="322"/>
    </row>
    <row r="361" spans="1:12">
      <c r="A361" s="157"/>
      <c r="B361" s="334" t="s">
        <v>262</v>
      </c>
      <c r="C361" s="280" t="s">
        <v>263</v>
      </c>
      <c r="D361" s="280"/>
      <c r="E361" s="280"/>
      <c r="F361" s="280"/>
      <c r="G361" s="281"/>
      <c r="H361" s="293"/>
      <c r="I361" s="280"/>
      <c r="J361" s="280"/>
      <c r="K361" s="280"/>
      <c r="L361" s="322"/>
    </row>
    <row r="362" spans="1:12">
      <c r="A362" s="157">
        <v>10</v>
      </c>
      <c r="B362" s="334" t="s">
        <v>255</v>
      </c>
      <c r="C362" s="280" t="s">
        <v>298</v>
      </c>
      <c r="D362" s="280"/>
      <c r="E362" s="280"/>
      <c r="F362" s="280"/>
      <c r="G362" s="281"/>
      <c r="H362" s="297" t="s">
        <v>252</v>
      </c>
      <c r="I362" s="298"/>
      <c r="J362" s="299"/>
      <c r="K362" s="297" t="s">
        <v>253</v>
      </c>
      <c r="L362" s="324"/>
    </row>
    <row r="363" spans="1:12">
      <c r="A363" s="157"/>
      <c r="B363" s="334" t="s">
        <v>257</v>
      </c>
      <c r="C363" s="280" t="s">
        <v>299</v>
      </c>
      <c r="D363" s="280"/>
      <c r="E363" s="280"/>
      <c r="F363" s="280"/>
      <c r="G363" s="281"/>
      <c r="H363" s="293"/>
      <c r="I363" s="280"/>
      <c r="J363" s="280"/>
      <c r="K363" s="280"/>
      <c r="L363" s="322"/>
    </row>
    <row r="364" spans="1:12">
      <c r="A364" s="157"/>
      <c r="B364" s="334" t="s">
        <v>296</v>
      </c>
      <c r="C364" s="280" t="s">
        <v>264</v>
      </c>
      <c r="D364" s="280"/>
      <c r="E364" s="280"/>
      <c r="F364" s="280"/>
      <c r="G364" s="281"/>
      <c r="H364" s="293"/>
      <c r="I364" s="280"/>
      <c r="J364" s="280"/>
      <c r="K364" s="280"/>
      <c r="L364" s="322"/>
    </row>
    <row r="365" spans="1:12">
      <c r="A365" s="157"/>
      <c r="B365" s="334" t="s">
        <v>260</v>
      </c>
      <c r="C365" s="280" t="s">
        <v>300</v>
      </c>
      <c r="D365" s="280"/>
      <c r="E365" s="280"/>
      <c r="F365" s="280"/>
      <c r="G365" s="281"/>
      <c r="H365" s="293"/>
      <c r="I365" s="280"/>
      <c r="J365" s="280"/>
      <c r="K365" s="280"/>
      <c r="L365" s="322"/>
    </row>
    <row r="366" spans="1:12">
      <c r="A366" s="62"/>
      <c r="B366" s="264"/>
      <c r="C366" s="301"/>
      <c r="D366" s="301"/>
      <c r="E366" s="301" t="s">
        <v>301</v>
      </c>
      <c r="F366" s="301"/>
      <c r="G366" s="301"/>
      <c r="H366" s="301"/>
      <c r="I366" s="301"/>
      <c r="J366" s="301"/>
      <c r="K366" s="301"/>
      <c r="L366" s="325"/>
    </row>
    <row r="367" spans="1:12">
      <c r="A367" s="62">
        <v>11</v>
      </c>
      <c r="B367" s="334" t="s">
        <v>255</v>
      </c>
      <c r="C367" s="280" t="s">
        <v>265</v>
      </c>
      <c r="D367" s="280"/>
      <c r="E367" s="280"/>
      <c r="F367" s="280"/>
      <c r="G367" s="281"/>
      <c r="H367" s="293"/>
      <c r="I367" s="280"/>
      <c r="J367" s="280"/>
      <c r="K367" s="280"/>
      <c r="L367" s="322"/>
    </row>
    <row r="368" spans="1:12">
      <c r="A368" s="62"/>
      <c r="B368" s="334" t="s">
        <v>257</v>
      </c>
      <c r="C368" s="280" t="s">
        <v>266</v>
      </c>
      <c r="D368" s="280"/>
      <c r="E368" s="280"/>
      <c r="F368" s="280"/>
      <c r="G368" s="281"/>
      <c r="H368" s="293"/>
      <c r="I368" s="280"/>
      <c r="J368" s="280"/>
      <c r="K368" s="280"/>
      <c r="L368" s="322"/>
    </row>
    <row r="369" spans="1:12">
      <c r="A369" s="62"/>
      <c r="B369" s="334" t="s">
        <v>259</v>
      </c>
      <c r="C369" s="280" t="s">
        <v>267</v>
      </c>
      <c r="D369" s="280"/>
      <c r="E369" s="280"/>
      <c r="F369" s="280"/>
      <c r="G369" s="281"/>
      <c r="H369" s="293"/>
      <c r="I369" s="280"/>
      <c r="J369" s="280"/>
      <c r="K369" s="280"/>
      <c r="L369" s="322"/>
    </row>
    <row r="370" spans="1:12">
      <c r="A370" s="62"/>
      <c r="B370" s="251"/>
      <c r="C370" s="344"/>
      <c r="D370" s="344"/>
      <c r="E370" s="344"/>
      <c r="F370" s="302" t="s">
        <v>268</v>
      </c>
      <c r="G370" s="344"/>
      <c r="H370" s="347"/>
      <c r="I370" s="347"/>
      <c r="J370" s="347"/>
      <c r="K370" s="347"/>
      <c r="L370" s="254"/>
    </row>
    <row r="371" spans="1:12">
      <c r="A371" s="62"/>
      <c r="B371" s="314" t="s">
        <v>269</v>
      </c>
      <c r="C371" s="313" t="s">
        <v>270</v>
      </c>
      <c r="D371" s="344"/>
      <c r="E371" s="344"/>
      <c r="F371" s="344"/>
      <c r="G371" s="344"/>
      <c r="H371" s="347"/>
      <c r="I371" s="347"/>
      <c r="J371" s="345"/>
      <c r="K371" s="347"/>
      <c r="L371" s="254"/>
    </row>
    <row r="372" spans="1:12">
      <c r="A372" s="62"/>
      <c r="B372" s="314" t="s">
        <v>271</v>
      </c>
      <c r="C372" s="312" t="s">
        <v>272</v>
      </c>
      <c r="D372" s="347"/>
      <c r="E372" s="345"/>
      <c r="F372" s="47"/>
      <c r="G372" s="888"/>
      <c r="H372" s="888"/>
      <c r="I372" s="340"/>
      <c r="J372" s="253"/>
      <c r="K372" s="888"/>
      <c r="L372" s="889"/>
    </row>
    <row r="373" spans="1:12">
      <c r="A373" s="62"/>
      <c r="B373" s="315" t="s">
        <v>273</v>
      </c>
      <c r="C373" s="890" t="s">
        <v>302</v>
      </c>
      <c r="D373" s="890"/>
      <c r="E373" s="890"/>
      <c r="F373" s="890"/>
      <c r="G373" s="890"/>
      <c r="H373" s="890"/>
      <c r="I373" s="890"/>
      <c r="J373" s="890"/>
      <c r="K373" s="890"/>
      <c r="L373" s="891"/>
    </row>
    <row r="374" spans="1:12" ht="27.95" customHeight="1">
      <c r="A374" s="62"/>
      <c r="B374" s="314" t="s">
        <v>274</v>
      </c>
      <c r="C374" s="313" t="s">
        <v>275</v>
      </c>
      <c r="D374" s="305"/>
      <c r="E374" s="305"/>
      <c r="F374" s="305"/>
      <c r="G374" s="305"/>
      <c r="H374" s="305"/>
      <c r="I374" s="305"/>
      <c r="J374" s="305"/>
      <c r="K374" s="305"/>
      <c r="L374" s="326"/>
    </row>
    <row r="375" spans="1:12" ht="27.95" customHeight="1">
      <c r="A375" s="62"/>
      <c r="B375" s="251"/>
      <c r="C375" s="250" t="s">
        <v>303</v>
      </c>
      <c r="D375" s="396" t="e">
        <f>'PUNJAB 04-22Master'!#REF!</f>
        <v>#REF!</v>
      </c>
      <c r="E375" s="229"/>
      <c r="F375" s="229"/>
      <c r="G375" s="229"/>
      <c r="H375" s="47"/>
      <c r="I375" s="47"/>
      <c r="J375" s="47"/>
      <c r="K375" s="47"/>
      <c r="L375" s="63"/>
    </row>
    <row r="376" spans="1:12" ht="27.95" customHeight="1">
      <c r="A376" s="62"/>
      <c r="B376" s="47"/>
      <c r="C376" s="250" t="s">
        <v>276</v>
      </c>
      <c r="D376" s="47" t="s">
        <v>364</v>
      </c>
      <c r="E376" s="47"/>
      <c r="F376" s="47"/>
      <c r="G376" s="47"/>
      <c r="H376" s="47"/>
      <c r="I376" s="47"/>
      <c r="J376" s="47" t="s">
        <v>304</v>
      </c>
      <c r="K376" s="47"/>
      <c r="L376" s="63"/>
    </row>
    <row r="377" spans="1:12" ht="27.95" customHeight="1">
      <c r="A377" s="62"/>
      <c r="B377" s="47"/>
      <c r="C377" s="47"/>
      <c r="D377" s="47"/>
      <c r="E377" s="47"/>
      <c r="F377" s="303" t="s">
        <v>277</v>
      </c>
      <c r="G377" s="47"/>
      <c r="H377" s="47"/>
      <c r="I377" s="47"/>
      <c r="J377" s="47"/>
      <c r="K377" s="47"/>
      <c r="L377" s="63"/>
    </row>
    <row r="378" spans="1:12" ht="27.95" customHeight="1">
      <c r="A378" s="62" t="s">
        <v>305</v>
      </c>
      <c r="B378" s="47" t="s">
        <v>278</v>
      </c>
      <c r="C378" s="47"/>
      <c r="D378" s="47"/>
      <c r="E378" s="306" t="e">
        <f>'PUNJAB 04-22Master'!#REF!</f>
        <v>#REF!</v>
      </c>
      <c r="F378" s="47"/>
      <c r="G378" s="47"/>
      <c r="H378" s="892" t="s">
        <v>279</v>
      </c>
      <c r="I378" s="892"/>
      <c r="J378" s="307" t="e">
        <f>'PUNJAB 04-22Master'!#REF!</f>
        <v>#REF!</v>
      </c>
      <c r="K378" s="47" t="s">
        <v>280</v>
      </c>
      <c r="L378" s="63"/>
    </row>
    <row r="379" spans="1:12" ht="27.95" customHeight="1">
      <c r="A379" s="62"/>
      <c r="B379" s="893" t="e">
        <f>'PUNJAB 04-22Master'!#REF!</f>
        <v>#REF!</v>
      </c>
      <c r="C379" s="894"/>
      <c r="D379" s="304"/>
      <c r="E379" s="304"/>
      <c r="F379" s="304"/>
      <c r="G379" s="304"/>
      <c r="H379" s="304"/>
      <c r="I379" s="304"/>
      <c r="J379" s="304"/>
      <c r="K379" s="304"/>
      <c r="L379" s="327"/>
    </row>
    <row r="380" spans="1:12" ht="27.95" customHeight="1">
      <c r="A380" s="62" t="s">
        <v>307</v>
      </c>
      <c r="B380" s="304" t="s">
        <v>281</v>
      </c>
      <c r="C380" s="304"/>
      <c r="D380" s="304"/>
      <c r="E380" s="304"/>
      <c r="F380" s="304"/>
      <c r="G380" s="304"/>
      <c r="H380" s="304"/>
      <c r="I380" s="304"/>
      <c r="J380" s="304"/>
      <c r="K380" s="304"/>
      <c r="L380" s="327"/>
    </row>
    <row r="381" spans="1:12" ht="27.95" customHeight="1">
      <c r="A381" s="62"/>
      <c r="B381" s="304" t="s">
        <v>306</v>
      </c>
      <c r="C381" s="304"/>
      <c r="D381" s="304"/>
      <c r="E381" s="304"/>
      <c r="F381" s="304"/>
      <c r="G381" s="304"/>
      <c r="H381" s="304"/>
      <c r="I381" s="304"/>
      <c r="J381" s="304"/>
      <c r="K381" s="304"/>
      <c r="L381" s="327"/>
    </row>
    <row r="382" spans="1:12" ht="27.95" customHeight="1">
      <c r="A382" s="323"/>
      <c r="B382" s="47" t="s">
        <v>282</v>
      </c>
      <c r="C382" s="47"/>
      <c r="D382" s="47"/>
      <c r="E382" s="47"/>
      <c r="F382" s="47"/>
      <c r="G382" s="47"/>
      <c r="H382" s="47"/>
      <c r="I382" s="47"/>
      <c r="J382" s="47"/>
      <c r="K382" s="47"/>
      <c r="L382" s="63"/>
    </row>
    <row r="383" spans="1:12" ht="27.95" customHeight="1">
      <c r="A383" s="62"/>
      <c r="B383" s="229" t="s">
        <v>283</v>
      </c>
      <c r="C383" s="47"/>
      <c r="D383" s="47"/>
      <c r="E383" s="47"/>
      <c r="F383" s="248"/>
      <c r="G383" s="47"/>
      <c r="H383" s="47"/>
      <c r="I383" s="47"/>
      <c r="J383" s="47"/>
      <c r="K383" s="47"/>
      <c r="L383" s="63"/>
    </row>
    <row r="384" spans="1:12" ht="27.95" customHeight="1">
      <c r="A384" s="62"/>
      <c r="B384" s="229" t="s">
        <v>284</v>
      </c>
      <c r="C384" s="47"/>
      <c r="D384" s="47"/>
      <c r="E384" s="47"/>
      <c r="F384" s="47"/>
      <c r="G384" s="47"/>
      <c r="H384" s="47"/>
      <c r="I384" s="47"/>
      <c r="J384" s="47"/>
      <c r="K384" s="47"/>
      <c r="L384" s="63"/>
    </row>
    <row r="385" spans="1:12" ht="27.95" customHeight="1">
      <c r="A385" s="62"/>
      <c r="B385" s="47" t="s">
        <v>285</v>
      </c>
      <c r="C385" s="47"/>
      <c r="D385" s="47"/>
      <c r="E385" s="47"/>
      <c r="F385" s="47"/>
      <c r="G385" s="47"/>
      <c r="H385" s="47"/>
      <c r="I385" s="47"/>
      <c r="J385" s="47"/>
      <c r="K385" s="47"/>
      <c r="L385" s="63"/>
    </row>
    <row r="386" spans="1:12" ht="27.95" customHeight="1">
      <c r="A386" s="62"/>
      <c r="B386" s="47" t="s">
        <v>286</v>
      </c>
      <c r="C386" s="47"/>
      <c r="D386" s="47"/>
      <c r="E386" s="47"/>
      <c r="F386" s="47"/>
      <c r="G386" s="47"/>
      <c r="H386" s="47"/>
      <c r="I386" s="47"/>
      <c r="J386" s="47"/>
      <c r="K386" s="47"/>
      <c r="L386" s="63"/>
    </row>
    <row r="387" spans="1:12" ht="27.95" customHeight="1">
      <c r="A387" s="62" t="s">
        <v>296</v>
      </c>
      <c r="B387" s="47" t="s">
        <v>287</v>
      </c>
      <c r="C387" s="47"/>
      <c r="D387" s="47"/>
      <c r="E387" s="47"/>
      <c r="F387" s="47"/>
      <c r="G387" s="47"/>
      <c r="H387" s="47"/>
      <c r="I387" s="47"/>
      <c r="J387" s="47"/>
      <c r="K387" s="47"/>
      <c r="L387" s="63"/>
    </row>
    <row r="388" spans="1:12" ht="27.95" customHeight="1">
      <c r="A388" s="62"/>
      <c r="B388" s="316" t="s">
        <v>308</v>
      </c>
      <c r="C388" s="47"/>
      <c r="D388" s="47"/>
      <c r="E388" s="47"/>
      <c r="F388" s="47"/>
      <c r="G388" s="47"/>
      <c r="H388" s="47"/>
      <c r="I388" s="47"/>
      <c r="J388" s="47"/>
      <c r="K388" s="47"/>
      <c r="L388" s="63"/>
    </row>
    <row r="389" spans="1:12" ht="27.95" customHeight="1">
      <c r="A389" s="62"/>
      <c r="B389" s="47" t="s">
        <v>282</v>
      </c>
      <c r="C389" s="47"/>
      <c r="D389" s="47"/>
      <c r="E389" s="47"/>
      <c r="F389" s="47"/>
      <c r="G389" s="47"/>
      <c r="H389" s="47"/>
      <c r="I389" s="47"/>
      <c r="J389" s="47"/>
      <c r="K389" s="47"/>
      <c r="L389" s="63"/>
    </row>
    <row r="390" spans="1:12" ht="27.95" customHeight="1">
      <c r="A390" s="62"/>
      <c r="B390" s="47" t="s">
        <v>288</v>
      </c>
      <c r="C390" s="47"/>
      <c r="D390" s="47"/>
      <c r="E390" s="47"/>
      <c r="F390" s="250"/>
      <c r="G390" s="250"/>
      <c r="H390" s="250"/>
      <c r="I390" s="250"/>
      <c r="J390" s="250"/>
      <c r="K390" s="250"/>
      <c r="L390" s="63"/>
    </row>
    <row r="391" spans="1:12">
      <c r="A391" s="62"/>
      <c r="B391" s="47" t="s">
        <v>289</v>
      </c>
      <c r="C391" s="47"/>
      <c r="D391" s="47"/>
      <c r="E391" s="47"/>
      <c r="F391" s="47"/>
      <c r="G391" s="47"/>
      <c r="H391" s="47"/>
      <c r="I391" s="47"/>
      <c r="J391" s="47"/>
      <c r="K391" s="47"/>
      <c r="L391" s="63"/>
    </row>
    <row r="392" spans="1:12">
      <c r="A392" s="62"/>
      <c r="B392" s="895" t="s">
        <v>290</v>
      </c>
      <c r="C392" s="895"/>
      <c r="D392" s="895"/>
      <c r="E392" s="895"/>
      <c r="F392" s="895"/>
      <c r="G392" s="895"/>
      <c r="H392" s="895"/>
      <c r="I392" s="895"/>
      <c r="J392" s="895"/>
      <c r="K392" s="895"/>
      <c r="L392" s="896"/>
    </row>
    <row r="393" spans="1:12" ht="23.25">
      <c r="A393" s="62"/>
      <c r="B393" s="318" t="s">
        <v>202</v>
      </c>
      <c r="C393" s="394" t="e">
        <f>'PUNJAB 04-22Master'!#REF!</f>
        <v>#REF!</v>
      </c>
      <c r="D393" s="285"/>
      <c r="E393" s="285"/>
      <c r="F393" s="285"/>
      <c r="G393" s="285"/>
      <c r="H393" s="285"/>
      <c r="I393" s="318" t="s">
        <v>309</v>
      </c>
      <c r="J393" s="285"/>
      <c r="K393" s="285"/>
      <c r="L393" s="317"/>
    </row>
    <row r="394" spans="1:12" ht="16.5" thickBot="1">
      <c r="A394" s="76"/>
      <c r="B394" s="747"/>
      <c r="C394" s="747"/>
      <c r="D394" s="747"/>
      <c r="E394" s="747"/>
      <c r="F394" s="747"/>
      <c r="G394" s="747"/>
      <c r="H394" s="747"/>
      <c r="I394" s="747"/>
      <c r="J394" s="747"/>
      <c r="K394" s="747"/>
      <c r="L394" s="748"/>
    </row>
    <row r="395" spans="1:12" ht="24" thickBot="1">
      <c r="A395" s="47"/>
      <c r="B395" s="745"/>
      <c r="C395" s="745"/>
      <c r="D395" s="745"/>
      <c r="E395" s="745"/>
      <c r="F395" s="745"/>
      <c r="G395" s="745"/>
      <c r="H395" s="745"/>
      <c r="I395" s="745"/>
      <c r="J395" s="745"/>
      <c r="K395" s="745"/>
      <c r="L395" s="745"/>
    </row>
    <row r="396" spans="1:12">
      <c r="A396" s="140"/>
      <c r="B396" s="141"/>
      <c r="C396" s="141"/>
      <c r="D396" s="141"/>
      <c r="E396" s="141"/>
      <c r="F396" s="141"/>
      <c r="G396" s="141"/>
      <c r="H396" s="141"/>
      <c r="I396" s="150" t="s">
        <v>236</v>
      </c>
      <c r="J396" s="141"/>
      <c r="K396" s="141"/>
      <c r="L396" s="142"/>
    </row>
    <row r="397" spans="1:12" ht="15" customHeight="1">
      <c r="A397" s="62"/>
      <c r="B397" s="778" t="s">
        <v>291</v>
      </c>
      <c r="C397" s="778"/>
      <c r="D397" s="778"/>
      <c r="E397" s="778"/>
      <c r="F397" s="778"/>
      <c r="G397" s="778"/>
      <c r="H397" s="778"/>
      <c r="I397" s="778"/>
      <c r="J397" s="778"/>
      <c r="K397" s="778"/>
      <c r="L397" s="779"/>
    </row>
    <row r="398" spans="1:12" ht="23.25">
      <c r="A398" s="62"/>
      <c r="B398" s="285"/>
      <c r="C398" s="285"/>
      <c r="D398" s="294" t="s">
        <v>238</v>
      </c>
      <c r="E398" s="285"/>
      <c r="F398" s="285"/>
      <c r="G398" s="285"/>
      <c r="H398" s="285"/>
      <c r="I398" s="288" t="s">
        <v>292</v>
      </c>
      <c r="J398" s="289"/>
      <c r="K398" s="395" t="e">
        <f>'PUNJAB 04-22Master'!#REF!</f>
        <v>#REF!</v>
      </c>
      <c r="L398" s="320"/>
    </row>
    <row r="399" spans="1:12" ht="15.75">
      <c r="A399" s="62"/>
      <c r="B399" s="286"/>
      <c r="C399" s="286" t="s">
        <v>239</v>
      </c>
      <c r="D399" s="47"/>
      <c r="E399" s="286"/>
      <c r="F399" s="286"/>
      <c r="G399" s="286"/>
      <c r="H399" s="286"/>
      <c r="I399" s="287" t="s">
        <v>293</v>
      </c>
      <c r="J399" s="308" t="str">
        <f>'PUNJAB 04-22Master'!F5</f>
        <v>Burgeon IT Services Pvt.Ltd.</v>
      </c>
      <c r="K399" s="290"/>
      <c r="L399" s="321"/>
    </row>
    <row r="400" spans="1:12">
      <c r="A400" s="62"/>
      <c r="B400" s="295"/>
      <c r="C400" s="258" t="s">
        <v>240</v>
      </c>
      <c r="D400" s="47"/>
      <c r="E400" s="295"/>
      <c r="F400" s="295"/>
      <c r="G400" s="47"/>
      <c r="H400" s="259"/>
      <c r="I400" s="311" t="str">
        <f>'PUNJAB 04-22Master'!F6</f>
        <v>Siri Mansion LIGB 436 Dr.A S Rao Nagar,Hyderabad</v>
      </c>
      <c r="J400" s="309"/>
      <c r="K400" s="310"/>
      <c r="L400" s="271"/>
    </row>
    <row r="401" spans="1:12">
      <c r="A401" s="62"/>
      <c r="B401" s="47"/>
      <c r="C401" s="47"/>
      <c r="D401" s="47"/>
      <c r="E401" s="47"/>
      <c r="F401" s="47"/>
      <c r="G401" s="47"/>
      <c r="H401" s="47"/>
      <c r="I401" s="47"/>
      <c r="J401" s="47"/>
      <c r="K401" s="47"/>
      <c r="L401" s="63"/>
    </row>
    <row r="402" spans="1:12">
      <c r="A402" s="62">
        <v>1</v>
      </c>
      <c r="B402" s="291" t="s">
        <v>241</v>
      </c>
      <c r="C402" s="265"/>
      <c r="D402" s="265"/>
      <c r="E402" s="265"/>
      <c r="F402" s="265"/>
      <c r="G402" s="119"/>
      <c r="H402" s="856" t="e">
        <f>'PUNJAB 04-22Master'!#REF!</f>
        <v>#REF!</v>
      </c>
      <c r="I402" s="875"/>
      <c r="J402" s="875"/>
      <c r="K402" s="875"/>
      <c r="L402" s="876"/>
    </row>
    <row r="403" spans="1:12">
      <c r="A403" s="62">
        <v>2</v>
      </c>
      <c r="B403" s="897" t="s">
        <v>242</v>
      </c>
      <c r="C403" s="898"/>
      <c r="D403" s="898"/>
      <c r="E403" s="898"/>
      <c r="F403" s="292" t="s">
        <v>243</v>
      </c>
      <c r="G403" s="273"/>
      <c r="H403" s="899" t="e">
        <f>'PUNJAB 04-22Master'!#REF!</f>
        <v>#REF!</v>
      </c>
      <c r="I403" s="900"/>
      <c r="J403" s="900"/>
      <c r="K403" s="900"/>
      <c r="L403" s="901"/>
    </row>
    <row r="404" spans="1:12">
      <c r="A404" s="62"/>
      <c r="B404" s="274" t="s">
        <v>244</v>
      </c>
      <c r="C404" s="275"/>
      <c r="D404" s="275"/>
      <c r="E404" s="275"/>
      <c r="F404" s="275" t="s">
        <v>237</v>
      </c>
      <c r="G404" s="276"/>
      <c r="H404" s="902"/>
      <c r="I404" s="903"/>
      <c r="J404" s="903"/>
      <c r="K404" s="903"/>
      <c r="L404" s="904"/>
    </row>
    <row r="405" spans="1:12">
      <c r="A405" s="62">
        <v>3</v>
      </c>
      <c r="B405" s="293" t="s">
        <v>245</v>
      </c>
      <c r="C405" s="280"/>
      <c r="D405" s="280"/>
      <c r="E405" s="280"/>
      <c r="F405" s="280"/>
      <c r="G405" s="281"/>
      <c r="H405" s="879" t="e">
        <f>'PUNJAB 04-22Master'!#REF!</f>
        <v>#REF!</v>
      </c>
      <c r="I405" s="880"/>
      <c r="J405" s="880"/>
      <c r="K405" s="880"/>
      <c r="L405" s="881"/>
    </row>
    <row r="406" spans="1:12">
      <c r="A406" s="323">
        <v>4</v>
      </c>
      <c r="B406" s="264" t="s">
        <v>246</v>
      </c>
      <c r="C406" s="118"/>
      <c r="D406" s="118"/>
      <c r="E406" s="118"/>
      <c r="F406" s="118"/>
      <c r="G406" s="119"/>
      <c r="H406" s="853" t="e">
        <f>'PUNJAB 04-22Master'!#REF!</f>
        <v>#REF!</v>
      </c>
      <c r="I406" s="867"/>
      <c r="J406" s="867"/>
      <c r="K406" s="867"/>
      <c r="L406" s="861"/>
    </row>
    <row r="407" spans="1:12">
      <c r="A407" s="323">
        <v>5</v>
      </c>
      <c r="B407" s="882" t="s">
        <v>294</v>
      </c>
      <c r="C407" s="883"/>
      <c r="D407" s="883"/>
      <c r="E407" s="883"/>
      <c r="F407" s="883"/>
      <c r="G407" s="119"/>
      <c r="H407" s="874" t="s">
        <v>372</v>
      </c>
      <c r="I407" s="875"/>
      <c r="J407" s="875"/>
      <c r="K407" s="875"/>
      <c r="L407" s="876"/>
    </row>
    <row r="408" spans="1:12">
      <c r="A408" s="323">
        <v>6</v>
      </c>
      <c r="B408" s="334" t="s">
        <v>247</v>
      </c>
      <c r="C408" s="280" t="s">
        <v>248</v>
      </c>
      <c r="D408" s="280"/>
      <c r="E408" s="280"/>
      <c r="F408" s="280"/>
      <c r="G408" s="281"/>
      <c r="H408" s="293"/>
      <c r="I408" s="280"/>
      <c r="J408" s="280"/>
      <c r="K408" s="280"/>
      <c r="L408" s="322"/>
    </row>
    <row r="409" spans="1:12">
      <c r="A409" s="62"/>
      <c r="B409" s="334" t="s">
        <v>249</v>
      </c>
      <c r="C409" s="280" t="s">
        <v>250</v>
      </c>
      <c r="D409" s="280"/>
      <c r="E409" s="280"/>
      <c r="F409" s="280"/>
      <c r="G409" s="281"/>
      <c r="H409" s="293"/>
      <c r="I409" s="333"/>
      <c r="J409" s="333"/>
      <c r="K409" s="280"/>
      <c r="L409" s="322"/>
    </row>
    <row r="410" spans="1:12">
      <c r="A410" s="323">
        <v>7</v>
      </c>
      <c r="B410" s="879" t="s">
        <v>251</v>
      </c>
      <c r="C410" s="880"/>
      <c r="D410" s="880"/>
      <c r="E410" s="880"/>
      <c r="F410" s="880"/>
      <c r="G410" s="887"/>
      <c r="H410" s="297" t="s">
        <v>252</v>
      </c>
      <c r="I410" s="298"/>
      <c r="J410" s="299"/>
      <c r="K410" s="297" t="s">
        <v>253</v>
      </c>
      <c r="L410" s="324"/>
    </row>
    <row r="411" spans="1:12">
      <c r="A411" s="323">
        <v>8</v>
      </c>
      <c r="B411" s="879" t="s">
        <v>295</v>
      </c>
      <c r="C411" s="880"/>
      <c r="D411" s="880"/>
      <c r="E411" s="880"/>
      <c r="F411" s="880"/>
      <c r="G411" s="887"/>
      <c r="H411" s="297" t="s">
        <v>252</v>
      </c>
      <c r="I411" s="298"/>
      <c r="J411" s="299"/>
      <c r="K411" s="297" t="s">
        <v>253</v>
      </c>
      <c r="L411" s="324"/>
    </row>
    <row r="412" spans="1:12" ht="27.95" customHeight="1">
      <c r="A412" s="62"/>
      <c r="B412" s="264"/>
      <c r="C412" s="301"/>
      <c r="D412" s="301"/>
      <c r="E412" s="301"/>
      <c r="F412" s="301" t="s">
        <v>254</v>
      </c>
      <c r="G412" s="301"/>
      <c r="H412" s="301"/>
      <c r="I412" s="301"/>
      <c r="J412" s="301"/>
      <c r="K412" s="301"/>
      <c r="L412" s="325"/>
    </row>
    <row r="413" spans="1:12" ht="27.95" customHeight="1">
      <c r="A413" s="323">
        <v>9</v>
      </c>
      <c r="B413" s="334" t="s">
        <v>255</v>
      </c>
      <c r="C413" s="280" t="s">
        <v>256</v>
      </c>
      <c r="D413" s="280"/>
      <c r="E413" s="280"/>
      <c r="F413" s="280"/>
      <c r="G413" s="281"/>
      <c r="H413" s="293"/>
      <c r="I413" s="280"/>
      <c r="J413" s="280"/>
      <c r="K413" s="280"/>
      <c r="L413" s="322"/>
    </row>
    <row r="414" spans="1:12" ht="27.95" customHeight="1">
      <c r="A414" s="157"/>
      <c r="B414" s="334" t="s">
        <v>257</v>
      </c>
      <c r="C414" s="280" t="s">
        <v>258</v>
      </c>
      <c r="D414" s="280"/>
      <c r="E414" s="280"/>
      <c r="F414" s="280"/>
      <c r="G414" s="281"/>
      <c r="H414" s="293"/>
      <c r="I414" s="280"/>
      <c r="J414" s="280"/>
      <c r="K414" s="280"/>
      <c r="L414" s="322"/>
    </row>
    <row r="415" spans="1:12" ht="27.95" customHeight="1">
      <c r="A415" s="157"/>
      <c r="B415" s="334" t="s">
        <v>296</v>
      </c>
      <c r="C415" s="280" t="s">
        <v>297</v>
      </c>
      <c r="D415" s="280"/>
      <c r="E415" s="280"/>
      <c r="F415" s="280"/>
      <c r="G415" s="281"/>
      <c r="H415" s="293"/>
      <c r="I415" s="280"/>
      <c r="J415" s="280"/>
      <c r="K415" s="280"/>
      <c r="L415" s="322"/>
    </row>
    <row r="416" spans="1:12" ht="27.95" customHeight="1">
      <c r="A416" s="157"/>
      <c r="B416" s="334" t="s">
        <v>260</v>
      </c>
      <c r="C416" s="280" t="s">
        <v>261</v>
      </c>
      <c r="D416" s="280"/>
      <c r="E416" s="280"/>
      <c r="F416" s="280"/>
      <c r="G416" s="281"/>
      <c r="H416" s="293"/>
      <c r="I416" s="280"/>
      <c r="J416" s="280"/>
      <c r="K416" s="280"/>
      <c r="L416" s="322"/>
    </row>
    <row r="417" spans="1:12" ht="27.95" customHeight="1">
      <c r="A417" s="157"/>
      <c r="B417" s="334" t="s">
        <v>262</v>
      </c>
      <c r="C417" s="280" t="s">
        <v>263</v>
      </c>
      <c r="D417" s="280"/>
      <c r="E417" s="280"/>
      <c r="F417" s="280"/>
      <c r="G417" s="281"/>
      <c r="H417" s="293"/>
      <c r="I417" s="280"/>
      <c r="J417" s="280"/>
      <c r="K417" s="280"/>
      <c r="L417" s="322"/>
    </row>
    <row r="418" spans="1:12" ht="27.95" customHeight="1">
      <c r="A418" s="157">
        <v>10</v>
      </c>
      <c r="B418" s="334" t="s">
        <v>255</v>
      </c>
      <c r="C418" s="280" t="s">
        <v>298</v>
      </c>
      <c r="D418" s="280"/>
      <c r="E418" s="280"/>
      <c r="F418" s="280"/>
      <c r="G418" s="281"/>
      <c r="H418" s="297" t="s">
        <v>252</v>
      </c>
      <c r="I418" s="298"/>
      <c r="J418" s="299"/>
      <c r="K418" s="297" t="s">
        <v>253</v>
      </c>
      <c r="L418" s="324"/>
    </row>
    <row r="419" spans="1:12" ht="27.95" customHeight="1">
      <c r="A419" s="157"/>
      <c r="B419" s="334" t="s">
        <v>257</v>
      </c>
      <c r="C419" s="280" t="s">
        <v>299</v>
      </c>
      <c r="D419" s="280"/>
      <c r="E419" s="280"/>
      <c r="F419" s="280"/>
      <c r="G419" s="281"/>
      <c r="H419" s="293"/>
      <c r="I419" s="280"/>
      <c r="J419" s="280"/>
      <c r="K419" s="280"/>
      <c r="L419" s="322"/>
    </row>
    <row r="420" spans="1:12" ht="27.95" customHeight="1">
      <c r="A420" s="157"/>
      <c r="B420" s="334" t="s">
        <v>296</v>
      </c>
      <c r="C420" s="280" t="s">
        <v>264</v>
      </c>
      <c r="D420" s="280"/>
      <c r="E420" s="280"/>
      <c r="F420" s="280"/>
      <c r="G420" s="281"/>
      <c r="H420" s="293"/>
      <c r="I420" s="280"/>
      <c r="J420" s="280"/>
      <c r="K420" s="280"/>
      <c r="L420" s="322"/>
    </row>
    <row r="421" spans="1:12" ht="27.95" customHeight="1">
      <c r="A421" s="157"/>
      <c r="B421" s="334" t="s">
        <v>260</v>
      </c>
      <c r="C421" s="280" t="s">
        <v>300</v>
      </c>
      <c r="D421" s="280"/>
      <c r="E421" s="280"/>
      <c r="F421" s="280"/>
      <c r="G421" s="281"/>
      <c r="H421" s="293"/>
      <c r="I421" s="280"/>
      <c r="J421" s="280"/>
      <c r="K421" s="280"/>
      <c r="L421" s="322"/>
    </row>
    <row r="422" spans="1:12" ht="27.95" customHeight="1">
      <c r="A422" s="62"/>
      <c r="B422" s="264"/>
      <c r="C422" s="301"/>
      <c r="D422" s="301"/>
      <c r="E422" s="301" t="s">
        <v>301</v>
      </c>
      <c r="F422" s="301"/>
      <c r="G422" s="301"/>
      <c r="H422" s="301"/>
      <c r="I422" s="301"/>
      <c r="J422" s="301"/>
      <c r="K422" s="301"/>
      <c r="L422" s="325"/>
    </row>
    <row r="423" spans="1:12" ht="27.95" customHeight="1">
      <c r="A423" s="62">
        <v>11</v>
      </c>
      <c r="B423" s="334" t="s">
        <v>255</v>
      </c>
      <c r="C423" s="280" t="s">
        <v>265</v>
      </c>
      <c r="D423" s="280"/>
      <c r="E423" s="280"/>
      <c r="F423" s="280"/>
      <c r="G423" s="281"/>
      <c r="H423" s="293"/>
      <c r="I423" s="280"/>
      <c r="J423" s="280"/>
      <c r="K423" s="280"/>
      <c r="L423" s="322"/>
    </row>
    <row r="424" spans="1:12" ht="27.95" customHeight="1">
      <c r="A424" s="62"/>
      <c r="B424" s="334" t="s">
        <v>257</v>
      </c>
      <c r="C424" s="280" t="s">
        <v>266</v>
      </c>
      <c r="D424" s="280"/>
      <c r="E424" s="280"/>
      <c r="F424" s="280"/>
      <c r="G424" s="281"/>
      <c r="H424" s="293"/>
      <c r="I424" s="280"/>
      <c r="J424" s="280"/>
      <c r="K424" s="280"/>
      <c r="L424" s="322"/>
    </row>
    <row r="425" spans="1:12" ht="27.95" customHeight="1">
      <c r="A425" s="62"/>
      <c r="B425" s="334" t="s">
        <v>259</v>
      </c>
      <c r="C425" s="280" t="s">
        <v>267</v>
      </c>
      <c r="D425" s="280"/>
      <c r="E425" s="280"/>
      <c r="F425" s="280"/>
      <c r="G425" s="281"/>
      <c r="H425" s="293"/>
      <c r="I425" s="280"/>
      <c r="J425" s="280"/>
      <c r="K425" s="280"/>
      <c r="L425" s="322"/>
    </row>
    <row r="426" spans="1:12" ht="27.95" customHeight="1">
      <c r="A426" s="62"/>
      <c r="B426" s="251"/>
      <c r="C426" s="344"/>
      <c r="D426" s="344"/>
      <c r="E426" s="344"/>
      <c r="F426" s="302" t="s">
        <v>268</v>
      </c>
      <c r="G426" s="344"/>
      <c r="H426" s="347"/>
      <c r="I426" s="347"/>
      <c r="J426" s="347"/>
      <c r="K426" s="347"/>
      <c r="L426" s="254"/>
    </row>
    <row r="427" spans="1:12" ht="27.95" customHeight="1">
      <c r="A427" s="62"/>
      <c r="B427" s="314" t="s">
        <v>269</v>
      </c>
      <c r="C427" s="313" t="s">
        <v>270</v>
      </c>
      <c r="D427" s="344"/>
      <c r="E427" s="344"/>
      <c r="F427" s="344"/>
      <c r="G427" s="344"/>
      <c r="H427" s="347"/>
      <c r="I427" s="347"/>
      <c r="J427" s="345"/>
      <c r="K427" s="347"/>
      <c r="L427" s="254"/>
    </row>
    <row r="428" spans="1:12" ht="27.95" customHeight="1">
      <c r="A428" s="62"/>
      <c r="B428" s="314" t="s">
        <v>271</v>
      </c>
      <c r="C428" s="312" t="s">
        <v>272</v>
      </c>
      <c r="D428" s="347"/>
      <c r="E428" s="345"/>
      <c r="F428" s="47"/>
      <c r="G428" s="888"/>
      <c r="H428" s="888"/>
      <c r="I428" s="340"/>
      <c r="J428" s="253"/>
      <c r="K428" s="888"/>
      <c r="L428" s="889"/>
    </row>
    <row r="429" spans="1:12" ht="27.95" customHeight="1">
      <c r="A429" s="62"/>
      <c r="B429" s="315" t="s">
        <v>273</v>
      </c>
      <c r="C429" s="890" t="s">
        <v>302</v>
      </c>
      <c r="D429" s="890"/>
      <c r="E429" s="890"/>
      <c r="F429" s="890"/>
      <c r="G429" s="890"/>
      <c r="H429" s="890"/>
      <c r="I429" s="890"/>
      <c r="J429" s="890"/>
      <c r="K429" s="890"/>
      <c r="L429" s="891"/>
    </row>
    <row r="430" spans="1:12">
      <c r="A430" s="62"/>
      <c r="B430" s="314" t="s">
        <v>274</v>
      </c>
      <c r="C430" s="313" t="s">
        <v>275</v>
      </c>
      <c r="D430" s="305"/>
      <c r="E430" s="305"/>
      <c r="F430" s="305"/>
      <c r="G430" s="305"/>
      <c r="H430" s="305"/>
      <c r="I430" s="305"/>
      <c r="J430" s="305"/>
      <c r="K430" s="305"/>
      <c r="L430" s="326"/>
    </row>
    <row r="431" spans="1:12">
      <c r="A431" s="62"/>
      <c r="B431" s="251"/>
      <c r="C431" s="250" t="s">
        <v>303</v>
      </c>
      <c r="D431" s="396" t="e">
        <f>'PUNJAB 04-22Master'!#REF!</f>
        <v>#REF!</v>
      </c>
      <c r="E431" s="229"/>
      <c r="F431" s="229"/>
      <c r="G431" s="229"/>
      <c r="H431" s="47"/>
      <c r="I431" s="47"/>
      <c r="J431" s="47"/>
      <c r="K431" s="47"/>
      <c r="L431" s="63"/>
    </row>
    <row r="432" spans="1:12">
      <c r="A432" s="62"/>
      <c r="B432" s="47"/>
      <c r="C432" s="250" t="s">
        <v>276</v>
      </c>
      <c r="D432" s="47" t="s">
        <v>364</v>
      </c>
      <c r="E432" s="47"/>
      <c r="F432" s="47"/>
      <c r="G432" s="47"/>
      <c r="H432" s="47"/>
      <c r="I432" s="47"/>
      <c r="J432" s="47" t="s">
        <v>304</v>
      </c>
      <c r="K432" s="47"/>
      <c r="L432" s="63"/>
    </row>
    <row r="433" spans="1:12">
      <c r="A433" s="62"/>
      <c r="B433" s="47"/>
      <c r="C433" s="47"/>
      <c r="D433" s="47"/>
      <c r="E433" s="47"/>
      <c r="F433" s="303" t="s">
        <v>277</v>
      </c>
      <c r="G433" s="47"/>
      <c r="H433" s="47"/>
      <c r="I433" s="47"/>
      <c r="J433" s="47"/>
      <c r="K433" s="47"/>
      <c r="L433" s="63"/>
    </row>
    <row r="434" spans="1:12">
      <c r="A434" s="62" t="s">
        <v>305</v>
      </c>
      <c r="B434" s="47" t="s">
        <v>278</v>
      </c>
      <c r="C434" s="47"/>
      <c r="D434" s="47"/>
      <c r="E434" s="306" t="e">
        <f>'PUNJAB 04-22Master'!#REF!</f>
        <v>#REF!</v>
      </c>
      <c r="F434" s="47"/>
      <c r="G434" s="47"/>
      <c r="H434" s="892" t="s">
        <v>279</v>
      </c>
      <c r="I434" s="892"/>
      <c r="J434" s="307" t="e">
        <f>'PUNJAB 04-22Master'!#REF!</f>
        <v>#REF!</v>
      </c>
      <c r="K434" s="47" t="s">
        <v>280</v>
      </c>
      <c r="L434" s="63"/>
    </row>
    <row r="435" spans="1:12">
      <c r="A435" s="62"/>
      <c r="B435" s="893" t="e">
        <f>'PUNJAB 04-22Master'!#REF!</f>
        <v>#REF!</v>
      </c>
      <c r="C435" s="894"/>
      <c r="D435" s="304"/>
      <c r="E435" s="304"/>
      <c r="F435" s="304"/>
      <c r="G435" s="304"/>
      <c r="H435" s="304"/>
      <c r="I435" s="304"/>
      <c r="J435" s="304"/>
      <c r="K435" s="304"/>
      <c r="L435" s="327"/>
    </row>
    <row r="436" spans="1:12" ht="15" customHeight="1">
      <c r="A436" s="62" t="s">
        <v>307</v>
      </c>
      <c r="B436" s="304" t="s">
        <v>281</v>
      </c>
      <c r="C436" s="304"/>
      <c r="D436" s="304"/>
      <c r="E436" s="304"/>
      <c r="F436" s="304"/>
      <c r="G436" s="304"/>
      <c r="H436" s="304"/>
      <c r="I436" s="304"/>
      <c r="J436" s="304"/>
      <c r="K436" s="304"/>
      <c r="L436" s="327"/>
    </row>
    <row r="437" spans="1:12">
      <c r="A437" s="62"/>
      <c r="B437" s="304" t="s">
        <v>306</v>
      </c>
      <c r="C437" s="304"/>
      <c r="D437" s="304"/>
      <c r="E437" s="304"/>
      <c r="F437" s="304"/>
      <c r="G437" s="304"/>
      <c r="H437" s="304"/>
      <c r="I437" s="304"/>
      <c r="J437" s="304"/>
      <c r="K437" s="304"/>
      <c r="L437" s="327"/>
    </row>
    <row r="438" spans="1:12">
      <c r="A438" s="323"/>
      <c r="B438" s="47" t="s">
        <v>282</v>
      </c>
      <c r="C438" s="47"/>
      <c r="D438" s="47"/>
      <c r="E438" s="47"/>
      <c r="F438" s="47"/>
      <c r="G438" s="47"/>
      <c r="H438" s="47"/>
      <c r="I438" s="47"/>
      <c r="J438" s="47"/>
      <c r="K438" s="47"/>
      <c r="L438" s="63"/>
    </row>
    <row r="439" spans="1:12" ht="18.75">
      <c r="A439" s="62"/>
      <c r="B439" s="229" t="s">
        <v>283</v>
      </c>
      <c r="C439" s="47"/>
      <c r="D439" s="47"/>
      <c r="E439" s="47"/>
      <c r="F439" s="248"/>
      <c r="G439" s="47"/>
      <c r="H439" s="47"/>
      <c r="I439" s="47"/>
      <c r="J439" s="47"/>
      <c r="K439" s="47"/>
      <c r="L439" s="63"/>
    </row>
    <row r="440" spans="1:12">
      <c r="A440" s="62"/>
      <c r="B440" s="229" t="s">
        <v>284</v>
      </c>
      <c r="C440" s="47"/>
      <c r="D440" s="47"/>
      <c r="E440" s="47"/>
      <c r="F440" s="47"/>
      <c r="G440" s="47"/>
      <c r="H440" s="47"/>
      <c r="I440" s="47"/>
      <c r="J440" s="47"/>
      <c r="K440" s="47"/>
      <c r="L440" s="63"/>
    </row>
    <row r="441" spans="1:12">
      <c r="A441" s="62"/>
      <c r="B441" s="47" t="s">
        <v>285</v>
      </c>
      <c r="C441" s="47"/>
      <c r="D441" s="47"/>
      <c r="E441" s="47"/>
      <c r="F441" s="47"/>
      <c r="G441" s="47"/>
      <c r="H441" s="47"/>
      <c r="I441" s="47"/>
      <c r="J441" s="47"/>
      <c r="K441" s="47"/>
      <c r="L441" s="63"/>
    </row>
    <row r="442" spans="1:12">
      <c r="A442" s="62"/>
      <c r="B442" s="47" t="s">
        <v>286</v>
      </c>
      <c r="C442" s="47"/>
      <c r="D442" s="47"/>
      <c r="E442" s="47"/>
      <c r="F442" s="47"/>
      <c r="G442" s="47"/>
      <c r="H442" s="47"/>
      <c r="I442" s="47"/>
      <c r="J442" s="47"/>
      <c r="K442" s="47"/>
      <c r="L442" s="63"/>
    </row>
    <row r="443" spans="1:12">
      <c r="A443" s="62" t="s">
        <v>296</v>
      </c>
      <c r="B443" s="47" t="s">
        <v>287</v>
      </c>
      <c r="C443" s="47"/>
      <c r="D443" s="47"/>
      <c r="E443" s="47"/>
      <c r="F443" s="47"/>
      <c r="G443" s="47"/>
      <c r="H443" s="47"/>
      <c r="I443" s="47"/>
      <c r="J443" s="47"/>
      <c r="K443" s="47"/>
      <c r="L443" s="63"/>
    </row>
    <row r="444" spans="1:12">
      <c r="A444" s="62"/>
      <c r="B444" s="316" t="s">
        <v>308</v>
      </c>
      <c r="C444" s="47"/>
      <c r="D444" s="47"/>
      <c r="E444" s="47"/>
      <c r="F444" s="47"/>
      <c r="G444" s="47"/>
      <c r="H444" s="47"/>
      <c r="I444" s="47"/>
      <c r="J444" s="47"/>
      <c r="K444" s="47"/>
      <c r="L444" s="63"/>
    </row>
    <row r="445" spans="1:12">
      <c r="A445" s="62"/>
      <c r="B445" s="47" t="s">
        <v>282</v>
      </c>
      <c r="C445" s="47"/>
      <c r="D445" s="47"/>
      <c r="E445" s="47"/>
      <c r="F445" s="47"/>
      <c r="G445" s="47"/>
      <c r="H445" s="47"/>
      <c r="I445" s="47"/>
      <c r="J445" s="47"/>
      <c r="K445" s="47"/>
      <c r="L445" s="63"/>
    </row>
    <row r="446" spans="1:12">
      <c r="A446" s="62"/>
      <c r="B446" s="47" t="s">
        <v>288</v>
      </c>
      <c r="C446" s="47"/>
      <c r="D446" s="47"/>
      <c r="E446" s="47"/>
      <c r="F446" s="250"/>
      <c r="G446" s="250"/>
      <c r="H446" s="250"/>
      <c r="I446" s="250"/>
      <c r="J446" s="250"/>
      <c r="K446" s="250"/>
      <c r="L446" s="63"/>
    </row>
    <row r="447" spans="1:12">
      <c r="A447" s="62"/>
      <c r="B447" s="47" t="s">
        <v>289</v>
      </c>
      <c r="C447" s="47"/>
      <c r="D447" s="47"/>
      <c r="E447" s="47"/>
      <c r="F447" s="47"/>
      <c r="G447" s="47"/>
      <c r="H447" s="47"/>
      <c r="I447" s="47"/>
      <c r="J447" s="47"/>
      <c r="K447" s="47"/>
      <c r="L447" s="63"/>
    </row>
    <row r="448" spans="1:12">
      <c r="A448" s="62"/>
      <c r="B448" s="895" t="s">
        <v>290</v>
      </c>
      <c r="C448" s="895"/>
      <c r="D448" s="895"/>
      <c r="E448" s="895"/>
      <c r="F448" s="895"/>
      <c r="G448" s="895"/>
      <c r="H448" s="895"/>
      <c r="I448" s="895"/>
      <c r="J448" s="895"/>
      <c r="K448" s="895"/>
      <c r="L448" s="896"/>
    </row>
    <row r="449" spans="1:12" ht="23.25">
      <c r="A449" s="62"/>
      <c r="B449" s="318" t="s">
        <v>202</v>
      </c>
      <c r="C449" s="394" t="e">
        <f>'PUNJAB 04-22Master'!#REF!</f>
        <v>#REF!</v>
      </c>
      <c r="D449" s="285"/>
      <c r="E449" s="285"/>
      <c r="F449" s="285"/>
      <c r="G449" s="285"/>
      <c r="H449" s="285"/>
      <c r="I449" s="318" t="s">
        <v>309</v>
      </c>
      <c r="J449" s="285"/>
      <c r="K449" s="285"/>
      <c r="L449" s="317"/>
    </row>
    <row r="450" spans="1:12" ht="16.5" thickBot="1">
      <c r="A450" s="76"/>
      <c r="B450" s="747"/>
      <c r="C450" s="747"/>
      <c r="D450" s="747"/>
      <c r="E450" s="747"/>
      <c r="F450" s="747"/>
      <c r="G450" s="747"/>
      <c r="H450" s="747"/>
      <c r="I450" s="747"/>
      <c r="J450" s="747"/>
      <c r="K450" s="747"/>
      <c r="L450" s="748"/>
    </row>
    <row r="451" spans="1:12" ht="21.75" customHeight="1">
      <c r="A451" s="140"/>
      <c r="B451" s="141"/>
      <c r="C451" s="141"/>
      <c r="D451" s="141"/>
      <c r="E451" s="141"/>
      <c r="F451" s="141"/>
      <c r="G451" s="141"/>
      <c r="H451" s="141"/>
      <c r="I451" s="150" t="s">
        <v>236</v>
      </c>
      <c r="J451" s="141"/>
      <c r="K451" s="141"/>
      <c r="L451" s="142"/>
    </row>
    <row r="452" spans="1:12" ht="12" customHeight="1">
      <c r="A452" s="62"/>
      <c r="B452" s="778" t="s">
        <v>291</v>
      </c>
      <c r="C452" s="778"/>
      <c r="D452" s="778"/>
      <c r="E452" s="778"/>
      <c r="F452" s="778"/>
      <c r="G452" s="778"/>
      <c r="H452" s="778"/>
      <c r="I452" s="778"/>
      <c r="J452" s="778"/>
      <c r="K452" s="778"/>
      <c r="L452" s="779"/>
    </row>
    <row r="453" spans="1:12" ht="27.95" customHeight="1">
      <c r="A453" s="62"/>
      <c r="B453" s="285"/>
      <c r="C453" s="285"/>
      <c r="D453" s="294" t="s">
        <v>238</v>
      </c>
      <c r="E453" s="285"/>
      <c r="F453" s="285"/>
      <c r="G453" s="285"/>
      <c r="H453" s="285"/>
      <c r="I453" s="288" t="s">
        <v>292</v>
      </c>
      <c r="J453" s="289"/>
      <c r="K453" s="395" t="e">
        <f>'PUNJAB 04-22Master'!#REF!</f>
        <v>#REF!</v>
      </c>
      <c r="L453" s="320"/>
    </row>
    <row r="454" spans="1:12" ht="27.95" customHeight="1">
      <c r="A454" s="62"/>
      <c r="B454" s="286"/>
      <c r="C454" s="286" t="s">
        <v>239</v>
      </c>
      <c r="D454" s="47"/>
      <c r="E454" s="286"/>
      <c r="F454" s="286"/>
      <c r="G454" s="286"/>
      <c r="H454" s="286"/>
      <c r="I454" s="287" t="s">
        <v>293</v>
      </c>
      <c r="J454" s="308" t="str">
        <f>'PUNJAB 04-22Master'!F5</f>
        <v>Burgeon IT Services Pvt.Ltd.</v>
      </c>
      <c r="K454" s="290"/>
      <c r="L454" s="321"/>
    </row>
    <row r="455" spans="1:12" ht="24" customHeight="1">
      <c r="A455" s="62"/>
      <c r="B455" s="295"/>
      <c r="C455" s="258" t="s">
        <v>240</v>
      </c>
      <c r="D455" s="47"/>
      <c r="E455" s="295"/>
      <c r="F455" s="295"/>
      <c r="G455" s="47"/>
      <c r="H455" s="259"/>
      <c r="I455" s="311" t="str">
        <f>'PUNJAB 04-22Master'!F6</f>
        <v>Siri Mansion LIGB 436 Dr.A S Rao Nagar,Hyderabad</v>
      </c>
      <c r="J455" s="309"/>
      <c r="K455" s="310"/>
      <c r="L455" s="271"/>
    </row>
    <row r="456" spans="1:12" ht="27.95" customHeight="1">
      <c r="A456" s="62">
        <v>1</v>
      </c>
      <c r="B456" s="291" t="s">
        <v>241</v>
      </c>
      <c r="C456" s="265"/>
      <c r="D456" s="265"/>
      <c r="E456" s="265"/>
      <c r="F456" s="265"/>
      <c r="G456" s="119"/>
      <c r="H456" s="856" t="e">
        <f>'PUNJAB 04-22Master'!#REF!</f>
        <v>#REF!</v>
      </c>
      <c r="I456" s="875"/>
      <c r="J456" s="875"/>
      <c r="K456" s="875"/>
      <c r="L456" s="876"/>
    </row>
    <row r="457" spans="1:12" ht="21" customHeight="1">
      <c r="A457" s="62">
        <v>2</v>
      </c>
      <c r="B457" s="897" t="s">
        <v>242</v>
      </c>
      <c r="C457" s="898"/>
      <c r="D457" s="898"/>
      <c r="E457" s="898"/>
      <c r="F457" s="292" t="s">
        <v>243</v>
      </c>
      <c r="G457" s="273"/>
      <c r="H457" s="899" t="e">
        <f>'PUNJAB 04-22Master'!#REF!</f>
        <v>#REF!</v>
      </c>
      <c r="I457" s="900"/>
      <c r="J457" s="900"/>
      <c r="K457" s="900"/>
      <c r="L457" s="901"/>
    </row>
    <row r="458" spans="1:12" ht="12" customHeight="1">
      <c r="A458" s="62"/>
      <c r="B458" s="274" t="s">
        <v>244</v>
      </c>
      <c r="C458" s="275"/>
      <c r="D458" s="275"/>
      <c r="E458" s="275"/>
      <c r="F458" s="275" t="s">
        <v>237</v>
      </c>
      <c r="G458" s="276"/>
      <c r="H458" s="902"/>
      <c r="I458" s="903"/>
      <c r="J458" s="903"/>
      <c r="K458" s="903"/>
      <c r="L458" s="904"/>
    </row>
    <row r="459" spans="1:12" ht="27.95" customHeight="1">
      <c r="A459" s="62">
        <v>3</v>
      </c>
      <c r="B459" s="293" t="s">
        <v>245</v>
      </c>
      <c r="C459" s="280"/>
      <c r="D459" s="280"/>
      <c r="E459" s="280"/>
      <c r="F459" s="280"/>
      <c r="G459" s="281"/>
      <c r="H459" s="879" t="e">
        <f>'PUNJAB 04-22Master'!#REF!</f>
        <v>#REF!</v>
      </c>
      <c r="I459" s="880"/>
      <c r="J459" s="880"/>
      <c r="K459" s="880"/>
      <c r="L459" s="881"/>
    </row>
    <row r="460" spans="1:12" ht="23.25" customHeight="1">
      <c r="A460" s="323">
        <v>4</v>
      </c>
      <c r="B460" s="264" t="s">
        <v>246</v>
      </c>
      <c r="C460" s="118"/>
      <c r="D460" s="118"/>
      <c r="E460" s="118"/>
      <c r="F460" s="118"/>
      <c r="G460" s="119"/>
      <c r="H460" s="853" t="e">
        <f>'PUNJAB 04-22Master'!#REF!</f>
        <v>#REF!</v>
      </c>
      <c r="I460" s="867"/>
      <c r="J460" s="867"/>
      <c r="K460" s="867"/>
      <c r="L460" s="861"/>
    </row>
    <row r="461" spans="1:12" ht="27.95" customHeight="1">
      <c r="A461" s="323">
        <v>5</v>
      </c>
      <c r="B461" s="882" t="s">
        <v>294</v>
      </c>
      <c r="C461" s="883"/>
      <c r="D461" s="883"/>
      <c r="E461" s="883"/>
      <c r="F461" s="883"/>
      <c r="G461" s="119"/>
      <c r="H461" s="874" t="s">
        <v>372</v>
      </c>
      <c r="I461" s="875"/>
      <c r="J461" s="875"/>
      <c r="K461" s="875"/>
      <c r="L461" s="876"/>
    </row>
    <row r="462" spans="1:12" ht="27.95" customHeight="1">
      <c r="A462" s="323">
        <v>6</v>
      </c>
      <c r="B462" s="334" t="s">
        <v>247</v>
      </c>
      <c r="C462" s="280" t="s">
        <v>248</v>
      </c>
      <c r="D462" s="280"/>
      <c r="E462" s="280"/>
      <c r="F462" s="280"/>
      <c r="G462" s="281"/>
      <c r="H462" s="293"/>
      <c r="I462" s="280"/>
      <c r="J462" s="280"/>
      <c r="K462" s="280"/>
      <c r="L462" s="322"/>
    </row>
    <row r="463" spans="1:12" ht="27.95" customHeight="1">
      <c r="A463" s="62"/>
      <c r="B463" s="334" t="s">
        <v>249</v>
      </c>
      <c r="C463" s="280" t="s">
        <v>250</v>
      </c>
      <c r="D463" s="280"/>
      <c r="E463" s="280"/>
      <c r="F463" s="280"/>
      <c r="G463" s="281"/>
      <c r="H463" s="293"/>
      <c r="I463" s="333"/>
      <c r="J463" s="333"/>
      <c r="K463" s="280"/>
      <c r="L463" s="322"/>
    </row>
    <row r="464" spans="1:12" ht="27.95" customHeight="1">
      <c r="A464" s="323">
        <v>7</v>
      </c>
      <c r="B464" s="879" t="s">
        <v>251</v>
      </c>
      <c r="C464" s="880"/>
      <c r="D464" s="880"/>
      <c r="E464" s="880"/>
      <c r="F464" s="880"/>
      <c r="G464" s="887"/>
      <c r="H464" s="297" t="s">
        <v>252</v>
      </c>
      <c r="I464" s="298"/>
      <c r="J464" s="299"/>
      <c r="K464" s="297" t="s">
        <v>253</v>
      </c>
      <c r="L464" s="324"/>
    </row>
    <row r="465" spans="1:12" ht="27.95" customHeight="1">
      <c r="A465" s="323">
        <v>8</v>
      </c>
      <c r="B465" s="879" t="s">
        <v>295</v>
      </c>
      <c r="C465" s="880"/>
      <c r="D465" s="880"/>
      <c r="E465" s="880"/>
      <c r="F465" s="880"/>
      <c r="G465" s="887"/>
      <c r="H465" s="297" t="s">
        <v>252</v>
      </c>
      <c r="I465" s="298"/>
      <c r="J465" s="299"/>
      <c r="K465" s="297" t="s">
        <v>253</v>
      </c>
      <c r="L465" s="324"/>
    </row>
    <row r="466" spans="1:12" ht="27.95" customHeight="1">
      <c r="A466" s="62"/>
      <c r="B466" s="264"/>
      <c r="C466" s="301"/>
      <c r="D466" s="301"/>
      <c r="E466" s="301"/>
      <c r="F466" s="301" t="s">
        <v>254</v>
      </c>
      <c r="G466" s="301"/>
      <c r="H466" s="301"/>
      <c r="I466" s="301"/>
      <c r="J466" s="301"/>
      <c r="K466" s="301"/>
      <c r="L466" s="325"/>
    </row>
    <row r="467" spans="1:12" ht="27.95" customHeight="1">
      <c r="A467" s="323">
        <v>9</v>
      </c>
      <c r="B467" s="334" t="s">
        <v>255</v>
      </c>
      <c r="C467" s="280" t="s">
        <v>256</v>
      </c>
      <c r="D467" s="280"/>
      <c r="E467" s="280"/>
      <c r="F467" s="280"/>
      <c r="G467" s="281"/>
      <c r="H467" s="293"/>
      <c r="I467" s="280"/>
      <c r="J467" s="280"/>
      <c r="K467" s="280"/>
      <c r="L467" s="322"/>
    </row>
    <row r="468" spans="1:12">
      <c r="A468" s="157"/>
      <c r="B468" s="334" t="s">
        <v>257</v>
      </c>
      <c r="C468" s="280" t="s">
        <v>258</v>
      </c>
      <c r="D468" s="280"/>
      <c r="E468" s="280"/>
      <c r="F468" s="280"/>
      <c r="G468" s="281"/>
      <c r="H468" s="293"/>
      <c r="I468" s="280"/>
      <c r="J468" s="280"/>
      <c r="K468" s="280"/>
      <c r="L468" s="322"/>
    </row>
    <row r="469" spans="1:12">
      <c r="A469" s="157"/>
      <c r="B469" s="334" t="s">
        <v>296</v>
      </c>
      <c r="C469" s="280" t="s">
        <v>297</v>
      </c>
      <c r="D469" s="280"/>
      <c r="E469" s="280"/>
      <c r="F469" s="280"/>
      <c r="G469" s="281"/>
      <c r="H469" s="293"/>
      <c r="I469" s="280"/>
      <c r="J469" s="280"/>
      <c r="K469" s="280"/>
      <c r="L469" s="322"/>
    </row>
    <row r="470" spans="1:12">
      <c r="A470" s="157"/>
      <c r="B470" s="334" t="s">
        <v>260</v>
      </c>
      <c r="C470" s="280" t="s">
        <v>261</v>
      </c>
      <c r="D470" s="280"/>
      <c r="E470" s="280"/>
      <c r="F470" s="280"/>
      <c r="G470" s="281"/>
      <c r="H470" s="293"/>
      <c r="I470" s="280"/>
      <c r="J470" s="280"/>
      <c r="K470" s="280"/>
      <c r="L470" s="322"/>
    </row>
    <row r="471" spans="1:12">
      <c r="A471" s="157"/>
      <c r="B471" s="334" t="s">
        <v>262</v>
      </c>
      <c r="C471" s="280" t="s">
        <v>263</v>
      </c>
      <c r="D471" s="280"/>
      <c r="E471" s="280"/>
      <c r="F471" s="280"/>
      <c r="G471" s="281"/>
      <c r="H471" s="293"/>
      <c r="I471" s="280"/>
      <c r="J471" s="280"/>
      <c r="K471" s="280"/>
      <c r="L471" s="322"/>
    </row>
    <row r="472" spans="1:12">
      <c r="A472" s="157">
        <v>10</v>
      </c>
      <c r="B472" s="334" t="s">
        <v>255</v>
      </c>
      <c r="C472" s="280" t="s">
        <v>298</v>
      </c>
      <c r="D472" s="280"/>
      <c r="E472" s="280"/>
      <c r="F472" s="280"/>
      <c r="G472" s="281"/>
      <c r="H472" s="297" t="s">
        <v>252</v>
      </c>
      <c r="I472" s="298"/>
      <c r="J472" s="299"/>
      <c r="K472" s="297" t="s">
        <v>253</v>
      </c>
      <c r="L472" s="324"/>
    </row>
    <row r="473" spans="1:12" ht="15" customHeight="1">
      <c r="A473" s="157"/>
      <c r="B473" s="334" t="s">
        <v>257</v>
      </c>
      <c r="C473" s="280" t="s">
        <v>299</v>
      </c>
      <c r="D473" s="280"/>
      <c r="E473" s="280"/>
      <c r="F473" s="280"/>
      <c r="G473" s="281"/>
      <c r="H473" s="293"/>
      <c r="I473" s="280"/>
      <c r="J473" s="280"/>
      <c r="K473" s="280"/>
      <c r="L473" s="322"/>
    </row>
    <row r="474" spans="1:12">
      <c r="A474" s="157"/>
      <c r="B474" s="334" t="s">
        <v>296</v>
      </c>
      <c r="C474" s="280" t="s">
        <v>264</v>
      </c>
      <c r="D474" s="280"/>
      <c r="E474" s="280"/>
      <c r="F474" s="280"/>
      <c r="G474" s="281"/>
      <c r="H474" s="293"/>
      <c r="I474" s="280"/>
      <c r="J474" s="280"/>
      <c r="K474" s="280"/>
      <c r="L474" s="322"/>
    </row>
    <row r="475" spans="1:12">
      <c r="A475" s="157"/>
      <c r="B475" s="334" t="s">
        <v>260</v>
      </c>
      <c r="C475" s="280" t="s">
        <v>300</v>
      </c>
      <c r="D475" s="280"/>
      <c r="E475" s="280"/>
      <c r="F475" s="280"/>
      <c r="G475" s="281"/>
      <c r="H475" s="293"/>
      <c r="I475" s="280"/>
      <c r="J475" s="280"/>
      <c r="K475" s="280"/>
      <c r="L475" s="322"/>
    </row>
    <row r="476" spans="1:12">
      <c r="A476" s="62"/>
      <c r="B476" s="264"/>
      <c r="C476" s="301"/>
      <c r="D476" s="301"/>
      <c r="E476" s="301" t="s">
        <v>301</v>
      </c>
      <c r="F476" s="301"/>
      <c r="G476" s="301"/>
      <c r="H476" s="301"/>
      <c r="I476" s="301"/>
      <c r="J476" s="301"/>
      <c r="K476" s="301"/>
      <c r="L476" s="325"/>
    </row>
    <row r="477" spans="1:12">
      <c r="A477" s="62">
        <v>11</v>
      </c>
      <c r="B477" s="334" t="s">
        <v>255</v>
      </c>
      <c r="C477" s="280" t="s">
        <v>265</v>
      </c>
      <c r="D477" s="280"/>
      <c r="E477" s="280"/>
      <c r="F477" s="280"/>
      <c r="G477" s="281"/>
      <c r="H477" s="293"/>
      <c r="I477" s="280"/>
      <c r="J477" s="280"/>
      <c r="K477" s="280"/>
      <c r="L477" s="322"/>
    </row>
    <row r="478" spans="1:12">
      <c r="A478" s="62"/>
      <c r="B478" s="334" t="s">
        <v>257</v>
      </c>
      <c r="C478" s="280" t="s">
        <v>266</v>
      </c>
      <c r="D478" s="280"/>
      <c r="E478" s="280"/>
      <c r="F478" s="280"/>
      <c r="G478" s="281"/>
      <c r="H478" s="293"/>
      <c r="I478" s="280"/>
      <c r="J478" s="280"/>
      <c r="K478" s="280"/>
      <c r="L478" s="322"/>
    </row>
    <row r="479" spans="1:12">
      <c r="A479" s="62"/>
      <c r="B479" s="334" t="s">
        <v>259</v>
      </c>
      <c r="C479" s="280" t="s">
        <v>267</v>
      </c>
      <c r="D479" s="280"/>
      <c r="E479" s="280"/>
      <c r="F479" s="280"/>
      <c r="G479" s="281"/>
      <c r="H479" s="293"/>
      <c r="I479" s="280"/>
      <c r="J479" s="280"/>
      <c r="K479" s="280"/>
      <c r="L479" s="322"/>
    </row>
    <row r="480" spans="1:12">
      <c r="A480" s="62"/>
      <c r="B480" s="251"/>
      <c r="C480" s="344"/>
      <c r="D480" s="344"/>
      <c r="E480" s="344"/>
      <c r="F480" s="302" t="s">
        <v>268</v>
      </c>
      <c r="G480" s="344"/>
      <c r="H480" s="347"/>
      <c r="I480" s="347"/>
      <c r="J480" s="347"/>
      <c r="K480" s="347"/>
      <c r="L480" s="254"/>
    </row>
    <row r="481" spans="1:12">
      <c r="A481" s="62"/>
      <c r="B481" s="314" t="s">
        <v>269</v>
      </c>
      <c r="C481" s="313" t="s">
        <v>270</v>
      </c>
      <c r="D481" s="344"/>
      <c r="E481" s="344"/>
      <c r="F481" s="344"/>
      <c r="G481" s="344"/>
      <c r="H481" s="347"/>
      <c r="I481" s="347"/>
      <c r="J481" s="345"/>
      <c r="K481" s="347"/>
      <c r="L481" s="254"/>
    </row>
    <row r="482" spans="1:12">
      <c r="A482" s="62"/>
      <c r="B482" s="314" t="s">
        <v>271</v>
      </c>
      <c r="C482" s="312" t="s">
        <v>272</v>
      </c>
      <c r="D482" s="347"/>
      <c r="E482" s="345"/>
      <c r="F482" s="47"/>
      <c r="G482" s="888"/>
      <c r="H482" s="888"/>
      <c r="I482" s="340"/>
      <c r="J482" s="253"/>
      <c r="K482" s="888"/>
      <c r="L482" s="889"/>
    </row>
    <row r="483" spans="1:12">
      <c r="A483" s="62"/>
      <c r="B483" s="315" t="s">
        <v>273</v>
      </c>
      <c r="C483" s="890" t="s">
        <v>302</v>
      </c>
      <c r="D483" s="890"/>
      <c r="E483" s="890"/>
      <c r="F483" s="890"/>
      <c r="G483" s="890"/>
      <c r="H483" s="890"/>
      <c r="I483" s="890"/>
      <c r="J483" s="890"/>
      <c r="K483" s="890"/>
      <c r="L483" s="891"/>
    </row>
    <row r="484" spans="1:12">
      <c r="A484" s="62"/>
      <c r="B484" s="314" t="s">
        <v>274</v>
      </c>
      <c r="C484" s="313" t="s">
        <v>275</v>
      </c>
      <c r="D484" s="305"/>
      <c r="E484" s="305"/>
      <c r="F484" s="305"/>
      <c r="G484" s="305"/>
      <c r="H484" s="305"/>
      <c r="I484" s="305"/>
      <c r="J484" s="305"/>
      <c r="K484" s="305"/>
      <c r="L484" s="326"/>
    </row>
    <row r="485" spans="1:12">
      <c r="A485" s="62"/>
      <c r="B485" s="251"/>
      <c r="C485" s="250" t="s">
        <v>303</v>
      </c>
      <c r="D485" s="396" t="e">
        <f>'PUNJAB 04-22Master'!#REF!</f>
        <v>#REF!</v>
      </c>
      <c r="E485" s="229"/>
      <c r="F485" s="229"/>
      <c r="G485" s="229"/>
      <c r="H485" s="47"/>
      <c r="I485" s="47"/>
      <c r="J485" s="47"/>
      <c r="K485" s="47"/>
      <c r="L485" s="63"/>
    </row>
    <row r="486" spans="1:12">
      <c r="A486" s="62"/>
      <c r="B486" s="47"/>
      <c r="C486" s="250" t="s">
        <v>276</v>
      </c>
      <c r="D486" s="47" t="s">
        <v>364</v>
      </c>
      <c r="E486" s="47"/>
      <c r="F486" s="47"/>
      <c r="G486" s="47"/>
      <c r="H486" s="47"/>
      <c r="I486" s="47"/>
      <c r="J486" s="47" t="s">
        <v>304</v>
      </c>
      <c r="K486" s="47"/>
      <c r="L486" s="63"/>
    </row>
    <row r="487" spans="1:12">
      <c r="A487" s="62"/>
      <c r="B487" s="47"/>
      <c r="C487" s="47"/>
      <c r="D487" s="47"/>
      <c r="E487" s="47"/>
      <c r="F487" s="303" t="s">
        <v>277</v>
      </c>
      <c r="G487" s="47"/>
      <c r="H487" s="47"/>
      <c r="I487" s="47"/>
      <c r="J487" s="47"/>
      <c r="K487" s="47"/>
      <c r="L487" s="63"/>
    </row>
    <row r="488" spans="1:12" ht="27.95" customHeight="1">
      <c r="A488" s="62" t="s">
        <v>305</v>
      </c>
      <c r="B488" s="47" t="s">
        <v>278</v>
      </c>
      <c r="C488" s="47"/>
      <c r="D488" s="47"/>
      <c r="E488" s="306" t="e">
        <f>'PUNJAB 04-22Master'!#REF!</f>
        <v>#REF!</v>
      </c>
      <c r="F488" s="47"/>
      <c r="G488" s="47"/>
      <c r="H488" s="892" t="s">
        <v>279</v>
      </c>
      <c r="I488" s="892"/>
      <c r="J488" s="307" t="e">
        <f>'PUNJAB 04-22Master'!#REF!</f>
        <v>#REF!</v>
      </c>
      <c r="K488" s="47" t="s">
        <v>280</v>
      </c>
      <c r="L488" s="63"/>
    </row>
    <row r="489" spans="1:12" ht="15.75" customHeight="1">
      <c r="A489" s="62"/>
      <c r="B489" s="893" t="e">
        <f>'PUNJAB 04-22Master'!#REF!</f>
        <v>#REF!</v>
      </c>
      <c r="C489" s="894"/>
      <c r="D489" s="304"/>
      <c r="E489" s="304"/>
      <c r="F489" s="304"/>
      <c r="G489" s="304"/>
      <c r="H489" s="304"/>
      <c r="I489" s="304"/>
      <c r="J489" s="304"/>
      <c r="K489" s="304"/>
      <c r="L489" s="327"/>
    </row>
    <row r="490" spans="1:12" ht="22.5" customHeight="1">
      <c r="A490" s="62" t="s">
        <v>307</v>
      </c>
      <c r="B490" s="304" t="s">
        <v>281</v>
      </c>
      <c r="C490" s="304"/>
      <c r="D490" s="304"/>
      <c r="E490" s="304"/>
      <c r="F490" s="304"/>
      <c r="G490" s="304"/>
      <c r="H490" s="304"/>
      <c r="I490" s="304"/>
      <c r="J490" s="304"/>
      <c r="K490" s="304"/>
      <c r="L490" s="327"/>
    </row>
    <row r="491" spans="1:12" ht="19.5" customHeight="1">
      <c r="A491" s="62"/>
      <c r="B491" s="304" t="s">
        <v>306</v>
      </c>
      <c r="C491" s="304"/>
      <c r="D491" s="304"/>
      <c r="E491" s="304"/>
      <c r="F491" s="304"/>
      <c r="G491" s="304"/>
      <c r="H491" s="304"/>
      <c r="I491" s="304"/>
      <c r="J491" s="304"/>
      <c r="K491" s="304"/>
      <c r="L491" s="327"/>
    </row>
    <row r="492" spans="1:12" ht="22.5" customHeight="1">
      <c r="A492" s="323"/>
      <c r="B492" s="47" t="s">
        <v>282</v>
      </c>
      <c r="C492" s="47"/>
      <c r="D492" s="47"/>
      <c r="E492" s="47"/>
      <c r="F492" s="47"/>
      <c r="G492" s="47"/>
      <c r="H492" s="47"/>
      <c r="I492" s="47"/>
      <c r="J492" s="47"/>
      <c r="K492" s="47"/>
      <c r="L492" s="63"/>
    </row>
    <row r="493" spans="1:12" ht="18" customHeight="1">
      <c r="A493" s="62"/>
      <c r="B493" s="229" t="s">
        <v>283</v>
      </c>
      <c r="C493" s="47"/>
      <c r="D493" s="47"/>
      <c r="E493" s="47"/>
      <c r="F493" s="248"/>
      <c r="G493" s="47"/>
      <c r="H493" s="47"/>
      <c r="I493" s="47"/>
      <c r="J493" s="47"/>
      <c r="K493" s="47"/>
      <c r="L493" s="63"/>
    </row>
    <row r="494" spans="1:12" ht="16.5" customHeight="1">
      <c r="A494" s="62"/>
      <c r="B494" s="229" t="s">
        <v>284</v>
      </c>
      <c r="C494" s="47"/>
      <c r="D494" s="47"/>
      <c r="E494" s="47"/>
      <c r="F494" s="47"/>
      <c r="G494" s="47"/>
      <c r="H494" s="47"/>
      <c r="I494" s="47"/>
      <c r="J494" s="47"/>
      <c r="K494" s="47"/>
      <c r="L494" s="63"/>
    </row>
    <row r="495" spans="1:12" ht="22.5" customHeight="1">
      <c r="A495" s="62"/>
      <c r="B495" s="47" t="s">
        <v>285</v>
      </c>
      <c r="C495" s="47"/>
      <c r="D495" s="47"/>
      <c r="E495" s="47"/>
      <c r="F495" s="47"/>
      <c r="G495" s="47"/>
      <c r="H495" s="47"/>
      <c r="I495" s="47"/>
      <c r="J495" s="47"/>
      <c r="K495" s="47"/>
      <c r="L495" s="63"/>
    </row>
    <row r="496" spans="1:12" ht="19.5" customHeight="1">
      <c r="A496" s="62"/>
      <c r="B496" s="47" t="s">
        <v>286</v>
      </c>
      <c r="C496" s="47"/>
      <c r="D496" s="47"/>
      <c r="E496" s="47"/>
      <c r="F496" s="47"/>
      <c r="G496" s="47"/>
      <c r="H496" s="47"/>
      <c r="I496" s="47"/>
      <c r="J496" s="47"/>
      <c r="K496" s="47"/>
      <c r="L496" s="63"/>
    </row>
    <row r="497" spans="1:12" ht="20.25" customHeight="1">
      <c r="A497" s="62" t="s">
        <v>296</v>
      </c>
      <c r="B497" s="47" t="s">
        <v>287</v>
      </c>
      <c r="C497" s="47"/>
      <c r="D497" s="47"/>
      <c r="E497" s="47"/>
      <c r="F497" s="47"/>
      <c r="G497" s="47"/>
      <c r="H497" s="47"/>
      <c r="I497" s="47"/>
      <c r="J497" s="47"/>
      <c r="K497" s="47"/>
      <c r="L497" s="63"/>
    </row>
    <row r="498" spans="1:12" ht="20.25" customHeight="1">
      <c r="A498" s="62"/>
      <c r="B498" s="316" t="s">
        <v>308</v>
      </c>
      <c r="C498" s="47"/>
      <c r="D498" s="47"/>
      <c r="E498" s="47"/>
      <c r="F498" s="47"/>
      <c r="G498" s="47"/>
      <c r="H498" s="47"/>
      <c r="I498" s="47"/>
      <c r="J498" s="47"/>
      <c r="K498" s="47"/>
      <c r="L498" s="63"/>
    </row>
    <row r="499" spans="1:12" ht="20.25" customHeight="1">
      <c r="A499" s="62"/>
      <c r="B499" s="47" t="s">
        <v>282</v>
      </c>
      <c r="C499" s="47"/>
      <c r="D499" s="47"/>
      <c r="E499" s="47"/>
      <c r="F499" s="47"/>
      <c r="G499" s="47"/>
      <c r="H499" s="47"/>
      <c r="I499" s="47"/>
      <c r="J499" s="47"/>
      <c r="K499" s="47"/>
      <c r="L499" s="63"/>
    </row>
    <row r="500" spans="1:12" ht="20.25" customHeight="1">
      <c r="A500" s="62"/>
      <c r="B500" s="47" t="s">
        <v>288</v>
      </c>
      <c r="C500" s="47"/>
      <c r="D500" s="47"/>
      <c r="E500" s="47"/>
      <c r="F500" s="250"/>
      <c r="G500" s="250"/>
      <c r="H500" s="250"/>
      <c r="I500" s="250"/>
      <c r="J500" s="250"/>
      <c r="K500" s="250"/>
      <c r="L500" s="63"/>
    </row>
    <row r="501" spans="1:12" ht="20.25" customHeight="1">
      <c r="A501" s="62"/>
      <c r="B501" s="47" t="s">
        <v>289</v>
      </c>
      <c r="C501" s="47"/>
      <c r="D501" s="47"/>
      <c r="E501" s="47"/>
      <c r="F501" s="47"/>
      <c r="G501" s="47"/>
      <c r="H501" s="47"/>
      <c r="I501" s="47"/>
      <c r="J501" s="47"/>
      <c r="K501" s="47"/>
      <c r="L501" s="63"/>
    </row>
    <row r="502" spans="1:12" ht="21" customHeight="1">
      <c r="A502" s="62"/>
      <c r="B502" s="895" t="s">
        <v>290</v>
      </c>
      <c r="C502" s="895"/>
      <c r="D502" s="895"/>
      <c r="E502" s="895"/>
      <c r="F502" s="895"/>
      <c r="G502" s="895"/>
      <c r="H502" s="895"/>
      <c r="I502" s="895"/>
      <c r="J502" s="895"/>
      <c r="K502" s="895"/>
      <c r="L502" s="896"/>
    </row>
    <row r="503" spans="1:12" ht="27.95" customHeight="1">
      <c r="A503" s="62"/>
      <c r="B503" s="318" t="s">
        <v>202</v>
      </c>
      <c r="C503" s="394" t="e">
        <f>'PUNJAB 04-22Master'!#REF!</f>
        <v>#REF!</v>
      </c>
      <c r="D503" s="285"/>
      <c r="E503" s="285"/>
      <c r="F503" s="285"/>
      <c r="G503" s="285"/>
      <c r="H503" s="285"/>
      <c r="I503" s="318" t="s">
        <v>309</v>
      </c>
      <c r="J503" s="285"/>
      <c r="K503" s="285"/>
      <c r="L503" s="317"/>
    </row>
    <row r="504" spans="1:12" ht="27.95" customHeight="1" thickBot="1">
      <c r="A504" s="76"/>
      <c r="B504" s="747"/>
      <c r="C504" s="747"/>
      <c r="D504" s="747"/>
      <c r="E504" s="747"/>
      <c r="F504" s="747"/>
      <c r="G504" s="747"/>
      <c r="H504" s="747"/>
      <c r="I504" s="747"/>
      <c r="J504" s="747"/>
      <c r="K504" s="747"/>
      <c r="L504" s="748"/>
    </row>
    <row r="505" spans="1:12" ht="27.95" customHeight="1">
      <c r="A505" s="140"/>
      <c r="B505" s="141"/>
      <c r="C505" s="141"/>
      <c r="D505" s="141"/>
      <c r="E505" s="141"/>
      <c r="F505" s="141"/>
      <c r="G505" s="141"/>
      <c r="H505" s="141"/>
      <c r="I505" s="150" t="s">
        <v>236</v>
      </c>
      <c r="J505" s="141"/>
      <c r="K505" s="141"/>
      <c r="L505" s="142"/>
    </row>
    <row r="506" spans="1:12">
      <c r="A506" s="62"/>
      <c r="B506" s="778" t="s">
        <v>291</v>
      </c>
      <c r="C506" s="778"/>
      <c r="D506" s="778"/>
      <c r="E506" s="778"/>
      <c r="F506" s="778"/>
      <c r="G506" s="778"/>
      <c r="H506" s="778"/>
      <c r="I506" s="778"/>
      <c r="J506" s="778"/>
      <c r="K506" s="778"/>
      <c r="L506" s="779"/>
    </row>
    <row r="507" spans="1:12" ht="23.25">
      <c r="A507" s="62"/>
      <c r="B507" s="285"/>
      <c r="C507" s="285"/>
      <c r="D507" s="294" t="s">
        <v>238</v>
      </c>
      <c r="E507" s="285"/>
      <c r="F507" s="285"/>
      <c r="G507" s="285"/>
      <c r="H507" s="285"/>
      <c r="I507" s="288" t="s">
        <v>292</v>
      </c>
      <c r="J507" s="289"/>
      <c r="K507" s="289"/>
      <c r="L507" s="320"/>
    </row>
    <row r="508" spans="1:12" ht="15.75">
      <c r="A508" s="62"/>
      <c r="B508" s="286"/>
      <c r="C508" s="286" t="s">
        <v>239</v>
      </c>
      <c r="D508" s="47"/>
      <c r="E508" s="286"/>
      <c r="F508" s="286"/>
      <c r="G508" s="286"/>
      <c r="H508" s="286"/>
      <c r="I508" s="287" t="s">
        <v>293</v>
      </c>
      <c r="J508" s="308">
        <f>'PUNJAB 04-22Master'!F498</f>
        <v>0</v>
      </c>
      <c r="K508" s="290"/>
      <c r="L508" s="321"/>
    </row>
    <row r="509" spans="1:12">
      <c r="A509" s="62"/>
      <c r="B509" s="295"/>
      <c r="C509" s="258" t="s">
        <v>240</v>
      </c>
      <c r="D509" s="47"/>
      <c r="E509" s="295"/>
      <c r="F509" s="295"/>
      <c r="G509" s="47"/>
      <c r="H509" s="259"/>
      <c r="I509" s="311">
        <f>'PUNJAB 04-22Master'!F499</f>
        <v>0</v>
      </c>
      <c r="J509" s="309"/>
      <c r="K509" s="310"/>
      <c r="L509" s="271"/>
    </row>
    <row r="510" spans="1:12">
      <c r="A510" s="62">
        <v>1</v>
      </c>
      <c r="B510" s="291" t="s">
        <v>241</v>
      </c>
      <c r="C510" s="265"/>
      <c r="D510" s="265"/>
      <c r="E510" s="265"/>
      <c r="F510" s="265"/>
      <c r="G510" s="119"/>
      <c r="H510" s="874"/>
      <c r="I510" s="875"/>
      <c r="J510" s="875"/>
      <c r="K510" s="875"/>
      <c r="L510" s="876"/>
    </row>
    <row r="511" spans="1:12" ht="15" customHeight="1">
      <c r="A511" s="62">
        <v>2</v>
      </c>
      <c r="B511" s="897" t="s">
        <v>242</v>
      </c>
      <c r="C511" s="898"/>
      <c r="D511" s="898"/>
      <c r="E511" s="898"/>
      <c r="F511" s="292" t="s">
        <v>243</v>
      </c>
      <c r="G511" s="273"/>
      <c r="H511" s="899"/>
      <c r="I511" s="900"/>
      <c r="J511" s="900"/>
      <c r="K511" s="900"/>
      <c r="L511" s="901"/>
    </row>
    <row r="512" spans="1:12">
      <c r="A512" s="62"/>
      <c r="B512" s="274" t="s">
        <v>244</v>
      </c>
      <c r="C512" s="275"/>
      <c r="D512" s="275"/>
      <c r="E512" s="275"/>
      <c r="F512" s="275" t="s">
        <v>237</v>
      </c>
      <c r="G512" s="276"/>
      <c r="H512" s="902"/>
      <c r="I512" s="903"/>
      <c r="J512" s="903"/>
      <c r="K512" s="903"/>
      <c r="L512" s="904"/>
    </row>
    <row r="513" spans="1:12">
      <c r="A513" s="62">
        <v>3</v>
      </c>
      <c r="B513" s="293" t="s">
        <v>245</v>
      </c>
      <c r="C513" s="280"/>
      <c r="D513" s="280"/>
      <c r="E513" s="280"/>
      <c r="F513" s="280"/>
      <c r="G513" s="281"/>
      <c r="H513" s="879">
        <f>'PUNJAB 04-22Master'!C229</f>
        <v>0</v>
      </c>
      <c r="I513" s="880"/>
      <c r="J513" s="880"/>
      <c r="K513" s="880"/>
      <c r="L513" s="881"/>
    </row>
    <row r="514" spans="1:12">
      <c r="A514" s="323">
        <v>4</v>
      </c>
      <c r="B514" s="264" t="s">
        <v>246</v>
      </c>
      <c r="C514" s="118"/>
      <c r="D514" s="118"/>
      <c r="E514" s="118"/>
      <c r="F514" s="118"/>
      <c r="G514" s="119"/>
      <c r="H514" s="853">
        <f>'PUNJAB 04-22Master'!D229</f>
        <v>0</v>
      </c>
      <c r="I514" s="867"/>
      <c r="J514" s="867"/>
      <c r="K514" s="867"/>
      <c r="L514" s="861"/>
    </row>
    <row r="515" spans="1:12">
      <c r="A515" s="323">
        <v>5</v>
      </c>
      <c r="B515" s="882" t="s">
        <v>294</v>
      </c>
      <c r="C515" s="883"/>
      <c r="D515" s="883"/>
      <c r="E515" s="883"/>
      <c r="F515" s="883"/>
      <c r="G515" s="119"/>
      <c r="H515" s="874" t="s">
        <v>372</v>
      </c>
      <c r="I515" s="875"/>
      <c r="J515" s="875"/>
      <c r="K515" s="875"/>
      <c r="L515" s="876"/>
    </row>
    <row r="516" spans="1:12">
      <c r="A516" s="323">
        <v>6</v>
      </c>
      <c r="B516" s="334" t="s">
        <v>247</v>
      </c>
      <c r="C516" s="280" t="s">
        <v>248</v>
      </c>
      <c r="D516" s="280"/>
      <c r="E516" s="280"/>
      <c r="F516" s="280"/>
      <c r="G516" s="281"/>
      <c r="H516" s="293"/>
      <c r="I516" s="280"/>
      <c r="J516" s="280"/>
      <c r="K516" s="280"/>
      <c r="L516" s="322"/>
    </row>
    <row r="517" spans="1:12">
      <c r="A517" s="62"/>
      <c r="B517" s="334" t="s">
        <v>249</v>
      </c>
      <c r="C517" s="280" t="s">
        <v>250</v>
      </c>
      <c r="D517" s="280"/>
      <c r="E517" s="280"/>
      <c r="F517" s="280"/>
      <c r="G517" s="281"/>
      <c r="H517" s="293"/>
      <c r="I517" s="333"/>
      <c r="J517" s="333"/>
      <c r="K517" s="280"/>
      <c r="L517" s="322"/>
    </row>
    <row r="518" spans="1:12">
      <c r="A518" s="323">
        <v>7</v>
      </c>
      <c r="B518" s="879" t="s">
        <v>251</v>
      </c>
      <c r="C518" s="880"/>
      <c r="D518" s="880"/>
      <c r="E518" s="880"/>
      <c r="F518" s="880"/>
      <c r="G518" s="887"/>
      <c r="H518" s="297" t="s">
        <v>252</v>
      </c>
      <c r="I518" s="298"/>
      <c r="J518" s="299"/>
      <c r="K518" s="297" t="s">
        <v>253</v>
      </c>
      <c r="L518" s="324"/>
    </row>
    <row r="519" spans="1:12">
      <c r="A519" s="323">
        <v>8</v>
      </c>
      <c r="B519" s="879" t="s">
        <v>295</v>
      </c>
      <c r="C519" s="880"/>
      <c r="D519" s="880"/>
      <c r="E519" s="880"/>
      <c r="F519" s="880"/>
      <c r="G519" s="887"/>
      <c r="H519" s="297" t="s">
        <v>252</v>
      </c>
      <c r="I519" s="298"/>
      <c r="J519" s="299"/>
      <c r="K519" s="297" t="s">
        <v>253</v>
      </c>
      <c r="L519" s="324"/>
    </row>
    <row r="520" spans="1:12">
      <c r="A520" s="62"/>
      <c r="B520" s="264"/>
      <c r="C520" s="301"/>
      <c r="D520" s="301"/>
      <c r="E520" s="301"/>
      <c r="F520" s="301" t="s">
        <v>254</v>
      </c>
      <c r="G520" s="301"/>
      <c r="H520" s="301"/>
      <c r="I520" s="301"/>
      <c r="J520" s="301"/>
      <c r="K520" s="301"/>
      <c r="L520" s="325"/>
    </row>
    <row r="521" spans="1:12">
      <c r="A521" s="323">
        <v>9</v>
      </c>
      <c r="B521" s="334" t="s">
        <v>255</v>
      </c>
      <c r="C521" s="280" t="s">
        <v>256</v>
      </c>
      <c r="D521" s="280"/>
      <c r="E521" s="280"/>
      <c r="F521" s="280"/>
      <c r="G521" s="281"/>
      <c r="H521" s="293"/>
      <c r="I521" s="280"/>
      <c r="J521" s="280"/>
      <c r="K521" s="280"/>
      <c r="L521" s="322"/>
    </row>
    <row r="522" spans="1:12">
      <c r="A522" s="157"/>
      <c r="B522" s="334" t="s">
        <v>257</v>
      </c>
      <c r="C522" s="280" t="s">
        <v>258</v>
      </c>
      <c r="D522" s="280"/>
      <c r="E522" s="280"/>
      <c r="F522" s="280"/>
      <c r="G522" s="281"/>
      <c r="H522" s="293"/>
      <c r="I522" s="280"/>
      <c r="J522" s="280"/>
      <c r="K522" s="280"/>
      <c r="L522" s="322"/>
    </row>
    <row r="523" spans="1:12">
      <c r="A523" s="157"/>
      <c r="B523" s="334" t="s">
        <v>296</v>
      </c>
      <c r="C523" s="280" t="s">
        <v>297</v>
      </c>
      <c r="D523" s="280"/>
      <c r="E523" s="280"/>
      <c r="F523" s="280"/>
      <c r="G523" s="281"/>
      <c r="H523" s="293"/>
      <c r="I523" s="280"/>
      <c r="J523" s="280"/>
      <c r="K523" s="280"/>
      <c r="L523" s="322"/>
    </row>
    <row r="524" spans="1:12">
      <c r="A524" s="157"/>
      <c r="B524" s="334" t="s">
        <v>260</v>
      </c>
      <c r="C524" s="280" t="s">
        <v>261</v>
      </c>
      <c r="D524" s="280"/>
      <c r="E524" s="280"/>
      <c r="F524" s="280"/>
      <c r="G524" s="281"/>
      <c r="H524" s="293"/>
      <c r="I524" s="280"/>
      <c r="J524" s="280"/>
      <c r="K524" s="280"/>
      <c r="L524" s="322"/>
    </row>
    <row r="525" spans="1:12">
      <c r="A525" s="157"/>
      <c r="B525" s="334" t="s">
        <v>262</v>
      </c>
      <c r="C525" s="280" t="s">
        <v>263</v>
      </c>
      <c r="D525" s="280"/>
      <c r="E525" s="280"/>
      <c r="F525" s="280"/>
      <c r="G525" s="281"/>
      <c r="H525" s="293"/>
      <c r="I525" s="280"/>
      <c r="J525" s="280"/>
      <c r="K525" s="280"/>
      <c r="L525" s="322"/>
    </row>
    <row r="526" spans="1:12" ht="27.95" customHeight="1">
      <c r="A526" s="157">
        <v>10</v>
      </c>
      <c r="B526" s="334" t="s">
        <v>255</v>
      </c>
      <c r="C526" s="280" t="s">
        <v>298</v>
      </c>
      <c r="D526" s="280"/>
      <c r="E526" s="280"/>
      <c r="F526" s="280"/>
      <c r="G526" s="281"/>
      <c r="H526" s="297" t="s">
        <v>252</v>
      </c>
      <c r="I526" s="298"/>
      <c r="J526" s="299"/>
      <c r="K526" s="297" t="s">
        <v>253</v>
      </c>
      <c r="L526" s="324"/>
    </row>
    <row r="527" spans="1:12" ht="27.95" customHeight="1">
      <c r="A527" s="157"/>
      <c r="B527" s="334" t="s">
        <v>257</v>
      </c>
      <c r="C527" s="280" t="s">
        <v>299</v>
      </c>
      <c r="D527" s="280"/>
      <c r="E527" s="280"/>
      <c r="F527" s="280"/>
      <c r="G527" s="281"/>
      <c r="H527" s="293"/>
      <c r="I527" s="280"/>
      <c r="J527" s="280"/>
      <c r="K527" s="280"/>
      <c r="L527" s="322"/>
    </row>
    <row r="528" spans="1:12" ht="27.95" customHeight="1">
      <c r="A528" s="157"/>
      <c r="B528" s="334" t="s">
        <v>296</v>
      </c>
      <c r="C528" s="280" t="s">
        <v>264</v>
      </c>
      <c r="D528" s="280"/>
      <c r="E528" s="280"/>
      <c r="F528" s="280"/>
      <c r="G528" s="281"/>
      <c r="H528" s="293"/>
      <c r="I528" s="280"/>
      <c r="J528" s="280"/>
      <c r="K528" s="280"/>
      <c r="L528" s="322"/>
    </row>
    <row r="529" spans="1:12" ht="27.95" customHeight="1">
      <c r="A529" s="157"/>
      <c r="B529" s="334" t="s">
        <v>260</v>
      </c>
      <c r="C529" s="280" t="s">
        <v>300</v>
      </c>
      <c r="D529" s="280"/>
      <c r="E529" s="280"/>
      <c r="F529" s="280"/>
      <c r="G529" s="281"/>
      <c r="H529" s="293"/>
      <c r="I529" s="280"/>
      <c r="J529" s="280"/>
      <c r="K529" s="280"/>
      <c r="L529" s="322"/>
    </row>
    <row r="530" spans="1:12" ht="27.95" customHeight="1">
      <c r="A530" s="62"/>
      <c r="B530" s="264"/>
      <c r="C530" s="301"/>
      <c r="D530" s="301"/>
      <c r="E530" s="301" t="s">
        <v>301</v>
      </c>
      <c r="F530" s="301"/>
      <c r="G530" s="301"/>
      <c r="H530" s="301"/>
      <c r="I530" s="301"/>
      <c r="J530" s="301"/>
      <c r="K530" s="301"/>
      <c r="L530" s="325"/>
    </row>
    <row r="531" spans="1:12" ht="27.95" customHeight="1">
      <c r="A531" s="62">
        <v>11</v>
      </c>
      <c r="B531" s="334" t="s">
        <v>255</v>
      </c>
      <c r="C531" s="280" t="s">
        <v>265</v>
      </c>
      <c r="D531" s="280"/>
      <c r="E531" s="280"/>
      <c r="F531" s="280"/>
      <c r="G531" s="281"/>
      <c r="H531" s="293"/>
      <c r="I531" s="280"/>
      <c r="J531" s="280"/>
      <c r="K531" s="280"/>
      <c r="L531" s="322"/>
    </row>
    <row r="532" spans="1:12" ht="27.95" customHeight="1">
      <c r="A532" s="62"/>
      <c r="B532" s="334" t="s">
        <v>257</v>
      </c>
      <c r="C532" s="280" t="s">
        <v>266</v>
      </c>
      <c r="D532" s="280"/>
      <c r="E532" s="280"/>
      <c r="F532" s="280"/>
      <c r="G532" s="281"/>
      <c r="H532" s="293"/>
      <c r="I532" s="280"/>
      <c r="J532" s="280"/>
      <c r="K532" s="280"/>
      <c r="L532" s="322"/>
    </row>
    <row r="533" spans="1:12" ht="27.95" customHeight="1">
      <c r="A533" s="62"/>
      <c r="B533" s="334" t="s">
        <v>259</v>
      </c>
      <c r="C533" s="280" t="s">
        <v>267</v>
      </c>
      <c r="D533" s="280"/>
      <c r="E533" s="280"/>
      <c r="F533" s="280"/>
      <c r="G533" s="281"/>
      <c r="H533" s="293"/>
      <c r="I533" s="280"/>
      <c r="J533" s="280"/>
      <c r="K533" s="280"/>
      <c r="L533" s="322"/>
    </row>
    <row r="534" spans="1:12" ht="27.95" customHeight="1">
      <c r="A534" s="62"/>
      <c r="B534" s="251"/>
      <c r="C534" s="344"/>
      <c r="D534" s="344"/>
      <c r="E534" s="344"/>
      <c r="F534" s="302" t="s">
        <v>268</v>
      </c>
      <c r="G534" s="344"/>
      <c r="H534" s="347"/>
      <c r="I534" s="347"/>
      <c r="J534" s="347"/>
      <c r="K534" s="347"/>
      <c r="L534" s="254"/>
    </row>
    <row r="535" spans="1:12" ht="27.95" customHeight="1">
      <c r="A535" s="62"/>
      <c r="B535" s="314" t="s">
        <v>269</v>
      </c>
      <c r="C535" s="313" t="s">
        <v>270</v>
      </c>
      <c r="D535" s="344"/>
      <c r="E535" s="344"/>
      <c r="F535" s="344"/>
      <c r="G535" s="344"/>
      <c r="H535" s="347"/>
      <c r="I535" s="347"/>
      <c r="J535" s="345"/>
      <c r="K535" s="347"/>
      <c r="L535" s="254"/>
    </row>
    <row r="536" spans="1:12" ht="27.95" customHeight="1">
      <c r="A536" s="62"/>
      <c r="B536" s="314" t="s">
        <v>271</v>
      </c>
      <c r="C536" s="312" t="s">
        <v>272</v>
      </c>
      <c r="D536" s="347"/>
      <c r="E536" s="345"/>
      <c r="F536" s="47"/>
      <c r="G536" s="888"/>
      <c r="H536" s="888"/>
      <c r="I536" s="340"/>
      <c r="J536" s="253"/>
      <c r="K536" s="888"/>
      <c r="L536" s="889"/>
    </row>
    <row r="537" spans="1:12" ht="27.95" customHeight="1">
      <c r="A537" s="62"/>
      <c r="B537" s="315" t="s">
        <v>273</v>
      </c>
      <c r="C537" s="890" t="s">
        <v>302</v>
      </c>
      <c r="D537" s="890"/>
      <c r="E537" s="890"/>
      <c r="F537" s="890"/>
      <c r="G537" s="890"/>
      <c r="H537" s="890"/>
      <c r="I537" s="890"/>
      <c r="J537" s="890"/>
      <c r="K537" s="890"/>
      <c r="L537" s="891"/>
    </row>
    <row r="538" spans="1:12" ht="27.95" customHeight="1">
      <c r="A538" s="62"/>
      <c r="B538" s="314" t="s">
        <v>274</v>
      </c>
      <c r="C538" s="313" t="s">
        <v>275</v>
      </c>
      <c r="D538" s="305"/>
      <c r="E538" s="305"/>
      <c r="F538" s="305"/>
      <c r="G538" s="305"/>
      <c r="H538" s="305"/>
      <c r="I538" s="305"/>
      <c r="J538" s="305"/>
      <c r="K538" s="305"/>
      <c r="L538" s="326"/>
    </row>
    <row r="539" spans="1:12" ht="27.95" customHeight="1">
      <c r="A539" s="62"/>
      <c r="B539" s="251"/>
      <c r="C539" s="250" t="s">
        <v>303</v>
      </c>
      <c r="D539" s="229"/>
      <c r="E539" s="229"/>
      <c r="F539" s="229"/>
      <c r="G539" s="229"/>
      <c r="H539" s="47"/>
      <c r="I539" s="47"/>
      <c r="J539" s="47"/>
      <c r="K539" s="47"/>
      <c r="L539" s="63"/>
    </row>
    <row r="540" spans="1:12" ht="27.95" customHeight="1">
      <c r="A540" s="62"/>
      <c r="B540" s="47"/>
      <c r="C540" s="250" t="s">
        <v>276</v>
      </c>
      <c r="D540" s="47"/>
      <c r="E540" s="47"/>
      <c r="F540" s="47"/>
      <c r="G540" s="47"/>
      <c r="H540" s="47"/>
      <c r="I540" s="47"/>
      <c r="J540" s="47" t="s">
        <v>304</v>
      </c>
      <c r="K540" s="47"/>
      <c r="L540" s="63"/>
    </row>
    <row r="541" spans="1:12" ht="27.95" customHeight="1">
      <c r="A541" s="62"/>
      <c r="B541" s="47"/>
      <c r="C541" s="47"/>
      <c r="D541" s="47"/>
      <c r="E541" s="47"/>
      <c r="F541" s="303" t="s">
        <v>277</v>
      </c>
      <c r="G541" s="47"/>
      <c r="H541" s="47"/>
      <c r="I541" s="47"/>
      <c r="J541" s="47"/>
      <c r="K541" s="47"/>
      <c r="L541" s="63"/>
    </row>
    <row r="542" spans="1:12" ht="27.95" customHeight="1">
      <c r="A542" s="62" t="s">
        <v>305</v>
      </c>
      <c r="B542" s="47" t="s">
        <v>278</v>
      </c>
      <c r="C542" s="47"/>
      <c r="D542" s="47"/>
      <c r="E542" s="306">
        <f>'PUNJAB 04-22Master'!B508</f>
        <v>0</v>
      </c>
      <c r="F542" s="47"/>
      <c r="G542" s="47"/>
      <c r="H542" s="892" t="s">
        <v>279</v>
      </c>
      <c r="I542" s="892"/>
      <c r="J542" s="307">
        <f>'PUNJAB 04-22Master'!N508</f>
        <v>0</v>
      </c>
      <c r="K542" s="47" t="s">
        <v>280</v>
      </c>
      <c r="L542" s="63"/>
    </row>
    <row r="543" spans="1:12" ht="27.95" customHeight="1">
      <c r="A543" s="62"/>
      <c r="B543" s="893">
        <f>'PUNJAB 04-22Master'!S508</f>
        <v>0</v>
      </c>
      <c r="C543" s="894"/>
      <c r="D543" s="304"/>
      <c r="E543" s="304"/>
      <c r="F543" s="304"/>
      <c r="G543" s="304"/>
      <c r="H543" s="304"/>
      <c r="I543" s="304"/>
      <c r="J543" s="304"/>
      <c r="K543" s="304"/>
      <c r="L543" s="327"/>
    </row>
    <row r="544" spans="1:12">
      <c r="A544" s="62" t="s">
        <v>307</v>
      </c>
      <c r="B544" s="304" t="s">
        <v>281</v>
      </c>
      <c r="C544" s="304"/>
      <c r="D544" s="304"/>
      <c r="E544" s="304"/>
      <c r="F544" s="304"/>
      <c r="G544" s="304"/>
      <c r="H544" s="304"/>
      <c r="I544" s="304"/>
      <c r="J544" s="304"/>
      <c r="K544" s="304"/>
      <c r="L544" s="327"/>
    </row>
    <row r="545" spans="1:12">
      <c r="A545" s="62"/>
      <c r="B545" s="304" t="s">
        <v>306</v>
      </c>
      <c r="C545" s="304"/>
      <c r="D545" s="304"/>
      <c r="E545" s="304"/>
      <c r="F545" s="304"/>
      <c r="G545" s="304"/>
      <c r="H545" s="304"/>
      <c r="I545" s="304"/>
      <c r="J545" s="304"/>
      <c r="K545" s="304"/>
      <c r="L545" s="327"/>
    </row>
    <row r="546" spans="1:12">
      <c r="A546" s="323"/>
      <c r="B546" s="47" t="s">
        <v>282</v>
      </c>
      <c r="C546" s="47"/>
      <c r="D546" s="47"/>
      <c r="E546" s="47"/>
      <c r="F546" s="47"/>
      <c r="G546" s="47"/>
      <c r="H546" s="47"/>
      <c r="I546" s="47"/>
      <c r="J546" s="47"/>
      <c r="K546" s="47"/>
      <c r="L546" s="63"/>
    </row>
    <row r="547" spans="1:12" ht="18.75">
      <c r="A547" s="62"/>
      <c r="B547" s="229" t="s">
        <v>283</v>
      </c>
      <c r="C547" s="47"/>
      <c r="D547" s="47"/>
      <c r="E547" s="47"/>
      <c r="F547" s="248"/>
      <c r="G547" s="47"/>
      <c r="H547" s="47"/>
      <c r="I547" s="47"/>
      <c r="J547" s="47"/>
      <c r="K547" s="47"/>
      <c r="L547" s="63"/>
    </row>
    <row r="548" spans="1:12">
      <c r="A548" s="62"/>
      <c r="B548" s="229" t="s">
        <v>284</v>
      </c>
      <c r="C548" s="47"/>
      <c r="D548" s="47"/>
      <c r="E548" s="47"/>
      <c r="F548" s="47"/>
      <c r="G548" s="47"/>
      <c r="H548" s="47"/>
      <c r="I548" s="47"/>
      <c r="J548" s="47"/>
      <c r="K548" s="47"/>
      <c r="L548" s="63"/>
    </row>
    <row r="549" spans="1:12" ht="15" customHeight="1">
      <c r="A549" s="62"/>
      <c r="B549" s="47" t="s">
        <v>285</v>
      </c>
      <c r="C549" s="47"/>
      <c r="D549" s="47"/>
      <c r="E549" s="47"/>
      <c r="F549" s="47"/>
      <c r="G549" s="47"/>
      <c r="H549" s="47"/>
      <c r="I549" s="47"/>
      <c r="J549" s="47"/>
      <c r="K549" s="47"/>
      <c r="L549" s="63"/>
    </row>
    <row r="550" spans="1:12">
      <c r="A550" s="62"/>
      <c r="B550" s="47" t="s">
        <v>286</v>
      </c>
      <c r="C550" s="47"/>
      <c r="D550" s="47"/>
      <c r="E550" s="47"/>
      <c r="F550" s="47"/>
      <c r="G550" s="47"/>
      <c r="H550" s="47"/>
      <c r="I550" s="47"/>
      <c r="J550" s="47"/>
      <c r="K550" s="47"/>
      <c r="L550" s="63"/>
    </row>
    <row r="551" spans="1:12">
      <c r="A551" s="62" t="s">
        <v>296</v>
      </c>
      <c r="B551" s="47" t="s">
        <v>287</v>
      </c>
      <c r="C551" s="47"/>
      <c r="D551" s="47"/>
      <c r="E551" s="47"/>
      <c r="F551" s="47"/>
      <c r="G551" s="47"/>
      <c r="H551" s="47"/>
      <c r="I551" s="47"/>
      <c r="J551" s="47"/>
      <c r="K551" s="47"/>
      <c r="L551" s="63"/>
    </row>
    <row r="552" spans="1:12">
      <c r="A552" s="62"/>
      <c r="B552" s="316" t="s">
        <v>308</v>
      </c>
      <c r="C552" s="47"/>
      <c r="D552" s="47"/>
      <c r="E552" s="47"/>
      <c r="F552" s="47"/>
      <c r="G552" s="47"/>
      <c r="H552" s="47"/>
      <c r="I552" s="47"/>
      <c r="J552" s="47"/>
      <c r="K552" s="47"/>
      <c r="L552" s="63"/>
    </row>
    <row r="553" spans="1:12">
      <c r="A553" s="62"/>
      <c r="B553" s="47" t="s">
        <v>282</v>
      </c>
      <c r="C553" s="47"/>
      <c r="D553" s="47"/>
      <c r="E553" s="47"/>
      <c r="F553" s="47"/>
      <c r="G553" s="47"/>
      <c r="H553" s="47"/>
      <c r="I553" s="47"/>
      <c r="J553" s="47"/>
      <c r="K553" s="47"/>
      <c r="L553" s="63"/>
    </row>
    <row r="554" spans="1:12">
      <c r="A554" s="62"/>
      <c r="B554" s="47" t="s">
        <v>288</v>
      </c>
      <c r="C554" s="47"/>
      <c r="D554" s="47"/>
      <c r="E554" s="47"/>
      <c r="F554" s="250"/>
      <c r="G554" s="250"/>
      <c r="H554" s="250"/>
      <c r="I554" s="250"/>
      <c r="J554" s="250"/>
      <c r="K554" s="250"/>
      <c r="L554" s="63"/>
    </row>
    <row r="555" spans="1:12">
      <c r="A555" s="62"/>
      <c r="B555" s="47" t="s">
        <v>289</v>
      </c>
      <c r="C555" s="47"/>
      <c r="D555" s="47"/>
      <c r="E555" s="47"/>
      <c r="F555" s="47"/>
      <c r="G555" s="47"/>
      <c r="H555" s="47"/>
      <c r="I555" s="47"/>
      <c r="J555" s="47"/>
      <c r="K555" s="47"/>
      <c r="L555" s="63"/>
    </row>
    <row r="556" spans="1:12">
      <c r="A556" s="62"/>
      <c r="B556" s="895" t="s">
        <v>290</v>
      </c>
      <c r="C556" s="895"/>
      <c r="D556" s="895"/>
      <c r="E556" s="895"/>
      <c r="F556" s="895"/>
      <c r="G556" s="895"/>
      <c r="H556" s="895"/>
      <c r="I556" s="895"/>
      <c r="J556" s="895"/>
      <c r="K556" s="895"/>
      <c r="L556" s="896"/>
    </row>
    <row r="557" spans="1:12" ht="23.25">
      <c r="A557" s="62"/>
      <c r="B557" s="318" t="s">
        <v>202</v>
      </c>
      <c r="C557" s="285"/>
      <c r="D557" s="285"/>
      <c r="E557" s="285"/>
      <c r="F557" s="285"/>
      <c r="G557" s="285"/>
      <c r="H557" s="285"/>
      <c r="I557" s="318" t="s">
        <v>309</v>
      </c>
      <c r="J557" s="285"/>
      <c r="K557" s="285"/>
      <c r="L557" s="317"/>
    </row>
    <row r="558" spans="1:12" ht="16.5" thickBot="1">
      <c r="A558" s="76"/>
      <c r="B558" s="747"/>
      <c r="C558" s="747"/>
      <c r="D558" s="747"/>
      <c r="E558" s="747"/>
      <c r="F558" s="747"/>
      <c r="G558" s="747"/>
      <c r="H558" s="747"/>
      <c r="I558" s="747"/>
      <c r="J558" s="747"/>
      <c r="K558" s="747"/>
      <c r="L558" s="748"/>
    </row>
    <row r="559" spans="1:12">
      <c r="A559" s="140"/>
      <c r="B559" s="141"/>
      <c r="C559" s="141"/>
      <c r="D559" s="141"/>
      <c r="E559" s="141"/>
      <c r="F559" s="141"/>
      <c r="G559" s="141"/>
      <c r="H559" s="141"/>
      <c r="I559" s="150" t="s">
        <v>236</v>
      </c>
      <c r="J559" s="141"/>
      <c r="K559" s="141"/>
      <c r="L559" s="142"/>
    </row>
    <row r="560" spans="1:12">
      <c r="A560" s="62"/>
      <c r="B560" s="778" t="s">
        <v>291</v>
      </c>
      <c r="C560" s="778"/>
      <c r="D560" s="778"/>
      <c r="E560" s="778"/>
      <c r="F560" s="778"/>
      <c r="G560" s="778"/>
      <c r="H560" s="778"/>
      <c r="I560" s="778"/>
      <c r="J560" s="778"/>
      <c r="K560" s="778"/>
      <c r="L560" s="779"/>
    </row>
    <row r="561" spans="1:12" ht="23.25">
      <c r="A561" s="62"/>
      <c r="B561" s="285"/>
      <c r="C561" s="285"/>
      <c r="D561" s="294" t="s">
        <v>238</v>
      </c>
      <c r="E561" s="285"/>
      <c r="F561" s="285"/>
      <c r="G561" s="285"/>
      <c r="H561" s="285"/>
      <c r="I561" s="288" t="s">
        <v>292</v>
      </c>
      <c r="J561" s="289"/>
      <c r="K561" s="289"/>
      <c r="L561" s="320"/>
    </row>
    <row r="562" spans="1:12" ht="15.75">
      <c r="A562" s="62"/>
      <c r="B562" s="286"/>
      <c r="C562" s="286" t="s">
        <v>239</v>
      </c>
      <c r="D562" s="47"/>
      <c r="E562" s="286"/>
      <c r="F562" s="286"/>
      <c r="G562" s="286"/>
      <c r="H562" s="286"/>
      <c r="I562" s="287" t="s">
        <v>293</v>
      </c>
      <c r="J562" s="308">
        <f>'PUNJAB 04-22Master'!F552</f>
        <v>0</v>
      </c>
      <c r="K562" s="290"/>
      <c r="L562" s="321"/>
    </row>
    <row r="563" spans="1:12">
      <c r="A563" s="62"/>
      <c r="B563" s="295"/>
      <c r="C563" s="258" t="s">
        <v>240</v>
      </c>
      <c r="D563" s="47"/>
      <c r="E563" s="295"/>
      <c r="F563" s="295"/>
      <c r="G563" s="47"/>
      <c r="H563" s="259"/>
      <c r="I563" s="311">
        <f>'PUNJAB 04-22Master'!F553</f>
        <v>0</v>
      </c>
      <c r="J563" s="309"/>
      <c r="K563" s="310"/>
      <c r="L563" s="271"/>
    </row>
    <row r="564" spans="1:12" ht="23.25" customHeight="1">
      <c r="A564" s="62">
        <v>1</v>
      </c>
      <c r="B564" s="291" t="s">
        <v>241</v>
      </c>
      <c r="C564" s="265"/>
      <c r="D564" s="265"/>
      <c r="E564" s="265"/>
      <c r="F564" s="265"/>
      <c r="G564" s="119"/>
      <c r="H564" s="874"/>
      <c r="I564" s="875"/>
      <c r="J564" s="875"/>
      <c r="K564" s="875"/>
      <c r="L564" s="876"/>
    </row>
    <row r="565" spans="1:12" ht="22.5" customHeight="1">
      <c r="A565" s="62">
        <v>2</v>
      </c>
      <c r="B565" s="897" t="s">
        <v>242</v>
      </c>
      <c r="C565" s="898"/>
      <c r="D565" s="898"/>
      <c r="E565" s="898"/>
      <c r="F565" s="292" t="s">
        <v>243</v>
      </c>
      <c r="G565" s="273"/>
      <c r="H565" s="899"/>
      <c r="I565" s="900"/>
      <c r="J565" s="900"/>
      <c r="K565" s="900"/>
      <c r="L565" s="901"/>
    </row>
    <row r="566" spans="1:12" ht="10.5" customHeight="1">
      <c r="A566" s="62"/>
      <c r="B566" s="274" t="s">
        <v>244</v>
      </c>
      <c r="C566" s="275"/>
      <c r="D566" s="275"/>
      <c r="E566" s="275"/>
      <c r="F566" s="275" t="s">
        <v>237</v>
      </c>
      <c r="G566" s="276"/>
      <c r="H566" s="902"/>
      <c r="I566" s="903"/>
      <c r="J566" s="903"/>
      <c r="K566" s="903"/>
      <c r="L566" s="904"/>
    </row>
    <row r="567" spans="1:12" ht="24" customHeight="1">
      <c r="A567" s="62">
        <v>3</v>
      </c>
      <c r="B567" s="293" t="s">
        <v>245</v>
      </c>
      <c r="C567" s="280"/>
      <c r="D567" s="280"/>
      <c r="E567" s="280"/>
      <c r="F567" s="280"/>
      <c r="G567" s="281"/>
      <c r="H567" s="293"/>
      <c r="I567" s="280"/>
      <c r="J567" s="280"/>
      <c r="K567" s="280"/>
      <c r="L567" s="322"/>
    </row>
    <row r="568" spans="1:12" ht="27.95" customHeight="1">
      <c r="A568" s="323">
        <v>4</v>
      </c>
      <c r="B568" s="264" t="s">
        <v>246</v>
      </c>
      <c r="C568" s="118"/>
      <c r="D568" s="118"/>
      <c r="E568" s="118"/>
      <c r="F568" s="118"/>
      <c r="G568" s="119"/>
      <c r="H568" s="264"/>
      <c r="I568" s="118"/>
      <c r="J568" s="118"/>
      <c r="K568" s="118"/>
      <c r="L568" s="271"/>
    </row>
    <row r="569" spans="1:12" ht="27.95" customHeight="1">
      <c r="A569" s="323">
        <v>5</v>
      </c>
      <c r="B569" s="882" t="s">
        <v>294</v>
      </c>
      <c r="C569" s="883"/>
      <c r="D569" s="883"/>
      <c r="E569" s="883"/>
      <c r="F569" s="883"/>
      <c r="G569" s="119"/>
      <c r="H569" s="884"/>
      <c r="I569" s="885"/>
      <c r="J569" s="885"/>
      <c r="K569" s="885"/>
      <c r="L569" s="886"/>
    </row>
    <row r="570" spans="1:12" ht="27.95" customHeight="1">
      <c r="A570" s="323">
        <v>6</v>
      </c>
      <c r="B570" s="334" t="s">
        <v>247</v>
      </c>
      <c r="C570" s="280" t="s">
        <v>248</v>
      </c>
      <c r="D570" s="280"/>
      <c r="E570" s="280"/>
      <c r="F570" s="280"/>
      <c r="G570" s="281"/>
      <c r="H570" s="293"/>
      <c r="I570" s="280"/>
      <c r="J570" s="280"/>
      <c r="K570" s="280"/>
      <c r="L570" s="322"/>
    </row>
    <row r="571" spans="1:12" ht="27.95" customHeight="1">
      <c r="A571" s="62"/>
      <c r="B571" s="334" t="s">
        <v>249</v>
      </c>
      <c r="C571" s="280" t="s">
        <v>250</v>
      </c>
      <c r="D571" s="280"/>
      <c r="E571" s="280"/>
      <c r="F571" s="280"/>
      <c r="G571" s="281"/>
      <c r="H571" s="293"/>
      <c r="I571" s="333"/>
      <c r="J571" s="333"/>
      <c r="K571" s="280"/>
      <c r="L571" s="322"/>
    </row>
    <row r="572" spans="1:12" ht="27.95" customHeight="1">
      <c r="A572" s="323">
        <v>7</v>
      </c>
      <c r="B572" s="879" t="s">
        <v>251</v>
      </c>
      <c r="C572" s="880"/>
      <c r="D572" s="880"/>
      <c r="E572" s="880"/>
      <c r="F572" s="880"/>
      <c r="G572" s="887"/>
      <c r="H572" s="297" t="s">
        <v>252</v>
      </c>
      <c r="I572" s="298"/>
      <c r="J572" s="299"/>
      <c r="K572" s="297" t="s">
        <v>253</v>
      </c>
      <c r="L572" s="324"/>
    </row>
    <row r="573" spans="1:12" ht="27.95" customHeight="1">
      <c r="A573" s="323">
        <v>8</v>
      </c>
      <c r="B573" s="879" t="s">
        <v>295</v>
      </c>
      <c r="C573" s="880"/>
      <c r="D573" s="880"/>
      <c r="E573" s="880"/>
      <c r="F573" s="880"/>
      <c r="G573" s="887"/>
      <c r="H573" s="297" t="s">
        <v>252</v>
      </c>
      <c r="I573" s="298"/>
      <c r="J573" s="299"/>
      <c r="K573" s="297" t="s">
        <v>253</v>
      </c>
      <c r="L573" s="324"/>
    </row>
    <row r="574" spans="1:12" ht="27.95" customHeight="1">
      <c r="A574" s="62"/>
      <c r="B574" s="264"/>
      <c r="C574" s="301"/>
      <c r="D574" s="301"/>
      <c r="E574" s="301"/>
      <c r="F574" s="301" t="s">
        <v>254</v>
      </c>
      <c r="G574" s="301"/>
      <c r="H574" s="301"/>
      <c r="I574" s="301"/>
      <c r="J574" s="301"/>
      <c r="K574" s="301"/>
      <c r="L574" s="325"/>
    </row>
    <row r="575" spans="1:12" ht="27.95" customHeight="1">
      <c r="A575" s="323">
        <v>9</v>
      </c>
      <c r="B575" s="334" t="s">
        <v>255</v>
      </c>
      <c r="C575" s="280" t="s">
        <v>256</v>
      </c>
      <c r="D575" s="280"/>
      <c r="E575" s="280"/>
      <c r="F575" s="280"/>
      <c r="G575" s="281"/>
      <c r="H575" s="293"/>
      <c r="I575" s="280"/>
      <c r="J575" s="280"/>
      <c r="K575" s="280"/>
      <c r="L575" s="322"/>
    </row>
    <row r="576" spans="1:12" ht="24" customHeight="1">
      <c r="A576" s="157"/>
      <c r="B576" s="334" t="s">
        <v>257</v>
      </c>
      <c r="C576" s="280" t="s">
        <v>258</v>
      </c>
      <c r="D576" s="280"/>
      <c r="E576" s="280"/>
      <c r="F576" s="280"/>
      <c r="G576" s="281"/>
      <c r="H576" s="293"/>
      <c r="I576" s="280"/>
      <c r="J576" s="280"/>
      <c r="K576" s="280"/>
      <c r="L576" s="322"/>
    </row>
    <row r="577" spans="1:12" ht="24" customHeight="1">
      <c r="A577" s="157"/>
      <c r="B577" s="334" t="s">
        <v>296</v>
      </c>
      <c r="C577" s="280" t="s">
        <v>297</v>
      </c>
      <c r="D577" s="280"/>
      <c r="E577" s="280"/>
      <c r="F577" s="280"/>
      <c r="G577" s="281"/>
      <c r="H577" s="293"/>
      <c r="I577" s="280"/>
      <c r="J577" s="280"/>
      <c r="K577" s="280"/>
      <c r="L577" s="322"/>
    </row>
    <row r="578" spans="1:12" ht="22.5" customHeight="1">
      <c r="A578" s="157"/>
      <c r="B578" s="334" t="s">
        <v>260</v>
      </c>
      <c r="C578" s="280" t="s">
        <v>261</v>
      </c>
      <c r="D578" s="280"/>
      <c r="E578" s="280"/>
      <c r="F578" s="280"/>
      <c r="G578" s="281"/>
      <c r="H578" s="293"/>
      <c r="I578" s="280"/>
      <c r="J578" s="280"/>
      <c r="K578" s="280"/>
      <c r="L578" s="322"/>
    </row>
    <row r="579" spans="1:12" ht="27.95" customHeight="1">
      <c r="A579" s="157"/>
      <c r="B579" s="334" t="s">
        <v>262</v>
      </c>
      <c r="C579" s="280" t="s">
        <v>263</v>
      </c>
      <c r="D579" s="280"/>
      <c r="E579" s="280"/>
      <c r="F579" s="280"/>
      <c r="G579" s="281"/>
      <c r="H579" s="293"/>
      <c r="I579" s="280"/>
      <c r="J579" s="280"/>
      <c r="K579" s="280"/>
      <c r="L579" s="322"/>
    </row>
    <row r="580" spans="1:12" ht="27.95" customHeight="1">
      <c r="A580" s="157">
        <v>10</v>
      </c>
      <c r="B580" s="334" t="s">
        <v>255</v>
      </c>
      <c r="C580" s="280" t="s">
        <v>298</v>
      </c>
      <c r="D580" s="280"/>
      <c r="E580" s="280"/>
      <c r="F580" s="280"/>
      <c r="G580" s="281"/>
      <c r="H580" s="297" t="s">
        <v>252</v>
      </c>
      <c r="I580" s="298"/>
      <c r="J580" s="299"/>
      <c r="K580" s="297" t="s">
        <v>253</v>
      </c>
      <c r="L580" s="324"/>
    </row>
    <row r="581" spans="1:12" ht="27.95" customHeight="1">
      <c r="A581" s="157"/>
      <c r="B581" s="334" t="s">
        <v>257</v>
      </c>
      <c r="C581" s="280" t="s">
        <v>299</v>
      </c>
      <c r="D581" s="280"/>
      <c r="E581" s="280"/>
      <c r="F581" s="280"/>
      <c r="G581" s="281"/>
      <c r="H581" s="293"/>
      <c r="I581" s="280"/>
      <c r="J581" s="280"/>
      <c r="K581" s="280"/>
      <c r="L581" s="322"/>
    </row>
    <row r="582" spans="1:12">
      <c r="A582" s="157"/>
      <c r="B582" s="334" t="s">
        <v>296</v>
      </c>
      <c r="C582" s="280" t="s">
        <v>264</v>
      </c>
      <c r="D582" s="280"/>
      <c r="E582" s="280"/>
      <c r="F582" s="280"/>
      <c r="G582" s="281"/>
      <c r="H582" s="293"/>
      <c r="I582" s="280"/>
      <c r="J582" s="280"/>
      <c r="K582" s="280"/>
      <c r="L582" s="322"/>
    </row>
    <row r="583" spans="1:12">
      <c r="A583" s="157"/>
      <c r="B583" s="334" t="s">
        <v>260</v>
      </c>
      <c r="C583" s="280" t="s">
        <v>300</v>
      </c>
      <c r="D583" s="280"/>
      <c r="E583" s="280"/>
      <c r="F583" s="280"/>
      <c r="G583" s="281"/>
      <c r="H583" s="293"/>
      <c r="I583" s="280"/>
      <c r="J583" s="280"/>
      <c r="K583" s="280"/>
      <c r="L583" s="322"/>
    </row>
    <row r="584" spans="1:12">
      <c r="A584" s="62"/>
      <c r="B584" s="264"/>
      <c r="C584" s="301"/>
      <c r="D584" s="301"/>
      <c r="E584" s="301" t="s">
        <v>301</v>
      </c>
      <c r="F584" s="301"/>
      <c r="G584" s="301"/>
      <c r="H584" s="301"/>
      <c r="I584" s="301"/>
      <c r="J584" s="301"/>
      <c r="K584" s="301"/>
      <c r="L584" s="325"/>
    </row>
    <row r="585" spans="1:12">
      <c r="A585" s="62">
        <v>11</v>
      </c>
      <c r="B585" s="334" t="s">
        <v>255</v>
      </c>
      <c r="C585" s="280" t="s">
        <v>265</v>
      </c>
      <c r="D585" s="280"/>
      <c r="E585" s="280"/>
      <c r="F585" s="280"/>
      <c r="G585" s="281"/>
      <c r="H585" s="293"/>
      <c r="I585" s="280"/>
      <c r="J585" s="280"/>
      <c r="K585" s="280"/>
      <c r="L585" s="322"/>
    </row>
    <row r="586" spans="1:12">
      <c r="A586" s="62"/>
      <c r="B586" s="334" t="s">
        <v>257</v>
      </c>
      <c r="C586" s="280" t="s">
        <v>266</v>
      </c>
      <c r="D586" s="280"/>
      <c r="E586" s="280"/>
      <c r="F586" s="280"/>
      <c r="G586" s="281"/>
      <c r="H586" s="293"/>
      <c r="I586" s="280"/>
      <c r="J586" s="280"/>
      <c r="K586" s="280"/>
      <c r="L586" s="322"/>
    </row>
    <row r="587" spans="1:12">
      <c r="A587" s="62"/>
      <c r="B587" s="334" t="s">
        <v>259</v>
      </c>
      <c r="C587" s="280" t="s">
        <v>267</v>
      </c>
      <c r="D587" s="280"/>
      <c r="E587" s="280"/>
      <c r="F587" s="280"/>
      <c r="G587" s="281"/>
      <c r="H587" s="293"/>
      <c r="I587" s="280"/>
      <c r="J587" s="280"/>
      <c r="K587" s="280"/>
      <c r="L587" s="322"/>
    </row>
    <row r="588" spans="1:12" ht="15" customHeight="1">
      <c r="A588" s="62"/>
      <c r="B588" s="251"/>
      <c r="C588" s="344"/>
      <c r="D588" s="344"/>
      <c r="E588" s="344"/>
      <c r="F588" s="302" t="s">
        <v>268</v>
      </c>
      <c r="G588" s="344"/>
      <c r="H588" s="347"/>
      <c r="I588" s="347"/>
      <c r="J588" s="347"/>
      <c r="K588" s="347"/>
      <c r="L588" s="254"/>
    </row>
    <row r="589" spans="1:12">
      <c r="A589" s="62"/>
      <c r="B589" s="314" t="s">
        <v>269</v>
      </c>
      <c r="C589" s="313" t="s">
        <v>270</v>
      </c>
      <c r="D589" s="344"/>
      <c r="E589" s="344"/>
      <c r="F589" s="344"/>
      <c r="G589" s="344"/>
      <c r="H589" s="347"/>
      <c r="I589" s="347"/>
      <c r="J589" s="345"/>
      <c r="K589" s="347"/>
      <c r="L589" s="254"/>
    </row>
    <row r="590" spans="1:12">
      <c r="A590" s="62"/>
      <c r="B590" s="314" t="s">
        <v>271</v>
      </c>
      <c r="C590" s="312" t="s">
        <v>272</v>
      </c>
      <c r="D590" s="347"/>
      <c r="E590" s="345"/>
      <c r="F590" s="47"/>
      <c r="G590" s="888"/>
      <c r="H590" s="888"/>
      <c r="I590" s="340"/>
      <c r="J590" s="253"/>
      <c r="K590" s="888"/>
      <c r="L590" s="889"/>
    </row>
    <row r="591" spans="1:12">
      <c r="A591" s="62"/>
      <c r="B591" s="315" t="s">
        <v>273</v>
      </c>
      <c r="C591" s="890" t="s">
        <v>302</v>
      </c>
      <c r="D591" s="890"/>
      <c r="E591" s="890"/>
      <c r="F591" s="890"/>
      <c r="G591" s="890"/>
      <c r="H591" s="890"/>
      <c r="I591" s="890"/>
      <c r="J591" s="890"/>
      <c r="K591" s="890"/>
      <c r="L591" s="891"/>
    </row>
    <row r="592" spans="1:12">
      <c r="A592" s="62"/>
      <c r="B592" s="314" t="s">
        <v>274</v>
      </c>
      <c r="C592" s="313" t="s">
        <v>275</v>
      </c>
      <c r="D592" s="305"/>
      <c r="E592" s="305"/>
      <c r="F592" s="305"/>
      <c r="G592" s="305"/>
      <c r="H592" s="305"/>
      <c r="I592" s="305"/>
      <c r="J592" s="305"/>
      <c r="K592" s="305"/>
      <c r="L592" s="326"/>
    </row>
    <row r="593" spans="1:12">
      <c r="A593" s="62"/>
      <c r="B593" s="251"/>
      <c r="C593" s="250" t="s">
        <v>303</v>
      </c>
      <c r="D593" s="229"/>
      <c r="E593" s="229"/>
      <c r="F593" s="229"/>
      <c r="G593" s="229"/>
      <c r="H593" s="47"/>
      <c r="I593" s="47"/>
      <c r="J593" s="47"/>
      <c r="K593" s="47"/>
      <c r="L593" s="63"/>
    </row>
    <row r="594" spans="1:12">
      <c r="A594" s="62"/>
      <c r="B594" s="47"/>
      <c r="C594" s="250" t="s">
        <v>276</v>
      </c>
      <c r="D594" s="47"/>
      <c r="E594" s="47"/>
      <c r="F594" s="47"/>
      <c r="G594" s="47"/>
      <c r="H594" s="47"/>
      <c r="I594" s="47"/>
      <c r="J594" s="47" t="s">
        <v>304</v>
      </c>
      <c r="K594" s="47"/>
      <c r="L594" s="63"/>
    </row>
    <row r="595" spans="1:12">
      <c r="A595" s="62"/>
      <c r="B595" s="47"/>
      <c r="C595" s="47"/>
      <c r="D595" s="47"/>
      <c r="E595" s="47"/>
      <c r="F595" s="303" t="s">
        <v>277</v>
      </c>
      <c r="G595" s="47"/>
      <c r="H595" s="47"/>
      <c r="I595" s="47"/>
      <c r="J595" s="47"/>
      <c r="K595" s="47"/>
      <c r="L595" s="63"/>
    </row>
    <row r="596" spans="1:12">
      <c r="A596" s="62" t="s">
        <v>305</v>
      </c>
      <c r="B596" s="47" t="s">
        <v>278</v>
      </c>
      <c r="C596" s="47"/>
      <c r="D596" s="47"/>
      <c r="E596" s="306">
        <f>'PUNJAB 04-22Master'!B562</f>
        <v>0</v>
      </c>
      <c r="F596" s="47"/>
      <c r="G596" s="47"/>
      <c r="H596" s="892" t="s">
        <v>279</v>
      </c>
      <c r="I596" s="892"/>
      <c r="J596" s="307">
        <f>'PUNJAB 04-22Master'!N562</f>
        <v>0</v>
      </c>
      <c r="K596" s="47" t="s">
        <v>280</v>
      </c>
      <c r="L596" s="63"/>
    </row>
    <row r="597" spans="1:12">
      <c r="A597" s="62"/>
      <c r="B597" s="893">
        <f>'PUNJAB 04-22Master'!S562</f>
        <v>0</v>
      </c>
      <c r="C597" s="894"/>
      <c r="D597" s="304"/>
      <c r="E597" s="304"/>
      <c r="F597" s="304"/>
      <c r="G597" s="304"/>
      <c r="H597" s="304"/>
      <c r="I597" s="304"/>
      <c r="J597" s="304"/>
      <c r="K597" s="304"/>
      <c r="L597" s="327"/>
    </row>
    <row r="598" spans="1:12">
      <c r="A598" s="62" t="s">
        <v>307</v>
      </c>
      <c r="B598" s="304" t="s">
        <v>281</v>
      </c>
      <c r="C598" s="304"/>
      <c r="D598" s="304"/>
      <c r="E598" s="304"/>
      <c r="F598" s="304"/>
      <c r="G598" s="304"/>
      <c r="H598" s="304"/>
      <c r="I598" s="304"/>
      <c r="J598" s="304"/>
      <c r="K598" s="304"/>
      <c r="L598" s="327"/>
    </row>
    <row r="599" spans="1:12">
      <c r="A599" s="62"/>
      <c r="B599" s="304" t="s">
        <v>306</v>
      </c>
      <c r="C599" s="304"/>
      <c r="D599" s="304"/>
      <c r="E599" s="304"/>
      <c r="F599" s="304"/>
      <c r="G599" s="304"/>
      <c r="H599" s="304"/>
      <c r="I599" s="304"/>
      <c r="J599" s="304"/>
      <c r="K599" s="304"/>
      <c r="L599" s="327"/>
    </row>
    <row r="600" spans="1:12">
      <c r="A600" s="323"/>
      <c r="B600" s="47" t="s">
        <v>282</v>
      </c>
      <c r="C600" s="47"/>
      <c r="D600" s="47"/>
      <c r="E600" s="47"/>
      <c r="F600" s="47"/>
      <c r="G600" s="47"/>
      <c r="H600" s="47"/>
      <c r="I600" s="47"/>
      <c r="J600" s="47"/>
      <c r="K600" s="47"/>
      <c r="L600" s="63"/>
    </row>
    <row r="601" spans="1:12" ht="18.75">
      <c r="A601" s="62"/>
      <c r="B601" s="229" t="s">
        <v>283</v>
      </c>
      <c r="C601" s="47"/>
      <c r="D601" s="47"/>
      <c r="E601" s="47"/>
      <c r="F601" s="248"/>
      <c r="G601" s="47"/>
      <c r="H601" s="47"/>
      <c r="I601" s="47"/>
      <c r="J601" s="47"/>
      <c r="K601" s="47"/>
      <c r="L601" s="63"/>
    </row>
    <row r="602" spans="1:12">
      <c r="A602" s="62"/>
      <c r="B602" s="229" t="s">
        <v>284</v>
      </c>
      <c r="C602" s="47"/>
      <c r="D602" s="47"/>
      <c r="E602" s="47"/>
      <c r="F602" s="47"/>
      <c r="G602" s="47"/>
      <c r="H602" s="47"/>
      <c r="I602" s="47"/>
      <c r="J602" s="47"/>
      <c r="K602" s="47"/>
      <c r="L602" s="63"/>
    </row>
    <row r="603" spans="1:12" ht="21.75" customHeight="1">
      <c r="A603" s="62"/>
      <c r="B603" s="47" t="s">
        <v>285</v>
      </c>
      <c r="C603" s="47"/>
      <c r="D603" s="47"/>
      <c r="E603" s="47"/>
      <c r="F603" s="47"/>
      <c r="G603" s="47"/>
      <c r="H603" s="47"/>
      <c r="I603" s="47"/>
      <c r="J603" s="47"/>
      <c r="K603" s="47"/>
      <c r="L603" s="63"/>
    </row>
    <row r="604" spans="1:12" ht="18" customHeight="1">
      <c r="A604" s="62"/>
      <c r="B604" s="47" t="s">
        <v>286</v>
      </c>
      <c r="C604" s="47"/>
      <c r="D604" s="47"/>
      <c r="E604" s="47"/>
      <c r="F604" s="47"/>
      <c r="G604" s="47"/>
      <c r="H604" s="47"/>
      <c r="I604" s="47"/>
      <c r="J604" s="47"/>
      <c r="K604" s="47"/>
      <c r="L604" s="63"/>
    </row>
    <row r="605" spans="1:12" ht="17.25" customHeight="1">
      <c r="A605" s="62" t="s">
        <v>296</v>
      </c>
      <c r="B605" s="47" t="s">
        <v>287</v>
      </c>
      <c r="C605" s="47"/>
      <c r="D605" s="47"/>
      <c r="E605" s="47"/>
      <c r="F605" s="47"/>
      <c r="G605" s="47"/>
      <c r="H605" s="47"/>
      <c r="I605" s="47"/>
      <c r="J605" s="47"/>
      <c r="K605" s="47"/>
      <c r="L605" s="63"/>
    </row>
    <row r="606" spans="1:12" ht="19.5" customHeight="1">
      <c r="A606" s="62"/>
      <c r="B606" s="316" t="s">
        <v>308</v>
      </c>
      <c r="C606" s="47"/>
      <c r="D606" s="47"/>
      <c r="E606" s="47"/>
      <c r="F606" s="47"/>
      <c r="G606" s="47"/>
      <c r="H606" s="47"/>
      <c r="I606" s="47"/>
      <c r="J606" s="47"/>
      <c r="K606" s="47"/>
      <c r="L606" s="63"/>
    </row>
    <row r="607" spans="1:12" ht="18.75" customHeight="1">
      <c r="A607" s="62"/>
      <c r="B607" s="47" t="s">
        <v>282</v>
      </c>
      <c r="C607" s="47"/>
      <c r="D607" s="47"/>
      <c r="E607" s="47"/>
      <c r="F607" s="47"/>
      <c r="G607" s="47"/>
      <c r="H607" s="47"/>
      <c r="I607" s="47"/>
      <c r="J607" s="47"/>
      <c r="K607" s="47"/>
      <c r="L607" s="63"/>
    </row>
    <row r="608" spans="1:12" ht="15" customHeight="1">
      <c r="A608" s="62"/>
      <c r="B608" s="47" t="s">
        <v>288</v>
      </c>
      <c r="C608" s="47"/>
      <c r="D608" s="47"/>
      <c r="E608" s="47"/>
      <c r="F608" s="250"/>
      <c r="G608" s="250"/>
      <c r="H608" s="250"/>
      <c r="I608" s="250"/>
      <c r="J608" s="250"/>
      <c r="K608" s="250"/>
      <c r="L608" s="63"/>
    </row>
    <row r="609" spans="1:12" ht="20.25" customHeight="1">
      <c r="A609" s="62"/>
      <c r="B609" s="47" t="s">
        <v>289</v>
      </c>
      <c r="C609" s="47"/>
      <c r="D609" s="47"/>
      <c r="E609" s="47"/>
      <c r="F609" s="47"/>
      <c r="G609" s="47"/>
      <c r="H609" s="47"/>
      <c r="I609" s="47"/>
      <c r="J609" s="47"/>
      <c r="K609" s="47"/>
      <c r="L609" s="63"/>
    </row>
    <row r="610" spans="1:12" ht="21" customHeight="1">
      <c r="A610" s="62"/>
      <c r="B610" s="895" t="s">
        <v>290</v>
      </c>
      <c r="C610" s="895"/>
      <c r="D610" s="895"/>
      <c r="E610" s="895"/>
      <c r="F610" s="895"/>
      <c r="G610" s="895"/>
      <c r="H610" s="895"/>
      <c r="I610" s="895"/>
      <c r="J610" s="895"/>
      <c r="K610" s="895"/>
      <c r="L610" s="896"/>
    </row>
    <row r="611" spans="1:12" ht="27.95" customHeight="1">
      <c r="A611" s="62"/>
      <c r="B611" s="318" t="s">
        <v>202</v>
      </c>
      <c r="C611" s="285"/>
      <c r="D611" s="285"/>
      <c r="E611" s="285"/>
      <c r="F611" s="285"/>
      <c r="G611" s="285"/>
      <c r="H611" s="285"/>
      <c r="I611" s="318" t="s">
        <v>309</v>
      </c>
      <c r="J611" s="285"/>
      <c r="K611" s="285"/>
      <c r="L611" s="317"/>
    </row>
    <row r="612" spans="1:12" ht="27.95" customHeight="1" thickBot="1">
      <c r="A612" s="76"/>
      <c r="B612" s="747"/>
      <c r="C612" s="747"/>
      <c r="D612" s="747"/>
      <c r="E612" s="747"/>
      <c r="F612" s="747"/>
      <c r="G612" s="747"/>
      <c r="H612" s="747"/>
      <c r="I612" s="747"/>
      <c r="J612" s="747"/>
      <c r="K612" s="747"/>
      <c r="L612" s="748"/>
    </row>
    <row r="613" spans="1:12" ht="27.95" customHeight="1">
      <c r="A613" s="47"/>
      <c r="B613" s="251"/>
      <c r="C613" s="242"/>
      <c r="D613" s="242"/>
      <c r="E613" s="242"/>
      <c r="F613" s="242"/>
      <c r="G613" s="242"/>
      <c r="H613" s="227"/>
      <c r="I613" s="227"/>
      <c r="J613" s="227"/>
      <c r="K613" s="227"/>
      <c r="L613" s="227"/>
    </row>
    <row r="614" spans="1:12" ht="27.95" customHeight="1">
      <c r="A614" s="47"/>
      <c r="B614" s="251"/>
      <c r="C614" s="242"/>
      <c r="D614" s="242"/>
      <c r="E614" s="242"/>
      <c r="F614" s="242"/>
      <c r="G614" s="242"/>
      <c r="H614" s="227"/>
      <c r="I614" s="227"/>
      <c r="J614" s="228"/>
      <c r="K614" s="227"/>
      <c r="L614" s="227"/>
    </row>
    <row r="615" spans="1:12" ht="27.95" customHeight="1">
      <c r="A615" s="47"/>
      <c r="B615" s="251"/>
      <c r="C615" s="242"/>
      <c r="D615" s="242"/>
      <c r="E615" s="242"/>
      <c r="F615" s="242"/>
      <c r="G615" s="242"/>
      <c r="H615" s="227"/>
      <c r="I615" s="227"/>
      <c r="J615" s="227"/>
      <c r="K615" s="227"/>
      <c r="L615" s="227"/>
    </row>
    <row r="616" spans="1:12" ht="27.95" customHeight="1">
      <c r="A616" s="47"/>
      <c r="B616" s="251"/>
      <c r="C616" s="242"/>
      <c r="D616" s="242"/>
      <c r="E616" s="242"/>
      <c r="F616" s="242"/>
      <c r="G616" s="242"/>
      <c r="H616" s="227"/>
      <c r="I616" s="227"/>
      <c r="J616" s="228"/>
      <c r="K616" s="227"/>
      <c r="L616" s="227"/>
    </row>
    <row r="617" spans="1:12" ht="27.95" customHeight="1">
      <c r="A617" s="47"/>
      <c r="B617" s="251"/>
      <c r="C617" s="242"/>
      <c r="D617" s="227"/>
      <c r="E617" s="228"/>
      <c r="F617" s="227"/>
      <c r="G617" s="228"/>
      <c r="H617" s="227"/>
      <c r="I617" s="228"/>
      <c r="J617" s="227"/>
      <c r="K617" s="228"/>
      <c r="L617" s="228"/>
    </row>
    <row r="618" spans="1:12" ht="27.95" customHeight="1">
      <c r="A618" s="47"/>
      <c r="B618" s="251"/>
      <c r="C618" s="242"/>
      <c r="D618" s="242"/>
      <c r="E618" s="242"/>
      <c r="F618" s="242"/>
      <c r="G618" s="242"/>
      <c r="H618" s="227"/>
      <c r="I618" s="227"/>
      <c r="J618" s="348"/>
      <c r="K618" s="227"/>
      <c r="L618" s="227"/>
    </row>
    <row r="619" spans="1:12" ht="27.95" customHeight="1">
      <c r="A619" s="47"/>
      <c r="B619" s="251"/>
      <c r="C619" s="229"/>
      <c r="D619" s="229"/>
      <c r="E619" s="229"/>
      <c r="F619" s="229"/>
      <c r="G619" s="229"/>
      <c r="H619" s="47"/>
      <c r="I619" s="47"/>
      <c r="J619" s="47"/>
      <c r="K619" s="47"/>
      <c r="L619" s="47"/>
    </row>
    <row r="620" spans="1:12" ht="27.95" customHeight="1">
      <c r="A620" s="47"/>
      <c r="B620" s="251"/>
      <c r="C620" s="229"/>
      <c r="D620" s="229"/>
      <c r="E620" s="229"/>
      <c r="F620" s="229"/>
      <c r="G620" s="229"/>
      <c r="H620" s="47"/>
      <c r="I620" s="47"/>
      <c r="J620" s="47"/>
      <c r="K620" s="47"/>
      <c r="L620" s="47"/>
    </row>
    <row r="621" spans="1:12">
      <c r="A621" s="47"/>
      <c r="B621" s="47"/>
      <c r="C621" s="47"/>
      <c r="D621" s="47"/>
      <c r="E621" s="47"/>
      <c r="F621" s="47"/>
      <c r="G621" s="47"/>
      <c r="H621" s="47"/>
      <c r="I621" s="47"/>
      <c r="J621" s="47"/>
      <c r="K621" s="47"/>
      <c r="L621" s="47"/>
    </row>
    <row r="622" spans="1:12">
      <c r="A622" s="47"/>
      <c r="B622" s="47"/>
      <c r="C622" s="47"/>
      <c r="D622" s="47"/>
      <c r="E622" s="47"/>
      <c r="F622" s="47"/>
      <c r="G622" s="47"/>
      <c r="H622" s="47"/>
      <c r="I622" s="47"/>
      <c r="J622" s="47"/>
      <c r="K622" s="47"/>
      <c r="L622" s="47"/>
    </row>
    <row r="623" spans="1:12" ht="32.25">
      <c r="A623" s="47"/>
      <c r="B623" s="866"/>
      <c r="C623" s="786"/>
      <c r="D623" s="786"/>
      <c r="E623" s="786"/>
      <c r="F623" s="786"/>
      <c r="G623" s="786"/>
      <c r="H623" s="786"/>
      <c r="I623" s="786"/>
      <c r="J623" s="786"/>
      <c r="K623" s="786"/>
      <c r="L623" s="786"/>
    </row>
    <row r="624" spans="1:12" ht="23.25">
      <c r="A624" s="47"/>
      <c r="B624" s="745"/>
      <c r="C624" s="745"/>
      <c r="D624" s="745"/>
      <c r="E624" s="745"/>
      <c r="F624" s="745"/>
      <c r="G624" s="745"/>
      <c r="H624" s="745"/>
      <c r="I624" s="745"/>
      <c r="J624" s="745"/>
      <c r="K624" s="745"/>
      <c r="L624" s="745"/>
    </row>
    <row r="625" spans="1:12" ht="15.75">
      <c r="A625" s="47"/>
      <c r="B625" s="864"/>
      <c r="C625" s="864"/>
      <c r="D625" s="864"/>
      <c r="E625" s="864"/>
      <c r="F625" s="864"/>
      <c r="G625" s="864"/>
      <c r="H625" s="864"/>
      <c r="I625" s="864"/>
      <c r="J625" s="864"/>
      <c r="K625" s="864"/>
      <c r="L625" s="864"/>
    </row>
    <row r="626" spans="1:12" ht="15" customHeight="1">
      <c r="A626" s="47"/>
      <c r="B626" s="757"/>
      <c r="C626" s="757"/>
      <c r="D626" s="757"/>
      <c r="E626" s="757"/>
      <c r="F626" s="757"/>
      <c r="G626" s="47"/>
      <c r="H626" s="758"/>
      <c r="I626" s="758"/>
      <c r="J626" s="758"/>
      <c r="K626" s="758"/>
      <c r="L626" s="758"/>
    </row>
    <row r="627" spans="1:12">
      <c r="A627" s="47"/>
      <c r="B627" s="757"/>
      <c r="C627" s="757"/>
      <c r="D627" s="757"/>
      <c r="E627" s="757"/>
      <c r="F627" s="757"/>
      <c r="G627" s="47"/>
      <c r="H627" s="758"/>
      <c r="I627" s="758"/>
      <c r="J627" s="758"/>
      <c r="K627" s="758"/>
      <c r="L627" s="758"/>
    </row>
    <row r="628" spans="1:12">
      <c r="A628" s="47"/>
      <c r="B628" s="47"/>
      <c r="C628" s="47"/>
      <c r="D628" s="47"/>
      <c r="E628" s="47"/>
      <c r="F628" s="47"/>
      <c r="G628" s="47"/>
      <c r="H628" s="47"/>
      <c r="I628" s="47"/>
      <c r="J628" s="47"/>
      <c r="K628" s="47"/>
      <c r="L628" s="47"/>
    </row>
    <row r="629" spans="1:12">
      <c r="A629" s="47"/>
      <c r="B629" s="152"/>
      <c r="C629" s="144"/>
      <c r="D629" s="144"/>
      <c r="E629" s="144"/>
      <c r="F629" s="144"/>
      <c r="G629" s="47"/>
      <c r="H629" s="152"/>
      <c r="I629" s="144"/>
      <c r="J629" s="144"/>
      <c r="K629" s="144"/>
      <c r="L629" s="144"/>
    </row>
    <row r="630" spans="1:12">
      <c r="A630" s="47"/>
      <c r="B630" s="47"/>
      <c r="C630" s="144"/>
      <c r="D630" s="144"/>
      <c r="E630" s="144"/>
      <c r="F630" s="144"/>
      <c r="G630" s="47"/>
      <c r="H630" s="47"/>
      <c r="I630" s="144"/>
      <c r="J630" s="144"/>
      <c r="K630" s="144"/>
      <c r="L630" s="144"/>
    </row>
    <row r="631" spans="1:12">
      <c r="A631" s="47"/>
      <c r="B631" s="152"/>
      <c r="C631" s="144"/>
      <c r="D631" s="144"/>
      <c r="E631" s="144"/>
      <c r="F631" s="144"/>
      <c r="G631" s="47"/>
      <c r="H631" s="152"/>
      <c r="I631" s="144"/>
      <c r="J631" s="144"/>
      <c r="K631" s="144"/>
      <c r="L631" s="144"/>
    </row>
    <row r="632" spans="1:12">
      <c r="A632" s="47"/>
      <c r="B632" s="144"/>
      <c r="C632" s="144"/>
      <c r="D632" s="144"/>
      <c r="E632" s="144"/>
      <c r="F632" s="144"/>
      <c r="G632" s="47"/>
      <c r="H632" s="144"/>
      <c r="I632" s="144"/>
      <c r="J632" s="144"/>
      <c r="K632" s="144"/>
      <c r="L632" s="144"/>
    </row>
    <row r="633" spans="1:12">
      <c r="A633" s="47"/>
      <c r="B633" s="47"/>
      <c r="C633" s="47"/>
      <c r="D633" s="47"/>
      <c r="E633" s="47"/>
      <c r="F633" s="47"/>
      <c r="G633" s="47"/>
      <c r="H633" s="47"/>
      <c r="I633" s="47"/>
      <c r="J633" s="47"/>
      <c r="K633" s="47"/>
      <c r="L633" s="47"/>
    </row>
    <row r="634" spans="1:12">
      <c r="A634" s="47"/>
      <c r="B634" s="760"/>
      <c r="C634" s="760"/>
      <c r="D634" s="760"/>
      <c r="E634" s="760"/>
      <c r="F634" s="760"/>
      <c r="G634" s="47"/>
      <c r="H634" s="760"/>
      <c r="I634" s="760"/>
      <c r="J634" s="760"/>
      <c r="K634" s="760"/>
      <c r="L634" s="760"/>
    </row>
    <row r="635" spans="1:12">
      <c r="A635" s="47"/>
      <c r="B635" s="47"/>
      <c r="C635" s="47"/>
      <c r="D635" s="47"/>
      <c r="E635" s="47"/>
      <c r="F635" s="47"/>
      <c r="G635" s="47"/>
      <c r="H635" s="47"/>
      <c r="I635" s="47"/>
      <c r="J635" s="47"/>
      <c r="K635" s="47"/>
      <c r="L635" s="47"/>
    </row>
    <row r="636" spans="1:12">
      <c r="A636" s="47"/>
      <c r="B636" s="47"/>
      <c r="C636" s="47"/>
      <c r="D636" s="47"/>
      <c r="E636" s="47"/>
      <c r="F636" s="47"/>
      <c r="G636" s="47"/>
      <c r="H636" s="229"/>
      <c r="I636" s="229"/>
      <c r="J636" s="229"/>
      <c r="K636" s="229"/>
      <c r="L636" s="229"/>
    </row>
    <row r="637" spans="1:12">
      <c r="A637" s="47"/>
      <c r="B637" s="144"/>
      <c r="C637" s="144"/>
      <c r="D637" s="144"/>
      <c r="E637" s="144"/>
      <c r="F637" s="144"/>
      <c r="G637" s="47"/>
      <c r="H637" s="152"/>
      <c r="I637" s="152"/>
      <c r="J637" s="152"/>
      <c r="K637" s="152"/>
      <c r="L637" s="152"/>
    </row>
    <row r="638" spans="1:12">
      <c r="A638" s="47"/>
      <c r="B638" s="152"/>
      <c r="C638" s="144"/>
      <c r="D638" s="144"/>
      <c r="E638" s="144"/>
      <c r="F638" s="144"/>
      <c r="G638" s="47"/>
      <c r="H638" s="152"/>
      <c r="I638" s="152"/>
      <c r="J638" s="152"/>
      <c r="K638" s="152"/>
      <c r="L638" s="152"/>
    </row>
    <row r="639" spans="1:12">
      <c r="A639" s="47"/>
      <c r="B639" s="144"/>
      <c r="C639" s="144"/>
      <c r="D639" s="144"/>
      <c r="E639" s="144"/>
      <c r="F639" s="144"/>
      <c r="G639" s="47"/>
      <c r="H639" s="152"/>
      <c r="I639" s="152"/>
      <c r="J639" s="152"/>
      <c r="K639" s="152"/>
      <c r="L639" s="152"/>
    </row>
    <row r="640" spans="1:12">
      <c r="A640" s="47"/>
      <c r="B640" s="144"/>
      <c r="C640" s="144"/>
      <c r="D640" s="144"/>
      <c r="E640" s="144"/>
      <c r="F640" s="144"/>
      <c r="G640" s="47"/>
      <c r="H640" s="152"/>
      <c r="I640" s="152"/>
      <c r="J640" s="152"/>
      <c r="K640" s="152"/>
      <c r="L640" s="152"/>
    </row>
    <row r="641" spans="1:12" ht="27.95" customHeight="1">
      <c r="A641" s="343"/>
      <c r="B641" s="862"/>
      <c r="C641" s="862"/>
      <c r="D641" s="862"/>
      <c r="E641" s="862"/>
      <c r="F641" s="862"/>
      <c r="G641" s="862"/>
      <c r="H641" s="859"/>
      <c r="I641" s="860"/>
      <c r="J641" s="860"/>
      <c r="K641" s="860"/>
      <c r="L641" s="860"/>
    </row>
    <row r="642" spans="1:12" ht="27.95" customHeight="1">
      <c r="A642" s="343"/>
      <c r="B642" s="758"/>
      <c r="C642" s="758"/>
      <c r="D642" s="758"/>
      <c r="E642" s="758"/>
      <c r="F642" s="758"/>
      <c r="G642" s="758"/>
      <c r="H642" s="859"/>
      <c r="I642" s="860"/>
      <c r="J642" s="860"/>
      <c r="K642" s="860"/>
      <c r="L642" s="860"/>
    </row>
    <row r="643" spans="1:12" ht="27.95" customHeight="1">
      <c r="A643" s="343"/>
      <c r="B643" s="862"/>
      <c r="C643" s="862"/>
      <c r="D643" s="862"/>
      <c r="E643" s="862"/>
      <c r="F643" s="862"/>
      <c r="G643" s="862"/>
      <c r="H643" s="859"/>
      <c r="I643" s="860"/>
      <c r="J643" s="860"/>
      <c r="K643" s="860"/>
      <c r="L643" s="860"/>
    </row>
    <row r="644" spans="1:12" ht="27.95" customHeight="1">
      <c r="A644" s="343"/>
      <c r="B644" s="862"/>
      <c r="C644" s="862"/>
      <c r="D644" s="862"/>
      <c r="E644" s="862"/>
      <c r="F644" s="862"/>
      <c r="G644" s="862"/>
      <c r="H644" s="863"/>
      <c r="I644" s="860"/>
      <c r="J644" s="860"/>
      <c r="K644" s="860"/>
      <c r="L644" s="860"/>
    </row>
    <row r="645" spans="1:12" ht="27.95" customHeight="1">
      <c r="A645" s="343"/>
      <c r="B645" s="251"/>
      <c r="C645" s="242"/>
      <c r="D645" s="242"/>
      <c r="E645" s="242"/>
      <c r="F645" s="242"/>
      <c r="G645" s="242"/>
      <c r="H645" s="227"/>
      <c r="I645" s="343"/>
      <c r="J645" s="346"/>
      <c r="K645" s="227"/>
      <c r="L645" s="227"/>
    </row>
    <row r="646" spans="1:12" ht="27.95" customHeight="1">
      <c r="A646" s="343"/>
      <c r="B646" s="251"/>
      <c r="C646" s="242"/>
      <c r="D646" s="242"/>
      <c r="E646" s="242"/>
      <c r="F646" s="242"/>
      <c r="G646" s="242"/>
      <c r="H646" s="227"/>
      <c r="I646" s="227"/>
      <c r="J646" s="346"/>
      <c r="K646" s="227"/>
      <c r="L646" s="227"/>
    </row>
    <row r="647" spans="1:12" ht="27.95" customHeight="1">
      <c r="A647" s="343"/>
      <c r="B647" s="758"/>
      <c r="C647" s="758"/>
      <c r="D647" s="758"/>
      <c r="E647" s="758"/>
      <c r="F647" s="758"/>
      <c r="G647" s="758"/>
      <c r="H647" s="859"/>
      <c r="I647" s="860"/>
      <c r="J647" s="860"/>
      <c r="K647" s="860"/>
      <c r="L647" s="860"/>
    </row>
    <row r="648" spans="1:12" ht="27.95" customHeight="1">
      <c r="A648" s="343"/>
      <c r="B648" s="862"/>
      <c r="C648" s="862"/>
      <c r="D648" s="862"/>
      <c r="E648" s="862"/>
      <c r="F648" s="862"/>
      <c r="G648" s="862"/>
      <c r="H648" s="865"/>
      <c r="I648" s="860"/>
      <c r="J648" s="860"/>
      <c r="K648" s="860"/>
      <c r="L648" s="860"/>
    </row>
    <row r="649" spans="1:12" ht="27.95" customHeight="1">
      <c r="A649" s="47"/>
      <c r="B649" s="862"/>
      <c r="C649" s="862"/>
      <c r="D649" s="862"/>
      <c r="E649" s="862"/>
      <c r="F649" s="862"/>
      <c r="G649" s="862"/>
      <c r="H649" s="860"/>
      <c r="I649" s="860"/>
      <c r="J649" s="860"/>
      <c r="K649" s="860"/>
      <c r="L649" s="860"/>
    </row>
    <row r="650" spans="1:12" ht="27.95" customHeight="1">
      <c r="A650" s="47"/>
      <c r="B650" s="251"/>
      <c r="C650" s="242"/>
      <c r="D650" s="242"/>
      <c r="E650" s="242"/>
      <c r="F650" s="242"/>
      <c r="G650" s="242"/>
      <c r="H650" s="227"/>
      <c r="I650" s="227"/>
      <c r="J650" s="227"/>
      <c r="K650" s="227"/>
      <c r="L650" s="227"/>
    </row>
    <row r="651" spans="1:12" ht="27.95" customHeight="1">
      <c r="A651" s="47"/>
      <c r="B651" s="251"/>
      <c r="C651" s="242"/>
      <c r="D651" s="242"/>
      <c r="E651" s="242"/>
      <c r="F651" s="242"/>
      <c r="G651" s="242"/>
      <c r="H651" s="227"/>
      <c r="I651" s="227"/>
      <c r="J651" s="227"/>
      <c r="K651" s="227"/>
      <c r="L651" s="227"/>
    </row>
    <row r="652" spans="1:12" ht="27.95" customHeight="1">
      <c r="A652" s="47"/>
      <c r="B652" s="251"/>
      <c r="C652" s="242"/>
      <c r="D652" s="242"/>
      <c r="E652" s="242"/>
      <c r="F652" s="242"/>
      <c r="G652" s="242"/>
      <c r="H652" s="227"/>
      <c r="I652" s="227"/>
      <c r="J652" s="228"/>
      <c r="K652" s="227"/>
      <c r="L652" s="227"/>
    </row>
    <row r="653" spans="1:12" ht="27.95" customHeight="1">
      <c r="A653" s="47"/>
      <c r="B653" s="251"/>
      <c r="C653" s="242"/>
      <c r="D653" s="242"/>
      <c r="E653" s="242"/>
      <c r="F653" s="242"/>
      <c r="G653" s="242"/>
      <c r="H653" s="227"/>
      <c r="I653" s="227"/>
      <c r="J653" s="227"/>
      <c r="K653" s="227"/>
      <c r="L653" s="227"/>
    </row>
    <row r="654" spans="1:12" ht="27.95" customHeight="1">
      <c r="A654" s="47"/>
      <c r="B654" s="251"/>
      <c r="C654" s="242"/>
      <c r="D654" s="242"/>
      <c r="E654" s="242"/>
      <c r="F654" s="242"/>
      <c r="G654" s="242"/>
      <c r="H654" s="227"/>
      <c r="I654" s="227"/>
      <c r="J654" s="228"/>
      <c r="K654" s="227"/>
      <c r="L654" s="227"/>
    </row>
    <row r="655" spans="1:12" ht="27.95" customHeight="1">
      <c r="A655" s="47"/>
      <c r="B655" s="251"/>
      <c r="C655" s="242"/>
      <c r="D655" s="227"/>
      <c r="E655" s="228"/>
      <c r="F655" s="227"/>
      <c r="G655" s="228"/>
      <c r="H655" s="227"/>
      <c r="I655" s="228"/>
      <c r="J655" s="227"/>
      <c r="K655" s="228"/>
      <c r="L655" s="228"/>
    </row>
    <row r="656" spans="1:12" ht="27.95" customHeight="1">
      <c r="A656" s="47"/>
      <c r="B656" s="251"/>
      <c r="C656" s="242"/>
      <c r="D656" s="242"/>
      <c r="E656" s="242"/>
      <c r="F656" s="242"/>
      <c r="G656" s="242"/>
      <c r="H656" s="227"/>
      <c r="I656" s="227"/>
      <c r="J656" s="348"/>
      <c r="K656" s="227"/>
      <c r="L656" s="227"/>
    </row>
    <row r="657" spans="1:12" ht="27.95" customHeight="1">
      <c r="A657" s="47"/>
      <c r="B657" s="251"/>
      <c r="C657" s="229"/>
      <c r="D657" s="229"/>
      <c r="E657" s="229"/>
      <c r="F657" s="229"/>
      <c r="G657" s="229"/>
      <c r="H657" s="47"/>
      <c r="I657" s="47"/>
      <c r="J657" s="47"/>
      <c r="K657" s="47"/>
      <c r="L657" s="47"/>
    </row>
    <row r="658" spans="1:12" ht="27.95" customHeight="1">
      <c r="A658" s="47"/>
      <c r="B658" s="251"/>
      <c r="C658" s="229"/>
      <c r="D658" s="229"/>
      <c r="E658" s="229"/>
      <c r="F658" s="229"/>
      <c r="G658" s="229"/>
      <c r="H658" s="47"/>
      <c r="I658" s="47"/>
      <c r="J658" s="47"/>
      <c r="K658" s="47"/>
      <c r="L658" s="47"/>
    </row>
    <row r="659" spans="1:12">
      <c r="A659" s="47"/>
      <c r="B659" s="47"/>
      <c r="C659" s="47"/>
      <c r="D659" s="47"/>
      <c r="E659" s="47"/>
      <c r="F659" s="47"/>
      <c r="G659" s="47"/>
      <c r="H659" s="47"/>
      <c r="I659" s="47"/>
      <c r="J659" s="47"/>
      <c r="K659" s="47"/>
      <c r="L659" s="47"/>
    </row>
    <row r="660" spans="1:12">
      <c r="A660" s="47"/>
      <c r="B660" s="47"/>
      <c r="C660" s="47"/>
      <c r="D660" s="47"/>
      <c r="E660" s="47"/>
      <c r="F660" s="47"/>
      <c r="G660" s="47"/>
      <c r="H660" s="47"/>
      <c r="I660" s="47"/>
      <c r="J660" s="47"/>
      <c r="K660" s="47"/>
      <c r="L660" s="47"/>
    </row>
    <row r="661" spans="1:12">
      <c r="A661" s="47"/>
      <c r="B661" s="47"/>
      <c r="C661" s="47"/>
      <c r="D661" s="47"/>
      <c r="E661" s="47"/>
      <c r="F661" s="47"/>
      <c r="G661" s="47"/>
      <c r="H661" s="47"/>
      <c r="I661" s="47"/>
      <c r="J661" s="47"/>
      <c r="K661" s="47"/>
      <c r="L661" s="47"/>
    </row>
    <row r="662" spans="1:12" ht="32.25">
      <c r="A662" s="47"/>
      <c r="B662" s="866"/>
      <c r="C662" s="786"/>
      <c r="D662" s="786"/>
      <c r="E662" s="786"/>
      <c r="F662" s="786"/>
      <c r="G662" s="786"/>
      <c r="H662" s="786"/>
      <c r="I662" s="786"/>
      <c r="J662" s="786"/>
      <c r="K662" s="786"/>
      <c r="L662" s="786"/>
    </row>
    <row r="663" spans="1:12" ht="23.25">
      <c r="A663" s="47"/>
      <c r="B663" s="745"/>
      <c r="C663" s="745"/>
      <c r="D663" s="745"/>
      <c r="E663" s="745"/>
      <c r="F663" s="745"/>
      <c r="G663" s="745"/>
      <c r="H663" s="745"/>
      <c r="I663" s="745"/>
      <c r="J663" s="745"/>
      <c r="K663" s="745"/>
      <c r="L663" s="745"/>
    </row>
    <row r="664" spans="1:12" ht="15.75">
      <c r="A664" s="47"/>
      <c r="B664" s="864"/>
      <c r="C664" s="864"/>
      <c r="D664" s="864"/>
      <c r="E664" s="864"/>
      <c r="F664" s="864"/>
      <c r="G664" s="864"/>
      <c r="H664" s="864"/>
      <c r="I664" s="864"/>
      <c r="J664" s="864"/>
      <c r="K664" s="864"/>
      <c r="L664" s="864"/>
    </row>
    <row r="665" spans="1:12" ht="15" customHeight="1">
      <c r="A665" s="47"/>
      <c r="B665" s="757"/>
      <c r="C665" s="757"/>
      <c r="D665" s="757"/>
      <c r="E665" s="757"/>
      <c r="F665" s="757"/>
      <c r="G665" s="47"/>
      <c r="H665" s="758"/>
      <c r="I665" s="758"/>
      <c r="J665" s="758"/>
      <c r="K665" s="758"/>
      <c r="L665" s="758"/>
    </row>
    <row r="666" spans="1:12">
      <c r="A666" s="47"/>
      <c r="B666" s="757"/>
      <c r="C666" s="757"/>
      <c r="D666" s="757"/>
      <c r="E666" s="757"/>
      <c r="F666" s="757"/>
      <c r="G666" s="47"/>
      <c r="H666" s="758"/>
      <c r="I666" s="758"/>
      <c r="J666" s="758"/>
      <c r="K666" s="758"/>
      <c r="L666" s="758"/>
    </row>
    <row r="667" spans="1:12">
      <c r="A667" s="47"/>
      <c r="B667" s="47"/>
      <c r="C667" s="47"/>
      <c r="D667" s="47"/>
      <c r="E667" s="47"/>
      <c r="F667" s="47"/>
      <c r="G667" s="47"/>
      <c r="H667" s="47"/>
      <c r="I667" s="47"/>
      <c r="J667" s="47"/>
      <c r="K667" s="47"/>
      <c r="L667" s="47"/>
    </row>
    <row r="668" spans="1:12">
      <c r="A668" s="47"/>
      <c r="B668" s="152"/>
      <c r="C668" s="144"/>
      <c r="D668" s="144"/>
      <c r="E668" s="144"/>
      <c r="F668" s="144"/>
      <c r="G668" s="47"/>
      <c r="H668" s="152"/>
      <c r="I668" s="144"/>
      <c r="J668" s="144"/>
      <c r="K668" s="144"/>
      <c r="L668" s="144"/>
    </row>
    <row r="669" spans="1:12">
      <c r="A669" s="47"/>
      <c r="B669" s="47"/>
      <c r="C669" s="144"/>
      <c r="D669" s="144"/>
      <c r="E669" s="144"/>
      <c r="F669" s="144"/>
      <c r="G669" s="47"/>
      <c r="H669" s="47"/>
      <c r="I669" s="144"/>
      <c r="J669" s="144"/>
      <c r="K669" s="144"/>
      <c r="L669" s="144"/>
    </row>
    <row r="670" spans="1:12">
      <c r="A670" s="47"/>
      <c r="B670" s="152"/>
      <c r="C670" s="144"/>
      <c r="D670" s="144"/>
      <c r="E670" s="144"/>
      <c r="F670" s="144"/>
      <c r="G670" s="47"/>
      <c r="H670" s="152"/>
      <c r="I670" s="144"/>
      <c r="J670" s="144"/>
      <c r="K670" s="144"/>
      <c r="L670" s="144"/>
    </row>
    <row r="671" spans="1:12">
      <c r="A671" s="47"/>
      <c r="B671" s="144"/>
      <c r="C671" s="144"/>
      <c r="D671" s="144"/>
      <c r="E671" s="144"/>
      <c r="F671" s="144"/>
      <c r="G671" s="47"/>
      <c r="H671" s="144"/>
      <c r="I671" s="144"/>
      <c r="J671" s="144"/>
      <c r="K671" s="144"/>
      <c r="L671" s="144"/>
    </row>
    <row r="672" spans="1:12">
      <c r="A672" s="47"/>
      <c r="B672" s="47"/>
      <c r="C672" s="47"/>
      <c r="D672" s="47"/>
      <c r="E672" s="47"/>
      <c r="F672" s="47"/>
      <c r="G672" s="47"/>
      <c r="H672" s="47"/>
      <c r="I672" s="47"/>
      <c r="J672" s="47"/>
      <c r="K672" s="47"/>
      <c r="L672" s="47"/>
    </row>
    <row r="673" spans="1:12">
      <c r="A673" s="47"/>
      <c r="B673" s="760"/>
      <c r="C673" s="760"/>
      <c r="D673" s="760"/>
      <c r="E673" s="760"/>
      <c r="F673" s="760"/>
      <c r="G673" s="47"/>
      <c r="H673" s="760"/>
      <c r="I673" s="760"/>
      <c r="J673" s="760"/>
      <c r="K673" s="760"/>
      <c r="L673" s="760"/>
    </row>
    <row r="674" spans="1:12">
      <c r="A674" s="47"/>
      <c r="B674" s="47"/>
      <c r="C674" s="47"/>
      <c r="D674" s="47"/>
      <c r="E674" s="47"/>
      <c r="F674" s="47"/>
      <c r="G674" s="47"/>
      <c r="H674" s="47"/>
      <c r="I674" s="47"/>
      <c r="J674" s="47"/>
      <c r="K674" s="47"/>
      <c r="L674" s="47"/>
    </row>
    <row r="675" spans="1:12">
      <c r="A675" s="47"/>
      <c r="B675" s="47"/>
      <c r="C675" s="47"/>
      <c r="D675" s="47"/>
      <c r="E675" s="47"/>
      <c r="F675" s="47"/>
      <c r="G675" s="47"/>
      <c r="H675" s="229"/>
      <c r="I675" s="229"/>
      <c r="J675" s="229"/>
      <c r="K675" s="229"/>
      <c r="L675" s="229"/>
    </row>
    <row r="676" spans="1:12">
      <c r="A676" s="47"/>
      <c r="B676" s="144"/>
      <c r="C676" s="144"/>
      <c r="D676" s="144"/>
      <c r="E676" s="144"/>
      <c r="F676" s="144"/>
      <c r="G676" s="47"/>
      <c r="H676" s="152"/>
      <c r="I676" s="152"/>
      <c r="J676" s="152"/>
      <c r="K676" s="152"/>
      <c r="L676" s="152"/>
    </row>
    <row r="677" spans="1:12">
      <c r="A677" s="47"/>
      <c r="B677" s="152"/>
      <c r="C677" s="144"/>
      <c r="D677" s="144"/>
      <c r="E677" s="144"/>
      <c r="F677" s="144"/>
      <c r="G677" s="47"/>
      <c r="H677" s="152"/>
      <c r="I677" s="152"/>
      <c r="J677" s="152"/>
      <c r="K677" s="152"/>
      <c r="L677" s="152"/>
    </row>
    <row r="678" spans="1:12">
      <c r="A678" s="47"/>
      <c r="B678" s="144"/>
      <c r="C678" s="144"/>
      <c r="D678" s="144"/>
      <c r="E678" s="144"/>
      <c r="F678" s="144"/>
      <c r="G678" s="47"/>
      <c r="H678" s="152"/>
      <c r="I678" s="152"/>
      <c r="J678" s="152"/>
      <c r="K678" s="152"/>
      <c r="L678" s="152"/>
    </row>
    <row r="679" spans="1:12">
      <c r="A679" s="47"/>
      <c r="B679" s="144"/>
      <c r="C679" s="144"/>
      <c r="D679" s="144"/>
      <c r="E679" s="144"/>
      <c r="F679" s="144"/>
      <c r="G679" s="47"/>
      <c r="H679" s="152"/>
      <c r="I679" s="152"/>
      <c r="J679" s="152"/>
      <c r="K679" s="152"/>
      <c r="L679" s="152"/>
    </row>
    <row r="680" spans="1:12" ht="27.95" customHeight="1">
      <c r="A680" s="343"/>
      <c r="B680" s="862"/>
      <c r="C680" s="862"/>
      <c r="D680" s="862"/>
      <c r="E680" s="862"/>
      <c r="F680" s="862"/>
      <c r="G680" s="862"/>
      <c r="H680" s="859"/>
      <c r="I680" s="860"/>
      <c r="J680" s="860"/>
      <c r="K680" s="860"/>
      <c r="L680" s="860"/>
    </row>
    <row r="681" spans="1:12" ht="27.95" customHeight="1">
      <c r="A681" s="343"/>
      <c r="B681" s="758"/>
      <c r="C681" s="758"/>
      <c r="D681" s="758"/>
      <c r="E681" s="758"/>
      <c r="F681" s="758"/>
      <c r="G681" s="758"/>
      <c r="H681" s="859"/>
      <c r="I681" s="860"/>
      <c r="J681" s="860"/>
      <c r="K681" s="860"/>
      <c r="L681" s="860"/>
    </row>
    <row r="682" spans="1:12" ht="27.95" customHeight="1">
      <c r="A682" s="343"/>
      <c r="B682" s="862"/>
      <c r="C682" s="862"/>
      <c r="D682" s="862"/>
      <c r="E682" s="862"/>
      <c r="F682" s="862"/>
      <c r="G682" s="862"/>
      <c r="H682" s="859"/>
      <c r="I682" s="860"/>
      <c r="J682" s="860"/>
      <c r="K682" s="860"/>
      <c r="L682" s="860"/>
    </row>
    <row r="683" spans="1:12" ht="27.95" customHeight="1">
      <c r="A683" s="343"/>
      <c r="B683" s="862"/>
      <c r="C683" s="862"/>
      <c r="D683" s="862"/>
      <c r="E683" s="862"/>
      <c r="F683" s="862"/>
      <c r="G683" s="862"/>
      <c r="H683" s="863"/>
      <c r="I683" s="860"/>
      <c r="J683" s="860"/>
      <c r="K683" s="860"/>
      <c r="L683" s="860"/>
    </row>
    <row r="684" spans="1:12" ht="27.95" customHeight="1">
      <c r="A684" s="343"/>
      <c r="B684" s="251"/>
      <c r="C684" s="242"/>
      <c r="D684" s="242"/>
      <c r="E684" s="242"/>
      <c r="F684" s="242"/>
      <c r="G684" s="242"/>
      <c r="H684" s="227"/>
      <c r="I684" s="343"/>
      <c r="J684" s="346"/>
      <c r="K684" s="227"/>
      <c r="L684" s="227"/>
    </row>
    <row r="685" spans="1:12" ht="27.95" customHeight="1">
      <c r="A685" s="343"/>
      <c r="B685" s="251"/>
      <c r="C685" s="242"/>
      <c r="D685" s="242"/>
      <c r="E685" s="242"/>
      <c r="F685" s="242"/>
      <c r="G685" s="242"/>
      <c r="H685" s="227"/>
      <c r="I685" s="227"/>
      <c r="J685" s="346"/>
      <c r="K685" s="227"/>
      <c r="L685" s="227"/>
    </row>
    <row r="686" spans="1:12" ht="27.95" customHeight="1">
      <c r="A686" s="343"/>
      <c r="B686" s="758"/>
      <c r="C686" s="758"/>
      <c r="D686" s="758"/>
      <c r="E686" s="758"/>
      <c r="F686" s="758"/>
      <c r="G686" s="758"/>
      <c r="H686" s="859"/>
      <c r="I686" s="860"/>
      <c r="J686" s="860"/>
      <c r="K686" s="860"/>
      <c r="L686" s="860"/>
    </row>
    <row r="687" spans="1:12" ht="27.95" customHeight="1">
      <c r="A687" s="343"/>
      <c r="B687" s="862"/>
      <c r="C687" s="862"/>
      <c r="D687" s="862"/>
      <c r="E687" s="862"/>
      <c r="F687" s="862"/>
      <c r="G687" s="862"/>
      <c r="H687" s="865"/>
      <c r="I687" s="860"/>
      <c r="J687" s="860"/>
      <c r="K687" s="860"/>
      <c r="L687" s="860"/>
    </row>
    <row r="688" spans="1:12" ht="27.95" customHeight="1">
      <c r="A688" s="47"/>
      <c r="B688" s="862"/>
      <c r="C688" s="862"/>
      <c r="D688" s="862"/>
      <c r="E688" s="862"/>
      <c r="F688" s="862"/>
      <c r="G688" s="862"/>
      <c r="H688" s="860"/>
      <c r="I688" s="860"/>
      <c r="J688" s="860"/>
      <c r="K688" s="860"/>
      <c r="L688" s="860"/>
    </row>
    <row r="689" spans="1:12" ht="27.95" customHeight="1">
      <c r="A689" s="47"/>
      <c r="B689" s="251"/>
      <c r="C689" s="242"/>
      <c r="D689" s="242"/>
      <c r="E689" s="242"/>
      <c r="F689" s="242"/>
      <c r="G689" s="242"/>
      <c r="H689" s="227"/>
      <c r="I689" s="227"/>
      <c r="J689" s="227"/>
      <c r="K689" s="227"/>
      <c r="L689" s="227"/>
    </row>
    <row r="690" spans="1:12" ht="27.95" customHeight="1">
      <c r="A690" s="47"/>
      <c r="B690" s="251"/>
      <c r="C690" s="242"/>
      <c r="D690" s="242"/>
      <c r="E690" s="242"/>
      <c r="F690" s="242"/>
      <c r="G690" s="242"/>
      <c r="H690" s="227"/>
      <c r="I690" s="227"/>
      <c r="J690" s="227"/>
      <c r="K690" s="227"/>
      <c r="L690" s="227"/>
    </row>
    <row r="691" spans="1:12" ht="27.95" customHeight="1">
      <c r="A691" s="47"/>
      <c r="B691" s="251"/>
      <c r="C691" s="242"/>
      <c r="D691" s="242"/>
      <c r="E691" s="242"/>
      <c r="F691" s="242"/>
      <c r="G691" s="242"/>
      <c r="H691" s="227"/>
      <c r="I691" s="227"/>
      <c r="J691" s="228"/>
      <c r="K691" s="227"/>
      <c r="L691" s="227"/>
    </row>
    <row r="692" spans="1:12" ht="27.95" customHeight="1">
      <c r="A692" s="47"/>
      <c r="B692" s="251"/>
      <c r="C692" s="242"/>
      <c r="D692" s="242"/>
      <c r="E692" s="242"/>
      <c r="F692" s="242"/>
      <c r="G692" s="242"/>
      <c r="H692" s="227"/>
      <c r="I692" s="227"/>
      <c r="J692" s="227"/>
      <c r="K692" s="227"/>
      <c r="L692" s="227"/>
    </row>
    <row r="693" spans="1:12" ht="27.95" customHeight="1">
      <c r="A693" s="47"/>
      <c r="B693" s="251"/>
      <c r="C693" s="242"/>
      <c r="D693" s="242"/>
      <c r="E693" s="242"/>
      <c r="F693" s="242"/>
      <c r="G693" s="242"/>
      <c r="H693" s="227"/>
      <c r="I693" s="227"/>
      <c r="J693" s="228"/>
      <c r="K693" s="227"/>
      <c r="L693" s="227"/>
    </row>
    <row r="694" spans="1:12" ht="27.95" customHeight="1">
      <c r="A694" s="47"/>
      <c r="B694" s="251"/>
      <c r="C694" s="242"/>
      <c r="D694" s="227"/>
      <c r="E694" s="228"/>
      <c r="F694" s="227"/>
      <c r="G694" s="228"/>
      <c r="H694" s="227"/>
      <c r="I694" s="228"/>
      <c r="J694" s="227"/>
      <c r="K694" s="228"/>
      <c r="L694" s="228"/>
    </row>
    <row r="695" spans="1:12" ht="27.95" customHeight="1">
      <c r="A695" s="47"/>
      <c r="B695" s="251"/>
      <c r="C695" s="242"/>
      <c r="D695" s="242"/>
      <c r="E695" s="242"/>
      <c r="F695" s="242"/>
      <c r="G695" s="242"/>
      <c r="H695" s="227"/>
      <c r="I695" s="227"/>
      <c r="J695" s="348"/>
      <c r="K695" s="227"/>
      <c r="L695" s="227"/>
    </row>
    <row r="696" spans="1:12" ht="27.95" customHeight="1">
      <c r="A696" s="47"/>
      <c r="B696" s="251"/>
      <c r="C696" s="229"/>
      <c r="D696" s="229"/>
      <c r="E696" s="229"/>
      <c r="F696" s="229"/>
      <c r="G696" s="229"/>
      <c r="H696" s="47"/>
      <c r="I696" s="47"/>
      <c r="J696" s="47"/>
      <c r="K696" s="47"/>
      <c r="L696" s="47"/>
    </row>
    <row r="697" spans="1:12" ht="27.95" customHeight="1">
      <c r="A697" s="47"/>
      <c r="B697" s="251"/>
      <c r="C697" s="229"/>
      <c r="D697" s="229"/>
      <c r="E697" s="229"/>
      <c r="F697" s="229"/>
      <c r="G697" s="229"/>
      <c r="H697" s="47"/>
      <c r="I697" s="47"/>
      <c r="J697" s="47"/>
      <c r="K697" s="47"/>
      <c r="L697" s="47"/>
    </row>
    <row r="698" spans="1:12">
      <c r="A698" s="47"/>
      <c r="B698" s="47"/>
      <c r="C698" s="47"/>
      <c r="D698" s="47"/>
      <c r="E698" s="47"/>
      <c r="F698" s="47"/>
      <c r="G698" s="47"/>
      <c r="H698" s="47"/>
      <c r="I698" s="47"/>
      <c r="J698" s="47"/>
      <c r="K698" s="47"/>
      <c r="L698" s="47"/>
    </row>
    <row r="699" spans="1:12">
      <c r="A699" s="47"/>
      <c r="B699" s="47"/>
      <c r="C699" s="47"/>
      <c r="D699" s="47"/>
      <c r="E699" s="47"/>
      <c r="F699" s="47"/>
      <c r="G699" s="47"/>
      <c r="H699" s="47"/>
      <c r="I699" s="47"/>
      <c r="J699" s="47"/>
      <c r="K699" s="47"/>
      <c r="L699" s="47"/>
    </row>
    <row r="700" spans="1:12">
      <c r="A700" s="47"/>
      <c r="B700" s="47"/>
      <c r="C700" s="47"/>
      <c r="D700" s="47"/>
      <c r="E700" s="47"/>
      <c r="F700" s="47"/>
      <c r="G700" s="47"/>
      <c r="H700" s="47"/>
      <c r="I700" s="47"/>
      <c r="J700" s="47"/>
      <c r="K700" s="47"/>
      <c r="L700" s="47"/>
    </row>
    <row r="701" spans="1:12" ht="32.25">
      <c r="A701" s="47"/>
      <c r="B701" s="866"/>
      <c r="C701" s="786"/>
      <c r="D701" s="786"/>
      <c r="E701" s="786"/>
      <c r="F701" s="786"/>
      <c r="G701" s="786"/>
      <c r="H701" s="786"/>
      <c r="I701" s="786"/>
      <c r="J701" s="786"/>
      <c r="K701" s="786"/>
      <c r="L701" s="786"/>
    </row>
    <row r="702" spans="1:12" ht="23.25">
      <c r="A702" s="47"/>
      <c r="B702" s="745"/>
      <c r="C702" s="745"/>
      <c r="D702" s="745"/>
      <c r="E702" s="745"/>
      <c r="F702" s="745"/>
      <c r="G702" s="745"/>
      <c r="H702" s="745"/>
      <c r="I702" s="745"/>
      <c r="J702" s="745"/>
      <c r="K702" s="745"/>
      <c r="L702" s="745"/>
    </row>
    <row r="703" spans="1:12" ht="15.75">
      <c r="A703" s="47"/>
      <c r="B703" s="864"/>
      <c r="C703" s="864"/>
      <c r="D703" s="864"/>
      <c r="E703" s="864"/>
      <c r="F703" s="864"/>
      <c r="G703" s="864"/>
      <c r="H703" s="864"/>
      <c r="I703" s="864"/>
      <c r="J703" s="864"/>
      <c r="K703" s="864"/>
      <c r="L703" s="864"/>
    </row>
    <row r="704" spans="1:12" ht="15" customHeight="1">
      <c r="A704" s="47"/>
      <c r="B704" s="757"/>
      <c r="C704" s="757"/>
      <c r="D704" s="757"/>
      <c r="E704" s="757"/>
      <c r="F704" s="757"/>
      <c r="G704" s="47"/>
      <c r="H704" s="758"/>
      <c r="I704" s="758"/>
      <c r="J704" s="758"/>
      <c r="K704" s="758"/>
      <c r="L704" s="758"/>
    </row>
    <row r="705" spans="1:12">
      <c r="A705" s="47"/>
      <c r="B705" s="757"/>
      <c r="C705" s="757"/>
      <c r="D705" s="757"/>
      <c r="E705" s="757"/>
      <c r="F705" s="757"/>
      <c r="G705" s="47"/>
      <c r="H705" s="758"/>
      <c r="I705" s="758"/>
      <c r="J705" s="758"/>
      <c r="K705" s="758"/>
      <c r="L705" s="758"/>
    </row>
    <row r="706" spans="1:12">
      <c r="A706" s="47"/>
      <c r="B706" s="47"/>
      <c r="C706" s="47"/>
      <c r="D706" s="47"/>
      <c r="E706" s="47"/>
      <c r="F706" s="47"/>
      <c r="G706" s="47"/>
      <c r="H706" s="47"/>
      <c r="I706" s="47"/>
      <c r="J706" s="47"/>
      <c r="K706" s="47"/>
      <c r="L706" s="47"/>
    </row>
    <row r="707" spans="1:12">
      <c r="A707" s="47"/>
      <c r="B707" s="152"/>
      <c r="C707" s="144"/>
      <c r="D707" s="144"/>
      <c r="E707" s="144"/>
      <c r="F707" s="144"/>
      <c r="G707" s="47"/>
      <c r="H707" s="152"/>
      <c r="I707" s="144"/>
      <c r="J707" s="144"/>
      <c r="K707" s="144"/>
      <c r="L707" s="144"/>
    </row>
    <row r="708" spans="1:12">
      <c r="A708" s="47"/>
      <c r="B708" s="47"/>
      <c r="C708" s="144"/>
      <c r="D708" s="144"/>
      <c r="E708" s="144"/>
      <c r="F708" s="144"/>
      <c r="G708" s="47"/>
      <c r="H708" s="47"/>
      <c r="I708" s="144"/>
      <c r="J708" s="144"/>
      <c r="K708" s="144"/>
      <c r="L708" s="144"/>
    </row>
    <row r="709" spans="1:12">
      <c r="A709" s="47"/>
      <c r="B709" s="152"/>
      <c r="C709" s="144"/>
      <c r="D709" s="144"/>
      <c r="E709" s="144"/>
      <c r="F709" s="144"/>
      <c r="G709" s="47"/>
      <c r="H709" s="152"/>
      <c r="I709" s="144"/>
      <c r="J709" s="144"/>
      <c r="K709" s="144"/>
      <c r="L709" s="144"/>
    </row>
    <row r="710" spans="1:12">
      <c r="A710" s="47"/>
      <c r="B710" s="144"/>
      <c r="C710" s="144"/>
      <c r="D710" s="144"/>
      <c r="E710" s="144"/>
      <c r="F710" s="144"/>
      <c r="G710" s="47"/>
      <c r="H710" s="144"/>
      <c r="I710" s="144"/>
      <c r="J710" s="144"/>
      <c r="K710" s="144"/>
      <c r="L710" s="144"/>
    </row>
    <row r="711" spans="1:12">
      <c r="A711" s="47"/>
      <c r="B711" s="47"/>
      <c r="C711" s="47"/>
      <c r="D711" s="47"/>
      <c r="E711" s="47"/>
      <c r="F711" s="47"/>
      <c r="G711" s="47"/>
      <c r="H711" s="47"/>
      <c r="I711" s="47"/>
      <c r="J711" s="47"/>
      <c r="K711" s="47"/>
      <c r="L711" s="47"/>
    </row>
    <row r="712" spans="1:12">
      <c r="A712" s="47"/>
      <c r="B712" s="760"/>
      <c r="C712" s="760"/>
      <c r="D712" s="760"/>
      <c r="E712" s="760"/>
      <c r="F712" s="760"/>
      <c r="G712" s="47"/>
      <c r="H712" s="760"/>
      <c r="I712" s="760"/>
      <c r="J712" s="760"/>
      <c r="K712" s="760"/>
      <c r="L712" s="760"/>
    </row>
    <row r="713" spans="1:12">
      <c r="A713" s="47"/>
      <c r="B713" s="47"/>
      <c r="C713" s="47"/>
      <c r="D713" s="47"/>
      <c r="E713" s="47"/>
      <c r="F713" s="47"/>
      <c r="G713" s="47"/>
      <c r="H713" s="47"/>
      <c r="I713" s="47"/>
      <c r="J713" s="47"/>
      <c r="K713" s="47"/>
      <c r="L713" s="47"/>
    </row>
    <row r="714" spans="1:12">
      <c r="A714" s="47"/>
      <c r="B714" s="47"/>
      <c r="C714" s="47"/>
      <c r="D714" s="47"/>
      <c r="E714" s="47"/>
      <c r="F714" s="47"/>
      <c r="G714" s="47"/>
      <c r="H714" s="229"/>
      <c r="I714" s="229"/>
      <c r="J714" s="229"/>
      <c r="K714" s="229"/>
      <c r="L714" s="229"/>
    </row>
    <row r="715" spans="1:12">
      <c r="A715" s="47"/>
      <c r="B715" s="144"/>
      <c r="C715" s="144"/>
      <c r="D715" s="144"/>
      <c r="E715" s="144"/>
      <c r="F715" s="144"/>
      <c r="G715" s="47"/>
      <c r="H715" s="152"/>
      <c r="I715" s="152"/>
      <c r="J715" s="152"/>
      <c r="K715" s="152"/>
      <c r="L715" s="152"/>
    </row>
    <row r="716" spans="1:12">
      <c r="A716" s="47"/>
      <c r="B716" s="152"/>
      <c r="C716" s="144"/>
      <c r="D716" s="144"/>
      <c r="E716" s="144"/>
      <c r="F716" s="144"/>
      <c r="G716" s="47"/>
      <c r="H716" s="152"/>
      <c r="I716" s="152"/>
      <c r="J716" s="152"/>
      <c r="K716" s="152"/>
      <c r="L716" s="152"/>
    </row>
    <row r="717" spans="1:12">
      <c r="A717" s="47"/>
      <c r="B717" s="144"/>
      <c r="C717" s="144"/>
      <c r="D717" s="144"/>
      <c r="E717" s="144"/>
      <c r="F717" s="144"/>
      <c r="G717" s="47"/>
      <c r="H717" s="152"/>
      <c r="I717" s="152"/>
      <c r="J717" s="152"/>
      <c r="K717" s="152"/>
      <c r="L717" s="152"/>
    </row>
    <row r="718" spans="1:12">
      <c r="A718" s="47"/>
      <c r="B718" s="144"/>
      <c r="C718" s="144"/>
      <c r="D718" s="144"/>
      <c r="E718" s="144"/>
      <c r="F718" s="144"/>
      <c r="G718" s="47"/>
      <c r="H718" s="152"/>
      <c r="I718" s="152"/>
      <c r="J718" s="152"/>
      <c r="K718" s="152"/>
      <c r="L718" s="152"/>
    </row>
    <row r="719" spans="1:12" ht="27.95" customHeight="1">
      <c r="A719" s="343"/>
      <c r="B719" s="862"/>
      <c r="C719" s="862"/>
      <c r="D719" s="862"/>
      <c r="E719" s="862"/>
      <c r="F719" s="862"/>
      <c r="G719" s="862"/>
      <c r="H719" s="859"/>
      <c r="I719" s="860"/>
      <c r="J719" s="860"/>
      <c r="K719" s="860"/>
      <c r="L719" s="860"/>
    </row>
    <row r="720" spans="1:12" ht="27.95" customHeight="1">
      <c r="A720" s="343"/>
      <c r="B720" s="758"/>
      <c r="C720" s="758"/>
      <c r="D720" s="758"/>
      <c r="E720" s="758"/>
      <c r="F720" s="758"/>
      <c r="G720" s="758"/>
      <c r="H720" s="859"/>
      <c r="I720" s="860"/>
      <c r="J720" s="860"/>
      <c r="K720" s="860"/>
      <c r="L720" s="860"/>
    </row>
    <row r="721" spans="1:12" ht="27.95" customHeight="1">
      <c r="A721" s="343"/>
      <c r="B721" s="862"/>
      <c r="C721" s="862"/>
      <c r="D721" s="862"/>
      <c r="E721" s="862"/>
      <c r="F721" s="862"/>
      <c r="G721" s="862"/>
      <c r="H721" s="859"/>
      <c r="I721" s="860"/>
      <c r="J721" s="860"/>
      <c r="K721" s="860"/>
      <c r="L721" s="860"/>
    </row>
    <row r="722" spans="1:12" ht="27.95" customHeight="1">
      <c r="A722" s="343"/>
      <c r="B722" s="862"/>
      <c r="C722" s="862"/>
      <c r="D722" s="862"/>
      <c r="E722" s="862"/>
      <c r="F722" s="862"/>
      <c r="G722" s="862"/>
      <c r="H722" s="863"/>
      <c r="I722" s="860"/>
      <c r="J722" s="860"/>
      <c r="K722" s="860"/>
      <c r="L722" s="860"/>
    </row>
    <row r="723" spans="1:12" ht="27.95" customHeight="1">
      <c r="A723" s="343"/>
      <c r="B723" s="251"/>
      <c r="C723" s="242"/>
      <c r="D723" s="242"/>
      <c r="E723" s="242"/>
      <c r="F723" s="242"/>
      <c r="G723" s="242"/>
      <c r="H723" s="227"/>
      <c r="I723" s="343"/>
      <c r="J723" s="346"/>
      <c r="K723" s="227"/>
      <c r="L723" s="227"/>
    </row>
    <row r="724" spans="1:12" ht="27.95" customHeight="1">
      <c r="A724" s="343"/>
      <c r="B724" s="251"/>
      <c r="C724" s="242"/>
      <c r="D724" s="242"/>
      <c r="E724" s="242"/>
      <c r="F724" s="242"/>
      <c r="G724" s="242"/>
      <c r="H724" s="227"/>
      <c r="I724" s="227"/>
      <c r="J724" s="346"/>
      <c r="K724" s="227"/>
      <c r="L724" s="227"/>
    </row>
    <row r="725" spans="1:12" ht="27.95" customHeight="1">
      <c r="A725" s="343"/>
      <c r="B725" s="758"/>
      <c r="C725" s="758"/>
      <c r="D725" s="758"/>
      <c r="E725" s="758"/>
      <c r="F725" s="758"/>
      <c r="G725" s="758"/>
      <c r="H725" s="859"/>
      <c r="I725" s="860"/>
      <c r="J725" s="860"/>
      <c r="K725" s="860"/>
      <c r="L725" s="860"/>
    </row>
    <row r="726" spans="1:12" ht="27.95" customHeight="1">
      <c r="A726" s="343"/>
      <c r="B726" s="862"/>
      <c r="C726" s="862"/>
      <c r="D726" s="862"/>
      <c r="E726" s="862"/>
      <c r="F726" s="862"/>
      <c r="G726" s="862"/>
      <c r="H726" s="865"/>
      <c r="I726" s="860"/>
      <c r="J726" s="860"/>
      <c r="K726" s="860"/>
      <c r="L726" s="860"/>
    </row>
    <row r="727" spans="1:12" ht="27.95" customHeight="1">
      <c r="A727" s="47"/>
      <c r="B727" s="862"/>
      <c r="C727" s="862"/>
      <c r="D727" s="862"/>
      <c r="E727" s="862"/>
      <c r="F727" s="862"/>
      <c r="G727" s="862"/>
      <c r="H727" s="860"/>
      <c r="I727" s="860"/>
      <c r="J727" s="860"/>
      <c r="K727" s="860"/>
      <c r="L727" s="860"/>
    </row>
    <row r="728" spans="1:12" ht="27.95" customHeight="1">
      <c r="A728" s="47"/>
      <c r="B728" s="251"/>
      <c r="C728" s="242"/>
      <c r="D728" s="242"/>
      <c r="E728" s="242"/>
      <c r="F728" s="242"/>
      <c r="G728" s="242"/>
      <c r="H728" s="227"/>
      <c r="I728" s="227"/>
      <c r="J728" s="227"/>
      <c r="K728" s="227"/>
      <c r="L728" s="227"/>
    </row>
    <row r="729" spans="1:12" ht="27.95" customHeight="1">
      <c r="A729" s="47"/>
      <c r="B729" s="251"/>
      <c r="C729" s="242"/>
      <c r="D729" s="242"/>
      <c r="E729" s="242"/>
      <c r="F729" s="242"/>
      <c r="G729" s="242"/>
      <c r="H729" s="227"/>
      <c r="I729" s="227"/>
      <c r="J729" s="227"/>
      <c r="K729" s="227"/>
      <c r="L729" s="227"/>
    </row>
    <row r="730" spans="1:12" ht="27.95" customHeight="1">
      <c r="A730" s="47"/>
      <c r="B730" s="251"/>
      <c r="C730" s="242"/>
      <c r="D730" s="242"/>
      <c r="E730" s="242"/>
      <c r="F730" s="242"/>
      <c r="G730" s="242"/>
      <c r="H730" s="227"/>
      <c r="I730" s="227"/>
      <c r="J730" s="228"/>
      <c r="K730" s="227"/>
      <c r="L730" s="227"/>
    </row>
    <row r="731" spans="1:12" ht="27.95" customHeight="1">
      <c r="A731" s="47"/>
      <c r="B731" s="251"/>
      <c r="C731" s="242"/>
      <c r="D731" s="242"/>
      <c r="E731" s="242"/>
      <c r="F731" s="242"/>
      <c r="G731" s="242"/>
      <c r="H731" s="227"/>
      <c r="I731" s="227"/>
      <c r="J731" s="227"/>
      <c r="K731" s="227"/>
      <c r="L731" s="227"/>
    </row>
    <row r="732" spans="1:12" ht="27.95" customHeight="1">
      <c r="A732" s="47"/>
      <c r="B732" s="251"/>
      <c r="C732" s="242"/>
      <c r="D732" s="242"/>
      <c r="E732" s="242"/>
      <c r="F732" s="242"/>
      <c r="G732" s="242"/>
      <c r="H732" s="227"/>
      <c r="I732" s="227"/>
      <c r="J732" s="228"/>
      <c r="K732" s="227"/>
      <c r="L732" s="227"/>
    </row>
    <row r="733" spans="1:12" ht="27.95" customHeight="1">
      <c r="A733" s="47"/>
      <c r="B733" s="251"/>
      <c r="C733" s="242"/>
      <c r="D733" s="227"/>
      <c r="E733" s="228"/>
      <c r="F733" s="227"/>
      <c r="G733" s="228"/>
      <c r="H733" s="227"/>
      <c r="I733" s="228"/>
      <c r="J733" s="227"/>
      <c r="K733" s="228"/>
      <c r="L733" s="228"/>
    </row>
    <row r="734" spans="1:12" ht="27.95" customHeight="1">
      <c r="A734" s="47"/>
      <c r="B734" s="251"/>
      <c r="C734" s="242"/>
      <c r="D734" s="242"/>
      <c r="E734" s="242"/>
      <c r="F734" s="242"/>
      <c r="G734" s="242"/>
      <c r="H734" s="227"/>
      <c r="I734" s="227"/>
      <c r="J734" s="348"/>
      <c r="K734" s="227"/>
      <c r="L734" s="227"/>
    </row>
    <row r="735" spans="1:12" ht="27.95" customHeight="1">
      <c r="A735" s="47"/>
      <c r="B735" s="251"/>
      <c r="C735" s="229"/>
      <c r="D735" s="229"/>
      <c r="E735" s="229"/>
      <c r="F735" s="229"/>
      <c r="G735" s="229"/>
      <c r="H735" s="47"/>
      <c r="I735" s="47"/>
      <c r="J735" s="47"/>
      <c r="K735" s="47"/>
      <c r="L735" s="47"/>
    </row>
    <row r="736" spans="1:12" ht="27.95" customHeight="1">
      <c r="A736" s="47"/>
      <c r="B736" s="251"/>
      <c r="C736" s="229"/>
      <c r="D736" s="229"/>
      <c r="E736" s="229"/>
      <c r="F736" s="229"/>
      <c r="G736" s="229"/>
      <c r="H736" s="47"/>
      <c r="I736" s="47"/>
      <c r="J736" s="47"/>
      <c r="K736" s="47"/>
      <c r="L736" s="47"/>
    </row>
    <row r="737" spans="1:12">
      <c r="A737" s="47"/>
      <c r="B737" s="47"/>
      <c r="C737" s="47"/>
      <c r="D737" s="47"/>
      <c r="E737" s="47"/>
      <c r="F737" s="47"/>
      <c r="G737" s="47"/>
      <c r="H737" s="47"/>
      <c r="I737" s="47"/>
      <c r="J737" s="47"/>
      <c r="K737" s="47"/>
      <c r="L737" s="47"/>
    </row>
    <row r="738" spans="1:12">
      <c r="A738" s="47"/>
      <c r="B738" s="47"/>
      <c r="C738" s="47"/>
      <c r="D738" s="47"/>
      <c r="E738" s="47"/>
      <c r="F738" s="47"/>
      <c r="G738" s="47"/>
      <c r="H738" s="47"/>
      <c r="I738" s="47"/>
      <c r="J738" s="47"/>
      <c r="K738" s="47"/>
      <c r="L738" s="47"/>
    </row>
    <row r="739" spans="1:12">
      <c r="A739" s="47"/>
      <c r="B739" s="47"/>
      <c r="C739" s="47"/>
      <c r="D739" s="47"/>
      <c r="E739" s="47"/>
      <c r="F739" s="47"/>
      <c r="G739" s="47"/>
      <c r="H739" s="47"/>
      <c r="I739" s="47"/>
      <c r="J739" s="47"/>
      <c r="K739" s="47"/>
      <c r="L739" s="47"/>
    </row>
    <row r="740" spans="1:12" ht="32.25">
      <c r="A740" s="47"/>
      <c r="B740" s="866"/>
      <c r="C740" s="786"/>
      <c r="D740" s="786"/>
      <c r="E740" s="786"/>
      <c r="F740" s="786"/>
      <c r="G740" s="786"/>
      <c r="H740" s="786"/>
      <c r="I740" s="786"/>
      <c r="J740" s="786"/>
      <c r="K740" s="786"/>
      <c r="L740" s="786"/>
    </row>
    <row r="741" spans="1:12" ht="23.25">
      <c r="A741" s="47"/>
      <c r="B741" s="745"/>
      <c r="C741" s="745"/>
      <c r="D741" s="745"/>
      <c r="E741" s="745"/>
      <c r="F741" s="745"/>
      <c r="G741" s="745"/>
      <c r="H741" s="745"/>
      <c r="I741" s="745"/>
      <c r="J741" s="745"/>
      <c r="K741" s="745"/>
      <c r="L741" s="745"/>
    </row>
    <row r="742" spans="1:12" ht="15.75">
      <c r="A742" s="47"/>
      <c r="B742" s="864"/>
      <c r="C742" s="864"/>
      <c r="D742" s="864"/>
      <c r="E742" s="864"/>
      <c r="F742" s="864"/>
      <c r="G742" s="864"/>
      <c r="H742" s="864"/>
      <c r="I742" s="864"/>
      <c r="J742" s="864"/>
      <c r="K742" s="864"/>
      <c r="L742" s="864"/>
    </row>
    <row r="743" spans="1:12" ht="15" customHeight="1">
      <c r="A743" s="47"/>
      <c r="B743" s="757"/>
      <c r="C743" s="757"/>
      <c r="D743" s="757"/>
      <c r="E743" s="757"/>
      <c r="F743" s="757"/>
      <c r="G743" s="47"/>
      <c r="H743" s="758"/>
      <c r="I743" s="758"/>
      <c r="J743" s="758"/>
      <c r="K743" s="758"/>
      <c r="L743" s="758"/>
    </row>
    <row r="744" spans="1:12">
      <c r="A744" s="47"/>
      <c r="B744" s="757"/>
      <c r="C744" s="757"/>
      <c r="D744" s="757"/>
      <c r="E744" s="757"/>
      <c r="F744" s="757"/>
      <c r="G744" s="47"/>
      <c r="H744" s="758"/>
      <c r="I744" s="758"/>
      <c r="J744" s="758"/>
      <c r="K744" s="758"/>
      <c r="L744" s="758"/>
    </row>
    <row r="745" spans="1:12">
      <c r="A745" s="47"/>
      <c r="B745" s="47"/>
      <c r="C745" s="47"/>
      <c r="D745" s="47"/>
      <c r="E745" s="47"/>
      <c r="F745" s="47"/>
      <c r="G745" s="47"/>
      <c r="H745" s="47"/>
      <c r="I745" s="47"/>
      <c r="J745" s="47"/>
      <c r="K745" s="47"/>
      <c r="L745" s="47"/>
    </row>
    <row r="746" spans="1:12">
      <c r="A746" s="47"/>
      <c r="B746" s="152"/>
      <c r="C746" s="144"/>
      <c r="D746" s="144"/>
      <c r="E746" s="144"/>
      <c r="F746" s="144"/>
      <c r="G746" s="47"/>
      <c r="H746" s="152"/>
      <c r="I746" s="144"/>
      <c r="J746" s="144"/>
      <c r="K746" s="144"/>
      <c r="L746" s="144"/>
    </row>
    <row r="747" spans="1:12">
      <c r="A747" s="47"/>
      <c r="B747" s="47"/>
      <c r="C747" s="144"/>
      <c r="D747" s="144"/>
      <c r="E747" s="144"/>
      <c r="F747" s="144"/>
      <c r="G747" s="47"/>
      <c r="H747" s="47"/>
      <c r="I747" s="144"/>
      <c r="J747" s="144"/>
      <c r="K747" s="144"/>
      <c r="L747" s="144"/>
    </row>
    <row r="748" spans="1:12">
      <c r="A748" s="47"/>
      <c r="B748" s="152"/>
      <c r="C748" s="144"/>
      <c r="D748" s="144"/>
      <c r="E748" s="144"/>
      <c r="F748" s="144"/>
      <c r="G748" s="47"/>
      <c r="H748" s="152"/>
      <c r="I748" s="144"/>
      <c r="J748" s="144"/>
      <c r="K748" s="144"/>
      <c r="L748" s="144"/>
    </row>
    <row r="749" spans="1:12" ht="15" customHeight="1">
      <c r="A749" s="47"/>
      <c r="B749" s="144"/>
      <c r="C749" s="144"/>
      <c r="D749" s="144"/>
      <c r="E749" s="144"/>
      <c r="F749" s="144"/>
      <c r="G749" s="47"/>
      <c r="H749" s="144"/>
      <c r="I749" s="144"/>
      <c r="J749" s="144"/>
      <c r="K749" s="144"/>
      <c r="L749" s="144"/>
    </row>
    <row r="750" spans="1:12">
      <c r="A750" s="47"/>
      <c r="B750" s="47"/>
      <c r="C750" s="47"/>
      <c r="D750" s="47"/>
      <c r="E750" s="47"/>
      <c r="F750" s="47"/>
      <c r="G750" s="47"/>
      <c r="H750" s="47"/>
      <c r="I750" s="47"/>
      <c r="J750" s="47"/>
      <c r="K750" s="47"/>
      <c r="L750" s="47"/>
    </row>
    <row r="751" spans="1:12">
      <c r="A751" s="47"/>
      <c r="B751" s="760"/>
      <c r="C751" s="760"/>
      <c r="D751" s="760"/>
      <c r="E751" s="760"/>
      <c r="F751" s="760"/>
      <c r="G751" s="47"/>
      <c r="H751" s="760"/>
      <c r="I751" s="760"/>
      <c r="J751" s="760"/>
      <c r="K751" s="760"/>
      <c r="L751" s="760"/>
    </row>
    <row r="752" spans="1:12">
      <c r="A752" s="47"/>
      <c r="B752" s="47"/>
      <c r="C752" s="47"/>
      <c r="D752" s="47"/>
      <c r="E752" s="47"/>
      <c r="F752" s="47"/>
      <c r="G752" s="47"/>
      <c r="H752" s="47"/>
      <c r="I752" s="47"/>
      <c r="J752" s="47"/>
      <c r="K752" s="47"/>
      <c r="L752" s="47"/>
    </row>
    <row r="753" spans="1:12">
      <c r="A753" s="47"/>
      <c r="B753" s="47"/>
      <c r="C753" s="47"/>
      <c r="D753" s="47"/>
      <c r="E753" s="47"/>
      <c r="F753" s="47"/>
      <c r="G753" s="47"/>
      <c r="H753" s="229"/>
      <c r="I753" s="229"/>
      <c r="J753" s="229"/>
      <c r="K753" s="229"/>
      <c r="L753" s="229"/>
    </row>
    <row r="754" spans="1:12">
      <c r="A754" s="47"/>
      <c r="B754" s="144"/>
      <c r="C754" s="144"/>
      <c r="D754" s="144"/>
      <c r="E754" s="144"/>
      <c r="F754" s="144"/>
      <c r="G754" s="47"/>
      <c r="H754" s="152"/>
      <c r="I754" s="152"/>
      <c r="J754" s="152"/>
      <c r="K754" s="152"/>
      <c r="L754" s="152"/>
    </row>
    <row r="755" spans="1:12">
      <c r="A755" s="47"/>
      <c r="B755" s="152"/>
      <c r="C755" s="144"/>
      <c r="D755" s="144"/>
      <c r="E755" s="144"/>
      <c r="F755" s="144"/>
      <c r="G755" s="47"/>
      <c r="H755" s="152"/>
      <c r="I755" s="152"/>
      <c r="J755" s="152"/>
      <c r="K755" s="152"/>
      <c r="L755" s="152"/>
    </row>
    <row r="756" spans="1:12">
      <c r="A756" s="47"/>
      <c r="B756" s="144"/>
      <c r="C756" s="144"/>
      <c r="D756" s="144"/>
      <c r="E756" s="144"/>
      <c r="F756" s="144"/>
      <c r="G756" s="47"/>
      <c r="H756" s="152"/>
      <c r="I756" s="152"/>
      <c r="J756" s="152"/>
      <c r="K756" s="152"/>
      <c r="L756" s="152"/>
    </row>
    <row r="757" spans="1:12">
      <c r="A757" s="47"/>
      <c r="B757" s="144"/>
      <c r="C757" s="144"/>
      <c r="D757" s="144"/>
      <c r="E757" s="144"/>
      <c r="F757" s="144"/>
      <c r="G757" s="47"/>
      <c r="H757" s="152"/>
      <c r="I757" s="152"/>
      <c r="J757" s="152"/>
      <c r="K757" s="152"/>
      <c r="L757" s="152"/>
    </row>
    <row r="758" spans="1:12" ht="27.95" customHeight="1">
      <c r="A758" s="343"/>
      <c r="B758" s="862"/>
      <c r="C758" s="862"/>
      <c r="D758" s="862"/>
      <c r="E758" s="862"/>
      <c r="F758" s="862"/>
      <c r="G758" s="862"/>
      <c r="H758" s="859"/>
      <c r="I758" s="860"/>
      <c r="J758" s="860"/>
      <c r="K758" s="860"/>
      <c r="L758" s="860"/>
    </row>
    <row r="759" spans="1:12" ht="27.95" customHeight="1">
      <c r="A759" s="343"/>
      <c r="B759" s="758"/>
      <c r="C759" s="758"/>
      <c r="D759" s="758"/>
      <c r="E759" s="758"/>
      <c r="F759" s="758"/>
      <c r="G759" s="758"/>
      <c r="H759" s="859"/>
      <c r="I759" s="860"/>
      <c r="J759" s="860"/>
      <c r="K759" s="860"/>
      <c r="L759" s="860"/>
    </row>
    <row r="760" spans="1:12" ht="27.95" customHeight="1">
      <c r="A760" s="343"/>
      <c r="B760" s="862"/>
      <c r="C760" s="862"/>
      <c r="D760" s="862"/>
      <c r="E760" s="862"/>
      <c r="F760" s="862"/>
      <c r="G760" s="862"/>
      <c r="H760" s="859"/>
      <c r="I760" s="860"/>
      <c r="J760" s="860"/>
      <c r="K760" s="860"/>
      <c r="L760" s="860"/>
    </row>
    <row r="761" spans="1:12" ht="27.95" customHeight="1">
      <c r="A761" s="343"/>
      <c r="B761" s="862"/>
      <c r="C761" s="862"/>
      <c r="D761" s="862"/>
      <c r="E761" s="862"/>
      <c r="F761" s="862"/>
      <c r="G761" s="862"/>
      <c r="H761" s="863"/>
      <c r="I761" s="860"/>
      <c r="J761" s="860"/>
      <c r="K761" s="860"/>
      <c r="L761" s="860"/>
    </row>
    <row r="762" spans="1:12" ht="27.95" customHeight="1">
      <c r="A762" s="343"/>
      <c r="B762" s="251"/>
      <c r="C762" s="242"/>
      <c r="D762" s="242"/>
      <c r="E762" s="242"/>
      <c r="F762" s="242"/>
      <c r="G762" s="242"/>
      <c r="H762" s="227"/>
      <c r="I762" s="343"/>
      <c r="J762" s="346"/>
      <c r="K762" s="227"/>
      <c r="L762" s="227"/>
    </row>
    <row r="763" spans="1:12" ht="27.95" customHeight="1">
      <c r="A763" s="343"/>
      <c r="B763" s="251"/>
      <c r="C763" s="242"/>
      <c r="D763" s="242"/>
      <c r="E763" s="242"/>
      <c r="F763" s="242"/>
      <c r="G763" s="242"/>
      <c r="H763" s="227"/>
      <c r="I763" s="227"/>
      <c r="J763" s="346"/>
      <c r="K763" s="227"/>
      <c r="L763" s="227"/>
    </row>
    <row r="764" spans="1:12" ht="27.95" customHeight="1">
      <c r="A764" s="343"/>
      <c r="B764" s="758"/>
      <c r="C764" s="758"/>
      <c r="D764" s="758"/>
      <c r="E764" s="758"/>
      <c r="F764" s="758"/>
      <c r="G764" s="758"/>
      <c r="H764" s="859"/>
      <c r="I764" s="860"/>
      <c r="J764" s="860"/>
      <c r="K764" s="860"/>
      <c r="L764" s="860"/>
    </row>
    <row r="765" spans="1:12" ht="27.95" customHeight="1">
      <c r="A765" s="343"/>
      <c r="B765" s="862"/>
      <c r="C765" s="862"/>
      <c r="D765" s="862"/>
      <c r="E765" s="862"/>
      <c r="F765" s="862"/>
      <c r="G765" s="862"/>
      <c r="H765" s="865"/>
      <c r="I765" s="860"/>
      <c r="J765" s="860"/>
      <c r="K765" s="860"/>
      <c r="L765" s="860"/>
    </row>
    <row r="766" spans="1:12" ht="27.95" customHeight="1">
      <c r="A766" s="47"/>
      <c r="B766" s="862"/>
      <c r="C766" s="862"/>
      <c r="D766" s="862"/>
      <c r="E766" s="862"/>
      <c r="F766" s="862"/>
      <c r="G766" s="862"/>
      <c r="H766" s="860"/>
      <c r="I766" s="860"/>
      <c r="J766" s="860"/>
      <c r="K766" s="860"/>
      <c r="L766" s="860"/>
    </row>
    <row r="767" spans="1:12" ht="27.95" customHeight="1">
      <c r="A767" s="47"/>
      <c r="B767" s="251"/>
      <c r="C767" s="242"/>
      <c r="D767" s="242"/>
      <c r="E767" s="242"/>
      <c r="F767" s="242"/>
      <c r="G767" s="242"/>
      <c r="H767" s="227"/>
      <c r="I767" s="227"/>
      <c r="J767" s="227"/>
      <c r="K767" s="227"/>
      <c r="L767" s="227"/>
    </row>
    <row r="768" spans="1:12" ht="27.95" customHeight="1">
      <c r="A768" s="47"/>
      <c r="B768" s="251"/>
      <c r="C768" s="242"/>
      <c r="D768" s="242"/>
      <c r="E768" s="242"/>
      <c r="F768" s="242"/>
      <c r="G768" s="242"/>
      <c r="H768" s="227"/>
      <c r="I768" s="227"/>
      <c r="J768" s="227"/>
      <c r="K768" s="227"/>
      <c r="L768" s="227"/>
    </row>
    <row r="769" spans="1:12" ht="27.95" customHeight="1">
      <c r="A769" s="47"/>
      <c r="B769" s="251"/>
      <c r="C769" s="242"/>
      <c r="D769" s="242"/>
      <c r="E769" s="242"/>
      <c r="F769" s="242"/>
      <c r="G769" s="242"/>
      <c r="H769" s="227"/>
      <c r="I769" s="227"/>
      <c r="J769" s="228"/>
      <c r="K769" s="227"/>
      <c r="L769" s="227"/>
    </row>
    <row r="770" spans="1:12" ht="27.95" customHeight="1">
      <c r="A770" s="47"/>
      <c r="B770" s="251"/>
      <c r="C770" s="242"/>
      <c r="D770" s="242"/>
      <c r="E770" s="242"/>
      <c r="F770" s="242"/>
      <c r="G770" s="242"/>
      <c r="H770" s="227"/>
      <c r="I770" s="227"/>
      <c r="J770" s="227"/>
      <c r="K770" s="227"/>
      <c r="L770" s="227"/>
    </row>
    <row r="771" spans="1:12" ht="27.95" customHeight="1">
      <c r="A771" s="47"/>
      <c r="B771" s="251"/>
      <c r="C771" s="242"/>
      <c r="D771" s="242"/>
      <c r="E771" s="242"/>
      <c r="F771" s="242"/>
      <c r="G771" s="242"/>
      <c r="H771" s="227"/>
      <c r="I771" s="227"/>
      <c r="J771" s="228"/>
      <c r="K771" s="227"/>
      <c r="L771" s="227"/>
    </row>
    <row r="772" spans="1:12" ht="27.95" customHeight="1">
      <c r="A772" s="47"/>
      <c r="B772" s="251"/>
      <c r="C772" s="242"/>
      <c r="D772" s="227"/>
      <c r="E772" s="228"/>
      <c r="F772" s="227"/>
      <c r="G772" s="228"/>
      <c r="H772" s="227"/>
      <c r="I772" s="228"/>
      <c r="J772" s="227"/>
      <c r="K772" s="228"/>
      <c r="L772" s="228"/>
    </row>
    <row r="773" spans="1:12" ht="27.95" customHeight="1">
      <c r="A773" s="47"/>
      <c r="B773" s="251"/>
      <c r="C773" s="242"/>
      <c r="D773" s="242"/>
      <c r="E773" s="242"/>
      <c r="F773" s="242"/>
      <c r="G773" s="242"/>
      <c r="H773" s="227"/>
      <c r="I773" s="227"/>
      <c r="J773" s="348"/>
      <c r="K773" s="227"/>
      <c r="L773" s="227"/>
    </row>
    <row r="774" spans="1:12" ht="27.95" customHeight="1">
      <c r="A774" s="47"/>
      <c r="B774" s="251"/>
      <c r="C774" s="229"/>
      <c r="D774" s="229"/>
      <c r="E774" s="229"/>
      <c r="F774" s="229"/>
      <c r="G774" s="229"/>
      <c r="H774" s="47"/>
      <c r="I774" s="47"/>
      <c r="J774" s="47"/>
      <c r="K774" s="47"/>
      <c r="L774" s="47"/>
    </row>
    <row r="775" spans="1:12" ht="27.95" customHeight="1">
      <c r="A775" s="47"/>
      <c r="B775" s="251"/>
      <c r="C775" s="229"/>
      <c r="D775" s="229"/>
      <c r="E775" s="229"/>
      <c r="F775" s="229"/>
      <c r="G775" s="229"/>
      <c r="H775" s="47"/>
      <c r="I775" s="47"/>
      <c r="J775" s="47"/>
      <c r="K775" s="47"/>
      <c r="L775" s="47"/>
    </row>
    <row r="776" spans="1:12">
      <c r="A776" s="47"/>
      <c r="B776" s="47"/>
      <c r="C776" s="47"/>
      <c r="D776" s="47"/>
      <c r="E776" s="47"/>
      <c r="F776" s="47"/>
      <c r="G776" s="47"/>
      <c r="H776" s="47"/>
      <c r="I776" s="47"/>
      <c r="J776" s="47"/>
      <c r="K776" s="47"/>
      <c r="L776" s="47"/>
    </row>
    <row r="777" spans="1:12">
      <c r="A777" s="47"/>
      <c r="B777" s="47"/>
      <c r="C777" s="47"/>
      <c r="D777" s="47"/>
      <c r="E777" s="47"/>
      <c r="F777" s="47"/>
      <c r="G777" s="47"/>
      <c r="H777" s="47"/>
      <c r="I777" s="47"/>
      <c r="J777" s="47"/>
      <c r="K777" s="47"/>
      <c r="L777" s="47"/>
    </row>
    <row r="778" spans="1:12">
      <c r="A778" s="47"/>
      <c r="B778" s="47"/>
      <c r="C778" s="47"/>
      <c r="D778" s="47"/>
      <c r="E778" s="47"/>
      <c r="F778" s="47"/>
      <c r="G778" s="47"/>
      <c r="H778" s="47"/>
      <c r="I778" s="47"/>
      <c r="J778" s="47"/>
      <c r="K778" s="47"/>
      <c r="L778" s="47"/>
    </row>
    <row r="779" spans="1:12">
      <c r="A779" s="47"/>
      <c r="B779" s="47"/>
      <c r="C779" s="47"/>
      <c r="D779" s="47"/>
      <c r="E779" s="47"/>
      <c r="F779" s="47"/>
      <c r="G779" s="47"/>
      <c r="H779" s="47"/>
      <c r="I779" s="47"/>
      <c r="J779" s="47"/>
      <c r="K779" s="47"/>
      <c r="L779" s="47"/>
    </row>
    <row r="780" spans="1:12">
      <c r="A780" s="47"/>
      <c r="B780" s="47"/>
      <c r="C780" s="47"/>
      <c r="D780" s="47"/>
      <c r="E780" s="47"/>
      <c r="F780" s="47"/>
      <c r="G780" s="47"/>
      <c r="H780" s="47"/>
      <c r="I780" s="47"/>
      <c r="J780" s="47"/>
      <c r="K780" s="47"/>
      <c r="L780" s="47"/>
    </row>
    <row r="781" spans="1:12">
      <c r="A781" s="47"/>
      <c r="B781" s="47"/>
      <c r="C781" s="47"/>
      <c r="D781" s="47"/>
      <c r="E781" s="47"/>
      <c r="F781" s="47"/>
      <c r="G781" s="47"/>
      <c r="H781" s="47"/>
      <c r="I781" s="47"/>
      <c r="J781" s="47"/>
      <c r="K781" s="47"/>
      <c r="L781" s="47"/>
    </row>
    <row r="782" spans="1:12">
      <c r="A782" s="47"/>
      <c r="B782" s="47"/>
      <c r="C782" s="47"/>
      <c r="D782" s="47"/>
      <c r="E782" s="47"/>
      <c r="F782" s="47"/>
      <c r="G782" s="47"/>
      <c r="H782" s="47"/>
      <c r="I782" s="47"/>
      <c r="J782" s="47"/>
      <c r="K782" s="47"/>
      <c r="L782" s="47"/>
    </row>
    <row r="783" spans="1:12">
      <c r="A783" s="47"/>
      <c r="B783" s="47"/>
      <c r="C783" s="47"/>
      <c r="D783" s="47"/>
      <c r="E783" s="47"/>
      <c r="F783" s="47"/>
      <c r="G783" s="47"/>
      <c r="H783" s="47"/>
      <c r="I783" s="47"/>
      <c r="J783" s="47"/>
      <c r="K783" s="47"/>
      <c r="L783" s="47"/>
    </row>
    <row r="784" spans="1:12">
      <c r="A784" s="47"/>
      <c r="B784" s="47"/>
      <c r="C784" s="47"/>
      <c r="D784" s="47"/>
      <c r="E784" s="47"/>
      <c r="F784" s="47"/>
      <c r="G784" s="47"/>
      <c r="H784" s="47"/>
      <c r="I784" s="47"/>
      <c r="J784" s="47"/>
      <c r="K784" s="47"/>
      <c r="L784" s="47"/>
    </row>
    <row r="785" spans="1:12">
      <c r="A785" s="47"/>
      <c r="B785" s="47"/>
      <c r="C785" s="47"/>
      <c r="D785" s="47"/>
      <c r="E785" s="47"/>
      <c r="F785" s="47"/>
      <c r="G785" s="47"/>
      <c r="H785" s="47"/>
      <c r="I785" s="47"/>
      <c r="J785" s="47"/>
      <c r="K785" s="47"/>
      <c r="L785" s="47"/>
    </row>
    <row r="786" spans="1:12">
      <c r="A786" s="47"/>
      <c r="B786" s="47"/>
      <c r="C786" s="47"/>
      <c r="D786" s="47"/>
      <c r="E786" s="47"/>
      <c r="F786" s="47"/>
      <c r="G786" s="47"/>
      <c r="H786" s="47"/>
      <c r="I786" s="47"/>
      <c r="J786" s="47"/>
      <c r="K786" s="47"/>
      <c r="L786" s="47"/>
    </row>
    <row r="787" spans="1:12">
      <c r="A787" s="47"/>
      <c r="B787" s="47"/>
      <c r="C787" s="47"/>
      <c r="D787" s="47"/>
      <c r="E787" s="47"/>
      <c r="F787" s="47"/>
      <c r="G787" s="47"/>
      <c r="H787" s="47"/>
      <c r="I787" s="47"/>
      <c r="J787" s="47"/>
      <c r="K787" s="47"/>
      <c r="L787" s="47"/>
    </row>
    <row r="788" spans="1:12">
      <c r="A788" s="47"/>
      <c r="B788" s="47"/>
      <c r="C788" s="47"/>
      <c r="D788" s="47"/>
      <c r="E788" s="47"/>
      <c r="F788" s="47"/>
      <c r="G788" s="47"/>
      <c r="H788" s="47"/>
      <c r="I788" s="47"/>
      <c r="J788" s="47"/>
      <c r="K788" s="47"/>
      <c r="L788" s="47"/>
    </row>
    <row r="789" spans="1:12">
      <c r="A789" s="47"/>
      <c r="B789" s="47"/>
      <c r="C789" s="47"/>
      <c r="D789" s="47"/>
      <c r="E789" s="47"/>
      <c r="F789" s="47"/>
      <c r="G789" s="47"/>
      <c r="H789" s="47"/>
      <c r="I789" s="47"/>
      <c r="J789" s="47"/>
      <c r="K789" s="47"/>
      <c r="L789" s="47"/>
    </row>
    <row r="790" spans="1:12">
      <c r="A790" s="47"/>
      <c r="B790" s="47"/>
      <c r="C790" s="47"/>
      <c r="D790" s="47"/>
      <c r="E790" s="47"/>
      <c r="F790" s="47"/>
      <c r="G790" s="47"/>
      <c r="H790" s="47"/>
      <c r="I790" s="47"/>
      <c r="J790" s="47"/>
      <c r="K790" s="47"/>
      <c r="L790" s="47"/>
    </row>
    <row r="791" spans="1:12">
      <c r="A791" s="47"/>
      <c r="B791" s="47"/>
      <c r="C791" s="47"/>
      <c r="D791" s="47"/>
      <c r="E791" s="47"/>
      <c r="F791" s="47"/>
      <c r="G791" s="47"/>
      <c r="H791" s="47"/>
      <c r="I791" s="47"/>
      <c r="J791" s="47"/>
      <c r="K791" s="47"/>
      <c r="L791" s="47"/>
    </row>
    <row r="792" spans="1:12">
      <c r="A792" s="47"/>
      <c r="B792" s="47"/>
      <c r="C792" s="47"/>
      <c r="D792" s="47"/>
      <c r="E792" s="47"/>
      <c r="F792" s="47"/>
      <c r="G792" s="47"/>
      <c r="H792" s="47"/>
      <c r="I792" s="47"/>
      <c r="J792" s="47"/>
      <c r="K792" s="47"/>
      <c r="L792" s="47"/>
    </row>
    <row r="793" spans="1:12">
      <c r="A793" s="47"/>
      <c r="B793" s="47"/>
      <c r="C793" s="47"/>
      <c r="D793" s="47"/>
      <c r="E793" s="47"/>
      <c r="F793" s="47"/>
      <c r="G793" s="47"/>
      <c r="H793" s="47"/>
      <c r="I793" s="47"/>
      <c r="J793" s="47"/>
      <c r="K793" s="47"/>
      <c r="L793" s="47"/>
    </row>
    <row r="794" spans="1:12">
      <c r="A794" s="47"/>
      <c r="B794" s="47"/>
      <c r="C794" s="47"/>
      <c r="D794" s="47"/>
      <c r="E794" s="47"/>
      <c r="F794" s="47"/>
      <c r="G794" s="47"/>
      <c r="H794" s="47"/>
      <c r="I794" s="47"/>
      <c r="J794" s="47"/>
      <c r="K794" s="47"/>
      <c r="L794" s="47"/>
    </row>
    <row r="795" spans="1:12">
      <c r="A795" s="47"/>
      <c r="B795" s="47"/>
      <c r="C795" s="47"/>
      <c r="D795" s="47"/>
      <c r="E795" s="47"/>
      <c r="F795" s="47"/>
      <c r="G795" s="47"/>
      <c r="H795" s="47"/>
      <c r="I795" s="47"/>
      <c r="J795" s="47"/>
      <c r="K795" s="47"/>
      <c r="L795" s="47"/>
    </row>
    <row r="796" spans="1:12">
      <c r="A796" s="47"/>
      <c r="B796" s="47"/>
      <c r="C796" s="47"/>
      <c r="D796" s="47"/>
      <c r="E796" s="47"/>
      <c r="F796" s="47"/>
      <c r="G796" s="47"/>
      <c r="H796" s="47"/>
      <c r="I796" s="47"/>
      <c r="J796" s="47"/>
      <c r="K796" s="47"/>
      <c r="L796" s="47"/>
    </row>
    <row r="797" spans="1:12">
      <c r="A797" s="47"/>
      <c r="B797" s="47"/>
      <c r="C797" s="47"/>
      <c r="D797" s="47"/>
      <c r="E797" s="47"/>
      <c r="F797" s="47"/>
      <c r="G797" s="47"/>
      <c r="H797" s="47"/>
      <c r="I797" s="47"/>
      <c r="J797" s="47"/>
      <c r="K797" s="47"/>
      <c r="L797" s="47"/>
    </row>
    <row r="798" spans="1:12">
      <c r="A798" s="47"/>
      <c r="B798" s="47"/>
      <c r="C798" s="47"/>
      <c r="D798" s="47"/>
      <c r="E798" s="47"/>
      <c r="F798" s="47"/>
      <c r="G798" s="47"/>
      <c r="H798" s="47"/>
      <c r="I798" s="47"/>
      <c r="J798" s="47"/>
      <c r="K798" s="47"/>
      <c r="L798" s="47"/>
    </row>
    <row r="799" spans="1:12">
      <c r="A799" s="47"/>
      <c r="B799" s="47"/>
      <c r="C799" s="47"/>
      <c r="D799" s="47"/>
      <c r="E799" s="47"/>
      <c r="F799" s="47"/>
      <c r="G799" s="47"/>
      <c r="H799" s="47"/>
      <c r="I799" s="47"/>
      <c r="J799" s="47"/>
      <c r="K799" s="47"/>
      <c r="L799" s="47"/>
    </row>
    <row r="800" spans="1:12">
      <c r="A800" s="47"/>
      <c r="B800" s="47"/>
      <c r="C800" s="47"/>
      <c r="D800" s="47"/>
      <c r="E800" s="47"/>
      <c r="F800" s="47"/>
      <c r="G800" s="47"/>
      <c r="H800" s="47"/>
      <c r="I800" s="47"/>
      <c r="J800" s="47"/>
      <c r="K800" s="47"/>
      <c r="L800" s="47"/>
    </row>
    <row r="801" spans="1:12">
      <c r="A801" s="47"/>
      <c r="B801" s="47"/>
      <c r="C801" s="47"/>
      <c r="D801" s="47"/>
      <c r="E801" s="47"/>
      <c r="F801" s="47"/>
      <c r="G801" s="47"/>
      <c r="H801" s="47"/>
      <c r="I801" s="47"/>
      <c r="J801" s="47"/>
      <c r="K801" s="47"/>
      <c r="L801" s="47"/>
    </row>
    <row r="802" spans="1:12">
      <c r="A802" s="47"/>
      <c r="B802" s="47"/>
      <c r="C802" s="47"/>
      <c r="D802" s="47"/>
      <c r="E802" s="47"/>
      <c r="F802" s="47"/>
      <c r="G802" s="47"/>
      <c r="H802" s="47"/>
      <c r="I802" s="47"/>
      <c r="J802" s="47"/>
      <c r="K802" s="47"/>
      <c r="L802" s="47"/>
    </row>
    <row r="803" spans="1:12">
      <c r="A803" s="47"/>
      <c r="B803" s="47"/>
      <c r="C803" s="47"/>
      <c r="D803" s="47"/>
      <c r="E803" s="47"/>
      <c r="F803" s="47"/>
      <c r="G803" s="47"/>
      <c r="H803" s="47"/>
      <c r="I803" s="47"/>
      <c r="J803" s="47"/>
      <c r="K803" s="47"/>
      <c r="L803" s="47"/>
    </row>
    <row r="804" spans="1:12">
      <c r="A804" s="47"/>
      <c r="B804" s="47"/>
      <c r="C804" s="47"/>
      <c r="D804" s="47"/>
      <c r="E804" s="47"/>
      <c r="F804" s="47"/>
      <c r="G804" s="47"/>
      <c r="H804" s="47"/>
      <c r="I804" s="47"/>
      <c r="J804" s="47"/>
      <c r="K804" s="47"/>
      <c r="L804" s="47"/>
    </row>
    <row r="805" spans="1:12">
      <c r="A805" s="47"/>
      <c r="B805" s="47"/>
      <c r="C805" s="47"/>
      <c r="D805" s="47"/>
      <c r="E805" s="47"/>
      <c r="F805" s="47"/>
      <c r="G805" s="47"/>
      <c r="H805" s="47"/>
      <c r="I805" s="47"/>
      <c r="J805" s="47"/>
      <c r="K805" s="47"/>
      <c r="L805" s="47"/>
    </row>
    <row r="806" spans="1:12">
      <c r="A806" s="47"/>
      <c r="B806" s="47"/>
      <c r="C806" s="47"/>
      <c r="D806" s="47"/>
      <c r="E806" s="47"/>
      <c r="F806" s="47"/>
      <c r="G806" s="47"/>
      <c r="H806" s="47"/>
      <c r="I806" s="47"/>
      <c r="J806" s="47"/>
      <c r="K806" s="47"/>
      <c r="L806" s="47"/>
    </row>
    <row r="807" spans="1:12">
      <c r="A807" s="47"/>
      <c r="B807" s="47"/>
      <c r="C807" s="47"/>
      <c r="D807" s="47"/>
      <c r="E807" s="47"/>
      <c r="F807" s="47"/>
      <c r="G807" s="47"/>
      <c r="H807" s="47"/>
      <c r="I807" s="47"/>
      <c r="J807" s="47"/>
      <c r="K807" s="47"/>
      <c r="L807" s="47"/>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44"/>
  <sheetViews>
    <sheetView topLeftCell="A16" workbookViewId="0">
      <selection activeCell="C8" sqref="C8"/>
    </sheetView>
  </sheetViews>
  <sheetFormatPr defaultRowHeight="15"/>
  <cols>
    <col min="1" max="1" width="20.140625" customWidth="1"/>
    <col min="2" max="2" width="30.42578125" customWidth="1"/>
    <col min="3" max="3" width="19.7109375" customWidth="1"/>
    <col min="4" max="4" width="63.28515625" customWidth="1"/>
  </cols>
  <sheetData>
    <row r="1" spans="1:4" ht="20.25">
      <c r="A1" s="927" t="s">
        <v>310</v>
      </c>
      <c r="B1" s="928"/>
      <c r="C1" s="928"/>
      <c r="D1" s="929"/>
    </row>
    <row r="2" spans="1:4">
      <c r="A2" s="930" t="s">
        <v>311</v>
      </c>
      <c r="B2" s="931"/>
      <c r="C2" s="931"/>
      <c r="D2" s="932"/>
    </row>
    <row r="3" spans="1:4" ht="18">
      <c r="A3" s="933" t="s">
        <v>312</v>
      </c>
      <c r="B3" s="934"/>
      <c r="C3" s="934"/>
      <c r="D3" s="935"/>
    </row>
    <row r="4" spans="1:4">
      <c r="A4" s="62" t="s">
        <v>149</v>
      </c>
      <c r="B4" s="47"/>
      <c r="C4" s="47"/>
      <c r="D4" s="63"/>
    </row>
    <row r="5" spans="1:4" ht="18">
      <c r="A5" s="376" t="str">
        <f>'PUNJAB 04-22Master'!F5</f>
        <v>Burgeon IT Services Pvt.Ltd.</v>
      </c>
      <c r="B5" s="349"/>
      <c r="C5" s="47"/>
      <c r="D5" s="63"/>
    </row>
    <row r="6" spans="1:4" ht="18">
      <c r="A6" s="376" t="str">
        <f>'PUNJAB 04-22Master'!F6</f>
        <v>Siri Mansion LIGB 436 Dr.A S Rao Nagar,Hyderabad</v>
      </c>
      <c r="B6" s="349"/>
      <c r="C6" s="47"/>
      <c r="D6" s="63"/>
    </row>
    <row r="7" spans="1:4" ht="18">
      <c r="A7" s="352"/>
      <c r="B7" s="353"/>
      <c r="C7" s="47"/>
      <c r="D7" s="63"/>
    </row>
    <row r="8" spans="1:4" ht="15.75">
      <c r="A8" s="351" t="s">
        <v>313</v>
      </c>
      <c r="B8" s="377"/>
      <c r="C8" s="378" t="e">
        <f>'PUNJAB 04-22Master'!#REF!</f>
        <v>#REF!</v>
      </c>
      <c r="D8" s="153"/>
    </row>
    <row r="9" spans="1:4">
      <c r="A9" s="924" t="s">
        <v>314</v>
      </c>
      <c r="B9" s="925"/>
      <c r="C9" s="925"/>
      <c r="D9" s="926"/>
    </row>
    <row r="10" spans="1:4">
      <c r="A10" s="62"/>
      <c r="B10" s="47"/>
      <c r="C10" s="47"/>
      <c r="D10" s="63"/>
    </row>
    <row r="11" spans="1:4">
      <c r="A11" s="924" t="s">
        <v>315</v>
      </c>
      <c r="B11" s="925"/>
      <c r="C11" s="925"/>
      <c r="D11" s="926"/>
    </row>
    <row r="12" spans="1:4">
      <c r="A12" s="354"/>
      <c r="B12" s="355"/>
      <c r="C12" s="355"/>
      <c r="D12" s="356"/>
    </row>
    <row r="13" spans="1:4">
      <c r="A13" s="918" t="s">
        <v>316</v>
      </c>
      <c r="B13" s="919"/>
      <c r="C13" s="919"/>
      <c r="D13" s="920"/>
    </row>
    <row r="14" spans="1:4">
      <c r="A14" s="62"/>
      <c r="B14" s="47"/>
      <c r="C14" s="47"/>
      <c r="D14" s="63"/>
    </row>
    <row r="15" spans="1:4">
      <c r="A15" s="918" t="s">
        <v>317</v>
      </c>
      <c r="B15" s="919"/>
      <c r="C15" s="919"/>
      <c r="D15" s="920"/>
    </row>
    <row r="16" spans="1:4">
      <c r="A16" s="918" t="s">
        <v>318</v>
      </c>
      <c r="B16" s="919"/>
      <c r="C16" s="919"/>
      <c r="D16" s="920"/>
    </row>
    <row r="17" spans="1:4">
      <c r="A17" s="350"/>
      <c r="B17" s="357"/>
      <c r="C17" s="357"/>
      <c r="D17" s="358"/>
    </row>
    <row r="18" spans="1:4">
      <c r="A18" s="924" t="s">
        <v>319</v>
      </c>
      <c r="B18" s="925"/>
      <c r="C18" s="925"/>
      <c r="D18" s="926"/>
    </row>
    <row r="19" spans="1:4">
      <c r="A19" s="350"/>
      <c r="B19" s="357"/>
      <c r="C19" s="357"/>
      <c r="D19" s="358"/>
    </row>
    <row r="20" spans="1:4">
      <c r="A20" s="918" t="s">
        <v>320</v>
      </c>
      <c r="B20" s="919"/>
      <c r="C20" s="919"/>
      <c r="D20" s="920"/>
    </row>
    <row r="21" spans="1:4">
      <c r="A21" s="62"/>
      <c r="B21" s="47"/>
      <c r="C21" s="47"/>
      <c r="D21" s="63"/>
    </row>
    <row r="22" spans="1:4">
      <c r="A22" s="915" t="s">
        <v>321</v>
      </c>
      <c r="B22" s="916"/>
      <c r="C22" s="916"/>
      <c r="D22" s="917"/>
    </row>
    <row r="23" spans="1:4" ht="42.75">
      <c r="A23" s="359" t="s">
        <v>322</v>
      </c>
      <c r="B23" s="360" t="s">
        <v>323</v>
      </c>
      <c r="C23" s="360" t="s">
        <v>324</v>
      </c>
      <c r="D23" s="361" t="s">
        <v>325</v>
      </c>
    </row>
    <row r="24" spans="1:4">
      <c r="A24" s="362">
        <v>1</v>
      </c>
      <c r="B24" s="363">
        <v>2</v>
      </c>
      <c r="C24" s="363">
        <v>3</v>
      </c>
      <c r="D24" s="364">
        <v>4</v>
      </c>
    </row>
    <row r="25" spans="1:4">
      <c r="A25" s="62" t="e">
        <f>'PUNJAB 04-22Master'!#REF!</f>
        <v>#REF!</v>
      </c>
      <c r="B25" s="30" t="s">
        <v>366</v>
      </c>
      <c r="C25" s="30" t="s">
        <v>373</v>
      </c>
      <c r="D25" s="398">
        <v>1</v>
      </c>
    </row>
    <row r="26" spans="1:4">
      <c r="A26" s="382"/>
      <c r="B26" s="30"/>
      <c r="C26" s="30"/>
      <c r="D26" s="365"/>
    </row>
    <row r="27" spans="1:4">
      <c r="A27" s="379"/>
      <c r="B27" s="30"/>
      <c r="C27" s="30"/>
      <c r="D27" s="365"/>
    </row>
    <row r="28" spans="1:4">
      <c r="A28" s="62"/>
      <c r="B28" s="47"/>
      <c r="C28" s="47"/>
      <c r="D28" s="63"/>
    </row>
    <row r="29" spans="1:4">
      <c r="A29" s="915" t="s">
        <v>326</v>
      </c>
      <c r="B29" s="916"/>
      <c r="C29" s="916"/>
      <c r="D29" s="917"/>
    </row>
    <row r="30" spans="1:4">
      <c r="A30" s="232"/>
      <c r="B30" s="233"/>
      <c r="C30" s="233"/>
      <c r="D30" s="234"/>
    </row>
    <row r="31" spans="1:4">
      <c r="A31" s="921" t="s">
        <v>327</v>
      </c>
      <c r="B31" s="922"/>
      <c r="C31" s="936" t="e">
        <f>'PUNJAB 04-22Master'!#REF!</f>
        <v>#REF!</v>
      </c>
      <c r="D31" s="923"/>
    </row>
    <row r="32" spans="1:4">
      <c r="A32" s="921" t="s">
        <v>328</v>
      </c>
      <c r="B32" s="922"/>
      <c r="C32" s="800" t="e">
        <f>'PUNJAB 04-22Master'!#REF!</f>
        <v>#REF!</v>
      </c>
      <c r="D32" s="923"/>
    </row>
    <row r="33" spans="1:4">
      <c r="A33" s="921" t="s">
        <v>329</v>
      </c>
      <c r="B33" s="922"/>
      <c r="C33" s="800" t="s">
        <v>375</v>
      </c>
      <c r="D33" s="923"/>
    </row>
    <row r="34" spans="1:4">
      <c r="A34" s="921" t="s">
        <v>330</v>
      </c>
      <c r="B34" s="922"/>
      <c r="C34" s="800" t="s">
        <v>372</v>
      </c>
      <c r="D34" s="923"/>
    </row>
    <row r="35" spans="1:4">
      <c r="A35" s="921" t="s">
        <v>331</v>
      </c>
      <c r="B35" s="922"/>
      <c r="C35" s="936" t="e">
        <f>'PUNJAB 04-22Master'!#REF!</f>
        <v>#REF!</v>
      </c>
      <c r="D35" s="923"/>
    </row>
    <row r="36" spans="1:4">
      <c r="A36" s="921" t="s">
        <v>332</v>
      </c>
      <c r="B36" s="922"/>
      <c r="C36" s="936" t="e">
        <f>'PUNJAB 04-22Master'!#REF!</f>
        <v>#REF!</v>
      </c>
      <c r="D36" s="923"/>
    </row>
    <row r="37" spans="1:4">
      <c r="A37" s="921" t="s">
        <v>333</v>
      </c>
      <c r="B37" s="922"/>
      <c r="C37" s="937" t="e">
        <f>'PUNJAB 04-22Master'!#REF!</f>
        <v>#REF!</v>
      </c>
      <c r="D37" s="923"/>
    </row>
    <row r="38" spans="1:4">
      <c r="A38" s="921" t="s">
        <v>334</v>
      </c>
      <c r="B38" s="922"/>
      <c r="C38" s="800"/>
      <c r="D38" s="923"/>
    </row>
    <row r="39" spans="1:4">
      <c r="A39" s="921"/>
      <c r="B39" s="922"/>
      <c r="C39" s="936" t="e">
        <f>'PUNJAB 04-22Master'!#REF!</f>
        <v>#REF!</v>
      </c>
      <c r="D39" s="923"/>
    </row>
    <row r="40" spans="1:4">
      <c r="A40" s="921"/>
      <c r="B40" s="922"/>
      <c r="C40" s="936" t="e">
        <f>'PUNJAB 04-22Master'!#REF!</f>
        <v>#REF!</v>
      </c>
      <c r="D40" s="923"/>
    </row>
    <row r="41" spans="1:4">
      <c r="A41" s="921"/>
      <c r="B41" s="922"/>
      <c r="C41" s="936" t="e">
        <f>'PUNJAB 04-22Master'!#REF!</f>
        <v>#REF!</v>
      </c>
      <c r="D41" s="923"/>
    </row>
    <row r="42" spans="1:4">
      <c r="A42" s="350" t="s">
        <v>276</v>
      </c>
      <c r="B42" s="357" t="s">
        <v>364</v>
      </c>
      <c r="C42" s="357"/>
      <c r="D42" s="358"/>
    </row>
    <row r="43" spans="1:4">
      <c r="A43" s="350" t="s">
        <v>335</v>
      </c>
      <c r="B43" s="399" t="e">
        <f>'PUNJAB 04-22Master'!#REF!</f>
        <v>#REF!</v>
      </c>
      <c r="C43" s="368" t="s">
        <v>336</v>
      </c>
      <c r="D43" s="358"/>
    </row>
    <row r="44" spans="1:4">
      <c r="A44" s="350"/>
      <c r="B44" s="357"/>
      <c r="C44" s="357"/>
      <c r="D44" s="358"/>
    </row>
    <row r="45" spans="1:4">
      <c r="A45" s="915" t="s">
        <v>337</v>
      </c>
      <c r="B45" s="916"/>
      <c r="C45" s="916"/>
      <c r="D45" s="917"/>
    </row>
    <row r="46" spans="1:4">
      <c r="A46" s="350" t="s">
        <v>338</v>
      </c>
      <c r="B46" s="357"/>
      <c r="C46" s="357"/>
      <c r="D46" s="358"/>
    </row>
    <row r="47" spans="1:4">
      <c r="A47" s="350"/>
      <c r="B47" s="357"/>
      <c r="C47" s="357"/>
      <c r="D47" s="358"/>
    </row>
    <row r="48" spans="1:4">
      <c r="A48" s="918" t="s">
        <v>339</v>
      </c>
      <c r="B48" s="919"/>
      <c r="C48" s="919" t="s">
        <v>340</v>
      </c>
      <c r="D48" s="920"/>
    </row>
    <row r="49" spans="1:4">
      <c r="A49" s="905">
        <v>1</v>
      </c>
      <c r="B49" s="906"/>
      <c r="C49" s="906">
        <v>1</v>
      </c>
      <c r="D49" s="907"/>
    </row>
    <row r="50" spans="1:4">
      <c r="A50" s="905">
        <v>2</v>
      </c>
      <c r="B50" s="906"/>
      <c r="C50" s="906">
        <v>2</v>
      </c>
      <c r="D50" s="907"/>
    </row>
    <row r="51" spans="1:4">
      <c r="A51" s="369"/>
      <c r="B51" s="47"/>
      <c r="C51" s="908" t="s">
        <v>345</v>
      </c>
      <c r="D51" s="909"/>
    </row>
    <row r="52" spans="1:4">
      <c r="A52" s="910" t="s">
        <v>341</v>
      </c>
      <c r="B52" s="911"/>
      <c r="C52" s="911"/>
      <c r="D52" s="912"/>
    </row>
    <row r="53" spans="1:4">
      <c r="A53" s="372" t="s">
        <v>342</v>
      </c>
      <c r="B53" s="373"/>
      <c r="C53" s="373"/>
      <c r="D53" s="374"/>
    </row>
    <row r="54" spans="1:4">
      <c r="A54" s="372"/>
      <c r="B54" s="373"/>
      <c r="C54" s="373"/>
      <c r="D54" s="374"/>
    </row>
    <row r="55" spans="1:4">
      <c r="A55" s="372"/>
      <c r="B55" s="373"/>
      <c r="C55" s="373" t="s">
        <v>343</v>
      </c>
      <c r="D55" s="374"/>
    </row>
    <row r="56" spans="1:4">
      <c r="A56" s="369"/>
      <c r="B56" s="370"/>
      <c r="C56" s="231" t="s">
        <v>160</v>
      </c>
      <c r="D56" s="371"/>
    </row>
    <row r="57" spans="1:4">
      <c r="A57" s="369"/>
      <c r="B57" s="47"/>
      <c r="C57" s="47" t="s">
        <v>344</v>
      </c>
      <c r="D57" s="375"/>
    </row>
    <row r="58" spans="1:4" ht="25.5" customHeight="1">
      <c r="A58" s="369"/>
      <c r="B58" s="47"/>
      <c r="C58" s="913" t="str">
        <f>'PUNJAB 04-22Master'!F5</f>
        <v>Burgeon IT Services Pvt.Ltd.</v>
      </c>
      <c r="D58" s="914"/>
    </row>
    <row r="59" spans="1:4">
      <c r="A59" s="350" t="s">
        <v>276</v>
      </c>
      <c r="B59" s="47" t="str">
        <f>B42</f>
        <v>Hyderabad</v>
      </c>
      <c r="C59" s="229" t="str">
        <f>'PUNJAB 04-22Master'!F6</f>
        <v>Siri Mansion LIGB 436 Dr.A S Rao Nagar,Hyderabad</v>
      </c>
      <c r="D59" s="63"/>
    </row>
    <row r="60" spans="1:4" ht="15.75" thickBot="1">
      <c r="A60" s="350" t="s">
        <v>335</v>
      </c>
      <c r="B60" s="389" t="e">
        <f>B43</f>
        <v>#REF!</v>
      </c>
      <c r="C60" s="229"/>
      <c r="D60" s="63"/>
    </row>
    <row r="61" spans="1:4" ht="15.75" thickBot="1">
      <c r="A61" s="380"/>
      <c r="B61" s="381" t="s">
        <v>348</v>
      </c>
      <c r="C61" s="381"/>
      <c r="D61" s="79"/>
    </row>
    <row r="62" spans="1:4">
      <c r="A62" s="350" t="s">
        <v>346</v>
      </c>
      <c r="B62" s="47"/>
      <c r="C62" s="229"/>
      <c r="D62" s="63"/>
    </row>
    <row r="63" spans="1:4">
      <c r="A63" s="350" t="s">
        <v>335</v>
      </c>
      <c r="B63" s="389" t="e">
        <f>B60</f>
        <v>#REF!</v>
      </c>
      <c r="C63" s="229"/>
      <c r="D63" s="63"/>
    </row>
    <row r="64" spans="1:4" ht="15.75" thickBot="1">
      <c r="A64" s="383" t="s">
        <v>347</v>
      </c>
      <c r="B64" s="74"/>
      <c r="C64" s="74"/>
      <c r="D64" s="75" t="s">
        <v>158</v>
      </c>
    </row>
    <row r="68" spans="1:4" ht="15.75" thickBot="1"/>
    <row r="69" spans="1:4" ht="20.25">
      <c r="A69" s="927" t="s">
        <v>310</v>
      </c>
      <c r="B69" s="928"/>
      <c r="C69" s="928"/>
      <c r="D69" s="929"/>
    </row>
    <row r="70" spans="1:4">
      <c r="A70" s="930" t="s">
        <v>311</v>
      </c>
      <c r="B70" s="931"/>
      <c r="C70" s="931"/>
      <c r="D70" s="932"/>
    </row>
    <row r="71" spans="1:4" ht="18">
      <c r="A71" s="933" t="s">
        <v>312</v>
      </c>
      <c r="B71" s="934"/>
      <c r="C71" s="934"/>
      <c r="D71" s="935"/>
    </row>
    <row r="72" spans="1:4">
      <c r="A72" s="62" t="s">
        <v>149</v>
      </c>
      <c r="B72" s="47"/>
      <c r="C72" s="47"/>
      <c r="D72" s="63"/>
    </row>
    <row r="73" spans="1:4" ht="18">
      <c r="A73" s="376" t="str">
        <f>'PUNJAB 04-22Master'!F5</f>
        <v>Burgeon IT Services Pvt.Ltd.</v>
      </c>
      <c r="B73" s="349"/>
      <c r="C73" s="47"/>
      <c r="D73" s="63"/>
    </row>
    <row r="74" spans="1:4" ht="18">
      <c r="A74" s="376" t="str">
        <f>'PUNJAB 04-22Master'!F6</f>
        <v>Siri Mansion LIGB 436 Dr.A S Rao Nagar,Hyderabad</v>
      </c>
      <c r="B74" s="349"/>
      <c r="C74" s="47"/>
      <c r="D74" s="63"/>
    </row>
    <row r="75" spans="1:4" ht="18">
      <c r="A75" s="352"/>
      <c r="B75" s="353"/>
      <c r="C75" s="47"/>
      <c r="D75" s="63"/>
    </row>
    <row r="76" spans="1:4" ht="15.75">
      <c r="A76" s="351" t="s">
        <v>313</v>
      </c>
      <c r="B76" s="377"/>
      <c r="C76" s="378" t="e">
        <f>'PUNJAB 04-22Master'!#REF!</f>
        <v>#REF!</v>
      </c>
      <c r="D76" s="153"/>
    </row>
    <row r="77" spans="1:4">
      <c r="A77" s="924" t="s">
        <v>314</v>
      </c>
      <c r="B77" s="925"/>
      <c r="C77" s="925"/>
      <c r="D77" s="926"/>
    </row>
    <row r="78" spans="1:4">
      <c r="A78" s="62"/>
      <c r="B78" s="47"/>
      <c r="C78" s="47"/>
      <c r="D78" s="63"/>
    </row>
    <row r="79" spans="1:4">
      <c r="A79" s="924" t="s">
        <v>315</v>
      </c>
      <c r="B79" s="925"/>
      <c r="C79" s="925"/>
      <c r="D79" s="926"/>
    </row>
    <row r="80" spans="1:4">
      <c r="A80" s="354"/>
      <c r="B80" s="355"/>
      <c r="C80" s="355"/>
      <c r="D80" s="356"/>
    </row>
    <row r="81" spans="1:4">
      <c r="A81" s="918" t="s">
        <v>316</v>
      </c>
      <c r="B81" s="919"/>
      <c r="C81" s="919"/>
      <c r="D81" s="920"/>
    </row>
    <row r="82" spans="1:4">
      <c r="A82" s="62"/>
      <c r="B82" s="47"/>
      <c r="C82" s="47"/>
      <c r="D82" s="63"/>
    </row>
    <row r="83" spans="1:4">
      <c r="A83" s="918" t="s">
        <v>317</v>
      </c>
      <c r="B83" s="919"/>
      <c r="C83" s="919"/>
      <c r="D83" s="920"/>
    </row>
    <row r="84" spans="1:4">
      <c r="A84" s="918" t="s">
        <v>318</v>
      </c>
      <c r="B84" s="919"/>
      <c r="C84" s="919"/>
      <c r="D84" s="920"/>
    </row>
    <row r="85" spans="1:4">
      <c r="A85" s="350"/>
      <c r="B85" s="357"/>
      <c r="C85" s="357"/>
      <c r="D85" s="358"/>
    </row>
    <row r="86" spans="1:4">
      <c r="A86" s="924" t="s">
        <v>319</v>
      </c>
      <c r="B86" s="925"/>
      <c r="C86" s="925"/>
      <c r="D86" s="926"/>
    </row>
    <row r="87" spans="1:4">
      <c r="A87" s="350"/>
      <c r="B87" s="357"/>
      <c r="C87" s="357"/>
      <c r="D87" s="358"/>
    </row>
    <row r="88" spans="1:4">
      <c r="A88" s="918" t="s">
        <v>320</v>
      </c>
      <c r="B88" s="919"/>
      <c r="C88" s="919"/>
      <c r="D88" s="920"/>
    </row>
    <row r="89" spans="1:4">
      <c r="A89" s="62"/>
      <c r="B89" s="47"/>
      <c r="C89" s="47"/>
      <c r="D89" s="63"/>
    </row>
    <row r="90" spans="1:4">
      <c r="A90" s="915" t="s">
        <v>321</v>
      </c>
      <c r="B90" s="916"/>
      <c r="C90" s="916"/>
      <c r="D90" s="917"/>
    </row>
    <row r="91" spans="1:4" ht="42.75">
      <c r="A91" s="359" t="s">
        <v>322</v>
      </c>
      <c r="B91" s="360" t="s">
        <v>323</v>
      </c>
      <c r="C91" s="360" t="s">
        <v>324</v>
      </c>
      <c r="D91" s="361" t="s">
        <v>325</v>
      </c>
    </row>
    <row r="92" spans="1:4">
      <c r="A92" s="362">
        <v>1</v>
      </c>
      <c r="B92" s="366">
        <v>2</v>
      </c>
      <c r="C92" s="366">
        <v>3</v>
      </c>
      <c r="D92" s="367">
        <v>4</v>
      </c>
    </row>
    <row r="93" spans="1:4">
      <c r="A93" s="62" t="e">
        <f>'PUNJAB 04-22Master'!#REF!</f>
        <v>#REF!</v>
      </c>
      <c r="B93" s="30" t="s">
        <v>366</v>
      </c>
      <c r="C93" s="30" t="s">
        <v>373</v>
      </c>
      <c r="D93" s="398">
        <v>1</v>
      </c>
    </row>
    <row r="94" spans="1:4">
      <c r="A94" s="382"/>
      <c r="B94" s="30"/>
      <c r="C94" s="30"/>
      <c r="D94" s="365"/>
    </row>
    <row r="95" spans="1:4">
      <c r="A95" s="379"/>
      <c r="B95" s="30"/>
      <c r="C95" s="30"/>
      <c r="D95" s="365"/>
    </row>
    <row r="96" spans="1:4">
      <c r="A96" s="62"/>
      <c r="B96" s="47"/>
      <c r="C96" s="47"/>
      <c r="D96" s="63"/>
    </row>
    <row r="97" spans="1:4">
      <c r="A97" s="915" t="s">
        <v>326</v>
      </c>
      <c r="B97" s="916"/>
      <c r="C97" s="916"/>
      <c r="D97" s="917"/>
    </row>
    <row r="98" spans="1:4">
      <c r="A98" s="329"/>
      <c r="B98" s="330"/>
      <c r="C98" s="330"/>
      <c r="D98" s="331"/>
    </row>
    <row r="99" spans="1:4">
      <c r="A99" s="921" t="s">
        <v>327</v>
      </c>
      <c r="B99" s="922"/>
      <c r="C99" s="936" t="e">
        <f>'PUNJAB 04-22Master'!#REF!</f>
        <v>#REF!</v>
      </c>
      <c r="D99" s="923"/>
    </row>
    <row r="100" spans="1:4">
      <c r="A100" s="921" t="s">
        <v>328</v>
      </c>
      <c r="B100" s="922"/>
      <c r="C100" s="800" t="e">
        <f>'PUNJAB 04-22Master'!#REF!</f>
        <v>#REF!</v>
      </c>
      <c r="D100" s="923"/>
    </row>
    <row r="101" spans="1:4">
      <c r="A101" s="921" t="s">
        <v>329</v>
      </c>
      <c r="B101" s="922"/>
      <c r="C101" s="800" t="s">
        <v>374</v>
      </c>
      <c r="D101" s="923"/>
    </row>
    <row r="102" spans="1:4">
      <c r="A102" s="921" t="s">
        <v>330</v>
      </c>
      <c r="B102" s="922"/>
      <c r="C102" s="800" t="s">
        <v>372</v>
      </c>
      <c r="D102" s="923"/>
    </row>
    <row r="103" spans="1:4">
      <c r="A103" s="921" t="s">
        <v>331</v>
      </c>
      <c r="B103" s="922"/>
      <c r="C103" s="936" t="e">
        <f>'PUNJAB 04-22Master'!#REF!</f>
        <v>#REF!</v>
      </c>
      <c r="D103" s="923"/>
    </row>
    <row r="104" spans="1:4">
      <c r="A104" s="921" t="s">
        <v>332</v>
      </c>
      <c r="B104" s="922"/>
      <c r="C104" s="936" t="e">
        <f>'PUNJAB 04-22Master'!#REF!</f>
        <v>#REF!</v>
      </c>
      <c r="D104" s="923"/>
    </row>
    <row r="105" spans="1:4">
      <c r="A105" s="921" t="s">
        <v>333</v>
      </c>
      <c r="B105" s="922"/>
      <c r="C105" s="937" t="e">
        <f>'PUNJAB 04-22Master'!#REF!</f>
        <v>#REF!</v>
      </c>
      <c r="D105" s="923"/>
    </row>
    <row r="106" spans="1:4">
      <c r="A106" s="921" t="s">
        <v>334</v>
      </c>
      <c r="B106" s="922"/>
      <c r="C106" s="800"/>
      <c r="D106" s="923"/>
    </row>
    <row r="107" spans="1:4">
      <c r="A107" s="921"/>
      <c r="B107" s="922"/>
      <c r="C107" s="936" t="e">
        <f>'PUNJAB 04-22Master'!#REF!</f>
        <v>#REF!</v>
      </c>
      <c r="D107" s="923"/>
    </row>
    <row r="108" spans="1:4">
      <c r="A108" s="921"/>
      <c r="B108" s="922"/>
      <c r="C108" s="936" t="e">
        <f>'PUNJAB 04-22Master'!#REF!</f>
        <v>#REF!</v>
      </c>
      <c r="D108" s="923"/>
    </row>
    <row r="109" spans="1:4">
      <c r="A109" s="921"/>
      <c r="B109" s="922"/>
      <c r="C109" s="936" t="e">
        <f>'PUNJAB 04-22Master'!#REF!</f>
        <v>#REF!</v>
      </c>
      <c r="D109" s="923"/>
    </row>
    <row r="110" spans="1:4">
      <c r="A110" s="350" t="s">
        <v>276</v>
      </c>
      <c r="B110" s="357" t="s">
        <v>364</v>
      </c>
      <c r="C110" s="357"/>
      <c r="D110" s="358"/>
    </row>
    <row r="111" spans="1:4">
      <c r="A111" s="350" t="s">
        <v>335</v>
      </c>
      <c r="B111" s="399" t="e">
        <f>'PUNJAB 04-22Master'!#REF!</f>
        <v>#REF!</v>
      </c>
      <c r="C111" s="368" t="s">
        <v>336</v>
      </c>
      <c r="D111" s="358"/>
    </row>
    <row r="112" spans="1:4">
      <c r="A112" s="350"/>
      <c r="B112" s="357"/>
      <c r="C112" s="357"/>
      <c r="D112" s="358"/>
    </row>
    <row r="113" spans="1:4">
      <c r="A113" s="915" t="s">
        <v>337</v>
      </c>
      <c r="B113" s="916"/>
      <c r="C113" s="916"/>
      <c r="D113" s="917"/>
    </row>
    <row r="114" spans="1:4">
      <c r="A114" s="350" t="s">
        <v>338</v>
      </c>
      <c r="B114" s="357"/>
      <c r="C114" s="357"/>
      <c r="D114" s="358"/>
    </row>
    <row r="115" spans="1:4">
      <c r="A115" s="350"/>
      <c r="B115" s="357"/>
      <c r="C115" s="357"/>
      <c r="D115" s="358"/>
    </row>
    <row r="116" spans="1:4">
      <c r="A116" s="918" t="s">
        <v>339</v>
      </c>
      <c r="B116" s="919"/>
      <c r="C116" s="919" t="s">
        <v>340</v>
      </c>
      <c r="D116" s="920"/>
    </row>
    <row r="117" spans="1:4">
      <c r="A117" s="905">
        <v>1</v>
      </c>
      <c r="B117" s="906"/>
      <c r="C117" s="906">
        <v>1</v>
      </c>
      <c r="D117" s="907"/>
    </row>
    <row r="118" spans="1:4">
      <c r="A118" s="905">
        <v>2</v>
      </c>
      <c r="B118" s="906"/>
      <c r="C118" s="906">
        <v>2</v>
      </c>
      <c r="D118" s="907"/>
    </row>
    <row r="119" spans="1:4">
      <c r="A119" s="369"/>
      <c r="B119" s="47"/>
      <c r="C119" s="908" t="s">
        <v>345</v>
      </c>
      <c r="D119" s="909"/>
    </row>
    <row r="120" spans="1:4">
      <c r="A120" s="910" t="s">
        <v>341</v>
      </c>
      <c r="B120" s="911"/>
      <c r="C120" s="911"/>
      <c r="D120" s="912"/>
    </row>
    <row r="121" spans="1:4">
      <c r="A121" s="372" t="s">
        <v>342</v>
      </c>
      <c r="B121" s="373"/>
      <c r="C121" s="373"/>
      <c r="D121" s="374"/>
    </row>
    <row r="122" spans="1:4">
      <c r="A122" s="372"/>
      <c r="B122" s="373"/>
      <c r="C122" s="373"/>
      <c r="D122" s="374"/>
    </row>
    <row r="123" spans="1:4">
      <c r="A123" s="372"/>
      <c r="B123" s="373"/>
      <c r="C123" s="373" t="s">
        <v>343</v>
      </c>
      <c r="D123" s="374"/>
    </row>
    <row r="124" spans="1:4">
      <c r="A124" s="369"/>
      <c r="B124" s="370"/>
      <c r="C124" s="332" t="s">
        <v>160</v>
      </c>
      <c r="D124" s="371"/>
    </row>
    <row r="125" spans="1:4">
      <c r="A125" s="369"/>
      <c r="B125" s="47"/>
      <c r="C125" s="47" t="s">
        <v>344</v>
      </c>
      <c r="D125" s="375"/>
    </row>
    <row r="126" spans="1:4">
      <c r="A126" s="369"/>
      <c r="B126" s="47"/>
      <c r="C126" s="913" t="str">
        <f>'PUNJAB 04-22Master'!F5</f>
        <v>Burgeon IT Services Pvt.Ltd.</v>
      </c>
      <c r="D126" s="914"/>
    </row>
    <row r="127" spans="1:4">
      <c r="A127" s="350" t="s">
        <v>276</v>
      </c>
      <c r="B127" s="47" t="str">
        <f>B110</f>
        <v>Hyderabad</v>
      </c>
      <c r="C127" s="229" t="str">
        <f>'PUNJAB 04-22Master'!F6</f>
        <v>Siri Mansion LIGB 436 Dr.A S Rao Nagar,Hyderabad</v>
      </c>
      <c r="D127" s="63"/>
    </row>
    <row r="128" spans="1:4" ht="15.75" thickBot="1">
      <c r="A128" s="350" t="s">
        <v>335</v>
      </c>
      <c r="B128" s="389" t="e">
        <f>B111</f>
        <v>#REF!</v>
      </c>
      <c r="C128" s="229"/>
      <c r="D128" s="63"/>
    </row>
    <row r="129" spans="1:4" ht="15.75" thickBot="1">
      <c r="A129" s="380"/>
      <c r="B129" s="381" t="s">
        <v>348</v>
      </c>
      <c r="C129" s="381"/>
      <c r="D129" s="79"/>
    </row>
    <row r="130" spans="1:4">
      <c r="A130" s="350" t="s">
        <v>346</v>
      </c>
      <c r="B130" s="47"/>
      <c r="C130" s="229"/>
      <c r="D130" s="63"/>
    </row>
    <row r="131" spans="1:4">
      <c r="A131" s="350" t="s">
        <v>335</v>
      </c>
      <c r="B131" s="389" t="e">
        <f>B128</f>
        <v>#REF!</v>
      </c>
      <c r="C131" s="229"/>
      <c r="D131" s="63"/>
    </row>
    <row r="132" spans="1:4" ht="15.75" thickBot="1">
      <c r="A132" s="383" t="s">
        <v>347</v>
      </c>
      <c r="B132" s="74"/>
      <c r="C132" s="74"/>
      <c r="D132" s="75" t="s">
        <v>158</v>
      </c>
    </row>
    <row r="136" spans="1:4" ht="15.75" thickBot="1"/>
    <row r="137" spans="1:4" ht="20.25">
      <c r="A137" s="927" t="s">
        <v>310</v>
      </c>
      <c r="B137" s="928"/>
      <c r="C137" s="928"/>
      <c r="D137" s="929"/>
    </row>
    <row r="138" spans="1:4">
      <c r="A138" s="930" t="s">
        <v>311</v>
      </c>
      <c r="B138" s="931"/>
      <c r="C138" s="931"/>
      <c r="D138" s="932"/>
    </row>
    <row r="139" spans="1:4" ht="18">
      <c r="A139" s="933" t="s">
        <v>312</v>
      </c>
      <c r="B139" s="934"/>
      <c r="C139" s="934"/>
      <c r="D139" s="935"/>
    </row>
    <row r="140" spans="1:4">
      <c r="A140" s="62" t="s">
        <v>149</v>
      </c>
      <c r="B140" s="47"/>
      <c r="C140" s="47"/>
      <c r="D140" s="63"/>
    </row>
    <row r="141" spans="1:4" ht="18">
      <c r="A141" s="376" t="str">
        <f>'PUNJAB 04-22Master'!F5</f>
        <v>Burgeon IT Services Pvt.Ltd.</v>
      </c>
      <c r="B141" s="349"/>
      <c r="C141" s="47"/>
      <c r="D141" s="63"/>
    </row>
    <row r="142" spans="1:4" ht="18">
      <c r="A142" s="376" t="str">
        <f>'PUNJAB 04-22Master'!F6</f>
        <v>Siri Mansion LIGB 436 Dr.A S Rao Nagar,Hyderabad</v>
      </c>
      <c r="B142" s="349"/>
      <c r="C142" s="47"/>
      <c r="D142" s="63"/>
    </row>
    <row r="143" spans="1:4" ht="18">
      <c r="A143" s="352"/>
      <c r="B143" s="353"/>
      <c r="C143" s="47"/>
      <c r="D143" s="63"/>
    </row>
    <row r="144" spans="1:4" ht="15.75">
      <c r="A144" s="351" t="s">
        <v>313</v>
      </c>
      <c r="B144" s="377"/>
      <c r="C144" s="378" t="e">
        <f>'PUNJAB 04-22Master'!#REF!</f>
        <v>#REF!</v>
      </c>
      <c r="D144" s="153"/>
    </row>
    <row r="145" spans="1:4">
      <c r="A145" s="924" t="s">
        <v>314</v>
      </c>
      <c r="B145" s="925"/>
      <c r="C145" s="925"/>
      <c r="D145" s="926"/>
    </row>
    <row r="146" spans="1:4">
      <c r="A146" s="62"/>
      <c r="B146" s="47"/>
      <c r="C146" s="47"/>
      <c r="D146" s="63"/>
    </row>
    <row r="147" spans="1:4">
      <c r="A147" s="924" t="s">
        <v>315</v>
      </c>
      <c r="B147" s="925"/>
      <c r="C147" s="925"/>
      <c r="D147" s="926"/>
    </row>
    <row r="148" spans="1:4">
      <c r="A148" s="354"/>
      <c r="B148" s="355"/>
      <c r="C148" s="355"/>
      <c r="D148" s="356"/>
    </row>
    <row r="149" spans="1:4">
      <c r="A149" s="918" t="s">
        <v>316</v>
      </c>
      <c r="B149" s="919"/>
      <c r="C149" s="919"/>
      <c r="D149" s="920"/>
    </row>
    <row r="150" spans="1:4">
      <c r="A150" s="62"/>
      <c r="B150" s="47"/>
      <c r="C150" s="47"/>
      <c r="D150" s="63"/>
    </row>
    <row r="151" spans="1:4">
      <c r="A151" s="918" t="s">
        <v>317</v>
      </c>
      <c r="B151" s="919"/>
      <c r="C151" s="919"/>
      <c r="D151" s="920"/>
    </row>
    <row r="152" spans="1:4">
      <c r="A152" s="918" t="s">
        <v>318</v>
      </c>
      <c r="B152" s="919"/>
      <c r="C152" s="919"/>
      <c r="D152" s="920"/>
    </row>
    <row r="153" spans="1:4">
      <c r="A153" s="350"/>
      <c r="B153" s="357"/>
      <c r="C153" s="357"/>
      <c r="D153" s="358"/>
    </row>
    <row r="154" spans="1:4">
      <c r="A154" s="924" t="s">
        <v>319</v>
      </c>
      <c r="B154" s="925"/>
      <c r="C154" s="925"/>
      <c r="D154" s="926"/>
    </row>
    <row r="155" spans="1:4">
      <c r="A155" s="350"/>
      <c r="B155" s="357"/>
      <c r="C155" s="357"/>
      <c r="D155" s="358"/>
    </row>
    <row r="156" spans="1:4">
      <c r="A156" s="918" t="s">
        <v>320</v>
      </c>
      <c r="B156" s="919"/>
      <c r="C156" s="919"/>
      <c r="D156" s="920"/>
    </row>
    <row r="157" spans="1:4">
      <c r="A157" s="62"/>
      <c r="B157" s="47"/>
      <c r="C157" s="47"/>
      <c r="D157" s="63"/>
    </row>
    <row r="158" spans="1:4">
      <c r="A158" s="915" t="s">
        <v>321</v>
      </c>
      <c r="B158" s="916"/>
      <c r="C158" s="916"/>
      <c r="D158" s="917"/>
    </row>
    <row r="159" spans="1:4" ht="42.75">
      <c r="A159" s="359" t="s">
        <v>322</v>
      </c>
      <c r="B159" s="360" t="s">
        <v>323</v>
      </c>
      <c r="C159" s="360" t="s">
        <v>324</v>
      </c>
      <c r="D159" s="361" t="s">
        <v>325</v>
      </c>
    </row>
    <row r="160" spans="1:4">
      <c r="A160" s="362">
        <v>1</v>
      </c>
      <c r="B160" s="366">
        <v>2</v>
      </c>
      <c r="C160" s="366">
        <v>3</v>
      </c>
      <c r="D160" s="367">
        <v>4</v>
      </c>
    </row>
    <row r="161" spans="1:4">
      <c r="A161" s="400" t="e">
        <f>'PUNJAB 04-22Master'!#REF!</f>
        <v>#REF!</v>
      </c>
      <c r="B161" s="30" t="s">
        <v>366</v>
      </c>
      <c r="C161" s="30" t="s">
        <v>373</v>
      </c>
      <c r="D161" s="398">
        <v>1</v>
      </c>
    </row>
    <row r="162" spans="1:4">
      <c r="A162" s="382"/>
      <c r="B162" s="30"/>
      <c r="C162" s="30"/>
      <c r="D162" s="365"/>
    </row>
    <row r="163" spans="1:4">
      <c r="A163" s="379"/>
      <c r="B163" s="30"/>
      <c r="C163" s="30"/>
      <c r="D163" s="365"/>
    </row>
    <row r="164" spans="1:4">
      <c r="A164" s="62"/>
      <c r="B164" s="47"/>
      <c r="C164" s="47"/>
      <c r="D164" s="63"/>
    </row>
    <row r="165" spans="1:4">
      <c r="A165" s="915" t="s">
        <v>326</v>
      </c>
      <c r="B165" s="916"/>
      <c r="C165" s="916"/>
      <c r="D165" s="917"/>
    </row>
    <row r="166" spans="1:4">
      <c r="A166" s="329"/>
      <c r="B166" s="330"/>
      <c r="C166" s="330"/>
      <c r="D166" s="331"/>
    </row>
    <row r="167" spans="1:4">
      <c r="A167" s="921" t="s">
        <v>327</v>
      </c>
      <c r="B167" s="922"/>
      <c r="C167" s="936" t="e">
        <f>'PUNJAB 04-22Master'!#REF!</f>
        <v>#REF!</v>
      </c>
      <c r="D167" s="923"/>
    </row>
    <row r="168" spans="1:4">
      <c r="A168" s="921" t="s">
        <v>328</v>
      </c>
      <c r="B168" s="922"/>
      <c r="C168" s="800" t="e">
        <f>'PUNJAB 04-22Master'!#REF!</f>
        <v>#REF!</v>
      </c>
      <c r="D168" s="923"/>
    </row>
    <row r="169" spans="1:4">
      <c r="A169" s="921" t="s">
        <v>329</v>
      </c>
      <c r="B169" s="922"/>
      <c r="C169" s="800" t="s">
        <v>375</v>
      </c>
      <c r="D169" s="923"/>
    </row>
    <row r="170" spans="1:4">
      <c r="A170" s="921" t="s">
        <v>330</v>
      </c>
      <c r="B170" s="922"/>
      <c r="C170" s="800" t="s">
        <v>372</v>
      </c>
      <c r="D170" s="923"/>
    </row>
    <row r="171" spans="1:4">
      <c r="A171" s="921" t="s">
        <v>331</v>
      </c>
      <c r="B171" s="922"/>
      <c r="C171" s="936" t="e">
        <f>'PUNJAB 04-22Master'!#REF!</f>
        <v>#REF!</v>
      </c>
      <c r="D171" s="923"/>
    </row>
    <row r="172" spans="1:4">
      <c r="A172" s="921" t="s">
        <v>332</v>
      </c>
      <c r="B172" s="922"/>
      <c r="C172" s="936" t="e">
        <f>'PUNJAB 04-22Master'!#REF!</f>
        <v>#REF!</v>
      </c>
      <c r="D172" s="923"/>
    </row>
    <row r="173" spans="1:4">
      <c r="A173" s="921" t="s">
        <v>333</v>
      </c>
      <c r="B173" s="922"/>
      <c r="C173" s="937" t="e">
        <f>'PUNJAB 04-22Master'!#REF!</f>
        <v>#REF!</v>
      </c>
      <c r="D173" s="923"/>
    </row>
    <row r="174" spans="1:4">
      <c r="A174" s="921" t="s">
        <v>334</v>
      </c>
      <c r="B174" s="922"/>
      <c r="C174" s="800"/>
      <c r="D174" s="923"/>
    </row>
    <row r="175" spans="1:4">
      <c r="A175" s="921"/>
      <c r="B175" s="922"/>
      <c r="C175" s="936" t="e">
        <f>'PUNJAB 04-22Master'!#REF!</f>
        <v>#REF!</v>
      </c>
      <c r="D175" s="923"/>
    </row>
    <row r="176" spans="1:4">
      <c r="A176" s="921"/>
      <c r="B176" s="922"/>
      <c r="C176" s="936" t="e">
        <f>'PUNJAB 04-22Master'!#REF!</f>
        <v>#REF!</v>
      </c>
      <c r="D176" s="923"/>
    </row>
    <row r="177" spans="1:4">
      <c r="A177" s="921"/>
      <c r="B177" s="922"/>
      <c r="C177" s="936" t="e">
        <f>'PUNJAB 04-22Master'!#REF!</f>
        <v>#REF!</v>
      </c>
      <c r="D177" s="923"/>
    </row>
    <row r="178" spans="1:4">
      <c r="A178" s="350" t="s">
        <v>276</v>
      </c>
      <c r="B178" s="357" t="s">
        <v>364</v>
      </c>
      <c r="C178" s="357"/>
      <c r="D178" s="358"/>
    </row>
    <row r="179" spans="1:4">
      <c r="A179" s="350" t="s">
        <v>335</v>
      </c>
      <c r="B179" s="399" t="e">
        <f>'PUNJAB 04-22Master'!#REF!</f>
        <v>#REF!</v>
      </c>
      <c r="C179" s="368" t="s">
        <v>336</v>
      </c>
      <c r="D179" s="358"/>
    </row>
    <row r="180" spans="1:4">
      <c r="A180" s="350"/>
      <c r="B180" s="357"/>
      <c r="C180" s="357"/>
      <c r="D180" s="358"/>
    </row>
    <row r="181" spans="1:4">
      <c r="A181" s="915" t="s">
        <v>337</v>
      </c>
      <c r="B181" s="916"/>
      <c r="C181" s="916"/>
      <c r="D181" s="917"/>
    </row>
    <row r="182" spans="1:4">
      <c r="A182" s="350" t="s">
        <v>338</v>
      </c>
      <c r="B182" s="357"/>
      <c r="C182" s="357"/>
      <c r="D182" s="358"/>
    </row>
    <row r="183" spans="1:4">
      <c r="A183" s="350"/>
      <c r="B183" s="357"/>
      <c r="C183" s="357"/>
      <c r="D183" s="358"/>
    </row>
    <row r="184" spans="1:4">
      <c r="A184" s="918" t="s">
        <v>339</v>
      </c>
      <c r="B184" s="919"/>
      <c r="C184" s="919" t="s">
        <v>340</v>
      </c>
      <c r="D184" s="920"/>
    </row>
    <row r="185" spans="1:4">
      <c r="A185" s="905">
        <v>1</v>
      </c>
      <c r="B185" s="906"/>
      <c r="C185" s="906">
        <v>1</v>
      </c>
      <c r="D185" s="907"/>
    </row>
    <row r="186" spans="1:4">
      <c r="A186" s="905">
        <v>2</v>
      </c>
      <c r="B186" s="906"/>
      <c r="C186" s="906">
        <v>2</v>
      </c>
      <c r="D186" s="907"/>
    </row>
    <row r="187" spans="1:4">
      <c r="A187" s="369"/>
      <c r="B187" s="47"/>
      <c r="C187" s="908" t="s">
        <v>345</v>
      </c>
      <c r="D187" s="909"/>
    </row>
    <row r="188" spans="1:4">
      <c r="A188" s="910" t="s">
        <v>341</v>
      </c>
      <c r="B188" s="911"/>
      <c r="C188" s="911"/>
      <c r="D188" s="912"/>
    </row>
    <row r="189" spans="1:4">
      <c r="A189" s="372" t="s">
        <v>342</v>
      </c>
      <c r="B189" s="373"/>
      <c r="C189" s="373"/>
      <c r="D189" s="374"/>
    </row>
    <row r="190" spans="1:4">
      <c r="A190" s="372"/>
      <c r="B190" s="373"/>
      <c r="C190" s="373"/>
      <c r="D190" s="374"/>
    </row>
    <row r="191" spans="1:4">
      <c r="A191" s="372"/>
      <c r="B191" s="373"/>
      <c r="C191" s="373" t="s">
        <v>343</v>
      </c>
      <c r="D191" s="374"/>
    </row>
    <row r="192" spans="1:4">
      <c r="A192" s="369"/>
      <c r="B192" s="370"/>
      <c r="C192" s="332" t="s">
        <v>160</v>
      </c>
      <c r="D192" s="371"/>
    </row>
    <row r="193" spans="1:4">
      <c r="A193" s="369"/>
      <c r="B193" s="47"/>
      <c r="C193" s="47" t="s">
        <v>344</v>
      </c>
      <c r="D193" s="375"/>
    </row>
    <row r="194" spans="1:4">
      <c r="A194" s="369"/>
      <c r="B194" s="47"/>
      <c r="C194" s="913" t="str">
        <f>'PUNJAB 04-22Master'!F5</f>
        <v>Burgeon IT Services Pvt.Ltd.</v>
      </c>
      <c r="D194" s="914"/>
    </row>
    <row r="195" spans="1:4">
      <c r="A195" s="350" t="s">
        <v>276</v>
      </c>
      <c r="B195" s="47" t="str">
        <f>B178</f>
        <v>Hyderabad</v>
      </c>
      <c r="C195" s="229" t="str">
        <f>'PUNJAB 04-22Master'!F6</f>
        <v>Siri Mansion LIGB 436 Dr.A S Rao Nagar,Hyderabad</v>
      </c>
      <c r="D195" s="63"/>
    </row>
    <row r="196" spans="1:4" ht="15.75" thickBot="1">
      <c r="A196" s="350" t="s">
        <v>335</v>
      </c>
      <c r="B196" s="389" t="e">
        <f>B179</f>
        <v>#REF!</v>
      </c>
      <c r="C196" s="229"/>
      <c r="D196" s="63"/>
    </row>
    <row r="197" spans="1:4" ht="15.75" thickBot="1">
      <c r="A197" s="380"/>
      <c r="B197" s="381" t="s">
        <v>348</v>
      </c>
      <c r="C197" s="381"/>
      <c r="D197" s="79"/>
    </row>
    <row r="198" spans="1:4">
      <c r="A198" s="350" t="s">
        <v>346</v>
      </c>
      <c r="B198" s="47"/>
      <c r="C198" s="229"/>
      <c r="D198" s="63"/>
    </row>
    <row r="199" spans="1:4">
      <c r="A199" s="350" t="s">
        <v>335</v>
      </c>
      <c r="B199" s="389" t="e">
        <f>B196</f>
        <v>#REF!</v>
      </c>
      <c r="C199" s="229"/>
      <c r="D199" s="63"/>
    </row>
    <row r="200" spans="1:4" ht="15.75" thickBot="1">
      <c r="A200" s="383" t="s">
        <v>347</v>
      </c>
      <c r="B200" s="74"/>
      <c r="C200" s="74"/>
      <c r="D200" s="75" t="s">
        <v>158</v>
      </c>
    </row>
    <row r="204" spans="1:4" ht="15.75" thickBot="1"/>
    <row r="205" spans="1:4" ht="20.25">
      <c r="A205" s="927" t="s">
        <v>310</v>
      </c>
      <c r="B205" s="928"/>
      <c r="C205" s="928"/>
      <c r="D205" s="929"/>
    </row>
    <row r="206" spans="1:4">
      <c r="A206" s="930" t="s">
        <v>311</v>
      </c>
      <c r="B206" s="931"/>
      <c r="C206" s="931"/>
      <c r="D206" s="932"/>
    </row>
    <row r="207" spans="1:4" ht="18">
      <c r="A207" s="933" t="s">
        <v>312</v>
      </c>
      <c r="B207" s="934"/>
      <c r="C207" s="934"/>
      <c r="D207" s="935"/>
    </row>
    <row r="208" spans="1:4">
      <c r="A208" s="62" t="s">
        <v>149</v>
      </c>
      <c r="B208" s="47"/>
      <c r="C208" s="47"/>
      <c r="D208" s="63"/>
    </row>
    <row r="209" spans="1:4" ht="18">
      <c r="A209" s="376" t="str">
        <f>'PUNJAB 04-22Master'!F5</f>
        <v>Burgeon IT Services Pvt.Ltd.</v>
      </c>
      <c r="B209" s="349"/>
      <c r="C209" s="47"/>
      <c r="D209" s="63"/>
    </row>
    <row r="210" spans="1:4" ht="18">
      <c r="A210" s="376" t="str">
        <f>'PUNJAB 04-22Master'!F6</f>
        <v>Siri Mansion LIGB 436 Dr.A S Rao Nagar,Hyderabad</v>
      </c>
      <c r="B210" s="349"/>
      <c r="C210" s="47"/>
      <c r="D210" s="63"/>
    </row>
    <row r="211" spans="1:4" ht="18">
      <c r="A211" s="352"/>
      <c r="B211" s="353"/>
      <c r="C211" s="47"/>
      <c r="D211" s="63"/>
    </row>
    <row r="212" spans="1:4" ht="15.75">
      <c r="A212" s="351" t="s">
        <v>313</v>
      </c>
      <c r="B212" s="377"/>
      <c r="C212" s="378" t="e">
        <f>'PUNJAB 04-22Master'!#REF!</f>
        <v>#REF!</v>
      </c>
      <c r="D212" s="153"/>
    </row>
    <row r="213" spans="1:4">
      <c r="A213" s="924" t="s">
        <v>314</v>
      </c>
      <c r="B213" s="925"/>
      <c r="C213" s="925"/>
      <c r="D213" s="926"/>
    </row>
    <row r="214" spans="1:4">
      <c r="A214" s="62"/>
      <c r="B214" s="47"/>
      <c r="C214" s="47"/>
      <c r="D214" s="63"/>
    </row>
    <row r="215" spans="1:4">
      <c r="A215" s="924" t="s">
        <v>315</v>
      </c>
      <c r="B215" s="925"/>
      <c r="C215" s="925"/>
      <c r="D215" s="926"/>
    </row>
    <row r="216" spans="1:4">
      <c r="A216" s="354"/>
      <c r="B216" s="355"/>
      <c r="C216" s="355"/>
      <c r="D216" s="356"/>
    </row>
    <row r="217" spans="1:4">
      <c r="A217" s="918" t="s">
        <v>316</v>
      </c>
      <c r="B217" s="919"/>
      <c r="C217" s="919"/>
      <c r="D217" s="920"/>
    </row>
    <row r="218" spans="1:4">
      <c r="A218" s="62"/>
      <c r="B218" s="47"/>
      <c r="C218" s="47"/>
      <c r="D218" s="63"/>
    </row>
    <row r="219" spans="1:4">
      <c r="A219" s="918" t="s">
        <v>317</v>
      </c>
      <c r="B219" s="919"/>
      <c r="C219" s="919"/>
      <c r="D219" s="920"/>
    </row>
    <row r="220" spans="1:4">
      <c r="A220" s="918" t="s">
        <v>318</v>
      </c>
      <c r="B220" s="919"/>
      <c r="C220" s="919"/>
      <c r="D220" s="920"/>
    </row>
    <row r="221" spans="1:4">
      <c r="A221" s="350"/>
      <c r="B221" s="357"/>
      <c r="C221" s="357"/>
      <c r="D221" s="358"/>
    </row>
    <row r="222" spans="1:4">
      <c r="A222" s="924" t="s">
        <v>319</v>
      </c>
      <c r="B222" s="925"/>
      <c r="C222" s="925"/>
      <c r="D222" s="926"/>
    </row>
    <row r="223" spans="1:4">
      <c r="A223" s="350"/>
      <c r="B223" s="357"/>
      <c r="C223" s="357"/>
      <c r="D223" s="358"/>
    </row>
    <row r="224" spans="1:4">
      <c r="A224" s="918" t="s">
        <v>320</v>
      </c>
      <c r="B224" s="919"/>
      <c r="C224" s="919"/>
      <c r="D224" s="920"/>
    </row>
    <row r="225" spans="1:4">
      <c r="A225" s="62"/>
      <c r="B225" s="47"/>
      <c r="C225" s="47"/>
      <c r="D225" s="63"/>
    </row>
    <row r="226" spans="1:4">
      <c r="A226" s="915" t="s">
        <v>321</v>
      </c>
      <c r="B226" s="916"/>
      <c r="C226" s="916"/>
      <c r="D226" s="917"/>
    </row>
    <row r="227" spans="1:4" ht="42.75">
      <c r="A227" s="359" t="s">
        <v>322</v>
      </c>
      <c r="B227" s="360" t="s">
        <v>323</v>
      </c>
      <c r="C227" s="360" t="s">
        <v>324</v>
      </c>
      <c r="D227" s="361" t="s">
        <v>325</v>
      </c>
    </row>
    <row r="228" spans="1:4">
      <c r="A228" s="362">
        <v>1</v>
      </c>
      <c r="B228" s="366">
        <v>2</v>
      </c>
      <c r="C228" s="366">
        <v>3</v>
      </c>
      <c r="D228" s="367">
        <v>4</v>
      </c>
    </row>
    <row r="229" spans="1:4">
      <c r="A229" s="62" t="e">
        <f>'PUNJAB 04-22Master'!#REF!</f>
        <v>#REF!</v>
      </c>
      <c r="B229" s="30" t="s">
        <v>366</v>
      </c>
      <c r="C229" s="30" t="s">
        <v>373</v>
      </c>
      <c r="D229" s="398">
        <v>1</v>
      </c>
    </row>
    <row r="230" spans="1:4">
      <c r="A230" s="382"/>
      <c r="B230" s="30"/>
      <c r="C230" s="30"/>
      <c r="D230" s="365"/>
    </row>
    <row r="231" spans="1:4">
      <c r="A231" s="379"/>
      <c r="B231" s="30"/>
      <c r="C231" s="30"/>
      <c r="D231" s="365"/>
    </row>
    <row r="232" spans="1:4">
      <c r="A232" s="62"/>
      <c r="B232" s="47"/>
      <c r="C232" s="47"/>
      <c r="D232" s="63"/>
    </row>
    <row r="233" spans="1:4">
      <c r="A233" s="915" t="s">
        <v>326</v>
      </c>
      <c r="B233" s="916"/>
      <c r="C233" s="916"/>
      <c r="D233" s="917"/>
    </row>
    <row r="234" spans="1:4">
      <c r="A234" s="329"/>
      <c r="B234" s="330"/>
      <c r="C234" s="330"/>
      <c r="D234" s="331"/>
    </row>
    <row r="235" spans="1:4">
      <c r="A235" s="921" t="s">
        <v>327</v>
      </c>
      <c r="B235" s="922"/>
      <c r="C235" s="936" t="e">
        <f>'PUNJAB 04-22Master'!#REF!</f>
        <v>#REF!</v>
      </c>
      <c r="D235" s="923"/>
    </row>
    <row r="236" spans="1:4">
      <c r="A236" s="921" t="s">
        <v>328</v>
      </c>
      <c r="B236" s="922"/>
      <c r="C236" s="800" t="e">
        <f>'PUNJAB 04-22Master'!#REF!</f>
        <v>#REF!</v>
      </c>
      <c r="D236" s="923"/>
    </row>
    <row r="237" spans="1:4">
      <c r="A237" s="921" t="s">
        <v>329</v>
      </c>
      <c r="B237" s="922"/>
      <c r="C237" s="800" t="s">
        <v>374</v>
      </c>
      <c r="D237" s="923"/>
    </row>
    <row r="238" spans="1:4">
      <c r="A238" s="921" t="s">
        <v>330</v>
      </c>
      <c r="B238" s="922"/>
      <c r="C238" s="800" t="s">
        <v>372</v>
      </c>
      <c r="D238" s="923"/>
    </row>
    <row r="239" spans="1:4">
      <c r="A239" s="921" t="s">
        <v>331</v>
      </c>
      <c r="B239" s="922"/>
      <c r="C239" s="936" t="e">
        <f>'PUNJAB 04-22Master'!#REF!</f>
        <v>#REF!</v>
      </c>
      <c r="D239" s="923"/>
    </row>
    <row r="240" spans="1:4">
      <c r="A240" s="921" t="s">
        <v>332</v>
      </c>
      <c r="B240" s="922"/>
      <c r="C240" s="936" t="e">
        <f>'PUNJAB 04-22Master'!#REF!</f>
        <v>#REF!</v>
      </c>
      <c r="D240" s="923"/>
    </row>
    <row r="241" spans="1:4">
      <c r="A241" s="921" t="s">
        <v>333</v>
      </c>
      <c r="B241" s="922"/>
      <c r="C241" s="937" t="e">
        <f>'PUNJAB 04-22Master'!#REF!</f>
        <v>#REF!</v>
      </c>
      <c r="D241" s="923"/>
    </row>
    <row r="242" spans="1:4">
      <c r="A242" s="921" t="s">
        <v>334</v>
      </c>
      <c r="B242" s="922"/>
      <c r="C242" s="800"/>
      <c r="D242" s="923"/>
    </row>
    <row r="243" spans="1:4">
      <c r="A243" s="921"/>
      <c r="B243" s="922"/>
      <c r="C243" s="936" t="e">
        <f>'PUNJAB 04-22Master'!#REF!</f>
        <v>#REF!</v>
      </c>
      <c r="D243" s="923"/>
    </row>
    <row r="244" spans="1:4">
      <c r="A244" s="921"/>
      <c r="B244" s="922"/>
      <c r="C244" s="936" t="e">
        <f>'PUNJAB 04-22Master'!#REF!</f>
        <v>#REF!</v>
      </c>
      <c r="D244" s="923"/>
    </row>
    <row r="245" spans="1:4">
      <c r="A245" s="921"/>
      <c r="B245" s="922"/>
      <c r="C245" s="936" t="e">
        <f>'PUNJAB 04-22Master'!#REF!</f>
        <v>#REF!</v>
      </c>
      <c r="D245" s="923"/>
    </row>
    <row r="246" spans="1:4">
      <c r="A246" s="350" t="s">
        <v>276</v>
      </c>
      <c r="B246" s="357" t="s">
        <v>364</v>
      </c>
      <c r="C246" s="357"/>
      <c r="D246" s="358"/>
    </row>
    <row r="247" spans="1:4">
      <c r="A247" s="350" t="s">
        <v>335</v>
      </c>
      <c r="B247" s="399" t="e">
        <f>'PUNJAB 04-22Master'!#REF!</f>
        <v>#REF!</v>
      </c>
      <c r="C247" s="368" t="s">
        <v>336</v>
      </c>
      <c r="D247" s="358"/>
    </row>
    <row r="248" spans="1:4">
      <c r="A248" s="350"/>
      <c r="B248" s="357"/>
      <c r="C248" s="357"/>
      <c r="D248" s="358"/>
    </row>
    <row r="249" spans="1:4">
      <c r="A249" s="915" t="s">
        <v>337</v>
      </c>
      <c r="B249" s="916"/>
      <c r="C249" s="916"/>
      <c r="D249" s="917"/>
    </row>
    <row r="250" spans="1:4">
      <c r="A250" s="350" t="s">
        <v>338</v>
      </c>
      <c r="B250" s="357"/>
      <c r="C250" s="357"/>
      <c r="D250" s="358"/>
    </row>
    <row r="251" spans="1:4">
      <c r="A251" s="350"/>
      <c r="B251" s="357"/>
      <c r="C251" s="357"/>
      <c r="D251" s="358"/>
    </row>
    <row r="252" spans="1:4">
      <c r="A252" s="918" t="s">
        <v>339</v>
      </c>
      <c r="B252" s="919"/>
      <c r="C252" s="919" t="s">
        <v>340</v>
      </c>
      <c r="D252" s="920"/>
    </row>
    <row r="253" spans="1:4">
      <c r="A253" s="905">
        <v>1</v>
      </c>
      <c r="B253" s="906"/>
      <c r="C253" s="906">
        <v>1</v>
      </c>
      <c r="D253" s="907"/>
    </row>
    <row r="254" spans="1:4">
      <c r="A254" s="905">
        <v>2</v>
      </c>
      <c r="B254" s="906"/>
      <c r="C254" s="906">
        <v>2</v>
      </c>
      <c r="D254" s="907"/>
    </row>
    <row r="255" spans="1:4">
      <c r="A255" s="369"/>
      <c r="B255" s="47"/>
      <c r="C255" s="908" t="s">
        <v>345</v>
      </c>
      <c r="D255" s="909"/>
    </row>
    <row r="256" spans="1:4">
      <c r="A256" s="910" t="s">
        <v>341</v>
      </c>
      <c r="B256" s="911"/>
      <c r="C256" s="911"/>
      <c r="D256" s="912"/>
    </row>
    <row r="257" spans="1:4">
      <c r="A257" s="372" t="s">
        <v>342</v>
      </c>
      <c r="B257" s="373"/>
      <c r="C257" s="373"/>
      <c r="D257" s="374"/>
    </row>
    <row r="258" spans="1:4">
      <c r="A258" s="372"/>
      <c r="B258" s="373"/>
      <c r="C258" s="373"/>
      <c r="D258" s="374"/>
    </row>
    <row r="259" spans="1:4">
      <c r="A259" s="372"/>
      <c r="B259" s="373"/>
      <c r="C259" s="373" t="s">
        <v>343</v>
      </c>
      <c r="D259" s="374"/>
    </row>
    <row r="260" spans="1:4">
      <c r="A260" s="369"/>
      <c r="B260" s="370"/>
      <c r="C260" s="332" t="s">
        <v>160</v>
      </c>
      <c r="D260" s="371"/>
    </row>
    <row r="261" spans="1:4">
      <c r="A261" s="369"/>
      <c r="B261" s="47"/>
      <c r="C261" s="47" t="s">
        <v>344</v>
      </c>
      <c r="D261" s="375"/>
    </row>
    <row r="262" spans="1:4">
      <c r="A262" s="369"/>
      <c r="B262" s="47"/>
      <c r="C262" s="913" t="str">
        <f>'PUNJAB 04-22Master'!F5</f>
        <v>Burgeon IT Services Pvt.Ltd.</v>
      </c>
      <c r="D262" s="914"/>
    </row>
    <row r="263" spans="1:4">
      <c r="A263" s="350" t="s">
        <v>276</v>
      </c>
      <c r="B263" s="47" t="str">
        <f>B246</f>
        <v>Hyderabad</v>
      </c>
      <c r="C263" s="229" t="str">
        <f>'PUNJAB 04-22Master'!F6</f>
        <v>Siri Mansion LIGB 436 Dr.A S Rao Nagar,Hyderabad</v>
      </c>
      <c r="D263" s="63"/>
    </row>
    <row r="264" spans="1:4" ht="15.75" thickBot="1">
      <c r="A264" s="350" t="s">
        <v>335</v>
      </c>
      <c r="B264" s="389" t="e">
        <f>B247</f>
        <v>#REF!</v>
      </c>
      <c r="C264" s="229"/>
      <c r="D264" s="63"/>
    </row>
    <row r="265" spans="1:4" ht="15.75" thickBot="1">
      <c r="A265" s="380"/>
      <c r="B265" s="381" t="s">
        <v>348</v>
      </c>
      <c r="C265" s="381"/>
      <c r="D265" s="79"/>
    </row>
    <row r="266" spans="1:4">
      <c r="A266" s="350" t="s">
        <v>346</v>
      </c>
      <c r="B266" s="47"/>
      <c r="C266" s="229"/>
      <c r="D266" s="63"/>
    </row>
    <row r="267" spans="1:4">
      <c r="A267" s="350" t="s">
        <v>335</v>
      </c>
      <c r="B267" s="389" t="e">
        <f>B264</f>
        <v>#REF!</v>
      </c>
      <c r="C267" s="229"/>
      <c r="D267" s="63"/>
    </row>
    <row r="268" spans="1:4" ht="15.75" thickBot="1">
      <c r="A268" s="383" t="s">
        <v>347</v>
      </c>
      <c r="B268" s="74"/>
      <c r="C268" s="74"/>
      <c r="D268" s="75" t="s">
        <v>158</v>
      </c>
    </row>
    <row r="272" spans="1:4" ht="15.75" thickBot="1"/>
    <row r="273" spans="1:4" ht="20.25">
      <c r="A273" s="927" t="s">
        <v>310</v>
      </c>
      <c r="B273" s="928"/>
      <c r="C273" s="928"/>
      <c r="D273" s="929"/>
    </row>
    <row r="274" spans="1:4">
      <c r="A274" s="930" t="s">
        <v>311</v>
      </c>
      <c r="B274" s="931"/>
      <c r="C274" s="931"/>
      <c r="D274" s="932"/>
    </row>
    <row r="275" spans="1:4" ht="18">
      <c r="A275" s="933" t="s">
        <v>312</v>
      </c>
      <c r="B275" s="934"/>
      <c r="C275" s="934"/>
      <c r="D275" s="935"/>
    </row>
    <row r="276" spans="1:4">
      <c r="A276" s="62" t="s">
        <v>149</v>
      </c>
      <c r="B276" s="47"/>
      <c r="C276" s="47"/>
      <c r="D276" s="63"/>
    </row>
    <row r="277" spans="1:4" ht="18">
      <c r="A277" s="376" t="str">
        <f>'PUNJAB 04-22Master'!F5</f>
        <v>Burgeon IT Services Pvt.Ltd.</v>
      </c>
      <c r="B277" s="349"/>
      <c r="C277" s="47"/>
      <c r="D277" s="63"/>
    </row>
    <row r="278" spans="1:4" ht="18">
      <c r="A278" s="376" t="str">
        <f>'PUNJAB 04-22Master'!F6</f>
        <v>Siri Mansion LIGB 436 Dr.A S Rao Nagar,Hyderabad</v>
      </c>
      <c r="B278" s="349"/>
      <c r="C278" s="47"/>
      <c r="D278" s="63"/>
    </row>
    <row r="279" spans="1:4" ht="18">
      <c r="A279" s="352"/>
      <c r="B279" s="353"/>
      <c r="C279" s="47"/>
      <c r="D279" s="63"/>
    </row>
    <row r="280" spans="1:4" ht="15.75">
      <c r="A280" s="351" t="s">
        <v>313</v>
      </c>
      <c r="B280" s="377"/>
      <c r="C280" s="378" t="e">
        <f>'PUNJAB 04-22Master'!#REF!</f>
        <v>#REF!</v>
      </c>
      <c r="D280" s="153"/>
    </row>
    <row r="281" spans="1:4">
      <c r="A281" s="924" t="s">
        <v>314</v>
      </c>
      <c r="B281" s="925"/>
      <c r="C281" s="925"/>
      <c r="D281" s="926"/>
    </row>
    <row r="282" spans="1:4">
      <c r="A282" s="62"/>
      <c r="B282" s="47"/>
      <c r="C282" s="47"/>
      <c r="D282" s="63"/>
    </row>
    <row r="283" spans="1:4">
      <c r="A283" s="924" t="s">
        <v>315</v>
      </c>
      <c r="B283" s="925"/>
      <c r="C283" s="925"/>
      <c r="D283" s="926"/>
    </row>
    <row r="284" spans="1:4">
      <c r="A284" s="354"/>
      <c r="B284" s="355"/>
      <c r="C284" s="355"/>
      <c r="D284" s="356"/>
    </row>
    <row r="285" spans="1:4">
      <c r="A285" s="918" t="s">
        <v>316</v>
      </c>
      <c r="B285" s="919"/>
      <c r="C285" s="919"/>
      <c r="D285" s="920"/>
    </row>
    <row r="286" spans="1:4">
      <c r="A286" s="62"/>
      <c r="B286" s="47"/>
      <c r="C286" s="47"/>
      <c r="D286" s="63"/>
    </row>
    <row r="287" spans="1:4">
      <c r="A287" s="918" t="s">
        <v>317</v>
      </c>
      <c r="B287" s="919"/>
      <c r="C287" s="919"/>
      <c r="D287" s="920"/>
    </row>
    <row r="288" spans="1:4">
      <c r="A288" s="918" t="s">
        <v>318</v>
      </c>
      <c r="B288" s="919"/>
      <c r="C288" s="919"/>
      <c r="D288" s="920"/>
    </row>
    <row r="289" spans="1:4">
      <c r="A289" s="350"/>
      <c r="B289" s="357"/>
      <c r="C289" s="357"/>
      <c r="D289" s="358"/>
    </row>
    <row r="290" spans="1:4">
      <c r="A290" s="924" t="s">
        <v>319</v>
      </c>
      <c r="B290" s="925"/>
      <c r="C290" s="925"/>
      <c r="D290" s="926"/>
    </row>
    <row r="291" spans="1:4">
      <c r="A291" s="350"/>
      <c r="B291" s="357"/>
      <c r="C291" s="357"/>
      <c r="D291" s="358"/>
    </row>
    <row r="292" spans="1:4">
      <c r="A292" s="918" t="s">
        <v>320</v>
      </c>
      <c r="B292" s="919"/>
      <c r="C292" s="919"/>
      <c r="D292" s="920"/>
    </row>
    <row r="293" spans="1:4">
      <c r="A293" s="62"/>
      <c r="B293" s="47"/>
      <c r="C293" s="47"/>
      <c r="D293" s="63"/>
    </row>
    <row r="294" spans="1:4">
      <c r="A294" s="915" t="s">
        <v>321</v>
      </c>
      <c r="B294" s="916"/>
      <c r="C294" s="916"/>
      <c r="D294" s="917"/>
    </row>
    <row r="295" spans="1:4" ht="42.75">
      <c r="A295" s="359" t="s">
        <v>322</v>
      </c>
      <c r="B295" s="360" t="s">
        <v>323</v>
      </c>
      <c r="C295" s="360" t="s">
        <v>324</v>
      </c>
      <c r="D295" s="361" t="s">
        <v>325</v>
      </c>
    </row>
    <row r="296" spans="1:4">
      <c r="A296" s="362">
        <v>1</v>
      </c>
      <c r="B296" s="366">
        <v>2</v>
      </c>
      <c r="C296" s="366">
        <v>3</v>
      </c>
      <c r="D296" s="367">
        <v>4</v>
      </c>
    </row>
    <row r="297" spans="1:4">
      <c r="A297" s="62" t="e">
        <f>'PUNJAB 04-22Master'!#REF!</f>
        <v>#REF!</v>
      </c>
      <c r="B297" s="30" t="s">
        <v>366</v>
      </c>
      <c r="C297" s="30" t="s">
        <v>373</v>
      </c>
      <c r="D297" s="398">
        <v>1</v>
      </c>
    </row>
    <row r="298" spans="1:4">
      <c r="A298" s="382"/>
      <c r="B298" s="30"/>
      <c r="C298" s="30"/>
      <c r="D298" s="365"/>
    </row>
    <row r="299" spans="1:4">
      <c r="A299" s="379"/>
      <c r="B299" s="30"/>
      <c r="C299" s="30"/>
      <c r="D299" s="365"/>
    </row>
    <row r="300" spans="1:4">
      <c r="A300" s="62"/>
      <c r="B300" s="47"/>
      <c r="C300" s="47"/>
      <c r="D300" s="63"/>
    </row>
    <row r="301" spans="1:4">
      <c r="A301" s="915" t="s">
        <v>326</v>
      </c>
      <c r="B301" s="916"/>
      <c r="C301" s="916"/>
      <c r="D301" s="917"/>
    </row>
    <row r="302" spans="1:4">
      <c r="A302" s="329"/>
      <c r="B302" s="330"/>
      <c r="C302" s="330"/>
      <c r="D302" s="331"/>
    </row>
    <row r="303" spans="1:4">
      <c r="A303" s="921" t="s">
        <v>327</v>
      </c>
      <c r="B303" s="922"/>
      <c r="C303" s="936" t="e">
        <f>'PUNJAB 04-22Master'!#REF!</f>
        <v>#REF!</v>
      </c>
      <c r="D303" s="923"/>
    </row>
    <row r="304" spans="1:4">
      <c r="A304" s="921" t="s">
        <v>328</v>
      </c>
      <c r="B304" s="922"/>
      <c r="C304" s="800" t="e">
        <f>'PUNJAB 04-22Master'!#REF!</f>
        <v>#REF!</v>
      </c>
      <c r="D304" s="923"/>
    </row>
    <row r="305" spans="1:4">
      <c r="A305" s="921" t="s">
        <v>329</v>
      </c>
      <c r="B305" s="922"/>
      <c r="C305" s="800" t="s">
        <v>374</v>
      </c>
      <c r="D305" s="923"/>
    </row>
    <row r="306" spans="1:4">
      <c r="A306" s="921" t="s">
        <v>330</v>
      </c>
      <c r="B306" s="922"/>
      <c r="C306" s="800" t="s">
        <v>372</v>
      </c>
      <c r="D306" s="923"/>
    </row>
    <row r="307" spans="1:4">
      <c r="A307" s="921" t="s">
        <v>331</v>
      </c>
      <c r="B307" s="922"/>
      <c r="C307" s="936" t="e">
        <f>'PUNJAB 04-22Master'!#REF!</f>
        <v>#REF!</v>
      </c>
      <c r="D307" s="923"/>
    </row>
    <row r="308" spans="1:4">
      <c r="A308" s="921" t="s">
        <v>332</v>
      </c>
      <c r="B308" s="922"/>
      <c r="C308" s="936" t="e">
        <f>'PUNJAB 04-22Master'!#REF!</f>
        <v>#REF!</v>
      </c>
      <c r="D308" s="923"/>
    </row>
    <row r="309" spans="1:4">
      <c r="A309" s="921" t="s">
        <v>333</v>
      </c>
      <c r="B309" s="922"/>
      <c r="C309" s="937" t="e">
        <f>'PUNJAB 04-22Master'!#REF!</f>
        <v>#REF!</v>
      </c>
      <c r="D309" s="923"/>
    </row>
    <row r="310" spans="1:4">
      <c r="A310" s="921" t="s">
        <v>334</v>
      </c>
      <c r="B310" s="922"/>
      <c r="C310" s="800"/>
      <c r="D310" s="923"/>
    </row>
    <row r="311" spans="1:4">
      <c r="A311" s="921"/>
      <c r="B311" s="922"/>
      <c r="C311" s="936" t="e">
        <f>'PUNJAB 04-22Master'!#REF!</f>
        <v>#REF!</v>
      </c>
      <c r="D311" s="923"/>
    </row>
    <row r="312" spans="1:4">
      <c r="A312" s="921"/>
      <c r="B312" s="922"/>
      <c r="C312" s="936" t="e">
        <f>'PUNJAB 04-22Master'!#REF!</f>
        <v>#REF!</v>
      </c>
      <c r="D312" s="923"/>
    </row>
    <row r="313" spans="1:4">
      <c r="A313" s="921"/>
      <c r="B313" s="922"/>
      <c r="C313" s="936" t="e">
        <f>'PUNJAB 04-22Master'!#REF!</f>
        <v>#REF!</v>
      </c>
      <c r="D313" s="923"/>
    </row>
    <row r="314" spans="1:4">
      <c r="A314" s="350" t="s">
        <v>276</v>
      </c>
      <c r="B314" s="357" t="s">
        <v>364</v>
      </c>
      <c r="C314" s="357"/>
      <c r="D314" s="358"/>
    </row>
    <row r="315" spans="1:4">
      <c r="A315" s="350" t="s">
        <v>335</v>
      </c>
      <c r="B315" s="399" t="e">
        <f>'PUNJAB 04-22Master'!#REF!</f>
        <v>#REF!</v>
      </c>
      <c r="C315" s="368" t="s">
        <v>336</v>
      </c>
      <c r="D315" s="358"/>
    </row>
    <row r="316" spans="1:4">
      <c r="A316" s="350"/>
      <c r="B316" s="357"/>
      <c r="C316" s="357"/>
      <c r="D316" s="358"/>
    </row>
    <row r="317" spans="1:4">
      <c r="A317" s="915" t="s">
        <v>337</v>
      </c>
      <c r="B317" s="916"/>
      <c r="C317" s="916"/>
      <c r="D317" s="917"/>
    </row>
    <row r="318" spans="1:4">
      <c r="A318" s="350" t="s">
        <v>338</v>
      </c>
      <c r="B318" s="357"/>
      <c r="C318" s="357"/>
      <c r="D318" s="358"/>
    </row>
    <row r="319" spans="1:4">
      <c r="A319" s="350"/>
      <c r="B319" s="357"/>
      <c r="C319" s="357"/>
      <c r="D319" s="358"/>
    </row>
    <row r="320" spans="1:4">
      <c r="A320" s="918" t="s">
        <v>339</v>
      </c>
      <c r="B320" s="919"/>
      <c r="C320" s="919" t="s">
        <v>340</v>
      </c>
      <c r="D320" s="920"/>
    </row>
    <row r="321" spans="1:4">
      <c r="A321" s="905">
        <v>1</v>
      </c>
      <c r="B321" s="906"/>
      <c r="C321" s="906">
        <v>1</v>
      </c>
      <c r="D321" s="907"/>
    </row>
    <row r="322" spans="1:4">
      <c r="A322" s="905">
        <v>2</v>
      </c>
      <c r="B322" s="906"/>
      <c r="C322" s="906">
        <v>2</v>
      </c>
      <c r="D322" s="907"/>
    </row>
    <row r="323" spans="1:4">
      <c r="A323" s="369"/>
      <c r="B323" s="47"/>
      <c r="C323" s="908" t="s">
        <v>345</v>
      </c>
      <c r="D323" s="909"/>
    </row>
    <row r="324" spans="1:4">
      <c r="A324" s="910" t="s">
        <v>341</v>
      </c>
      <c r="B324" s="911"/>
      <c r="C324" s="911"/>
      <c r="D324" s="912"/>
    </row>
    <row r="325" spans="1:4">
      <c r="A325" s="372" t="s">
        <v>342</v>
      </c>
      <c r="B325" s="373"/>
      <c r="C325" s="373"/>
      <c r="D325" s="374"/>
    </row>
    <row r="326" spans="1:4">
      <c r="A326" s="372"/>
      <c r="B326" s="373"/>
      <c r="C326" s="373"/>
      <c r="D326" s="374"/>
    </row>
    <row r="327" spans="1:4">
      <c r="A327" s="372"/>
      <c r="B327" s="373"/>
      <c r="C327" s="373" t="s">
        <v>343</v>
      </c>
      <c r="D327" s="374"/>
    </row>
    <row r="328" spans="1:4">
      <c r="A328" s="369"/>
      <c r="B328" s="370"/>
      <c r="C328" s="332" t="s">
        <v>160</v>
      </c>
      <c r="D328" s="371"/>
    </row>
    <row r="329" spans="1:4">
      <c r="A329" s="369"/>
      <c r="B329" s="47"/>
      <c r="C329" s="47" t="s">
        <v>344</v>
      </c>
      <c r="D329" s="375"/>
    </row>
    <row r="330" spans="1:4">
      <c r="A330" s="369"/>
      <c r="B330" s="47"/>
      <c r="C330" s="913" t="str">
        <f>'PUNJAB 04-22Master'!F5</f>
        <v>Burgeon IT Services Pvt.Ltd.</v>
      </c>
      <c r="D330" s="914"/>
    </row>
    <row r="331" spans="1:4">
      <c r="A331" s="350" t="s">
        <v>276</v>
      </c>
      <c r="B331" s="47" t="str">
        <f>B314</f>
        <v>Hyderabad</v>
      </c>
      <c r="C331" s="229" t="str">
        <f>'PUNJAB 04-22Master'!F6</f>
        <v>Siri Mansion LIGB 436 Dr.A S Rao Nagar,Hyderabad</v>
      </c>
      <c r="D331" s="63"/>
    </row>
    <row r="332" spans="1:4" ht="15.75" thickBot="1">
      <c r="A332" s="350" t="s">
        <v>335</v>
      </c>
      <c r="B332" s="389" t="e">
        <f>B315</f>
        <v>#REF!</v>
      </c>
      <c r="C332" s="229"/>
      <c r="D332" s="63"/>
    </row>
    <row r="333" spans="1:4" ht="15.75" thickBot="1">
      <c r="A333" s="380"/>
      <c r="B333" s="381" t="s">
        <v>348</v>
      </c>
      <c r="C333" s="381"/>
      <c r="D333" s="79"/>
    </row>
    <row r="334" spans="1:4">
      <c r="A334" s="350" t="s">
        <v>346</v>
      </c>
      <c r="B334" s="47"/>
      <c r="C334" s="229"/>
      <c r="D334" s="63"/>
    </row>
    <row r="335" spans="1:4">
      <c r="A335" s="350" t="s">
        <v>335</v>
      </c>
      <c r="B335" s="389" t="e">
        <f>B332</f>
        <v>#REF!</v>
      </c>
      <c r="C335" s="229"/>
      <c r="D335" s="63"/>
    </row>
    <row r="336" spans="1:4" ht="15.75" thickBot="1">
      <c r="A336" s="383" t="s">
        <v>347</v>
      </c>
      <c r="B336" s="74"/>
      <c r="C336" s="74"/>
      <c r="D336" s="75" t="s">
        <v>158</v>
      </c>
    </row>
    <row r="340" spans="1:4" ht="15.75" thickBot="1"/>
    <row r="341" spans="1:4" ht="20.25">
      <c r="A341" s="927" t="s">
        <v>310</v>
      </c>
      <c r="B341" s="928"/>
      <c r="C341" s="928"/>
      <c r="D341" s="929"/>
    </row>
    <row r="342" spans="1:4">
      <c r="A342" s="930" t="s">
        <v>311</v>
      </c>
      <c r="B342" s="931"/>
      <c r="C342" s="931"/>
      <c r="D342" s="932"/>
    </row>
    <row r="343" spans="1:4" ht="18">
      <c r="A343" s="933" t="s">
        <v>312</v>
      </c>
      <c r="B343" s="934"/>
      <c r="C343" s="934"/>
      <c r="D343" s="935"/>
    </row>
    <row r="344" spans="1:4">
      <c r="A344" s="62" t="s">
        <v>149</v>
      </c>
      <c r="B344" s="47"/>
      <c r="C344" s="47"/>
      <c r="D344" s="63"/>
    </row>
    <row r="345" spans="1:4" ht="18">
      <c r="A345" s="376" t="str">
        <f>'PUNJAB 04-22Master'!F5</f>
        <v>Burgeon IT Services Pvt.Ltd.</v>
      </c>
      <c r="B345" s="349"/>
      <c r="C345" s="47"/>
      <c r="D345" s="63"/>
    </row>
    <row r="346" spans="1:4" ht="18">
      <c r="A346" s="376" t="str">
        <f>'PUNJAB 04-22Master'!F6</f>
        <v>Siri Mansion LIGB 436 Dr.A S Rao Nagar,Hyderabad</v>
      </c>
      <c r="B346" s="349"/>
      <c r="C346" s="47"/>
      <c r="D346" s="63"/>
    </row>
    <row r="347" spans="1:4" ht="18">
      <c r="A347" s="352"/>
      <c r="B347" s="353"/>
      <c r="C347" s="47"/>
      <c r="D347" s="63"/>
    </row>
    <row r="348" spans="1:4" ht="15.75">
      <c r="A348" s="351" t="s">
        <v>313</v>
      </c>
      <c r="B348" s="377"/>
      <c r="C348" s="378" t="e">
        <f>'PUNJAB 04-22Master'!#REF!</f>
        <v>#REF!</v>
      </c>
      <c r="D348" s="153"/>
    </row>
    <row r="349" spans="1:4">
      <c r="A349" s="924" t="s">
        <v>314</v>
      </c>
      <c r="B349" s="925"/>
      <c r="C349" s="925"/>
      <c r="D349" s="926"/>
    </row>
    <row r="350" spans="1:4">
      <c r="A350" s="62"/>
      <c r="B350" s="47"/>
      <c r="C350" s="47"/>
      <c r="D350" s="63"/>
    </row>
    <row r="351" spans="1:4">
      <c r="A351" s="924" t="s">
        <v>315</v>
      </c>
      <c r="B351" s="925"/>
      <c r="C351" s="925"/>
      <c r="D351" s="926"/>
    </row>
    <row r="352" spans="1:4">
      <c r="A352" s="354"/>
      <c r="B352" s="355"/>
      <c r="C352" s="355"/>
      <c r="D352" s="356"/>
    </row>
    <row r="353" spans="1:4">
      <c r="A353" s="918" t="s">
        <v>316</v>
      </c>
      <c r="B353" s="919"/>
      <c r="C353" s="919"/>
      <c r="D353" s="920"/>
    </row>
    <row r="354" spans="1:4">
      <c r="A354" s="62"/>
      <c r="B354" s="47"/>
      <c r="C354" s="47"/>
      <c r="D354" s="63"/>
    </row>
    <row r="355" spans="1:4">
      <c r="A355" s="918" t="s">
        <v>317</v>
      </c>
      <c r="B355" s="919"/>
      <c r="C355" s="919"/>
      <c r="D355" s="920"/>
    </row>
    <row r="356" spans="1:4">
      <c r="A356" s="918" t="s">
        <v>318</v>
      </c>
      <c r="B356" s="919"/>
      <c r="C356" s="919"/>
      <c r="D356" s="920"/>
    </row>
    <row r="357" spans="1:4">
      <c r="A357" s="350"/>
      <c r="B357" s="357"/>
      <c r="C357" s="357"/>
      <c r="D357" s="358"/>
    </row>
    <row r="358" spans="1:4">
      <c r="A358" s="924" t="s">
        <v>319</v>
      </c>
      <c r="B358" s="925"/>
      <c r="C358" s="925"/>
      <c r="D358" s="926"/>
    </row>
    <row r="359" spans="1:4">
      <c r="A359" s="350"/>
      <c r="B359" s="357"/>
      <c r="C359" s="357"/>
      <c r="D359" s="358"/>
    </row>
    <row r="360" spans="1:4">
      <c r="A360" s="918" t="s">
        <v>320</v>
      </c>
      <c r="B360" s="919"/>
      <c r="C360" s="919"/>
      <c r="D360" s="920"/>
    </row>
    <row r="361" spans="1:4">
      <c r="A361" s="62"/>
      <c r="B361" s="47"/>
      <c r="C361" s="47"/>
      <c r="D361" s="63"/>
    </row>
    <row r="362" spans="1:4">
      <c r="A362" s="915" t="s">
        <v>321</v>
      </c>
      <c r="B362" s="916"/>
      <c r="C362" s="916"/>
      <c r="D362" s="917"/>
    </row>
    <row r="363" spans="1:4" ht="42.75">
      <c r="A363" s="359" t="s">
        <v>322</v>
      </c>
      <c r="B363" s="360" t="s">
        <v>323</v>
      </c>
      <c r="C363" s="360" t="s">
        <v>324</v>
      </c>
      <c r="D363" s="361" t="s">
        <v>325</v>
      </c>
    </row>
    <row r="364" spans="1:4">
      <c r="A364" s="362">
        <v>1</v>
      </c>
      <c r="B364" s="366">
        <v>2</v>
      </c>
      <c r="C364" s="366">
        <v>3</v>
      </c>
      <c r="D364" s="367">
        <v>4</v>
      </c>
    </row>
    <row r="365" spans="1:4">
      <c r="A365" s="62" t="e">
        <f>'PUNJAB 04-22Master'!#REF!</f>
        <v>#REF!</v>
      </c>
      <c r="B365" s="30" t="s">
        <v>366</v>
      </c>
      <c r="C365" s="30" t="s">
        <v>373</v>
      </c>
      <c r="D365" s="398">
        <v>1</v>
      </c>
    </row>
    <row r="366" spans="1:4">
      <c r="A366" s="382"/>
      <c r="B366" s="30"/>
      <c r="C366" s="30"/>
      <c r="D366" s="365"/>
    </row>
    <row r="367" spans="1:4">
      <c r="A367" s="379"/>
      <c r="B367" s="30"/>
      <c r="C367" s="30"/>
      <c r="D367" s="365"/>
    </row>
    <row r="368" spans="1:4">
      <c r="A368" s="62"/>
      <c r="B368" s="47"/>
      <c r="C368" s="47"/>
      <c r="D368" s="63"/>
    </row>
    <row r="369" spans="1:4">
      <c r="A369" s="915" t="s">
        <v>326</v>
      </c>
      <c r="B369" s="916"/>
      <c r="C369" s="916"/>
      <c r="D369" s="917"/>
    </row>
    <row r="370" spans="1:4">
      <c r="A370" s="329"/>
      <c r="B370" s="330"/>
      <c r="C370" s="330"/>
      <c r="D370" s="331"/>
    </row>
    <row r="371" spans="1:4">
      <c r="A371" s="921" t="s">
        <v>327</v>
      </c>
      <c r="B371" s="922"/>
      <c r="C371" s="936" t="e">
        <f>'PUNJAB 04-22Master'!#REF!</f>
        <v>#REF!</v>
      </c>
      <c r="D371" s="923"/>
    </row>
    <row r="372" spans="1:4">
      <c r="A372" s="921" t="s">
        <v>328</v>
      </c>
      <c r="B372" s="922"/>
      <c r="C372" s="800" t="e">
        <f>'PUNJAB 04-22Master'!#REF!</f>
        <v>#REF!</v>
      </c>
      <c r="D372" s="923"/>
    </row>
    <row r="373" spans="1:4">
      <c r="A373" s="921" t="s">
        <v>329</v>
      </c>
      <c r="B373" s="922"/>
      <c r="C373" s="800" t="s">
        <v>374</v>
      </c>
      <c r="D373" s="923"/>
    </row>
    <row r="374" spans="1:4">
      <c r="A374" s="921" t="s">
        <v>330</v>
      </c>
      <c r="B374" s="922"/>
      <c r="C374" s="800" t="s">
        <v>372</v>
      </c>
      <c r="D374" s="923"/>
    </row>
    <row r="375" spans="1:4">
      <c r="A375" s="921" t="s">
        <v>331</v>
      </c>
      <c r="B375" s="922"/>
      <c r="C375" s="936" t="e">
        <f>'PUNJAB 04-22Master'!#REF!</f>
        <v>#REF!</v>
      </c>
      <c r="D375" s="923"/>
    </row>
    <row r="376" spans="1:4">
      <c r="A376" s="921" t="s">
        <v>332</v>
      </c>
      <c r="B376" s="922"/>
      <c r="C376" s="936" t="e">
        <f>'PUNJAB 04-22Master'!#REF!</f>
        <v>#REF!</v>
      </c>
      <c r="D376" s="923"/>
    </row>
    <row r="377" spans="1:4">
      <c r="A377" s="921" t="s">
        <v>333</v>
      </c>
      <c r="B377" s="922"/>
      <c r="C377" s="937" t="e">
        <f>'PUNJAB 04-22Master'!#REF!</f>
        <v>#REF!</v>
      </c>
      <c r="D377" s="923"/>
    </row>
    <row r="378" spans="1:4">
      <c r="A378" s="921" t="s">
        <v>334</v>
      </c>
      <c r="B378" s="922"/>
      <c r="C378" s="800"/>
      <c r="D378" s="923"/>
    </row>
    <row r="379" spans="1:4">
      <c r="A379" s="921"/>
      <c r="B379" s="922"/>
      <c r="C379" s="936" t="e">
        <f>'PUNJAB 04-22Master'!#REF!</f>
        <v>#REF!</v>
      </c>
      <c r="D379" s="923"/>
    </row>
    <row r="380" spans="1:4">
      <c r="A380" s="921"/>
      <c r="B380" s="922"/>
      <c r="C380" s="936" t="e">
        <f>'PUNJAB 04-22Master'!#REF!</f>
        <v>#REF!</v>
      </c>
      <c r="D380" s="923"/>
    </row>
    <row r="381" spans="1:4">
      <c r="A381" s="921"/>
      <c r="B381" s="922"/>
      <c r="C381" s="936" t="e">
        <f>'PUNJAB 04-22Master'!#REF!</f>
        <v>#REF!</v>
      </c>
      <c r="D381" s="923"/>
    </row>
    <row r="382" spans="1:4">
      <c r="A382" s="350" t="s">
        <v>276</v>
      </c>
      <c r="B382" s="357" t="s">
        <v>364</v>
      </c>
      <c r="C382" s="357"/>
      <c r="D382" s="358"/>
    </row>
    <row r="383" spans="1:4">
      <c r="A383" s="350" t="s">
        <v>335</v>
      </c>
      <c r="B383" s="399" t="e">
        <f>'PUNJAB 04-22Master'!#REF!</f>
        <v>#REF!</v>
      </c>
      <c r="C383" s="368" t="s">
        <v>336</v>
      </c>
      <c r="D383" s="358"/>
    </row>
    <row r="384" spans="1:4">
      <c r="A384" s="350"/>
      <c r="B384" s="357"/>
      <c r="C384" s="357"/>
      <c r="D384" s="358"/>
    </row>
    <row r="385" spans="1:4">
      <c r="A385" s="915" t="s">
        <v>337</v>
      </c>
      <c r="B385" s="916"/>
      <c r="C385" s="916"/>
      <c r="D385" s="917"/>
    </row>
    <row r="386" spans="1:4">
      <c r="A386" s="350" t="s">
        <v>338</v>
      </c>
      <c r="B386" s="357"/>
      <c r="C386" s="357"/>
      <c r="D386" s="358"/>
    </row>
    <row r="387" spans="1:4">
      <c r="A387" s="350"/>
      <c r="B387" s="357"/>
      <c r="C387" s="357"/>
      <c r="D387" s="358"/>
    </row>
    <row r="388" spans="1:4">
      <c r="A388" s="918" t="s">
        <v>339</v>
      </c>
      <c r="B388" s="919"/>
      <c r="C388" s="919" t="s">
        <v>340</v>
      </c>
      <c r="D388" s="920"/>
    </row>
    <row r="389" spans="1:4">
      <c r="A389" s="905">
        <v>1</v>
      </c>
      <c r="B389" s="906"/>
      <c r="C389" s="906">
        <v>1</v>
      </c>
      <c r="D389" s="907"/>
    </row>
    <row r="390" spans="1:4">
      <c r="A390" s="905">
        <v>2</v>
      </c>
      <c r="B390" s="906"/>
      <c r="C390" s="906">
        <v>2</v>
      </c>
      <c r="D390" s="907"/>
    </row>
    <row r="391" spans="1:4">
      <c r="A391" s="369"/>
      <c r="B391" s="47"/>
      <c r="C391" s="908" t="s">
        <v>345</v>
      </c>
      <c r="D391" s="909"/>
    </row>
    <row r="392" spans="1:4">
      <c r="A392" s="910" t="s">
        <v>341</v>
      </c>
      <c r="B392" s="911"/>
      <c r="C392" s="911"/>
      <c r="D392" s="912"/>
    </row>
    <row r="393" spans="1:4">
      <c r="A393" s="372" t="s">
        <v>342</v>
      </c>
      <c r="B393" s="373"/>
      <c r="C393" s="373"/>
      <c r="D393" s="374"/>
    </row>
    <row r="394" spans="1:4">
      <c r="A394" s="372"/>
      <c r="B394" s="373"/>
      <c r="C394" s="373"/>
      <c r="D394" s="374"/>
    </row>
    <row r="395" spans="1:4">
      <c r="A395" s="372"/>
      <c r="B395" s="373"/>
      <c r="C395" s="373" t="s">
        <v>343</v>
      </c>
      <c r="D395" s="374"/>
    </row>
    <row r="396" spans="1:4">
      <c r="A396" s="369"/>
      <c r="B396" s="370"/>
      <c r="C396" s="332" t="s">
        <v>160</v>
      </c>
      <c r="D396" s="371"/>
    </row>
    <row r="397" spans="1:4">
      <c r="A397" s="369"/>
      <c r="B397" s="47"/>
      <c r="C397" s="47" t="s">
        <v>344</v>
      </c>
      <c r="D397" s="375"/>
    </row>
    <row r="398" spans="1:4">
      <c r="A398" s="369"/>
      <c r="B398" s="47"/>
      <c r="C398" s="913" t="str">
        <f>'PUNJAB 04-22Master'!F5</f>
        <v>Burgeon IT Services Pvt.Ltd.</v>
      </c>
      <c r="D398" s="914"/>
    </row>
    <row r="399" spans="1:4">
      <c r="A399" s="350" t="s">
        <v>276</v>
      </c>
      <c r="B399" s="47" t="str">
        <f>B382</f>
        <v>Hyderabad</v>
      </c>
      <c r="C399" s="229" t="str">
        <f>'PUNJAB 04-22Master'!F6</f>
        <v>Siri Mansion LIGB 436 Dr.A S Rao Nagar,Hyderabad</v>
      </c>
      <c r="D399" s="63"/>
    </row>
    <row r="400" spans="1:4" ht="15.75" thickBot="1">
      <c r="A400" s="350" t="s">
        <v>335</v>
      </c>
      <c r="B400" s="389" t="e">
        <f>B383</f>
        <v>#REF!</v>
      </c>
      <c r="C400" s="229"/>
      <c r="D400" s="63"/>
    </row>
    <row r="401" spans="1:4" ht="15.75" thickBot="1">
      <c r="A401" s="380"/>
      <c r="B401" s="381" t="s">
        <v>348</v>
      </c>
      <c r="C401" s="381"/>
      <c r="D401" s="79"/>
    </row>
    <row r="402" spans="1:4">
      <c r="A402" s="350" t="s">
        <v>346</v>
      </c>
      <c r="B402" s="47"/>
      <c r="C402" s="229"/>
      <c r="D402" s="63"/>
    </row>
    <row r="403" spans="1:4">
      <c r="A403" s="350" t="s">
        <v>335</v>
      </c>
      <c r="B403" s="389" t="e">
        <f>B400</f>
        <v>#REF!</v>
      </c>
      <c r="C403" s="229"/>
      <c r="D403" s="63"/>
    </row>
    <row r="404" spans="1:4" ht="15.75" thickBot="1">
      <c r="A404" s="383" t="s">
        <v>347</v>
      </c>
      <c r="B404" s="74"/>
      <c r="C404" s="74"/>
      <c r="D404" s="75" t="s">
        <v>158</v>
      </c>
    </row>
    <row r="408" spans="1:4" ht="15.75" thickBot="1"/>
    <row r="409" spans="1:4" ht="20.25">
      <c r="A409" s="927" t="s">
        <v>310</v>
      </c>
      <c r="B409" s="928"/>
      <c r="C409" s="928"/>
      <c r="D409" s="929"/>
    </row>
    <row r="410" spans="1:4">
      <c r="A410" s="930" t="s">
        <v>311</v>
      </c>
      <c r="B410" s="931"/>
      <c r="C410" s="931"/>
      <c r="D410" s="932"/>
    </row>
    <row r="411" spans="1:4" ht="18">
      <c r="A411" s="933" t="s">
        <v>312</v>
      </c>
      <c r="B411" s="934"/>
      <c r="C411" s="934"/>
      <c r="D411" s="935"/>
    </row>
    <row r="412" spans="1:4">
      <c r="A412" s="62" t="s">
        <v>149</v>
      </c>
      <c r="B412" s="47"/>
      <c r="C412" s="47"/>
      <c r="D412" s="63"/>
    </row>
    <row r="413" spans="1:4" ht="18">
      <c r="A413" s="376" t="str">
        <f>'PUNJAB 04-22Master'!F5</f>
        <v>Burgeon IT Services Pvt.Ltd.</v>
      </c>
      <c r="B413" s="349"/>
      <c r="C413" s="47"/>
      <c r="D413" s="63"/>
    </row>
    <row r="414" spans="1:4" ht="18">
      <c r="A414" s="376" t="str">
        <f>'PUNJAB 04-22Master'!F6</f>
        <v>Siri Mansion LIGB 436 Dr.A S Rao Nagar,Hyderabad</v>
      </c>
      <c r="B414" s="349"/>
      <c r="C414" s="47"/>
      <c r="D414" s="63"/>
    </row>
    <row r="415" spans="1:4" ht="18">
      <c r="A415" s="352"/>
      <c r="B415" s="353"/>
      <c r="C415" s="47"/>
      <c r="D415" s="63"/>
    </row>
    <row r="416" spans="1:4" ht="15.75">
      <c r="A416" s="351" t="s">
        <v>313</v>
      </c>
      <c r="B416" s="377"/>
      <c r="C416" s="378" t="e">
        <f>'PUNJAB 04-22Master'!#REF!</f>
        <v>#REF!</v>
      </c>
      <c r="D416" s="153"/>
    </row>
    <row r="417" spans="1:4">
      <c r="A417" s="924" t="s">
        <v>314</v>
      </c>
      <c r="B417" s="925"/>
      <c r="C417" s="925"/>
      <c r="D417" s="926"/>
    </row>
    <row r="418" spans="1:4">
      <c r="A418" s="62"/>
      <c r="B418" s="47"/>
      <c r="C418" s="47"/>
      <c r="D418" s="63"/>
    </row>
    <row r="419" spans="1:4">
      <c r="A419" s="924" t="s">
        <v>315</v>
      </c>
      <c r="B419" s="925"/>
      <c r="C419" s="925"/>
      <c r="D419" s="926"/>
    </row>
    <row r="420" spans="1:4">
      <c r="A420" s="354"/>
      <c r="B420" s="355"/>
      <c r="C420" s="355"/>
      <c r="D420" s="356"/>
    </row>
    <row r="421" spans="1:4">
      <c r="A421" s="918" t="s">
        <v>316</v>
      </c>
      <c r="B421" s="919"/>
      <c r="C421" s="919"/>
      <c r="D421" s="920"/>
    </row>
    <row r="422" spans="1:4">
      <c r="A422" s="62"/>
      <c r="B422" s="47"/>
      <c r="C422" s="47"/>
      <c r="D422" s="63"/>
    </row>
    <row r="423" spans="1:4">
      <c r="A423" s="918" t="s">
        <v>317</v>
      </c>
      <c r="B423" s="919"/>
      <c r="C423" s="919"/>
      <c r="D423" s="920"/>
    </row>
    <row r="424" spans="1:4">
      <c r="A424" s="918" t="s">
        <v>318</v>
      </c>
      <c r="B424" s="919"/>
      <c r="C424" s="919"/>
      <c r="D424" s="920"/>
    </row>
    <row r="425" spans="1:4">
      <c r="A425" s="350"/>
      <c r="B425" s="357"/>
      <c r="C425" s="357"/>
      <c r="D425" s="358"/>
    </row>
    <row r="426" spans="1:4">
      <c r="A426" s="924" t="s">
        <v>319</v>
      </c>
      <c r="B426" s="925"/>
      <c r="C426" s="925"/>
      <c r="D426" s="926"/>
    </row>
    <row r="427" spans="1:4">
      <c r="A427" s="350"/>
      <c r="B427" s="357"/>
      <c r="C427" s="357"/>
      <c r="D427" s="358"/>
    </row>
    <row r="428" spans="1:4">
      <c r="A428" s="918" t="s">
        <v>320</v>
      </c>
      <c r="B428" s="919"/>
      <c r="C428" s="919"/>
      <c r="D428" s="920"/>
    </row>
    <row r="429" spans="1:4">
      <c r="A429" s="62"/>
      <c r="B429" s="47"/>
      <c r="C429" s="47"/>
      <c r="D429" s="63"/>
    </row>
    <row r="430" spans="1:4">
      <c r="A430" s="915" t="s">
        <v>321</v>
      </c>
      <c r="B430" s="916"/>
      <c r="C430" s="916"/>
      <c r="D430" s="917"/>
    </row>
    <row r="431" spans="1:4" ht="42.75">
      <c r="A431" s="359" t="s">
        <v>322</v>
      </c>
      <c r="B431" s="360" t="s">
        <v>323</v>
      </c>
      <c r="C431" s="360" t="s">
        <v>324</v>
      </c>
      <c r="D431" s="361" t="s">
        <v>325</v>
      </c>
    </row>
    <row r="432" spans="1:4">
      <c r="A432" s="362">
        <v>1</v>
      </c>
      <c r="B432" s="366">
        <v>2</v>
      </c>
      <c r="C432" s="366">
        <v>3</v>
      </c>
      <c r="D432" s="367">
        <v>4</v>
      </c>
    </row>
    <row r="433" spans="1:4">
      <c r="A433" s="62" t="e">
        <f>'PUNJAB 04-22Master'!#REF!</f>
        <v>#REF!</v>
      </c>
      <c r="B433" s="30" t="s">
        <v>366</v>
      </c>
      <c r="C433" s="30" t="s">
        <v>373</v>
      </c>
      <c r="D433" s="398">
        <v>1</v>
      </c>
    </row>
    <row r="434" spans="1:4">
      <c r="A434" s="382"/>
      <c r="B434" s="30"/>
      <c r="C434" s="30"/>
      <c r="D434" s="365"/>
    </row>
    <row r="435" spans="1:4">
      <c r="A435" s="379"/>
      <c r="B435" s="30"/>
      <c r="C435" s="30"/>
      <c r="D435" s="365"/>
    </row>
    <row r="436" spans="1:4">
      <c r="A436" s="62"/>
      <c r="B436" s="47"/>
      <c r="C436" s="47"/>
      <c r="D436" s="63"/>
    </row>
    <row r="437" spans="1:4">
      <c r="A437" s="915" t="s">
        <v>326</v>
      </c>
      <c r="B437" s="916"/>
      <c r="C437" s="916"/>
      <c r="D437" s="917"/>
    </row>
    <row r="438" spans="1:4">
      <c r="A438" s="329"/>
      <c r="B438" s="330"/>
      <c r="C438" s="330"/>
      <c r="D438" s="331"/>
    </row>
    <row r="439" spans="1:4">
      <c r="A439" s="921" t="s">
        <v>327</v>
      </c>
      <c r="B439" s="922"/>
      <c r="C439" s="936" t="e">
        <f>'PUNJAB 04-22Master'!#REF!</f>
        <v>#REF!</v>
      </c>
      <c r="D439" s="923"/>
    </row>
    <row r="440" spans="1:4">
      <c r="A440" s="921" t="s">
        <v>328</v>
      </c>
      <c r="B440" s="922"/>
      <c r="C440" s="800" t="e">
        <f>'PUNJAB 04-22Master'!#REF!</f>
        <v>#REF!</v>
      </c>
      <c r="D440" s="923"/>
    </row>
    <row r="441" spans="1:4">
      <c r="A441" s="921" t="s">
        <v>329</v>
      </c>
      <c r="B441" s="922"/>
      <c r="C441" s="800" t="s">
        <v>374</v>
      </c>
      <c r="D441" s="923"/>
    </row>
    <row r="442" spans="1:4">
      <c r="A442" s="921" t="s">
        <v>330</v>
      </c>
      <c r="B442" s="922"/>
      <c r="C442" s="800" t="s">
        <v>372</v>
      </c>
      <c r="D442" s="923"/>
    </row>
    <row r="443" spans="1:4">
      <c r="A443" s="921" t="s">
        <v>331</v>
      </c>
      <c r="B443" s="922"/>
      <c r="C443" s="936" t="e">
        <f>'PUNJAB 04-22Master'!#REF!</f>
        <v>#REF!</v>
      </c>
      <c r="D443" s="923"/>
    </row>
    <row r="444" spans="1:4">
      <c r="A444" s="921" t="s">
        <v>332</v>
      </c>
      <c r="B444" s="922"/>
      <c r="C444" s="936" t="e">
        <f>'PUNJAB 04-22Master'!#REF!</f>
        <v>#REF!</v>
      </c>
      <c r="D444" s="923"/>
    </row>
    <row r="445" spans="1:4">
      <c r="A445" s="921" t="s">
        <v>333</v>
      </c>
      <c r="B445" s="922"/>
      <c r="C445" s="937" t="e">
        <f>'PUNJAB 04-22Master'!#REF!</f>
        <v>#REF!</v>
      </c>
      <c r="D445" s="923"/>
    </row>
    <row r="446" spans="1:4">
      <c r="A446" s="921" t="s">
        <v>334</v>
      </c>
      <c r="B446" s="922"/>
      <c r="C446" s="800"/>
      <c r="D446" s="923"/>
    </row>
    <row r="447" spans="1:4">
      <c r="A447" s="921"/>
      <c r="B447" s="922"/>
      <c r="C447" s="936" t="e">
        <f>'PUNJAB 04-22Master'!#REF!</f>
        <v>#REF!</v>
      </c>
      <c r="D447" s="923"/>
    </row>
    <row r="448" spans="1:4">
      <c r="A448" s="921"/>
      <c r="B448" s="922"/>
      <c r="C448" s="936" t="e">
        <f>'PUNJAB 04-22Master'!#REF!</f>
        <v>#REF!</v>
      </c>
      <c r="D448" s="923"/>
    </row>
    <row r="449" spans="1:4">
      <c r="A449" s="921"/>
      <c r="B449" s="922"/>
      <c r="C449" s="936" t="e">
        <f>'PUNJAB 04-22Master'!#REF!</f>
        <v>#REF!</v>
      </c>
      <c r="D449" s="923"/>
    </row>
    <row r="450" spans="1:4">
      <c r="A450" s="350" t="s">
        <v>276</v>
      </c>
      <c r="B450" s="357" t="s">
        <v>364</v>
      </c>
      <c r="C450" s="357"/>
      <c r="D450" s="358"/>
    </row>
    <row r="451" spans="1:4">
      <c r="A451" s="350" t="s">
        <v>335</v>
      </c>
      <c r="B451" s="399" t="e">
        <f>'PUNJAB 04-22Master'!#REF!</f>
        <v>#REF!</v>
      </c>
      <c r="C451" s="368" t="s">
        <v>336</v>
      </c>
      <c r="D451" s="358"/>
    </row>
    <row r="452" spans="1:4">
      <c r="A452" s="350"/>
      <c r="B452" s="357"/>
      <c r="C452" s="357"/>
      <c r="D452" s="358"/>
    </row>
    <row r="453" spans="1:4">
      <c r="A453" s="915" t="s">
        <v>337</v>
      </c>
      <c r="B453" s="916"/>
      <c r="C453" s="916"/>
      <c r="D453" s="917"/>
    </row>
    <row r="454" spans="1:4">
      <c r="A454" s="350" t="s">
        <v>338</v>
      </c>
      <c r="B454" s="357"/>
      <c r="C454" s="357"/>
      <c r="D454" s="358"/>
    </row>
    <row r="455" spans="1:4">
      <c r="A455" s="350"/>
      <c r="B455" s="357"/>
      <c r="C455" s="357"/>
      <c r="D455" s="358"/>
    </row>
    <row r="456" spans="1:4">
      <c r="A456" s="918" t="s">
        <v>339</v>
      </c>
      <c r="B456" s="919"/>
      <c r="C456" s="919" t="s">
        <v>340</v>
      </c>
      <c r="D456" s="920"/>
    </row>
    <row r="457" spans="1:4">
      <c r="A457" s="905">
        <v>1</v>
      </c>
      <c r="B457" s="906"/>
      <c r="C457" s="906">
        <v>1</v>
      </c>
      <c r="D457" s="907"/>
    </row>
    <row r="458" spans="1:4">
      <c r="A458" s="905">
        <v>2</v>
      </c>
      <c r="B458" s="906"/>
      <c r="C458" s="906">
        <v>2</v>
      </c>
      <c r="D458" s="907"/>
    </row>
    <row r="459" spans="1:4">
      <c r="A459" s="369"/>
      <c r="B459" s="47"/>
      <c r="C459" s="908" t="s">
        <v>345</v>
      </c>
      <c r="D459" s="909"/>
    </row>
    <row r="460" spans="1:4">
      <c r="A460" s="910" t="s">
        <v>341</v>
      </c>
      <c r="B460" s="911"/>
      <c r="C460" s="911"/>
      <c r="D460" s="912"/>
    </row>
    <row r="461" spans="1:4">
      <c r="A461" s="372" t="s">
        <v>342</v>
      </c>
      <c r="B461" s="373"/>
      <c r="C461" s="373"/>
      <c r="D461" s="374"/>
    </row>
    <row r="462" spans="1:4">
      <c r="A462" s="372"/>
      <c r="B462" s="373"/>
      <c r="C462" s="373"/>
      <c r="D462" s="374"/>
    </row>
    <row r="463" spans="1:4">
      <c r="A463" s="372"/>
      <c r="B463" s="373"/>
      <c r="C463" s="373" t="s">
        <v>343</v>
      </c>
      <c r="D463" s="374"/>
    </row>
    <row r="464" spans="1:4">
      <c r="A464" s="369"/>
      <c r="B464" s="370"/>
      <c r="C464" s="332" t="s">
        <v>160</v>
      </c>
      <c r="D464" s="371"/>
    </row>
    <row r="465" spans="1:4">
      <c r="A465" s="369"/>
      <c r="B465" s="47"/>
      <c r="C465" s="47" t="s">
        <v>344</v>
      </c>
      <c r="D465" s="375"/>
    </row>
    <row r="466" spans="1:4">
      <c r="A466" s="369"/>
      <c r="B466" s="47"/>
      <c r="C466" s="913" t="str">
        <f>'PUNJAB 04-22Master'!F5</f>
        <v>Burgeon IT Services Pvt.Ltd.</v>
      </c>
      <c r="D466" s="914"/>
    </row>
    <row r="467" spans="1:4">
      <c r="A467" s="350" t="s">
        <v>276</v>
      </c>
      <c r="B467" s="47" t="str">
        <f>B450</f>
        <v>Hyderabad</v>
      </c>
      <c r="C467" s="229" t="str">
        <f>'PUNJAB 04-22Master'!F6</f>
        <v>Siri Mansion LIGB 436 Dr.A S Rao Nagar,Hyderabad</v>
      </c>
      <c r="D467" s="63"/>
    </row>
    <row r="468" spans="1:4" ht="15.75" thickBot="1">
      <c r="A468" s="350" t="s">
        <v>335</v>
      </c>
      <c r="B468" s="389" t="e">
        <f>B451</f>
        <v>#REF!</v>
      </c>
      <c r="C468" s="229"/>
      <c r="D468" s="63"/>
    </row>
    <row r="469" spans="1:4" ht="15.75" thickBot="1">
      <c r="A469" s="380"/>
      <c r="B469" s="381" t="s">
        <v>348</v>
      </c>
      <c r="C469" s="381"/>
      <c r="D469" s="79"/>
    </row>
    <row r="470" spans="1:4">
      <c r="A470" s="350" t="s">
        <v>346</v>
      </c>
      <c r="B470" s="47"/>
      <c r="C470" s="229"/>
      <c r="D470" s="63"/>
    </row>
    <row r="471" spans="1:4">
      <c r="A471" s="350" t="s">
        <v>335</v>
      </c>
      <c r="B471" s="389" t="e">
        <f>B468</f>
        <v>#REF!</v>
      </c>
      <c r="C471" s="229"/>
      <c r="D471" s="63"/>
    </row>
    <row r="472" spans="1:4" ht="15.75" thickBot="1">
      <c r="A472" s="383" t="s">
        <v>347</v>
      </c>
      <c r="B472" s="74"/>
      <c r="C472" s="74"/>
      <c r="D472" s="75" t="s">
        <v>158</v>
      </c>
    </row>
    <row r="476" spans="1:4" ht="15.75" thickBot="1"/>
    <row r="477" spans="1:4" ht="20.25">
      <c r="A477" s="927" t="s">
        <v>310</v>
      </c>
      <c r="B477" s="928"/>
      <c r="C477" s="928"/>
      <c r="D477" s="929"/>
    </row>
    <row r="478" spans="1:4">
      <c r="A478" s="930" t="s">
        <v>311</v>
      </c>
      <c r="B478" s="931"/>
      <c r="C478" s="931"/>
      <c r="D478" s="932"/>
    </row>
    <row r="479" spans="1:4" ht="18">
      <c r="A479" s="933" t="s">
        <v>312</v>
      </c>
      <c r="B479" s="934"/>
      <c r="C479" s="934"/>
      <c r="D479" s="935"/>
    </row>
    <row r="480" spans="1:4">
      <c r="A480" s="62" t="s">
        <v>149</v>
      </c>
      <c r="B480" s="47"/>
      <c r="C480" s="47"/>
      <c r="D480" s="63"/>
    </row>
    <row r="481" spans="1:4" ht="18">
      <c r="A481" s="376" t="str">
        <f>'PUNJAB 04-22Master'!F5</f>
        <v>Burgeon IT Services Pvt.Ltd.</v>
      </c>
      <c r="B481" s="349"/>
      <c r="C481" s="47"/>
      <c r="D481" s="63"/>
    </row>
    <row r="482" spans="1:4" ht="18">
      <c r="A482" s="376" t="str">
        <f>'PUNJAB 04-22Master'!F6</f>
        <v>Siri Mansion LIGB 436 Dr.A S Rao Nagar,Hyderabad</v>
      </c>
      <c r="B482" s="349"/>
      <c r="C482" s="47"/>
      <c r="D482" s="63"/>
    </row>
    <row r="483" spans="1:4" ht="18">
      <c r="A483" s="352"/>
      <c r="B483" s="353"/>
      <c r="C483" s="47"/>
      <c r="D483" s="63"/>
    </row>
    <row r="484" spans="1:4" ht="15.75">
      <c r="A484" s="351" t="s">
        <v>313</v>
      </c>
      <c r="B484" s="377"/>
      <c r="C484" s="378" t="e">
        <f>'PUNJAB 04-22Master'!#REF!</f>
        <v>#REF!</v>
      </c>
      <c r="D484" s="153"/>
    </row>
    <row r="485" spans="1:4">
      <c r="A485" s="924" t="s">
        <v>314</v>
      </c>
      <c r="B485" s="925"/>
      <c r="C485" s="925"/>
      <c r="D485" s="926"/>
    </row>
    <row r="486" spans="1:4">
      <c r="A486" s="62"/>
      <c r="B486" s="47"/>
      <c r="C486" s="47"/>
      <c r="D486" s="63"/>
    </row>
    <row r="487" spans="1:4">
      <c r="A487" s="924" t="s">
        <v>315</v>
      </c>
      <c r="B487" s="925"/>
      <c r="C487" s="925"/>
      <c r="D487" s="926"/>
    </row>
    <row r="488" spans="1:4">
      <c r="A488" s="354"/>
      <c r="B488" s="355"/>
      <c r="C488" s="355"/>
      <c r="D488" s="356"/>
    </row>
    <row r="489" spans="1:4">
      <c r="A489" s="918" t="s">
        <v>316</v>
      </c>
      <c r="B489" s="919"/>
      <c r="C489" s="919"/>
      <c r="D489" s="920"/>
    </row>
    <row r="490" spans="1:4">
      <c r="A490" s="62"/>
      <c r="B490" s="47"/>
      <c r="C490" s="47"/>
      <c r="D490" s="63"/>
    </row>
    <row r="491" spans="1:4">
      <c r="A491" s="918" t="s">
        <v>317</v>
      </c>
      <c r="B491" s="919"/>
      <c r="C491" s="919"/>
      <c r="D491" s="920"/>
    </row>
    <row r="492" spans="1:4">
      <c r="A492" s="918" t="s">
        <v>318</v>
      </c>
      <c r="B492" s="919"/>
      <c r="C492" s="919"/>
      <c r="D492" s="920"/>
    </row>
    <row r="493" spans="1:4">
      <c r="A493" s="350"/>
      <c r="B493" s="357"/>
      <c r="C493" s="357"/>
      <c r="D493" s="358"/>
    </row>
    <row r="494" spans="1:4">
      <c r="A494" s="924" t="s">
        <v>319</v>
      </c>
      <c r="B494" s="925"/>
      <c r="C494" s="925"/>
      <c r="D494" s="926"/>
    </row>
    <row r="495" spans="1:4">
      <c r="A495" s="350"/>
      <c r="B495" s="357"/>
      <c r="C495" s="357"/>
      <c r="D495" s="358"/>
    </row>
    <row r="496" spans="1:4">
      <c r="A496" s="918" t="s">
        <v>320</v>
      </c>
      <c r="B496" s="919"/>
      <c r="C496" s="919"/>
      <c r="D496" s="920"/>
    </row>
    <row r="497" spans="1:4">
      <c r="A497" s="62"/>
      <c r="B497" s="47"/>
      <c r="C497" s="47"/>
      <c r="D497" s="63"/>
    </row>
    <row r="498" spans="1:4">
      <c r="A498" s="915" t="s">
        <v>321</v>
      </c>
      <c r="B498" s="916"/>
      <c r="C498" s="916"/>
      <c r="D498" s="917"/>
    </row>
    <row r="499" spans="1:4" ht="42.75">
      <c r="A499" s="359" t="s">
        <v>322</v>
      </c>
      <c r="B499" s="360" t="s">
        <v>323</v>
      </c>
      <c r="C499" s="360" t="s">
        <v>324</v>
      </c>
      <c r="D499" s="361" t="s">
        <v>325</v>
      </c>
    </row>
    <row r="500" spans="1:4">
      <c r="A500" s="362">
        <v>1</v>
      </c>
      <c r="B500" s="366">
        <v>2</v>
      </c>
      <c r="C500" s="366">
        <v>3</v>
      </c>
      <c r="D500" s="367">
        <v>4</v>
      </c>
    </row>
    <row r="501" spans="1:4">
      <c r="A501" s="62" t="e">
        <f>'PUNJAB 04-22Master'!#REF!</f>
        <v>#REF!</v>
      </c>
      <c r="B501" s="30" t="s">
        <v>366</v>
      </c>
      <c r="C501" s="30" t="s">
        <v>373</v>
      </c>
      <c r="D501" s="398">
        <v>1</v>
      </c>
    </row>
    <row r="502" spans="1:4">
      <c r="A502" s="382"/>
      <c r="B502" s="30"/>
      <c r="C502" s="30"/>
      <c r="D502" s="365"/>
    </row>
    <row r="503" spans="1:4">
      <c r="A503" s="379"/>
      <c r="B503" s="30"/>
      <c r="C503" s="30"/>
      <c r="D503" s="365"/>
    </row>
    <row r="504" spans="1:4">
      <c r="A504" s="62"/>
      <c r="B504" s="47"/>
      <c r="C504" s="47"/>
      <c r="D504" s="63"/>
    </row>
    <row r="505" spans="1:4">
      <c r="A505" s="915" t="s">
        <v>326</v>
      </c>
      <c r="B505" s="916"/>
      <c r="C505" s="916"/>
      <c r="D505" s="917"/>
    </row>
    <row r="506" spans="1:4">
      <c r="A506" s="329"/>
      <c r="B506" s="330"/>
      <c r="C506" s="330"/>
      <c r="D506" s="331"/>
    </row>
    <row r="507" spans="1:4">
      <c r="A507" s="921" t="s">
        <v>327</v>
      </c>
      <c r="B507" s="922"/>
      <c r="C507" s="936" t="e">
        <f>'PUNJAB 04-22Master'!#REF!</f>
        <v>#REF!</v>
      </c>
      <c r="D507" s="923"/>
    </row>
    <row r="508" spans="1:4">
      <c r="A508" s="921" t="s">
        <v>328</v>
      </c>
      <c r="B508" s="922"/>
      <c r="C508" s="800" t="e">
        <f>'PUNJAB 04-22Master'!#REF!</f>
        <v>#REF!</v>
      </c>
      <c r="D508" s="923"/>
    </row>
    <row r="509" spans="1:4">
      <c r="A509" s="921" t="s">
        <v>329</v>
      </c>
      <c r="B509" s="922"/>
      <c r="C509" s="800" t="s">
        <v>374</v>
      </c>
      <c r="D509" s="923"/>
    </row>
    <row r="510" spans="1:4">
      <c r="A510" s="921" t="s">
        <v>330</v>
      </c>
      <c r="B510" s="922"/>
      <c r="C510" s="800" t="s">
        <v>372</v>
      </c>
      <c r="D510" s="923"/>
    </row>
    <row r="511" spans="1:4">
      <c r="A511" s="921" t="s">
        <v>331</v>
      </c>
      <c r="B511" s="922"/>
      <c r="C511" s="936" t="e">
        <f>'PUNJAB 04-22Master'!#REF!</f>
        <v>#REF!</v>
      </c>
      <c r="D511" s="923"/>
    </row>
    <row r="512" spans="1:4">
      <c r="A512" s="921" t="s">
        <v>332</v>
      </c>
      <c r="B512" s="922"/>
      <c r="C512" s="936" t="e">
        <f>'PUNJAB 04-22Master'!#REF!</f>
        <v>#REF!</v>
      </c>
      <c r="D512" s="923"/>
    </row>
    <row r="513" spans="1:4">
      <c r="A513" s="921" t="s">
        <v>333</v>
      </c>
      <c r="B513" s="922"/>
      <c r="C513" s="937" t="e">
        <f>'PUNJAB 04-22Master'!#REF!</f>
        <v>#REF!</v>
      </c>
      <c r="D513" s="923"/>
    </row>
    <row r="514" spans="1:4">
      <c r="A514" s="921" t="s">
        <v>334</v>
      </c>
      <c r="B514" s="922"/>
      <c r="C514" s="800"/>
      <c r="D514" s="923"/>
    </row>
    <row r="515" spans="1:4">
      <c r="A515" s="921"/>
      <c r="B515" s="922"/>
      <c r="C515" s="936" t="e">
        <f>'PUNJAB 04-22Master'!#REF!</f>
        <v>#REF!</v>
      </c>
      <c r="D515" s="923"/>
    </row>
    <row r="516" spans="1:4">
      <c r="A516" s="921"/>
      <c r="B516" s="922"/>
      <c r="C516" s="936" t="e">
        <f>'PUNJAB 04-22Master'!#REF!</f>
        <v>#REF!</v>
      </c>
      <c r="D516" s="923"/>
    </row>
    <row r="517" spans="1:4">
      <c r="A517" s="921"/>
      <c r="B517" s="922"/>
      <c r="C517" s="936" t="e">
        <f>'PUNJAB 04-22Master'!#REF!</f>
        <v>#REF!</v>
      </c>
      <c r="D517" s="923"/>
    </row>
    <row r="518" spans="1:4">
      <c r="A518" s="350" t="s">
        <v>276</v>
      </c>
      <c r="B518" s="357" t="s">
        <v>364</v>
      </c>
      <c r="C518" s="357"/>
      <c r="D518" s="358"/>
    </row>
    <row r="519" spans="1:4">
      <c r="A519" s="350" t="s">
        <v>335</v>
      </c>
      <c r="B519" s="399" t="e">
        <f>'PUNJAB 04-22Master'!#REF!</f>
        <v>#REF!</v>
      </c>
      <c r="C519" s="368" t="s">
        <v>336</v>
      </c>
      <c r="D519" s="358"/>
    </row>
    <row r="520" spans="1:4">
      <c r="A520" s="350"/>
      <c r="B520" s="357"/>
      <c r="C520" s="357"/>
      <c r="D520" s="358"/>
    </row>
    <row r="521" spans="1:4">
      <c r="A521" s="915" t="s">
        <v>337</v>
      </c>
      <c r="B521" s="916"/>
      <c r="C521" s="916"/>
      <c r="D521" s="917"/>
    </row>
    <row r="522" spans="1:4">
      <c r="A522" s="350" t="s">
        <v>338</v>
      </c>
      <c r="B522" s="357"/>
      <c r="C522" s="357"/>
      <c r="D522" s="358"/>
    </row>
    <row r="523" spans="1:4">
      <c r="A523" s="350"/>
      <c r="B523" s="357"/>
      <c r="C523" s="357"/>
      <c r="D523" s="358"/>
    </row>
    <row r="524" spans="1:4">
      <c r="A524" s="918" t="s">
        <v>339</v>
      </c>
      <c r="B524" s="919"/>
      <c r="C524" s="919" t="s">
        <v>340</v>
      </c>
      <c r="D524" s="920"/>
    </row>
    <row r="525" spans="1:4">
      <c r="A525" s="905">
        <v>1</v>
      </c>
      <c r="B525" s="906"/>
      <c r="C525" s="906">
        <v>1</v>
      </c>
      <c r="D525" s="907"/>
    </row>
    <row r="526" spans="1:4">
      <c r="A526" s="905">
        <v>2</v>
      </c>
      <c r="B526" s="906"/>
      <c r="C526" s="906">
        <v>2</v>
      </c>
      <c r="D526" s="907"/>
    </row>
    <row r="527" spans="1:4">
      <c r="A527" s="369"/>
      <c r="B527" s="47"/>
      <c r="C527" s="908" t="s">
        <v>345</v>
      </c>
      <c r="D527" s="909"/>
    </row>
    <row r="528" spans="1:4">
      <c r="A528" s="910" t="s">
        <v>341</v>
      </c>
      <c r="B528" s="911"/>
      <c r="C528" s="911"/>
      <c r="D528" s="912"/>
    </row>
    <row r="529" spans="1:4">
      <c r="A529" s="372" t="s">
        <v>342</v>
      </c>
      <c r="B529" s="373"/>
      <c r="C529" s="373"/>
      <c r="D529" s="374"/>
    </row>
    <row r="530" spans="1:4">
      <c r="A530" s="372"/>
      <c r="B530" s="373"/>
      <c r="C530" s="373"/>
      <c r="D530" s="374"/>
    </row>
    <row r="531" spans="1:4">
      <c r="A531" s="372"/>
      <c r="B531" s="373"/>
      <c r="C531" s="373" t="s">
        <v>343</v>
      </c>
      <c r="D531" s="374"/>
    </row>
    <row r="532" spans="1:4">
      <c r="A532" s="369"/>
      <c r="B532" s="370"/>
      <c r="C532" s="332" t="s">
        <v>160</v>
      </c>
      <c r="D532" s="371"/>
    </row>
    <row r="533" spans="1:4">
      <c r="A533" s="369"/>
      <c r="B533" s="47"/>
      <c r="C533" s="47" t="s">
        <v>344</v>
      </c>
      <c r="D533" s="375"/>
    </row>
    <row r="534" spans="1:4">
      <c r="A534" s="369"/>
      <c r="B534" s="47"/>
      <c r="C534" s="913" t="str">
        <f>'PUNJAB 04-22Master'!F5</f>
        <v>Burgeon IT Services Pvt.Ltd.</v>
      </c>
      <c r="D534" s="914"/>
    </row>
    <row r="535" spans="1:4">
      <c r="A535" s="350" t="s">
        <v>276</v>
      </c>
      <c r="B535" s="47" t="str">
        <f>B518</f>
        <v>Hyderabad</v>
      </c>
      <c r="C535" s="229" t="str">
        <f>'PUNJAB 04-22Master'!F6</f>
        <v>Siri Mansion LIGB 436 Dr.A S Rao Nagar,Hyderabad</v>
      </c>
      <c r="D535" s="63"/>
    </row>
    <row r="536" spans="1:4" ht="15.75" thickBot="1">
      <c r="A536" s="350" t="s">
        <v>335</v>
      </c>
      <c r="B536" s="389" t="e">
        <f>B519</f>
        <v>#REF!</v>
      </c>
      <c r="C536" s="229"/>
      <c r="D536" s="63"/>
    </row>
    <row r="537" spans="1:4" ht="15.75" thickBot="1">
      <c r="A537" s="380"/>
      <c r="B537" s="381" t="s">
        <v>348</v>
      </c>
      <c r="C537" s="381"/>
      <c r="D537" s="79"/>
    </row>
    <row r="538" spans="1:4">
      <c r="A538" s="350" t="s">
        <v>346</v>
      </c>
      <c r="B538" s="47"/>
      <c r="C538" s="229"/>
      <c r="D538" s="63"/>
    </row>
    <row r="539" spans="1:4">
      <c r="A539" s="350" t="s">
        <v>335</v>
      </c>
      <c r="B539" s="389" t="e">
        <f>B536</f>
        <v>#REF!</v>
      </c>
      <c r="C539" s="229"/>
      <c r="D539" s="63"/>
    </row>
    <row r="540" spans="1:4" ht="15.75" thickBot="1">
      <c r="A540" s="383" t="s">
        <v>347</v>
      </c>
      <c r="B540" s="74"/>
      <c r="C540" s="74"/>
      <c r="D540" s="75" t="s">
        <v>158</v>
      </c>
    </row>
    <row r="544" spans="1:4" ht="15.75" thickBot="1"/>
    <row r="545" spans="1:4" ht="20.25">
      <c r="A545" s="927" t="s">
        <v>310</v>
      </c>
      <c r="B545" s="928"/>
      <c r="C545" s="928"/>
      <c r="D545" s="929"/>
    </row>
    <row r="546" spans="1:4">
      <c r="A546" s="930" t="s">
        <v>311</v>
      </c>
      <c r="B546" s="931"/>
      <c r="C546" s="931"/>
      <c r="D546" s="932"/>
    </row>
    <row r="547" spans="1:4" ht="18">
      <c r="A547" s="933" t="s">
        <v>312</v>
      </c>
      <c r="B547" s="934"/>
      <c r="C547" s="934"/>
      <c r="D547" s="935"/>
    </row>
    <row r="548" spans="1:4">
      <c r="A548" s="62" t="s">
        <v>149</v>
      </c>
      <c r="B548" s="47"/>
      <c r="C548" s="47"/>
      <c r="D548" s="63"/>
    </row>
    <row r="549" spans="1:4" ht="18">
      <c r="A549" s="376" t="str">
        <f>'PUNJAB 04-22Master'!F5</f>
        <v>Burgeon IT Services Pvt.Ltd.</v>
      </c>
      <c r="B549" s="349"/>
      <c r="C549" s="47"/>
      <c r="D549" s="63"/>
    </row>
    <row r="550" spans="1:4" ht="18">
      <c r="A550" s="376" t="str">
        <f>'PUNJAB 04-22Master'!F6</f>
        <v>Siri Mansion LIGB 436 Dr.A S Rao Nagar,Hyderabad</v>
      </c>
      <c r="B550" s="349"/>
      <c r="C550" s="47"/>
      <c r="D550" s="63"/>
    </row>
    <row r="551" spans="1:4" ht="18">
      <c r="A551" s="352"/>
      <c r="B551" s="353"/>
      <c r="C551" s="47"/>
      <c r="D551" s="63"/>
    </row>
    <row r="552" spans="1:4" ht="15.75">
      <c r="A552" s="351" t="s">
        <v>313</v>
      </c>
      <c r="B552" s="377"/>
      <c r="C552" s="378" t="e">
        <f>'PUNJAB 04-22Master'!#REF!</f>
        <v>#REF!</v>
      </c>
      <c r="D552" s="153"/>
    </row>
    <row r="553" spans="1:4">
      <c r="A553" s="924" t="s">
        <v>314</v>
      </c>
      <c r="B553" s="925"/>
      <c r="C553" s="925"/>
      <c r="D553" s="926"/>
    </row>
    <row r="554" spans="1:4">
      <c r="A554" s="62"/>
      <c r="B554" s="47"/>
      <c r="C554" s="47"/>
      <c r="D554" s="63"/>
    </row>
    <row r="555" spans="1:4">
      <c r="A555" s="924" t="s">
        <v>315</v>
      </c>
      <c r="B555" s="925"/>
      <c r="C555" s="925"/>
      <c r="D555" s="926"/>
    </row>
    <row r="556" spans="1:4">
      <c r="A556" s="354"/>
      <c r="B556" s="355"/>
      <c r="C556" s="355"/>
      <c r="D556" s="356"/>
    </row>
    <row r="557" spans="1:4">
      <c r="A557" s="918" t="s">
        <v>316</v>
      </c>
      <c r="B557" s="919"/>
      <c r="C557" s="919"/>
      <c r="D557" s="920"/>
    </row>
    <row r="558" spans="1:4">
      <c r="A558" s="62"/>
      <c r="B558" s="47"/>
      <c r="C558" s="47"/>
      <c r="D558" s="63"/>
    </row>
    <row r="559" spans="1:4">
      <c r="A559" s="918" t="s">
        <v>317</v>
      </c>
      <c r="B559" s="919"/>
      <c r="C559" s="919"/>
      <c r="D559" s="920"/>
    </row>
    <row r="560" spans="1:4">
      <c r="A560" s="918" t="s">
        <v>318</v>
      </c>
      <c r="B560" s="919"/>
      <c r="C560" s="919"/>
      <c r="D560" s="920"/>
    </row>
    <row r="561" spans="1:4">
      <c r="A561" s="350"/>
      <c r="B561" s="357"/>
      <c r="C561" s="357"/>
      <c r="D561" s="358"/>
    </row>
    <row r="562" spans="1:4">
      <c r="A562" s="924" t="s">
        <v>319</v>
      </c>
      <c r="B562" s="925"/>
      <c r="C562" s="925"/>
      <c r="D562" s="926"/>
    </row>
    <row r="563" spans="1:4">
      <c r="A563" s="350"/>
      <c r="B563" s="357"/>
      <c r="C563" s="357"/>
      <c r="D563" s="358"/>
    </row>
    <row r="564" spans="1:4">
      <c r="A564" s="918" t="s">
        <v>320</v>
      </c>
      <c r="B564" s="919"/>
      <c r="C564" s="919"/>
      <c r="D564" s="920"/>
    </row>
    <row r="565" spans="1:4">
      <c r="A565" s="62"/>
      <c r="B565" s="47"/>
      <c r="C565" s="47"/>
      <c r="D565" s="63"/>
    </row>
    <row r="566" spans="1:4">
      <c r="A566" s="915" t="s">
        <v>321</v>
      </c>
      <c r="B566" s="916"/>
      <c r="C566" s="916"/>
      <c r="D566" s="917"/>
    </row>
    <row r="567" spans="1:4" ht="42.75">
      <c r="A567" s="359" t="s">
        <v>322</v>
      </c>
      <c r="B567" s="360" t="s">
        <v>323</v>
      </c>
      <c r="C567" s="360" t="s">
        <v>324</v>
      </c>
      <c r="D567" s="361" t="s">
        <v>325</v>
      </c>
    </row>
    <row r="568" spans="1:4">
      <c r="A568" s="362">
        <v>1</v>
      </c>
      <c r="B568" s="366">
        <v>2</v>
      </c>
      <c r="C568" s="366">
        <v>3</v>
      </c>
      <c r="D568" s="367">
        <v>4</v>
      </c>
    </row>
    <row r="569" spans="1:4">
      <c r="A569" s="62" t="e">
        <f>'PUNJAB 04-22Master'!#REF!</f>
        <v>#REF!</v>
      </c>
      <c r="B569" s="30" t="s">
        <v>366</v>
      </c>
      <c r="C569" s="30" t="s">
        <v>373</v>
      </c>
      <c r="D569" s="398">
        <v>1</v>
      </c>
    </row>
    <row r="570" spans="1:4">
      <c r="A570" s="382"/>
      <c r="B570" s="30"/>
      <c r="C570" s="30"/>
      <c r="D570" s="365"/>
    </row>
    <row r="571" spans="1:4">
      <c r="A571" s="379"/>
      <c r="B571" s="30"/>
      <c r="C571" s="30"/>
      <c r="D571" s="365"/>
    </row>
    <row r="572" spans="1:4">
      <c r="A572" s="62"/>
      <c r="B572" s="47"/>
      <c r="C572" s="47"/>
      <c r="D572" s="63"/>
    </row>
    <row r="573" spans="1:4">
      <c r="A573" s="915" t="s">
        <v>326</v>
      </c>
      <c r="B573" s="916"/>
      <c r="C573" s="916"/>
      <c r="D573" s="917"/>
    </row>
    <row r="574" spans="1:4">
      <c r="A574" s="329"/>
      <c r="B574" s="330"/>
      <c r="C574" s="330"/>
      <c r="D574" s="331"/>
    </row>
    <row r="575" spans="1:4">
      <c r="A575" s="921" t="s">
        <v>327</v>
      </c>
      <c r="B575" s="922"/>
      <c r="C575" s="936" t="e">
        <f>'PUNJAB 04-22Master'!#REF!</f>
        <v>#REF!</v>
      </c>
      <c r="D575" s="923"/>
    </row>
    <row r="576" spans="1:4">
      <c r="A576" s="921" t="s">
        <v>328</v>
      </c>
      <c r="B576" s="922"/>
      <c r="C576" s="800" t="e">
        <f>'PUNJAB 04-22Master'!#REF!</f>
        <v>#REF!</v>
      </c>
      <c r="D576" s="923"/>
    </row>
    <row r="577" spans="1:4">
      <c r="A577" s="921" t="s">
        <v>329</v>
      </c>
      <c r="B577" s="922"/>
      <c r="C577" s="800" t="s">
        <v>374</v>
      </c>
      <c r="D577" s="923"/>
    </row>
    <row r="578" spans="1:4">
      <c r="A578" s="921" t="s">
        <v>330</v>
      </c>
      <c r="B578" s="922"/>
      <c r="C578" s="800" t="s">
        <v>372</v>
      </c>
      <c r="D578" s="923"/>
    </row>
    <row r="579" spans="1:4">
      <c r="A579" s="921" t="s">
        <v>331</v>
      </c>
      <c r="B579" s="922"/>
      <c r="C579" s="936" t="e">
        <f>'PUNJAB 04-22Master'!#REF!</f>
        <v>#REF!</v>
      </c>
      <c r="D579" s="923"/>
    </row>
    <row r="580" spans="1:4">
      <c r="A580" s="921" t="s">
        <v>332</v>
      </c>
      <c r="B580" s="922"/>
      <c r="C580" s="936" t="e">
        <f>'PUNJAB 04-22Master'!#REF!</f>
        <v>#REF!</v>
      </c>
      <c r="D580" s="923"/>
    </row>
    <row r="581" spans="1:4">
      <c r="A581" s="921" t="s">
        <v>333</v>
      </c>
      <c r="B581" s="922"/>
      <c r="C581" s="937" t="e">
        <f>'PUNJAB 04-22Master'!#REF!</f>
        <v>#REF!</v>
      </c>
      <c r="D581" s="923"/>
    </row>
    <row r="582" spans="1:4">
      <c r="A582" s="921" t="s">
        <v>334</v>
      </c>
      <c r="B582" s="922"/>
      <c r="C582" s="800"/>
      <c r="D582" s="923"/>
    </row>
    <row r="583" spans="1:4">
      <c r="A583" s="921"/>
      <c r="B583" s="922"/>
      <c r="C583" s="936" t="e">
        <f>'PUNJAB 04-22Master'!#REF!</f>
        <v>#REF!</v>
      </c>
      <c r="D583" s="923"/>
    </row>
    <row r="584" spans="1:4">
      <c r="A584" s="921"/>
      <c r="B584" s="922"/>
      <c r="C584" s="936" t="e">
        <f>'PUNJAB 04-22Master'!#REF!</f>
        <v>#REF!</v>
      </c>
      <c r="D584" s="923"/>
    </row>
    <row r="585" spans="1:4">
      <c r="A585" s="921"/>
      <c r="B585" s="922"/>
      <c r="C585" s="936" t="e">
        <f>'PUNJAB 04-22Master'!#REF!</f>
        <v>#REF!</v>
      </c>
      <c r="D585" s="923"/>
    </row>
    <row r="586" spans="1:4">
      <c r="A586" s="350" t="s">
        <v>276</v>
      </c>
      <c r="B586" s="357" t="s">
        <v>364</v>
      </c>
      <c r="C586" s="357"/>
      <c r="D586" s="358"/>
    </row>
    <row r="587" spans="1:4">
      <c r="A587" s="350" t="s">
        <v>335</v>
      </c>
      <c r="B587" s="399" t="e">
        <f>'PUNJAB 04-22Master'!#REF!</f>
        <v>#REF!</v>
      </c>
      <c r="C587" s="368" t="s">
        <v>336</v>
      </c>
      <c r="D587" s="358"/>
    </row>
    <row r="588" spans="1:4">
      <c r="A588" s="350"/>
      <c r="B588" s="357"/>
      <c r="C588" s="357"/>
      <c r="D588" s="358"/>
    </row>
    <row r="589" spans="1:4">
      <c r="A589" s="915" t="s">
        <v>337</v>
      </c>
      <c r="B589" s="916"/>
      <c r="C589" s="916"/>
      <c r="D589" s="917"/>
    </row>
    <row r="590" spans="1:4">
      <c r="A590" s="350" t="s">
        <v>338</v>
      </c>
      <c r="B590" s="357"/>
      <c r="C590" s="357"/>
      <c r="D590" s="358"/>
    </row>
    <row r="591" spans="1:4">
      <c r="A591" s="350"/>
      <c r="B591" s="357"/>
      <c r="C591" s="357"/>
      <c r="D591" s="358"/>
    </row>
    <row r="592" spans="1:4">
      <c r="A592" s="918" t="s">
        <v>339</v>
      </c>
      <c r="B592" s="919"/>
      <c r="C592" s="919" t="s">
        <v>340</v>
      </c>
      <c r="D592" s="920"/>
    </row>
    <row r="593" spans="1:4">
      <c r="A593" s="905">
        <v>1</v>
      </c>
      <c r="B593" s="906"/>
      <c r="C593" s="906">
        <v>1</v>
      </c>
      <c r="D593" s="907"/>
    </row>
    <row r="594" spans="1:4">
      <c r="A594" s="905">
        <v>2</v>
      </c>
      <c r="B594" s="906"/>
      <c r="C594" s="906">
        <v>2</v>
      </c>
      <c r="D594" s="907"/>
    </row>
    <row r="595" spans="1:4">
      <c r="A595" s="369"/>
      <c r="B595" s="47"/>
      <c r="C595" s="908" t="s">
        <v>345</v>
      </c>
      <c r="D595" s="909"/>
    </row>
    <row r="596" spans="1:4">
      <c r="A596" s="910" t="s">
        <v>341</v>
      </c>
      <c r="B596" s="911"/>
      <c r="C596" s="911"/>
      <c r="D596" s="912"/>
    </row>
    <row r="597" spans="1:4">
      <c r="A597" s="372" t="s">
        <v>342</v>
      </c>
      <c r="B597" s="373"/>
      <c r="C597" s="373"/>
      <c r="D597" s="374"/>
    </row>
    <row r="598" spans="1:4">
      <c r="A598" s="372"/>
      <c r="B598" s="373"/>
      <c r="C598" s="373"/>
      <c r="D598" s="374"/>
    </row>
    <row r="599" spans="1:4">
      <c r="A599" s="372"/>
      <c r="B599" s="373"/>
      <c r="C599" s="373" t="s">
        <v>343</v>
      </c>
      <c r="D599" s="374"/>
    </row>
    <row r="600" spans="1:4">
      <c r="A600" s="369"/>
      <c r="B600" s="370"/>
      <c r="C600" s="332" t="s">
        <v>160</v>
      </c>
      <c r="D600" s="371"/>
    </row>
    <row r="601" spans="1:4">
      <c r="A601" s="369"/>
      <c r="B601" s="47"/>
      <c r="C601" s="47" t="s">
        <v>344</v>
      </c>
      <c r="D601" s="375"/>
    </row>
    <row r="602" spans="1:4">
      <c r="A602" s="369"/>
      <c r="B602" s="47"/>
      <c r="C602" s="913">
        <f>'PUNJAB 04-22Master'!F538</f>
        <v>0</v>
      </c>
      <c r="D602" s="914"/>
    </row>
    <row r="603" spans="1:4">
      <c r="A603" s="350" t="s">
        <v>276</v>
      </c>
      <c r="B603" s="47" t="str">
        <f>B586</f>
        <v>Hyderabad</v>
      </c>
      <c r="C603" s="229">
        <f>'PUNJAB 04-22Master'!F539</f>
        <v>0</v>
      </c>
      <c r="D603" s="63"/>
    </row>
    <row r="604" spans="1:4" ht="15.75" thickBot="1">
      <c r="A604" s="350" t="s">
        <v>335</v>
      </c>
      <c r="B604" s="389" t="e">
        <f>B587</f>
        <v>#REF!</v>
      </c>
      <c r="C604" s="229"/>
      <c r="D604" s="63"/>
    </row>
    <row r="605" spans="1:4" ht="15.75" thickBot="1">
      <c r="A605" s="380"/>
      <c r="B605" s="381" t="s">
        <v>348</v>
      </c>
      <c r="C605" s="381"/>
      <c r="D605" s="79"/>
    </row>
    <row r="606" spans="1:4">
      <c r="A606" s="350" t="s">
        <v>346</v>
      </c>
      <c r="B606" s="47"/>
      <c r="C606" s="229"/>
      <c r="D606" s="63"/>
    </row>
    <row r="607" spans="1:4">
      <c r="A607" s="350" t="s">
        <v>335</v>
      </c>
      <c r="B607" s="389" t="e">
        <f>B604</f>
        <v>#REF!</v>
      </c>
      <c r="C607" s="229"/>
      <c r="D607" s="63"/>
    </row>
    <row r="608" spans="1:4" ht="15.75" thickBot="1">
      <c r="A608" s="383" t="s">
        <v>347</v>
      </c>
      <c r="B608" s="74"/>
      <c r="C608" s="74"/>
      <c r="D608" s="75" t="s">
        <v>158</v>
      </c>
    </row>
    <row r="612" spans="1:4" ht="15.75" thickBot="1"/>
    <row r="613" spans="1:4" ht="20.25">
      <c r="A613" s="927" t="s">
        <v>310</v>
      </c>
      <c r="B613" s="928"/>
      <c r="C613" s="928"/>
      <c r="D613" s="929"/>
    </row>
    <row r="614" spans="1:4">
      <c r="A614" s="930" t="s">
        <v>311</v>
      </c>
      <c r="B614" s="931"/>
      <c r="C614" s="931"/>
      <c r="D614" s="932"/>
    </row>
    <row r="615" spans="1:4" ht="18">
      <c r="A615" s="933" t="s">
        <v>312</v>
      </c>
      <c r="B615" s="934"/>
      <c r="C615" s="934"/>
      <c r="D615" s="935"/>
    </row>
    <row r="616" spans="1:4">
      <c r="A616" s="62" t="s">
        <v>149</v>
      </c>
      <c r="B616" s="47"/>
      <c r="C616" s="47"/>
      <c r="D616" s="63"/>
    </row>
    <row r="617" spans="1:4" ht="18">
      <c r="A617" s="376">
        <f>'PUNJAB 04-22Master'!F606</f>
        <v>0</v>
      </c>
      <c r="B617" s="349"/>
      <c r="C617" s="47"/>
      <c r="D617" s="63"/>
    </row>
    <row r="618" spans="1:4" ht="18">
      <c r="A618" s="376">
        <f>'PUNJAB 04-22Master'!F607</f>
        <v>0</v>
      </c>
      <c r="B618" s="349"/>
      <c r="C618" s="47"/>
      <c r="D618" s="63"/>
    </row>
    <row r="619" spans="1:4" ht="18">
      <c r="A619" s="352"/>
      <c r="B619" s="353"/>
      <c r="C619" s="47"/>
      <c r="D619" s="63"/>
    </row>
    <row r="620" spans="1:4" ht="15.75">
      <c r="A620" s="351" t="s">
        <v>313</v>
      </c>
      <c r="B620" s="377"/>
      <c r="C620" s="378">
        <f>'PUNJAB 04-22Master'!B616</f>
        <v>0</v>
      </c>
      <c r="D620" s="153"/>
    </row>
    <row r="621" spans="1:4">
      <c r="A621" s="924" t="s">
        <v>314</v>
      </c>
      <c r="B621" s="925"/>
      <c r="C621" s="925"/>
      <c r="D621" s="926"/>
    </row>
    <row r="622" spans="1:4">
      <c r="A622" s="62"/>
      <c r="B622" s="47"/>
      <c r="C622" s="47"/>
      <c r="D622" s="63"/>
    </row>
    <row r="623" spans="1:4">
      <c r="A623" s="924" t="s">
        <v>315</v>
      </c>
      <c r="B623" s="925"/>
      <c r="C623" s="925"/>
      <c r="D623" s="926"/>
    </row>
    <row r="624" spans="1:4">
      <c r="A624" s="354"/>
      <c r="B624" s="355"/>
      <c r="C624" s="355"/>
      <c r="D624" s="356"/>
    </row>
    <row r="625" spans="1:4">
      <c r="A625" s="918" t="s">
        <v>316</v>
      </c>
      <c r="B625" s="919"/>
      <c r="C625" s="919"/>
      <c r="D625" s="920"/>
    </row>
    <row r="626" spans="1:4">
      <c r="A626" s="62"/>
      <c r="B626" s="47"/>
      <c r="C626" s="47"/>
      <c r="D626" s="63"/>
    </row>
    <row r="627" spans="1:4">
      <c r="A627" s="918" t="s">
        <v>317</v>
      </c>
      <c r="B627" s="919"/>
      <c r="C627" s="919"/>
      <c r="D627" s="920"/>
    </row>
    <row r="628" spans="1:4">
      <c r="A628" s="918" t="s">
        <v>318</v>
      </c>
      <c r="B628" s="919"/>
      <c r="C628" s="919"/>
      <c r="D628" s="920"/>
    </row>
    <row r="629" spans="1:4">
      <c r="A629" s="350"/>
      <c r="B629" s="357"/>
      <c r="C629" s="357"/>
      <c r="D629" s="358"/>
    </row>
    <row r="630" spans="1:4">
      <c r="A630" s="924" t="s">
        <v>319</v>
      </c>
      <c r="B630" s="925"/>
      <c r="C630" s="925"/>
      <c r="D630" s="926"/>
    </row>
    <row r="631" spans="1:4">
      <c r="A631" s="350"/>
      <c r="B631" s="357"/>
      <c r="C631" s="357"/>
      <c r="D631" s="358"/>
    </row>
    <row r="632" spans="1:4">
      <c r="A632" s="918" t="s">
        <v>320</v>
      </c>
      <c r="B632" s="919"/>
      <c r="C632" s="919"/>
      <c r="D632" s="920"/>
    </row>
    <row r="633" spans="1:4">
      <c r="A633" s="62"/>
      <c r="B633" s="47"/>
      <c r="C633" s="47"/>
      <c r="D633" s="63"/>
    </row>
    <row r="634" spans="1:4">
      <c r="A634" s="915" t="s">
        <v>321</v>
      </c>
      <c r="B634" s="916"/>
      <c r="C634" s="916"/>
      <c r="D634" s="917"/>
    </row>
    <row r="635" spans="1:4" ht="42.75">
      <c r="A635" s="359" t="s">
        <v>322</v>
      </c>
      <c r="B635" s="360" t="s">
        <v>323</v>
      </c>
      <c r="C635" s="360" t="s">
        <v>324</v>
      </c>
      <c r="D635" s="361" t="s">
        <v>325</v>
      </c>
    </row>
    <row r="636" spans="1:4">
      <c r="A636" s="362">
        <v>1</v>
      </c>
      <c r="B636" s="366">
        <v>2</v>
      </c>
      <c r="C636" s="366">
        <v>3</v>
      </c>
      <c r="D636" s="367">
        <v>4</v>
      </c>
    </row>
    <row r="637" spans="1:4">
      <c r="A637" s="62"/>
      <c r="B637" s="30" t="s">
        <v>366</v>
      </c>
      <c r="C637" s="30" t="s">
        <v>373</v>
      </c>
      <c r="D637" s="398">
        <v>1</v>
      </c>
    </row>
    <row r="638" spans="1:4">
      <c r="A638" s="382"/>
      <c r="B638" s="30"/>
      <c r="C638" s="30"/>
      <c r="D638" s="365"/>
    </row>
    <row r="639" spans="1:4">
      <c r="A639" s="379"/>
      <c r="B639" s="30"/>
      <c r="C639" s="30"/>
      <c r="D639" s="365"/>
    </row>
    <row r="640" spans="1:4">
      <c r="A640" s="62"/>
      <c r="B640" s="47"/>
      <c r="C640" s="47"/>
      <c r="D640" s="63"/>
    </row>
    <row r="641" spans="1:4">
      <c r="A641" s="915" t="s">
        <v>326</v>
      </c>
      <c r="B641" s="916"/>
      <c r="C641" s="916"/>
      <c r="D641" s="917"/>
    </row>
    <row r="642" spans="1:4">
      <c r="A642" s="329"/>
      <c r="B642" s="330"/>
      <c r="C642" s="330"/>
      <c r="D642" s="331"/>
    </row>
    <row r="643" spans="1:4">
      <c r="A643" s="921" t="s">
        <v>327</v>
      </c>
      <c r="B643" s="922"/>
      <c r="C643" s="800"/>
      <c r="D643" s="923"/>
    </row>
    <row r="644" spans="1:4">
      <c r="A644" s="921" t="s">
        <v>328</v>
      </c>
      <c r="B644" s="922"/>
      <c r="C644" s="800"/>
      <c r="D644" s="923"/>
    </row>
    <row r="645" spans="1:4">
      <c r="A645" s="921" t="s">
        <v>329</v>
      </c>
      <c r="B645" s="922"/>
      <c r="C645" s="800"/>
      <c r="D645" s="923"/>
    </row>
    <row r="646" spans="1:4">
      <c r="A646" s="921" t="s">
        <v>330</v>
      </c>
      <c r="B646" s="922"/>
      <c r="C646" s="800"/>
      <c r="D646" s="923"/>
    </row>
    <row r="647" spans="1:4">
      <c r="A647" s="921" t="s">
        <v>331</v>
      </c>
      <c r="B647" s="922"/>
      <c r="C647" s="800"/>
      <c r="D647" s="923"/>
    </row>
    <row r="648" spans="1:4">
      <c r="A648" s="921" t="s">
        <v>332</v>
      </c>
      <c r="B648" s="922"/>
      <c r="C648" s="800"/>
      <c r="D648" s="923"/>
    </row>
    <row r="649" spans="1:4">
      <c r="A649" s="921" t="s">
        <v>333</v>
      </c>
      <c r="B649" s="922"/>
      <c r="C649" s="800"/>
      <c r="D649" s="923"/>
    </row>
    <row r="650" spans="1:4">
      <c r="A650" s="921" t="s">
        <v>334</v>
      </c>
      <c r="B650" s="922"/>
      <c r="C650" s="800"/>
      <c r="D650" s="923"/>
    </row>
    <row r="651" spans="1:4">
      <c r="A651" s="921"/>
      <c r="B651" s="922"/>
      <c r="C651" s="800"/>
      <c r="D651" s="923"/>
    </row>
    <row r="652" spans="1:4">
      <c r="A652" s="921"/>
      <c r="B652" s="922"/>
      <c r="C652" s="800"/>
      <c r="D652" s="923"/>
    </row>
    <row r="653" spans="1:4">
      <c r="A653" s="921"/>
      <c r="B653" s="922"/>
      <c r="C653" s="800"/>
      <c r="D653" s="923"/>
    </row>
    <row r="654" spans="1:4">
      <c r="A654" s="350" t="s">
        <v>276</v>
      </c>
      <c r="B654" s="357"/>
      <c r="C654" s="357"/>
      <c r="D654" s="358"/>
    </row>
    <row r="655" spans="1:4">
      <c r="A655" s="350" t="s">
        <v>335</v>
      </c>
      <c r="B655" s="357"/>
      <c r="C655" s="368" t="s">
        <v>336</v>
      </c>
      <c r="D655" s="358"/>
    </row>
    <row r="656" spans="1:4">
      <c r="A656" s="350"/>
      <c r="B656" s="357"/>
      <c r="C656" s="357"/>
      <c r="D656" s="358"/>
    </row>
    <row r="657" spans="1:4">
      <c r="A657" s="915" t="s">
        <v>337</v>
      </c>
      <c r="B657" s="916"/>
      <c r="C657" s="916"/>
      <c r="D657" s="917"/>
    </row>
    <row r="658" spans="1:4">
      <c r="A658" s="350" t="s">
        <v>338</v>
      </c>
      <c r="B658" s="357"/>
      <c r="C658" s="357"/>
      <c r="D658" s="358"/>
    </row>
    <row r="659" spans="1:4">
      <c r="A659" s="350"/>
      <c r="B659" s="357"/>
      <c r="C659" s="357"/>
      <c r="D659" s="358"/>
    </row>
    <row r="660" spans="1:4">
      <c r="A660" s="918" t="s">
        <v>339</v>
      </c>
      <c r="B660" s="919"/>
      <c r="C660" s="919" t="s">
        <v>340</v>
      </c>
      <c r="D660" s="920"/>
    </row>
    <row r="661" spans="1:4">
      <c r="A661" s="905">
        <v>1</v>
      </c>
      <c r="B661" s="906"/>
      <c r="C661" s="906">
        <v>1</v>
      </c>
      <c r="D661" s="907"/>
    </row>
    <row r="662" spans="1:4">
      <c r="A662" s="905">
        <v>2</v>
      </c>
      <c r="B662" s="906"/>
      <c r="C662" s="906">
        <v>2</v>
      </c>
      <c r="D662" s="907"/>
    </row>
    <row r="663" spans="1:4">
      <c r="A663" s="369"/>
      <c r="B663" s="47"/>
      <c r="C663" s="908" t="s">
        <v>345</v>
      </c>
      <c r="D663" s="909"/>
    </row>
    <row r="664" spans="1:4">
      <c r="A664" s="910" t="s">
        <v>341</v>
      </c>
      <c r="B664" s="911"/>
      <c r="C664" s="911"/>
      <c r="D664" s="912"/>
    </row>
    <row r="665" spans="1:4">
      <c r="A665" s="372" t="s">
        <v>342</v>
      </c>
      <c r="B665" s="373"/>
      <c r="C665" s="373"/>
      <c r="D665" s="374"/>
    </row>
    <row r="666" spans="1:4">
      <c r="A666" s="372"/>
      <c r="B666" s="373"/>
      <c r="C666" s="373"/>
      <c r="D666" s="374"/>
    </row>
    <row r="667" spans="1:4">
      <c r="A667" s="372"/>
      <c r="B667" s="373"/>
      <c r="C667" s="373" t="s">
        <v>343</v>
      </c>
      <c r="D667" s="374"/>
    </row>
    <row r="668" spans="1:4">
      <c r="A668" s="369"/>
      <c r="B668" s="370"/>
      <c r="C668" s="332" t="s">
        <v>160</v>
      </c>
      <c r="D668" s="371"/>
    </row>
    <row r="669" spans="1:4">
      <c r="A669" s="369"/>
      <c r="B669" s="47"/>
      <c r="C669" s="47" t="s">
        <v>344</v>
      </c>
      <c r="D669" s="375"/>
    </row>
    <row r="670" spans="1:4">
      <c r="A670" s="369"/>
      <c r="B670" s="47"/>
      <c r="C670" s="913">
        <f>'PUNJAB 04-22Master'!F606</f>
        <v>0</v>
      </c>
      <c r="D670" s="914"/>
    </row>
    <row r="671" spans="1:4">
      <c r="A671" s="350" t="s">
        <v>276</v>
      </c>
      <c r="B671" s="47"/>
      <c r="C671" s="229">
        <f>'PUNJAB 04-22Master'!F607</f>
        <v>0</v>
      </c>
      <c r="D671" s="63"/>
    </row>
    <row r="672" spans="1:4" ht="15.75" thickBot="1">
      <c r="A672" s="350" t="s">
        <v>335</v>
      </c>
      <c r="B672" s="47"/>
      <c r="C672" s="229"/>
      <c r="D672" s="63"/>
    </row>
    <row r="673" spans="1:4" ht="15.75" thickBot="1">
      <c r="A673" s="380"/>
      <c r="B673" s="381" t="s">
        <v>348</v>
      </c>
      <c r="C673" s="381"/>
      <c r="D673" s="79"/>
    </row>
    <row r="674" spans="1:4">
      <c r="A674" s="350" t="s">
        <v>346</v>
      </c>
      <c r="B674" s="47"/>
      <c r="C674" s="229"/>
      <c r="D674" s="63"/>
    </row>
    <row r="675" spans="1:4">
      <c r="A675" s="350" t="s">
        <v>335</v>
      </c>
      <c r="B675" s="47"/>
      <c r="C675" s="229"/>
      <c r="D675" s="63"/>
    </row>
    <row r="676" spans="1:4" ht="15.75" thickBot="1">
      <c r="A676" s="383" t="s">
        <v>347</v>
      </c>
      <c r="B676" s="74"/>
      <c r="C676" s="74"/>
      <c r="D676" s="75" t="s">
        <v>158</v>
      </c>
    </row>
    <row r="680" spans="1:4" ht="15.75" thickBot="1"/>
    <row r="681" spans="1:4" ht="20.25">
      <c r="A681" s="927" t="s">
        <v>310</v>
      </c>
      <c r="B681" s="928"/>
      <c r="C681" s="928"/>
      <c r="D681" s="929"/>
    </row>
    <row r="682" spans="1:4">
      <c r="A682" s="930" t="s">
        <v>311</v>
      </c>
      <c r="B682" s="931"/>
      <c r="C682" s="931"/>
      <c r="D682" s="932"/>
    </row>
    <row r="683" spans="1:4" ht="18">
      <c r="A683" s="933" t="s">
        <v>312</v>
      </c>
      <c r="B683" s="934"/>
      <c r="C683" s="934"/>
      <c r="D683" s="935"/>
    </row>
    <row r="684" spans="1:4">
      <c r="A684" s="62" t="s">
        <v>149</v>
      </c>
      <c r="B684" s="47"/>
      <c r="C684" s="47"/>
      <c r="D684" s="63"/>
    </row>
    <row r="685" spans="1:4" ht="18">
      <c r="A685" s="376">
        <f>'PUNJAB 04-22Master'!F674</f>
        <v>0</v>
      </c>
      <c r="B685" s="349"/>
      <c r="C685" s="47"/>
      <c r="D685" s="63"/>
    </row>
    <row r="686" spans="1:4" ht="18">
      <c r="A686" s="376">
        <f>'PUNJAB 04-22Master'!F675</f>
        <v>0</v>
      </c>
      <c r="B686" s="349"/>
      <c r="C686" s="47"/>
      <c r="D686" s="63"/>
    </row>
    <row r="687" spans="1:4" ht="18">
      <c r="A687" s="352"/>
      <c r="B687" s="353"/>
      <c r="C687" s="47"/>
      <c r="D687" s="63"/>
    </row>
    <row r="688" spans="1:4" ht="15.75">
      <c r="A688" s="351" t="s">
        <v>313</v>
      </c>
      <c r="B688" s="377"/>
      <c r="C688" s="378">
        <f>'PUNJAB 04-22Master'!B684</f>
        <v>0</v>
      </c>
      <c r="D688" s="153"/>
    </row>
    <row r="689" spans="1:4">
      <c r="A689" s="924" t="s">
        <v>314</v>
      </c>
      <c r="B689" s="925"/>
      <c r="C689" s="925"/>
      <c r="D689" s="926"/>
    </row>
    <row r="690" spans="1:4">
      <c r="A690" s="62"/>
      <c r="B690" s="47"/>
      <c r="C690" s="47"/>
      <c r="D690" s="63"/>
    </row>
    <row r="691" spans="1:4">
      <c r="A691" s="924" t="s">
        <v>315</v>
      </c>
      <c r="B691" s="925"/>
      <c r="C691" s="925"/>
      <c r="D691" s="926"/>
    </row>
    <row r="692" spans="1:4">
      <c r="A692" s="354"/>
      <c r="B692" s="355"/>
      <c r="C692" s="355"/>
      <c r="D692" s="356"/>
    </row>
    <row r="693" spans="1:4">
      <c r="A693" s="918" t="s">
        <v>316</v>
      </c>
      <c r="B693" s="919"/>
      <c r="C693" s="919"/>
      <c r="D693" s="920"/>
    </row>
    <row r="694" spans="1:4">
      <c r="A694" s="62"/>
      <c r="B694" s="47"/>
      <c r="C694" s="47"/>
      <c r="D694" s="63"/>
    </row>
    <row r="695" spans="1:4">
      <c r="A695" s="918" t="s">
        <v>317</v>
      </c>
      <c r="B695" s="919"/>
      <c r="C695" s="919"/>
      <c r="D695" s="920"/>
    </row>
    <row r="696" spans="1:4">
      <c r="A696" s="918" t="s">
        <v>318</v>
      </c>
      <c r="B696" s="919"/>
      <c r="C696" s="919"/>
      <c r="D696" s="920"/>
    </row>
    <row r="697" spans="1:4">
      <c r="A697" s="350"/>
      <c r="B697" s="357"/>
      <c r="C697" s="357"/>
      <c r="D697" s="358"/>
    </row>
    <row r="698" spans="1:4">
      <c r="A698" s="924" t="s">
        <v>319</v>
      </c>
      <c r="B698" s="925"/>
      <c r="C698" s="925"/>
      <c r="D698" s="926"/>
    </row>
    <row r="699" spans="1:4">
      <c r="A699" s="350"/>
      <c r="B699" s="357"/>
      <c r="C699" s="357"/>
      <c r="D699" s="358"/>
    </row>
    <row r="700" spans="1:4">
      <c r="A700" s="918" t="s">
        <v>320</v>
      </c>
      <c r="B700" s="919"/>
      <c r="C700" s="919"/>
      <c r="D700" s="920"/>
    </row>
    <row r="701" spans="1:4">
      <c r="A701" s="62"/>
      <c r="B701" s="47"/>
      <c r="C701" s="47"/>
      <c r="D701" s="63"/>
    </row>
    <row r="702" spans="1:4">
      <c r="A702" s="915" t="s">
        <v>321</v>
      </c>
      <c r="B702" s="916"/>
      <c r="C702" s="916"/>
      <c r="D702" s="917"/>
    </row>
    <row r="703" spans="1:4" ht="42.75">
      <c r="A703" s="359" t="s">
        <v>322</v>
      </c>
      <c r="B703" s="360" t="s">
        <v>323</v>
      </c>
      <c r="C703" s="360" t="s">
        <v>324</v>
      </c>
      <c r="D703" s="361" t="s">
        <v>325</v>
      </c>
    </row>
    <row r="704" spans="1:4">
      <c r="A704" s="362">
        <v>1</v>
      </c>
      <c r="B704" s="366">
        <v>2</v>
      </c>
      <c r="C704" s="366">
        <v>3</v>
      </c>
      <c r="D704" s="367">
        <v>4</v>
      </c>
    </row>
    <row r="705" spans="1:4">
      <c r="A705" s="62"/>
      <c r="B705" s="30" t="s">
        <v>366</v>
      </c>
      <c r="C705" s="30" t="s">
        <v>373</v>
      </c>
      <c r="D705" s="398">
        <v>1</v>
      </c>
    </row>
    <row r="706" spans="1:4">
      <c r="A706" s="382"/>
      <c r="B706" s="30"/>
      <c r="C706" s="30"/>
      <c r="D706" s="365"/>
    </row>
    <row r="707" spans="1:4">
      <c r="A707" s="379"/>
      <c r="B707" s="30"/>
      <c r="C707" s="30"/>
      <c r="D707" s="365"/>
    </row>
    <row r="708" spans="1:4">
      <c r="A708" s="62"/>
      <c r="B708" s="47"/>
      <c r="C708" s="47"/>
      <c r="D708" s="63"/>
    </row>
    <row r="709" spans="1:4">
      <c r="A709" s="915" t="s">
        <v>326</v>
      </c>
      <c r="B709" s="916"/>
      <c r="C709" s="916"/>
      <c r="D709" s="917"/>
    </row>
    <row r="710" spans="1:4">
      <c r="A710" s="329"/>
      <c r="B710" s="330"/>
      <c r="C710" s="330"/>
      <c r="D710" s="331"/>
    </row>
    <row r="711" spans="1:4">
      <c r="A711" s="921" t="s">
        <v>327</v>
      </c>
      <c r="B711" s="922"/>
      <c r="C711" s="800"/>
      <c r="D711" s="923"/>
    </row>
    <row r="712" spans="1:4">
      <c r="A712" s="921" t="s">
        <v>328</v>
      </c>
      <c r="B712" s="922"/>
      <c r="C712" s="800"/>
      <c r="D712" s="923"/>
    </row>
    <row r="713" spans="1:4">
      <c r="A713" s="921" t="s">
        <v>329</v>
      </c>
      <c r="B713" s="922"/>
      <c r="C713" s="800"/>
      <c r="D713" s="923"/>
    </row>
    <row r="714" spans="1:4">
      <c r="A714" s="921" t="s">
        <v>330</v>
      </c>
      <c r="B714" s="922"/>
      <c r="C714" s="800"/>
      <c r="D714" s="923"/>
    </row>
    <row r="715" spans="1:4">
      <c r="A715" s="921" t="s">
        <v>331</v>
      </c>
      <c r="B715" s="922"/>
      <c r="C715" s="800"/>
      <c r="D715" s="923"/>
    </row>
    <row r="716" spans="1:4">
      <c r="A716" s="921" t="s">
        <v>332</v>
      </c>
      <c r="B716" s="922"/>
      <c r="C716" s="800"/>
      <c r="D716" s="923"/>
    </row>
    <row r="717" spans="1:4">
      <c r="A717" s="921" t="s">
        <v>333</v>
      </c>
      <c r="B717" s="922"/>
      <c r="C717" s="800"/>
      <c r="D717" s="923"/>
    </row>
    <row r="718" spans="1:4">
      <c r="A718" s="921" t="s">
        <v>334</v>
      </c>
      <c r="B718" s="922"/>
      <c r="C718" s="800"/>
      <c r="D718" s="923"/>
    </row>
    <row r="719" spans="1:4">
      <c r="A719" s="921"/>
      <c r="B719" s="922"/>
      <c r="C719" s="800"/>
      <c r="D719" s="923"/>
    </row>
    <row r="720" spans="1:4">
      <c r="A720" s="921"/>
      <c r="B720" s="922"/>
      <c r="C720" s="800"/>
      <c r="D720" s="923"/>
    </row>
    <row r="721" spans="1:4">
      <c r="A721" s="921"/>
      <c r="B721" s="922"/>
      <c r="C721" s="800"/>
      <c r="D721" s="923"/>
    </row>
    <row r="722" spans="1:4">
      <c r="A722" s="350" t="s">
        <v>276</v>
      </c>
      <c r="B722" s="357"/>
      <c r="C722" s="357"/>
      <c r="D722" s="358"/>
    </row>
    <row r="723" spans="1:4">
      <c r="A723" s="350" t="s">
        <v>335</v>
      </c>
      <c r="B723" s="357"/>
      <c r="C723" s="368" t="s">
        <v>336</v>
      </c>
      <c r="D723" s="358"/>
    </row>
    <row r="724" spans="1:4">
      <c r="A724" s="350"/>
      <c r="B724" s="357"/>
      <c r="C724" s="357"/>
      <c r="D724" s="358"/>
    </row>
    <row r="725" spans="1:4">
      <c r="A725" s="915" t="s">
        <v>337</v>
      </c>
      <c r="B725" s="916"/>
      <c r="C725" s="916"/>
      <c r="D725" s="917"/>
    </row>
    <row r="726" spans="1:4">
      <c r="A726" s="350" t="s">
        <v>338</v>
      </c>
      <c r="B726" s="357"/>
      <c r="C726" s="357"/>
      <c r="D726" s="358"/>
    </row>
    <row r="727" spans="1:4">
      <c r="A727" s="350"/>
      <c r="B727" s="357"/>
      <c r="C727" s="357"/>
      <c r="D727" s="358"/>
    </row>
    <row r="728" spans="1:4">
      <c r="A728" s="918" t="s">
        <v>339</v>
      </c>
      <c r="B728" s="919"/>
      <c r="C728" s="919" t="s">
        <v>340</v>
      </c>
      <c r="D728" s="920"/>
    </row>
    <row r="729" spans="1:4">
      <c r="A729" s="905">
        <v>1</v>
      </c>
      <c r="B729" s="906"/>
      <c r="C729" s="906">
        <v>1</v>
      </c>
      <c r="D729" s="907"/>
    </row>
    <row r="730" spans="1:4">
      <c r="A730" s="905">
        <v>2</v>
      </c>
      <c r="B730" s="906"/>
      <c r="C730" s="906">
        <v>2</v>
      </c>
      <c r="D730" s="907"/>
    </row>
    <row r="731" spans="1:4">
      <c r="A731" s="369"/>
      <c r="B731" s="47"/>
      <c r="C731" s="908" t="s">
        <v>345</v>
      </c>
      <c r="D731" s="909"/>
    </row>
    <row r="732" spans="1:4">
      <c r="A732" s="910" t="s">
        <v>341</v>
      </c>
      <c r="B732" s="911"/>
      <c r="C732" s="911"/>
      <c r="D732" s="912"/>
    </row>
    <row r="733" spans="1:4">
      <c r="A733" s="372" t="s">
        <v>342</v>
      </c>
      <c r="B733" s="373"/>
      <c r="C733" s="373"/>
      <c r="D733" s="374"/>
    </row>
    <row r="734" spans="1:4">
      <c r="A734" s="372"/>
      <c r="B734" s="373"/>
      <c r="C734" s="373"/>
      <c r="D734" s="374"/>
    </row>
    <row r="735" spans="1:4">
      <c r="A735" s="372"/>
      <c r="B735" s="373"/>
      <c r="C735" s="373" t="s">
        <v>343</v>
      </c>
      <c r="D735" s="374"/>
    </row>
    <row r="736" spans="1:4">
      <c r="A736" s="369"/>
      <c r="B736" s="370"/>
      <c r="C736" s="332" t="s">
        <v>160</v>
      </c>
      <c r="D736" s="371"/>
    </row>
    <row r="737" spans="1:4">
      <c r="A737" s="369"/>
      <c r="B737" s="47"/>
      <c r="C737" s="47" t="s">
        <v>344</v>
      </c>
      <c r="D737" s="375"/>
    </row>
    <row r="738" spans="1:4">
      <c r="A738" s="369"/>
      <c r="B738" s="47"/>
      <c r="C738" s="913">
        <f>'PUNJAB 04-22Master'!F674</f>
        <v>0</v>
      </c>
      <c r="D738" s="914"/>
    </row>
    <row r="739" spans="1:4">
      <c r="A739" s="350" t="s">
        <v>276</v>
      </c>
      <c r="B739" s="47"/>
      <c r="C739" s="229">
        <f>'PUNJAB 04-22Master'!F675</f>
        <v>0</v>
      </c>
      <c r="D739" s="63"/>
    </row>
    <row r="740" spans="1:4" ht="15.75" thickBot="1">
      <c r="A740" s="350" t="s">
        <v>335</v>
      </c>
      <c r="B740" s="47"/>
      <c r="C740" s="229"/>
      <c r="D740" s="63"/>
    </row>
    <row r="741" spans="1:4" ht="15.75" thickBot="1">
      <c r="A741" s="380"/>
      <c r="B741" s="381" t="s">
        <v>348</v>
      </c>
      <c r="C741" s="381"/>
      <c r="D741" s="79"/>
    </row>
    <row r="742" spans="1:4">
      <c r="A742" s="350" t="s">
        <v>346</v>
      </c>
      <c r="B742" s="47"/>
      <c r="C742" s="229"/>
      <c r="D742" s="63"/>
    </row>
    <row r="743" spans="1:4">
      <c r="A743" s="350" t="s">
        <v>335</v>
      </c>
      <c r="B743" s="47"/>
      <c r="C743" s="229"/>
      <c r="D743" s="63"/>
    </row>
    <row r="744" spans="1:4" ht="15.75" thickBot="1">
      <c r="A744" s="383" t="s">
        <v>347</v>
      </c>
      <c r="B744" s="74"/>
      <c r="C744" s="74"/>
      <c r="D744" s="75" t="s">
        <v>158</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9"/>
  <sheetViews>
    <sheetView view="pageBreakPreview" topLeftCell="A13" zoomScaleSheetLayoutView="100" workbookViewId="0">
      <selection activeCell="E13" sqref="E13"/>
    </sheetView>
  </sheetViews>
  <sheetFormatPr defaultRowHeight="15"/>
  <cols>
    <col min="1" max="1" width="1.140625" customWidth="1"/>
    <col min="4" max="4" width="49.140625" bestFit="1" customWidth="1"/>
    <col min="5" max="5" width="12.28515625" customWidth="1"/>
    <col min="6" max="6" width="13.28515625" customWidth="1"/>
    <col min="7" max="7" width="12.7109375" customWidth="1"/>
    <col min="8" max="8" width="13.5703125" customWidth="1"/>
  </cols>
  <sheetData>
    <row r="1" spans="1:10" ht="15.75" thickBot="1"/>
    <row r="2" spans="1:10" ht="15.75">
      <c r="A2" s="533"/>
      <c r="B2" s="534"/>
      <c r="C2" s="535"/>
      <c r="D2" s="535"/>
      <c r="E2" s="535"/>
      <c r="F2" s="535"/>
      <c r="G2" s="535"/>
      <c r="H2" s="535"/>
      <c r="I2" s="536"/>
      <c r="J2" s="533"/>
    </row>
    <row r="3" spans="1:10" ht="15.75">
      <c r="A3" s="533"/>
      <c r="B3" s="537"/>
      <c r="C3" s="538"/>
      <c r="D3" s="538"/>
      <c r="E3" s="538"/>
      <c r="F3" s="538"/>
      <c r="G3" s="538"/>
      <c r="H3" s="538"/>
      <c r="I3" s="539"/>
      <c r="J3" s="533"/>
    </row>
    <row r="4" spans="1:10" ht="15.75">
      <c r="A4" s="533"/>
      <c r="B4" s="537"/>
      <c r="C4" s="538"/>
      <c r="D4" s="538" t="s">
        <v>153</v>
      </c>
      <c r="E4" s="538"/>
      <c r="F4" s="538"/>
      <c r="G4" s="538"/>
      <c r="H4" s="538"/>
      <c r="I4" s="539"/>
      <c r="J4" s="533"/>
    </row>
    <row r="5" spans="1:10" ht="15.75">
      <c r="A5" s="533"/>
      <c r="B5" s="537"/>
      <c r="C5" s="538"/>
      <c r="D5" s="540" t="s">
        <v>399</v>
      </c>
      <c r="E5" s="538"/>
      <c r="F5" s="538"/>
      <c r="G5" s="538"/>
      <c r="H5" s="538"/>
      <c r="I5" s="539"/>
      <c r="J5" s="533"/>
    </row>
    <row r="6" spans="1:10" ht="15.75">
      <c r="A6" s="533"/>
      <c r="B6" s="537"/>
      <c r="C6" s="538"/>
      <c r="D6" s="538" t="s">
        <v>400</v>
      </c>
      <c r="E6" s="538"/>
      <c r="F6" s="538"/>
      <c r="G6" s="538"/>
      <c r="H6" s="538"/>
      <c r="I6" s="539"/>
      <c r="J6" s="533"/>
    </row>
    <row r="7" spans="1:10" ht="15.75">
      <c r="A7" s="533"/>
      <c r="B7" s="537"/>
      <c r="C7" s="538"/>
      <c r="D7" s="538" t="s">
        <v>401</v>
      </c>
      <c r="E7" s="538"/>
      <c r="F7" s="538"/>
      <c r="G7" s="538"/>
      <c r="H7" s="538"/>
      <c r="I7" s="539"/>
      <c r="J7" s="533"/>
    </row>
    <row r="8" spans="1:10" ht="15.75">
      <c r="A8" s="533"/>
      <c r="B8" s="537"/>
      <c r="C8" s="942" t="s">
        <v>402</v>
      </c>
      <c r="D8" s="942"/>
      <c r="E8" s="942"/>
      <c r="F8" s="942"/>
      <c r="G8" s="942"/>
      <c r="H8" s="942"/>
      <c r="I8" s="541"/>
      <c r="J8" s="533"/>
    </row>
    <row r="9" spans="1:10" ht="15.75">
      <c r="A9" s="533"/>
      <c r="B9" s="537"/>
      <c r="C9" s="942" t="s">
        <v>403</v>
      </c>
      <c r="D9" s="942"/>
      <c r="E9" s="942"/>
      <c r="F9" s="942"/>
      <c r="G9" s="942"/>
      <c r="H9" s="942"/>
      <c r="I9" s="541"/>
      <c r="J9" s="533"/>
    </row>
    <row r="10" spans="1:10" ht="15.75">
      <c r="A10" s="533"/>
      <c r="B10" s="537"/>
      <c r="C10" s="542"/>
      <c r="D10" s="943" t="s">
        <v>404</v>
      </c>
      <c r="E10" s="943"/>
      <c r="F10" s="943"/>
      <c r="G10" s="943"/>
      <c r="H10" s="543"/>
      <c r="I10" s="544"/>
      <c r="J10" s="533"/>
    </row>
    <row r="11" spans="1:10" ht="15.75">
      <c r="A11" s="533"/>
      <c r="B11" s="537"/>
      <c r="C11" s="538"/>
      <c r="D11" s="538"/>
      <c r="E11" s="538"/>
      <c r="F11" s="538"/>
      <c r="G11" s="538"/>
      <c r="H11" s="538"/>
      <c r="I11" s="545"/>
      <c r="J11" s="533"/>
    </row>
    <row r="12" spans="1:10" ht="15.75">
      <c r="A12" s="533"/>
      <c r="B12" s="537"/>
      <c r="C12" s="944" t="s">
        <v>405</v>
      </c>
      <c r="D12" s="944"/>
      <c r="E12" s="944" t="s">
        <v>406</v>
      </c>
      <c r="F12" s="944"/>
      <c r="G12" s="944"/>
      <c r="H12" s="944"/>
      <c r="I12" s="545"/>
      <c r="J12" s="533"/>
    </row>
    <row r="13" spans="1:10" ht="47.25">
      <c r="A13" s="533"/>
      <c r="B13" s="537"/>
      <c r="C13" s="944"/>
      <c r="D13" s="944"/>
      <c r="E13" s="546" t="s">
        <v>407</v>
      </c>
      <c r="F13" s="546" t="s">
        <v>408</v>
      </c>
      <c r="G13" s="546" t="s">
        <v>409</v>
      </c>
      <c r="H13" s="546" t="s">
        <v>410</v>
      </c>
      <c r="I13" s="545"/>
      <c r="J13" s="533"/>
    </row>
    <row r="14" spans="1:10" ht="15.75">
      <c r="A14" s="533"/>
      <c r="B14" s="537"/>
      <c r="C14" s="547">
        <v>1</v>
      </c>
      <c r="D14" s="548">
        <v>2</v>
      </c>
      <c r="E14" s="548">
        <v>3</v>
      </c>
      <c r="F14" s="548">
        <v>4</v>
      </c>
      <c r="G14" s="548">
        <v>5</v>
      </c>
      <c r="H14" s="549">
        <v>6</v>
      </c>
      <c r="I14" s="541"/>
      <c r="J14" s="533"/>
    </row>
    <row r="15" spans="1:10" ht="15.75">
      <c r="A15" s="533"/>
      <c r="B15" s="537"/>
      <c r="C15" s="550">
        <v>1</v>
      </c>
      <c r="D15" s="551" t="s">
        <v>411</v>
      </c>
      <c r="E15" s="552"/>
      <c r="F15" s="552" t="s">
        <v>412</v>
      </c>
      <c r="G15" s="552"/>
      <c r="H15" s="552"/>
      <c r="I15" s="539"/>
      <c r="J15" s="533"/>
    </row>
    <row r="16" spans="1:10" ht="15.75">
      <c r="A16" s="533"/>
      <c r="B16" s="537"/>
      <c r="C16" s="550">
        <v>2</v>
      </c>
      <c r="D16" s="551" t="s">
        <v>413</v>
      </c>
      <c r="E16" s="553"/>
      <c r="F16" s="553"/>
      <c r="G16" s="553"/>
      <c r="H16" s="553"/>
      <c r="I16" s="539"/>
      <c r="J16" s="533"/>
    </row>
    <row r="17" spans="1:10" ht="15.75">
      <c r="A17" s="533"/>
      <c r="B17" s="537"/>
      <c r="C17" s="550"/>
      <c r="D17" s="551" t="s">
        <v>414</v>
      </c>
      <c r="E17" s="552"/>
      <c r="F17" s="552" t="s">
        <v>412</v>
      </c>
      <c r="G17" s="552"/>
      <c r="H17" s="552"/>
      <c r="I17" s="539"/>
      <c r="J17" s="533"/>
    </row>
    <row r="18" spans="1:10" ht="15.75">
      <c r="A18" s="533"/>
      <c r="B18" s="537"/>
      <c r="C18" s="550"/>
      <c r="D18" s="551" t="s">
        <v>415</v>
      </c>
      <c r="E18" s="552"/>
      <c r="F18" s="552" t="s">
        <v>412</v>
      </c>
      <c r="G18" s="552"/>
      <c r="H18" s="552"/>
      <c r="I18" s="539"/>
      <c r="J18" s="533"/>
    </row>
    <row r="19" spans="1:10" ht="15.75">
      <c r="A19" s="533"/>
      <c r="B19" s="537"/>
      <c r="C19" s="550"/>
      <c r="D19" s="551" t="s">
        <v>416</v>
      </c>
      <c r="E19" s="552"/>
      <c r="F19" s="552" t="s">
        <v>412</v>
      </c>
      <c r="G19" s="552"/>
      <c r="H19" s="552"/>
      <c r="I19" s="539"/>
      <c r="J19" s="533"/>
    </row>
    <row r="20" spans="1:10" ht="15.75">
      <c r="A20" s="533"/>
      <c r="B20" s="537"/>
      <c r="C20" s="554"/>
      <c r="D20" s="554"/>
      <c r="E20" s="555"/>
      <c r="F20" s="555"/>
      <c r="G20" s="555"/>
      <c r="H20" s="555"/>
      <c r="I20" s="539"/>
      <c r="J20" s="533"/>
    </row>
    <row r="21" spans="1:10" ht="15.75">
      <c r="A21" s="533"/>
      <c r="B21" s="537"/>
      <c r="C21" s="554"/>
      <c r="D21" s="554"/>
      <c r="E21" s="556"/>
      <c r="F21" s="556"/>
      <c r="G21" s="556"/>
      <c r="H21" s="556"/>
      <c r="I21" s="539"/>
      <c r="J21" s="533"/>
    </row>
    <row r="22" spans="1:10" ht="15.75">
      <c r="A22" s="533"/>
      <c r="B22" s="537"/>
      <c r="C22" s="554"/>
      <c r="D22" s="557" t="s">
        <v>417</v>
      </c>
      <c r="E22" s="556"/>
      <c r="F22" s="556"/>
      <c r="G22" s="556"/>
      <c r="H22" s="556"/>
      <c r="I22" s="539"/>
      <c r="J22" s="533"/>
    </row>
    <row r="23" spans="1:10" ht="15.75">
      <c r="A23" s="533"/>
      <c r="B23" s="537"/>
      <c r="C23" s="938" t="s">
        <v>418</v>
      </c>
      <c r="D23" s="939"/>
      <c r="E23" s="939"/>
      <c r="F23" s="939"/>
      <c r="G23" s="939"/>
      <c r="H23" s="940"/>
      <c r="I23" s="558"/>
      <c r="J23" s="533"/>
    </row>
    <row r="24" spans="1:10" ht="15.75">
      <c r="A24" s="533"/>
      <c r="B24" s="537"/>
      <c r="C24" s="559"/>
      <c r="D24" s="560" t="s">
        <v>381</v>
      </c>
      <c r="E24" s="559"/>
      <c r="F24" s="559"/>
      <c r="G24" s="559"/>
      <c r="H24" s="559"/>
      <c r="I24" s="558"/>
      <c r="J24" s="533"/>
    </row>
    <row r="25" spans="1:10" ht="15.75">
      <c r="A25" s="533"/>
      <c r="B25" s="537"/>
      <c r="C25" s="559"/>
      <c r="D25" s="941" t="s">
        <v>419</v>
      </c>
      <c r="E25" s="941"/>
      <c r="F25" s="941"/>
      <c r="G25" s="941"/>
      <c r="H25" s="559"/>
      <c r="I25" s="558"/>
      <c r="J25" s="533"/>
    </row>
    <row r="26" spans="1:10" ht="15.75">
      <c r="A26" s="533"/>
      <c r="B26" s="537"/>
      <c r="C26" s="559"/>
      <c r="D26" s="559"/>
      <c r="E26" s="559"/>
      <c r="F26" s="559"/>
      <c r="G26" s="559"/>
      <c r="H26" s="559"/>
      <c r="I26" s="558"/>
      <c r="J26" s="533"/>
    </row>
    <row r="27" spans="1:10" ht="15.75">
      <c r="A27" s="533"/>
      <c r="B27" s="537"/>
      <c r="C27" s="559"/>
      <c r="D27" s="559"/>
      <c r="E27" s="559"/>
      <c r="F27" s="559"/>
      <c r="G27" s="559"/>
      <c r="H27" s="559"/>
      <c r="I27" s="558"/>
      <c r="J27" s="533"/>
    </row>
    <row r="28" spans="1:10" ht="15.75">
      <c r="A28" s="533"/>
      <c r="B28" s="537"/>
      <c r="C28" s="559"/>
      <c r="D28" s="559"/>
      <c r="E28" s="559"/>
      <c r="F28" s="561" t="s">
        <v>363</v>
      </c>
      <c r="G28" s="561"/>
      <c r="H28" s="561"/>
      <c r="I28" s="558"/>
      <c r="J28" s="533"/>
    </row>
    <row r="29" spans="1:10" ht="15.75">
      <c r="A29" s="533"/>
      <c r="B29" s="537"/>
      <c r="C29" s="559"/>
      <c r="D29" s="559"/>
      <c r="E29" s="559"/>
      <c r="F29" s="561"/>
      <c r="G29" s="561"/>
      <c r="H29" s="561"/>
      <c r="I29" s="558"/>
      <c r="J29" s="533"/>
    </row>
  </sheetData>
  <mergeCells count="8">
    <mergeCell ref="C23:H23"/>
    <mergeCell ref="D25:G25"/>
    <mergeCell ref="C8:H8"/>
    <mergeCell ref="C9:H9"/>
    <mergeCell ref="D10:G10"/>
    <mergeCell ref="C12:C13"/>
    <mergeCell ref="D12:D13"/>
    <mergeCell ref="E12:H12"/>
  </mergeCells>
  <pageMargins left="0.7" right="0.7" top="0.75" bottom="0.75" header="0.3" footer="0.3"/>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PUNJAB APRIL 22-WMn Reg</vt:lpstr>
      <vt:lpstr>PUNJAB 04-22Master</vt:lpstr>
      <vt:lpstr>Eq reM </vt:lpstr>
      <vt:lpstr>04-22 Muster Roll</vt:lpstr>
      <vt:lpstr>Leave Reg</vt:lpstr>
      <vt:lpstr>04-22wages Reg</vt:lpstr>
      <vt:lpstr>Emp  Cards</vt:lpstr>
      <vt:lpstr>wage sllips</vt:lpstr>
      <vt:lpstr>Ser  Cer .</vt:lpstr>
      <vt:lpstr>Deductions</vt:lpstr>
      <vt:lpstr>Fines</vt:lpstr>
      <vt:lpstr>Advances</vt:lpstr>
      <vt:lpstr>Overtime</vt:lpstr>
      <vt:lpstr>Accident</vt:lpstr>
      <vt:lpstr>Form-I</vt:lpstr>
      <vt:lpstr>Form-2</vt:lpstr>
      <vt:lpstr>Form 11</vt:lpstr>
      <vt:lpstr>Form-F</vt:lpstr>
      <vt:lpstr>Form-E</vt:lpstr>
      <vt:lpstr>Advances!Print_Area</vt:lpstr>
      <vt:lpstr>Overtime!Print_Area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2021-09-02T11:37:28Z</cp:lastPrinted>
  <dcterms:created xsi:type="dcterms:W3CDTF">2018-12-21T09:44:49Z</dcterms:created>
  <dcterms:modified xsi:type="dcterms:W3CDTF">2022-06-04T12:02:29Z</dcterms:modified>
</cp:coreProperties>
</file>