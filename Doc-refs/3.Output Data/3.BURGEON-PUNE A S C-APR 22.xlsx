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C:\Users\admin\Desktop\burgeon complted april 22\3 BURGEON-PUNE A S C- APRIL 22\"/>
    </mc:Choice>
  </mc:AlternateContent>
  <xr:revisionPtr revIDLastSave="0" documentId="13_ncr:1_{1409C085-78E3-4387-A507-5BD38A7F0521}" xr6:coauthVersionLast="46" xr6:coauthVersionMax="46" xr10:uidLastSave="{00000000-0000-0000-0000-000000000000}"/>
  <bookViews>
    <workbookView xWindow="-120" yWindow="-120" windowWidth="15600" windowHeight="11160" tabRatio="814" activeTab="8" xr2:uid="{00000000-000D-0000-FFFF-FFFF00000000}"/>
  </bookViews>
  <sheets>
    <sheet name="PUNE ASC-APRIL 22WM REG" sheetId="28" r:id="rId1"/>
    <sheet name="4-22MASTER" sheetId="1" r:id="rId2"/>
    <sheet name="4-22Eq Rrem" sheetId="13" r:id="rId3"/>
    <sheet name="APRIL  22 MH_MusT" sheetId="29" r:id="rId4"/>
    <sheet name="F-M Leav" sheetId="27" r:id="rId5"/>
    <sheet name="MH_Reg Wage" sheetId="30" r:id="rId6"/>
    <sheet name="Emp Cards" sheetId="10" r:id="rId7"/>
    <sheet name="wage sllips" sheetId="4" r:id="rId8"/>
    <sheet name="4-22Bonus" sheetId="12" r:id="rId9"/>
    <sheet name="Deductions" sheetId="5" r:id="rId10"/>
    <sheet name="Fines" sheetId="7" r:id="rId11"/>
    <sheet name="Advances" sheetId="6" r:id="rId12"/>
    <sheet name="Overtime" sheetId="8" r:id="rId13"/>
    <sheet name="Accident" sheetId="9" r:id="rId14"/>
    <sheet name="ESI cards Reg" sheetId="16" r:id="rId15"/>
    <sheet name="Form-I" sheetId="19" r:id="rId16"/>
    <sheet name="Form-2" sheetId="20" r:id="rId17"/>
    <sheet name="Form 11" sheetId="17" r:id="rId18"/>
    <sheet name="Form-F" sheetId="18" r:id="rId19"/>
    <sheet name="Serive Certificate" sheetId="21" r:id="rId20"/>
  </sheets>
  <externalReferences>
    <externalReference r:id="rId21"/>
    <externalReference r:id="rId22"/>
    <externalReference r:id="rId23"/>
  </externalReferences>
  <definedNames>
    <definedName name="_xlnm._FilterDatabase" localSheetId="1" hidden="1">'4-22MASTER'!$A$14:$KB$15</definedName>
  </definedNames>
  <calcPr calcId="191029"/>
  <fileRecoveryPr autoRecover="0"/>
</workbook>
</file>

<file path=xl/calcChain.xml><?xml version="1.0" encoding="utf-8"?>
<calcChain xmlns="http://schemas.openxmlformats.org/spreadsheetml/2006/main">
  <c r="C23" i="12" l="1"/>
  <c r="G649" i="10"/>
  <c r="O527" i="4"/>
  <c r="R521" i="4"/>
  <c r="F24" i="12"/>
  <c r="M11" i="12"/>
  <c r="N11" i="12"/>
  <c r="O11" i="12"/>
  <c r="P11" i="12"/>
  <c r="Q11" i="12"/>
  <c r="M12" i="12"/>
  <c r="N12" i="12"/>
  <c r="O12" i="12"/>
  <c r="P12" i="12"/>
  <c r="Q12" i="12"/>
  <c r="M13" i="12"/>
  <c r="N13" i="12"/>
  <c r="O13" i="12"/>
  <c r="P13" i="12"/>
  <c r="Q13" i="12"/>
  <c r="M14" i="12"/>
  <c r="N14" i="12"/>
  <c r="O14" i="12"/>
  <c r="P14" i="12"/>
  <c r="Q14" i="12"/>
  <c r="M15" i="12"/>
  <c r="N15" i="12"/>
  <c r="O15" i="12"/>
  <c r="P15" i="12"/>
  <c r="Q15" i="12"/>
  <c r="M16" i="12"/>
  <c r="N16" i="12"/>
  <c r="O16" i="12"/>
  <c r="P16" i="12"/>
  <c r="Q16" i="12"/>
  <c r="M17" i="12"/>
  <c r="N17" i="12"/>
  <c r="O17" i="12"/>
  <c r="P17" i="12"/>
  <c r="Q17" i="12"/>
  <c r="M18" i="12"/>
  <c r="N18" i="12"/>
  <c r="O18" i="12"/>
  <c r="P18" i="12"/>
  <c r="Q18" i="12"/>
  <c r="M19" i="12"/>
  <c r="N19" i="12"/>
  <c r="O19" i="12"/>
  <c r="P19" i="12"/>
  <c r="Q19" i="12"/>
  <c r="M20" i="12"/>
  <c r="N20" i="12"/>
  <c r="O20" i="12"/>
  <c r="P20" i="12"/>
  <c r="Q20" i="12"/>
  <c r="M21" i="12"/>
  <c r="N21" i="12"/>
  <c r="O21" i="12"/>
  <c r="P21" i="12"/>
  <c r="Q21" i="12"/>
  <c r="M22" i="12"/>
  <c r="N22" i="12"/>
  <c r="O22" i="12"/>
  <c r="P22" i="12"/>
  <c r="Q22" i="12"/>
  <c r="M23" i="12"/>
  <c r="N23" i="12"/>
  <c r="O23" i="12"/>
  <c r="P23" i="12"/>
  <c r="Q23" i="12"/>
  <c r="E525" i="4"/>
  <c r="H521" i="4"/>
  <c r="E521" i="4"/>
  <c r="G655" i="10"/>
  <c r="G656" i="10"/>
  <c r="I654" i="10"/>
  <c r="G652" i="10"/>
  <c r="G651" i="10"/>
  <c r="G648" i="10"/>
  <c r="M23" i="30"/>
  <c r="C10" i="30"/>
  <c r="D10" i="30"/>
  <c r="S10" i="30"/>
  <c r="Z10" i="30"/>
  <c r="AA10" i="30"/>
  <c r="AB10" i="30"/>
  <c r="C11" i="30"/>
  <c r="D11" i="30"/>
  <c r="S11" i="30"/>
  <c r="Z11" i="30"/>
  <c r="AA11" i="30"/>
  <c r="AB11" i="30"/>
  <c r="C12" i="30"/>
  <c r="D12" i="30"/>
  <c r="O12" i="30"/>
  <c r="S12" i="30"/>
  <c r="Z12" i="30"/>
  <c r="AA12" i="30"/>
  <c r="AB12" i="30"/>
  <c r="C13" i="30"/>
  <c r="D13" i="30"/>
  <c r="S13" i="30"/>
  <c r="Z13" i="30"/>
  <c r="AA13" i="30"/>
  <c r="AB13" i="30"/>
  <c r="C14" i="30"/>
  <c r="D14" i="30"/>
  <c r="S14" i="30"/>
  <c r="Z14" i="30"/>
  <c r="AA14" i="30"/>
  <c r="AB14" i="30"/>
  <c r="C15" i="30"/>
  <c r="D15" i="30"/>
  <c r="S15" i="30"/>
  <c r="Z15" i="30"/>
  <c r="AA15" i="30"/>
  <c r="AB15" i="30"/>
  <c r="C16" i="30"/>
  <c r="D16" i="30"/>
  <c r="S16" i="30"/>
  <c r="Z16" i="30"/>
  <c r="AA16" i="30"/>
  <c r="AB16" i="30"/>
  <c r="C17" i="30"/>
  <c r="D17" i="30"/>
  <c r="S17" i="30"/>
  <c r="Z17" i="30"/>
  <c r="AA17" i="30"/>
  <c r="AB17" i="30"/>
  <c r="C18" i="30"/>
  <c r="D18" i="30"/>
  <c r="S18" i="30"/>
  <c r="Z18" i="30"/>
  <c r="AA18" i="30"/>
  <c r="AB18" i="30"/>
  <c r="C19" i="30"/>
  <c r="D19" i="30"/>
  <c r="S19" i="30"/>
  <c r="Z19" i="30"/>
  <c r="AA19" i="30"/>
  <c r="AB19" i="30"/>
  <c r="C20" i="30"/>
  <c r="D20" i="30"/>
  <c r="S20" i="30"/>
  <c r="Z20" i="30"/>
  <c r="AA20" i="30"/>
  <c r="AB20" i="30"/>
  <c r="C21" i="30"/>
  <c r="D21" i="30"/>
  <c r="S21" i="30"/>
  <c r="Z21" i="30"/>
  <c r="AA21" i="30"/>
  <c r="AB21" i="30"/>
  <c r="C22" i="30"/>
  <c r="D22" i="30"/>
  <c r="S22" i="30"/>
  <c r="Z22" i="30"/>
  <c r="AA22" i="30"/>
  <c r="AB22" i="30"/>
  <c r="F481" i="27"/>
  <c r="F482" i="27" s="1"/>
  <c r="G611" i="27"/>
  <c r="H607" i="27"/>
  <c r="F619" i="27"/>
  <c r="C8" i="29"/>
  <c r="C9" i="29"/>
  <c r="C10" i="29"/>
  <c r="C11" i="29"/>
  <c r="C12" i="29"/>
  <c r="C13" i="29"/>
  <c r="C14" i="29"/>
  <c r="C15" i="29"/>
  <c r="C16" i="29"/>
  <c r="C17" i="29"/>
  <c r="C18" i="29"/>
  <c r="C19" i="29"/>
  <c r="C20" i="29"/>
  <c r="B8" i="29"/>
  <c r="B9" i="29"/>
  <c r="B10" i="29"/>
  <c r="B11" i="29"/>
  <c r="B12" i="29"/>
  <c r="B13" i="29"/>
  <c r="B14" i="29"/>
  <c r="B15" i="29"/>
  <c r="B16" i="29"/>
  <c r="B17" i="29"/>
  <c r="B18" i="29"/>
  <c r="B19" i="29"/>
  <c r="B20" i="29"/>
  <c r="D8" i="29"/>
  <c r="E8" i="29"/>
  <c r="F8" i="29"/>
  <c r="G8" i="29"/>
  <c r="D9" i="29"/>
  <c r="E9" i="29"/>
  <c r="F9" i="29"/>
  <c r="G9" i="29"/>
  <c r="D10" i="29"/>
  <c r="E10" i="29"/>
  <c r="F10" i="29"/>
  <c r="G10" i="29"/>
  <c r="D11" i="29"/>
  <c r="E11" i="29"/>
  <c r="F11" i="29"/>
  <c r="G11" i="29"/>
  <c r="D12" i="29"/>
  <c r="E12" i="29"/>
  <c r="F12" i="29"/>
  <c r="G12" i="29"/>
  <c r="D13" i="29"/>
  <c r="E13" i="29"/>
  <c r="F13" i="29"/>
  <c r="G13" i="29"/>
  <c r="D14" i="29"/>
  <c r="E14" i="29"/>
  <c r="F14" i="29"/>
  <c r="G14" i="29"/>
  <c r="D15" i="29"/>
  <c r="E15" i="29"/>
  <c r="F15" i="29"/>
  <c r="G15" i="29"/>
  <c r="D16" i="29"/>
  <c r="E16" i="29"/>
  <c r="F16" i="29"/>
  <c r="G16" i="29"/>
  <c r="D17" i="29"/>
  <c r="E17" i="29"/>
  <c r="F17" i="29"/>
  <c r="G17" i="29"/>
  <c r="D18" i="29"/>
  <c r="E18" i="29"/>
  <c r="F18" i="29"/>
  <c r="G18" i="29"/>
  <c r="D19" i="29"/>
  <c r="E19" i="29"/>
  <c r="F19" i="29"/>
  <c r="G19" i="29"/>
  <c r="D20" i="29"/>
  <c r="E20" i="29"/>
  <c r="F20" i="29"/>
  <c r="G20" i="29"/>
  <c r="D34" i="13"/>
  <c r="D16" i="13" s="1"/>
  <c r="E34" i="13"/>
  <c r="D14" i="13" s="1"/>
  <c r="A33" i="13"/>
  <c r="F33" i="13"/>
  <c r="AP18" i="1"/>
  <c r="R10" i="30" s="1"/>
  <c r="AQ18" i="1"/>
  <c r="Q10" i="30" s="1"/>
  <c r="AR18" i="1"/>
  <c r="O10" i="30" s="1"/>
  <c r="AS18" i="1"/>
  <c r="P10" i="30" s="1"/>
  <c r="AP19" i="1"/>
  <c r="R11" i="30" s="1"/>
  <c r="AQ19" i="1"/>
  <c r="Q11" i="30" s="1"/>
  <c r="AR19" i="1"/>
  <c r="O11" i="30" s="1"/>
  <c r="AS19" i="1"/>
  <c r="P11" i="30" s="1"/>
  <c r="AP20" i="1"/>
  <c r="R12" i="30" s="1"/>
  <c r="AQ20" i="1"/>
  <c r="Q12" i="30" s="1"/>
  <c r="AR20" i="1"/>
  <c r="AS20" i="1"/>
  <c r="P12" i="30" s="1"/>
  <c r="AP21" i="1"/>
  <c r="AT21" i="1" s="1"/>
  <c r="T13" i="30" s="1"/>
  <c r="AQ21" i="1"/>
  <c r="Q13" i="30" s="1"/>
  <c r="AR21" i="1"/>
  <c r="O13" i="30" s="1"/>
  <c r="AS21" i="1"/>
  <c r="P13" i="30" s="1"/>
  <c r="AP22" i="1"/>
  <c r="R14" i="30" s="1"/>
  <c r="AQ22" i="1"/>
  <c r="Q14" i="30" s="1"/>
  <c r="AR22" i="1"/>
  <c r="O14" i="30" s="1"/>
  <c r="AS22" i="1"/>
  <c r="P14" i="30" s="1"/>
  <c r="AP23" i="1"/>
  <c r="R15" i="30" s="1"/>
  <c r="AQ23" i="1"/>
  <c r="Q15" i="30" s="1"/>
  <c r="AR23" i="1"/>
  <c r="O15" i="30" s="1"/>
  <c r="AS23" i="1"/>
  <c r="P15" i="30" s="1"/>
  <c r="AP24" i="1"/>
  <c r="R16" i="30" s="1"/>
  <c r="AQ24" i="1"/>
  <c r="Q16" i="30" s="1"/>
  <c r="AR24" i="1"/>
  <c r="O16" i="30" s="1"/>
  <c r="AS24" i="1"/>
  <c r="P16" i="30" s="1"/>
  <c r="AP25" i="1"/>
  <c r="AT25" i="1" s="1"/>
  <c r="T17" i="30" s="1"/>
  <c r="AQ25" i="1"/>
  <c r="Q17" i="30" s="1"/>
  <c r="AR25" i="1"/>
  <c r="O17" i="30" s="1"/>
  <c r="AS25" i="1"/>
  <c r="P17" i="30" s="1"/>
  <c r="AP26" i="1"/>
  <c r="R18" i="30" s="1"/>
  <c r="AQ26" i="1"/>
  <c r="Q18" i="30" s="1"/>
  <c r="AR26" i="1"/>
  <c r="O18" i="30" s="1"/>
  <c r="AS26" i="1"/>
  <c r="P18" i="30" s="1"/>
  <c r="AP27" i="1"/>
  <c r="R19" i="30" s="1"/>
  <c r="AQ27" i="1"/>
  <c r="Q19" i="30" s="1"/>
  <c r="AR27" i="1"/>
  <c r="O19" i="30" s="1"/>
  <c r="AS27" i="1"/>
  <c r="P19" i="30" s="1"/>
  <c r="AP28" i="1"/>
  <c r="R20" i="30" s="1"/>
  <c r="AQ28" i="1"/>
  <c r="Q20" i="30" s="1"/>
  <c r="AR28" i="1"/>
  <c r="O20" i="30" s="1"/>
  <c r="AS28" i="1"/>
  <c r="P20" i="30" s="1"/>
  <c r="AP29" i="1"/>
  <c r="AT29" i="1" s="1"/>
  <c r="T21" i="30" s="1"/>
  <c r="AQ29" i="1"/>
  <c r="Q21" i="30" s="1"/>
  <c r="AR29" i="1"/>
  <c r="O21" i="30" s="1"/>
  <c r="AS29" i="1"/>
  <c r="P21" i="30" s="1"/>
  <c r="AP30" i="1"/>
  <c r="R22" i="30" s="1"/>
  <c r="AQ30" i="1"/>
  <c r="F538" i="4" s="1"/>
  <c r="AR30" i="1"/>
  <c r="J663" i="10" s="1"/>
  <c r="AS30" i="1"/>
  <c r="H538" i="4" s="1"/>
  <c r="AS17" i="1"/>
  <c r="AS31" i="1" s="1"/>
  <c r="AR17" i="1"/>
  <c r="AR31" i="1" s="1"/>
  <c r="AQ17" i="1"/>
  <c r="AQ31" i="1" s="1"/>
  <c r="AP17" i="1"/>
  <c r="AP31" i="1" s="1"/>
  <c r="AJ18" i="1"/>
  <c r="H10" i="30" s="1"/>
  <c r="AK18" i="1"/>
  <c r="AL18" i="1"/>
  <c r="AJ19" i="1"/>
  <c r="H11" i="30" s="1"/>
  <c r="AK19" i="1"/>
  <c r="AL19" i="1"/>
  <c r="AJ20" i="1"/>
  <c r="H12" i="30" s="1"/>
  <c r="AK20" i="1"/>
  <c r="AL20" i="1"/>
  <c r="AJ21" i="1"/>
  <c r="H13" i="30" s="1"/>
  <c r="AK21" i="1"/>
  <c r="AL21" i="1"/>
  <c r="AJ22" i="1"/>
  <c r="H14" i="30" s="1"/>
  <c r="AK22" i="1"/>
  <c r="AL22" i="1"/>
  <c r="AJ23" i="1"/>
  <c r="H15" i="30" s="1"/>
  <c r="AK23" i="1"/>
  <c r="AL23" i="1"/>
  <c r="AJ24" i="1"/>
  <c r="H16" i="30" s="1"/>
  <c r="AK24" i="1"/>
  <c r="AL24" i="1"/>
  <c r="AJ25" i="1"/>
  <c r="H17" i="30" s="1"/>
  <c r="AK25" i="1"/>
  <c r="AL25" i="1"/>
  <c r="AJ26" i="1"/>
  <c r="H18" i="30" s="1"/>
  <c r="AK26" i="1"/>
  <c r="AL26" i="1"/>
  <c r="AJ27" i="1"/>
  <c r="H19" i="30" s="1"/>
  <c r="AK27" i="1"/>
  <c r="AL27" i="1"/>
  <c r="AJ28" i="1"/>
  <c r="H20" i="30" s="1"/>
  <c r="AK28" i="1"/>
  <c r="AL28" i="1"/>
  <c r="AJ29" i="1"/>
  <c r="H21" i="30" s="1"/>
  <c r="AK29" i="1"/>
  <c r="AL29" i="1"/>
  <c r="AJ30" i="1"/>
  <c r="H22" i="30" s="1"/>
  <c r="AK30" i="1"/>
  <c r="AL30" i="1"/>
  <c r="AL17" i="1"/>
  <c r="AL31" i="1" s="1"/>
  <c r="AK17" i="1"/>
  <c r="AK31" i="1" s="1"/>
  <c r="AJ17" i="1"/>
  <c r="AJ31" i="1" s="1"/>
  <c r="AE18" i="1"/>
  <c r="F10" i="30" s="1"/>
  <c r="AF18" i="1"/>
  <c r="G10" i="30" s="1"/>
  <c r="AG18" i="1"/>
  <c r="J10" i="30" s="1"/>
  <c r="AH18" i="1"/>
  <c r="I10" i="30" s="1"/>
  <c r="AE19" i="1"/>
  <c r="F11" i="30" s="1"/>
  <c r="AF19" i="1"/>
  <c r="G11" i="30" s="1"/>
  <c r="AG19" i="1"/>
  <c r="J11" i="30" s="1"/>
  <c r="AH19" i="1"/>
  <c r="I11" i="30" s="1"/>
  <c r="AE20" i="1"/>
  <c r="F12" i="30" s="1"/>
  <c r="AF20" i="1"/>
  <c r="G12" i="30" s="1"/>
  <c r="AG20" i="1"/>
  <c r="J12" i="30" s="1"/>
  <c r="AH20" i="1"/>
  <c r="I12" i="30" s="1"/>
  <c r="AE21" i="1"/>
  <c r="F13" i="30" s="1"/>
  <c r="AF21" i="1"/>
  <c r="G13" i="30" s="1"/>
  <c r="AG21" i="1"/>
  <c r="J13" i="30" s="1"/>
  <c r="AH21" i="1"/>
  <c r="I13" i="30" s="1"/>
  <c r="AE22" i="1"/>
  <c r="F14" i="30" s="1"/>
  <c r="AF22" i="1"/>
  <c r="G14" i="30" s="1"/>
  <c r="AG22" i="1"/>
  <c r="J14" i="30" s="1"/>
  <c r="AH22" i="1"/>
  <c r="I14" i="30" s="1"/>
  <c r="AE23" i="1"/>
  <c r="F15" i="30" s="1"/>
  <c r="AF23" i="1"/>
  <c r="G15" i="30" s="1"/>
  <c r="AG23" i="1"/>
  <c r="J15" i="30" s="1"/>
  <c r="AH23" i="1"/>
  <c r="I15" i="30" s="1"/>
  <c r="AE24" i="1"/>
  <c r="F16" i="30" s="1"/>
  <c r="AF24" i="1"/>
  <c r="G16" i="30" s="1"/>
  <c r="AG24" i="1"/>
  <c r="J16" i="30" s="1"/>
  <c r="AH24" i="1"/>
  <c r="I16" i="30" s="1"/>
  <c r="AE25" i="1"/>
  <c r="F17" i="30" s="1"/>
  <c r="AF25" i="1"/>
  <c r="G17" i="30" s="1"/>
  <c r="AG25" i="1"/>
  <c r="J17" i="30" s="1"/>
  <c r="AH25" i="1"/>
  <c r="I17" i="30" s="1"/>
  <c r="AE26" i="1"/>
  <c r="F18" i="30" s="1"/>
  <c r="AF26" i="1"/>
  <c r="G18" i="30" s="1"/>
  <c r="AG26" i="1"/>
  <c r="J18" i="30" s="1"/>
  <c r="AH26" i="1"/>
  <c r="I18" i="30" s="1"/>
  <c r="AE27" i="1"/>
  <c r="F19" i="30" s="1"/>
  <c r="AF27" i="1"/>
  <c r="G19" i="30" s="1"/>
  <c r="AG27" i="1"/>
  <c r="J19" i="30" s="1"/>
  <c r="AH27" i="1"/>
  <c r="I19" i="30" s="1"/>
  <c r="AE28" i="1"/>
  <c r="F20" i="30" s="1"/>
  <c r="AF28" i="1"/>
  <c r="G20" i="30" s="1"/>
  <c r="AG28" i="1"/>
  <c r="J20" i="30" s="1"/>
  <c r="AH28" i="1"/>
  <c r="I20" i="30" s="1"/>
  <c r="AE29" i="1"/>
  <c r="F21" i="30" s="1"/>
  <c r="AF29" i="1"/>
  <c r="G21" i="30" s="1"/>
  <c r="AG29" i="1"/>
  <c r="J21" i="30" s="1"/>
  <c r="AH29" i="1"/>
  <c r="I21" i="30" s="1"/>
  <c r="AE30" i="1"/>
  <c r="H33" i="13" s="1"/>
  <c r="AF30" i="1"/>
  <c r="G22" i="30" s="1"/>
  <c r="AG30" i="1"/>
  <c r="J22" i="30" s="1"/>
  <c r="AH30" i="1"/>
  <c r="I22" i="30" s="1"/>
  <c r="AH17" i="1"/>
  <c r="AG17" i="1"/>
  <c r="AF17" i="1"/>
  <c r="AF31" i="1" s="1"/>
  <c r="AE17" i="1"/>
  <c r="AE31" i="1" s="1"/>
  <c r="AA18" i="1"/>
  <c r="AA19" i="1"/>
  <c r="AA20" i="1"/>
  <c r="AI20" i="1" s="1"/>
  <c r="AA21" i="1"/>
  <c r="AA22" i="1"/>
  <c r="AA23" i="1"/>
  <c r="AA24" i="1"/>
  <c r="AI24" i="1" s="1"/>
  <c r="AA25" i="1"/>
  <c r="AA26" i="1"/>
  <c r="AA27" i="1"/>
  <c r="AA28" i="1"/>
  <c r="AI28" i="1" s="1"/>
  <c r="AA29" i="1"/>
  <c r="AA30" i="1"/>
  <c r="AA17" i="1"/>
  <c r="X18" i="1"/>
  <c r="AP8" i="29" s="1"/>
  <c r="X19" i="1"/>
  <c r="AP9" i="29" s="1"/>
  <c r="X20" i="1"/>
  <c r="AP10" i="29" s="1"/>
  <c r="X21" i="1"/>
  <c r="AP11" i="29" s="1"/>
  <c r="X22" i="1"/>
  <c r="AP12" i="29" s="1"/>
  <c r="X23" i="1"/>
  <c r="AP13" i="29" s="1"/>
  <c r="X24" i="1"/>
  <c r="AP14" i="29" s="1"/>
  <c r="X25" i="1"/>
  <c r="AP15" i="29" s="1"/>
  <c r="X26" i="1"/>
  <c r="AP16" i="29" s="1"/>
  <c r="X27" i="1"/>
  <c r="AP17" i="29" s="1"/>
  <c r="X28" i="1"/>
  <c r="AP18" i="29" s="1"/>
  <c r="X29" i="1"/>
  <c r="AP19" i="29" s="1"/>
  <c r="X30" i="1"/>
  <c r="I658" i="10" s="1"/>
  <c r="X17" i="1"/>
  <c r="AI27" i="1" l="1"/>
  <c r="AI30" i="1"/>
  <c r="AN30" i="1" s="1"/>
  <c r="AI26" i="1"/>
  <c r="AI22" i="1"/>
  <c r="AI18" i="1"/>
  <c r="AH31" i="1"/>
  <c r="AT28" i="1"/>
  <c r="T20" i="30" s="1"/>
  <c r="AT24" i="1"/>
  <c r="T16" i="30" s="1"/>
  <c r="AT20" i="1"/>
  <c r="T12" i="30" s="1"/>
  <c r="G33" i="13"/>
  <c r="I33" i="13" s="1"/>
  <c r="Q22" i="30"/>
  <c r="R21" i="30"/>
  <c r="E20" i="30"/>
  <c r="R17" i="30"/>
  <c r="E16" i="30"/>
  <c r="R13" i="30"/>
  <c r="E12" i="30"/>
  <c r="K663" i="10"/>
  <c r="F527" i="4"/>
  <c r="G538" i="4"/>
  <c r="AA31" i="1"/>
  <c r="AI23" i="1"/>
  <c r="AI19" i="1"/>
  <c r="AG31" i="1"/>
  <c r="X31" i="1"/>
  <c r="AI29" i="1"/>
  <c r="AI25" i="1"/>
  <c r="AI21" i="1"/>
  <c r="AT27" i="1"/>
  <c r="T19" i="30" s="1"/>
  <c r="AT23" i="1"/>
  <c r="T15" i="30" s="1"/>
  <c r="AT19" i="1"/>
  <c r="T11" i="30" s="1"/>
  <c r="AP20" i="29"/>
  <c r="P22" i="30"/>
  <c r="F22" i="30"/>
  <c r="E19" i="30"/>
  <c r="E15" i="30"/>
  <c r="E11" i="30"/>
  <c r="D663" i="10"/>
  <c r="AT30" i="1"/>
  <c r="T22" i="30" s="1"/>
  <c r="AT26" i="1"/>
  <c r="T18" i="30" s="1"/>
  <c r="AT22" i="1"/>
  <c r="T14" i="30" s="1"/>
  <c r="AT18" i="1"/>
  <c r="T10" i="30" s="1"/>
  <c r="O22" i="30"/>
  <c r="E22" i="30"/>
  <c r="E18" i="30"/>
  <c r="E14" i="30"/>
  <c r="E10" i="30"/>
  <c r="H663" i="10"/>
  <c r="D538" i="4"/>
  <c r="E21" i="30"/>
  <c r="E17" i="30"/>
  <c r="E13" i="30"/>
  <c r="G604" i="10"/>
  <c r="G552" i="10"/>
  <c r="G502" i="10"/>
  <c r="G457" i="10"/>
  <c r="H143" i="4"/>
  <c r="R143" i="4" s="1"/>
  <c r="E492" i="4"/>
  <c r="G488" i="4"/>
  <c r="R488" i="4" s="1"/>
  <c r="E488" i="4"/>
  <c r="H447" i="4"/>
  <c r="R447" i="4" s="1"/>
  <c r="E447" i="4"/>
  <c r="E451" i="4"/>
  <c r="E418" i="4"/>
  <c r="G414" i="4"/>
  <c r="R414" i="4" s="1"/>
  <c r="E414" i="4"/>
  <c r="H767" i="4"/>
  <c r="R767" i="4" s="1"/>
  <c r="G767" i="4"/>
  <c r="Q767" i="4" s="1"/>
  <c r="F767" i="4"/>
  <c r="P767" i="4" s="1"/>
  <c r="E767" i="4"/>
  <c r="O767" i="4" s="1"/>
  <c r="D767" i="4"/>
  <c r="E765" i="4"/>
  <c r="O761" i="4"/>
  <c r="E756" i="4"/>
  <c r="O756" i="4" s="1"/>
  <c r="E754" i="4"/>
  <c r="O754" i="4" s="1"/>
  <c r="O752" i="4"/>
  <c r="G750" i="4"/>
  <c r="E750" i="4"/>
  <c r="O750" i="4" s="1"/>
  <c r="B748" i="4"/>
  <c r="L748" i="4" s="1"/>
  <c r="L747" i="4"/>
  <c r="N746" i="4"/>
  <c r="K744" i="4"/>
  <c r="H726" i="4"/>
  <c r="R726" i="4" s="1"/>
  <c r="G726" i="4"/>
  <c r="Q726" i="4" s="1"/>
  <c r="F726" i="4"/>
  <c r="P726" i="4" s="1"/>
  <c r="E726" i="4"/>
  <c r="O726" i="4" s="1"/>
  <c r="D726" i="4"/>
  <c r="N726" i="4" s="1"/>
  <c r="E724" i="4"/>
  <c r="O724" i="4" s="1"/>
  <c r="O720" i="4"/>
  <c r="O715" i="4"/>
  <c r="F715" i="4"/>
  <c r="E713" i="4"/>
  <c r="O713" i="4" s="1"/>
  <c r="O711" i="4"/>
  <c r="H709" i="4"/>
  <c r="E709" i="4"/>
  <c r="O709" i="4" s="1"/>
  <c r="B707" i="4"/>
  <c r="L707" i="4" s="1"/>
  <c r="L706" i="4"/>
  <c r="N705" i="4"/>
  <c r="K703" i="4"/>
  <c r="H693" i="4"/>
  <c r="R693" i="4" s="1"/>
  <c r="G693" i="4"/>
  <c r="Q693" i="4" s="1"/>
  <c r="F693" i="4"/>
  <c r="P693" i="4" s="1"/>
  <c r="E693" i="4"/>
  <c r="O693" i="4" s="1"/>
  <c r="D693" i="4"/>
  <c r="E691" i="4"/>
  <c r="O691" i="4" s="1"/>
  <c r="O687" i="4"/>
  <c r="E682" i="4"/>
  <c r="O682" i="4" s="1"/>
  <c r="E680" i="4"/>
  <c r="O680" i="4" s="1"/>
  <c r="O678" i="4"/>
  <c r="G676" i="4"/>
  <c r="E676" i="4"/>
  <c r="O676" i="4" s="1"/>
  <c r="B674" i="4"/>
  <c r="L674" i="4" s="1"/>
  <c r="L673" i="4"/>
  <c r="N672" i="4"/>
  <c r="K670" i="4"/>
  <c r="H652" i="4"/>
  <c r="R652" i="4" s="1"/>
  <c r="G652" i="4"/>
  <c r="Q652" i="4" s="1"/>
  <c r="F652" i="4"/>
  <c r="P652" i="4" s="1"/>
  <c r="E652" i="4"/>
  <c r="O652" i="4" s="1"/>
  <c r="D652" i="4"/>
  <c r="N652" i="4" s="1"/>
  <c r="E650" i="4"/>
  <c r="O650" i="4" s="1"/>
  <c r="O646" i="4"/>
  <c r="O641" i="4"/>
  <c r="F641" i="4"/>
  <c r="E639" i="4"/>
  <c r="O639" i="4" s="1"/>
  <c r="O637" i="4"/>
  <c r="H635" i="4"/>
  <c r="E635" i="4"/>
  <c r="O635" i="4" s="1"/>
  <c r="B633" i="4"/>
  <c r="L633" i="4" s="1"/>
  <c r="L632" i="4"/>
  <c r="N631" i="4"/>
  <c r="K629" i="4"/>
  <c r="H619" i="4"/>
  <c r="R619" i="4" s="1"/>
  <c r="G619" i="4"/>
  <c r="Q619" i="4" s="1"/>
  <c r="F619" i="4"/>
  <c r="E619" i="4"/>
  <c r="O619" i="4" s="1"/>
  <c r="D619" i="4"/>
  <c r="N619" i="4" s="1"/>
  <c r="E617" i="4"/>
  <c r="O613" i="4"/>
  <c r="E608" i="4"/>
  <c r="O608" i="4" s="1"/>
  <c r="E606" i="4"/>
  <c r="O606" i="4" s="1"/>
  <c r="O604" i="4"/>
  <c r="G602" i="4"/>
  <c r="E602" i="4"/>
  <c r="O602" i="4" s="1"/>
  <c r="B600" i="4"/>
  <c r="L600" i="4" s="1"/>
  <c r="L599" i="4"/>
  <c r="N598" i="4"/>
  <c r="K596" i="4"/>
  <c r="I609" i="10"/>
  <c r="G610" i="10"/>
  <c r="G611" i="10"/>
  <c r="G607" i="10"/>
  <c r="G606" i="10"/>
  <c r="G603" i="10"/>
  <c r="G558" i="10"/>
  <c r="G559" i="10"/>
  <c r="I557" i="10"/>
  <c r="G555" i="10"/>
  <c r="G554" i="10"/>
  <c r="G551" i="10"/>
  <c r="G508" i="10"/>
  <c r="I507" i="10"/>
  <c r="G518" i="27"/>
  <c r="G505" i="10"/>
  <c r="G504" i="10"/>
  <c r="G501" i="10"/>
  <c r="G509" i="10"/>
  <c r="K716" i="10"/>
  <c r="J716" i="10"/>
  <c r="H716" i="10"/>
  <c r="F716" i="10"/>
  <c r="D716" i="10"/>
  <c r="I715" i="10"/>
  <c r="I711" i="10"/>
  <c r="G709" i="10"/>
  <c r="G708" i="10"/>
  <c r="I707" i="10"/>
  <c r="I706" i="10"/>
  <c r="G705" i="10"/>
  <c r="G704" i="10"/>
  <c r="G703" i="10"/>
  <c r="G702" i="10"/>
  <c r="G701" i="10"/>
  <c r="F663" i="10"/>
  <c r="I653" i="10"/>
  <c r="F618" i="10"/>
  <c r="I608" i="10"/>
  <c r="H561" i="27"/>
  <c r="G565" i="27"/>
  <c r="H514" i="27"/>
  <c r="G658" i="27"/>
  <c r="C658" i="27"/>
  <c r="H654" i="27"/>
  <c r="C611" i="27"/>
  <c r="F573" i="27"/>
  <c r="F574" i="27" s="1"/>
  <c r="C565" i="27"/>
  <c r="F526" i="27"/>
  <c r="F527" i="27" s="1"/>
  <c r="C518" i="27"/>
  <c r="G473" i="27"/>
  <c r="H469" i="27"/>
  <c r="F32" i="13"/>
  <c r="F30" i="13"/>
  <c r="A21" i="13"/>
  <c r="A22" i="13"/>
  <c r="A23" i="13"/>
  <c r="A24" i="13"/>
  <c r="A25" i="13"/>
  <c r="A26" i="13"/>
  <c r="A27" i="13"/>
  <c r="F27" i="13"/>
  <c r="A28" i="13"/>
  <c r="F28" i="13"/>
  <c r="A29" i="13"/>
  <c r="F29" i="13"/>
  <c r="A30" i="13"/>
  <c r="A31" i="13"/>
  <c r="F31" i="13"/>
  <c r="A32" i="13"/>
  <c r="AP39" i="1"/>
  <c r="AQ39" i="1"/>
  <c r="AR39" i="1"/>
  <c r="AS39" i="1"/>
  <c r="AP40" i="1"/>
  <c r="AQ40" i="1"/>
  <c r="AR40" i="1"/>
  <c r="AS40" i="1"/>
  <c r="AP41" i="1"/>
  <c r="AQ41" i="1"/>
  <c r="AR41" i="1"/>
  <c r="AS41" i="1"/>
  <c r="D431" i="4"/>
  <c r="H516" i="10"/>
  <c r="H431" i="4"/>
  <c r="D464" i="4"/>
  <c r="F464" i="4"/>
  <c r="J566" i="10"/>
  <c r="H464" i="4"/>
  <c r="D505" i="4"/>
  <c r="G505" i="4"/>
  <c r="K618" i="10"/>
  <c r="AM39" i="1"/>
  <c r="AM40" i="1"/>
  <c r="AM41" i="1"/>
  <c r="AN20" i="1"/>
  <c r="AJ39" i="1"/>
  <c r="AK39" i="1"/>
  <c r="AL39" i="1"/>
  <c r="AJ40" i="1"/>
  <c r="AK40" i="1"/>
  <c r="AL40" i="1"/>
  <c r="AJ41" i="1"/>
  <c r="AK41" i="1"/>
  <c r="AL41" i="1"/>
  <c r="AH39" i="1"/>
  <c r="AH40" i="1"/>
  <c r="AH41" i="1"/>
  <c r="AF39" i="1"/>
  <c r="AG39" i="1"/>
  <c r="AF40" i="1"/>
  <c r="AG40" i="1"/>
  <c r="AF41" i="1"/>
  <c r="AG41" i="1"/>
  <c r="AE39" i="1"/>
  <c r="H22" i="13"/>
  <c r="AE40" i="1"/>
  <c r="AE41" i="1"/>
  <c r="H24" i="13"/>
  <c r="H26" i="13"/>
  <c r="H27" i="13"/>
  <c r="H28" i="13"/>
  <c r="H29" i="13"/>
  <c r="H30" i="13"/>
  <c r="H31" i="13"/>
  <c r="AD29" i="1"/>
  <c r="AA39" i="1"/>
  <c r="G21" i="13"/>
  <c r="G22" i="13"/>
  <c r="AA40" i="1"/>
  <c r="AA41" i="1"/>
  <c r="G24" i="13"/>
  <c r="G26" i="13"/>
  <c r="G27" i="13"/>
  <c r="G28" i="13"/>
  <c r="G29" i="13"/>
  <c r="AN28" i="1"/>
  <c r="G32" i="13"/>
  <c r="X39" i="1"/>
  <c r="X40" i="1"/>
  <c r="X41" i="1"/>
  <c r="E453" i="4"/>
  <c r="O453" i="4" s="1"/>
  <c r="L12" i="30" l="1"/>
  <c r="N12" i="30"/>
  <c r="AU20" i="1"/>
  <c r="U12" i="30" s="1"/>
  <c r="L20" i="30"/>
  <c r="N20" i="30"/>
  <c r="AU28" i="1"/>
  <c r="U20" i="30" s="1"/>
  <c r="AU30" i="1"/>
  <c r="U22" i="30" s="1"/>
  <c r="N22" i="30"/>
  <c r="E536" i="4"/>
  <c r="I662" i="10"/>
  <c r="I664" i="10" s="1"/>
  <c r="L22" i="30"/>
  <c r="AI40" i="1"/>
  <c r="AD41" i="1"/>
  <c r="I27" i="13"/>
  <c r="AN27" i="1"/>
  <c r="AI41" i="1"/>
  <c r="AD39" i="1"/>
  <c r="AD20" i="1"/>
  <c r="AN25" i="1"/>
  <c r="AD19" i="1"/>
  <c r="H23" i="13"/>
  <c r="H21" i="13"/>
  <c r="I511" i="10"/>
  <c r="I613" i="10"/>
  <c r="D618" i="10"/>
  <c r="J618" i="10"/>
  <c r="I565" i="10"/>
  <c r="H566" i="10"/>
  <c r="K566" i="10"/>
  <c r="D516" i="10"/>
  <c r="J516" i="10"/>
  <c r="F505" i="4"/>
  <c r="H505" i="4"/>
  <c r="G464" i="4"/>
  <c r="F431" i="4"/>
  <c r="E304" i="4"/>
  <c r="O304" i="4" s="1"/>
  <c r="AN24" i="1"/>
  <c r="AD18" i="1"/>
  <c r="AT40" i="1"/>
  <c r="G31" i="13"/>
  <c r="I31" i="13" s="1"/>
  <c r="G23" i="13"/>
  <c r="I561" i="10"/>
  <c r="H618" i="10"/>
  <c r="D566" i="10"/>
  <c r="K516" i="10"/>
  <c r="E420" i="4"/>
  <c r="E494" i="4"/>
  <c r="E462" i="4"/>
  <c r="I767" i="4"/>
  <c r="S767" i="4" s="1"/>
  <c r="I693" i="4"/>
  <c r="S693" i="4" s="1"/>
  <c r="N767" i="4"/>
  <c r="I619" i="4"/>
  <c r="S619" i="4" s="1"/>
  <c r="N693" i="4"/>
  <c r="O617" i="4"/>
  <c r="I726" i="4"/>
  <c r="O765" i="4"/>
  <c r="P619" i="4"/>
  <c r="E695" i="4"/>
  <c r="O695" i="4" s="1"/>
  <c r="I652" i="4"/>
  <c r="S652" i="4" s="1"/>
  <c r="I717" i="10"/>
  <c r="AD21" i="1"/>
  <c r="AN23" i="1"/>
  <c r="AI39" i="1"/>
  <c r="AD25" i="1"/>
  <c r="AN22" i="1"/>
  <c r="AT41" i="1"/>
  <c r="AN19" i="1"/>
  <c r="AN18" i="1"/>
  <c r="AD27" i="1"/>
  <c r="AD23" i="1"/>
  <c r="AN29" i="1"/>
  <c r="AN21" i="1"/>
  <c r="AT39" i="1"/>
  <c r="H32" i="13"/>
  <c r="I32" i="13" s="1"/>
  <c r="G30" i="13"/>
  <c r="I30" i="13" s="1"/>
  <c r="I28" i="13"/>
  <c r="I29" i="13"/>
  <c r="AD28" i="1"/>
  <c r="G25" i="13"/>
  <c r="AN26" i="1"/>
  <c r="H25" i="13"/>
  <c r="AD24" i="1"/>
  <c r="AD26" i="1"/>
  <c r="AD40" i="1"/>
  <c r="AD22" i="1"/>
  <c r="N14" i="30" l="1"/>
  <c r="AU22" i="1"/>
  <c r="U14" i="30" s="1"/>
  <c r="L14" i="30"/>
  <c r="AU25" i="1"/>
  <c r="U17" i="30" s="1"/>
  <c r="L17" i="30"/>
  <c r="N17" i="30"/>
  <c r="L19" i="30"/>
  <c r="N19" i="30"/>
  <c r="AU27" i="1"/>
  <c r="U19" i="30" s="1"/>
  <c r="N18" i="30"/>
  <c r="AU26" i="1"/>
  <c r="U18" i="30" s="1"/>
  <c r="L18" i="30"/>
  <c r="AU21" i="1"/>
  <c r="U13" i="30" s="1"/>
  <c r="L13" i="30"/>
  <c r="N13" i="30"/>
  <c r="N10" i="30"/>
  <c r="AU18" i="1"/>
  <c r="U10" i="30" s="1"/>
  <c r="L10" i="30"/>
  <c r="AU29" i="1"/>
  <c r="U21" i="30" s="1"/>
  <c r="L21" i="30"/>
  <c r="N21" i="30"/>
  <c r="L11" i="30"/>
  <c r="N11" i="30"/>
  <c r="AU19" i="1"/>
  <c r="U11" i="30" s="1"/>
  <c r="I515" i="10"/>
  <c r="L16" i="30"/>
  <c r="N16" i="30"/>
  <c r="AU24" i="1"/>
  <c r="U16" i="30" s="1"/>
  <c r="L15" i="30"/>
  <c r="N15" i="30"/>
  <c r="AU23" i="1"/>
  <c r="U15" i="30" s="1"/>
  <c r="E429" i="4"/>
  <c r="I617" i="10"/>
  <c r="I619" i="10" s="1"/>
  <c r="E503" i="4"/>
  <c r="AU39" i="1"/>
  <c r="AU40" i="1"/>
  <c r="AU41" i="1"/>
  <c r="E769" i="4"/>
  <c r="O769" i="4" s="1"/>
  <c r="E621" i="4"/>
  <c r="O621" i="4" s="1"/>
  <c r="S726" i="4"/>
  <c r="E728" i="4"/>
  <c r="O728" i="4" s="1"/>
  <c r="E654" i="4"/>
  <c r="O654" i="4" s="1"/>
  <c r="G408" i="10"/>
  <c r="G363" i="10"/>
  <c r="G318" i="10"/>
  <c r="G273" i="10"/>
  <c r="G228" i="10"/>
  <c r="G179" i="10"/>
  <c r="G126" i="10"/>
  <c r="G20" i="10"/>
  <c r="F315" i="4"/>
  <c r="D315" i="4"/>
  <c r="F356" i="4"/>
  <c r="D356" i="4"/>
  <c r="F390" i="4"/>
  <c r="P390" i="4" s="1"/>
  <c r="D390" i="4"/>
  <c r="N390" i="4" s="1"/>
  <c r="E377" i="4"/>
  <c r="O377" i="4" s="1"/>
  <c r="H373" i="4"/>
  <c r="R373" i="4" s="1"/>
  <c r="E373" i="4"/>
  <c r="H579" i="4"/>
  <c r="R579" i="4" s="1"/>
  <c r="G579" i="4"/>
  <c r="Q579" i="4" s="1"/>
  <c r="F579" i="4"/>
  <c r="P579" i="4" s="1"/>
  <c r="E579" i="4"/>
  <c r="O579" i="4" s="1"/>
  <c r="D579" i="4"/>
  <c r="N579" i="4" s="1"/>
  <c r="E577" i="4"/>
  <c r="O573" i="4"/>
  <c r="E568" i="4"/>
  <c r="O568" i="4" s="1"/>
  <c r="E566" i="4"/>
  <c r="O566" i="4" s="1"/>
  <c r="O564" i="4"/>
  <c r="G562" i="4"/>
  <c r="E562" i="4"/>
  <c r="O562" i="4" s="1"/>
  <c r="B560" i="4"/>
  <c r="L560" i="4" s="1"/>
  <c r="L559" i="4"/>
  <c r="N558" i="4"/>
  <c r="K556" i="4"/>
  <c r="R538" i="4"/>
  <c r="Q538" i="4"/>
  <c r="P538" i="4"/>
  <c r="E538" i="4"/>
  <c r="O538" i="4" s="1"/>
  <c r="N538" i="4"/>
  <c r="O532" i="4"/>
  <c r="O525" i="4"/>
  <c r="O523" i="4"/>
  <c r="O521" i="4"/>
  <c r="B519" i="4"/>
  <c r="L519" i="4" s="1"/>
  <c r="L518" i="4"/>
  <c r="N517" i="4"/>
  <c r="K515" i="4"/>
  <c r="R505" i="4"/>
  <c r="Q505" i="4"/>
  <c r="P505" i="4"/>
  <c r="E505" i="4"/>
  <c r="O505" i="4" s="1"/>
  <c r="N505" i="4"/>
  <c r="O499" i="4"/>
  <c r="O494" i="4"/>
  <c r="O492" i="4"/>
  <c r="O490" i="4"/>
  <c r="O488" i="4"/>
  <c r="B486" i="4"/>
  <c r="L486" i="4" s="1"/>
  <c r="L485" i="4"/>
  <c r="N484" i="4"/>
  <c r="K482" i="4"/>
  <c r="R464" i="4"/>
  <c r="Q464" i="4"/>
  <c r="P464" i="4"/>
  <c r="E464" i="4"/>
  <c r="O464" i="4" s="1"/>
  <c r="N464" i="4"/>
  <c r="O458" i="4"/>
  <c r="O451" i="4"/>
  <c r="O449" i="4"/>
  <c r="O447" i="4"/>
  <c r="B445" i="4"/>
  <c r="L445" i="4" s="1"/>
  <c r="L444" i="4"/>
  <c r="N443" i="4"/>
  <c r="K441" i="4"/>
  <c r="R431" i="4"/>
  <c r="G431" i="4"/>
  <c r="Q431" i="4" s="1"/>
  <c r="P431" i="4"/>
  <c r="E431" i="4"/>
  <c r="O431" i="4" s="1"/>
  <c r="N431" i="4"/>
  <c r="O425" i="4"/>
  <c r="O420" i="4"/>
  <c r="O418" i="4"/>
  <c r="O416" i="4"/>
  <c r="O414" i="4"/>
  <c r="B412" i="4"/>
  <c r="L412" i="4" s="1"/>
  <c r="L411" i="4"/>
  <c r="N410" i="4"/>
  <c r="K408" i="4"/>
  <c r="E390" i="4"/>
  <c r="O390" i="4" s="1"/>
  <c r="O384" i="4"/>
  <c r="O379" i="4"/>
  <c r="O375" i="4"/>
  <c r="O373" i="4"/>
  <c r="B371" i="4"/>
  <c r="L371" i="4" s="1"/>
  <c r="L370" i="4"/>
  <c r="N369" i="4"/>
  <c r="K367" i="4"/>
  <c r="E343" i="4"/>
  <c r="G339" i="4"/>
  <c r="R339" i="4" s="1"/>
  <c r="E339" i="4"/>
  <c r="H298" i="4"/>
  <c r="R298" i="4" s="1"/>
  <c r="E298" i="4"/>
  <c r="H471" i="10"/>
  <c r="D471" i="10"/>
  <c r="H422" i="10"/>
  <c r="D422" i="10"/>
  <c r="H377" i="10"/>
  <c r="D377" i="10"/>
  <c r="G463" i="10"/>
  <c r="G464" i="10"/>
  <c r="I462" i="10"/>
  <c r="G459" i="10"/>
  <c r="G460" i="10"/>
  <c r="G456" i="10"/>
  <c r="I413" i="10"/>
  <c r="G415" i="10"/>
  <c r="G414" i="10"/>
  <c r="G411" i="10"/>
  <c r="G410" i="10"/>
  <c r="G407" i="10"/>
  <c r="G369" i="10"/>
  <c r="I368" i="10"/>
  <c r="G366" i="10"/>
  <c r="G365" i="10"/>
  <c r="G362" i="10"/>
  <c r="G330" i="27"/>
  <c r="G380" i="27"/>
  <c r="H376" i="27"/>
  <c r="G426" i="27"/>
  <c r="H422" i="27"/>
  <c r="H326" i="27"/>
  <c r="F157" i="27"/>
  <c r="F158" i="27" s="1"/>
  <c r="F159" i="27" s="1"/>
  <c r="F110" i="27"/>
  <c r="F111" i="27" s="1"/>
  <c r="F112" i="27" s="1"/>
  <c r="F63" i="27"/>
  <c r="F64" i="27" s="1"/>
  <c r="F65" i="27" s="1"/>
  <c r="F16" i="27"/>
  <c r="F17" i="27" s="1"/>
  <c r="F18" i="27" s="1"/>
  <c r="J377" i="10"/>
  <c r="G356" i="4"/>
  <c r="H315" i="4"/>
  <c r="K422" i="10"/>
  <c r="H390" i="4"/>
  <c r="R390" i="4" s="1"/>
  <c r="E345" i="4"/>
  <c r="I417" i="10" l="1"/>
  <c r="K377" i="10"/>
  <c r="J422" i="10"/>
  <c r="J471" i="10"/>
  <c r="F379" i="4"/>
  <c r="G390" i="4"/>
  <c r="Q390" i="4" s="1"/>
  <c r="H356" i="4"/>
  <c r="G315" i="4"/>
  <c r="I372" i="10"/>
  <c r="K471" i="10"/>
  <c r="O536" i="4"/>
  <c r="I538" i="4"/>
  <c r="S538" i="4" s="1"/>
  <c r="O577" i="4"/>
  <c r="I579" i="4"/>
  <c r="S579" i="4" s="1"/>
  <c r="O462" i="4"/>
  <c r="I464" i="4"/>
  <c r="S464" i="4" s="1"/>
  <c r="O503" i="4"/>
  <c r="I505" i="4"/>
  <c r="S505" i="4" s="1"/>
  <c r="O429" i="4"/>
  <c r="I431" i="4"/>
  <c r="S431" i="4" s="1"/>
  <c r="I390" i="4" l="1"/>
  <c r="S390" i="4" s="1"/>
  <c r="E581" i="4"/>
  <c r="O581" i="4" s="1"/>
  <c r="E540" i="4"/>
  <c r="O540" i="4" s="1"/>
  <c r="E466" i="4"/>
  <c r="O466" i="4" s="1"/>
  <c r="E507" i="4"/>
  <c r="O507" i="4" s="1"/>
  <c r="E433" i="4"/>
  <c r="O433" i="4" s="1"/>
  <c r="V23" i="1"/>
  <c r="V22" i="1"/>
  <c r="E302" i="4"/>
  <c r="G264" i="4"/>
  <c r="R264" i="4" s="1"/>
  <c r="E264" i="4"/>
  <c r="E268" i="4"/>
  <c r="E227" i="4"/>
  <c r="H223" i="4"/>
  <c r="R223" i="4" s="1"/>
  <c r="E223" i="4"/>
  <c r="G370" i="10"/>
  <c r="G325" i="10"/>
  <c r="I323" i="10"/>
  <c r="G321" i="10"/>
  <c r="G320" i="10"/>
  <c r="G317" i="10"/>
  <c r="G280" i="10"/>
  <c r="I278" i="10"/>
  <c r="G276" i="10"/>
  <c r="G275" i="10"/>
  <c r="G272" i="10"/>
  <c r="F566" i="10"/>
  <c r="I556" i="10"/>
  <c r="F516" i="10"/>
  <c r="I506" i="10"/>
  <c r="F471" i="10"/>
  <c r="I461" i="10"/>
  <c r="F292" i="27"/>
  <c r="F293" i="27" s="1"/>
  <c r="F294" i="27" s="1"/>
  <c r="F247" i="27"/>
  <c r="C473" i="27"/>
  <c r="C426" i="27"/>
  <c r="C380" i="27"/>
  <c r="C330" i="27"/>
  <c r="G283" i="27"/>
  <c r="H279" i="27"/>
  <c r="H237" i="27"/>
  <c r="H234" i="27"/>
  <c r="D240" i="4"/>
  <c r="G240" i="4"/>
  <c r="H240" i="4"/>
  <c r="D332" i="10"/>
  <c r="F281" i="4"/>
  <c r="J332" i="10"/>
  <c r="H281" i="4"/>
  <c r="K191" i="10"/>
  <c r="Z39" i="1"/>
  <c r="Z18" i="1"/>
  <c r="F21" i="13" s="1"/>
  <c r="I21" i="13" s="1"/>
  <c r="Z19" i="1"/>
  <c r="F22" i="13" s="1"/>
  <c r="I22" i="13" s="1"/>
  <c r="Z40" i="1"/>
  <c r="Z41" i="1"/>
  <c r="Z20" i="1"/>
  <c r="F23" i="13" s="1"/>
  <c r="I23" i="13" s="1"/>
  <c r="Z21" i="1"/>
  <c r="F24" i="13" s="1"/>
  <c r="I24" i="13" s="1"/>
  <c r="Z22" i="1"/>
  <c r="F25" i="13" s="1"/>
  <c r="I25" i="13" s="1"/>
  <c r="Z23" i="1"/>
  <c r="F26" i="13" s="1"/>
  <c r="I26" i="13" s="1"/>
  <c r="Z17" i="1"/>
  <c r="I327" i="10"/>
  <c r="E188" i="4"/>
  <c r="G184" i="4"/>
  <c r="R184" i="4" s="1"/>
  <c r="E184" i="4"/>
  <c r="G235" i="10"/>
  <c r="I233" i="10"/>
  <c r="G231" i="10"/>
  <c r="G230" i="10"/>
  <c r="G227" i="10"/>
  <c r="F422" i="10"/>
  <c r="I412" i="10"/>
  <c r="F377" i="10"/>
  <c r="I367" i="10"/>
  <c r="F332" i="10"/>
  <c r="I322" i="10"/>
  <c r="F287" i="10"/>
  <c r="I277" i="10"/>
  <c r="F193" i="27"/>
  <c r="F190" i="27"/>
  <c r="F202" i="27"/>
  <c r="F203" i="27" s="1"/>
  <c r="F204" i="27" s="1"/>
  <c r="F205" i="27" s="1"/>
  <c r="K242" i="10"/>
  <c r="F201" i="4"/>
  <c r="J242" i="10"/>
  <c r="G78" i="10"/>
  <c r="G74" i="10"/>
  <c r="A20" i="13"/>
  <c r="F295" i="27" l="1"/>
  <c r="F340" i="27"/>
  <c r="F341" i="27" s="1"/>
  <c r="F342" i="27" s="1"/>
  <c r="F388" i="27" s="1"/>
  <c r="G185" i="10"/>
  <c r="F248" i="27"/>
  <c r="F249" i="27" s="1"/>
  <c r="F250" i="27" s="1"/>
  <c r="G324" i="10"/>
  <c r="G279" i="10"/>
  <c r="D242" i="10"/>
  <c r="I517" i="10"/>
  <c r="I567" i="10"/>
  <c r="I282" i="10"/>
  <c r="H287" i="10"/>
  <c r="K287" i="10"/>
  <c r="H332" i="10"/>
  <c r="K332" i="10"/>
  <c r="E270" i="4"/>
  <c r="F240" i="4"/>
  <c r="D281" i="4"/>
  <c r="G281" i="4"/>
  <c r="D287" i="10"/>
  <c r="J287" i="10"/>
  <c r="E229" i="4"/>
  <c r="G201" i="4"/>
  <c r="E190" i="4"/>
  <c r="I237" i="10"/>
  <c r="H242" i="10"/>
  <c r="H201" i="4"/>
  <c r="G234" i="10"/>
  <c r="D201" i="4"/>
  <c r="AT17" i="1"/>
  <c r="AT31" i="1" s="1"/>
  <c r="F434" i="27" l="1"/>
  <c r="F435" i="27" s="1"/>
  <c r="F436" i="27" s="1"/>
  <c r="F389" i="27"/>
  <c r="F390" i="27" s="1"/>
  <c r="H160" i="4"/>
  <c r="R160" i="4" s="1"/>
  <c r="G160" i="4"/>
  <c r="Q160" i="4" s="1"/>
  <c r="F160" i="4"/>
  <c r="P160" i="4" s="1"/>
  <c r="D160" i="4"/>
  <c r="N160" i="4" s="1"/>
  <c r="E149" i="4"/>
  <c r="O149" i="4" s="1"/>
  <c r="E147" i="4"/>
  <c r="O147" i="4" s="1"/>
  <c r="E143" i="4"/>
  <c r="O143" i="4" s="1"/>
  <c r="H115" i="4"/>
  <c r="G115" i="4"/>
  <c r="F115" i="4"/>
  <c r="D115" i="4"/>
  <c r="E104" i="4"/>
  <c r="E98" i="4"/>
  <c r="R356" i="4"/>
  <c r="Q356" i="4"/>
  <c r="P356" i="4"/>
  <c r="E356" i="4"/>
  <c r="O356" i="4" s="1"/>
  <c r="N356" i="4"/>
  <c r="O350" i="4"/>
  <c r="O345" i="4"/>
  <c r="O343" i="4"/>
  <c r="O341" i="4"/>
  <c r="O339" i="4"/>
  <c r="B337" i="4"/>
  <c r="L337" i="4" s="1"/>
  <c r="L336" i="4"/>
  <c r="N335" i="4"/>
  <c r="K333" i="4"/>
  <c r="R315" i="4"/>
  <c r="Q315" i="4"/>
  <c r="P315" i="4"/>
  <c r="E315" i="4"/>
  <c r="O315" i="4" s="1"/>
  <c r="N315" i="4"/>
  <c r="O309" i="4"/>
  <c r="O302" i="4"/>
  <c r="O300" i="4"/>
  <c r="O298" i="4"/>
  <c r="B296" i="4"/>
  <c r="L296" i="4" s="1"/>
  <c r="L295" i="4"/>
  <c r="N294" i="4"/>
  <c r="K292" i="4"/>
  <c r="R281" i="4"/>
  <c r="Q281" i="4"/>
  <c r="P281" i="4"/>
  <c r="E281" i="4"/>
  <c r="O281" i="4" s="1"/>
  <c r="O275" i="4"/>
  <c r="O270" i="4"/>
  <c r="O268" i="4"/>
  <c r="O266" i="4"/>
  <c r="O264" i="4"/>
  <c r="B262" i="4"/>
  <c r="L262" i="4" s="1"/>
  <c r="L261" i="4"/>
  <c r="N260" i="4"/>
  <c r="K258" i="4"/>
  <c r="R240" i="4"/>
  <c r="Q240" i="4"/>
  <c r="P240" i="4"/>
  <c r="E240" i="4"/>
  <c r="N240" i="4"/>
  <c r="O234" i="4"/>
  <c r="O229" i="4"/>
  <c r="O227" i="4"/>
  <c r="O225" i="4"/>
  <c r="O223" i="4"/>
  <c r="B221" i="4"/>
  <c r="L221" i="4" s="1"/>
  <c r="L220" i="4"/>
  <c r="N219" i="4"/>
  <c r="K217" i="4"/>
  <c r="R201" i="4"/>
  <c r="Q201" i="4"/>
  <c r="P201" i="4"/>
  <c r="E201" i="4"/>
  <c r="O201" i="4" s="1"/>
  <c r="O195" i="4"/>
  <c r="O190" i="4"/>
  <c r="O188" i="4"/>
  <c r="O186" i="4"/>
  <c r="O184" i="4"/>
  <c r="B182" i="4"/>
  <c r="L182" i="4" s="1"/>
  <c r="L181" i="4"/>
  <c r="N180" i="4"/>
  <c r="K178" i="4"/>
  <c r="E160" i="4"/>
  <c r="O160" i="4" s="1"/>
  <c r="O154" i="4"/>
  <c r="O145" i="4"/>
  <c r="B141" i="4"/>
  <c r="L141" i="4" s="1"/>
  <c r="L140" i="4"/>
  <c r="N139" i="4"/>
  <c r="K137" i="4"/>
  <c r="K193" i="10"/>
  <c r="J193" i="10"/>
  <c r="H193" i="10"/>
  <c r="D193" i="10"/>
  <c r="I188" i="10"/>
  <c r="G181" i="10"/>
  <c r="G186" i="10"/>
  <c r="I184" i="10"/>
  <c r="G182" i="10"/>
  <c r="G180" i="10"/>
  <c r="G178" i="10"/>
  <c r="F242" i="10"/>
  <c r="I232" i="10"/>
  <c r="F193" i="10"/>
  <c r="I183" i="10"/>
  <c r="F148" i="27"/>
  <c r="F145" i="27"/>
  <c r="C283" i="27"/>
  <c r="C238" i="27"/>
  <c r="C193" i="27"/>
  <c r="C148" i="27"/>
  <c r="AP7" i="29"/>
  <c r="AP21" i="29" s="1"/>
  <c r="T9" i="30"/>
  <c r="T23" i="30" s="1"/>
  <c r="F20" i="13"/>
  <c r="I240" i="4" l="1"/>
  <c r="S240" i="4" s="1"/>
  <c r="I281" i="4"/>
  <c r="S281" i="4" s="1"/>
  <c r="I356" i="4"/>
  <c r="S356" i="4" s="1"/>
  <c r="N281" i="4"/>
  <c r="I201" i="4"/>
  <c r="S201" i="4" s="1"/>
  <c r="O240" i="4"/>
  <c r="N201" i="4"/>
  <c r="I315" i="4"/>
  <c r="I160" i="4"/>
  <c r="S160" i="4" s="1"/>
  <c r="O158" i="4"/>
  <c r="F44" i="28"/>
  <c r="H44" i="28"/>
  <c r="G44" i="28"/>
  <c r="E44" i="28"/>
  <c r="C44" i="28"/>
  <c r="S315" i="4" l="1"/>
  <c r="H70" i="4" l="1"/>
  <c r="G70" i="4"/>
  <c r="H25" i="4"/>
  <c r="G25" i="4"/>
  <c r="K140" i="10"/>
  <c r="J140" i="10"/>
  <c r="K86" i="10"/>
  <c r="J86" i="10"/>
  <c r="K34" i="10"/>
  <c r="J34" i="10"/>
  <c r="O9" i="30"/>
  <c r="O23" i="30" s="1"/>
  <c r="Q10" i="12" l="1"/>
  <c r="P10" i="12"/>
  <c r="O10" i="12"/>
  <c r="N10" i="12"/>
  <c r="M10" i="12"/>
  <c r="G129" i="10" l="1"/>
  <c r="G75" i="10"/>
  <c r="H140" i="10"/>
  <c r="F140" i="10"/>
  <c r="D140" i="10"/>
  <c r="I135" i="10"/>
  <c r="G133" i="10"/>
  <c r="G132" i="10"/>
  <c r="I131" i="10"/>
  <c r="G128" i="10"/>
  <c r="G127" i="10"/>
  <c r="G125" i="10"/>
  <c r="I130" i="10"/>
  <c r="G101" i="27"/>
  <c r="G99" i="27"/>
  <c r="C102" i="27"/>
  <c r="B100" i="27"/>
  <c r="B99" i="27"/>
  <c r="C55" i="27"/>
  <c r="G54" i="27"/>
  <c r="G52" i="27"/>
  <c r="B53" i="27"/>
  <c r="B52" i="27"/>
  <c r="C8" i="27"/>
  <c r="V19" i="1"/>
  <c r="G98" i="4" l="1"/>
  <c r="R98" i="4" s="1"/>
  <c r="V18" i="1"/>
  <c r="V39" i="1"/>
  <c r="P115" i="4" l="1"/>
  <c r="N115" i="4"/>
  <c r="O104" i="4"/>
  <c r="E102" i="4"/>
  <c r="O102" i="4" s="1"/>
  <c r="E100" i="4"/>
  <c r="O100" i="4" s="1"/>
  <c r="O98" i="4"/>
  <c r="F70" i="4"/>
  <c r="P70" i="4" s="1"/>
  <c r="D70" i="4"/>
  <c r="N70" i="4" s="1"/>
  <c r="E59" i="4"/>
  <c r="O59" i="4" s="1"/>
  <c r="E57" i="4"/>
  <c r="O57" i="4" s="1"/>
  <c r="E55" i="4"/>
  <c r="O55" i="4" s="1"/>
  <c r="G53" i="4"/>
  <c r="R53" i="4" s="1"/>
  <c r="E53" i="4"/>
  <c r="O53" i="4" s="1"/>
  <c r="R115" i="4"/>
  <c r="Q115" i="4"/>
  <c r="E115" i="4"/>
  <c r="O115" i="4" s="1"/>
  <c r="O109" i="4"/>
  <c r="B96" i="4"/>
  <c r="L96" i="4" s="1"/>
  <c r="L95" i="4"/>
  <c r="N94" i="4"/>
  <c r="K92" i="4"/>
  <c r="R70" i="4"/>
  <c r="Q70" i="4"/>
  <c r="E70" i="4"/>
  <c r="O70" i="4" s="1"/>
  <c r="O64" i="4"/>
  <c r="B51" i="4"/>
  <c r="L51" i="4" s="1"/>
  <c r="L50" i="4"/>
  <c r="N49" i="4"/>
  <c r="K47" i="4"/>
  <c r="G123" i="10"/>
  <c r="G121" i="10"/>
  <c r="A122" i="10"/>
  <c r="A115" i="10"/>
  <c r="A113" i="10"/>
  <c r="H86" i="10"/>
  <c r="D86" i="10"/>
  <c r="I81" i="10"/>
  <c r="G79" i="10"/>
  <c r="I77" i="10"/>
  <c r="I76" i="10"/>
  <c r="G73" i="10"/>
  <c r="G72" i="10"/>
  <c r="G71" i="10"/>
  <c r="G69" i="10"/>
  <c r="G67" i="10"/>
  <c r="A68" i="10"/>
  <c r="A61" i="10"/>
  <c r="A59" i="10"/>
  <c r="F86" i="10"/>
  <c r="I115" i="4" l="1"/>
  <c r="S115" i="4" s="1"/>
  <c r="I70" i="4"/>
  <c r="S70" i="4" s="1"/>
  <c r="F12" i="9"/>
  <c r="K2" i="4"/>
  <c r="G7" i="29" l="1"/>
  <c r="F7" i="29"/>
  <c r="E7" i="29"/>
  <c r="D7" i="29"/>
  <c r="F25" i="4" l="1"/>
  <c r="P25" i="4" s="1"/>
  <c r="D25" i="4"/>
  <c r="N25" i="4" s="1"/>
  <c r="E14" i="4"/>
  <c r="O14" i="4" s="1"/>
  <c r="E12" i="4"/>
  <c r="O12" i="4" s="1"/>
  <c r="E10" i="4"/>
  <c r="O10" i="4" s="1"/>
  <c r="G8" i="4"/>
  <c r="R8" i="4" s="1"/>
  <c r="E8" i="4"/>
  <c r="O8" i="4" s="1"/>
  <c r="B5" i="4"/>
  <c r="L5" i="4" s="1"/>
  <c r="D4" i="4"/>
  <c r="N4" i="4" s="1"/>
  <c r="R25" i="4"/>
  <c r="Q25" i="4"/>
  <c r="E25" i="4"/>
  <c r="O25" i="4" s="1"/>
  <c r="O19" i="4"/>
  <c r="B6" i="4"/>
  <c r="L6" i="4" s="1"/>
  <c r="H34" i="10"/>
  <c r="D34" i="10"/>
  <c r="I29" i="10"/>
  <c r="G27" i="10"/>
  <c r="G26" i="10"/>
  <c r="G25" i="10"/>
  <c r="G24" i="10"/>
  <c r="G23" i="10"/>
  <c r="G22" i="10"/>
  <c r="G19" i="10"/>
  <c r="G17" i="10"/>
  <c r="G15" i="10"/>
  <c r="A16" i="10"/>
  <c r="A9" i="10"/>
  <c r="A7" i="10"/>
  <c r="F34" i="10"/>
  <c r="I25" i="10"/>
  <c r="AB9" i="30"/>
  <c r="AA9" i="30"/>
  <c r="Z9" i="30"/>
  <c r="S9" i="30"/>
  <c r="S23" i="30" s="1"/>
  <c r="R9" i="30"/>
  <c r="R23" i="30" s="1"/>
  <c r="Q9" i="30"/>
  <c r="Q23" i="30" s="1"/>
  <c r="P9" i="30"/>
  <c r="P23" i="30" s="1"/>
  <c r="H9" i="30"/>
  <c r="H23" i="30" s="1"/>
  <c r="D9" i="30"/>
  <c r="C9" i="30"/>
  <c r="G7" i="27"/>
  <c r="G5" i="27"/>
  <c r="B6" i="27"/>
  <c r="B5" i="27"/>
  <c r="C7" i="29"/>
  <c r="B7" i="29"/>
  <c r="V17" i="1"/>
  <c r="I25" i="4" l="1"/>
  <c r="S25" i="4" s="1"/>
  <c r="F16" i="8" l="1"/>
  <c r="F16" i="6"/>
  <c r="H16" i="7"/>
  <c r="H16" i="5"/>
  <c r="F8" i="28" l="1"/>
  <c r="B5" i="28" l="1"/>
  <c r="L4" i="12" l="1"/>
  <c r="A6" i="12" l="1"/>
  <c r="B6" i="7" l="1"/>
  <c r="B6" i="5"/>
  <c r="B5" i="5"/>
  <c r="AQ7" i="1"/>
  <c r="AQ6" i="1"/>
  <c r="AQ5" i="1"/>
  <c r="G59" i="10" l="1"/>
  <c r="G113" i="10"/>
  <c r="G7" i="10"/>
  <c r="G115" i="10"/>
  <c r="G61" i="10"/>
  <c r="G9" i="10"/>
  <c r="G21" i="2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G13" i="13" l="1"/>
  <c r="G12" i="13"/>
  <c r="G10" i="13"/>
  <c r="G8" i="13"/>
  <c r="E6" i="13"/>
  <c r="H430" i="19" l="1"/>
  <c r="H378" i="19"/>
  <c r="H325" i="19"/>
  <c r="H272" i="19"/>
  <c r="H219" i="19"/>
  <c r="H166" i="19"/>
  <c r="H113" i="19"/>
  <c r="H59" i="19"/>
  <c r="G11" i="21"/>
  <c r="F50" i="19"/>
  <c r="G11" i="13"/>
  <c r="D5" i="12"/>
  <c r="F9" i="8" l="1"/>
  <c r="B5" i="8"/>
  <c r="D4" i="8"/>
  <c r="F8" i="8"/>
  <c r="D7" i="8"/>
  <c r="E9" i="6"/>
  <c r="E8" i="6"/>
  <c r="D7" i="6"/>
  <c r="B5" i="6"/>
  <c r="D4" i="6"/>
  <c r="E9" i="7"/>
  <c r="E8" i="7"/>
  <c r="D7" i="7"/>
  <c r="B5" i="7"/>
  <c r="D4" i="7"/>
  <c r="E9" i="5"/>
  <c r="E8" i="5"/>
  <c r="D4" i="5"/>
  <c r="D7" i="5"/>
  <c r="H17" i="19" l="1"/>
  <c r="H15" i="19"/>
  <c r="B16" i="19"/>
  <c r="B9" i="19" l="1"/>
  <c r="H9" i="19"/>
  <c r="B7" i="19"/>
  <c r="H7" i="19"/>
  <c r="I421" i="10" l="1"/>
  <c r="I423" i="10" s="1"/>
  <c r="E354" i="4"/>
  <c r="E388" i="4"/>
  <c r="I470" i="10"/>
  <c r="I472" i="10" s="1"/>
  <c r="O388" i="4" l="1"/>
  <c r="E392" i="4"/>
  <c r="O392" i="4" s="1"/>
  <c r="O354" i="4"/>
  <c r="E358" i="4"/>
  <c r="O358" i="4" s="1"/>
  <c r="I331" i="10" l="1"/>
  <c r="I333" i="10" s="1"/>
  <c r="E279" i="4"/>
  <c r="I286" i="10"/>
  <c r="I288" i="10" s="1"/>
  <c r="E238" i="4"/>
  <c r="E313" i="4" l="1"/>
  <c r="I376" i="10"/>
  <c r="I378" i="10" s="1"/>
  <c r="O238" i="4"/>
  <c r="E242" i="4"/>
  <c r="O242" i="4" s="1"/>
  <c r="O279" i="4"/>
  <c r="E283" i="4"/>
  <c r="O283" i="4" s="1"/>
  <c r="O313" i="4" l="1"/>
  <c r="E317" i="4"/>
  <c r="O317" i="4" s="1"/>
  <c r="I241" i="10" l="1"/>
  <c r="I243" i="10" s="1"/>
  <c r="E199" i="4"/>
  <c r="O199" i="4" l="1"/>
  <c r="E203" i="4"/>
  <c r="O203" i="4" s="1"/>
  <c r="G20" i="13" l="1"/>
  <c r="E9" i="30"/>
  <c r="E23" i="30" s="1"/>
  <c r="G9" i="30" l="1"/>
  <c r="G23" i="30" s="1"/>
  <c r="J9" i="30"/>
  <c r="J23" i="30" s="1"/>
  <c r="H20" i="13" l="1"/>
  <c r="I20" i="13" s="1"/>
  <c r="F9" i="30"/>
  <c r="F23" i="30" s="1"/>
  <c r="I9" i="30" l="1"/>
  <c r="I23" i="30" s="1"/>
  <c r="AI17" i="1"/>
  <c r="AI31" i="1" s="1"/>
  <c r="AD17" i="1"/>
  <c r="E113" i="4" l="1"/>
  <c r="I139" i="10"/>
  <c r="I141" i="10" s="1"/>
  <c r="AN17" i="1"/>
  <c r="F158" i="4"/>
  <c r="E162" i="4" s="1"/>
  <c r="O162" i="4" s="1"/>
  <c r="I192" i="10"/>
  <c r="I194" i="10" s="1"/>
  <c r="E68" i="4"/>
  <c r="I85" i="10"/>
  <c r="I87" i="10" s="1"/>
  <c r="E72" i="4" l="1"/>
  <c r="O72" i="4" s="1"/>
  <c r="O68" i="4"/>
  <c r="O113" i="4"/>
  <c r="E117" i="4"/>
  <c r="O117" i="4" s="1"/>
  <c r="AU17" i="1"/>
  <c r="AU31" i="1" s="1"/>
  <c r="I33" i="10"/>
  <c r="L9" i="30"/>
  <c r="L23" i="30" s="1"/>
  <c r="N9" i="30"/>
  <c r="N23" i="30" s="1"/>
  <c r="E23" i="4"/>
  <c r="O23" i="4" l="1"/>
  <c r="E27" i="4"/>
  <c r="O27" i="4" s="1"/>
  <c r="U9" i="30"/>
  <c r="U23" i="30" s="1"/>
  <c r="I35" i="10"/>
</calcChain>
</file>

<file path=xl/sharedStrings.xml><?xml version="1.0" encoding="utf-8"?>
<sst xmlns="http://schemas.openxmlformats.org/spreadsheetml/2006/main" count="6162" uniqueCount="773">
  <si>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</si>
  <si>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</si>
  <si>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</si>
  <si>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</si>
  <si>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</si>
  <si>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</si>
  <si>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</si>
  <si>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</si>
  <si>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</si>
  <si>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</si>
  <si>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</si>
  <si>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</si>
  <si>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</si>
  <si>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</si>
  <si>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</si>
  <si>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</si>
  <si>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</si>
  <si>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</si>
  <si>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</si>
  <si>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</si>
  <si>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</si>
  <si>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</si>
  <si>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</si>
  <si>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</si>
  <si>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</si>
  <si>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</si>
  <si>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</si>
  <si>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</si>
  <si>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</si>
  <si>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</si>
  <si>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</si>
  <si>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</si>
  <si>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</si>
  <si>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</si>
  <si>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</si>
  <si>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</si>
  <si>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</si>
  <si>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</si>
  <si>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</si>
  <si>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</si>
  <si>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</si>
  <si>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</si>
  <si>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</si>
  <si>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</si>
  <si>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</si>
  <si>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</si>
  <si>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</si>
  <si>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</si>
  <si>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r>
      <t xml:space="preserve">                                                                                         </t>
    </r>
    <r>
      <rPr>
        <b/>
        <sz val="25"/>
        <color indexed="8"/>
        <rFont val="Calibri"/>
        <family val="2"/>
      </rPr>
      <t xml:space="preserve">FORM - XIII REGISTER OF WORKMEN EMPLOYED BY CONTRACTOR
</t>
    </r>
  </si>
  <si>
    <t xml:space="preserve">Age </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</si>
  <si>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</si>
  <si>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</si>
  <si>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</si>
  <si>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</si>
  <si>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</si>
  <si>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</si>
  <si>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</si>
  <si>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</si>
  <si>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</si>
  <si>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</si>
  <si>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</si>
  <si>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</si>
  <si>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</si>
  <si>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</si>
  <si>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</si>
  <si>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</si>
  <si>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</si>
  <si>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</si>
  <si>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</si>
  <si>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</si>
  <si>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</si>
  <si>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</si>
  <si>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</si>
  <si>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</si>
  <si>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</si>
  <si>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</si>
  <si>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</si>
  <si>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</si>
  <si>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</si>
  <si>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</si>
  <si>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</si>
  <si>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</si>
  <si>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</si>
  <si>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</si>
  <si>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</si>
  <si>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</si>
  <si>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</si>
  <si>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</si>
  <si>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</si>
  <si>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</si>
  <si>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</si>
  <si>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</si>
  <si>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</si>
  <si>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</si>
  <si>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</si>
  <si>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</si>
  <si>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</si>
  <si>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</si>
  <si>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</si>
  <si>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</si>
  <si>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</si>
  <si>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</si>
  <si>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</si>
  <si>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</si>
  <si>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</si>
  <si>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</si>
  <si>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</si>
  <si>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</si>
  <si>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</si>
  <si>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</si>
  <si>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</si>
  <si>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</si>
  <si>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</si>
  <si>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</si>
  <si>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</si>
  <si>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</si>
  <si>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</si>
  <si>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</si>
  <si>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</si>
  <si>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</si>
  <si>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</si>
  <si>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</si>
  <si>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</si>
  <si>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</si>
  <si>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</si>
  <si>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</si>
  <si>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</si>
  <si>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</si>
  <si>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</si>
  <si>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</si>
  <si>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</si>
  <si>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</si>
  <si>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</si>
  <si>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</si>
  <si>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</si>
  <si>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</si>
  <si>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</si>
  <si>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</si>
  <si>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</si>
  <si>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</si>
  <si>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</si>
  <si>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</si>
  <si>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</si>
  <si>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</si>
  <si>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</si>
  <si>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</si>
  <si>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</si>
  <si>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</si>
  <si>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</si>
  <si>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</si>
  <si>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</si>
  <si>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</si>
  <si>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</si>
  <si>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</si>
  <si>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</si>
  <si>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</si>
  <si>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</si>
  <si>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</si>
  <si>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</si>
  <si>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</si>
  <si>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</si>
  <si>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</si>
  <si>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</si>
  <si>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</si>
  <si>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</si>
  <si>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</si>
  <si>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</si>
  <si>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</si>
  <si>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</si>
  <si>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</si>
  <si>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</si>
  <si>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</si>
  <si>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</si>
  <si>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</si>
  <si>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</si>
  <si>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</si>
  <si>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</si>
  <si>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</si>
  <si>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</si>
  <si>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</si>
  <si>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</si>
  <si>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</si>
  <si>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</si>
  <si>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</si>
  <si>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</si>
  <si>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</si>
  <si>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</si>
  <si>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</si>
  <si>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</si>
  <si>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</si>
  <si>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</si>
  <si>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</si>
  <si>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</si>
  <si>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</si>
  <si>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</si>
  <si>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</si>
  <si>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</si>
  <si>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</si>
  <si>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</si>
  <si>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</si>
  <si>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</si>
  <si>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</si>
  <si>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</si>
  <si>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</si>
  <si>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</si>
  <si>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</si>
  <si>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</si>
  <si>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</si>
  <si>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</si>
  <si>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</si>
  <si>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</si>
  <si>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</si>
  <si>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</si>
  <si>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</si>
  <si>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</si>
  <si>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</si>
  <si>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</si>
  <si>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</si>
  <si>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</si>
  <si>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</si>
  <si>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</si>
  <si>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</si>
  <si>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</si>
  <si>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</si>
  <si>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</si>
  <si>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</si>
  <si>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</si>
  <si>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</si>
  <si>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</si>
  <si>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</si>
  <si>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</si>
  <si>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</si>
  <si>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</si>
  <si>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</si>
  <si>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</si>
  <si>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</si>
  <si>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</si>
  <si>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</si>
  <si>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</si>
  <si>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</si>
  <si>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</si>
  <si>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</si>
  <si>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</si>
  <si>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</si>
  <si>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</si>
  <si>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</si>
  <si>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</si>
  <si>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</si>
  <si>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</si>
  <si>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</si>
  <si>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</si>
  <si>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</si>
  <si>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</si>
  <si>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</si>
  <si>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</si>
  <si>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</si>
  <si>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</si>
  <si>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</si>
  <si>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</si>
  <si>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</si>
  <si>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</si>
  <si>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</si>
  <si>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</si>
  <si>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</si>
  <si>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</si>
  <si>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</si>
  <si>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</si>
  <si>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</si>
  <si>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</si>
  <si>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</si>
  <si>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</si>
  <si>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</si>
  <si>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</si>
  <si>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</si>
  <si>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</si>
  <si>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</si>
  <si>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</si>
  <si>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</si>
  <si>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</si>
  <si>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</si>
  <si>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</si>
  <si>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</si>
  <si>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</si>
  <si>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</si>
  <si>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</si>
  <si>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</si>
  <si>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</si>
  <si>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</si>
  <si>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</si>
  <si>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</si>
  <si>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</si>
  <si>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</si>
  <si>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</si>
  <si>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</si>
  <si>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</si>
  <si>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</si>
  <si>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</si>
  <si>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</si>
  <si>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</si>
  <si>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</si>
  <si>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</si>
  <si>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</si>
  <si>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</si>
  <si>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</si>
  <si>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</si>
  <si>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</si>
  <si>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</si>
  <si>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</si>
  <si>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</si>
  <si>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</si>
  <si>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</si>
  <si>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</si>
  <si>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</si>
  <si>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</si>
  <si>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</si>
  <si>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</si>
  <si>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</si>
  <si>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</si>
  <si>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</si>
  <si>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</si>
  <si>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</si>
  <si>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</si>
  <si>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</si>
  <si>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</si>
  <si>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</si>
  <si>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</si>
  <si>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</si>
  <si>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</si>
  <si>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</si>
  <si>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</si>
  <si>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</si>
  <si>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</si>
  <si>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</si>
  <si>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</si>
  <si>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</si>
  <si>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</si>
  <si>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</si>
  <si>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</si>
  <si>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</si>
  <si>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</si>
  <si>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</si>
  <si>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</si>
  <si>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</si>
  <si>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</si>
  <si>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</si>
  <si>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</si>
  <si>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</si>
  <si>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</si>
  <si>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</si>
  <si>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</si>
  <si>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</si>
  <si>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</si>
  <si>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</si>
  <si>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</si>
  <si>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</si>
  <si>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</si>
  <si>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</si>
  <si>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</si>
  <si>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</si>
  <si>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</si>
  <si>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</si>
  <si>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</si>
  <si>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</si>
  <si>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</si>
  <si>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</si>
  <si>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</si>
  <si>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</si>
  <si>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</si>
  <si>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</si>
  <si>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</si>
  <si>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</si>
  <si>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</si>
  <si>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</si>
  <si>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</si>
  <si>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</si>
  <si>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</si>
  <si>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</si>
  <si>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</si>
  <si>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</si>
  <si>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Deductions</t>
  </si>
  <si>
    <t>P</t>
  </si>
  <si>
    <t>Burgeon IT Services Pvt.Ltd.</t>
  </si>
  <si>
    <t>Siri Mansion LIGB 436 Dr.A S Rao Nagar,Hyderabad</t>
  </si>
  <si>
    <t>Wage Period</t>
  </si>
  <si>
    <t>Form No. II</t>
  </si>
  <si>
    <t>[M. W. Rules under Maharashtra Contract Labour (Regulation and Abolition)1963 Rule 27 (I)]</t>
  </si>
  <si>
    <t xml:space="preserve">Name and Address of Contractor : BURGEON IT SERVICES PVT.LTD. SIRI MANSION LIG 436 DR.A S RAO NAGAR,HYDERABAD 500 060
</t>
  </si>
  <si>
    <t>Working Hours</t>
  </si>
  <si>
    <t>Interval for Rest</t>
  </si>
  <si>
    <t>No. of Hours Worked</t>
  </si>
  <si>
    <t>Employee Code</t>
  </si>
  <si>
    <t>Full Name of Employee</t>
  </si>
  <si>
    <t>Gender</t>
  </si>
  <si>
    <t>Date of Entry into Service</t>
  </si>
  <si>
    <t>Nature of Work &amp; Designation</t>
  </si>
  <si>
    <t>MONTH DAYS</t>
  </si>
  <si>
    <t>Rajkumar Samui</t>
  </si>
  <si>
    <t>Mohammed Mudassir </t>
  </si>
  <si>
    <t>Abhishek Kumar</t>
  </si>
  <si>
    <t>Varsha Anket</t>
  </si>
  <si>
    <t>Ishita Debnath</t>
  </si>
  <si>
    <t xml:space="preserve">Subodh Vendikonda </t>
  </si>
  <si>
    <t>Dilip Lillaney</t>
  </si>
  <si>
    <t xml:space="preserve">Shantanu Mukherjee </t>
  </si>
  <si>
    <t>Vamshi Krishna Billakanto</t>
  </si>
  <si>
    <t>Dilip Arjun Kanabar</t>
  </si>
  <si>
    <t>Swati Sinha</t>
  </si>
  <si>
    <t>Leave with Wages</t>
  </si>
  <si>
    <t>Employee
Code</t>
  </si>
  <si>
    <t>Name of the Workmen</t>
  </si>
  <si>
    <t>Conveyance</t>
  </si>
  <si>
    <t>Bonus</t>
  </si>
  <si>
    <t>Medical Allowances</t>
  </si>
  <si>
    <t>Total Production in Case of Piece Rate Other Allow</t>
  </si>
  <si>
    <t>Normal Earnings</t>
  </si>
  <si>
    <t>Overtime Earnings</t>
  </si>
  <si>
    <t>Gross Wages Payable</t>
  </si>
  <si>
    <t>Income Tax</t>
  </si>
  <si>
    <t>Proff / Income Tax</t>
  </si>
  <si>
    <t>ESIC</t>
  </si>
  <si>
    <t>Total Deduction</t>
  </si>
  <si>
    <t>Net Wages Paid</t>
  </si>
  <si>
    <t>Previous Balance</t>
  </si>
  <si>
    <t>Further Enjoyed</t>
  </si>
  <si>
    <t>Refused</t>
  </si>
  <si>
    <t>Accumulated</t>
  </si>
  <si>
    <t>Date Payment of Wages</t>
  </si>
  <si>
    <t>Signature or the Thumb Impression of the Employee</t>
  </si>
  <si>
    <t>FORM M- LEAVE REGISTER</t>
  </si>
  <si>
    <t>(Vide Rule 78(1) (a) (i) of Maharastra Shops&amp;Establishment Act /Maharastra.Rules 1988</t>
  </si>
  <si>
    <t>Date of entry into service</t>
  </si>
  <si>
    <t>Accumalation of Leave</t>
  </si>
  <si>
    <t>Leave allowed</t>
  </si>
  <si>
    <t>Balance of Leave Carried Over</t>
  </si>
  <si>
    <t>Payment of Leave made on</t>
  </si>
  <si>
    <t>Refusal of Leave</t>
  </si>
  <si>
    <t>Payment of Leave on Discharge of an employee quitting employment if a admissible</t>
  </si>
  <si>
    <t>Leave due on</t>
  </si>
  <si>
    <t>No of Days</t>
  </si>
  <si>
    <t xml:space="preserve">From </t>
  </si>
  <si>
    <t xml:space="preserve">1st month </t>
  </si>
  <si>
    <t>2nd month</t>
  </si>
  <si>
    <t>Date of Application</t>
  </si>
  <si>
    <t>Date of Refusal</t>
  </si>
  <si>
    <t xml:space="preserve">Amount of Leave refused </t>
  </si>
  <si>
    <t>Date of Discharge</t>
  </si>
  <si>
    <t>Date of Amount Paid</t>
  </si>
  <si>
    <t>Signature or Left hand thumb impression of employee</t>
  </si>
  <si>
    <t>(Vide Rule 78(1) (a) (i) of Contract Labour (Regulation and Abolition) Central /Maharastra.Rules 1974</t>
  </si>
  <si>
    <t>Name  and Surname of workman</t>
  </si>
  <si>
    <t>Age and Sex</t>
  </si>
  <si>
    <t>Father's/Husband's name</t>
  </si>
  <si>
    <t>Nature of Employement/Designation</t>
  </si>
  <si>
    <t>Permanent Home Address of worken</t>
  </si>
  <si>
    <t>Date of commencement of Employment</t>
  </si>
  <si>
    <t>Signature or Thumb impression of workman</t>
  </si>
  <si>
    <t>Date of Temination of Employment</t>
  </si>
  <si>
    <t>Reason for Termination</t>
  </si>
  <si>
    <t>Employee ID</t>
  </si>
  <si>
    <t>Other Deduction(Med)</t>
  </si>
  <si>
    <t>Name of the Employer / Establishment:</t>
  </si>
  <si>
    <t xml:space="preserve">Name of the Employee:    </t>
  </si>
  <si>
    <t xml:space="preserve">Description of the dapartment if applicable: </t>
  </si>
  <si>
    <t>FORM XVI- REGISTER OF DEDUCTIONS FOR DAMAGE OR LOSS</t>
  </si>
  <si>
    <t>(Vide Rule 78(1) (a) (i) of Contract Labour (Regulation and Abolition) Maharashtra Rules 1971.</t>
  </si>
  <si>
    <t>FORM XVII- REGISTER OF FINES</t>
  </si>
  <si>
    <t>(Vide Rule 78(1) (a) (i) of Contract Labour (Regulation and Abolition) Maharashtra Rules 1971</t>
  </si>
  <si>
    <t>FORM XVIII- REGISTER OF ADVANCES</t>
  </si>
  <si>
    <t>FORM XIX- REGISTER OF OVERTIME</t>
  </si>
  <si>
    <t>Total Salary or wages in the Month</t>
  </si>
  <si>
    <t>Aparna Khaire</t>
  </si>
  <si>
    <t>INFOSYS  LTD.IL Ascendas SEZ Unit,Building Juniper</t>
  </si>
  <si>
    <t>International Tech Park,Rajiv Gandhi Infotech Park,Hinjawadi,Pune,Maharashtra</t>
  </si>
  <si>
    <t>Tapan Samui</t>
  </si>
  <si>
    <t>S.NO. 28/2 Keerthi Classic, Marunji Road,Hinjawadi Pune, MH 411057</t>
  </si>
  <si>
    <t>22/09/1987</t>
  </si>
  <si>
    <t>28/05/1989</t>
  </si>
  <si>
    <t>MALE</t>
  </si>
  <si>
    <t>Abdullah ansari</t>
  </si>
  <si>
    <t>Vishwakarma</t>
  </si>
  <si>
    <t>Aniket Ajit pATil</t>
  </si>
  <si>
    <t>Manoranjan debnath</t>
  </si>
  <si>
    <t>Prakash</t>
  </si>
  <si>
    <t>Raju Arjandas Lillaney</t>
  </si>
  <si>
    <t>FEMALE</t>
  </si>
  <si>
    <t>401, Simone Terrace, Lane 9, salunke Vihar,Rd kondhwa, Pune 411048</t>
  </si>
  <si>
    <t>210 skylite vesta villas, sarjapura, bangalore</t>
  </si>
  <si>
    <t>A-492, Gondhalpada,Plot 5, alibagh, Raigadh, MH 402201</t>
  </si>
  <si>
    <t>Kiran Pathology, shivaji park,PO renukot, Sonebhadra dist UP 231217</t>
  </si>
  <si>
    <t>5-183/4, Teachers colony, Ichoda,Adilababd 504307</t>
  </si>
  <si>
    <t>503-I1, jasminium, Magarpatta city, Hadapsar Pune 411013</t>
  </si>
  <si>
    <t>Samarnath Mukherjee</t>
  </si>
  <si>
    <t>Lakshmi Narayana</t>
  </si>
  <si>
    <t>Musabani No.1, Near Shishu Mandir School, East Singhbhum, Jharkhand 632104
East Singhbhum, Jharkhand - 832104</t>
  </si>
  <si>
    <t>149/5/G4, Uppal Depot, Near Ravindra Bharati school, Mallikarjuna Nagar, Boduppal, KV rangareddy, Telangana 500092</t>
  </si>
  <si>
    <t>Arjun Kanabar</t>
  </si>
  <si>
    <t>Subodh kumar</t>
  </si>
  <si>
    <t>Kisan Khaire</t>
  </si>
  <si>
    <t>A/105, Prakash Bhavan, Khau Gali, Station Road. Bhayandar west. District-Thane 401101</t>
  </si>
  <si>
    <t>POSTAL PARK ROAD NO 3 B PATNA BIHAR-800001</t>
  </si>
  <si>
    <t>C1202, DattSai CHSL, Krishna Borker Marg, Thane East - 400603</t>
  </si>
  <si>
    <t>594/B Wing, 144 Wakadkar Wasti, Nisarg Vishwa, Wakad. Pune 411057</t>
  </si>
  <si>
    <t>SAI NIVAS WAKAD KARVVASTI PUNE-411057</t>
  </si>
  <si>
    <t xml:space="preserve">1004, Orchids, Ashok Meadows, Hinjewadi Pahse 1, Pune, MH </t>
  </si>
  <si>
    <t>Kiran Krishna Gondhali</t>
  </si>
  <si>
    <t>Shwetha Thorat</t>
  </si>
  <si>
    <t>Name and address of Contractor:burgeon IT services Pvt.Ltd.</t>
  </si>
  <si>
    <t>Name and address of the establishment in  / under which contract is carried on:   burgeon IT services Pvt.Ltd.  Siri mansion LIGH 436 DR.A S Rao nagar,Hyderabad</t>
  </si>
  <si>
    <t>NO</t>
  </si>
  <si>
    <t>Technical Consultant</t>
  </si>
  <si>
    <t>Mugesh R</t>
  </si>
  <si>
    <t>krishna s</t>
  </si>
  <si>
    <t>1/5 saikrupa chaal,opp.ikon plaza,near R.T.O OFFICE,Kalyan(west),421301</t>
  </si>
  <si>
    <t>24/11/1986</t>
  </si>
  <si>
    <t>Prabhakar deo ram</t>
  </si>
  <si>
    <t>A/302,RAJESWAR TOER,NEAR PRATHAP CINEMA,KOLBAD,THANE WEST,400601</t>
  </si>
  <si>
    <t>E/901,PARK IOD BULDING,PARK STREAT,SOC,WAKAD,PUNE,411057</t>
  </si>
  <si>
    <t>RAJARATNAM A</t>
  </si>
  <si>
    <t>NO.44 ESWARAN KOVIL STREAT,MANAPARAI,TREACHY DISR,THAMILNADU,621306</t>
  </si>
  <si>
    <t>3RD FLOUR,OLD MADIVAALA,CHIKKAMADIVAALA,FISRT STAGE,BTM LAY OUT,BANGALURE,560076</t>
  </si>
  <si>
    <t>WO</t>
  </si>
  <si>
    <t>Senior Network Engineer L2</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</si>
  <si>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</si>
  <si>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</si>
  <si>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</si>
  <si>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</si>
  <si>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</si>
  <si>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</si>
  <si>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</si>
  <si>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</si>
  <si>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</si>
  <si>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</si>
  <si>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</si>
  <si>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</si>
  <si>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</si>
  <si>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</si>
  <si>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</si>
  <si>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</si>
  <si>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FORM IX- REGISTER OF PERSONS EMPLOYED</t>
  </si>
  <si>
    <t>Resignation</t>
  </si>
  <si>
    <t>RAHOOL MORAY</t>
  </si>
  <si>
    <t>Spring Valley, Lavender B-303, Next to Magarpatta City, Hadapsar, Pune 411013</t>
  </si>
  <si>
    <t>M. B. More</t>
  </si>
  <si>
    <t>16/6/1973</t>
  </si>
  <si>
    <t>Program Manager</t>
  </si>
  <si>
    <t>HDFC</t>
  </si>
  <si>
    <t>Mansidutt Sharma</t>
  </si>
  <si>
    <t>J S Bhardwaj</t>
  </si>
  <si>
    <t>Flat No : I1006, SPS Residency, Vaibhav Khand, Indirapuram, Ghaziabad, UP - 201014</t>
  </si>
  <si>
    <t>28/12/2020</t>
  </si>
  <si>
    <t>Senior Consultant</t>
  </si>
  <si>
    <t>EL</t>
  </si>
  <si>
    <t>Sandeep Dange</t>
  </si>
  <si>
    <t>Haneef</t>
  </si>
  <si>
    <t>Y.Hemanth Kumar Reddy</t>
  </si>
  <si>
    <t>DevKant Shukla</t>
  </si>
  <si>
    <t>KAPIL KHADSE</t>
  </si>
  <si>
    <t>BITS-542</t>
  </si>
  <si>
    <t>LESS DAYS</t>
  </si>
  <si>
    <t>Male</t>
  </si>
  <si>
    <t>Shrikrishna Narayana rao</t>
  </si>
  <si>
    <t>D.Subahan</t>
  </si>
  <si>
    <t>Y Venkatramana Reddy</t>
  </si>
  <si>
    <t>Late. Shri Surendra Kumar Shukla</t>
  </si>
  <si>
    <t>Harshada Khadse</t>
  </si>
  <si>
    <t>Project Manager</t>
  </si>
  <si>
    <t>System Administrator</t>
  </si>
  <si>
    <t>VMWare Admin</t>
  </si>
  <si>
    <t xml:space="preserve">Project Manager </t>
  </si>
  <si>
    <t xml:space="preserve"> Sr. Project Coordinator</t>
  </si>
  <si>
    <t>ND42, Flat No 21,Sambaji chowk, CICDO, Kautha, Nanded, MH 431003</t>
  </si>
  <si>
    <t>Sri Sai vaishnavi pg, 2nd cross, near Rajapalya, Hoodi, 560048</t>
  </si>
  <si>
    <t>#72B 1St Floor, 1st Bolck, 5th Main, Devasandra Main Road, Ayyappa Nagar, kr Puram,
Bangalore, KA 560036</t>
  </si>
  <si>
    <t>Flat no-37; Pocket-5; Sector-2; Rohini; Delhi 110085</t>
  </si>
  <si>
    <t>119, Gurukunj nagar, Near MIG colony, Besa Road, Manewada, Nagpur- 440034</t>
  </si>
  <si>
    <t>6-1-356A, Lakshminagar, near Ramalayam Temple, Anantapur, 515004</t>
  </si>
  <si>
    <t>15-5-5-B2, RRN main road, 
RRN colony, Madnapalle
-517325, Chittoor Dis, AP</t>
  </si>
  <si>
    <t>SBI</t>
  </si>
  <si>
    <t>A/C'20434252219</t>
  </si>
  <si>
    <t>[Vide rule 78 (1) (b) of the Contract Labour (Regulation and Abolition) Central and Maharastra, 1971]</t>
  </si>
  <si>
    <t>Nilesh Baviskar</t>
  </si>
  <si>
    <t>Ved Prakash</t>
  </si>
  <si>
    <t>Sneha Panhalkar</t>
  </si>
  <si>
    <t>SACHIN NANDKISHORPATIL</t>
  </si>
  <si>
    <t>Rohit Mahalankar</t>
  </si>
  <si>
    <t>23/11/1990</t>
  </si>
  <si>
    <t>29/09/1992</t>
  </si>
  <si>
    <t>Ashok Bhavisar</t>
  </si>
  <si>
    <t>J N Gupta</t>
  </si>
  <si>
    <t>Kashinath Panhalkar</t>
  </si>
  <si>
    <t>NANDKISHOR PATIL</t>
  </si>
  <si>
    <t>Deelip Rao sakharam</t>
  </si>
  <si>
    <t>Mukam post, Kanalda,Taluka,Jalgaon, Kanvashramroad, new Busstand, Kanalde, Jalgaon,MH 425002</t>
  </si>
  <si>
    <t>Flat No. A 203, Silver Palm Grove, Ravet, Pune 412101</t>
  </si>
  <si>
    <t>502, Sai Sarth Residency, Adarsh Nagar, Famous Chawk, New Sanghavi, Pune-411027</t>
  </si>
  <si>
    <t xml:space="preserve">FL-206, A wing, Orient Plaza, Keshsv Nagar chinchwad, Pune-411033 </t>
  </si>
  <si>
    <t>Flat No 305, Shalan Heights, Sai park Road, Opp Kamalraj Bajaj, Dighi, Pune, 411015</t>
  </si>
  <si>
    <t>A/P, Satala(KHU), Ahmedpur Dist, Latur MH 413523</t>
  </si>
  <si>
    <t>4th May 2021</t>
  </si>
  <si>
    <t>10th May 2021</t>
  </si>
  <si>
    <t>31st May 2021</t>
  </si>
  <si>
    <t>IT SUPPORTIVE SERVICES &amp; PUNE ASC SEZ</t>
  </si>
  <si>
    <t>BITS-556</t>
  </si>
  <si>
    <t>GauravVispute</t>
  </si>
  <si>
    <t>A/C'31443937313</t>
  </si>
  <si>
    <t>A/C'20163843796</t>
  </si>
  <si>
    <t>A/C'50100052341452</t>
  </si>
  <si>
    <t>ACTIVE</t>
  </si>
  <si>
    <t>(Vide Rule 75 of Contract Labour (Regulation and Abolition) Central/Maharastra Rules 1974)</t>
  </si>
  <si>
    <t>(Vide Rule 76 of Contract Labour (R&amp;A) Central &amp;Maharastra  Rules, 1974)</t>
  </si>
  <si>
    <t>Rajaram Raosaheb Gusale</t>
  </si>
  <si>
    <t>Supriya Rajaram Gusale</t>
  </si>
  <si>
    <t>A/P: Chandolewadi,Sangola, Behind Sutgirni,Tal- Sangola, Dist-Solapur-413307</t>
  </si>
  <si>
    <t>Prashant Gangadharrao Hambarde</t>
  </si>
  <si>
    <t>Bhika Jagannath</t>
  </si>
  <si>
    <t xml:space="preserve"> 5/2, Trimurti Housing Socieity,Central bank colony road, Pimprala,Jalgaon 425002 </t>
  </si>
  <si>
    <t>Gangadhar Avadhut rao</t>
  </si>
  <si>
    <t xml:space="preserve"> H No ND 42, P2 8/2, Near indira gandhi High school, Hudco, New Nanded, Maharashtra, 431603 </t>
  </si>
  <si>
    <t>AYESHA BANU.I</t>
  </si>
  <si>
    <t>OO</t>
  </si>
  <si>
    <r>
      <t xml:space="preserve">Minimum Rate of Wages Payable </t>
    </r>
    <r>
      <rPr>
        <b/>
        <sz val="14"/>
        <color indexed="8"/>
        <rFont val="Calibri"/>
        <family val="2"/>
        <scheme val="minor"/>
      </rPr>
      <t>Basic</t>
    </r>
  </si>
  <si>
    <r>
      <t xml:space="preserve">Actual Rate of Wages Payable
</t>
    </r>
    <r>
      <rPr>
        <b/>
        <sz val="12"/>
        <color indexed="8"/>
        <rFont val="Calibri"/>
        <family val="2"/>
        <scheme val="minor"/>
      </rPr>
      <t xml:space="preserve">HRA </t>
    </r>
  </si>
  <si>
    <t>Special   Allowances</t>
  </si>
  <si>
    <t>Ishaka</t>
  </si>
  <si>
    <t>2-36,Muslim street,Poothagaram,Thirupattur tq,Taminadu-635851</t>
  </si>
  <si>
    <t>SaiPrasad Cheruvukommu</t>
  </si>
  <si>
    <t>Project Coordinator</t>
  </si>
  <si>
    <t>Project Coordinator L2</t>
  </si>
  <si>
    <t>Snehal Shirsat</t>
  </si>
  <si>
    <t>Shashanki Mishra</t>
  </si>
  <si>
    <t>Anjali Dubey</t>
  </si>
  <si>
    <t xml:space="preserve">Sumit Dongare </t>
  </si>
  <si>
    <t>MB92 New Indira colony Near public school Burhanpur 450331</t>
  </si>
  <si>
    <t>Pno.22A Snehswapna Padma Colony Opp SSC Board Kolhapur 416008</t>
  </si>
  <si>
    <t>sharad shukla</t>
  </si>
  <si>
    <t>15/A chandra colony Rajanandgaon Chhattisgarh</t>
  </si>
  <si>
    <t>27-12-1990</t>
  </si>
  <si>
    <t>Ravindra Nath Dubey</t>
  </si>
  <si>
    <t>H.N. 376/16, Behind P.K. School, Ravindra nagar Urrahat Rewa M.P. 486001</t>
  </si>
  <si>
    <t>Project Engineer</t>
  </si>
  <si>
    <t>Project Lead</t>
  </si>
  <si>
    <t>HDFC BANK</t>
  </si>
  <si>
    <t>50100083666209</t>
  </si>
  <si>
    <t>Union bank of India</t>
  </si>
  <si>
    <t>631302010000771</t>
  </si>
  <si>
    <t xml:space="preserve"> ICIC</t>
  </si>
  <si>
    <t>624001562353</t>
  </si>
  <si>
    <t>100812322217</t>
  </si>
  <si>
    <t>100533606039</t>
  </si>
  <si>
    <t>100514943656</t>
  </si>
  <si>
    <t>BITS-651</t>
  </si>
  <si>
    <t>BITS-657</t>
  </si>
  <si>
    <t>BITS-658</t>
  </si>
  <si>
    <t>Name and address of Contractor:Burgeon IT services Pvt.Ltd.</t>
  </si>
  <si>
    <t>resigantion</t>
  </si>
  <si>
    <t>Mayuri Mishra</t>
  </si>
  <si>
    <t>SREENIVASULU NARISETTY</t>
  </si>
  <si>
    <t>IT Project Manager</t>
  </si>
  <si>
    <t>SENIOR SOFTWARE ENGINEER</t>
  </si>
  <si>
    <t>OOOO</t>
  </si>
  <si>
    <t>BITS-557</t>
  </si>
  <si>
    <t>BITS-559</t>
  </si>
  <si>
    <t xml:space="preserve">ICICI BANK </t>
  </si>
  <si>
    <t>Arrears</t>
  </si>
  <si>
    <t>Shiv Vilas Mishra</t>
  </si>
  <si>
    <t>D 703,Asamanth Society,SUS Road,Pashan,Pune,Maharastra 411021</t>
  </si>
  <si>
    <t>32,Ameer nagar,Lucknow,Uttar pradesh 226004</t>
  </si>
  <si>
    <t>Rajaiah narisetty</t>
  </si>
  <si>
    <t>BN 348,Balaram nagar,Safilguda,Malkajgiri,Secunderabad 500047,TS</t>
  </si>
  <si>
    <t>TUSHAR UCHAGAONKAR</t>
  </si>
  <si>
    <t>BITS-683</t>
  </si>
  <si>
    <t>Pundalik Uchagaonkar</t>
  </si>
  <si>
    <t>Plot No 5,Sy No 140,Parijath colony,Hindwadi,Belgam,Karnataka 590011</t>
  </si>
  <si>
    <t>100593810783</t>
  </si>
  <si>
    <t>Network Engineer</t>
  </si>
  <si>
    <t>042401536750</t>
  </si>
  <si>
    <t>Sneha Hande</t>
  </si>
  <si>
    <t xml:space="preserve">Amol Gole </t>
  </si>
  <si>
    <t>BITS-692</t>
  </si>
  <si>
    <t>BITS-698</t>
  </si>
  <si>
    <t>Project manager</t>
  </si>
  <si>
    <t>101257132190</t>
  </si>
  <si>
    <t>148001513263</t>
  </si>
  <si>
    <t>100769441289</t>
  </si>
  <si>
    <t>623901548420</t>
  </si>
  <si>
    <t>JAN'22</t>
  </si>
  <si>
    <t>Harishchandra Gole</t>
  </si>
  <si>
    <t>Nilgiri socity Building no 27,4th floor /4th room ,C-5,Sector 5, CBD Belapur ,Navi Mumbai, Maharashtra, 400614</t>
  </si>
  <si>
    <t>Shri ,Gurudatta krupa housing socity hill road, Sion,Chunabhatti ,Mumbai, Maharashtra, 400022</t>
  </si>
  <si>
    <t>01/06/1991</t>
  </si>
  <si>
    <t>09/11/1994</t>
  </si>
  <si>
    <t>Ramchandra Nathu Hande</t>
  </si>
  <si>
    <t>Ascendas,hinjawadi,phase 3 ,Hinjawadi Rajiv Gandhi Infotech Park.</t>
  </si>
  <si>
    <t>35/A Hande niwas ,ganesh chawl,vasrang ,Khopoli,410203</t>
  </si>
  <si>
    <t>Sandeep Dixit</t>
  </si>
  <si>
    <t>Jaikesh Upadhyay  </t>
  </si>
  <si>
    <t>Jyoti Singh</t>
  </si>
  <si>
    <t>BITS-700</t>
  </si>
  <si>
    <t>BITS-717</t>
  </si>
  <si>
    <t>BITS-720</t>
  </si>
  <si>
    <t>Sr. Project Manager</t>
  </si>
  <si>
    <t>100378934992</t>
  </si>
  <si>
    <t>FEB'22</t>
  </si>
  <si>
    <t>Punjab National Bank</t>
  </si>
  <si>
    <t>12372191001001</t>
  </si>
  <si>
    <t>Surendra Singh</t>
  </si>
  <si>
    <t>782,Sector 46,Gurgaon,Haryana 122002</t>
  </si>
  <si>
    <t>782,sector 46</t>
  </si>
  <si>
    <t>Gurgoan</t>
  </si>
  <si>
    <t>Haryana 122002</t>
  </si>
  <si>
    <t>Ashok Upadhyay</t>
  </si>
  <si>
    <t>Sr. Project Coordinator</t>
  </si>
  <si>
    <t>100448275999</t>
  </si>
  <si>
    <t>338201500480</t>
  </si>
  <si>
    <t>H No 134,Pratap nagar,Ratlam,Madhya pradesh 457001</t>
  </si>
  <si>
    <t>Sri vathsava house,SR no. 261/1/1,Sri dharshan colony,Kalvad road,Dhanori,Pune,MH,411015</t>
  </si>
  <si>
    <t>H No 134,Pratap nagar</t>
  </si>
  <si>
    <t>Ratlam</t>
  </si>
  <si>
    <t>Madhya pradesh 457001</t>
  </si>
  <si>
    <t>Ashok Kumar Singh</t>
  </si>
  <si>
    <t>Room F1,C 38,Sai apartments,JBTS gardens,Chhatrapur,New Delhi 110074</t>
  </si>
  <si>
    <t>JBTS gardens,Chhatrapur</t>
  </si>
  <si>
    <t>New Delhi 110074</t>
  </si>
  <si>
    <t>Sr.Security analyst</t>
  </si>
  <si>
    <t>341901505420</t>
  </si>
  <si>
    <t>Chandrashekar Patil</t>
  </si>
  <si>
    <t xml:space="preserve">ShaikFarooq Basha </t>
  </si>
  <si>
    <t>NILOTPAL BHOWAL</t>
  </si>
  <si>
    <t>BITS-733</t>
  </si>
  <si>
    <t>BITS-734</t>
  </si>
  <si>
    <t>BITS-738</t>
  </si>
  <si>
    <t>272301504703</t>
  </si>
  <si>
    <t>ICICI bank</t>
  </si>
  <si>
    <t>50100383537784</t>
  </si>
  <si>
    <t>Shivraj Patil</t>
  </si>
  <si>
    <t>qqqq</t>
  </si>
  <si>
    <t>MAR'22</t>
  </si>
  <si>
    <t>At post Malegaon,Maqta,Taluq Deglur,Nanded district,Maharastra 431718</t>
  </si>
  <si>
    <t>Q-198,Govt Quarters,Sastry nagar,Erawada,Pune 411006</t>
  </si>
  <si>
    <t>100783283673</t>
  </si>
  <si>
    <t>101625103757</t>
  </si>
  <si>
    <t>101804644762</t>
  </si>
  <si>
    <t>Shaik Mabu Subahan</t>
  </si>
  <si>
    <t>2-112,Kakkalapally colony,Ananthapur,AP 515001</t>
  </si>
  <si>
    <t>Software Engineer</t>
  </si>
  <si>
    <t>VM ware consultant</t>
  </si>
  <si>
    <t>P-53,Niva park extension,Badam Talad,Brahmapur,Kolkatta-700096</t>
  </si>
  <si>
    <t>Sri laxmi PG narayan nagar,Hinjewadi phase I,Pune 411057</t>
  </si>
  <si>
    <t>Dwijendra Kumar Bhowal</t>
  </si>
  <si>
    <t>2022-23</t>
  </si>
  <si>
    <t>05.05.2022</t>
  </si>
  <si>
    <t>Varsha AmitKadam</t>
  </si>
  <si>
    <t>BITS-751</t>
  </si>
  <si>
    <t>Kotak Mahindra Bank</t>
  </si>
  <si>
    <t>7311156365</t>
  </si>
  <si>
    <t>101012347096</t>
  </si>
  <si>
    <t>Muster Roll cum Wages Register for the month of APRIL 2022</t>
  </si>
  <si>
    <t>A</t>
  </si>
  <si>
    <t>APRIL'22</t>
  </si>
  <si>
    <t>Varsha Amit Kadam</t>
  </si>
  <si>
    <r>
      <t xml:space="preserve">Muster Roll cum Wages Register for the month of  </t>
    </r>
    <r>
      <rPr>
        <b/>
        <sz val="9"/>
        <color indexed="8"/>
        <rFont val="Calibri"/>
        <family val="2"/>
        <scheme val="minor"/>
      </rPr>
      <t xml:space="preserve">APRIL </t>
    </r>
    <r>
      <rPr>
        <b/>
        <sz val="9"/>
        <color rgb="FF000000"/>
        <rFont val="Calibri"/>
        <family val="2"/>
        <scheme val="minor"/>
      </rPr>
      <t xml:space="preserve"> 2022</t>
    </r>
  </si>
  <si>
    <t>Amit Kadam</t>
  </si>
  <si>
    <t>Mumbai</t>
  </si>
  <si>
    <t>Maharastra 400012</t>
  </si>
  <si>
    <t xml:space="preserve">Flat No.204,Melody Appts,Waked </t>
  </si>
  <si>
    <t>Pune</t>
  </si>
  <si>
    <t>Maharastra</t>
  </si>
  <si>
    <t>411057</t>
  </si>
  <si>
    <t>1/87,Ramdut building,currey Road,Mumbai</t>
  </si>
  <si>
    <t>1/87,Ramdut building,currey Road,Mumbai,Maharastra 400012</t>
  </si>
  <si>
    <t xml:space="preserve">Flat No.204,Melody Appts,Waked,Pune,Maharastra,'411057 </t>
  </si>
  <si>
    <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</si>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</sst>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m/yyyy"/>
    <numFmt numFmtId="165" formatCode="[$-409]d/mmm/yy;@"/>
    <numFmt numFmtId="166" formatCode="_(* #,##0_);_(* \(#,##0\);_(* &quot;-&quot;??_);_(@_)"/>
    <numFmt numFmtId="167" formatCode="[$-14009]dd/mm/yyyy;@"/>
    <numFmt numFmtId="168" formatCode="m/d/yyyy;@"/>
    <numFmt numFmtId="169" formatCode="0.0"/>
    <numFmt numFmtId="170" formatCode="mmm\-yyyy"/>
    <numFmt numFmtId="171" formatCode="0.00000E+00"/>
    <numFmt numFmtId="172" formatCode="[$-409]d\-mmm\-yy;@"/>
    <numFmt numFmtId="173" formatCode="d\ mmm\ yyyy"/>
  </numFmts>
  <fonts count="128">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sz val="12"/>
      <name val="Verdana"/>
      <family val="2"/>
    </font>
    <font>
      <sz val="12"/>
      <color theme="1"/>
      <name val="Cambria"/>
      <family val="1"/>
      <scheme val="major"/>
    </font>
    <font>
      <b/>
      <sz val="8"/>
      <color indexed="8"/>
      <name val="Calibri"/>
      <family val="2"/>
      <scheme val="minor"/>
    </font>
    <font>
      <sz val="8"/>
      <color indexed="8"/>
      <name val="Calibri"/>
      <family val="2"/>
      <scheme val="minor"/>
    </font>
    <font>
      <sz val="8"/>
      <name val="Calibri"/>
      <family val="2"/>
      <scheme val="minor"/>
    </font>
    <font>
      <sz val="11"/>
      <name val="Verdana"/>
      <family val="2"/>
    </font>
    <font>
      <b/>
      <sz val="9"/>
      <color indexed="8"/>
      <name val="Calibri"/>
      <family val="2"/>
      <scheme val="minor"/>
    </font>
    <font>
      <sz val="10"/>
      <color theme="1"/>
      <name val="Cambria"/>
      <family val="1"/>
      <scheme val="major"/>
    </font>
    <font>
      <sz val="11"/>
      <name val="Cambria"/>
      <family val="1"/>
      <scheme val="major"/>
    </font>
    <font>
      <sz val="11"/>
      <color rgb="FFFF0000"/>
      <name val="Calibri"/>
      <family val="2"/>
      <scheme val="minor"/>
    </font>
    <font>
      <sz val="10"/>
      <color rgb="FFFF0000"/>
      <name val="Cambria"/>
      <family val="1"/>
      <scheme val="major"/>
    </font>
    <font>
      <sz val="12"/>
      <color rgb="FFFF0000"/>
      <name val="Cambria"/>
      <family val="1"/>
      <scheme val="major"/>
    </font>
    <font>
      <sz val="14"/>
      <color theme="1"/>
      <name val="Calibri"/>
      <family val="2"/>
      <scheme val="minor"/>
    </font>
    <font>
      <sz val="8"/>
      <name val="Cambria"/>
      <family val="1"/>
      <scheme val="major"/>
    </font>
    <font>
      <b/>
      <sz val="11"/>
      <color rgb="FFFF0000"/>
      <name val="Calibri"/>
      <family val="2"/>
      <scheme val="minor"/>
    </font>
    <font>
      <b/>
      <sz val="10"/>
      <color theme="1"/>
      <name val="Calibri"/>
      <family val="2"/>
      <scheme val="minor"/>
    </font>
    <font>
      <sz val="10"/>
      <color rgb="FFFF0000"/>
      <name val="Arial"/>
      <family val="2"/>
    </font>
    <font>
      <b/>
      <sz val="14"/>
      <color indexed="8"/>
      <name val="Calibri"/>
      <family val="2"/>
      <scheme val="minor"/>
    </font>
    <font>
      <b/>
      <sz val="12"/>
      <color indexed="8"/>
      <name val="Calibri"/>
      <family val="2"/>
      <scheme val="minor"/>
    </font>
    <font>
      <b/>
      <sz val="10"/>
      <color indexed="8"/>
      <name val="Calibri"/>
      <family val="2"/>
      <scheme val="minor"/>
    </font>
    <font>
      <b/>
      <sz val="11"/>
      <color indexed="8"/>
      <name val="Calibri"/>
      <family val="2"/>
      <scheme val="minor"/>
    </font>
    <font>
      <b/>
      <sz val="8"/>
      <name val="Arial"/>
      <family val="2"/>
    </font>
    <font>
      <sz val="8"/>
      <color rgb="FFFF0000"/>
      <name val="Cambria"/>
      <family val="1"/>
      <scheme val="major"/>
    </font>
    <font>
      <sz val="8"/>
      <color rgb="FFFF0000"/>
      <name val="Calibri"/>
      <family val="2"/>
      <scheme val="minor"/>
    </font>
    <font>
      <sz val="8"/>
      <color rgb="FFFF0000"/>
      <name val="Arial"/>
      <family val="2"/>
    </font>
    <font>
      <sz val="10"/>
      <color theme="1"/>
      <name val="Arial"/>
      <family val="2"/>
      <charset val="1"/>
    </font>
    <font>
      <sz val="10"/>
      <color theme="1"/>
      <name val="Arial"/>
      <family val="2"/>
    </font>
    <font>
      <sz val="11"/>
      <color theme="1"/>
      <name val="Calibri"/>
      <family val="2"/>
    </font>
    <font>
      <sz val="12"/>
      <color rgb="FFFF0000"/>
      <name val="Calibri"/>
      <family val="2"/>
      <scheme val="minor"/>
    </font>
    <font>
      <sz val="12"/>
      <color rgb="FFFF0000"/>
      <name val="Arial"/>
      <family val="2"/>
    </font>
    <font>
      <b/>
      <sz val="16"/>
      <color theme="1"/>
      <name val="Calibri"/>
      <family val="2"/>
      <scheme val="minor"/>
    </font>
    <font>
      <sz val="10"/>
      <color rgb="FFFF0000"/>
      <name val="Calibri"/>
      <family val="2"/>
      <scheme val="minor"/>
    </font>
    <font>
      <b/>
      <sz val="12"/>
      <color rgb="FFFF0000"/>
      <name val="Calibri"/>
      <family val="2"/>
      <scheme val="minor"/>
    </font>
    <font>
      <b/>
      <sz val="8"/>
      <color rgb="FFFF0000"/>
      <name val="Calibri"/>
      <family val="2"/>
      <scheme val="minor"/>
    </font>
    <font>
      <b/>
      <sz val="16"/>
      <color theme="1"/>
      <name val="Cambria"/>
      <family val="1"/>
      <scheme val="major"/>
    </font>
    <font>
      <b/>
      <sz val="16"/>
      <color theme="1"/>
      <name val="Arial"/>
      <family val="2"/>
    </font>
    <font>
      <b/>
      <sz val="11"/>
      <color theme="1"/>
      <name val="Arial"/>
      <family val="2"/>
    </font>
    <font>
      <b/>
      <sz val="12"/>
      <name val="Cambria"/>
      <family val="1"/>
      <scheme val="major"/>
    </font>
    <font>
      <b/>
      <sz val="14"/>
      <name val="Cambria"/>
      <family val="1"/>
      <scheme val="major"/>
    </font>
    <font>
      <sz val="8"/>
      <color rgb="FFFF0000"/>
      <name val="Algerian"/>
      <family val="5"/>
    </font>
    <font>
      <sz val="9"/>
      <color rgb="FFFF0000"/>
      <name val="Algerian"/>
      <family val="5"/>
    </font>
    <font>
      <b/>
      <sz val="9"/>
      <color rgb="FFFF0000"/>
      <name val="Algerian"/>
      <family val="5"/>
    </font>
    <font>
      <b/>
      <sz val="8"/>
      <color rgb="FFFF0000"/>
      <name val="Algerian"/>
      <family val="5"/>
    </font>
    <font>
      <b/>
      <sz val="12"/>
      <color theme="1"/>
      <name val="Cambria"/>
      <family val="1"/>
      <scheme val="major"/>
    </font>
    <font>
      <b/>
      <sz val="14"/>
      <color rgb="FFFF0000"/>
      <name val="Calibri"/>
      <family val="2"/>
      <scheme val="minor"/>
    </font>
    <font>
      <sz val="14"/>
      <color theme="1"/>
      <name val="Calibri"/>
      <family val="2"/>
    </font>
    <font>
      <sz val="10"/>
      <color theme="1"/>
      <name val="Calibri"/>
      <family val="2"/>
    </font>
    <font>
      <sz val="12"/>
      <color theme="1"/>
      <name val="Calibri"/>
      <family val="2"/>
    </font>
    <font>
      <b/>
      <sz val="16"/>
      <color rgb="FFFF0000"/>
      <name val="Arial"/>
      <family val="2"/>
    </font>
    <font>
      <sz val="9"/>
      <color rgb="FFFF0000"/>
      <name val="Calibri"/>
      <family val="2"/>
      <scheme val="minor"/>
    </font>
    <font>
      <b/>
      <sz val="16"/>
      <color rgb="FFFF0000"/>
      <name val="Calibri"/>
      <family val="2"/>
      <scheme val="minor"/>
    </font>
    <font>
      <b/>
      <sz val="11"/>
      <color theme="1"/>
      <name val="Cambria"/>
      <family val="1"/>
      <scheme val="major"/>
    </font>
    <font>
      <b/>
      <sz val="9"/>
      <color rgb="FF000000"/>
      <name val="Calibri"/>
      <family val="2"/>
      <scheme val="minor"/>
    </font>
    <font>
      <sz val="18"/>
      <name val="Calibri"/>
      <family val="2"/>
      <scheme val="minor"/>
    </font>
    <font>
      <b/>
      <sz val="8"/>
      <name val="Calibri"/>
      <family val="2"/>
      <scheme val="minor"/>
    </font>
    <font>
      <b/>
      <sz val="11"/>
      <name val="Arial Unicode MS"/>
      <family val="2"/>
    </font>
    <font>
      <b/>
      <sz val="11"/>
      <color rgb="FFFF0000"/>
      <name val="Arial Unicode MS"/>
      <family val="2"/>
    </font>
    <font>
      <b/>
      <sz val="10"/>
      <color rgb="FFFF0000"/>
      <name val="Arial"/>
      <family val="2"/>
    </font>
    <font>
      <b/>
      <sz val="16"/>
      <color rgb="FFFF0000"/>
      <name val="Cambria"/>
      <family val="1"/>
      <scheme val="major"/>
    </font>
    <font>
      <sz val="11"/>
      <color rgb="FFFF0000"/>
      <name val="Calibri"/>
      <family val="2"/>
    </font>
    <font>
      <b/>
      <sz val="11"/>
      <color rgb="FF00206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2" tint="-9.9978637043366805E-2"/>
        <bgColor indexed="64"/>
      </patternFill>
    </fill>
  </fills>
  <borders count="73">
    <border>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8"/>
      </right>
      <top/>
      <bottom/>
      <diagonal/>
    </border>
  </borders>
  <cellStyleXfs count="9">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4" fillId="0" borderId="0"/>
    <xf numFmtId="0" fontId="65" fillId="0" borderId="0"/>
    <xf numFmtId="0" fontId="1" fillId="0" borderId="0"/>
  </cellStyleXfs>
  <cellXfs count="1366">
    <xf numFmtId="0" fontId="0" fillId="0" borderId="0" xfId="0"/>
    <xf numFmtId="0" fontId="5" fillId="0" borderId="0" xfId="0" applyFont="1"/>
    <xf numFmtId="0" fontId="2" fillId="0" borderId="0" xfId="0" applyFont="1"/>
    <xf numFmtId="0" fontId="0" fillId="0" borderId="0" xfId="0" applyAlignment="1">
      <alignment horizontal="left"/>
    </xf>
    <xf numFmtId="0" fontId="0" fillId="0" borderId="0" xfId="0" applyAlignment="1">
      <alignment horizontal="center"/>
    </xf>
    <xf numFmtId="17" fontId="2" fillId="0" borderId="0" xfId="0" applyNumberFormat="1" applyFont="1"/>
    <xf numFmtId="0" fontId="10" fillId="0" borderId="0" xfId="0" applyFont="1"/>
    <xf numFmtId="0" fontId="0" fillId="2" borderId="0" xfId="0" applyFill="1"/>
    <xf numFmtId="0" fontId="0" fillId="0" borderId="0" xfId="0" applyAlignment="1">
      <alignment vertical="center"/>
    </xf>
    <xf numFmtId="0" fontId="0" fillId="0" borderId="6" xfId="0" applyBorder="1"/>
    <xf numFmtId="0" fontId="0" fillId="0" borderId="0" xfId="0" applyAlignment="1">
      <alignment wrapText="1"/>
    </xf>
    <xf numFmtId="0" fontId="0" fillId="0" borderId="24" xfId="0" applyBorder="1"/>
    <xf numFmtId="0" fontId="0" fillId="0" borderId="25" xfId="0" applyBorder="1"/>
    <xf numFmtId="0" fontId="0" fillId="0" borderId="21" xfId="0" applyBorder="1"/>
    <xf numFmtId="0" fontId="0" fillId="0" borderId="27" xfId="0" applyBorder="1"/>
    <xf numFmtId="0" fontId="0" fillId="0" borderId="28" xfId="0" applyBorder="1"/>
    <xf numFmtId="0" fontId="0" fillId="0" borderId="29" xfId="0" applyBorder="1"/>
    <xf numFmtId="1" fontId="0" fillId="0" borderId="6" xfId="0" applyNumberFormat="1" applyBorder="1"/>
    <xf numFmtId="0" fontId="0" fillId="0" borderId="13" xfId="0" applyBorder="1"/>
    <xf numFmtId="0" fontId="0" fillId="0" borderId="14" xfId="0" applyBorder="1"/>
    <xf numFmtId="0" fontId="17" fillId="0" borderId="30" xfId="0" applyFont="1" applyBorder="1" applyAlignment="1">
      <alignment vertical="top"/>
    </xf>
    <xf numFmtId="0" fontId="8" fillId="0" borderId="31" xfId="0" applyFont="1" applyBorder="1" applyAlignment="1">
      <alignment vertical="top"/>
    </xf>
    <xf numFmtId="0" fontId="8" fillId="0" borderId="32" xfId="0" applyFont="1" applyBorder="1" applyAlignment="1">
      <alignment vertical="top"/>
    </xf>
    <xf numFmtId="0" fontId="8" fillId="0" borderId="19" xfId="0" applyFont="1" applyBorder="1" applyAlignment="1">
      <alignment vertical="top"/>
    </xf>
    <xf numFmtId="0" fontId="8" fillId="0" borderId="0" xfId="0" applyFont="1" applyAlignment="1">
      <alignment vertical="top"/>
    </xf>
    <xf numFmtId="0" fontId="8" fillId="0" borderId="33" xfId="0" applyFont="1" applyBorder="1" applyAlignment="1">
      <alignment vertical="top"/>
    </xf>
    <xf numFmtId="0" fontId="8" fillId="0" borderId="10" xfId="0" applyFont="1" applyBorder="1" applyAlignment="1">
      <alignment vertical="top"/>
    </xf>
    <xf numFmtId="0" fontId="8" fillId="0" borderId="21" xfId="0" applyFont="1" applyBorder="1" applyAlignment="1">
      <alignment vertical="top"/>
    </xf>
    <xf numFmtId="0" fontId="8" fillId="0" borderId="15" xfId="0" applyFont="1" applyBorder="1" applyAlignment="1">
      <alignment vertical="top"/>
    </xf>
    <xf numFmtId="0" fontId="8" fillId="0" borderId="30" xfId="0" applyFont="1" applyBorder="1" applyAlignment="1">
      <alignment vertical="top"/>
    </xf>
    <xf numFmtId="0" fontId="9" fillId="0" borderId="19" xfId="0" applyFont="1" applyBorder="1" applyAlignment="1">
      <alignment vertical="top"/>
    </xf>
    <xf numFmtId="0" fontId="9" fillId="3" borderId="34" xfId="0" applyFont="1" applyFill="1" applyBorder="1" applyAlignment="1">
      <alignment horizontal="center" vertical="top" wrapText="1"/>
    </xf>
    <xf numFmtId="0" fontId="9" fillId="3" borderId="6" xfId="0" applyFont="1" applyFill="1" applyBorder="1" applyAlignment="1">
      <alignment vertical="top" wrapText="1"/>
    </xf>
    <xf numFmtId="0" fontId="9" fillId="3" borderId="5" xfId="0" applyFont="1" applyFill="1" applyBorder="1" applyAlignment="1">
      <alignment vertical="top"/>
    </xf>
    <xf numFmtId="0" fontId="9" fillId="3" borderId="6" xfId="0" applyFont="1" applyFill="1" applyBorder="1" applyAlignment="1">
      <alignment horizontal="center" vertical="top" wrapText="1"/>
    </xf>
    <xf numFmtId="0" fontId="9" fillId="3" borderId="6" xfId="0" applyFont="1" applyFill="1" applyBorder="1" applyAlignment="1">
      <alignment vertical="top"/>
    </xf>
    <xf numFmtId="0" fontId="9" fillId="3" borderId="6" xfId="0" applyFont="1" applyFill="1" applyBorder="1" applyAlignment="1">
      <alignment horizontal="center" vertical="top"/>
    </xf>
    <xf numFmtId="0" fontId="19" fillId="0" borderId="6" xfId="0" applyFont="1" applyBorder="1" applyAlignment="1">
      <alignment vertical="top"/>
    </xf>
    <xf numFmtId="0" fontId="8" fillId="0" borderId="6" xfId="0" applyFont="1" applyBorder="1" applyAlignment="1">
      <alignment vertical="top"/>
    </xf>
    <xf numFmtId="0" fontId="19" fillId="0" borderId="18" xfId="0" applyFont="1" applyBorder="1" applyAlignment="1">
      <alignment vertical="top"/>
    </xf>
    <xf numFmtId="0" fontId="19" fillId="0" borderId="34" xfId="0" applyFont="1" applyBorder="1" applyAlignment="1">
      <alignment vertical="top"/>
    </xf>
    <xf numFmtId="0" fontId="19" fillId="0" borderId="5" xfId="0" applyFont="1" applyBorder="1" applyAlignment="1">
      <alignment vertical="top"/>
    </xf>
    <xf numFmtId="0" fontId="8" fillId="0" borderId="12" xfId="0" applyFont="1" applyBorder="1" applyAlignment="1">
      <alignment vertical="top"/>
    </xf>
    <xf numFmtId="0" fontId="9" fillId="3" borderId="5" xfId="0" applyFont="1" applyFill="1" applyBorder="1" applyAlignment="1">
      <alignment horizontal="center" vertical="top"/>
    </xf>
    <xf numFmtId="0" fontId="9" fillId="3" borderId="17" xfId="0" applyFont="1" applyFill="1" applyBorder="1" applyAlignment="1">
      <alignment horizontal="center" vertical="top" wrapText="1"/>
    </xf>
    <xf numFmtId="0" fontId="9" fillId="3" borderId="16" xfId="0" applyFont="1" applyFill="1" applyBorder="1" applyAlignment="1">
      <alignment horizontal="center" vertical="top" wrapText="1"/>
    </xf>
    <xf numFmtId="0" fontId="9" fillId="3" borderId="10" xfId="0" applyFont="1" applyFill="1" applyBorder="1" applyAlignment="1">
      <alignment horizontal="center" vertical="top"/>
    </xf>
    <xf numFmtId="0" fontId="9" fillId="3" borderId="5" xfId="0" applyFont="1" applyFill="1" applyBorder="1" applyAlignment="1">
      <alignment vertical="top" wrapText="1"/>
    </xf>
    <xf numFmtId="0" fontId="9" fillId="3" borderId="15" xfId="0" applyFont="1" applyFill="1" applyBorder="1" applyAlignment="1">
      <alignment horizontal="center" vertical="top"/>
    </xf>
    <xf numFmtId="0" fontId="9" fillId="3" borderId="17" xfId="0" applyFont="1" applyFill="1" applyBorder="1" applyAlignment="1">
      <alignment vertical="top"/>
    </xf>
    <xf numFmtId="0" fontId="0" fillId="0" borderId="32" xfId="0" applyBorder="1"/>
    <xf numFmtId="0" fontId="8" fillId="0" borderId="34" xfId="0" applyFont="1" applyBorder="1" applyAlignment="1">
      <alignment vertical="top"/>
    </xf>
    <xf numFmtId="0" fontId="8" fillId="0" borderId="5" xfId="0" applyFont="1" applyBorder="1" applyAlignment="1">
      <alignment vertical="top"/>
    </xf>
    <xf numFmtId="0" fontId="0" fillId="0" borderId="26" xfId="0" applyBorder="1"/>
    <xf numFmtId="0" fontId="0" fillId="0" borderId="20" xfId="0" applyBorder="1"/>
    <xf numFmtId="0" fontId="8" fillId="0" borderId="18" xfId="0" applyFont="1" applyBorder="1" applyAlignment="1">
      <alignment vertical="top"/>
    </xf>
    <xf numFmtId="0" fontId="8" fillId="0" borderId="26" xfId="0" applyFont="1" applyBorder="1" applyAlignment="1">
      <alignment vertical="top"/>
    </xf>
    <xf numFmtId="0" fontId="8" fillId="0" borderId="20" xfId="0" applyFont="1" applyBorder="1" applyAlignment="1">
      <alignment vertical="top"/>
    </xf>
    <xf numFmtId="0" fontId="21" fillId="0" borderId="6" xfId="0" applyFont="1" applyBorder="1" applyAlignment="1">
      <alignment vertical="top"/>
    </xf>
    <xf numFmtId="0" fontId="0" fillId="0" borderId="10" xfId="0" applyBorder="1"/>
    <xf numFmtId="0" fontId="0" fillId="0" borderId="15" xfId="0" applyBorder="1"/>
    <xf numFmtId="0" fontId="0" fillId="0" borderId="22" xfId="0" applyBorder="1"/>
    <xf numFmtId="0" fontId="0" fillId="0" borderId="11" xfId="0" applyBorder="1"/>
    <xf numFmtId="0" fontId="0" fillId="0" borderId="23" xfId="0" applyBorder="1"/>
    <xf numFmtId="0" fontId="2" fillId="0" borderId="24" xfId="0" applyFont="1" applyBorder="1"/>
    <xf numFmtId="0" fontId="2" fillId="0" borderId="22" xfId="0" applyFont="1" applyBorder="1"/>
    <xf numFmtId="0" fontId="2" fillId="0" borderId="11" xfId="0" applyFont="1" applyBorder="1"/>
    <xf numFmtId="0" fontId="2" fillId="0" borderId="23" xfId="0" applyFont="1" applyBorder="1"/>
    <xf numFmtId="0" fontId="2" fillId="0" borderId="25" xfId="0" applyFont="1" applyBorder="1"/>
    <xf numFmtId="0" fontId="2" fillId="0" borderId="29" xfId="0" applyFont="1" applyBorder="1"/>
    <xf numFmtId="0" fontId="2" fillId="0" borderId="27" xfId="0" applyFont="1" applyBorder="1"/>
    <xf numFmtId="0" fontId="2" fillId="0" borderId="28" xfId="0" applyFont="1" applyBorder="1"/>
    <xf numFmtId="0" fontId="0" fillId="0" borderId="24" xfId="0" applyBorder="1" applyAlignment="1">
      <alignment vertical="center"/>
    </xf>
    <xf numFmtId="0" fontId="25" fillId="0" borderId="18" xfId="0" applyFont="1" applyBorder="1"/>
    <xf numFmtId="0" fontId="2" fillId="0" borderId="26" xfId="0" applyFont="1" applyBorder="1" applyAlignment="1">
      <alignment horizontal="left" vertical="center"/>
    </xf>
    <xf numFmtId="0" fontId="2" fillId="0" borderId="18" xfId="0" applyFont="1" applyBorder="1" applyAlignment="1">
      <alignment horizontal="center" vertical="center"/>
    </xf>
    <xf numFmtId="0" fontId="2" fillId="0" borderId="26" xfId="0" applyFont="1" applyBorder="1" applyAlignment="1">
      <alignment horizontal="center" vertical="center"/>
    </xf>
    <xf numFmtId="0" fontId="2" fillId="0" borderId="20" xfId="0" applyFont="1" applyBorder="1" applyAlignment="1">
      <alignment horizontal="left" vertical="center"/>
    </xf>
    <xf numFmtId="0" fontId="2" fillId="0" borderId="10" xfId="0" applyFont="1" applyBorder="1" applyAlignment="1">
      <alignment horizontal="center" vertical="center"/>
    </xf>
    <xf numFmtId="0" fontId="2" fillId="0" borderId="21"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1" fontId="2" fillId="0" borderId="26" xfId="0" applyNumberFormat="1" applyFont="1" applyBorder="1" applyAlignment="1">
      <alignment horizontal="center" vertical="center"/>
    </xf>
    <xf numFmtId="0" fontId="25" fillId="0" borderId="30" xfId="0" applyFont="1" applyBorder="1"/>
    <xf numFmtId="0" fontId="2" fillId="0" borderId="31" xfId="0" applyFont="1" applyBorder="1"/>
    <xf numFmtId="0" fontId="0" fillId="0" borderId="31" xfId="0" applyBorder="1"/>
    <xf numFmtId="0" fontId="2" fillId="0" borderId="15" xfId="0" applyFont="1" applyBorder="1"/>
    <xf numFmtId="0" fontId="0" fillId="0" borderId="40" xfId="0" applyBorder="1"/>
    <xf numFmtId="1" fontId="2" fillId="0" borderId="6" xfId="0" applyNumberFormat="1" applyFont="1" applyBorder="1" applyAlignment="1">
      <alignment horizontal="center" vertical="center"/>
    </xf>
    <xf numFmtId="1" fontId="2" fillId="0" borderId="38" xfId="0" applyNumberFormat="1" applyFont="1" applyBorder="1" applyAlignment="1">
      <alignment horizontal="center" vertical="center"/>
    </xf>
    <xf numFmtId="0" fontId="26" fillId="0" borderId="0" xfId="0" applyFont="1" applyAlignment="1">
      <alignment horizontal="center"/>
    </xf>
    <xf numFmtId="0" fontId="27" fillId="0" borderId="0" xfId="0" applyFont="1" applyAlignment="1">
      <alignment horizontal="center"/>
    </xf>
    <xf numFmtId="0" fontId="28" fillId="0" borderId="0" xfId="0" applyFont="1"/>
    <xf numFmtId="0" fontId="29" fillId="0" borderId="0" xfId="0" applyFont="1" applyAlignment="1">
      <alignment wrapText="1"/>
    </xf>
    <xf numFmtId="0" fontId="29" fillId="0" borderId="0" xfId="0" applyFont="1"/>
    <xf numFmtId="0" fontId="30" fillId="0" borderId="0" xfId="0" applyFont="1" applyAlignment="1">
      <alignment horizontal="center"/>
    </xf>
    <xf numFmtId="0" fontId="30" fillId="0" borderId="0" xfId="0" applyFont="1" applyAlignment="1">
      <alignment wrapText="1"/>
    </xf>
    <xf numFmtId="0" fontId="30" fillId="0" borderId="0" xfId="0" applyFont="1"/>
    <xf numFmtId="0" fontId="31" fillId="0" borderId="34" xfId="0" applyFont="1" applyBorder="1" applyAlignment="1">
      <alignment horizontal="center" wrapText="1"/>
    </xf>
    <xf numFmtId="0" fontId="31" fillId="0" borderId="0" xfId="0" applyFont="1"/>
    <xf numFmtId="0" fontId="32" fillId="0" borderId="5" xfId="0" applyFont="1" applyBorder="1" applyAlignment="1">
      <alignment horizontal="center" vertical="center" wrapText="1"/>
    </xf>
    <xf numFmtId="0" fontId="31" fillId="0" borderId="8" xfId="0" applyFont="1" applyBorder="1" applyAlignment="1">
      <alignment horizontal="center" wrapText="1"/>
    </xf>
    <xf numFmtId="0" fontId="33" fillId="0" borderId="0" xfId="0" applyFont="1" applyAlignment="1">
      <alignment horizontal="center" vertical="center" wrapText="1"/>
    </xf>
    <xf numFmtId="0" fontId="0" fillId="0" borderId="34" xfId="0" applyBorder="1" applyAlignment="1">
      <alignment horizontal="center"/>
    </xf>
    <xf numFmtId="0" fontId="0" fillId="0" borderId="34" xfId="0" applyBorder="1" applyAlignment="1">
      <alignment horizontal="center" wrapText="1"/>
    </xf>
    <xf numFmtId="0" fontId="0" fillId="0" borderId="5" xfId="0" applyBorder="1" applyAlignment="1">
      <alignment horizontal="center"/>
    </xf>
    <xf numFmtId="0" fontId="0" fillId="0" borderId="6" xfId="0" applyBorder="1" applyAlignment="1">
      <alignment horizontal="center" wrapText="1"/>
    </xf>
    <xf numFmtId="0" fontId="0" fillId="0" borderId="6" xfId="0" applyBorder="1" applyAlignment="1">
      <alignment horizontal="left" wrapText="1"/>
    </xf>
    <xf numFmtId="1" fontId="34" fillId="2" borderId="6" xfId="0" applyNumberFormat="1" applyFont="1" applyFill="1" applyBorder="1"/>
    <xf numFmtId="1" fontId="5" fillId="2" borderId="6" xfId="4" applyNumberFormat="1" applyFont="1" applyFill="1" applyBorder="1" applyAlignment="1">
      <alignment horizontal="left"/>
    </xf>
    <xf numFmtId="0" fontId="35" fillId="2" borderId="11" xfId="0" applyFont="1" applyFill="1" applyBorder="1" applyAlignment="1">
      <alignment horizontal="center" vertical="top" wrapText="1"/>
    </xf>
    <xf numFmtId="0" fontId="35" fillId="2" borderId="23" xfId="0" applyFont="1" applyFill="1" applyBorder="1" applyAlignment="1">
      <alignment horizontal="center" vertical="top" wrapText="1"/>
    </xf>
    <xf numFmtId="0" fontId="35" fillId="2" borderId="0" xfId="0" applyFont="1" applyFill="1" applyAlignment="1">
      <alignment horizontal="center" vertical="top" wrapText="1"/>
    </xf>
    <xf numFmtId="0" fontId="35" fillId="2" borderId="25" xfId="0" applyFont="1" applyFill="1" applyBorder="1" applyAlignment="1">
      <alignment horizontal="center" vertical="top" wrapText="1"/>
    </xf>
    <xf numFmtId="0" fontId="0" fillId="2" borderId="0" xfId="0" applyFill="1" applyAlignment="1">
      <alignment horizontal="center" vertical="top" wrapText="1"/>
    </xf>
    <xf numFmtId="0" fontId="0" fillId="2" borderId="25" xfId="0" applyFill="1" applyBorder="1" applyAlignment="1">
      <alignment horizontal="center" vertical="top" wrapText="1"/>
    </xf>
    <xf numFmtId="0" fontId="36" fillId="2" borderId="0" xfId="0" applyFont="1" applyFill="1" applyAlignment="1">
      <alignment horizontal="center" vertical="top" wrapText="1"/>
    </xf>
    <xf numFmtId="0" fontId="36" fillId="2" borderId="25" xfId="0" applyFont="1" applyFill="1" applyBorder="1" applyAlignment="1">
      <alignment horizontal="center" vertical="top" wrapText="1"/>
    </xf>
    <xf numFmtId="0" fontId="36" fillId="2" borderId="24" xfId="0" applyFont="1" applyFill="1" applyBorder="1" applyAlignment="1">
      <alignment horizontal="center" vertical="top" wrapText="1"/>
    </xf>
    <xf numFmtId="0" fontId="37" fillId="2" borderId="24" xfId="0" applyFont="1" applyFill="1" applyBorder="1" applyAlignment="1">
      <alignment horizontal="center" vertical="top" wrapText="1"/>
    </xf>
    <xf numFmtId="0" fontId="37" fillId="2" borderId="0" xfId="0" applyFont="1" applyFill="1" applyAlignment="1">
      <alignment horizontal="center" vertical="top" wrapText="1"/>
    </xf>
    <xf numFmtId="0" fontId="37" fillId="2" borderId="25" xfId="0" applyFont="1" applyFill="1" applyBorder="1" applyAlignment="1">
      <alignment horizontal="center" vertical="top" wrapText="1"/>
    </xf>
    <xf numFmtId="0" fontId="38" fillId="2" borderId="24" xfId="0" applyFont="1" applyFill="1" applyBorder="1" applyAlignment="1">
      <alignment horizontal="left" vertical="center"/>
    </xf>
    <xf numFmtId="0" fontId="38" fillId="2" borderId="0" xfId="0" applyFont="1" applyFill="1" applyAlignment="1">
      <alignment horizontal="left" vertical="center"/>
    </xf>
    <xf numFmtId="0" fontId="10" fillId="0" borderId="0" xfId="0" applyFont="1" applyAlignment="1">
      <alignment horizontal="left" vertical="center"/>
    </xf>
    <xf numFmtId="0" fontId="38" fillId="2" borderId="24" xfId="0" applyFont="1" applyFill="1" applyBorder="1"/>
    <xf numFmtId="0" fontId="38" fillId="2" borderId="0" xfId="0" applyFont="1" applyFill="1" applyAlignment="1">
      <alignment horizontal="center"/>
    </xf>
    <xf numFmtId="0" fontId="38" fillId="0" borderId="0" xfId="0" applyFont="1" applyAlignment="1">
      <alignment horizontal="center"/>
    </xf>
    <xf numFmtId="0" fontId="38" fillId="2" borderId="0" xfId="0" applyFont="1" applyFill="1" applyAlignment="1">
      <alignment horizontal="center" wrapText="1"/>
    </xf>
    <xf numFmtId="0" fontId="38" fillId="2" borderId="0" xfId="0" applyFont="1" applyFill="1" applyAlignment="1">
      <alignment horizontal="left" wrapText="1"/>
    </xf>
    <xf numFmtId="0" fontId="38" fillId="2" borderId="0" xfId="0" applyFont="1" applyFill="1"/>
    <xf numFmtId="0" fontId="38" fillId="2" borderId="25" xfId="0" applyFont="1" applyFill="1" applyBorder="1"/>
    <xf numFmtId="0" fontId="39" fillId="2" borderId="24" xfId="0" applyFont="1" applyFill="1" applyBorder="1"/>
    <xf numFmtId="0" fontId="39" fillId="2" borderId="0" xfId="0" applyFont="1" applyFill="1" applyAlignment="1">
      <alignment horizontal="center"/>
    </xf>
    <xf numFmtId="0" fontId="39" fillId="2" borderId="0" xfId="0" applyFont="1" applyFill="1" applyAlignment="1">
      <alignment vertical="center"/>
    </xf>
    <xf numFmtId="0" fontId="39" fillId="2" borderId="0" xfId="0" applyFont="1" applyFill="1"/>
    <xf numFmtId="0" fontId="39" fillId="2" borderId="25" xfId="0" applyFont="1" applyFill="1" applyBorder="1"/>
    <xf numFmtId="0" fontId="40" fillId="2" borderId="0" xfId="0" applyFont="1" applyFill="1" applyAlignment="1">
      <alignment vertical="top" wrapText="1"/>
    </xf>
    <xf numFmtId="0" fontId="40" fillId="2" borderId="0" xfId="0" applyFont="1" applyFill="1" applyAlignment="1">
      <alignment horizontal="justify" vertical="top" wrapText="1"/>
    </xf>
    <xf numFmtId="0" fontId="40" fillId="2" borderId="25" xfId="0" applyFont="1" applyFill="1" applyBorder="1" applyAlignment="1">
      <alignment horizontal="justify" vertical="top" wrapText="1"/>
    </xf>
    <xf numFmtId="0" fontId="40" fillId="2" borderId="24" xfId="0" applyFont="1" applyFill="1" applyBorder="1" applyAlignment="1">
      <alignment horizontal="left" vertical="top" wrapText="1"/>
    </xf>
    <xf numFmtId="0" fontId="40" fillId="2" borderId="0" xfId="0" applyFont="1" applyFill="1" applyAlignment="1">
      <alignment horizontal="left" vertical="top" wrapText="1"/>
    </xf>
    <xf numFmtId="0" fontId="0" fillId="2" borderId="0" xfId="0" applyFill="1" applyAlignment="1">
      <alignment horizontal="justify" vertical="top" wrapText="1"/>
    </xf>
    <xf numFmtId="0" fontId="0" fillId="2" borderId="25" xfId="0" applyFill="1" applyBorder="1" applyAlignment="1">
      <alignment horizontal="justify" vertical="top" wrapText="1"/>
    </xf>
    <xf numFmtId="0" fontId="41" fillId="2" borderId="24" xfId="0" applyFont="1" applyFill="1" applyBorder="1" applyAlignment="1">
      <alignment horizontal="center" vertical="top" wrapText="1"/>
    </xf>
    <xf numFmtId="0" fontId="41" fillId="2" borderId="0" xfId="0" applyFont="1" applyFill="1" applyAlignment="1">
      <alignment horizontal="center" vertical="top" wrapText="1"/>
    </xf>
    <xf numFmtId="0" fontId="41" fillId="2" borderId="25" xfId="0" applyFont="1" applyFill="1" applyBorder="1" applyAlignment="1">
      <alignment horizontal="center" vertical="top" wrapText="1"/>
    </xf>
    <xf numFmtId="0" fontId="41" fillId="2" borderId="44" xfId="0" applyFont="1" applyFill="1" applyBorder="1" applyAlignment="1">
      <alignment horizontal="center" vertical="center" wrapText="1"/>
    </xf>
    <xf numFmtId="0" fontId="41" fillId="2" borderId="34" xfId="0" applyFont="1" applyFill="1" applyBorder="1" applyAlignment="1">
      <alignment horizontal="center" vertical="center" wrapText="1"/>
    </xf>
    <xf numFmtId="0" fontId="41" fillId="2" borderId="39" xfId="0" applyFont="1" applyFill="1" applyBorder="1" applyAlignment="1">
      <alignment horizontal="center" vertical="center" wrapText="1"/>
    </xf>
    <xf numFmtId="0" fontId="2" fillId="0" borderId="6" xfId="0" applyFont="1" applyBorder="1"/>
    <xf numFmtId="1" fontId="2" fillId="0" borderId="24" xfId="0" applyNumberFormat="1" applyFont="1" applyBorder="1"/>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1" fontId="2" fillId="0" borderId="31" xfId="0" applyNumberFormat="1" applyFont="1" applyBorder="1" applyAlignment="1">
      <alignment horizontal="center" vertical="center"/>
    </xf>
    <xf numFmtId="0" fontId="2" fillId="0" borderId="42"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4" xfId="0" applyBorder="1" applyAlignment="1">
      <alignment horizontal="center"/>
    </xf>
    <xf numFmtId="0" fontId="0" fillId="0" borderId="25" xfId="0" applyBorder="1" applyAlignment="1">
      <alignment horizontal="center"/>
    </xf>
    <xf numFmtId="1" fontId="2" fillId="0" borderId="6" xfId="0" applyNumberFormat="1" applyFont="1" applyBorder="1" applyAlignment="1">
      <alignment horizontal="center" vertical="center" wrapText="1"/>
    </xf>
    <xf numFmtId="1" fontId="2" fillId="0" borderId="18" xfId="0" applyNumberFormat="1" applyFont="1" applyBorder="1" applyAlignment="1">
      <alignment horizontal="center" vertical="center"/>
    </xf>
    <xf numFmtId="1" fontId="2" fillId="0" borderId="18" xfId="0" applyNumberFormat="1" applyFont="1" applyBorder="1" applyAlignment="1">
      <alignment horizontal="center" vertical="center" wrapText="1"/>
    </xf>
    <xf numFmtId="0" fontId="2" fillId="0" borderId="6" xfId="0" applyFont="1" applyBorder="1" applyAlignment="1">
      <alignment horizontal="center" wrapText="1"/>
    </xf>
    <xf numFmtId="0" fontId="25" fillId="0" borderId="18" xfId="5" applyNumberFormat="1" applyFont="1" applyBorder="1"/>
    <xf numFmtId="1" fontId="2" fillId="0" borderId="20" xfId="0" applyNumberFormat="1" applyFont="1" applyBorder="1" applyAlignment="1">
      <alignment horizontal="center" vertical="center" wrapText="1"/>
    </xf>
    <xf numFmtId="0" fontId="2" fillId="0" borderId="0" xfId="0" applyFont="1" applyAlignment="1">
      <alignment horizontal="left" vertical="center"/>
    </xf>
    <xf numFmtId="0" fontId="2" fillId="0" borderId="18" xfId="0" applyFont="1" applyBorder="1" applyAlignment="1">
      <alignment horizontal="right" vertical="center"/>
    </xf>
    <xf numFmtId="1" fontId="0" fillId="0" borderId="26" xfId="0" applyNumberFormat="1" applyBorder="1"/>
    <xf numFmtId="0" fontId="44" fillId="0" borderId="0" xfId="0" applyFont="1"/>
    <xf numFmtId="0" fontId="25"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5" xfId="0" applyFont="1" applyBorder="1" applyAlignment="1">
      <alignment horizontal="center" vertical="center"/>
    </xf>
    <xf numFmtId="0" fontId="23" fillId="0" borderId="11" xfId="0" applyFont="1" applyBorder="1"/>
    <xf numFmtId="0" fontId="23" fillId="0" borderId="23" xfId="0" applyFont="1" applyBorder="1"/>
    <xf numFmtId="0" fontId="45" fillId="0" borderId="11" xfId="0" applyFont="1" applyBorder="1"/>
    <xf numFmtId="0" fontId="0" fillId="0" borderId="0" xfId="0" applyAlignment="1">
      <alignment vertical="top"/>
    </xf>
    <xf numFmtId="0" fontId="2" fillId="0" borderId="0" xfId="0" applyFont="1" applyAlignment="1">
      <alignment vertical="center" wrapText="1"/>
    </xf>
    <xf numFmtId="0" fontId="2" fillId="0" borderId="26" xfId="0" applyFont="1" applyBorder="1"/>
    <xf numFmtId="0" fontId="2" fillId="0" borderId="20" xfId="0" applyFont="1" applyBorder="1"/>
    <xf numFmtId="0" fontId="2" fillId="0" borderId="18" xfId="0" applyFont="1" applyBorder="1"/>
    <xf numFmtId="0" fontId="0" fillId="0" borderId="18" xfId="0" applyBorder="1"/>
    <xf numFmtId="0" fontId="2" fillId="0" borderId="20" xfId="0" applyFont="1" applyBorder="1" applyAlignment="1">
      <alignment horizontal="center" vertical="center"/>
    </xf>
    <xf numFmtId="0" fontId="2" fillId="0" borderId="18" xfId="0" applyFont="1" applyBorder="1" applyAlignment="1">
      <alignment horizontal="center" wrapText="1"/>
    </xf>
    <xf numFmtId="0" fontId="2" fillId="0" borderId="18" xfId="0" applyFont="1" applyBorder="1" applyAlignment="1">
      <alignment horizontal="left" wrapText="1"/>
    </xf>
    <xf numFmtId="0" fontId="2" fillId="0" borderId="25" xfId="0" applyFont="1" applyBorder="1" applyAlignment="1">
      <alignment vertical="center" wrapText="1"/>
    </xf>
    <xf numFmtId="0" fontId="0" fillId="0" borderId="41" xfId="0" applyBorder="1"/>
    <xf numFmtId="0" fontId="47" fillId="2" borderId="31" xfId="0" applyFont="1" applyFill="1" applyBorder="1" applyAlignment="1">
      <alignment vertical="center"/>
    </xf>
    <xf numFmtId="0" fontId="47" fillId="2" borderId="32" xfId="0" applyFont="1" applyFill="1" applyBorder="1" applyAlignment="1">
      <alignment vertical="center"/>
    </xf>
    <xf numFmtId="0" fontId="47" fillId="2" borderId="10" xfId="0" applyFont="1" applyFill="1" applyBorder="1" applyAlignment="1">
      <alignment vertical="center"/>
    </xf>
    <xf numFmtId="0" fontId="47" fillId="2" borderId="21" xfId="0" applyFont="1" applyFill="1" applyBorder="1" applyAlignment="1">
      <alignment vertical="center"/>
    </xf>
    <xf numFmtId="0" fontId="47" fillId="2" borderId="15" xfId="0" applyFont="1" applyFill="1" applyBorder="1" applyAlignment="1">
      <alignment vertical="center"/>
    </xf>
    <xf numFmtId="0" fontId="47" fillId="2" borderId="0" xfId="0" applyFont="1" applyFill="1" applyAlignment="1">
      <alignment vertical="center"/>
    </xf>
    <xf numFmtId="0" fontId="47" fillId="2" borderId="0" xfId="0" applyFont="1" applyFill="1" applyAlignment="1">
      <alignment horizontal="center" vertical="center"/>
    </xf>
    <xf numFmtId="0" fontId="47" fillId="2" borderId="18" xfId="0" applyFont="1" applyFill="1" applyBorder="1" applyAlignment="1">
      <alignment horizontal="center" vertical="center"/>
    </xf>
    <xf numFmtId="0" fontId="47" fillId="2" borderId="26" xfId="0" applyFont="1" applyFill="1" applyBorder="1" applyAlignment="1">
      <alignment vertical="center"/>
    </xf>
    <xf numFmtId="0" fontId="47" fillId="2" borderId="20" xfId="0" applyFont="1" applyFill="1" applyBorder="1" applyAlignment="1">
      <alignment vertical="center"/>
    </xf>
    <xf numFmtId="0" fontId="2" fillId="0" borderId="18" xfId="0" applyFont="1" applyBorder="1" applyAlignment="1">
      <alignment horizontal="left" vertical="center"/>
    </xf>
    <xf numFmtId="0" fontId="24" fillId="0" borderId="0" xfId="0" applyFont="1"/>
    <xf numFmtId="0" fontId="5" fillId="0" borderId="18" xfId="0" applyFont="1" applyBorder="1"/>
    <xf numFmtId="0" fontId="5" fillId="0" borderId="30" xfId="0" applyFont="1" applyBorder="1"/>
    <xf numFmtId="0" fontId="24" fillId="0" borderId="31" xfId="0" applyFont="1" applyBorder="1"/>
    <xf numFmtId="0" fontId="5" fillId="0" borderId="26" xfId="0" applyFont="1" applyBorder="1"/>
    <xf numFmtId="0" fontId="47" fillId="0" borderId="18" xfId="0" applyFont="1" applyBorder="1" applyAlignment="1">
      <alignment vertical="center"/>
    </xf>
    <xf numFmtId="0" fontId="48" fillId="2" borderId="31" xfId="0" applyFont="1" applyFill="1" applyBorder="1" applyAlignment="1" applyProtection="1">
      <alignment horizontal="center" vertical="center"/>
      <protection locked="0"/>
    </xf>
    <xf numFmtId="0" fontId="47" fillId="2" borderId="18" xfId="0" applyFont="1" applyFill="1" applyBorder="1" applyAlignment="1">
      <alignment vertical="center"/>
    </xf>
    <xf numFmtId="0" fontId="11" fillId="0" borderId="0" xfId="0" applyFont="1"/>
    <xf numFmtId="0" fontId="2" fillId="0" borderId="0" xfId="0" applyFont="1" applyAlignment="1">
      <alignment vertical="top"/>
    </xf>
    <xf numFmtId="0" fontId="47" fillId="2" borderId="0" xfId="0" applyFont="1" applyFill="1" applyAlignment="1">
      <alignment vertical="center" wrapText="1"/>
    </xf>
    <xf numFmtId="0" fontId="47" fillId="2" borderId="6" xfId="0" applyFont="1" applyFill="1" applyBorder="1" applyAlignment="1">
      <alignment vertical="center" wrapText="1"/>
    </xf>
    <xf numFmtId="0" fontId="47" fillId="2" borderId="18" xfId="0" applyFont="1" applyFill="1" applyBorder="1" applyAlignment="1">
      <alignment vertical="center" wrapText="1"/>
    </xf>
    <xf numFmtId="0" fontId="47" fillId="2" borderId="20" xfId="0" applyFont="1" applyFill="1" applyBorder="1" applyAlignment="1">
      <alignment vertical="center" wrapText="1"/>
    </xf>
    <xf numFmtId="0" fontId="50" fillId="2" borderId="0" xfId="0" applyFont="1" applyFill="1" applyAlignment="1">
      <alignment vertical="center"/>
    </xf>
    <xf numFmtId="0" fontId="50" fillId="2" borderId="26" xfId="0" applyFont="1" applyFill="1" applyBorder="1" applyAlignment="1">
      <alignment vertical="center"/>
    </xf>
    <xf numFmtId="0" fontId="53" fillId="0" borderId="0" xfId="0" applyFont="1" applyAlignment="1">
      <alignment horizontal="left" vertical="center"/>
    </xf>
    <xf numFmtId="0" fontId="53" fillId="0" borderId="0" xfId="0" applyFont="1"/>
    <xf numFmtId="0" fontId="49" fillId="2" borderId="0" xfId="0" applyFont="1" applyFill="1" applyAlignment="1">
      <alignment vertical="center"/>
    </xf>
    <xf numFmtId="0" fontId="54"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26" xfId="0" applyFont="1" applyBorder="1"/>
    <xf numFmtId="0" fontId="56" fillId="0" borderId="26" xfId="0" applyFont="1" applyBorder="1" applyAlignment="1">
      <alignment horizontal="left" vertical="center"/>
    </xf>
    <xf numFmtId="0" fontId="56" fillId="0" borderId="20" xfId="0" applyFont="1" applyBorder="1" applyAlignment="1">
      <alignment horizontal="left" vertical="center"/>
    </xf>
    <xf numFmtId="0" fontId="57" fillId="0" borderId="18" xfId="0" applyFont="1" applyBorder="1" applyAlignment="1">
      <alignment horizontal="left" vertical="center"/>
    </xf>
    <xf numFmtId="0" fontId="57" fillId="0" borderId="0" xfId="0" applyFont="1" applyAlignment="1">
      <alignment horizontal="left" vertical="center"/>
    </xf>
    <xf numFmtId="0" fontId="57" fillId="0" borderId="0" xfId="0" applyFont="1"/>
    <xf numFmtId="0" fontId="58" fillId="0" borderId="0" xfId="0" applyFont="1"/>
    <xf numFmtId="0" fontId="58" fillId="0" borderId="0" xfId="5" applyNumberFormat="1" applyFont="1"/>
    <xf numFmtId="0" fontId="59" fillId="0" borderId="0" xfId="0" applyFont="1"/>
    <xf numFmtId="0" fontId="24" fillId="0" borderId="25" xfId="0" applyFont="1" applyBorder="1"/>
    <xf numFmtId="0" fontId="56" fillId="0" borderId="0" xfId="0" applyFont="1" applyAlignment="1">
      <alignment horizontal="left" vertical="center"/>
    </xf>
    <xf numFmtId="0" fontId="24" fillId="0" borderId="42" xfId="0" applyFont="1" applyBorder="1"/>
    <xf numFmtId="0" fontId="5" fillId="0" borderId="41" xfId="0" applyFont="1" applyBorder="1"/>
    <xf numFmtId="0" fontId="47" fillId="2" borderId="41" xfId="0" applyFont="1" applyFill="1" applyBorder="1" applyAlignment="1">
      <alignment vertical="center"/>
    </xf>
    <xf numFmtId="0" fontId="47" fillId="2" borderId="38" xfId="0" applyFont="1" applyFill="1" applyBorder="1" applyAlignment="1">
      <alignment horizontal="center" vertical="center"/>
    </xf>
    <xf numFmtId="0" fontId="50" fillId="2" borderId="41" xfId="0" applyFont="1" applyFill="1" applyBorder="1" applyAlignment="1">
      <alignment vertical="center"/>
    </xf>
    <xf numFmtId="0" fontId="54" fillId="0" borderId="25" xfId="0" applyFont="1" applyBorder="1" applyAlignment="1">
      <alignment horizontal="left" vertical="top" wrapText="1"/>
    </xf>
    <xf numFmtId="0" fontId="49" fillId="2" borderId="25"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62" fillId="0" borderId="0" xfId="0" applyFont="1" applyAlignment="1">
      <alignment vertical="center"/>
    </xf>
    <xf numFmtId="0" fontId="21" fillId="0" borderId="24" xfId="0" applyFont="1" applyBorder="1"/>
    <xf numFmtId="0" fontId="62" fillId="0" borderId="24" xfId="0" applyFont="1" applyBorder="1" applyAlignment="1">
      <alignment horizontal="left" vertical="center" wrapText="1"/>
    </xf>
    <xf numFmtId="0" fontId="0" fillId="0" borderId="24" xfId="0" applyBorder="1" applyAlignment="1">
      <alignment vertical="center" wrapText="1"/>
    </xf>
    <xf numFmtId="0" fontId="0" fillId="0" borderId="0" xfId="0" applyAlignment="1">
      <alignment vertical="center" wrapText="1"/>
    </xf>
    <xf numFmtId="0" fontId="0" fillId="0" borderId="25" xfId="0" applyBorder="1" applyAlignment="1">
      <alignment vertical="center" wrapText="1"/>
    </xf>
    <xf numFmtId="0" fontId="21" fillId="0" borderId="0" xfId="0" applyFont="1"/>
    <xf numFmtId="0" fontId="21" fillId="0" borderId="25" xfId="0" applyFont="1" applyBorder="1"/>
    <xf numFmtId="0" fontId="21" fillId="0" borderId="4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38" xfId="0" applyFont="1" applyBorder="1" applyAlignment="1">
      <alignment horizontal="center" vertical="center" wrapText="1"/>
    </xf>
    <xf numFmtId="0" fontId="0" fillId="0" borderId="45" xfId="0" applyBorder="1" applyAlignment="1">
      <alignment horizontal="center"/>
    </xf>
    <xf numFmtId="0" fontId="0" fillId="0" borderId="6" xfId="0" applyBorder="1" applyAlignment="1">
      <alignment horizontal="center"/>
    </xf>
    <xf numFmtId="0" fontId="0" fillId="0" borderId="38" xfId="0" applyBorder="1" applyAlignment="1">
      <alignment horizontal="center"/>
    </xf>
    <xf numFmtId="0" fontId="0" fillId="0" borderId="38" xfId="0" applyBorder="1"/>
    <xf numFmtId="0" fontId="17" fillId="0" borderId="0" xfId="0" applyFont="1"/>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5" xfId="0" applyBorder="1" applyAlignment="1">
      <alignment horizontal="left" vertical="center" wrapText="1"/>
    </xf>
    <xf numFmtId="0" fontId="8" fillId="0" borderId="24" xfId="0" applyFont="1" applyBorder="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left" vertical="center"/>
    </xf>
    <xf numFmtId="0" fontId="0" fillId="0" borderId="25" xfId="0" applyBorder="1" applyAlignment="1">
      <alignment horizontal="left" vertical="center"/>
    </xf>
    <xf numFmtId="0" fontId="9" fillId="0" borderId="24" xfId="0" applyFont="1" applyBorder="1" applyAlignment="1">
      <alignment vertical="center"/>
    </xf>
    <xf numFmtId="0" fontId="21" fillId="0" borderId="0" xfId="0" applyFont="1" applyAlignment="1">
      <alignment horizontal="center"/>
    </xf>
    <xf numFmtId="1" fontId="11" fillId="0" borderId="0" xfId="0" applyNumberFormat="1" applyFont="1"/>
    <xf numFmtId="0" fontId="0" fillId="0" borderId="4" xfId="0" applyBorder="1"/>
    <xf numFmtId="0" fontId="21" fillId="0" borderId="12" xfId="0" applyFont="1" applyBorder="1"/>
    <xf numFmtId="0" fontId="2" fillId="0" borderId="13" xfId="0" applyFont="1" applyBorder="1"/>
    <xf numFmtId="0" fontId="0" fillId="0" borderId="45" xfId="0" applyBorder="1"/>
    <xf numFmtId="0" fontId="21" fillId="0" borderId="29" xfId="0" applyFont="1" applyBorder="1"/>
    <xf numFmtId="0" fontId="0" fillId="0" borderId="0" xfId="0" applyAlignment="1">
      <alignment horizontal="center" vertical="center"/>
    </xf>
    <xf numFmtId="0" fontId="9" fillId="0" borderId="0" xfId="0" applyFont="1" applyAlignment="1">
      <alignment horizontal="left"/>
    </xf>
    <xf numFmtId="0" fontId="0" fillId="0" borderId="6" xfId="0" applyBorder="1" applyAlignment="1">
      <alignment horizontal="center" vertical="center" wrapText="1"/>
    </xf>
    <xf numFmtId="0" fontId="63" fillId="0" borderId="45" xfId="0" applyFont="1" applyBorder="1" applyAlignment="1">
      <alignment horizontal="center"/>
    </xf>
    <xf numFmtId="0" fontId="63" fillId="0" borderId="6" xfId="0" applyFont="1" applyBorder="1" applyAlignment="1">
      <alignment horizontal="center"/>
    </xf>
    <xf numFmtId="0" fontId="63" fillId="0" borderId="38" xfId="0" applyFont="1" applyBorder="1" applyAlignment="1">
      <alignment horizontal="center"/>
    </xf>
    <xf numFmtId="0" fontId="8" fillId="0" borderId="13" xfId="0" applyFont="1" applyBorder="1"/>
    <xf numFmtId="14" fontId="0" fillId="0" borderId="0" xfId="0" applyNumberFormat="1"/>
    <xf numFmtId="9" fontId="0" fillId="0" borderId="6" xfId="0" applyNumberFormat="1" applyBorder="1"/>
    <xf numFmtId="0" fontId="58" fillId="0" borderId="18" xfId="0" applyFont="1" applyBorder="1"/>
    <xf numFmtId="14" fontId="0" fillId="0" borderId="27" xfId="0" applyNumberFormat="1" applyBorder="1"/>
    <xf numFmtId="1" fontId="24" fillId="0" borderId="31" xfId="0" applyNumberFormat="1" applyFont="1" applyBorder="1"/>
    <xf numFmtId="14" fontId="2" fillId="0" borderId="0" xfId="0" applyNumberFormat="1" applyFont="1"/>
    <xf numFmtId="1" fontId="11" fillId="0" borderId="26" xfId="0" applyNumberFormat="1" applyFont="1" applyBorder="1"/>
    <xf numFmtId="9" fontId="0" fillId="0" borderId="25" xfId="0" applyNumberFormat="1" applyBorder="1" applyAlignment="1">
      <alignment horizontal="center"/>
    </xf>
    <xf numFmtId="14" fontId="21" fillId="0" borderId="0" xfId="0" applyNumberFormat="1" applyFont="1"/>
    <xf numFmtId="1" fontId="0" fillId="0" borderId="24" xfId="0" applyNumberFormat="1" applyBorder="1"/>
    <xf numFmtId="1" fontId="5" fillId="2" borderId="6" xfId="0" quotePrefix="1" applyNumberFormat="1" applyFont="1" applyFill="1" applyBorder="1" applyAlignment="1">
      <alignment horizontal="left"/>
    </xf>
    <xf numFmtId="1" fontId="0" fillId="0" borderId="6" xfId="0" applyNumberFormat="1" applyBorder="1" applyAlignment="1">
      <alignment horizontal="center" wrapText="1"/>
    </xf>
    <xf numFmtId="0" fontId="0" fillId="2" borderId="6" xfId="0" applyFill="1" applyBorder="1"/>
    <xf numFmtId="0" fontId="69" fillId="2" borderId="6" xfId="0" applyFont="1" applyFill="1" applyBorder="1" applyAlignment="1" applyProtection="1">
      <alignment vertical="top" wrapText="1" readingOrder="1"/>
      <protection locked="0"/>
    </xf>
    <xf numFmtId="0" fontId="63" fillId="2" borderId="6" xfId="0" applyFont="1" applyFill="1" applyBorder="1" applyAlignment="1">
      <alignment horizontal="center" vertical="center" wrapText="1"/>
    </xf>
    <xf numFmtId="0" fontId="22" fillId="0" borderId="23" xfId="0" applyNumberFormat="1" applyFont="1" applyFill="1" applyBorder="1" applyAlignment="1" applyProtection="1">
      <alignment horizontal="center" vertical="center"/>
    </xf>
    <xf numFmtId="0" fontId="22" fillId="0" borderId="28" xfId="0" applyNumberFormat="1" applyFont="1" applyFill="1" applyBorder="1" applyAlignment="1" applyProtection="1">
      <alignment horizontal="center" vertical="center"/>
    </xf>
    <xf numFmtId="0" fontId="8" fillId="0" borderId="14" xfId="0" applyNumberFormat="1" applyFont="1" applyFill="1" applyBorder="1" applyAlignment="1" applyProtection="1">
      <alignment horizontal="center" vertical="top"/>
    </xf>
    <xf numFmtId="0" fontId="17" fillId="0" borderId="22" xfId="0" applyNumberFormat="1" applyFont="1" applyFill="1" applyBorder="1" applyAlignment="1" applyProtection="1">
      <alignment vertical="top"/>
    </xf>
    <xf numFmtId="0" fontId="8" fillId="0" borderId="11"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0" fontId="8" fillId="0" borderId="11" xfId="0" applyNumberFormat="1" applyFont="1" applyFill="1" applyBorder="1" applyAlignment="1" applyProtection="1">
      <alignment horizontal="left" vertical="top" wrapText="1"/>
    </xf>
    <xf numFmtId="0" fontId="8" fillId="0" borderId="23" xfId="0" applyNumberFormat="1" applyFont="1" applyFill="1" applyBorder="1" applyAlignment="1" applyProtection="1">
      <alignment horizontal="left" vertical="top" wrapText="1"/>
    </xf>
    <xf numFmtId="0" fontId="8" fillId="0" borderId="24"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25" xfId="0" applyNumberFormat="1" applyFont="1" applyFill="1" applyBorder="1" applyAlignment="1" applyProtection="1">
      <alignment vertical="top"/>
    </xf>
    <xf numFmtId="0" fontId="8" fillId="0" borderId="0" xfId="0" applyNumberFormat="1" applyFont="1" applyFill="1" applyBorder="1" applyAlignment="1" applyProtection="1">
      <alignment horizontal="left" vertical="top" wrapText="1"/>
    </xf>
    <xf numFmtId="0" fontId="8" fillId="0" borderId="25" xfId="0" applyNumberFormat="1" applyFont="1" applyFill="1" applyBorder="1" applyAlignment="1" applyProtection="1">
      <alignment horizontal="left" vertical="top" wrapText="1"/>
    </xf>
    <xf numFmtId="0" fontId="8" fillId="0" borderId="29" xfId="0" applyNumberFormat="1" applyFont="1" applyFill="1" applyBorder="1" applyAlignment="1" applyProtection="1">
      <alignment vertical="top"/>
    </xf>
    <xf numFmtId="0" fontId="8" fillId="0" borderId="27" xfId="0" applyNumberFormat="1" applyFont="1" applyFill="1" applyBorder="1" applyAlignment="1" applyProtection="1">
      <alignment vertical="top"/>
    </xf>
    <xf numFmtId="0" fontId="8" fillId="0" borderId="28" xfId="0" applyNumberFormat="1" applyFont="1" applyFill="1" applyBorder="1" applyAlignment="1" applyProtection="1">
      <alignment vertical="top"/>
    </xf>
    <xf numFmtId="0" fontId="8" fillId="0" borderId="22" xfId="0" applyNumberFormat="1" applyFont="1" applyFill="1" applyBorder="1" applyAlignment="1" applyProtection="1">
      <alignment vertical="top"/>
    </xf>
    <xf numFmtId="14" fontId="8" fillId="0" borderId="11" xfId="0" applyNumberFormat="1" applyFont="1" applyFill="1" applyBorder="1" applyAlignment="1" applyProtection="1">
      <alignment vertical="top"/>
    </xf>
    <xf numFmtId="0" fontId="9" fillId="0" borderId="24" xfId="0" applyNumberFormat="1" applyFont="1" applyFill="1" applyBorder="1" applyAlignment="1" applyProtection="1">
      <alignment vertical="top"/>
    </xf>
    <xf numFmtId="0" fontId="0" fillId="0" borderId="24" xfId="0" applyFill="1" applyBorder="1" applyAlignment="1">
      <alignment horizontal="left"/>
    </xf>
    <xf numFmtId="0" fontId="9" fillId="3" borderId="6" xfId="0" applyNumberFormat="1" applyFont="1" applyFill="1" applyBorder="1" applyAlignment="1" applyProtection="1">
      <alignment horizontal="center" vertical="top"/>
    </xf>
    <xf numFmtId="0" fontId="9" fillId="3" borderId="5" xfId="0" applyNumberFormat="1" applyFont="1" applyFill="1" applyBorder="1" applyAlignment="1" applyProtection="1">
      <alignment horizontal="center" vertical="top"/>
    </xf>
    <xf numFmtId="0" fontId="9" fillId="3" borderId="0" xfId="0" applyNumberFormat="1" applyFont="1" applyFill="1" applyBorder="1" applyAlignment="1" applyProtection="1">
      <alignment horizontal="center" vertical="top"/>
    </xf>
    <xf numFmtId="0" fontId="8" fillId="0" borderId="6" xfId="0" applyNumberFormat="1" applyFont="1" applyFill="1" applyBorder="1" applyAlignment="1" applyProtection="1">
      <alignment vertical="top"/>
    </xf>
    <xf numFmtId="0" fontId="8" fillId="0" borderId="6" xfId="0" applyNumberFormat="1" applyFont="1" applyFill="1" applyBorder="1" applyAlignment="1" applyProtection="1">
      <alignment vertical="top" wrapText="1"/>
    </xf>
    <xf numFmtId="17" fontId="8" fillId="0" borderId="6" xfId="0" applyNumberFormat="1" applyFont="1" applyFill="1" applyBorder="1" applyAlignment="1" applyProtection="1">
      <alignment vertical="top"/>
    </xf>
    <xf numFmtId="0" fontId="0" fillId="2" borderId="6" xfId="0" applyFill="1" applyBorder="1" applyAlignment="1"/>
    <xf numFmtId="0" fontId="0" fillId="0" borderId="0" xfId="0" applyAlignment="1"/>
    <xf numFmtId="0" fontId="8" fillId="0" borderId="19" xfId="0" applyNumberFormat="1" applyFont="1" applyFill="1" applyBorder="1" applyAlignment="1" applyProtection="1">
      <alignment vertical="top"/>
    </xf>
    <xf numFmtId="0" fontId="8" fillId="0" borderId="10" xfId="0" applyNumberFormat="1" applyFont="1" applyFill="1" applyBorder="1" applyAlignment="1" applyProtection="1">
      <alignment vertical="top"/>
    </xf>
    <xf numFmtId="0" fontId="8" fillId="0" borderId="21" xfId="0" applyNumberFormat="1" applyFont="1" applyFill="1" applyBorder="1" applyAlignment="1" applyProtection="1">
      <alignment vertical="top"/>
    </xf>
    <xf numFmtId="0" fontId="8" fillId="0" borderId="11" xfId="0" applyNumberFormat="1" applyFont="1" applyFill="1" applyBorder="1" applyAlignment="1" applyProtection="1">
      <alignment vertical="top" wrapText="1"/>
    </xf>
    <xf numFmtId="0" fontId="8" fillId="0" borderId="24" xfId="0" applyNumberFormat="1" applyFont="1" applyFill="1" applyBorder="1" applyAlignment="1" applyProtection="1">
      <alignment vertical="top" wrapText="1"/>
    </xf>
    <xf numFmtId="0" fontId="8" fillId="0" borderId="0" xfId="0" applyNumberFormat="1" applyFont="1" applyFill="1" applyBorder="1" applyAlignment="1" applyProtection="1">
      <alignment vertical="top" wrapText="1"/>
    </xf>
    <xf numFmtId="0" fontId="8" fillId="0" borderId="1"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167" fontId="15" fillId="2" borderId="55" xfId="0" applyNumberFormat="1" applyFont="1" applyFill="1" applyBorder="1" applyAlignment="1">
      <alignment horizontal="left"/>
    </xf>
    <xf numFmtId="0" fontId="8" fillId="2" borderId="19" xfId="0" applyNumberFormat="1" applyFont="1" applyFill="1" applyBorder="1" applyAlignment="1" applyProtection="1">
      <alignment vertical="top"/>
    </xf>
    <xf numFmtId="0" fontId="8" fillId="2" borderId="10" xfId="0" applyNumberFormat="1" applyFont="1" applyFill="1" applyBorder="1" applyAlignment="1" applyProtection="1">
      <alignment vertical="top"/>
    </xf>
    <xf numFmtId="0" fontId="8" fillId="2" borderId="23" xfId="0" applyNumberFormat="1" applyFont="1" applyFill="1" applyBorder="1" applyAlignment="1" applyProtection="1">
      <alignment vertical="top"/>
    </xf>
    <xf numFmtId="0" fontId="8" fillId="2" borderId="25" xfId="0" applyNumberFormat="1" applyFont="1" applyFill="1" applyBorder="1" applyAlignment="1" applyProtection="1">
      <alignment vertical="top"/>
    </xf>
    <xf numFmtId="0" fontId="8" fillId="2" borderId="28" xfId="0" applyNumberFormat="1" applyFont="1" applyFill="1" applyBorder="1" applyAlignment="1" applyProtection="1">
      <alignment vertical="top"/>
    </xf>
    <xf numFmtId="0" fontId="0" fillId="2" borderId="0" xfId="0" applyFill="1" applyAlignment="1"/>
    <xf numFmtId="0" fontId="8" fillId="2" borderId="55" xfId="0" applyNumberFormat="1" applyFont="1" applyFill="1" applyBorder="1" applyAlignment="1" applyProtection="1">
      <alignment vertical="top"/>
    </xf>
    <xf numFmtId="167" fontId="15" fillId="2" borderId="0" xfId="0" applyNumberFormat="1" applyFont="1" applyFill="1" applyBorder="1" applyAlignment="1">
      <alignment horizontal="left"/>
    </xf>
    <xf numFmtId="0" fontId="71" fillId="2" borderId="55" xfId="0" applyFont="1" applyFill="1" applyBorder="1" applyAlignment="1" applyProtection="1">
      <alignment vertical="top" wrapText="1" readingOrder="1"/>
      <protection locked="0"/>
    </xf>
    <xf numFmtId="0" fontId="9" fillId="0" borderId="0" xfId="3" applyFont="1" applyBorder="1" applyAlignment="1">
      <alignment horizontal="left" vertical="center"/>
    </xf>
    <xf numFmtId="0" fontId="22" fillId="0" borderId="11" xfId="0" applyNumberFormat="1" applyFont="1" applyFill="1" applyBorder="1" applyAlignment="1" applyProtection="1">
      <alignment horizontal="center" vertical="center"/>
    </xf>
    <xf numFmtId="0" fontId="22" fillId="0" borderId="27"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top"/>
    </xf>
    <xf numFmtId="0" fontId="0" fillId="0" borderId="55" xfId="0" applyBorder="1" applyAlignment="1">
      <alignment horizontal="center"/>
    </xf>
    <xf numFmtId="0" fontId="0" fillId="0" borderId="55" xfId="0" applyBorder="1"/>
    <xf numFmtId="1" fontId="67" fillId="2" borderId="55" xfId="1" applyNumberFormat="1" applyFont="1" applyFill="1" applyBorder="1" applyAlignment="1">
      <alignment horizontal="center"/>
    </xf>
    <xf numFmtId="0" fontId="17" fillId="2" borderId="60" xfId="0" applyNumberFormat="1" applyFont="1" applyFill="1" applyBorder="1" applyAlignment="1" applyProtection="1">
      <alignment vertical="top"/>
    </xf>
    <xf numFmtId="0" fontId="8" fillId="0" borderId="55" xfId="0" applyNumberFormat="1" applyFont="1" applyFill="1" applyBorder="1" applyAlignment="1" applyProtection="1">
      <alignment vertical="top"/>
    </xf>
    <xf numFmtId="0" fontId="71" fillId="2" borderId="55" xfId="0" applyFont="1" applyFill="1" applyBorder="1" applyAlignment="1" applyProtection="1">
      <alignment horizontal="center" wrapText="1" readingOrder="1"/>
      <protection locked="0"/>
    </xf>
    <xf numFmtId="0" fontId="47" fillId="2" borderId="55" xfId="0" applyFont="1" applyFill="1" applyBorder="1" applyAlignment="1" applyProtection="1">
      <alignment horizontal="center" wrapText="1" readingOrder="1"/>
      <protection locked="0"/>
    </xf>
    <xf numFmtId="166" fontId="14" fillId="2" borderId="55" xfId="1" applyNumberFormat="1" applyFont="1" applyFill="1" applyBorder="1"/>
    <xf numFmtId="3" fontId="74" fillId="2" borderId="55" xfId="0" applyNumberFormat="1" applyFont="1" applyFill="1" applyBorder="1" applyAlignment="1">
      <alignment horizontal="center"/>
    </xf>
    <xf numFmtId="166" fontId="14" fillId="2" borderId="55" xfId="0" applyNumberFormat="1" applyFont="1" applyFill="1" applyBorder="1" applyAlignment="1" applyProtection="1">
      <alignment horizontal="center" vertical="center" wrapText="1" readingOrder="1"/>
      <protection locked="0"/>
    </xf>
    <xf numFmtId="166" fontId="14" fillId="2" borderId="55" xfId="0" applyNumberFormat="1" applyFont="1" applyFill="1" applyBorder="1" applyAlignment="1" applyProtection="1">
      <alignment horizontal="center" vertical="top" wrapText="1" readingOrder="1"/>
      <protection locked="0"/>
    </xf>
    <xf numFmtId="166" fontId="14" fillId="2" borderId="55" xfId="0" applyNumberFormat="1" applyFont="1" applyFill="1" applyBorder="1"/>
    <xf numFmtId="14" fontId="14" fillId="2" borderId="55" xfId="0" applyNumberFormat="1" applyFont="1" applyFill="1" applyBorder="1" applyAlignment="1" applyProtection="1">
      <alignment vertical="top" wrapText="1" readingOrder="1"/>
      <protection locked="0"/>
    </xf>
    <xf numFmtId="0" fontId="14" fillId="2" borderId="55" xfId="0" applyNumberFormat="1" applyFont="1" applyFill="1" applyBorder="1" applyAlignment="1" applyProtection="1">
      <alignment horizontal="center"/>
    </xf>
    <xf numFmtId="0" fontId="8" fillId="0" borderId="55" xfId="0" applyNumberFormat="1" applyFont="1" applyFill="1" applyBorder="1" applyAlignment="1" applyProtection="1">
      <alignment horizontal="center" vertical="top"/>
    </xf>
    <xf numFmtId="0" fontId="36" fillId="2" borderId="0" xfId="0" applyFont="1" applyFill="1" applyAlignment="1">
      <alignment horizontal="center" vertical="top" wrapText="1"/>
    </xf>
    <xf numFmtId="0" fontId="41" fillId="2" borderId="0" xfId="0" applyFont="1" applyFill="1" applyAlignment="1">
      <alignment horizontal="center" vertical="top" wrapText="1"/>
    </xf>
    <xf numFmtId="0" fontId="40" fillId="2" borderId="0" xfId="0" applyFont="1" applyFill="1" applyAlignment="1">
      <alignment horizontal="left" vertical="top" wrapText="1"/>
    </xf>
    <xf numFmtId="0" fontId="41" fillId="2" borderId="51" xfId="0" applyFont="1" applyFill="1" applyBorder="1" applyAlignment="1">
      <alignment horizontal="center" vertical="center" wrapText="1"/>
    </xf>
    <xf numFmtId="1" fontId="35" fillId="2" borderId="0" xfId="0" applyNumberFormat="1" applyFont="1" applyFill="1" applyAlignment="1">
      <alignment vertical="top" wrapText="1"/>
    </xf>
    <xf numFmtId="0" fontId="47" fillId="2" borderId="0" xfId="0" applyFont="1" applyFill="1" applyBorder="1" applyAlignment="1" applyProtection="1">
      <alignment horizontal="center" wrapText="1" readingOrder="1"/>
      <protection locked="0"/>
    </xf>
    <xf numFmtId="0" fontId="15" fillId="2" borderId="0" xfId="3" applyFont="1" applyFill="1" applyBorder="1" applyAlignment="1">
      <alignment horizontal="left"/>
    </xf>
    <xf numFmtId="166" fontId="14" fillId="2" borderId="0" xfId="1" applyNumberFormat="1" applyFont="1" applyFill="1" applyBorder="1"/>
    <xf numFmtId="3" fontId="74" fillId="2" borderId="0" xfId="0" applyNumberFormat="1" applyFont="1" applyFill="1" applyBorder="1" applyAlignment="1">
      <alignment horizontal="center"/>
    </xf>
    <xf numFmtId="166" fontId="14" fillId="2" borderId="0" xfId="0" applyNumberFormat="1" applyFont="1" applyFill="1" applyBorder="1" applyAlignment="1" applyProtection="1">
      <alignment horizontal="center" vertical="center" wrapText="1" readingOrder="1"/>
      <protection locked="0"/>
    </xf>
    <xf numFmtId="166" fontId="14" fillId="2" borderId="0" xfId="0" applyNumberFormat="1" applyFont="1" applyFill="1" applyBorder="1" applyAlignment="1" applyProtection="1">
      <alignment horizontal="center" vertical="top" wrapText="1" readingOrder="1"/>
      <protection locked="0"/>
    </xf>
    <xf numFmtId="166" fontId="14" fillId="2" borderId="0" xfId="0" applyNumberFormat="1" applyFont="1" applyFill="1" applyBorder="1"/>
    <xf numFmtId="166" fontId="14" fillId="2" borderId="0" xfId="0" applyNumberFormat="1" applyFont="1" applyFill="1" applyBorder="1" applyAlignment="1" applyProtection="1">
      <alignment vertical="top" wrapText="1" readingOrder="1"/>
      <protection locked="0"/>
    </xf>
    <xf numFmtId="0" fontId="14" fillId="2" borderId="0" xfId="0" applyFont="1" applyFill="1" applyBorder="1" applyAlignment="1" applyProtection="1">
      <alignment vertical="top" wrapText="1" readingOrder="1"/>
      <protection locked="0"/>
    </xf>
    <xf numFmtId="14" fontId="14" fillId="2" borderId="0" xfId="0" applyNumberFormat="1" applyFont="1" applyFill="1" applyBorder="1" applyAlignment="1" applyProtection="1">
      <alignment vertical="top" wrapText="1" readingOrder="1"/>
      <protection locked="0"/>
    </xf>
    <xf numFmtId="1" fontId="14" fillId="2" borderId="0" xfId="0" applyNumberFormat="1" applyFont="1" applyFill="1" applyBorder="1" applyAlignment="1" applyProtection="1">
      <alignment vertical="top" wrapText="1" readingOrder="1"/>
      <protection locked="0"/>
    </xf>
    <xf numFmtId="1" fontId="14" fillId="2" borderId="55" xfId="0" applyNumberFormat="1" applyFont="1" applyFill="1" applyBorder="1" applyAlignment="1" applyProtection="1">
      <alignment horizontal="left" vertical="top" wrapText="1" readingOrder="1"/>
      <protection locked="0"/>
    </xf>
    <xf numFmtId="0" fontId="0" fillId="0" borderId="55" xfId="0" applyBorder="1" applyAlignment="1">
      <alignment vertical="center"/>
    </xf>
    <xf numFmtId="0" fontId="0" fillId="0" borderId="55" xfId="0" applyBorder="1" applyAlignment="1">
      <alignment horizontal="center" vertical="center"/>
    </xf>
    <xf numFmtId="1" fontId="0" fillId="0" borderId="55" xfId="0" applyNumberFormat="1" applyBorder="1"/>
    <xf numFmtId="168" fontId="71" fillId="2" borderId="55" xfId="0" applyNumberFormat="1" applyFont="1" applyFill="1" applyBorder="1" applyAlignment="1" applyProtection="1">
      <alignment horizontal="center" wrapText="1" readingOrder="1"/>
      <protection locked="0"/>
    </xf>
    <xf numFmtId="1" fontId="71" fillId="2" borderId="55" xfId="0" applyNumberFormat="1" applyFont="1" applyFill="1" applyBorder="1" applyAlignment="1" applyProtection="1">
      <alignment wrapText="1" readingOrder="1"/>
      <protection locked="0"/>
    </xf>
    <xf numFmtId="1" fontId="0" fillId="0" borderId="55" xfId="0" applyNumberFormat="1" applyBorder="1" applyAlignment="1">
      <alignment horizontal="center" vertical="center"/>
    </xf>
    <xf numFmtId="1" fontId="0" fillId="0" borderId="55" xfId="0" applyNumberFormat="1" applyBorder="1" applyAlignment="1">
      <alignment horizontal="center"/>
    </xf>
    <xf numFmtId="1" fontId="10" fillId="2" borderId="6" xfId="0" applyNumberFormat="1" applyFont="1" applyFill="1" applyBorder="1" applyAlignment="1">
      <alignment vertical="top"/>
    </xf>
    <xf numFmtId="0" fontId="8" fillId="0" borderId="56" xfId="0" applyFont="1" applyBorder="1" applyAlignment="1">
      <alignment vertical="top"/>
    </xf>
    <xf numFmtId="0" fontId="14" fillId="2" borderId="55" xfId="0" applyNumberFormat="1" applyFont="1" applyFill="1" applyBorder="1" applyAlignment="1" applyProtection="1">
      <alignment horizontal="center" vertical="top" wrapText="1" readingOrder="1"/>
      <protection locked="0"/>
    </xf>
    <xf numFmtId="0" fontId="2" fillId="0" borderId="0" xfId="0" applyFont="1" applyBorder="1"/>
    <xf numFmtId="0" fontId="9" fillId="3" borderId="53" xfId="0" applyNumberFormat="1" applyFont="1" applyFill="1" applyBorder="1" applyAlignment="1" applyProtection="1">
      <alignment horizontal="center" vertical="top" wrapText="1"/>
    </xf>
    <xf numFmtId="0" fontId="9" fillId="3" borderId="15" xfId="0" applyNumberFormat="1" applyFont="1" applyFill="1" applyBorder="1" applyAlignment="1" applyProtection="1">
      <alignment horizontal="center" vertical="top" wrapText="1"/>
    </xf>
    <xf numFmtId="0" fontId="0" fillId="0" borderId="0" xfId="0" applyBorder="1"/>
    <xf numFmtId="0" fontId="25" fillId="0" borderId="49" xfId="0" applyFont="1" applyBorder="1"/>
    <xf numFmtId="0" fontId="2" fillId="0" borderId="66" xfId="0" applyFont="1" applyBorder="1" applyAlignment="1">
      <alignment horizontal="left" vertical="center"/>
    </xf>
    <xf numFmtId="0" fontId="2" fillId="0" borderId="61" xfId="0" applyFont="1" applyBorder="1" applyAlignment="1">
      <alignment horizontal="center" vertical="center"/>
    </xf>
    <xf numFmtId="0" fontId="0" fillId="0" borderId="66" xfId="0" applyBorder="1" applyAlignment="1">
      <alignment vertical="center"/>
    </xf>
    <xf numFmtId="0" fontId="2" fillId="0" borderId="67" xfId="0" applyFont="1" applyBorder="1" applyAlignment="1">
      <alignment horizontal="center" vertical="center"/>
    </xf>
    <xf numFmtId="0" fontId="2" fillId="0" borderId="68" xfId="0" applyFont="1" applyBorder="1" applyAlignment="1">
      <alignment horizontal="left" vertical="center"/>
    </xf>
    <xf numFmtId="0" fontId="2" fillId="0" borderId="58" xfId="0" applyFont="1" applyBorder="1" applyAlignment="1">
      <alignment horizontal="center" vertical="center"/>
    </xf>
    <xf numFmtId="1" fontId="2" fillId="0" borderId="66" xfId="0" applyNumberFormat="1" applyFont="1" applyBorder="1" applyAlignment="1">
      <alignment horizontal="center" vertical="center"/>
    </xf>
    <xf numFmtId="0" fontId="25" fillId="0" borderId="69" xfId="0" applyFont="1" applyBorder="1"/>
    <xf numFmtId="0" fontId="2" fillId="0" borderId="53" xfId="0" applyFont="1" applyBorder="1"/>
    <xf numFmtId="0" fontId="0" fillId="0" borderId="60" xfId="0" applyBorder="1"/>
    <xf numFmtId="0" fontId="0" fillId="0" borderId="63" xfId="0" applyBorder="1"/>
    <xf numFmtId="0" fontId="25" fillId="0" borderId="62" xfId="0" applyFont="1" applyBorder="1"/>
    <xf numFmtId="0" fontId="2" fillId="0" borderId="58" xfId="0" applyFont="1" applyBorder="1"/>
    <xf numFmtId="0" fontId="0" fillId="0" borderId="58" xfId="0" applyBorder="1"/>
    <xf numFmtId="0" fontId="9" fillId="0" borderId="60" xfId="0" applyNumberFormat="1" applyFont="1" applyFill="1" applyBorder="1" applyAlignment="1" applyProtection="1">
      <alignment horizontal="center" vertical="top"/>
    </xf>
    <xf numFmtId="0" fontId="8" fillId="0" borderId="58" xfId="0" applyNumberFormat="1" applyFont="1" applyFill="1" applyBorder="1" applyAlignment="1" applyProtection="1">
      <alignment vertical="top"/>
    </xf>
    <xf numFmtId="0" fontId="8" fillId="0" borderId="15" xfId="0" applyNumberFormat="1" applyFont="1" applyFill="1" applyBorder="1" applyAlignment="1" applyProtection="1">
      <alignment vertical="top"/>
    </xf>
    <xf numFmtId="0" fontId="9" fillId="3" borderId="60" xfId="0" applyNumberFormat="1" applyFont="1" applyFill="1" applyBorder="1" applyAlignment="1" applyProtection="1">
      <alignment horizontal="left" vertical="center" textRotation="90" wrapText="1"/>
    </xf>
    <xf numFmtId="0" fontId="9" fillId="3" borderId="15" xfId="0" applyNumberFormat="1" applyFont="1" applyFill="1" applyBorder="1" applyAlignment="1" applyProtection="1">
      <alignment horizontal="center" vertical="top" textRotation="90" wrapText="1"/>
    </xf>
    <xf numFmtId="0" fontId="9" fillId="3" borderId="15" xfId="0" applyNumberFormat="1" applyFont="1" applyFill="1" applyBorder="1" applyAlignment="1" applyProtection="1">
      <alignment horizontal="center" vertical="top" textRotation="90"/>
    </xf>
    <xf numFmtId="0" fontId="9" fillId="3" borderId="59" xfId="0" applyNumberFormat="1" applyFont="1" applyFill="1" applyBorder="1" applyAlignment="1" applyProtection="1">
      <alignment vertical="center" textRotation="90" wrapText="1"/>
    </xf>
    <xf numFmtId="0" fontId="9" fillId="3" borderId="59" xfId="0" applyNumberFormat="1" applyFont="1" applyFill="1" applyBorder="1" applyAlignment="1" applyProtection="1">
      <alignment horizontal="center" vertical="center" textRotation="90"/>
    </xf>
    <xf numFmtId="0" fontId="9" fillId="3" borderId="55" xfId="0" applyNumberFormat="1" applyFont="1" applyFill="1" applyBorder="1" applyAlignment="1" applyProtection="1">
      <alignment horizontal="center" vertical="top"/>
    </xf>
    <xf numFmtId="0" fontId="8" fillId="4" borderId="55" xfId="0" applyNumberFormat="1" applyFont="1" applyFill="1" applyBorder="1" applyAlignment="1" applyProtection="1">
      <alignment vertical="top"/>
    </xf>
    <xf numFmtId="0" fontId="8" fillId="4" borderId="59" xfId="0" applyNumberFormat="1" applyFont="1" applyFill="1" applyBorder="1" applyAlignment="1" applyProtection="1">
      <alignment vertical="top"/>
    </xf>
    <xf numFmtId="0" fontId="8" fillId="0" borderId="64" xfId="0" applyNumberFormat="1" applyFont="1" applyFill="1" applyBorder="1" applyAlignment="1" applyProtection="1">
      <alignment vertical="top"/>
    </xf>
    <xf numFmtId="0" fontId="8" fillId="0" borderId="35" xfId="0" applyNumberFormat="1" applyFont="1" applyFill="1" applyBorder="1" applyAlignment="1" applyProtection="1">
      <alignment vertical="top"/>
    </xf>
    <xf numFmtId="0" fontId="8" fillId="0" borderId="36" xfId="0" applyNumberFormat="1" applyFont="1" applyFill="1" applyBorder="1" applyAlignment="1" applyProtection="1">
      <alignment vertical="top"/>
    </xf>
    <xf numFmtId="0" fontId="8" fillId="0" borderId="37" xfId="0" applyNumberFormat="1" applyFont="1" applyFill="1" applyBorder="1" applyAlignment="1" applyProtection="1">
      <alignment vertical="top"/>
    </xf>
    <xf numFmtId="0" fontId="8" fillId="0" borderId="59" xfId="0" applyNumberFormat="1" applyFont="1" applyFill="1" applyBorder="1" applyAlignment="1" applyProtection="1">
      <alignment vertical="top"/>
    </xf>
    <xf numFmtId="0" fontId="8" fillId="0" borderId="69" xfId="0" applyFont="1" applyBorder="1" applyAlignment="1">
      <alignment vertical="top"/>
    </xf>
    <xf numFmtId="0" fontId="8" fillId="0" borderId="57" xfId="0" applyFont="1" applyBorder="1" applyAlignment="1">
      <alignment vertical="top"/>
    </xf>
    <xf numFmtId="0" fontId="8" fillId="0" borderId="53" xfId="0" applyFont="1" applyBorder="1" applyAlignment="1">
      <alignment vertical="top"/>
    </xf>
    <xf numFmtId="0" fontId="8" fillId="0" borderId="60" xfId="0" applyFont="1" applyBorder="1" applyAlignment="1">
      <alignment vertical="top"/>
    </xf>
    <xf numFmtId="0" fontId="8" fillId="0" borderId="63" xfId="0" applyFont="1" applyBorder="1" applyAlignment="1">
      <alignment vertical="top"/>
    </xf>
    <xf numFmtId="0" fontId="8" fillId="0" borderId="24" xfId="0" applyFont="1" applyBorder="1" applyAlignment="1">
      <alignment vertical="top"/>
    </xf>
    <xf numFmtId="0" fontId="8" fillId="0" borderId="0" xfId="0" applyFont="1" applyBorder="1" applyAlignment="1">
      <alignment vertical="top"/>
    </xf>
    <xf numFmtId="0" fontId="8" fillId="0" borderId="25" xfId="0" applyFont="1" applyBorder="1" applyAlignment="1">
      <alignment vertical="top"/>
    </xf>
    <xf numFmtId="0" fontId="8" fillId="0" borderId="62" xfId="0" applyFont="1" applyBorder="1" applyAlignment="1">
      <alignment vertical="top"/>
    </xf>
    <xf numFmtId="0" fontId="8" fillId="0" borderId="58" xfId="0" applyFont="1" applyBorder="1" applyAlignment="1">
      <alignment vertical="top"/>
    </xf>
    <xf numFmtId="0" fontId="8" fillId="0" borderId="40" xfId="0" applyFont="1" applyBorder="1" applyAlignment="1">
      <alignment vertical="top"/>
    </xf>
    <xf numFmtId="0" fontId="9" fillId="0" borderId="56" xfId="0" applyFont="1" applyBorder="1" applyAlignment="1">
      <alignment vertical="top"/>
    </xf>
    <xf numFmtId="0" fontId="9" fillId="3" borderId="64" xfId="0" applyFont="1" applyFill="1" applyBorder="1" applyAlignment="1">
      <alignment horizontal="center" vertical="top" wrapText="1"/>
    </xf>
    <xf numFmtId="0" fontId="9" fillId="3" borderId="59" xfId="0" applyFont="1" applyFill="1" applyBorder="1" applyAlignment="1">
      <alignment horizontal="center" vertical="top" wrapText="1"/>
    </xf>
    <xf numFmtId="0" fontId="9" fillId="3" borderId="45" xfId="0" applyFont="1" applyFill="1" applyBorder="1" applyAlignment="1">
      <alignment horizontal="center" vertical="top"/>
    </xf>
    <xf numFmtId="0" fontId="9" fillId="3" borderId="55" xfId="0" applyFont="1" applyFill="1" applyBorder="1" applyAlignment="1">
      <alignment horizontal="center" vertical="top"/>
    </xf>
    <xf numFmtId="0" fontId="9" fillId="3" borderId="59" xfId="0" applyFont="1" applyFill="1" applyBorder="1" applyAlignment="1">
      <alignment horizontal="center" vertical="top"/>
    </xf>
    <xf numFmtId="0" fontId="9" fillId="3" borderId="38" xfId="0" applyFont="1" applyFill="1" applyBorder="1" applyAlignment="1">
      <alignment horizontal="center" vertical="top"/>
    </xf>
    <xf numFmtId="0" fontId="8" fillId="0" borderId="45" xfId="0" applyFont="1" applyBorder="1" applyAlignment="1">
      <alignment vertical="top"/>
    </xf>
    <xf numFmtId="0" fontId="8" fillId="0" borderId="55" xfId="0" applyFont="1" applyBorder="1" applyAlignment="1">
      <alignment vertical="top"/>
    </xf>
    <xf numFmtId="0" fontId="8" fillId="0" borderId="38" xfId="0" applyFont="1" applyBorder="1" applyAlignment="1">
      <alignment vertical="top"/>
    </xf>
    <xf numFmtId="0" fontId="8" fillId="0" borderId="64" xfId="0" applyFont="1" applyBorder="1" applyAlignment="1">
      <alignment vertical="top"/>
    </xf>
    <xf numFmtId="0" fontId="8" fillId="0" borderId="49" xfId="0" applyFont="1" applyBorder="1" applyAlignment="1">
      <alignment vertical="top"/>
    </xf>
    <xf numFmtId="0" fontId="8" fillId="0" borderId="59" xfId="0" applyFont="1" applyBorder="1" applyAlignment="1">
      <alignment vertical="top"/>
    </xf>
    <xf numFmtId="0" fontId="8" fillId="0" borderId="13" xfId="0" applyFont="1" applyBorder="1" applyAlignment="1">
      <alignment vertical="top"/>
    </xf>
    <xf numFmtId="0" fontId="8" fillId="0" borderId="14" xfId="0" applyFont="1" applyBorder="1" applyAlignment="1">
      <alignment vertical="top"/>
    </xf>
    <xf numFmtId="17" fontId="8" fillId="0" borderId="68" xfId="0" applyNumberFormat="1" applyFont="1" applyBorder="1" applyAlignment="1">
      <alignment vertical="top"/>
    </xf>
    <xf numFmtId="0" fontId="8" fillId="0" borderId="55" xfId="0" applyFont="1" applyBorder="1" applyAlignment="1" applyProtection="1">
      <alignment vertical="top"/>
      <protection locked="0"/>
    </xf>
    <xf numFmtId="169" fontId="14" fillId="2" borderId="55" xfId="0" applyNumberFormat="1" applyFont="1" applyFill="1" applyBorder="1" applyAlignment="1" applyProtection="1">
      <alignment horizontal="center" vertical="top" wrapText="1" readingOrder="1"/>
      <protection locked="0"/>
    </xf>
    <xf numFmtId="0" fontId="14" fillId="2" borderId="0" xfId="0" applyNumberFormat="1" applyFont="1" applyFill="1" applyBorder="1" applyAlignment="1" applyProtection="1">
      <alignment horizontal="center" vertical="top" wrapText="1" readingOrder="1"/>
      <protection locked="0"/>
    </xf>
    <xf numFmtId="169" fontId="14" fillId="2" borderId="0" xfId="0" applyNumberFormat="1" applyFont="1" applyFill="1" applyBorder="1" applyAlignment="1" applyProtection="1">
      <alignment horizontal="center" vertical="top" wrapText="1" readingOrder="1"/>
      <protection locked="0"/>
    </xf>
    <xf numFmtId="1" fontId="14" fillId="2" borderId="0" xfId="0" applyNumberFormat="1" applyFont="1" applyFill="1" applyBorder="1" applyAlignment="1" applyProtection="1">
      <alignment horizontal="left" vertical="top" wrapText="1" readingOrder="1"/>
      <protection locked="0"/>
    </xf>
    <xf numFmtId="0" fontId="19" fillId="0" borderId="61" xfId="0" applyFont="1" applyBorder="1" applyAlignment="1">
      <alignment vertical="top"/>
    </xf>
    <xf numFmtId="0" fontId="8" fillId="0" borderId="64" xfId="0" applyFont="1" applyBorder="1" applyAlignment="1" applyProtection="1">
      <alignment vertical="top"/>
      <protection locked="0"/>
    </xf>
    <xf numFmtId="0" fontId="19" fillId="0" borderId="64" xfId="0" applyFont="1" applyBorder="1" applyAlignment="1">
      <alignment vertical="top"/>
    </xf>
    <xf numFmtId="17" fontId="8" fillId="0" borderId="55" xfId="0" applyNumberFormat="1" applyFont="1" applyBorder="1" applyAlignment="1">
      <alignment vertical="top"/>
    </xf>
    <xf numFmtId="0" fontId="19" fillId="0" borderId="55" xfId="0" applyFont="1" applyBorder="1" applyAlignment="1">
      <alignment vertical="top"/>
    </xf>
    <xf numFmtId="0" fontId="8" fillId="0" borderId="61" xfId="0" applyNumberFormat="1" applyFont="1" applyFill="1" applyBorder="1" applyAlignment="1" applyProtection="1">
      <alignment vertical="top"/>
    </xf>
    <xf numFmtId="0" fontId="0" fillId="2" borderId="55" xfId="0" applyFill="1" applyBorder="1" applyAlignment="1">
      <alignment horizontal="center"/>
    </xf>
    <xf numFmtId="0" fontId="2" fillId="0" borderId="55" xfId="0" applyFont="1" applyBorder="1" applyAlignment="1">
      <alignment horizontal="left" vertical="center"/>
    </xf>
    <xf numFmtId="0" fontId="2" fillId="0" borderId="55" xfId="0" applyFont="1" applyBorder="1" applyAlignment="1">
      <alignment horizontal="center" vertical="center"/>
    </xf>
    <xf numFmtId="1" fontId="2" fillId="0" borderId="55" xfId="0" applyNumberFormat="1" applyFont="1" applyBorder="1" applyAlignment="1">
      <alignment horizontal="center" vertical="center"/>
    </xf>
    <xf numFmtId="0" fontId="2" fillId="0" borderId="66" xfId="0" applyFont="1" applyBorder="1" applyAlignment="1">
      <alignment horizontal="center" vertical="center"/>
    </xf>
    <xf numFmtId="14" fontId="8" fillId="0" borderId="6" xfId="0" applyNumberFormat="1" applyFont="1" applyFill="1" applyBorder="1" applyAlignment="1" applyProtection="1">
      <alignment vertical="top"/>
    </xf>
    <xf numFmtId="0" fontId="25" fillId="0" borderId="49" xfId="0" applyFont="1" applyBorder="1" applyAlignment="1">
      <alignment horizontal="left"/>
    </xf>
    <xf numFmtId="1" fontId="2" fillId="0" borderId="55" xfId="0" applyNumberFormat="1" applyFont="1" applyBorder="1" applyAlignment="1">
      <alignment horizontal="left" vertical="center"/>
    </xf>
    <xf numFmtId="0" fontId="25" fillId="0" borderId="69" xfId="0" applyFont="1" applyBorder="1" applyAlignment="1">
      <alignment horizontal="left"/>
    </xf>
    <xf numFmtId="0" fontId="2" fillId="0" borderId="31" xfId="0" applyFont="1" applyBorder="1" applyAlignment="1">
      <alignment horizontal="left"/>
    </xf>
    <xf numFmtId="0" fontId="2" fillId="0" borderId="53" xfId="0" applyFont="1" applyBorder="1" applyAlignment="1">
      <alignment horizontal="left"/>
    </xf>
    <xf numFmtId="0" fontId="25" fillId="0" borderId="62" xfId="0" applyFont="1" applyBorder="1" applyAlignment="1">
      <alignment horizontal="left"/>
    </xf>
    <xf numFmtId="0" fontId="2" fillId="0" borderId="58" xfId="0" applyFont="1" applyBorder="1" applyAlignment="1">
      <alignment horizontal="left"/>
    </xf>
    <xf numFmtId="0" fontId="2" fillId="0" borderId="15" xfId="0" applyFont="1" applyBorder="1" applyAlignment="1">
      <alignment horizontal="left"/>
    </xf>
    <xf numFmtId="0" fontId="0" fillId="0" borderId="24" xfId="0" applyBorder="1" applyAlignment="1">
      <alignment horizontal="left"/>
    </xf>
    <xf numFmtId="0" fontId="0" fillId="0" borderId="0" xfId="0" applyBorder="1" applyAlignment="1">
      <alignment horizontal="left"/>
    </xf>
    <xf numFmtId="0" fontId="0" fillId="0" borderId="0" xfId="0" applyBorder="1" applyAlignment="1">
      <alignment horizontal="center" wrapText="1"/>
    </xf>
    <xf numFmtId="1" fontId="5" fillId="2" borderId="0" xfId="4" applyNumberFormat="1" applyFont="1" applyFill="1" applyBorder="1" applyAlignment="1">
      <alignment horizontal="left"/>
    </xf>
    <xf numFmtId="0" fontId="0" fillId="0" borderId="0" xfId="0" applyBorder="1" applyAlignment="1">
      <alignment horizontal="left" wrapText="1"/>
    </xf>
    <xf numFmtId="1" fontId="10" fillId="2" borderId="0" xfId="0" applyNumberFormat="1" applyFont="1" applyFill="1" applyBorder="1" applyAlignment="1">
      <alignment vertical="top"/>
    </xf>
    <xf numFmtId="1" fontId="34" fillId="2" borderId="0" xfId="0" applyNumberFormat="1" applyFont="1" applyFill="1" applyBorder="1"/>
    <xf numFmtId="1" fontId="0" fillId="0" borderId="0" xfId="0" applyNumberFormat="1" applyBorder="1" applyAlignment="1">
      <alignment horizontal="center" wrapText="1"/>
    </xf>
    <xf numFmtId="1" fontId="5" fillId="2" borderId="0" xfId="0" quotePrefix="1" applyNumberFormat="1" applyFont="1" applyFill="1" applyBorder="1" applyAlignment="1">
      <alignment horizontal="left"/>
    </xf>
    <xf numFmtId="0" fontId="2" fillId="0" borderId="55" xfId="0" applyFont="1" applyBorder="1" applyAlignment="1">
      <alignment horizontal="center" vertical="center"/>
    </xf>
    <xf numFmtId="1" fontId="2" fillId="0" borderId="55" xfId="0" applyNumberFormat="1" applyFont="1" applyBorder="1" applyAlignment="1">
      <alignment horizontal="center" vertical="center"/>
    </xf>
    <xf numFmtId="0" fontId="2" fillId="0" borderId="66" xfId="0"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0" fontId="9" fillId="0" borderId="0" xfId="3" applyFont="1" applyBorder="1" applyAlignment="1">
      <alignment horizontal="left" vertical="center"/>
    </xf>
    <xf numFmtId="0" fontId="8" fillId="0" borderId="13" xfId="0" applyNumberFormat="1" applyFont="1" applyFill="1" applyBorder="1" applyAlignment="1" applyProtection="1">
      <alignment horizontal="center" vertical="top"/>
    </xf>
    <xf numFmtId="0" fontId="22" fillId="0" borderId="11" xfId="0" applyNumberFormat="1" applyFont="1" applyFill="1" applyBorder="1" applyAlignment="1" applyProtection="1">
      <alignment horizontal="center" vertical="center"/>
    </xf>
    <xf numFmtId="0" fontId="22" fillId="0" borderId="27" xfId="0" applyNumberFormat="1" applyFont="1" applyFill="1" applyBorder="1" applyAlignment="1" applyProtection="1">
      <alignment horizontal="center" vertical="center"/>
    </xf>
    <xf numFmtId="0" fontId="2" fillId="0" borderId="55" xfId="0" applyFont="1" applyBorder="1" applyAlignment="1">
      <alignment horizontal="center" vertical="center"/>
    </xf>
    <xf numFmtId="1" fontId="2" fillId="0" borderId="55" xfId="0" applyNumberFormat="1" applyFont="1" applyBorder="1" applyAlignment="1">
      <alignment horizontal="center" vertical="center"/>
    </xf>
    <xf numFmtId="0" fontId="2" fillId="0" borderId="66" xfId="0"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169" fontId="72" fillId="2" borderId="55" xfId="1" applyNumberFormat="1" applyFont="1" applyFill="1" applyBorder="1" applyAlignment="1">
      <alignment horizontal="center" vertical="center"/>
    </xf>
    <xf numFmtId="0" fontId="8" fillId="0" borderId="66" xfId="0" applyNumberFormat="1" applyFont="1" applyFill="1" applyBorder="1" applyAlignment="1" applyProtection="1">
      <alignment vertical="top"/>
    </xf>
    <xf numFmtId="0" fontId="77" fillId="2" borderId="55" xfId="0" applyNumberFormat="1" applyFont="1" applyFill="1" applyBorder="1" applyAlignment="1" applyProtection="1">
      <alignment horizontal="center"/>
    </xf>
    <xf numFmtId="0" fontId="83" fillId="2" borderId="55" xfId="0" applyNumberFormat="1" applyFont="1" applyFill="1" applyBorder="1" applyAlignment="1" applyProtection="1">
      <alignment vertical="top"/>
    </xf>
    <xf numFmtId="0" fontId="76" fillId="2" borderId="0" xfId="0" applyFont="1" applyFill="1"/>
    <xf numFmtId="0" fontId="63" fillId="2" borderId="64" xfId="0" applyFont="1" applyFill="1" applyBorder="1" applyAlignment="1">
      <alignment horizontal="center" vertical="center" wrapText="1"/>
    </xf>
    <xf numFmtId="0" fontId="0" fillId="2" borderId="55" xfId="0" applyFill="1" applyBorder="1"/>
    <xf numFmtId="170" fontId="8" fillId="0" borderId="6" xfId="0" applyNumberFormat="1" applyFont="1" applyFill="1" applyBorder="1" applyAlignment="1" applyProtection="1">
      <alignment vertical="top"/>
    </xf>
    <xf numFmtId="0" fontId="0" fillId="2" borderId="0" xfId="0" applyFill="1" applyAlignment="1">
      <alignment horizontal="left"/>
    </xf>
    <xf numFmtId="0" fontId="2" fillId="2" borderId="0" xfId="0" applyFont="1" applyFill="1" applyAlignment="1">
      <alignment horizontal="center"/>
    </xf>
    <xf numFmtId="0" fontId="5" fillId="2" borderId="0" xfId="0" applyFont="1" applyFill="1"/>
    <xf numFmtId="0" fontId="0" fillId="2" borderId="55" xfId="0" applyFont="1" applyFill="1" applyBorder="1" applyAlignment="1">
      <alignment horizontal="center"/>
    </xf>
    <xf numFmtId="0" fontId="0" fillId="2" borderId="0" xfId="0" applyFill="1" applyAlignment="1">
      <alignment wrapText="1"/>
    </xf>
    <xf numFmtId="0" fontId="5" fillId="2" borderId="55" xfId="0" applyFont="1" applyFill="1" applyBorder="1"/>
    <xf numFmtId="0" fontId="0" fillId="2" borderId="24" xfId="0" applyFill="1" applyBorder="1"/>
    <xf numFmtId="0" fontId="0" fillId="2" borderId="25" xfId="0" applyFill="1" applyBorder="1"/>
    <xf numFmtId="0" fontId="8" fillId="2" borderId="24" xfId="0" applyFont="1" applyFill="1" applyBorder="1"/>
    <xf numFmtId="0" fontId="8" fillId="2" borderId="0" xfId="0" applyFont="1" applyFill="1"/>
    <xf numFmtId="0" fontId="9" fillId="2" borderId="0" xfId="0" applyFont="1" applyFill="1"/>
    <xf numFmtId="0" fontId="8" fillId="2" borderId="21" xfId="0" applyFont="1" applyFill="1" applyBorder="1"/>
    <xf numFmtId="0" fontId="0" fillId="2" borderId="21" xfId="0" applyFill="1" applyBorder="1"/>
    <xf numFmtId="17" fontId="9" fillId="2" borderId="21" xfId="0" applyNumberFormat="1" applyFont="1" applyFill="1" applyBorder="1"/>
    <xf numFmtId="0" fontId="9" fillId="2" borderId="24" xfId="0" applyFont="1" applyFill="1" applyBorder="1"/>
    <xf numFmtId="2" fontId="8" fillId="2" borderId="21" xfId="0" applyNumberFormat="1" applyFont="1" applyFill="1" applyBorder="1"/>
    <xf numFmtId="0" fontId="9" fillId="2" borderId="21" xfId="0" applyFont="1" applyFill="1" applyBorder="1"/>
    <xf numFmtId="1" fontId="8" fillId="2" borderId="0" xfId="0" applyNumberFormat="1" applyFont="1" applyFill="1"/>
    <xf numFmtId="0" fontId="8" fillId="2" borderId="47" xfId="0" applyFont="1" applyFill="1" applyBorder="1"/>
    <xf numFmtId="0" fontId="0" fillId="2" borderId="47" xfId="0" applyFill="1" applyBorder="1"/>
    <xf numFmtId="0" fontId="8" fillId="2" borderId="0" xfId="0" applyFont="1" applyFill="1" applyAlignment="1">
      <alignment horizontal="left"/>
    </xf>
    <xf numFmtId="1" fontId="8" fillId="2" borderId="47" xfId="0" applyNumberFormat="1" applyFont="1" applyFill="1" applyBorder="1"/>
    <xf numFmtId="1" fontId="0" fillId="2" borderId="47" xfId="0" applyNumberFormat="1" applyFill="1" applyBorder="1"/>
    <xf numFmtId="1" fontId="8" fillId="2" borderId="21" xfId="0" applyNumberFormat="1" applyFont="1" applyFill="1" applyBorder="1"/>
    <xf numFmtId="0" fontId="0" fillId="2" borderId="27" xfId="0" applyFill="1" applyBorder="1"/>
    <xf numFmtId="0" fontId="0" fillId="2" borderId="28" xfId="0" applyFill="1" applyBorder="1"/>
    <xf numFmtId="0" fontId="0" fillId="2" borderId="29" xfId="0" applyFill="1" applyBorder="1"/>
    <xf numFmtId="0" fontId="0" fillId="2" borderId="0" xfId="0" applyFill="1" applyAlignment="1">
      <alignment horizontal="center" vertical="center"/>
    </xf>
    <xf numFmtId="0" fontId="4" fillId="2" borderId="0" xfId="0" applyFont="1" applyFill="1"/>
    <xf numFmtId="0" fontId="2" fillId="2" borderId="0" xfId="0" applyFont="1" applyFill="1"/>
    <xf numFmtId="0" fontId="6" fillId="2" borderId="0" xfId="0" applyFont="1" applyFill="1"/>
    <xf numFmtId="0" fontId="7" fillId="2" borderId="0" xfId="0" applyFont="1" applyFill="1"/>
    <xf numFmtId="0" fontId="7" fillId="2" borderId="0" xfId="0" applyFont="1" applyFill="1" applyAlignment="1">
      <alignment horizontal="center"/>
    </xf>
    <xf numFmtId="0" fontId="66" fillId="2" borderId="0" xfId="0" applyFont="1" applyFill="1"/>
    <xf numFmtId="0" fontId="10" fillId="2" borderId="0" xfId="0" applyFont="1" applyFill="1" applyAlignment="1">
      <alignment horizontal="left"/>
    </xf>
    <xf numFmtId="17" fontId="2" fillId="2" borderId="0" xfId="0" applyNumberFormat="1" applyFont="1" applyFill="1"/>
    <xf numFmtId="0" fontId="10" fillId="2" borderId="0" xfId="0" applyFont="1" applyFill="1"/>
    <xf numFmtId="0" fontId="0" fillId="2" borderId="0" xfId="0" applyFill="1" applyAlignment="1">
      <alignment vertical="center"/>
    </xf>
    <xf numFmtId="0" fontId="0" fillId="2" borderId="55" xfId="0" applyFill="1" applyBorder="1" applyAlignment="1">
      <alignment wrapText="1"/>
    </xf>
    <xf numFmtId="0" fontId="2" fillId="2" borderId="55" xfId="0" applyFont="1" applyFill="1" applyBorder="1" applyAlignment="1">
      <alignment vertical="center"/>
    </xf>
    <xf numFmtId="0" fontId="0" fillId="2" borderId="55" xfId="0" applyFont="1" applyFill="1" applyBorder="1"/>
    <xf numFmtId="0" fontId="0" fillId="2" borderId="0" xfId="0" applyFont="1" applyFill="1"/>
    <xf numFmtId="0" fontId="0" fillId="2" borderId="0" xfId="0" applyFill="1" applyBorder="1"/>
    <xf numFmtId="0" fontId="8" fillId="0" borderId="55" xfId="0" applyNumberFormat="1" applyFont="1" applyFill="1" applyBorder="1" applyAlignment="1" applyProtection="1">
      <alignment horizontal="right" vertical="top"/>
    </xf>
    <xf numFmtId="0" fontId="0" fillId="2" borderId="0" xfId="0" applyFill="1" applyAlignment="1">
      <alignment horizontal="right"/>
    </xf>
    <xf numFmtId="0" fontId="0" fillId="2" borderId="0" xfId="0" applyFill="1" applyAlignment="1">
      <alignment horizontal="right" vertical="center"/>
    </xf>
    <xf numFmtId="0" fontId="2" fillId="2" borderId="55" xfId="0" applyFont="1" applyFill="1" applyBorder="1" applyAlignment="1">
      <alignment horizontal="right" vertical="center"/>
    </xf>
    <xf numFmtId="0" fontId="79" fillId="2" borderId="0" xfId="0" applyFont="1" applyFill="1"/>
    <xf numFmtId="0" fontId="79" fillId="2" borderId="0" xfId="0" applyFont="1" applyFill="1" applyAlignment="1">
      <alignment horizontal="left"/>
    </xf>
    <xf numFmtId="0" fontId="44" fillId="2" borderId="0" xfId="0" applyFont="1" applyFill="1" applyAlignment="1">
      <alignment horizontal="center"/>
    </xf>
    <xf numFmtId="0" fontId="69" fillId="2" borderId="6" xfId="0" applyFont="1" applyFill="1" applyBorder="1" applyAlignment="1" applyProtection="1">
      <alignment horizontal="center" vertical="top" wrapText="1" readingOrder="1"/>
      <protection locked="0"/>
    </xf>
    <xf numFmtId="17" fontId="44" fillId="2" borderId="55" xfId="0" applyNumberFormat="1" applyFont="1" applyFill="1" applyBorder="1" applyAlignment="1">
      <alignment horizontal="center" vertical="center"/>
    </xf>
    <xf numFmtId="0" fontId="17" fillId="2" borderId="0" xfId="0" applyFont="1" applyFill="1"/>
    <xf numFmtId="0" fontId="63" fillId="2" borderId="0" xfId="0" applyFont="1" applyFill="1"/>
    <xf numFmtId="0" fontId="69" fillId="2" borderId="45" xfId="0" applyFont="1" applyFill="1" applyBorder="1" applyAlignment="1" applyProtection="1">
      <alignment vertical="top" wrapText="1" readingOrder="1"/>
      <protection locked="0"/>
    </xf>
    <xf numFmtId="0" fontId="13" fillId="2" borderId="6" xfId="0" applyFont="1" applyFill="1" applyBorder="1" applyAlignment="1" applyProtection="1">
      <alignment vertical="top" wrapText="1"/>
      <protection locked="0"/>
    </xf>
    <xf numFmtId="0" fontId="69" fillId="2" borderId="18" xfId="0" applyFont="1" applyFill="1" applyBorder="1" applyAlignment="1" applyProtection="1">
      <alignment vertical="top" wrapText="1" readingOrder="1"/>
      <protection locked="0"/>
    </xf>
    <xf numFmtId="0" fontId="13" fillId="2" borderId="38" xfId="0" applyFont="1" applyFill="1" applyBorder="1" applyAlignment="1" applyProtection="1">
      <alignment vertical="top" wrapText="1"/>
      <protection locked="0"/>
    </xf>
    <xf numFmtId="0" fontId="73" fillId="2" borderId="6" xfId="0" applyFont="1" applyFill="1" applyBorder="1" applyAlignment="1" applyProtection="1">
      <alignment vertical="top" wrapText="1" readingOrder="1"/>
      <protection locked="0"/>
    </xf>
    <xf numFmtId="0" fontId="69" fillId="2" borderId="6" xfId="0" applyFont="1" applyFill="1" applyBorder="1" applyAlignment="1" applyProtection="1">
      <alignment horizontal="left" textRotation="90" wrapText="1" readingOrder="1"/>
      <protection locked="0"/>
    </xf>
    <xf numFmtId="0" fontId="86" fillId="2" borderId="6" xfId="0" applyFont="1" applyFill="1" applyBorder="1" applyAlignment="1" applyProtection="1">
      <alignment horizontal="left" textRotation="90" wrapText="1" readingOrder="1"/>
      <protection locked="0"/>
    </xf>
    <xf numFmtId="0" fontId="87" fillId="2" borderId="6" xfId="0" applyFont="1" applyFill="1" applyBorder="1" applyAlignment="1" applyProtection="1">
      <alignment horizontal="left" textRotation="90" wrapText="1" readingOrder="1"/>
      <protection locked="0"/>
    </xf>
    <xf numFmtId="0" fontId="73" fillId="2" borderId="6" xfId="0" applyFont="1" applyFill="1" applyBorder="1" applyAlignment="1" applyProtection="1">
      <alignment horizontal="left" textRotation="90" wrapText="1" readingOrder="1"/>
      <protection locked="0"/>
    </xf>
    <xf numFmtId="0" fontId="69" fillId="2" borderId="38" xfId="0" applyFont="1" applyFill="1" applyBorder="1" applyAlignment="1" applyProtection="1">
      <alignment horizontal="left" textRotation="90" wrapText="1" readingOrder="1"/>
      <protection locked="0"/>
    </xf>
    <xf numFmtId="0" fontId="63" fillId="2" borderId="54" xfId="0" applyNumberFormat="1" applyFont="1" applyFill="1" applyBorder="1" applyAlignment="1" applyProtection="1">
      <alignment vertical="top"/>
    </xf>
    <xf numFmtId="0" fontId="63" fillId="2" borderId="57" xfId="0" applyNumberFormat="1" applyFont="1" applyFill="1" applyBorder="1" applyAlignment="1" applyProtection="1">
      <alignment vertical="top"/>
    </xf>
    <xf numFmtId="0" fontId="63" fillId="2" borderId="53" xfId="0" applyNumberFormat="1" applyFont="1" applyFill="1" applyBorder="1" applyAlignment="1" applyProtection="1">
      <alignment vertical="top"/>
    </xf>
    <xf numFmtId="0" fontId="63" fillId="2" borderId="0" xfId="0" applyNumberFormat="1" applyFont="1" applyFill="1" applyBorder="1" applyAlignment="1" applyProtection="1">
      <alignment vertical="top"/>
    </xf>
    <xf numFmtId="0" fontId="63" fillId="2" borderId="33" xfId="0" applyNumberFormat="1" applyFont="1" applyFill="1" applyBorder="1" applyAlignment="1" applyProtection="1">
      <alignment vertical="top"/>
    </xf>
    <xf numFmtId="0" fontId="63" fillId="2" borderId="21" xfId="0" applyNumberFormat="1" applyFont="1" applyFill="1" applyBorder="1" applyAlignment="1" applyProtection="1">
      <alignment vertical="top"/>
    </xf>
    <xf numFmtId="0" fontId="63" fillId="2" borderId="58" xfId="0" applyNumberFormat="1" applyFont="1" applyFill="1" applyBorder="1" applyAlignment="1" applyProtection="1">
      <alignment vertical="top"/>
    </xf>
    <xf numFmtId="0" fontId="63" fillId="2" borderId="15" xfId="0" applyNumberFormat="1" applyFont="1" applyFill="1" applyBorder="1" applyAlignment="1" applyProtection="1">
      <alignment vertical="top"/>
    </xf>
    <xf numFmtId="0" fontId="63" fillId="2" borderId="22" xfId="0" applyNumberFormat="1" applyFont="1" applyFill="1" applyBorder="1" applyAlignment="1" applyProtection="1">
      <alignment vertical="top"/>
    </xf>
    <xf numFmtId="0" fontId="63" fillId="2" borderId="11" xfId="0" applyNumberFormat="1" applyFont="1" applyFill="1" applyBorder="1" applyAlignment="1" applyProtection="1">
      <alignment vertical="top"/>
    </xf>
    <xf numFmtId="0" fontId="63" fillId="2" borderId="23" xfId="0" applyNumberFormat="1" applyFont="1" applyFill="1" applyBorder="1" applyAlignment="1" applyProtection="1">
      <alignment vertical="top"/>
    </xf>
    <xf numFmtId="0" fontId="88" fillId="2" borderId="24" xfId="0" applyNumberFormat="1" applyFont="1" applyFill="1" applyBorder="1" applyAlignment="1" applyProtection="1">
      <alignment vertical="top"/>
    </xf>
    <xf numFmtId="0" fontId="63" fillId="2" borderId="25" xfId="0" applyNumberFormat="1" applyFont="1" applyFill="1" applyBorder="1" applyAlignment="1" applyProtection="1">
      <alignment vertical="top"/>
    </xf>
    <xf numFmtId="0" fontId="71" fillId="2" borderId="0" xfId="0" applyFont="1" applyFill="1"/>
    <xf numFmtId="0" fontId="63" fillId="2" borderId="29" xfId="0" applyNumberFormat="1" applyFont="1" applyFill="1" applyBorder="1" applyAlignment="1" applyProtection="1">
      <alignment vertical="top"/>
    </xf>
    <xf numFmtId="0" fontId="63" fillId="2" borderId="27" xfId="0" applyNumberFormat="1" applyFont="1" applyFill="1" applyBorder="1" applyAlignment="1" applyProtection="1">
      <alignment vertical="top"/>
    </xf>
    <xf numFmtId="0" fontId="63" fillId="2" borderId="28" xfId="0" applyNumberFormat="1" applyFont="1" applyFill="1" applyBorder="1" applyAlignment="1" applyProtection="1">
      <alignment vertical="top"/>
    </xf>
    <xf numFmtId="0" fontId="88" fillId="2" borderId="59" xfId="0" applyNumberFormat="1" applyFont="1" applyFill="1" applyBorder="1" applyAlignment="1" applyProtection="1">
      <alignment horizontal="center" vertical="top" wrapText="1"/>
    </xf>
    <xf numFmtId="0" fontId="88" fillId="2" borderId="8" xfId="0" applyNumberFormat="1" applyFont="1" applyFill="1" applyBorder="1" applyAlignment="1" applyProtection="1">
      <alignment horizontal="center" vertical="top" wrapText="1"/>
    </xf>
    <xf numFmtId="0" fontId="88" fillId="2" borderId="55" xfId="0" applyNumberFormat="1" applyFont="1" applyFill="1" applyBorder="1" applyAlignment="1" applyProtection="1">
      <alignment horizontal="center" vertical="top" wrapText="1"/>
    </xf>
    <xf numFmtId="14" fontId="89" fillId="2" borderId="55" xfId="0" applyNumberFormat="1" applyFont="1" applyFill="1" applyBorder="1" applyAlignment="1">
      <alignment horizontal="center"/>
    </xf>
    <xf numFmtId="0" fontId="90" fillId="2" borderId="55" xfId="0" applyFont="1" applyFill="1" applyBorder="1" applyAlignment="1">
      <alignment horizontal="center"/>
    </xf>
    <xf numFmtId="0" fontId="91" fillId="2" borderId="55" xfId="0" applyNumberFormat="1" applyFont="1" applyFill="1" applyBorder="1" applyAlignment="1" applyProtection="1">
      <alignment vertical="top"/>
    </xf>
    <xf numFmtId="0" fontId="56" fillId="2" borderId="55" xfId="0" applyFont="1" applyFill="1" applyBorder="1" applyAlignment="1">
      <alignment horizontal="center"/>
    </xf>
    <xf numFmtId="14" fontId="80" fillId="2" borderId="55" xfId="0" applyNumberFormat="1" applyFont="1" applyFill="1" applyBorder="1" applyAlignment="1">
      <alignment horizontal="center"/>
    </xf>
    <xf numFmtId="0" fontId="63" fillId="2" borderId="55" xfId="0" applyNumberFormat="1" applyFont="1" applyFill="1" applyBorder="1" applyAlignment="1" applyProtection="1">
      <alignment vertical="top"/>
    </xf>
    <xf numFmtId="0" fontId="63" fillId="2" borderId="55" xfId="0" applyNumberFormat="1" applyFont="1" applyFill="1" applyBorder="1" applyAlignment="1" applyProtection="1">
      <alignment vertical="center"/>
    </xf>
    <xf numFmtId="0" fontId="90" fillId="2" borderId="55" xfId="0" applyFont="1" applyFill="1" applyBorder="1" applyAlignment="1">
      <alignment wrapText="1"/>
    </xf>
    <xf numFmtId="0" fontId="91" fillId="2" borderId="55" xfId="0" applyNumberFormat="1" applyFont="1" applyFill="1" applyBorder="1" applyAlignment="1" applyProtection="1">
      <alignment vertical="center"/>
    </xf>
    <xf numFmtId="15" fontId="56" fillId="2" borderId="55" xfId="0" applyNumberFormat="1" applyFont="1" applyFill="1" applyBorder="1" applyAlignment="1">
      <alignment horizontal="left"/>
    </xf>
    <xf numFmtId="0" fontId="56" fillId="2" borderId="55" xfId="0" applyFont="1" applyFill="1" applyBorder="1" applyAlignment="1">
      <alignment wrapText="1"/>
    </xf>
    <xf numFmtId="0" fontId="56" fillId="2" borderId="55" xfId="0" applyFont="1" applyFill="1" applyBorder="1" applyAlignment="1">
      <alignment horizontal="center" wrapText="1"/>
    </xf>
    <xf numFmtId="166" fontId="56" fillId="2" borderId="55" xfId="0" applyNumberFormat="1" applyFont="1" applyFill="1" applyBorder="1" applyAlignment="1">
      <alignment horizontal="center" wrapText="1"/>
    </xf>
    <xf numFmtId="0" fontId="56" fillId="2" borderId="55" xfId="0" applyFont="1" applyFill="1" applyBorder="1" applyAlignment="1">
      <alignment horizontal="center" vertical="center"/>
    </xf>
    <xf numFmtId="0" fontId="56" fillId="2" borderId="0" xfId="0" applyFont="1" applyFill="1"/>
    <xf numFmtId="166" fontId="90" fillId="2" borderId="55" xfId="0" applyNumberFormat="1" applyFont="1" applyFill="1" applyBorder="1" applyAlignment="1">
      <alignment horizontal="center" vertical="center" wrapText="1"/>
    </xf>
    <xf numFmtId="0" fontId="90" fillId="2" borderId="55" xfId="0" applyFont="1" applyFill="1" applyBorder="1" applyAlignment="1">
      <alignment vertical="center" wrapText="1"/>
    </xf>
    <xf numFmtId="0" fontId="90" fillId="2" borderId="55" xfId="0" applyFont="1" applyFill="1" applyBorder="1" applyAlignment="1">
      <alignment horizontal="center" vertical="center" wrapText="1"/>
    </xf>
    <xf numFmtId="0" fontId="76" fillId="2" borderId="0" xfId="0" applyFont="1" applyFill="1" applyAlignment="1">
      <alignment horizontal="center" vertical="center"/>
    </xf>
    <xf numFmtId="14" fontId="91" fillId="2" borderId="55" xfId="0" applyNumberFormat="1" applyFont="1" applyFill="1" applyBorder="1" applyAlignment="1" applyProtection="1">
      <alignment vertical="center"/>
    </xf>
    <xf numFmtId="0" fontId="2" fillId="2" borderId="0" xfId="0" applyFont="1" applyFill="1" applyAlignment="1">
      <alignment horizontal="left"/>
    </xf>
    <xf numFmtId="0" fontId="22" fillId="0" borderId="11" xfId="0" applyNumberFormat="1" applyFont="1" applyFill="1" applyBorder="1" applyAlignment="1" applyProtection="1">
      <alignment horizontal="center" vertical="center"/>
    </xf>
    <xf numFmtId="0" fontId="22" fillId="0" borderId="27"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top"/>
    </xf>
    <xf numFmtId="1" fontId="2" fillId="0" borderId="55" xfId="0" applyNumberFormat="1"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0" fontId="2" fillId="0" borderId="55" xfId="0" applyFont="1" applyBorder="1" applyAlignment="1">
      <alignment horizontal="center" vertical="center"/>
    </xf>
    <xf numFmtId="0" fontId="2" fillId="0" borderId="66" xfId="0" applyFont="1" applyBorder="1" applyAlignment="1">
      <alignment horizontal="center" vertical="center"/>
    </xf>
    <xf numFmtId="0" fontId="8" fillId="2" borderId="0" xfId="0" applyFont="1" applyFill="1" applyAlignment="1">
      <alignment horizontal="left"/>
    </xf>
    <xf numFmtId="0" fontId="88" fillId="2" borderId="5" xfId="0" applyNumberFormat="1" applyFont="1" applyFill="1" applyBorder="1" applyAlignment="1" applyProtection="1">
      <alignment horizontal="center" vertical="top" wrapText="1"/>
    </xf>
    <xf numFmtId="0" fontId="56" fillId="2" borderId="55" xfId="0" applyFont="1" applyFill="1" applyBorder="1" applyAlignment="1"/>
    <xf numFmtId="0" fontId="0" fillId="2" borderId="55" xfId="0" applyFill="1" applyBorder="1" applyAlignment="1"/>
    <xf numFmtId="0" fontId="0" fillId="2" borderId="55" xfId="0" applyFont="1" applyFill="1" applyBorder="1" applyAlignment="1">
      <alignment wrapText="1"/>
    </xf>
    <xf numFmtId="14" fontId="0" fillId="2" borderId="55" xfId="0" applyNumberFormat="1" applyFill="1" applyBorder="1" applyAlignment="1">
      <alignment horizontal="left"/>
    </xf>
    <xf numFmtId="0" fontId="0" fillId="2" borderId="55" xfId="0" applyFill="1" applyBorder="1" applyAlignment="1">
      <alignment vertical="center"/>
    </xf>
    <xf numFmtId="0" fontId="57" fillId="2" borderId="55" xfId="0" applyFont="1" applyFill="1" applyBorder="1" applyAlignment="1">
      <alignment wrapText="1"/>
    </xf>
    <xf numFmtId="0" fontId="57" fillId="2" borderId="55" xfId="0" applyFont="1" applyFill="1" applyBorder="1" applyAlignment="1">
      <alignment vertical="center" wrapText="1"/>
    </xf>
    <xf numFmtId="14" fontId="8" fillId="0" borderId="0" xfId="0" applyNumberFormat="1" applyFont="1" applyFill="1" applyBorder="1" applyAlignment="1" applyProtection="1">
      <alignment vertical="top"/>
    </xf>
    <xf numFmtId="0" fontId="10" fillId="2" borderId="24" xfId="0" applyFont="1" applyFill="1" applyBorder="1"/>
    <xf numFmtId="0" fontId="10" fillId="2" borderId="25" xfId="0" applyFont="1" applyFill="1" applyBorder="1"/>
    <xf numFmtId="0" fontId="10" fillId="2" borderId="21" xfId="0" applyFont="1" applyFill="1" applyBorder="1"/>
    <xf numFmtId="0" fontId="10" fillId="2" borderId="47" xfId="0" applyFont="1" applyFill="1" applyBorder="1"/>
    <xf numFmtId="1" fontId="10" fillId="2" borderId="47" xfId="0" applyNumberFormat="1" applyFont="1" applyFill="1" applyBorder="1"/>
    <xf numFmtId="0" fontId="81" fillId="2" borderId="55" xfId="0" applyFont="1" applyFill="1" applyBorder="1" applyAlignment="1">
      <alignment horizontal="center" vertical="center" wrapText="1"/>
    </xf>
    <xf numFmtId="0" fontId="0" fillId="2" borderId="55" xfId="0" applyFill="1" applyBorder="1" applyAlignment="1">
      <alignment horizontal="right"/>
    </xf>
    <xf numFmtId="0" fontId="2" fillId="2" borderId="55" xfId="0" applyFont="1" applyFill="1" applyBorder="1" applyAlignment="1">
      <alignment horizontal="center"/>
    </xf>
    <xf numFmtId="0" fontId="2" fillId="2" borderId="55" xfId="0" applyFont="1" applyFill="1" applyBorder="1" applyAlignment="1">
      <alignment horizontal="center" wrapText="1"/>
    </xf>
    <xf numFmtId="0" fontId="79" fillId="2" borderId="55" xfId="0" applyFont="1" applyFill="1" applyBorder="1"/>
    <xf numFmtId="0" fontId="82" fillId="2" borderId="55" xfId="0" applyFont="1" applyFill="1" applyBorder="1" applyAlignment="1">
      <alignment vertical="center"/>
    </xf>
    <xf numFmtId="0" fontId="0" fillId="2" borderId="55" xfId="0" applyFont="1" applyFill="1" applyBorder="1" applyAlignment="1">
      <alignment horizontal="left" wrapText="1"/>
    </xf>
    <xf numFmtId="0" fontId="52" fillId="2" borderId="55" xfId="0" applyFont="1" applyFill="1" applyBorder="1" applyAlignment="1">
      <alignment horizontal="left"/>
    </xf>
    <xf numFmtId="0" fontId="79" fillId="2" borderId="55" xfId="0" quotePrefix="1" applyFont="1" applyFill="1" applyBorder="1"/>
    <xf numFmtId="0" fontId="8" fillId="0" borderId="6" xfId="0" applyNumberFormat="1" applyFont="1" applyFill="1" applyBorder="1" applyAlignment="1" applyProtection="1">
      <alignment horizontal="center" vertical="top"/>
    </xf>
    <xf numFmtId="0" fontId="68" fillId="2" borderId="55" xfId="0" applyFont="1" applyFill="1" applyBorder="1" applyAlignment="1">
      <alignment horizontal="left"/>
    </xf>
    <xf numFmtId="15" fontId="0" fillId="2" borderId="55" xfId="0" applyNumberFormat="1" applyFont="1" applyFill="1" applyBorder="1" applyAlignment="1">
      <alignment horizontal="right"/>
    </xf>
    <xf numFmtId="0" fontId="0" fillId="2" borderId="55" xfId="0" applyFont="1" applyFill="1" applyBorder="1" applyAlignment="1">
      <alignment horizontal="left"/>
    </xf>
    <xf numFmtId="14" fontId="68" fillId="2" borderId="55" xfId="0" applyNumberFormat="1" applyFont="1" applyFill="1" applyBorder="1" applyAlignment="1">
      <alignment horizontal="left"/>
    </xf>
    <xf numFmtId="0" fontId="92" fillId="2" borderId="55" xfId="7" applyFont="1" applyFill="1" applyBorder="1"/>
    <xf numFmtId="0" fontId="74" fillId="2" borderId="55" xfId="0" applyFont="1" applyFill="1" applyBorder="1" applyAlignment="1">
      <alignment horizontal="left"/>
    </xf>
    <xf numFmtId="1" fontId="68" fillId="2" borderId="64" xfId="1" applyNumberFormat="1" applyFont="1" applyFill="1" applyBorder="1" applyAlignment="1">
      <alignment horizontal="center"/>
    </xf>
    <xf numFmtId="1" fontId="68" fillId="2" borderId="55" xfId="1" applyNumberFormat="1" applyFont="1" applyFill="1" applyBorder="1" applyAlignment="1">
      <alignment horizontal="center"/>
    </xf>
    <xf numFmtId="1" fontId="52" fillId="2" borderId="55" xfId="1" applyNumberFormat="1" applyFont="1" applyFill="1" applyBorder="1" applyAlignment="1">
      <alignment horizontal="center"/>
    </xf>
    <xf numFmtId="1" fontId="52" fillId="2" borderId="55" xfId="0" applyNumberFormat="1" applyFont="1" applyFill="1" applyBorder="1" applyAlignment="1">
      <alignment horizontal="center" vertical="center"/>
    </xf>
    <xf numFmtId="0" fontId="0" fillId="2" borderId="6" xfId="0" applyFont="1" applyFill="1" applyBorder="1"/>
    <xf numFmtId="0" fontId="0" fillId="2" borderId="55" xfId="0" quotePrefix="1" applyFont="1" applyFill="1" applyBorder="1" applyAlignment="1"/>
    <xf numFmtId="0" fontId="0" fillId="2" borderId="64" xfId="0" applyFont="1" applyFill="1" applyBorder="1" applyAlignment="1">
      <alignment horizontal="center"/>
    </xf>
    <xf numFmtId="0" fontId="92" fillId="2" borderId="64" xfId="7" applyFont="1" applyFill="1" applyBorder="1"/>
    <xf numFmtId="0" fontId="74" fillId="2" borderId="64" xfId="0" applyFont="1" applyFill="1" applyBorder="1" applyAlignment="1">
      <alignment horizontal="left"/>
    </xf>
    <xf numFmtId="1" fontId="52" fillId="2" borderId="64" xfId="1" applyNumberFormat="1" applyFont="1" applyFill="1" applyBorder="1" applyAlignment="1">
      <alignment horizontal="center"/>
    </xf>
    <xf numFmtId="1" fontId="52" fillId="2" borderId="64" xfId="0" applyNumberFormat="1" applyFont="1" applyFill="1" applyBorder="1" applyAlignment="1">
      <alignment horizontal="center" vertical="center"/>
    </xf>
    <xf numFmtId="0" fontId="0" fillId="2" borderId="0" xfId="0" applyFont="1" applyFill="1" applyAlignment="1">
      <alignment wrapText="1"/>
    </xf>
    <xf numFmtId="14" fontId="0" fillId="2" borderId="55" xfId="0" applyNumberFormat="1" applyFont="1" applyFill="1" applyBorder="1" applyAlignment="1">
      <alignment horizontal="right"/>
    </xf>
    <xf numFmtId="0" fontId="93" fillId="2" borderId="55" xfId="0" applyFont="1" applyFill="1" applyBorder="1"/>
    <xf numFmtId="14" fontId="0" fillId="2" borderId="55" xfId="0" applyNumberFormat="1" applyFont="1" applyFill="1" applyBorder="1"/>
    <xf numFmtId="14" fontId="0" fillId="2" borderId="55" xfId="0" applyNumberFormat="1" applyFont="1" applyFill="1" applyBorder="1" applyAlignment="1">
      <alignment horizontal="left"/>
    </xf>
    <xf numFmtId="14" fontId="94" fillId="2" borderId="55" xfId="0" applyNumberFormat="1" applyFont="1" applyFill="1" applyBorder="1" applyAlignment="1">
      <alignment vertical="center"/>
    </xf>
    <xf numFmtId="0" fontId="0" fillId="2" borderId="55" xfId="0" applyFont="1" applyFill="1" applyBorder="1" applyAlignment="1">
      <alignment vertical="center"/>
    </xf>
    <xf numFmtId="0" fontId="94" fillId="2" borderId="55" xfId="0" quotePrefix="1" applyFont="1" applyFill="1" applyBorder="1" applyAlignment="1">
      <alignment vertical="center" wrapText="1"/>
    </xf>
    <xf numFmtId="0" fontId="76" fillId="2" borderId="55" xfId="0" applyFont="1" applyFill="1" applyBorder="1" applyAlignment="1">
      <alignment wrapText="1"/>
    </xf>
    <xf numFmtId="166" fontId="95" fillId="2" borderId="55" xfId="0" applyNumberFormat="1" applyFont="1" applyFill="1" applyBorder="1" applyAlignment="1">
      <alignment horizontal="center" wrapText="1"/>
    </xf>
    <xf numFmtId="0" fontId="95" fillId="2" borderId="55" xfId="0" applyFont="1" applyFill="1" applyBorder="1" applyAlignment="1">
      <alignment wrapText="1"/>
    </xf>
    <xf numFmtId="0" fontId="78" fillId="2" borderId="55" xfId="0" applyNumberFormat="1" applyFont="1" applyFill="1" applyBorder="1" applyAlignment="1" applyProtection="1">
      <alignment horizontal="center" wrapText="1"/>
    </xf>
    <xf numFmtId="15" fontId="95" fillId="2" borderId="55" xfId="0" applyNumberFormat="1" applyFont="1" applyFill="1" applyBorder="1" applyAlignment="1">
      <alignment horizontal="left" wrapText="1"/>
    </xf>
    <xf numFmtId="0" fontId="95" fillId="2" borderId="55" xfId="0" applyFont="1" applyFill="1" applyBorder="1" applyAlignment="1">
      <alignment horizontal="center" wrapText="1"/>
    </xf>
    <xf numFmtId="0" fontId="96" fillId="2" borderId="55" xfId="0" applyNumberFormat="1" applyFont="1" applyFill="1" applyBorder="1" applyAlignment="1" applyProtection="1">
      <alignment vertical="top" wrapText="1"/>
    </xf>
    <xf numFmtId="0" fontId="96" fillId="2" borderId="55" xfId="0" applyNumberFormat="1" applyFont="1" applyFill="1" applyBorder="1" applyAlignment="1" applyProtection="1">
      <alignment vertical="center" wrapText="1"/>
    </xf>
    <xf numFmtId="0" fontId="95" fillId="2" borderId="0" xfId="0" applyFont="1" applyFill="1" applyAlignment="1">
      <alignment wrapText="1"/>
    </xf>
    <xf numFmtId="0" fontId="95" fillId="2" borderId="0" xfId="0" applyFont="1" applyFill="1" applyAlignment="1">
      <alignment horizontal="center" vertical="center" wrapText="1"/>
    </xf>
    <xf numFmtId="0" fontId="14" fillId="2" borderId="55" xfId="0" applyNumberFormat="1" applyFont="1" applyFill="1" applyBorder="1" applyAlignment="1" applyProtection="1">
      <alignment horizontal="center" vertical="center" wrapText="1"/>
    </xf>
    <xf numFmtId="15" fontId="90" fillId="2" borderId="55" xfId="0" applyNumberFormat="1" applyFont="1" applyFill="1" applyBorder="1" applyAlignment="1">
      <alignment horizontal="left" vertical="center" wrapText="1"/>
    </xf>
    <xf numFmtId="14" fontId="89" fillId="2" borderId="55" xfId="0" applyNumberFormat="1" applyFont="1" applyFill="1" applyBorder="1" applyAlignment="1">
      <alignment horizontal="center" vertical="center" wrapText="1"/>
    </xf>
    <xf numFmtId="0" fontId="91" fillId="2" borderId="55" xfId="0" applyNumberFormat="1" applyFont="1" applyFill="1" applyBorder="1" applyAlignment="1" applyProtection="1">
      <alignment vertical="center" wrapText="1"/>
    </xf>
    <xf numFmtId="14" fontId="91" fillId="2" borderId="55" xfId="0" applyNumberFormat="1" applyFont="1" applyFill="1" applyBorder="1" applyAlignment="1" applyProtection="1">
      <alignment vertical="center" wrapText="1"/>
    </xf>
    <xf numFmtId="0" fontId="8" fillId="2" borderId="55" xfId="0" applyNumberFormat="1" applyFont="1" applyFill="1" applyBorder="1" applyAlignment="1" applyProtection="1">
      <alignment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76" fillId="2" borderId="55" xfId="0" applyFont="1" applyFill="1" applyBorder="1" applyAlignment="1">
      <alignment horizontal="left"/>
    </xf>
    <xf numFmtId="0" fontId="76" fillId="2" borderId="55" xfId="0" applyFont="1" applyFill="1" applyBorder="1"/>
    <xf numFmtId="0" fontId="76" fillId="2" borderId="55" xfId="0" applyFont="1" applyFill="1" applyBorder="1" applyAlignment="1">
      <alignment horizontal="left" wrapText="1"/>
    </xf>
    <xf numFmtId="0" fontId="10" fillId="0" borderId="55" xfId="0" applyFont="1" applyBorder="1" applyAlignment="1">
      <alignment vertical="center"/>
    </xf>
    <xf numFmtId="0" fontId="2" fillId="2" borderId="0" xfId="0" applyFont="1" applyFill="1" applyAlignment="1">
      <alignment horizontal="left"/>
    </xf>
    <xf numFmtId="0" fontId="2" fillId="0" borderId="55" xfId="0" applyFont="1" applyBorder="1" applyAlignment="1">
      <alignment horizontal="center" vertical="center"/>
    </xf>
    <xf numFmtId="1" fontId="2" fillId="0" borderId="55" xfId="0" applyNumberFormat="1" applyFont="1" applyBorder="1" applyAlignment="1">
      <alignment horizontal="center" vertical="center"/>
    </xf>
    <xf numFmtId="0" fontId="2" fillId="0" borderId="66" xfId="0"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15" fontId="90" fillId="2" borderId="55" xfId="0" applyNumberFormat="1" applyFont="1" applyFill="1" applyBorder="1" applyAlignment="1">
      <alignment horizontal="left"/>
    </xf>
    <xf numFmtId="0" fontId="90" fillId="2" borderId="55" xfId="0" applyFont="1" applyFill="1" applyBorder="1" applyAlignment="1">
      <alignment horizontal="center" vertical="center"/>
    </xf>
    <xf numFmtId="14" fontId="90" fillId="2" borderId="55" xfId="0" applyNumberFormat="1" applyFont="1" applyFill="1" applyBorder="1" applyAlignment="1">
      <alignment horizontal="center"/>
    </xf>
    <xf numFmtId="0" fontId="90" fillId="2" borderId="55" xfId="0" applyFont="1" applyFill="1" applyBorder="1" applyAlignment="1">
      <alignment vertical="top" wrapText="1"/>
    </xf>
    <xf numFmtId="0" fontId="90" fillId="2" borderId="55" xfId="0" applyFont="1" applyFill="1" applyBorder="1"/>
    <xf numFmtId="14" fontId="90" fillId="2" borderId="55" xfId="0" applyNumberFormat="1" applyFont="1" applyFill="1" applyBorder="1" applyAlignment="1">
      <alignment horizontal="center" vertical="center" wrapText="1"/>
    </xf>
    <xf numFmtId="0" fontId="98" fillId="2" borderId="55" xfId="0" applyFont="1" applyFill="1" applyBorder="1" applyAlignment="1">
      <alignment horizontal="center" vertical="center" wrapText="1"/>
    </xf>
    <xf numFmtId="0" fontId="90" fillId="2" borderId="55" xfId="0" applyFont="1" applyFill="1" applyBorder="1" applyAlignment="1">
      <alignment horizontal="center" wrapText="1"/>
    </xf>
    <xf numFmtId="0" fontId="99" fillId="2" borderId="55" xfId="0" applyFont="1" applyFill="1" applyBorder="1" applyAlignment="1">
      <alignment horizontal="center" wrapText="1"/>
    </xf>
    <xf numFmtId="0" fontId="100" fillId="2" borderId="55" xfId="0" applyFont="1" applyFill="1" applyBorder="1" applyAlignment="1">
      <alignment horizontal="center" wrapText="1"/>
    </xf>
    <xf numFmtId="0" fontId="101" fillId="2" borderId="55" xfId="0" applyFont="1" applyFill="1" applyBorder="1" applyAlignment="1">
      <alignment horizontal="left"/>
    </xf>
    <xf numFmtId="0" fontId="102" fillId="2" borderId="54" xfId="0" applyNumberFormat="1" applyFont="1" applyFill="1" applyBorder="1" applyAlignment="1" applyProtection="1">
      <alignment vertical="top"/>
    </xf>
    <xf numFmtId="0" fontId="102" fillId="2" borderId="0" xfId="0" applyNumberFormat="1" applyFont="1" applyFill="1" applyBorder="1" applyAlignment="1" applyProtection="1">
      <alignment vertical="top"/>
    </xf>
    <xf numFmtId="0" fontId="102" fillId="2" borderId="21" xfId="0" applyNumberFormat="1" applyFont="1" applyFill="1" applyBorder="1" applyAlignment="1" applyProtection="1">
      <alignment vertical="top"/>
    </xf>
    <xf numFmtId="0" fontId="101" fillId="2" borderId="55" xfId="0" applyFont="1" applyFill="1" applyBorder="1" applyAlignment="1">
      <alignment horizontal="left" vertical="center" wrapText="1"/>
    </xf>
    <xf numFmtId="0" fontId="97" fillId="2" borderId="55" xfId="0" applyFont="1" applyFill="1" applyBorder="1" applyAlignment="1">
      <alignment horizontal="left" vertical="center" wrapText="1"/>
    </xf>
    <xf numFmtId="0" fontId="101" fillId="2" borderId="55" xfId="0" applyFont="1" applyFill="1" applyBorder="1" applyAlignment="1">
      <alignment horizontal="left" wrapText="1"/>
    </xf>
    <xf numFmtId="0" fontId="97" fillId="2" borderId="0" xfId="0" applyFont="1" applyFill="1"/>
    <xf numFmtId="0" fontId="0" fillId="2" borderId="55" xfId="0" quotePrefix="1" applyFill="1" applyBorder="1"/>
    <xf numFmtId="0" fontId="81" fillId="2" borderId="55" xfId="0" applyFont="1" applyFill="1" applyBorder="1" applyAlignment="1">
      <alignment wrapText="1"/>
    </xf>
    <xf numFmtId="0" fontId="15" fillId="2" borderId="55" xfId="0" applyFont="1" applyFill="1" applyBorder="1" applyAlignment="1">
      <alignment horizontal="left"/>
    </xf>
    <xf numFmtId="1" fontId="52" fillId="2" borderId="68" xfId="1" applyNumberFormat="1" applyFont="1" applyFill="1" applyBorder="1"/>
    <xf numFmtId="1" fontId="52" fillId="2" borderId="61" xfId="1" applyNumberFormat="1" applyFont="1" applyFill="1" applyBorder="1"/>
    <xf numFmtId="1" fontId="52" fillId="2" borderId="60" xfId="1" applyNumberFormat="1" applyFont="1" applyFill="1" applyBorder="1"/>
    <xf numFmtId="0" fontId="71" fillId="2" borderId="55" xfId="0" applyFont="1" applyFill="1" applyBorder="1" applyAlignment="1">
      <alignment horizontal="left" vertical="center"/>
    </xf>
    <xf numFmtId="0" fontId="2" fillId="2" borderId="55" xfId="0" applyFont="1" applyFill="1" applyBorder="1" applyAlignment="1">
      <alignment horizontal="center" vertical="center" wrapText="1"/>
    </xf>
    <xf numFmtId="0" fontId="2" fillId="2" borderId="0" xfId="0" applyFont="1" applyFill="1" applyAlignment="1">
      <alignment horizontal="left"/>
    </xf>
    <xf numFmtId="0" fontId="2" fillId="2" borderId="55" xfId="0" applyFont="1" applyFill="1" applyBorder="1" applyAlignment="1">
      <alignment horizontal="center" vertical="center"/>
    </xf>
    <xf numFmtId="0" fontId="57" fillId="2" borderId="55" xfId="0" applyFont="1" applyFill="1" applyBorder="1" applyAlignment="1">
      <alignment horizontal="center" wrapText="1"/>
    </xf>
    <xf numFmtId="0" fontId="0" fillId="2" borderId="0" xfId="0" applyFill="1" applyAlignment="1">
      <alignment horizontal="center"/>
    </xf>
    <xf numFmtId="0" fontId="10" fillId="2" borderId="0" xfId="0" applyFont="1" applyFill="1" applyAlignment="1">
      <alignment horizontal="center"/>
    </xf>
    <xf numFmtId="0" fontId="2" fillId="2" borderId="0" xfId="0" applyFont="1" applyFill="1" applyAlignment="1">
      <alignment horizontal="left"/>
    </xf>
    <xf numFmtId="0" fontId="22" fillId="0" borderId="11" xfId="0" applyNumberFormat="1" applyFont="1" applyFill="1" applyBorder="1" applyAlignment="1" applyProtection="1">
      <alignment horizontal="center" vertical="center"/>
    </xf>
    <xf numFmtId="0" fontId="22" fillId="0" borderId="27"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top"/>
    </xf>
    <xf numFmtId="0" fontId="2" fillId="0" borderId="55" xfId="0" applyFont="1" applyBorder="1" applyAlignment="1">
      <alignment horizontal="center" vertical="center"/>
    </xf>
    <xf numFmtId="0" fontId="2" fillId="0" borderId="66" xfId="0" applyFont="1" applyBorder="1" applyAlignment="1">
      <alignment horizontal="center" vertical="center"/>
    </xf>
    <xf numFmtId="1" fontId="2" fillId="0" borderId="55" xfId="0" applyNumberFormat="1"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0" fontId="14" fillId="2" borderId="61" xfId="0" applyNumberFormat="1" applyFont="1" applyFill="1" applyBorder="1" applyAlignment="1" applyProtection="1">
      <alignment horizontal="center"/>
    </xf>
    <xf numFmtId="15" fontId="106" fillId="2" borderId="55" xfId="0" applyNumberFormat="1" applyFont="1" applyFill="1" applyBorder="1" applyAlignment="1">
      <alignment horizontal="left" vertical="center"/>
    </xf>
    <xf numFmtId="0" fontId="106" fillId="2" borderId="55" xfId="0" applyFont="1" applyFill="1" applyBorder="1" applyAlignment="1">
      <alignment horizontal="center" vertical="center"/>
    </xf>
    <xf numFmtId="166" fontId="106" fillId="2" borderId="55" xfId="0" applyNumberFormat="1" applyFont="1" applyFill="1" applyBorder="1" applyAlignment="1">
      <alignment horizontal="center" vertical="center" wrapText="1"/>
    </xf>
    <xf numFmtId="0" fontId="106" fillId="2" borderId="55" xfId="0" applyFont="1" applyFill="1" applyBorder="1" applyAlignment="1">
      <alignment vertical="center" wrapText="1"/>
    </xf>
    <xf numFmtId="0" fontId="106" fillId="2" borderId="55" xfId="0" applyNumberFormat="1" applyFont="1" applyFill="1" applyBorder="1" applyAlignment="1" applyProtection="1">
      <alignment vertical="center"/>
    </xf>
    <xf numFmtId="0" fontId="107" fillId="2" borderId="55" xfId="0" applyNumberFormat="1" applyFont="1" applyFill="1" applyBorder="1" applyAlignment="1" applyProtection="1">
      <alignment horizontal="center" vertical="center"/>
    </xf>
    <xf numFmtId="0" fontId="108" fillId="2" borderId="55" xfId="0" applyFont="1" applyFill="1" applyBorder="1" applyAlignment="1">
      <alignment horizontal="left" vertical="center"/>
    </xf>
    <xf numFmtId="15" fontId="107" fillId="2" borderId="55" xfId="0" applyNumberFormat="1" applyFont="1" applyFill="1" applyBorder="1" applyAlignment="1">
      <alignment horizontal="left" vertical="center"/>
    </xf>
    <xf numFmtId="0" fontId="107" fillId="2" borderId="55" xfId="0" applyFont="1" applyFill="1" applyBorder="1" applyAlignment="1">
      <alignment horizontal="center" vertical="center"/>
    </xf>
    <xf numFmtId="0" fontId="107" fillId="2" borderId="55" xfId="0" applyFont="1" applyFill="1" applyBorder="1" applyAlignment="1">
      <alignment vertical="center" wrapText="1"/>
    </xf>
    <xf numFmtId="0" fontId="107" fillId="2" borderId="55" xfId="0" applyNumberFormat="1" applyFont="1" applyFill="1" applyBorder="1" applyAlignment="1" applyProtection="1">
      <alignment vertical="center"/>
    </xf>
    <xf numFmtId="0" fontId="107" fillId="2" borderId="0" xfId="0" applyFont="1" applyFill="1" applyAlignment="1">
      <alignment vertical="center"/>
    </xf>
    <xf numFmtId="0" fontId="107" fillId="2" borderId="0" xfId="0" applyFont="1" applyFill="1" applyAlignment="1">
      <alignment horizontal="center" vertical="center"/>
    </xf>
    <xf numFmtId="0" fontId="106" fillId="2" borderId="55" xfId="0" applyNumberFormat="1" applyFont="1" applyFill="1" applyBorder="1" applyAlignment="1" applyProtection="1">
      <alignment horizontal="center" vertical="center"/>
    </xf>
    <xf numFmtId="0" fontId="109" fillId="2" borderId="55" xfId="0" applyFont="1" applyFill="1" applyBorder="1" applyAlignment="1">
      <alignment horizontal="left" vertical="center"/>
    </xf>
    <xf numFmtId="0" fontId="106" fillId="2" borderId="0" xfId="0" applyFont="1" applyFill="1" applyAlignment="1">
      <alignment vertical="center"/>
    </xf>
    <xf numFmtId="0" fontId="106" fillId="2" borderId="0" xfId="0" applyFont="1" applyFill="1" applyAlignment="1">
      <alignment horizontal="center" vertical="center"/>
    </xf>
    <xf numFmtId="0" fontId="106" fillId="2" borderId="55" xfId="0" applyFont="1" applyFill="1" applyBorder="1" applyAlignment="1">
      <alignment horizontal="center" vertical="center" wrapText="1"/>
    </xf>
    <xf numFmtId="14" fontId="106" fillId="2" borderId="55" xfId="0" applyNumberFormat="1" applyFont="1" applyFill="1" applyBorder="1" applyAlignment="1">
      <alignment horizontal="center" vertical="center"/>
    </xf>
    <xf numFmtId="0" fontId="107" fillId="2" borderId="55" xfId="0" applyFont="1" applyFill="1" applyBorder="1" applyAlignment="1">
      <alignment horizontal="center" vertical="center" wrapText="1"/>
    </xf>
    <xf numFmtId="14" fontId="107" fillId="2" borderId="55" xfId="0" applyNumberFormat="1" applyFont="1" applyFill="1" applyBorder="1" applyAlignment="1">
      <alignment horizontal="center" vertical="center"/>
    </xf>
    <xf numFmtId="0" fontId="107" fillId="2" borderId="6" xfId="0" applyNumberFormat="1" applyFont="1" applyFill="1" applyBorder="1" applyAlignment="1" applyProtection="1">
      <alignment horizontal="center" vertical="center"/>
    </xf>
    <xf numFmtId="0" fontId="108" fillId="2" borderId="55" xfId="3" applyFont="1" applyFill="1" applyBorder="1" applyAlignment="1">
      <alignment horizontal="center" vertical="center"/>
    </xf>
    <xf numFmtId="0" fontId="107" fillId="2" borderId="47" xfId="0" applyFont="1" applyFill="1" applyBorder="1" applyAlignment="1">
      <alignment horizontal="center" vertical="center" wrapText="1"/>
    </xf>
    <xf numFmtId="167" fontId="107" fillId="2" borderId="55" xfId="0" applyNumberFormat="1" applyFont="1" applyFill="1" applyBorder="1" applyAlignment="1">
      <alignment horizontal="center" vertical="center"/>
    </xf>
    <xf numFmtId="14" fontId="107" fillId="2" borderId="55" xfId="0" applyNumberFormat="1" applyFont="1" applyFill="1" applyBorder="1" applyAlignment="1" applyProtection="1">
      <alignment horizontal="center" vertical="center"/>
    </xf>
    <xf numFmtId="0" fontId="108" fillId="2" borderId="6" xfId="0" applyFont="1" applyFill="1" applyBorder="1" applyAlignment="1">
      <alignment horizontal="center" vertical="center"/>
    </xf>
    <xf numFmtId="14" fontId="107" fillId="2" borderId="47" xfId="8" applyNumberFormat="1" applyFont="1" applyFill="1" applyBorder="1" applyAlignment="1">
      <alignment horizontal="center" vertical="center"/>
    </xf>
    <xf numFmtId="0" fontId="107" fillId="2" borderId="47" xfId="8" applyFont="1" applyFill="1" applyBorder="1" applyAlignment="1">
      <alignment horizontal="center" vertical="center"/>
    </xf>
    <xf numFmtId="0" fontId="107" fillId="2" borderId="47" xfId="8" applyFont="1" applyFill="1" applyBorder="1" applyAlignment="1">
      <alignment horizontal="center" vertical="center" wrapText="1"/>
    </xf>
    <xf numFmtId="14" fontId="107" fillId="2" borderId="47" xfId="0" applyNumberFormat="1" applyFont="1" applyFill="1" applyBorder="1" applyAlignment="1">
      <alignment horizontal="center" vertical="center"/>
    </xf>
    <xf numFmtId="0" fontId="107" fillId="2" borderId="47" xfId="0" applyFont="1" applyFill="1" applyBorder="1" applyAlignment="1">
      <alignment horizontal="center" vertical="center"/>
    </xf>
    <xf numFmtId="0" fontId="108" fillId="2" borderId="55" xfId="0" applyFont="1" applyFill="1" applyBorder="1" applyAlignment="1">
      <alignment horizontal="center" vertical="center"/>
    </xf>
    <xf numFmtId="14" fontId="107" fillId="2" borderId="55" xfId="0" applyNumberFormat="1" applyFont="1" applyFill="1" applyBorder="1" applyAlignment="1">
      <alignment vertical="center"/>
    </xf>
    <xf numFmtId="0" fontId="107" fillId="2" borderId="55" xfId="0" applyFont="1" applyFill="1" applyBorder="1" applyAlignment="1">
      <alignment horizontal="left" vertical="center"/>
    </xf>
    <xf numFmtId="0" fontId="107" fillId="2" borderId="55" xfId="0" applyFont="1" applyFill="1" applyBorder="1" applyAlignment="1">
      <alignment vertical="center"/>
    </xf>
    <xf numFmtId="14" fontId="107" fillId="2" borderId="55" xfId="0" applyNumberFormat="1" applyFont="1" applyFill="1" applyBorder="1" applyAlignment="1" applyProtection="1">
      <alignment vertical="center"/>
    </xf>
    <xf numFmtId="14" fontId="107" fillId="2" borderId="55" xfId="0" applyNumberFormat="1" applyFont="1" applyFill="1" applyBorder="1" applyAlignment="1">
      <alignment horizontal="left" vertical="center"/>
    </xf>
    <xf numFmtId="0" fontId="107" fillId="2" borderId="55" xfId="1" applyFont="1" applyFill="1" applyBorder="1" applyAlignment="1">
      <alignment horizontal="center" vertical="center"/>
    </xf>
    <xf numFmtId="0" fontId="107" fillId="2" borderId="55" xfId="0" applyFont="1" applyFill="1" applyBorder="1" applyAlignment="1">
      <alignment horizontal="center" wrapText="1"/>
    </xf>
    <xf numFmtId="0" fontId="107" fillId="2" borderId="61" xfId="0" applyNumberFormat="1" applyFont="1" applyFill="1" applyBorder="1" applyAlignment="1" applyProtection="1">
      <alignment horizontal="center"/>
    </xf>
    <xf numFmtId="0" fontId="108" fillId="2" borderId="55" xfId="0" applyFont="1" applyFill="1" applyBorder="1" applyAlignment="1">
      <alignment vertical="center"/>
    </xf>
    <xf numFmtId="14" fontId="107" fillId="2" borderId="55" xfId="0" applyNumberFormat="1" applyFont="1" applyFill="1" applyBorder="1"/>
    <xf numFmtId="0" fontId="107" fillId="2" borderId="55" xfId="0" applyFont="1" applyFill="1" applyBorder="1" applyAlignment="1">
      <alignment horizontal="center"/>
    </xf>
    <xf numFmtId="0" fontId="107" fillId="2" borderId="55" xfId="0" applyFont="1" applyFill="1" applyBorder="1" applyAlignment="1">
      <alignment wrapText="1"/>
    </xf>
    <xf numFmtId="0" fontId="107" fillId="5" borderId="55" xfId="0" applyFont="1" applyFill="1" applyBorder="1"/>
    <xf numFmtId="0" fontId="107" fillId="2" borderId="55" xfId="0" applyFont="1" applyFill="1" applyBorder="1" applyAlignment="1"/>
    <xf numFmtId="0" fontId="107" fillId="2" borderId="0" xfId="0" applyFont="1" applyFill="1"/>
    <xf numFmtId="0" fontId="56" fillId="2" borderId="64" xfId="0" applyFont="1" applyFill="1" applyBorder="1" applyAlignment="1">
      <alignment horizontal="left" vertical="center"/>
    </xf>
    <xf numFmtId="0" fontId="90" fillId="2" borderId="64" xfId="0" applyFont="1" applyFill="1" applyBorder="1" applyAlignment="1">
      <alignment horizontal="left" vertical="center"/>
    </xf>
    <xf numFmtId="0" fontId="57" fillId="2" borderId="64" xfId="0" applyFont="1" applyFill="1" applyBorder="1" applyAlignment="1">
      <alignment horizontal="center" wrapText="1"/>
    </xf>
    <xf numFmtId="0" fontId="2" fillId="2" borderId="64" xfId="0" applyFont="1" applyFill="1" applyBorder="1" applyAlignment="1">
      <alignment vertical="center"/>
    </xf>
    <xf numFmtId="14" fontId="0" fillId="2" borderId="64" xfId="0" applyNumberFormat="1" applyFill="1" applyBorder="1" applyAlignment="1">
      <alignment horizontal="left"/>
    </xf>
    <xf numFmtId="0" fontId="0" fillId="2" borderId="64" xfId="0" quotePrefix="1" applyFont="1" applyFill="1" applyBorder="1"/>
    <xf numFmtId="0" fontId="0" fillId="2" borderId="55" xfId="0" applyFill="1" applyBorder="1" applyAlignment="1">
      <alignment horizontal="center" vertical="center"/>
    </xf>
    <xf numFmtId="0" fontId="2" fillId="2" borderId="64" xfId="0" applyFont="1" applyFill="1" applyBorder="1" applyAlignment="1">
      <alignment horizontal="center"/>
    </xf>
    <xf numFmtId="0" fontId="75" fillId="2" borderId="55" xfId="0" applyFont="1" applyFill="1" applyBorder="1" applyAlignment="1">
      <alignment horizontal="left"/>
    </xf>
    <xf numFmtId="14" fontId="107" fillId="2" borderId="55" xfId="0" applyNumberFormat="1" applyFont="1" applyFill="1" applyBorder="1" applyAlignment="1">
      <alignment horizontal="left"/>
    </xf>
    <xf numFmtId="17" fontId="0" fillId="2" borderId="0" xfId="0" applyNumberFormat="1" applyFill="1" applyAlignment="1">
      <alignment horizontal="center" vertical="center"/>
    </xf>
    <xf numFmtId="0" fontId="81" fillId="2" borderId="55" xfId="0" applyFont="1" applyFill="1" applyBorder="1" applyAlignment="1">
      <alignment horizontal="center" vertical="center"/>
    </xf>
    <xf numFmtId="0" fontId="109" fillId="2" borderId="55" xfId="0" applyFont="1" applyFill="1" applyBorder="1" applyAlignment="1">
      <alignment horizontal="center" vertical="center"/>
    </xf>
    <xf numFmtId="0" fontId="99" fillId="2" borderId="55" xfId="0" applyFont="1" applyFill="1" applyBorder="1" applyAlignment="1">
      <alignment horizontal="center" vertical="center" wrapText="1"/>
    </xf>
    <xf numFmtId="1" fontId="110" fillId="2" borderId="55" xfId="1" applyNumberFormat="1" applyFont="1" applyFill="1" applyBorder="1" applyAlignment="1">
      <alignment horizontal="center"/>
    </xf>
    <xf numFmtId="1" fontId="98" fillId="2" borderId="66" xfId="1" applyNumberFormat="1" applyFont="1" applyFill="1" applyBorder="1"/>
    <xf numFmtId="14" fontId="0" fillId="8" borderId="55" xfId="0" applyNumberFormat="1" applyFont="1" applyFill="1" applyBorder="1" applyAlignment="1">
      <alignment horizontal="left"/>
    </xf>
    <xf numFmtId="0" fontId="9" fillId="0" borderId="11" xfId="0" applyNumberFormat="1" applyFont="1" applyFill="1" applyBorder="1" applyAlignment="1" applyProtection="1">
      <alignment vertical="top" wrapText="1"/>
    </xf>
    <xf numFmtId="1" fontId="0" fillId="2" borderId="21" xfId="0" applyNumberFormat="1" applyFill="1" applyBorder="1"/>
    <xf numFmtId="15" fontId="5" fillId="7" borderId="55" xfId="0" applyNumberFormat="1" applyFont="1" applyFill="1" applyBorder="1" applyAlignment="1">
      <alignment horizontal="left" vertical="center" wrapText="1"/>
    </xf>
    <xf numFmtId="172" fontId="2" fillId="7" borderId="55" xfId="0" applyNumberFormat="1" applyFont="1" applyFill="1" applyBorder="1" applyAlignment="1">
      <alignment vertical="center" wrapText="1"/>
    </xf>
    <xf numFmtId="0" fontId="2" fillId="7" borderId="55" xfId="0" applyFont="1" applyFill="1" applyBorder="1" applyAlignment="1">
      <alignment vertical="center" wrapText="1"/>
    </xf>
    <xf numFmtId="0" fontId="76" fillId="2" borderId="55" xfId="0" applyFont="1" applyFill="1" applyBorder="1" applyAlignment="1">
      <alignment horizontal="center"/>
    </xf>
    <xf numFmtId="0" fontId="111" fillId="2" borderId="55" xfId="0" applyFont="1" applyFill="1" applyBorder="1"/>
    <xf numFmtId="0" fontId="78" fillId="2" borderId="64" xfId="0" applyFont="1" applyFill="1" applyBorder="1" applyAlignment="1">
      <alignment horizontal="left"/>
    </xf>
    <xf numFmtId="0" fontId="54" fillId="7" borderId="55" xfId="0" applyFont="1" applyFill="1" applyBorder="1" applyAlignment="1">
      <alignment vertical="center" wrapText="1"/>
    </xf>
    <xf numFmtId="14" fontId="5" fillId="7" borderId="55" xfId="0" quotePrefix="1" applyNumberFormat="1" applyFont="1" applyFill="1" applyBorder="1" applyAlignment="1">
      <alignment vertical="center"/>
    </xf>
    <xf numFmtId="173" fontId="112" fillId="7" borderId="55" xfId="0" quotePrefix="1" applyNumberFormat="1" applyFont="1" applyFill="1" applyBorder="1" applyAlignment="1">
      <alignment vertical="center" wrapText="1"/>
    </xf>
    <xf numFmtId="0" fontId="112" fillId="7" borderId="55" xfId="0" applyFont="1" applyFill="1" applyBorder="1" applyAlignment="1">
      <alignment vertical="center" wrapText="1"/>
    </xf>
    <xf numFmtId="0" fontId="113" fillId="7" borderId="55" xfId="0" applyFont="1" applyFill="1" applyBorder="1" applyAlignment="1">
      <alignment vertical="center" wrapText="1"/>
    </xf>
    <xf numFmtId="0" fontId="114" fillId="7" borderId="55" xfId="0" applyFont="1" applyFill="1" applyBorder="1" applyAlignment="1">
      <alignment vertical="center" wrapText="1"/>
    </xf>
    <xf numFmtId="0" fontId="38" fillId="0" borderId="24" xfId="0" applyFont="1" applyBorder="1"/>
    <xf numFmtId="0" fontId="10" fillId="0" borderId="0" xfId="0" applyFont="1" applyBorder="1"/>
    <xf numFmtId="0" fontId="10" fillId="0" borderId="25" xfId="0" applyFont="1" applyBorder="1"/>
    <xf numFmtId="0" fontId="10" fillId="0" borderId="29" xfId="0" applyFont="1" applyBorder="1"/>
    <xf numFmtId="0" fontId="10" fillId="0" borderId="27" xfId="0" applyFont="1" applyBorder="1"/>
    <xf numFmtId="0" fontId="10" fillId="0" borderId="28" xfId="0" applyFont="1" applyBorder="1"/>
    <xf numFmtId="0" fontId="10" fillId="0" borderId="24" xfId="0" applyFont="1" applyBorder="1"/>
    <xf numFmtId="0" fontId="10" fillId="0" borderId="22" xfId="0" applyFont="1" applyBorder="1"/>
    <xf numFmtId="0" fontId="10" fillId="0" borderId="11" xfId="0" applyFont="1" applyBorder="1"/>
    <xf numFmtId="0" fontId="10" fillId="0" borderId="23" xfId="0" applyFont="1" applyBorder="1"/>
    <xf numFmtId="0" fontId="38" fillId="0" borderId="22" xfId="0" applyFont="1" applyBorder="1"/>
    <xf numFmtId="0" fontId="38" fillId="0" borderId="11" xfId="0" applyFont="1" applyBorder="1"/>
    <xf numFmtId="0" fontId="38" fillId="0" borderId="23" xfId="0" applyFont="1" applyBorder="1"/>
    <xf numFmtId="0" fontId="38" fillId="0" borderId="0" xfId="0" applyFont="1" applyBorder="1"/>
    <xf numFmtId="0" fontId="38" fillId="0" borderId="25" xfId="0" applyFont="1" applyBorder="1"/>
    <xf numFmtId="0" fontId="2" fillId="2" borderId="55" xfId="0" applyFont="1" applyFill="1" applyBorder="1" applyAlignment="1">
      <alignment horizontal="center" vertical="center"/>
    </xf>
    <xf numFmtId="169" fontId="8" fillId="0" borderId="6" xfId="0" applyNumberFormat="1" applyFont="1" applyFill="1" applyBorder="1" applyAlignment="1" applyProtection="1">
      <alignment vertical="top"/>
    </xf>
    <xf numFmtId="0" fontId="8" fillId="2" borderId="0" xfId="0" applyFont="1" applyFill="1" applyAlignment="1">
      <alignment horizontal="left"/>
    </xf>
    <xf numFmtId="0" fontId="0" fillId="6" borderId="55" xfId="0" applyFont="1" applyFill="1" applyBorder="1" applyAlignment="1">
      <alignment horizontal="left"/>
    </xf>
    <xf numFmtId="14" fontId="0" fillId="6" borderId="55" xfId="0" applyNumberFormat="1" applyFont="1" applyFill="1" applyBorder="1" applyAlignment="1">
      <alignment horizontal="left"/>
    </xf>
    <xf numFmtId="0" fontId="15" fillId="6" borderId="55" xfId="0" applyFont="1" applyFill="1" applyBorder="1" applyAlignment="1">
      <alignment horizontal="left"/>
    </xf>
    <xf numFmtId="0" fontId="77" fillId="2" borderId="61" xfId="0" applyNumberFormat="1" applyFont="1" applyFill="1" applyBorder="1" applyAlignment="1" applyProtection="1">
      <alignment horizontal="center"/>
    </xf>
    <xf numFmtId="0" fontId="115" fillId="2" borderId="55" xfId="0" applyFont="1" applyFill="1" applyBorder="1" applyAlignment="1">
      <alignment vertical="center" wrapText="1"/>
    </xf>
    <xf numFmtId="14" fontId="76" fillId="2" borderId="55" xfId="0" applyNumberFormat="1" applyFont="1" applyFill="1" applyBorder="1"/>
    <xf numFmtId="0" fontId="116" fillId="2" borderId="55" xfId="0" applyFont="1" applyFill="1" applyBorder="1" applyAlignment="1">
      <alignment horizontal="center" wrapText="1"/>
    </xf>
    <xf numFmtId="14" fontId="76" fillId="2" borderId="55" xfId="0" applyNumberFormat="1" applyFont="1" applyFill="1" applyBorder="1" applyAlignment="1">
      <alignment horizontal="left"/>
    </xf>
    <xf numFmtId="0" fontId="90" fillId="2" borderId="55" xfId="0" applyFont="1" applyFill="1" applyBorder="1" applyAlignment="1"/>
    <xf numFmtId="0" fontId="76" fillId="2" borderId="55" xfId="0" applyFont="1" applyFill="1" applyBorder="1" applyAlignment="1"/>
    <xf numFmtId="166" fontId="90" fillId="2" borderId="55" xfId="0" applyNumberFormat="1" applyFont="1" applyFill="1" applyBorder="1" applyAlignment="1">
      <alignment horizontal="center" wrapText="1"/>
    </xf>
    <xf numFmtId="0" fontId="117" fillId="2" borderId="55" xfId="0" applyFont="1" applyFill="1" applyBorder="1" applyAlignment="1">
      <alignment horizontal="left" wrapText="1"/>
    </xf>
    <xf numFmtId="0" fontId="117" fillId="2" borderId="55" xfId="0" applyFont="1" applyFill="1" applyBorder="1" applyAlignment="1">
      <alignment horizontal="left"/>
    </xf>
    <xf numFmtId="0" fontId="12" fillId="7" borderId="55" xfId="0" applyFont="1" applyFill="1" applyBorder="1" applyAlignment="1">
      <alignment vertical="center" wrapText="1"/>
    </xf>
    <xf numFmtId="0" fontId="0" fillId="8" borderId="55" xfId="0" applyFill="1" applyBorder="1"/>
    <xf numFmtId="0" fontId="8" fillId="2" borderId="0" xfId="0" applyFont="1" applyFill="1" applyAlignment="1">
      <alignment horizontal="right"/>
    </xf>
    <xf numFmtId="1" fontId="0" fillId="2" borderId="55" xfId="0" applyNumberFormat="1" applyFont="1" applyFill="1" applyBorder="1" applyAlignment="1"/>
    <xf numFmtId="171" fontId="0" fillId="2" borderId="55" xfId="0" quotePrefix="1" applyNumberFormat="1" applyFont="1" applyFill="1" applyBorder="1" applyAlignment="1">
      <alignment horizontal="right"/>
    </xf>
    <xf numFmtId="0" fontId="94" fillId="2" borderId="55" xfId="0" quotePrefix="1" applyFont="1" applyFill="1" applyBorder="1" applyAlignment="1">
      <alignment horizontal="right" vertical="center"/>
    </xf>
    <xf numFmtId="0" fontId="0" fillId="2" borderId="55" xfId="0" quotePrefix="1" applyFont="1" applyFill="1" applyBorder="1" applyAlignment="1">
      <alignment horizontal="right"/>
    </xf>
    <xf numFmtId="0" fontId="5" fillId="2" borderId="55" xfId="0" quotePrefix="1" applyFont="1" applyFill="1" applyBorder="1" applyAlignment="1">
      <alignment horizontal="right"/>
    </xf>
    <xf numFmtId="0" fontId="5" fillId="8" borderId="55" xfId="0" quotePrefix="1" applyFont="1" applyFill="1" applyBorder="1" applyAlignment="1">
      <alignment horizontal="right"/>
    </xf>
    <xf numFmtId="0" fontId="5" fillId="2" borderId="64" xfId="0" quotePrefix="1" applyFont="1" applyFill="1" applyBorder="1" applyAlignment="1">
      <alignment horizontal="right" vertical="center"/>
    </xf>
    <xf numFmtId="0" fontId="5" fillId="2" borderId="64" xfId="0" applyFont="1" applyFill="1" applyBorder="1" applyAlignment="1">
      <alignment horizontal="left"/>
    </xf>
    <xf numFmtId="1" fontId="68" fillId="6" borderId="55" xfId="0" applyNumberFormat="1" applyFont="1" applyFill="1" applyBorder="1" applyAlignment="1"/>
    <xf numFmtId="166" fontId="118" fillId="2" borderId="55" xfId="1" applyNumberFormat="1" applyFont="1" applyFill="1" applyBorder="1"/>
    <xf numFmtId="0" fontId="11" fillId="2" borderId="55" xfId="0" applyFont="1" applyFill="1" applyBorder="1" applyAlignment="1">
      <alignment horizontal="center"/>
    </xf>
    <xf numFmtId="1" fontId="68" fillId="6" borderId="64" xfId="0" applyNumberFormat="1" applyFont="1" applyFill="1" applyBorder="1" applyAlignment="1"/>
    <xf numFmtId="14" fontId="0" fillId="0" borderId="55" xfId="0" applyNumberFormat="1" applyBorder="1"/>
    <xf numFmtId="0" fontId="15" fillId="2" borderId="61" xfId="3" applyFont="1" applyFill="1" applyBorder="1" applyAlignment="1">
      <alignment horizontal="left"/>
    </xf>
    <xf numFmtId="0" fontId="14" fillId="2" borderId="68" xfId="0" applyNumberFormat="1" applyFont="1" applyFill="1" applyBorder="1" applyAlignment="1" applyProtection="1">
      <alignment horizontal="center" vertical="top" wrapText="1" readingOrder="1"/>
      <protection locked="0"/>
    </xf>
    <xf numFmtId="2" fontId="81" fillId="6" borderId="55" xfId="0" applyNumberFormat="1" applyFont="1" applyFill="1" applyBorder="1" applyAlignment="1">
      <alignment horizontal="center" vertical="center"/>
    </xf>
    <xf numFmtId="14" fontId="2" fillId="2" borderId="55" xfId="0" applyNumberFormat="1" applyFont="1" applyFill="1" applyBorder="1" applyAlignment="1">
      <alignment horizontal="center"/>
    </xf>
    <xf numFmtId="0" fontId="11" fillId="2" borderId="55" xfId="0" quotePrefix="1" applyFont="1" applyFill="1" applyBorder="1" applyAlignment="1">
      <alignment horizontal="center"/>
    </xf>
    <xf numFmtId="0" fontId="2" fillId="2" borderId="55" xfId="0" applyFont="1" applyFill="1" applyBorder="1" applyAlignment="1">
      <alignment horizontal="center" vertical="center"/>
    </xf>
    <xf numFmtId="0" fontId="15" fillId="6" borderId="64" xfId="0" applyFont="1" applyFill="1" applyBorder="1" applyAlignment="1">
      <alignment horizontal="left"/>
    </xf>
    <xf numFmtId="0" fontId="56" fillId="2" borderId="55" xfId="0" applyFont="1" applyFill="1" applyBorder="1"/>
    <xf numFmtId="0" fontId="103" fillId="9" borderId="55" xfId="0" applyFont="1" applyFill="1" applyBorder="1"/>
    <xf numFmtId="0" fontId="103" fillId="9" borderId="55" xfId="0" applyFont="1" applyFill="1" applyBorder="1" applyAlignment="1">
      <alignment horizontal="left"/>
    </xf>
    <xf numFmtId="1" fontId="0" fillId="2" borderId="55" xfId="0" applyNumberFormat="1" applyFill="1" applyBorder="1"/>
    <xf numFmtId="14" fontId="0" fillId="6" borderId="55" xfId="0" applyNumberFormat="1" applyFill="1" applyBorder="1" applyAlignment="1">
      <alignment horizontal="left"/>
    </xf>
    <xf numFmtId="14" fontId="0" fillId="10" borderId="55" xfId="0" applyNumberFormat="1" applyFill="1" applyBorder="1"/>
    <xf numFmtId="0" fontId="0" fillId="10" borderId="55" xfId="0" applyFill="1" applyBorder="1"/>
    <xf numFmtId="15" fontId="2" fillId="10" borderId="55" xfId="0" applyNumberFormat="1" applyFont="1" applyFill="1" applyBorder="1" applyAlignment="1">
      <alignment horizontal="center" vertical="center"/>
    </xf>
    <xf numFmtId="0" fontId="2" fillId="10" borderId="55" xfId="0" applyFont="1" applyFill="1" applyBorder="1" applyAlignment="1">
      <alignment horizontal="center" vertical="center"/>
    </xf>
    <xf numFmtId="0" fontId="13" fillId="2" borderId="55" xfId="0" applyFont="1" applyFill="1" applyBorder="1" applyAlignment="1">
      <alignment horizontal="left"/>
    </xf>
    <xf numFmtId="0" fontId="82" fillId="2" borderId="55" xfId="0" applyFont="1" applyFill="1" applyBorder="1" applyAlignment="1">
      <alignment horizontal="left"/>
    </xf>
    <xf numFmtId="0" fontId="2" fillId="2" borderId="55" xfId="0" applyFont="1" applyFill="1" applyBorder="1" applyAlignment="1">
      <alignment horizontal="center" vertical="center"/>
    </xf>
    <xf numFmtId="14" fontId="0" fillId="11" borderId="55" xfId="0" applyNumberFormat="1" applyFill="1" applyBorder="1" applyAlignment="1">
      <alignment horizontal="left"/>
    </xf>
    <xf numFmtId="0" fontId="2" fillId="2" borderId="0" xfId="0" applyFont="1" applyFill="1" applyAlignment="1">
      <alignment horizontal="left"/>
    </xf>
    <xf numFmtId="0" fontId="2" fillId="0" borderId="55" xfId="0" applyFont="1" applyBorder="1" applyAlignment="1">
      <alignment horizontal="center" vertical="center"/>
    </xf>
    <xf numFmtId="1" fontId="2" fillId="0" borderId="55" xfId="0" applyNumberFormat="1" applyFont="1" applyBorder="1" applyAlignment="1">
      <alignment horizontal="center" vertical="center"/>
    </xf>
    <xf numFmtId="0" fontId="2" fillId="0" borderId="66" xfId="0" applyFont="1" applyBorder="1" applyAlignment="1">
      <alignment horizontal="center" vertical="center"/>
    </xf>
    <xf numFmtId="1" fontId="2" fillId="0" borderId="66" xfId="0" applyNumberFormat="1" applyFont="1" applyBorder="1" applyAlignment="1">
      <alignment horizontal="center"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0" fontId="8" fillId="2" borderId="0" xfId="0" applyFont="1" applyFill="1" applyAlignment="1">
      <alignment horizontal="left"/>
    </xf>
    <xf numFmtId="1" fontId="0" fillId="2" borderId="0" xfId="0" applyNumberFormat="1" applyFill="1"/>
    <xf numFmtId="0" fontId="0" fillId="0" borderId="61" xfId="0" applyBorder="1" applyAlignment="1">
      <alignment horizontal="center"/>
    </xf>
    <xf numFmtId="1" fontId="0" fillId="0" borderId="68" xfId="0" applyNumberFormat="1" applyBorder="1" applyAlignment="1">
      <alignment horizontal="center"/>
    </xf>
    <xf numFmtId="0" fontId="9" fillId="2" borderId="55" xfId="3" applyFont="1" applyFill="1" applyBorder="1" applyAlignment="1">
      <alignment horizontal="left" vertical="center"/>
    </xf>
    <xf numFmtId="3" fontId="104" fillId="2" borderId="55" xfId="3" applyNumberFormat="1" applyFont="1" applyFill="1" applyBorder="1" applyAlignment="1">
      <alignment horizontal="left"/>
    </xf>
    <xf numFmtId="0" fontId="121" fillId="2" borderId="6" xfId="0" applyFont="1" applyFill="1" applyBorder="1" applyAlignment="1" applyProtection="1">
      <alignment vertical="top" wrapText="1" readingOrder="1"/>
      <protection locked="0"/>
    </xf>
    <xf numFmtId="0" fontId="121" fillId="2" borderId="55" xfId="0" applyFont="1" applyFill="1" applyBorder="1" applyAlignment="1" applyProtection="1">
      <alignment horizontal="center" vertical="center" readingOrder="1"/>
      <protection locked="0"/>
    </xf>
    <xf numFmtId="0" fontId="121" fillId="2" borderId="72" xfId="0" applyFont="1" applyFill="1" applyBorder="1" applyAlignment="1" applyProtection="1">
      <alignment vertical="top" wrapText="1" readingOrder="1"/>
      <protection locked="0"/>
    </xf>
    <xf numFmtId="0" fontId="121" fillId="2" borderId="50" xfId="0" applyFont="1" applyFill="1" applyBorder="1" applyAlignment="1" applyProtection="1">
      <alignment vertical="top" wrapText="1" readingOrder="1"/>
      <protection locked="0"/>
    </xf>
    <xf numFmtId="0" fontId="121" fillId="2" borderId="50" xfId="0" applyFont="1" applyFill="1" applyBorder="1" applyAlignment="1" applyProtection="1">
      <alignment horizontal="center" vertical="center" wrapText="1" readingOrder="1"/>
      <protection locked="0"/>
    </xf>
    <xf numFmtId="0" fontId="10" fillId="2" borderId="68" xfId="0" applyFont="1" applyFill="1" applyBorder="1"/>
    <xf numFmtId="0" fontId="10" fillId="2" borderId="55" xfId="0" applyFont="1" applyFill="1" applyBorder="1"/>
    <xf numFmtId="0" fontId="10" fillId="2" borderId="0" xfId="0" applyFont="1" applyFill="1" applyBorder="1"/>
    <xf numFmtId="17" fontId="10" fillId="2" borderId="0" xfId="0" applyNumberFormat="1" applyFont="1" applyFill="1"/>
    <xf numFmtId="0" fontId="122" fillId="2" borderId="55" xfId="0" applyFont="1" applyFill="1" applyBorder="1" applyAlignment="1">
      <alignment horizontal="center" vertical="center"/>
    </xf>
    <xf numFmtId="0" fontId="38" fillId="2" borderId="55" xfId="0" applyFont="1" applyFill="1" applyBorder="1"/>
    <xf numFmtId="169" fontId="10" fillId="2" borderId="0" xfId="0" applyNumberFormat="1" applyFont="1" applyFill="1"/>
    <xf numFmtId="3" fontId="104" fillId="8" borderId="55" xfId="3" applyNumberFormat="1" applyFont="1" applyFill="1" applyBorder="1" applyAlignment="1">
      <alignment horizontal="left"/>
    </xf>
    <xf numFmtId="166" fontId="105" fillId="6" borderId="55" xfId="1" applyNumberFormat="1" applyFont="1" applyFill="1" applyBorder="1"/>
    <xf numFmtId="0" fontId="2" fillId="2" borderId="55" xfId="0" applyFont="1" applyFill="1" applyBorder="1" applyAlignment="1">
      <alignment horizontal="center" vertical="center"/>
    </xf>
    <xf numFmtId="0" fontId="54" fillId="2" borderId="55" xfId="0" applyFont="1" applyFill="1" applyBorder="1" applyAlignment="1">
      <alignment horizontal="center" vertical="center" wrapText="1"/>
    </xf>
    <xf numFmtId="0" fontId="82" fillId="2" borderId="55" xfId="0" applyFont="1" applyFill="1" applyBorder="1" applyAlignment="1">
      <alignment horizontal="center" vertical="center" wrapText="1"/>
    </xf>
    <xf numFmtId="0" fontId="2" fillId="0" borderId="55" xfId="0" applyFont="1" applyBorder="1" applyAlignment="1">
      <alignment horizontal="center" vertical="center"/>
    </xf>
    <xf numFmtId="1" fontId="82" fillId="2" borderId="68" xfId="0" applyNumberFormat="1" applyFont="1" applyFill="1" applyBorder="1" applyAlignment="1">
      <alignment horizontal="center" vertical="center"/>
    </xf>
    <xf numFmtId="0" fontId="101" fillId="12" borderId="55" xfId="0" applyFont="1" applyFill="1" applyBorder="1" applyAlignment="1">
      <alignment horizontal="left"/>
    </xf>
    <xf numFmtId="0" fontId="97" fillId="12" borderId="55" xfId="0" applyFont="1" applyFill="1" applyBorder="1" applyAlignment="1">
      <alignment horizontal="left" vertical="center" wrapText="1"/>
    </xf>
    <xf numFmtId="0" fontId="97" fillId="12" borderId="55" xfId="0" applyFont="1" applyFill="1" applyBorder="1" applyAlignment="1">
      <alignment horizontal="left"/>
    </xf>
    <xf numFmtId="0" fontId="97" fillId="12" borderId="55" xfId="0" applyFont="1" applyFill="1" applyBorder="1" applyAlignment="1">
      <alignment horizontal="left" wrapText="1"/>
    </xf>
    <xf numFmtId="0" fontId="0" fillId="12" borderId="55" xfId="0" applyFont="1" applyFill="1" applyBorder="1" applyAlignment="1">
      <alignment horizontal="left"/>
    </xf>
    <xf numFmtId="0" fontId="24" fillId="12" borderId="55" xfId="0" applyFont="1" applyFill="1" applyBorder="1" applyAlignment="1">
      <alignment horizontal="left"/>
    </xf>
    <xf numFmtId="0" fontId="120" fillId="12" borderId="55" xfId="0" applyFont="1" applyFill="1" applyBorder="1" applyAlignment="1">
      <alignment horizontal="left"/>
    </xf>
    <xf numFmtId="0" fontId="77" fillId="2" borderId="55" xfId="0" applyNumberFormat="1" applyFont="1" applyFill="1" applyBorder="1" applyAlignment="1" applyProtection="1">
      <alignment horizontal="center" vertical="center"/>
    </xf>
    <xf numFmtId="0" fontId="125" fillId="2" borderId="55" xfId="0" applyFont="1" applyFill="1" applyBorder="1" applyAlignment="1">
      <alignment horizontal="left" vertical="center"/>
    </xf>
    <xf numFmtId="15" fontId="90" fillId="2" borderId="55" xfId="0" applyNumberFormat="1" applyFont="1" applyFill="1" applyBorder="1" applyAlignment="1">
      <alignment horizontal="left" vertical="center"/>
    </xf>
    <xf numFmtId="0" fontId="83" fillId="2" borderId="55" xfId="0" applyNumberFormat="1" applyFont="1" applyFill="1" applyBorder="1" applyAlignment="1" applyProtection="1">
      <alignment vertical="center"/>
    </xf>
    <xf numFmtId="0" fontId="76" fillId="2" borderId="0" xfId="0" applyFont="1" applyFill="1" applyAlignment="1">
      <alignment vertical="center"/>
    </xf>
    <xf numFmtId="0" fontId="115" fillId="2" borderId="55" xfId="0" applyFont="1" applyFill="1" applyBorder="1" applyAlignment="1">
      <alignment vertical="center"/>
    </xf>
    <xf numFmtId="14" fontId="76" fillId="2" borderId="55" xfId="0" applyNumberFormat="1" applyFont="1" applyFill="1" applyBorder="1" applyAlignment="1">
      <alignment vertical="center"/>
    </xf>
    <xf numFmtId="0" fontId="76" fillId="2" borderId="55" xfId="0" applyFont="1" applyFill="1" applyBorder="1" applyAlignment="1">
      <alignment vertical="center"/>
    </xf>
    <xf numFmtId="0" fontId="76" fillId="2" borderId="55" xfId="0" applyFont="1" applyFill="1" applyBorder="1" applyAlignment="1">
      <alignment vertical="center" wrapText="1"/>
    </xf>
    <xf numFmtId="14" fontId="76" fillId="2" borderId="55" xfId="0" applyNumberFormat="1" applyFont="1" applyFill="1" applyBorder="1" applyAlignment="1">
      <alignment horizontal="left" vertical="center"/>
    </xf>
    <xf numFmtId="0" fontId="77" fillId="2" borderId="61" xfId="0" applyNumberFormat="1" applyFont="1" applyFill="1" applyBorder="1" applyAlignment="1" applyProtection="1">
      <alignment horizontal="center" vertical="center"/>
    </xf>
    <xf numFmtId="0" fontId="117" fillId="2" borderId="55" xfId="0" applyFont="1" applyFill="1" applyBorder="1" applyAlignment="1">
      <alignment horizontal="left" vertical="center"/>
    </xf>
    <xf numFmtId="14" fontId="126" fillId="2" borderId="55" xfId="0" applyNumberFormat="1" applyFont="1" applyFill="1" applyBorder="1" applyAlignment="1">
      <alignment vertical="center"/>
    </xf>
    <xf numFmtId="0" fontId="79" fillId="13" borderId="55" xfId="0" applyFont="1" applyFill="1" applyBorder="1"/>
    <xf numFmtId="0" fontId="82" fillId="2" borderId="0" xfId="0" applyFont="1" applyFill="1" applyAlignment="1">
      <alignment horizontal="center" vertical="center"/>
    </xf>
    <xf numFmtId="0" fontId="0" fillId="6" borderId="0" xfId="0" applyFont="1" applyFill="1" applyBorder="1" applyAlignment="1">
      <alignment horizontal="left"/>
    </xf>
    <xf numFmtId="0" fontId="56" fillId="2" borderId="0" xfId="0" applyFont="1" applyFill="1" applyBorder="1"/>
    <xf numFmtId="0" fontId="79" fillId="13" borderId="0" xfId="0" applyFont="1" applyFill="1" applyBorder="1"/>
    <xf numFmtId="0" fontId="63" fillId="2" borderId="0" xfId="0" applyNumberFormat="1" applyFont="1" applyFill="1" applyBorder="1" applyAlignment="1" applyProtection="1">
      <alignment vertical="center"/>
    </xf>
    <xf numFmtId="0" fontId="0" fillId="2" borderId="0" xfId="0" applyFill="1" applyBorder="1" applyAlignment="1">
      <alignment horizontal="center" vertical="center"/>
    </xf>
    <xf numFmtId="0" fontId="52" fillId="8" borderId="55" xfId="0" applyFont="1" applyFill="1" applyBorder="1" applyAlignment="1">
      <alignment wrapText="1"/>
    </xf>
    <xf numFmtId="0" fontId="82" fillId="2" borderId="55" xfId="0" applyFont="1" applyFill="1" applyBorder="1" applyAlignment="1">
      <alignment horizontal="center" wrapText="1"/>
    </xf>
    <xf numFmtId="0" fontId="52" fillId="2" borderId="55" xfId="0" applyFont="1" applyFill="1" applyBorder="1" applyAlignment="1">
      <alignment wrapText="1"/>
    </xf>
    <xf numFmtId="0" fontId="82" fillId="2" borderId="55" xfId="0" applyFont="1" applyFill="1" applyBorder="1" applyAlignment="1">
      <alignment horizontal="center" vertical="center"/>
    </xf>
    <xf numFmtId="14" fontId="5" fillId="6" borderId="55" xfId="0" applyNumberFormat="1" applyFont="1" applyFill="1" applyBorder="1" applyAlignment="1">
      <alignment horizontal="left" vertical="center"/>
    </xf>
    <xf numFmtId="0" fontId="103" fillId="13" borderId="55" xfId="0" applyFont="1" applyFill="1" applyBorder="1"/>
    <xf numFmtId="0" fontId="103" fillId="13" borderId="55" xfId="0" applyFont="1" applyFill="1" applyBorder="1" applyAlignment="1">
      <alignment horizontal="left"/>
    </xf>
    <xf numFmtId="0" fontId="52" fillId="10" borderId="55" xfId="0" applyFont="1" applyFill="1" applyBorder="1" applyAlignment="1">
      <alignment vertical="center"/>
    </xf>
    <xf numFmtId="0" fontId="2" fillId="13" borderId="55" xfId="0" applyFont="1" applyFill="1" applyBorder="1" applyAlignment="1">
      <alignment horizontal="left" wrapText="1"/>
    </xf>
    <xf numFmtId="0" fontId="2" fillId="2" borderId="0" xfId="0" applyFont="1" applyFill="1" applyAlignment="1">
      <alignment horizontal="center" vertical="center"/>
    </xf>
    <xf numFmtId="0" fontId="2" fillId="2" borderId="55" xfId="0" applyFont="1" applyFill="1" applyBorder="1"/>
    <xf numFmtId="0" fontId="2" fillId="13" borderId="55" xfId="0" applyFont="1" applyFill="1" applyBorder="1" applyAlignment="1">
      <alignment horizontal="left"/>
    </xf>
    <xf numFmtId="0" fontId="127" fillId="13" borderId="55" xfId="0" applyFont="1" applyFill="1" applyBorder="1" applyAlignment="1">
      <alignment horizontal="left"/>
    </xf>
    <xf numFmtId="0" fontId="38" fillId="13" borderId="55" xfId="0" applyFont="1" applyFill="1" applyBorder="1" applyAlignment="1">
      <alignment horizontal="left" wrapText="1"/>
    </xf>
    <xf numFmtId="0" fontId="2" fillId="6" borderId="55" xfId="0" applyFont="1" applyFill="1" applyBorder="1" applyAlignment="1">
      <alignment horizontal="left"/>
    </xf>
    <xf numFmtId="0" fontId="79" fillId="13" borderId="55" xfId="0" quotePrefix="1" applyFont="1" applyFill="1" applyBorder="1"/>
    <xf numFmtId="1" fontId="68" fillId="13" borderId="55" xfId="1" applyNumberFormat="1" applyFont="1" applyFill="1" applyBorder="1" applyAlignment="1">
      <alignment horizontal="center"/>
    </xf>
    <xf numFmtId="1" fontId="2" fillId="2" borderId="0" xfId="0" applyNumberFormat="1" applyFont="1" applyFill="1"/>
    <xf numFmtId="1" fontId="0" fillId="2" borderId="61" xfId="0" applyNumberFormat="1" applyFill="1" applyBorder="1"/>
    <xf numFmtId="1" fontId="68" fillId="2" borderId="68" xfId="1" applyNumberFormat="1" applyFont="1" applyFill="1" applyBorder="1" applyAlignment="1">
      <alignment horizontal="center"/>
    </xf>
    <xf numFmtId="0" fontId="0" fillId="2" borderId="61" xfId="0" applyFill="1" applyBorder="1" applyAlignment="1">
      <alignment horizontal="center"/>
    </xf>
    <xf numFmtId="1" fontId="0" fillId="2" borderId="55" xfId="0" applyNumberFormat="1" applyFill="1" applyBorder="1" applyAlignment="1">
      <alignment horizontal="center"/>
    </xf>
    <xf numFmtId="1" fontId="52" fillId="2" borderId="55" xfId="1" applyNumberFormat="1" applyFont="1" applyFill="1" applyBorder="1"/>
    <xf numFmtId="166" fontId="0" fillId="2" borderId="55" xfId="0" applyNumberFormat="1" applyFill="1" applyBorder="1"/>
    <xf numFmtId="1" fontId="2" fillId="2" borderId="55" xfId="0" applyNumberFormat="1" applyFont="1" applyFill="1" applyBorder="1" applyAlignment="1">
      <alignment horizontal="center" vertical="center"/>
    </xf>
    <xf numFmtId="0" fontId="124" fillId="2" borderId="55" xfId="3" applyFont="1" applyFill="1" applyBorder="1" applyAlignment="1">
      <alignment horizontal="left" vertical="center"/>
    </xf>
    <xf numFmtId="0" fontId="123" fillId="2" borderId="55" xfId="0" applyFont="1" applyFill="1" applyBorder="1" applyAlignment="1">
      <alignment horizontal="center" vertical="center"/>
    </xf>
    <xf numFmtId="0" fontId="81" fillId="2" borderId="55" xfId="0" applyFont="1" applyFill="1" applyBorder="1"/>
    <xf numFmtId="0" fontId="122" fillId="7" borderId="55" xfId="0" applyFont="1" applyFill="1" applyBorder="1" applyAlignment="1">
      <alignment horizontal="center" vertical="center"/>
    </xf>
    <xf numFmtId="0" fontId="123" fillId="7" borderId="55" xfId="0" applyFont="1" applyFill="1" applyBorder="1" applyAlignment="1">
      <alignment horizontal="center" vertical="center"/>
    </xf>
    <xf numFmtId="0" fontId="54" fillId="2" borderId="55" xfId="0" applyFont="1" applyFill="1" applyBorder="1" applyAlignment="1">
      <alignment horizontal="center" vertical="center" wrapText="1"/>
    </xf>
    <xf numFmtId="14" fontId="82" fillId="2" borderId="55" xfId="0" applyNumberFormat="1" applyFont="1" applyFill="1" applyBorder="1" applyAlignment="1">
      <alignment horizontal="center" vertical="center"/>
    </xf>
    <xf numFmtId="0" fontId="54" fillId="2" borderId="55" xfId="0" quotePrefix="1" applyFont="1" applyFill="1" applyBorder="1" applyAlignment="1">
      <alignment horizontal="center" vertical="center" wrapText="1"/>
    </xf>
    <xf numFmtId="1" fontId="0" fillId="2" borderId="55" xfId="0" quotePrefix="1" applyNumberFormat="1" applyFill="1" applyBorder="1"/>
    <xf numFmtId="1" fontId="68" fillId="2" borderId="55" xfId="1" applyNumberFormat="1" applyFont="1" applyFill="1" applyBorder="1" applyAlignment="1">
      <alignment horizontal="left"/>
    </xf>
    <xf numFmtId="0" fontId="0" fillId="0" borderId="0" xfId="0" applyFill="1"/>
    <xf numFmtId="0" fontId="9" fillId="2" borderId="0" xfId="3" applyFont="1" applyFill="1" applyBorder="1" applyAlignment="1">
      <alignment horizontal="left" vertical="center"/>
    </xf>
    <xf numFmtId="0" fontId="22" fillId="2" borderId="46" xfId="0" applyNumberFormat="1" applyFont="1" applyFill="1" applyBorder="1" applyAlignment="1" applyProtection="1">
      <alignment horizontal="center" vertical="center"/>
    </xf>
    <xf numFmtId="0" fontId="22" fillId="2" borderId="9" xfId="0" applyNumberFormat="1" applyFont="1" applyFill="1" applyBorder="1" applyAlignment="1" applyProtection="1">
      <alignment horizontal="center" vertical="center"/>
    </xf>
    <xf numFmtId="0" fontId="22" fillId="2" borderId="2" xfId="0" applyNumberFormat="1" applyFont="1" applyFill="1" applyBorder="1" applyAlignment="1" applyProtection="1">
      <alignment horizontal="center" vertical="center"/>
    </xf>
    <xf numFmtId="0" fontId="22" fillId="2" borderId="43" xfId="0" applyNumberFormat="1" applyFont="1" applyFill="1" applyBorder="1" applyAlignment="1" applyProtection="1">
      <alignment horizontal="center" vertical="center"/>
    </xf>
    <xf numFmtId="0" fontId="22" fillId="2" borderId="45" xfId="0" applyNumberFormat="1" applyFont="1" applyFill="1" applyBorder="1" applyAlignment="1" applyProtection="1">
      <alignment horizontal="center" vertical="center"/>
    </xf>
    <xf numFmtId="0" fontId="22" fillId="2" borderId="55" xfId="0" applyNumberFormat="1" applyFont="1" applyFill="1" applyBorder="1" applyAlignment="1" applyProtection="1">
      <alignment horizontal="center" vertical="center"/>
    </xf>
    <xf numFmtId="0" fontId="22" fillId="2" borderId="61" xfId="0" applyNumberFormat="1" applyFont="1" applyFill="1" applyBorder="1" applyAlignment="1" applyProtection="1">
      <alignment horizontal="center" vertical="center"/>
    </xf>
    <xf numFmtId="0" fontId="22" fillId="2" borderId="38" xfId="0" applyNumberFormat="1" applyFont="1" applyFill="1" applyBorder="1" applyAlignment="1" applyProtection="1">
      <alignment horizontal="center" vertical="center"/>
    </xf>
    <xf numFmtId="0" fontId="8" fillId="2" borderId="45" xfId="0" applyNumberFormat="1" applyFont="1" applyFill="1" applyBorder="1" applyAlignment="1" applyProtection="1">
      <alignment horizontal="center" vertical="top"/>
    </xf>
    <xf numFmtId="0" fontId="8" fillId="2" borderId="6" xfId="0" applyNumberFormat="1" applyFont="1" applyFill="1" applyBorder="1" applyAlignment="1" applyProtection="1">
      <alignment horizontal="center" vertical="top"/>
    </xf>
    <xf numFmtId="0" fontId="8" fillId="2" borderId="55" xfId="0" applyNumberFormat="1" applyFont="1" applyFill="1" applyBorder="1" applyAlignment="1" applyProtection="1">
      <alignment horizontal="center" vertical="top"/>
    </xf>
    <xf numFmtId="0" fontId="8" fillId="2" borderId="18" xfId="0" applyNumberFormat="1" applyFont="1" applyFill="1" applyBorder="1" applyAlignment="1" applyProtection="1">
      <alignment horizontal="center" vertical="top"/>
    </xf>
    <xf numFmtId="0" fontId="8" fillId="2" borderId="38" xfId="0" applyNumberFormat="1" applyFont="1" applyFill="1" applyBorder="1" applyAlignment="1" applyProtection="1">
      <alignment horizontal="center" vertical="top"/>
    </xf>
    <xf numFmtId="0" fontId="8" fillId="2" borderId="55" xfId="0" applyNumberFormat="1" applyFont="1" applyFill="1" applyBorder="1" applyAlignment="1" applyProtection="1">
      <alignment horizontal="left" vertical="top" wrapText="1"/>
    </xf>
    <xf numFmtId="0" fontId="8" fillId="2" borderId="51" xfId="0" applyNumberFormat="1" applyFont="1" applyFill="1" applyBorder="1" applyAlignment="1" applyProtection="1">
      <alignment horizontal="left" vertical="top" wrapText="1"/>
    </xf>
    <xf numFmtId="0" fontId="8" fillId="2" borderId="55" xfId="0" applyNumberFormat="1" applyFont="1" applyFill="1" applyBorder="1" applyAlignment="1" applyProtection="1">
      <alignment horizontal="left" vertical="top"/>
    </xf>
    <xf numFmtId="0" fontId="8" fillId="2" borderId="18" xfId="0" applyNumberFormat="1" applyFont="1" applyFill="1" applyBorder="1" applyAlignment="1" applyProtection="1">
      <alignment horizontal="left" vertical="top"/>
    </xf>
    <xf numFmtId="0" fontId="9" fillId="2" borderId="5" xfId="0" applyNumberFormat="1" applyFont="1" applyFill="1" applyBorder="1" applyAlignment="1" applyProtection="1">
      <alignment horizontal="center" vertical="top" wrapText="1"/>
    </xf>
    <xf numFmtId="0" fontId="9" fillId="2" borderId="6" xfId="0" applyNumberFormat="1" applyFont="1" applyFill="1" applyBorder="1" applyAlignment="1" applyProtection="1">
      <alignment horizontal="center" vertical="top" wrapText="1"/>
    </xf>
    <xf numFmtId="0" fontId="102" fillId="2" borderId="5" xfId="0" applyNumberFormat="1" applyFont="1" applyFill="1" applyBorder="1" applyAlignment="1" applyProtection="1">
      <alignment horizontal="center" vertical="top" wrapText="1"/>
    </xf>
    <xf numFmtId="0" fontId="102" fillId="2" borderId="6" xfId="0" applyNumberFormat="1" applyFont="1" applyFill="1" applyBorder="1" applyAlignment="1" applyProtection="1">
      <alignment horizontal="center" vertical="top" wrapText="1"/>
    </xf>
    <xf numFmtId="0" fontId="88" fillId="2" borderId="5" xfId="0" applyNumberFormat="1" applyFont="1" applyFill="1" applyBorder="1" applyAlignment="1" applyProtection="1">
      <alignment horizontal="center" vertical="top" wrapText="1"/>
    </xf>
    <xf numFmtId="0" fontId="88" fillId="2" borderId="6" xfId="0" applyNumberFormat="1" applyFont="1" applyFill="1" applyBorder="1" applyAlignment="1" applyProtection="1">
      <alignment horizontal="center" vertical="top" wrapText="1"/>
    </xf>
    <xf numFmtId="0" fontId="88" fillId="2" borderId="5" xfId="0" applyNumberFormat="1" applyFont="1" applyFill="1" applyBorder="1" applyAlignment="1" applyProtection="1">
      <alignment horizontal="left" vertical="top" wrapText="1"/>
    </xf>
    <xf numFmtId="0" fontId="88" fillId="2" borderId="6" xfId="0" applyNumberFormat="1" applyFont="1" applyFill="1" applyBorder="1" applyAlignment="1" applyProtection="1">
      <alignment horizontal="left" vertical="top" wrapText="1"/>
    </xf>
    <xf numFmtId="0" fontId="9" fillId="2" borderId="8" xfId="0" applyNumberFormat="1" applyFont="1" applyFill="1" applyBorder="1" applyAlignment="1" applyProtection="1">
      <alignment horizontal="center" vertical="top" wrapText="1"/>
    </xf>
    <xf numFmtId="0" fontId="2" fillId="2" borderId="55" xfId="0" applyFont="1" applyFill="1" applyBorder="1" applyAlignment="1">
      <alignment horizontal="center" vertical="center" wrapText="1"/>
    </xf>
    <xf numFmtId="0" fontId="2" fillId="2" borderId="0" xfId="0" applyFont="1" applyFill="1" applyAlignment="1">
      <alignment horizontal="right" vertical="center" wrapText="1"/>
    </xf>
    <xf numFmtId="0" fontId="2" fillId="2" borderId="0" xfId="0" applyFont="1" applyFill="1" applyAlignment="1">
      <alignment horizontal="left"/>
    </xf>
    <xf numFmtId="0" fontId="2" fillId="2" borderId="0" xfId="0" applyFont="1" applyFill="1" applyAlignment="1">
      <alignment horizontal="center" wrapText="1"/>
    </xf>
    <xf numFmtId="0" fontId="2" fillId="2" borderId="1" xfId="0" applyFont="1" applyFill="1" applyBorder="1" applyAlignment="1">
      <alignment horizontal="center" vertical="center" wrapText="1"/>
    </xf>
    <xf numFmtId="0" fontId="2" fillId="2" borderId="56"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2" fillId="2" borderId="55" xfId="0" applyFont="1" applyFill="1" applyBorder="1" applyAlignment="1">
      <alignment horizontal="center" vertical="center"/>
    </xf>
    <xf numFmtId="0" fontId="11" fillId="2" borderId="55" xfId="0" applyFont="1" applyFill="1" applyBorder="1" applyAlignment="1">
      <alignment horizontal="center" vertical="center" wrapText="1"/>
    </xf>
    <xf numFmtId="0" fontId="2" fillId="2" borderId="55" xfId="0" applyFont="1" applyFill="1" applyBorder="1" applyAlignment="1">
      <alignment horizontal="right" wrapText="1"/>
    </xf>
    <xf numFmtId="0" fontId="2" fillId="2" borderId="64"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54" fillId="2" borderId="55" xfId="0" applyFont="1" applyFill="1" applyBorder="1" applyAlignment="1">
      <alignment horizontal="center" vertical="center" wrapText="1"/>
    </xf>
    <xf numFmtId="0" fontId="82" fillId="2" borderId="55" xfId="0" applyFont="1" applyFill="1" applyBorder="1" applyAlignment="1">
      <alignment horizontal="center" vertical="center" wrapText="1"/>
    </xf>
    <xf numFmtId="0" fontId="56" fillId="2" borderId="61" xfId="0" applyFont="1" applyFill="1" applyBorder="1" applyAlignment="1">
      <alignment horizontal="right"/>
    </xf>
    <xf numFmtId="0" fontId="56" fillId="2" borderId="66" xfId="0" applyFont="1" applyFill="1" applyBorder="1" applyAlignment="1">
      <alignment horizontal="right"/>
    </xf>
    <xf numFmtId="0" fontId="56" fillId="2" borderId="68" xfId="0" applyFont="1" applyFill="1" applyBorder="1" applyAlignment="1">
      <alignment horizontal="right"/>
    </xf>
    <xf numFmtId="0" fontId="57" fillId="2" borderId="55" xfId="0" applyFont="1" applyFill="1" applyBorder="1" applyAlignment="1">
      <alignment horizontal="center" vertical="center" wrapText="1"/>
    </xf>
    <xf numFmtId="0" fontId="57" fillId="2" borderId="55" xfId="0" applyFont="1" applyFill="1" applyBorder="1" applyAlignment="1">
      <alignment horizontal="center" wrapText="1"/>
    </xf>
    <xf numFmtId="0" fontId="57" fillId="2" borderId="61" xfId="0" applyFont="1" applyFill="1" applyBorder="1" applyAlignment="1">
      <alignment horizontal="center" wrapText="1"/>
    </xf>
    <xf numFmtId="0" fontId="57" fillId="2" borderId="66" xfId="0" applyFont="1" applyFill="1" applyBorder="1" applyAlignment="1">
      <alignment horizontal="center" wrapText="1"/>
    </xf>
    <xf numFmtId="0" fontId="57" fillId="2" borderId="68" xfId="0" applyFont="1" applyFill="1" applyBorder="1" applyAlignment="1">
      <alignment horizontal="center" wrapText="1"/>
    </xf>
    <xf numFmtId="165" fontId="38" fillId="0" borderId="0" xfId="0" applyNumberFormat="1" applyFont="1" applyAlignment="1">
      <alignment horizontal="left" vertical="center" wrapText="1"/>
    </xf>
    <xf numFmtId="165" fontId="38" fillId="0" borderId="25" xfId="0" applyNumberFormat="1" applyFont="1" applyBorder="1" applyAlignment="1">
      <alignment horizontal="left" vertical="center" wrapText="1"/>
    </xf>
    <xf numFmtId="0" fontId="43" fillId="2" borderId="22" xfId="0" applyFont="1" applyFill="1" applyBorder="1" applyAlignment="1">
      <alignment horizontal="center" vertical="top" wrapText="1"/>
    </xf>
    <xf numFmtId="0" fontId="43" fillId="2" borderId="11" xfId="0" applyFont="1" applyFill="1" applyBorder="1" applyAlignment="1">
      <alignment horizontal="center" vertical="top" wrapText="1"/>
    </xf>
    <xf numFmtId="0" fontId="35" fillId="2" borderId="24" xfId="0" applyFont="1" applyFill="1" applyBorder="1" applyAlignment="1">
      <alignment horizontal="center" vertical="top" wrapText="1"/>
    </xf>
    <xf numFmtId="0" fontId="35" fillId="2" borderId="0" xfId="0" applyFont="1" applyFill="1" applyAlignment="1">
      <alignment horizontal="center" vertical="top" wrapText="1"/>
    </xf>
    <xf numFmtId="0" fontId="0" fillId="2" borderId="24" xfId="0" applyFill="1" applyBorder="1" applyAlignment="1">
      <alignment horizontal="center" vertical="top" wrapText="1"/>
    </xf>
    <xf numFmtId="0" fontId="0" fillId="2" borderId="0" xfId="0" applyFill="1" applyAlignment="1">
      <alignment horizontal="center" vertical="top" wrapText="1"/>
    </xf>
    <xf numFmtId="0" fontId="36" fillId="2" borderId="24" xfId="0" applyFont="1" applyFill="1" applyBorder="1" applyAlignment="1">
      <alignment horizontal="center" vertical="top" wrapText="1"/>
    </xf>
    <xf numFmtId="0" fontId="36" fillId="2" borderId="0" xfId="0" applyFont="1" applyFill="1" applyAlignment="1">
      <alignment horizontal="center" vertical="top" wrapText="1"/>
    </xf>
    <xf numFmtId="164" fontId="37" fillId="2" borderId="0" xfId="0" applyNumberFormat="1" applyFont="1" applyFill="1" applyAlignment="1">
      <alignment horizontal="center" vertical="top" wrapText="1"/>
    </xf>
    <xf numFmtId="0" fontId="41" fillId="2" borderId="21" xfId="0" applyFont="1" applyFill="1" applyBorder="1" applyAlignment="1">
      <alignment horizontal="center" vertical="top" wrapText="1"/>
    </xf>
    <xf numFmtId="0" fontId="41" fillId="2" borderId="0" xfId="0" applyFont="1" applyFill="1" applyAlignment="1">
      <alignment horizontal="center" vertical="top" wrapText="1"/>
    </xf>
    <xf numFmtId="0" fontId="40" fillId="2" borderId="24" xfId="0" applyFont="1" applyFill="1" applyBorder="1" applyAlignment="1">
      <alignment horizontal="left" vertical="top" wrapText="1"/>
    </xf>
    <xf numFmtId="0" fontId="40" fillId="2" borderId="0" xfId="0" applyFont="1" applyFill="1" applyAlignment="1">
      <alignment horizontal="left" vertical="top" wrapText="1"/>
    </xf>
    <xf numFmtId="0" fontId="0" fillId="2" borderId="24" xfId="0" applyFill="1" applyBorder="1" applyAlignment="1">
      <alignment horizontal="justify" vertical="top" wrapText="1"/>
    </xf>
    <xf numFmtId="0" fontId="0" fillId="2" borderId="0" xfId="0" applyFill="1" applyAlignment="1">
      <alignment horizontal="justify" vertical="top" wrapText="1"/>
    </xf>
    <xf numFmtId="0" fontId="121" fillId="2" borderId="6" xfId="0" applyFont="1" applyFill="1" applyBorder="1" applyAlignment="1" applyProtection="1">
      <alignment horizontal="center" vertical="top" wrapText="1" readingOrder="1"/>
      <protection locked="0"/>
    </xf>
    <xf numFmtId="0" fontId="121" fillId="2" borderId="55" xfId="0" applyFont="1" applyFill="1" applyBorder="1" applyAlignment="1" applyProtection="1">
      <alignment horizontal="center" vertical="top" wrapText="1" readingOrder="1"/>
      <protection locked="0"/>
    </xf>
    <xf numFmtId="0" fontId="71" fillId="2" borderId="6" xfId="0" applyFont="1" applyFill="1" applyBorder="1" applyAlignment="1" applyProtection="1">
      <alignment horizontal="center" vertical="center" wrapText="1" readingOrder="1"/>
      <protection locked="0"/>
    </xf>
    <xf numFmtId="0" fontId="71" fillId="2" borderId="55" xfId="0" applyFont="1" applyFill="1" applyBorder="1" applyAlignment="1" applyProtection="1">
      <alignment horizontal="center" vertical="center" wrapText="1" readingOrder="1"/>
      <protection locked="0"/>
    </xf>
    <xf numFmtId="0" fontId="121" fillId="2" borderId="6" xfId="0" applyFont="1" applyFill="1" applyBorder="1" applyAlignment="1" applyProtection="1">
      <alignment horizontal="center" vertical="center" wrapText="1" readingOrder="1"/>
      <protection locked="0"/>
    </xf>
    <xf numFmtId="0" fontId="121" fillId="2" borderId="55" xfId="0" applyFont="1" applyFill="1" applyBorder="1" applyAlignment="1" applyProtection="1">
      <alignment horizontal="center" vertical="center" wrapText="1" readingOrder="1"/>
      <protection locked="0"/>
    </xf>
    <xf numFmtId="0" fontId="121" fillId="2" borderId="6" xfId="0" applyFont="1" applyFill="1" applyBorder="1" applyAlignment="1" applyProtection="1">
      <alignment horizontal="center" vertical="center" readingOrder="1"/>
      <protection locked="0"/>
    </xf>
    <xf numFmtId="0" fontId="121" fillId="2" borderId="49" xfId="0" applyFont="1" applyFill="1" applyBorder="1" applyAlignment="1" applyProtection="1">
      <alignment horizontal="center" vertical="top" wrapText="1" readingOrder="1"/>
      <protection locked="0"/>
    </xf>
    <xf numFmtId="0" fontId="121" fillId="2" borderId="66" xfId="0" applyFont="1" applyFill="1" applyBorder="1" applyAlignment="1" applyProtection="1">
      <alignment horizontal="center" vertical="top" wrapText="1" readingOrder="1"/>
      <protection locked="0"/>
    </xf>
    <xf numFmtId="0" fontId="121" fillId="2" borderId="68" xfId="0" applyFont="1" applyFill="1" applyBorder="1" applyAlignment="1" applyProtection="1">
      <alignment horizontal="center" vertical="top" wrapText="1" readingOrder="1"/>
      <protection locked="0"/>
    </xf>
    <xf numFmtId="0" fontId="22" fillId="0" borderId="22" xfId="0" applyNumberFormat="1" applyFont="1" applyFill="1" applyBorder="1" applyAlignment="1" applyProtection="1">
      <alignment horizontal="center" vertical="center"/>
    </xf>
    <xf numFmtId="0" fontId="22" fillId="0" borderId="11" xfId="0" applyNumberFormat="1" applyFont="1" applyFill="1" applyBorder="1" applyAlignment="1" applyProtection="1">
      <alignment horizontal="center" vertical="center"/>
    </xf>
    <xf numFmtId="0" fontId="22" fillId="0" borderId="29" xfId="0" applyNumberFormat="1" applyFont="1" applyFill="1" applyBorder="1" applyAlignment="1" applyProtection="1">
      <alignment horizontal="center" vertical="center"/>
    </xf>
    <xf numFmtId="0" fontId="22" fillId="0" borderId="27" xfId="0" applyNumberFormat="1" applyFont="1" applyFill="1" applyBorder="1" applyAlignment="1" applyProtection="1">
      <alignment horizontal="center" vertical="center"/>
    </xf>
    <xf numFmtId="0" fontId="8" fillId="0" borderId="12" xfId="0" applyNumberFormat="1" applyFont="1" applyFill="1" applyBorder="1" applyAlignment="1" applyProtection="1">
      <alignment horizontal="center" vertical="top"/>
    </xf>
    <xf numFmtId="0" fontId="8" fillId="0" borderId="13" xfId="0" applyNumberFormat="1" applyFont="1" applyFill="1" applyBorder="1" applyAlignment="1" applyProtection="1">
      <alignment horizontal="center" vertical="top"/>
    </xf>
    <xf numFmtId="0" fontId="8" fillId="0" borderId="22" xfId="0" applyNumberFormat="1" applyFont="1" applyFill="1" applyBorder="1" applyAlignment="1" applyProtection="1">
      <alignment horizontal="center" vertical="top" wrapText="1"/>
    </xf>
    <xf numFmtId="0" fontId="8" fillId="0" borderId="11" xfId="0" applyNumberFormat="1" applyFont="1" applyFill="1" applyBorder="1" applyAlignment="1" applyProtection="1">
      <alignment horizontal="center" vertical="top" wrapText="1"/>
    </xf>
    <xf numFmtId="0" fontId="9" fillId="0" borderId="11" xfId="0" applyNumberFormat="1" applyFont="1" applyFill="1" applyBorder="1" applyAlignment="1" applyProtection="1">
      <alignment horizontal="center" vertical="top" wrapText="1"/>
    </xf>
    <xf numFmtId="0" fontId="9" fillId="3" borderId="5" xfId="0" applyNumberFormat="1" applyFont="1" applyFill="1" applyBorder="1" applyAlignment="1" applyProtection="1">
      <alignment horizontal="center" vertical="top" wrapText="1"/>
    </xf>
    <xf numFmtId="0" fontId="9" fillId="3" borderId="6" xfId="0" applyNumberFormat="1" applyFont="1" applyFill="1" applyBorder="1" applyAlignment="1" applyProtection="1">
      <alignment horizontal="center" vertical="top" wrapText="1"/>
    </xf>
    <xf numFmtId="0" fontId="9" fillId="3" borderId="52" xfId="0" applyNumberFormat="1" applyFont="1" applyFill="1" applyBorder="1" applyAlignment="1" applyProtection="1">
      <alignment horizontal="center" vertical="top" wrapText="1"/>
    </xf>
    <xf numFmtId="0" fontId="9" fillId="3" borderId="53"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33" xfId="0" applyNumberFormat="1" applyFont="1" applyFill="1" applyBorder="1" applyAlignment="1" applyProtection="1">
      <alignment horizontal="center" vertical="top" wrapText="1"/>
    </xf>
    <xf numFmtId="0" fontId="9" fillId="3" borderId="10" xfId="0" applyNumberFormat="1" applyFont="1" applyFill="1" applyBorder="1" applyAlignment="1" applyProtection="1">
      <alignment horizontal="center" vertical="top" wrapText="1"/>
    </xf>
    <xf numFmtId="0" fontId="9" fillId="3" borderId="15" xfId="0" applyNumberFormat="1" applyFont="1" applyFill="1" applyBorder="1" applyAlignment="1" applyProtection="1">
      <alignment horizontal="center" vertical="top" wrapText="1"/>
    </xf>
    <xf numFmtId="0" fontId="9" fillId="3" borderId="8" xfId="0" applyNumberFormat="1" applyFont="1" applyFill="1" applyBorder="1" applyAlignment="1" applyProtection="1">
      <alignment horizontal="center" vertical="top" wrapText="1"/>
    </xf>
    <xf numFmtId="0" fontId="9" fillId="3" borderId="0" xfId="0" applyNumberFormat="1" applyFont="1" applyFill="1" applyBorder="1" applyAlignment="1" applyProtection="1">
      <alignment horizontal="center" vertical="top" wrapText="1"/>
    </xf>
    <xf numFmtId="0" fontId="9" fillId="3" borderId="24" xfId="0" applyNumberFormat="1" applyFont="1" applyFill="1" applyBorder="1" applyAlignment="1" applyProtection="1">
      <alignment horizontal="center" vertical="top" wrapText="1"/>
    </xf>
    <xf numFmtId="0" fontId="9" fillId="3" borderId="25" xfId="0" applyNumberFormat="1" applyFont="1" applyFill="1" applyBorder="1" applyAlignment="1" applyProtection="1">
      <alignment horizontal="center" vertical="top" wrapText="1"/>
    </xf>
    <xf numFmtId="0" fontId="9" fillId="3" borderId="29" xfId="0" applyNumberFormat="1" applyFont="1" applyFill="1" applyBorder="1" applyAlignment="1" applyProtection="1">
      <alignment horizontal="center" vertical="top" wrapText="1"/>
    </xf>
    <xf numFmtId="0" fontId="9" fillId="3" borderId="27" xfId="0" applyNumberFormat="1" applyFont="1" applyFill="1" applyBorder="1" applyAlignment="1" applyProtection="1">
      <alignment horizontal="center" vertical="top" wrapText="1"/>
    </xf>
    <xf numFmtId="0" fontId="9" fillId="3" borderId="28" xfId="0" applyNumberFormat="1" applyFont="1" applyFill="1" applyBorder="1" applyAlignment="1" applyProtection="1">
      <alignment horizontal="center" vertical="top" wrapText="1"/>
    </xf>
    <xf numFmtId="0" fontId="9" fillId="3" borderId="48" xfId="0" applyNumberFormat="1" applyFont="1" applyFill="1" applyBorder="1" applyAlignment="1" applyProtection="1">
      <alignment horizontal="center" vertical="top" wrapText="1"/>
    </xf>
    <xf numFmtId="0" fontId="9" fillId="3" borderId="17" xfId="0" applyNumberFormat="1" applyFont="1" applyFill="1" applyBorder="1" applyAlignment="1" applyProtection="1">
      <alignment horizontal="center" vertical="top" wrapText="1"/>
    </xf>
    <xf numFmtId="0" fontId="8" fillId="0" borderId="0" xfId="0" applyNumberFormat="1" applyFont="1" applyFill="1" applyBorder="1" applyAlignment="1" applyProtection="1">
      <alignment horizontal="center" vertical="top" wrapText="1"/>
    </xf>
    <xf numFmtId="0" fontId="9" fillId="0" borderId="0" xfId="3" applyFont="1" applyBorder="1" applyAlignment="1">
      <alignment horizontal="left" vertical="center"/>
    </xf>
    <xf numFmtId="0" fontId="9" fillId="0" borderId="0" xfId="0" applyNumberFormat="1" applyFont="1" applyFill="1" applyBorder="1" applyAlignment="1" applyProtection="1">
      <alignment horizontal="center" vertical="center" wrapText="1"/>
    </xf>
    <xf numFmtId="0" fontId="9" fillId="0" borderId="11" xfId="0" applyNumberFormat="1" applyFont="1" applyFill="1" applyBorder="1" applyAlignment="1" applyProtection="1">
      <alignment horizontal="center" vertical="center" wrapText="1"/>
    </xf>
    <xf numFmtId="0" fontId="70" fillId="2" borderId="49" xfId="0" applyFont="1" applyFill="1" applyBorder="1" applyAlignment="1" applyProtection="1">
      <alignment horizontal="center" vertical="top" wrapText="1" readingOrder="1"/>
      <protection locked="0"/>
    </xf>
    <xf numFmtId="0" fontId="70" fillId="2" borderId="26" xfId="0" applyFont="1" applyFill="1" applyBorder="1" applyAlignment="1" applyProtection="1">
      <alignment horizontal="center" vertical="top" wrapText="1" readingOrder="1"/>
      <protection locked="0"/>
    </xf>
    <xf numFmtId="0" fontId="70" fillId="2" borderId="41" xfId="0" applyFont="1" applyFill="1" applyBorder="1" applyAlignment="1" applyProtection="1">
      <alignment horizontal="center" vertical="top" wrapText="1" readingOrder="1"/>
      <protection locked="0"/>
    </xf>
    <xf numFmtId="0" fontId="69" fillId="2" borderId="49" xfId="0" applyFont="1" applyFill="1" applyBorder="1" applyAlignment="1" applyProtection="1">
      <alignment horizontal="center" vertical="top" wrapText="1" readingOrder="1"/>
      <protection locked="0"/>
    </xf>
    <xf numFmtId="0" fontId="69" fillId="2" borderId="26" xfId="0" applyFont="1" applyFill="1" applyBorder="1" applyAlignment="1" applyProtection="1">
      <alignment horizontal="center" vertical="top" wrapText="1" readingOrder="1"/>
      <protection locked="0"/>
    </xf>
    <xf numFmtId="0" fontId="69" fillId="2" borderId="41" xfId="0" applyFont="1" applyFill="1" applyBorder="1" applyAlignment="1" applyProtection="1">
      <alignment horizontal="center" vertical="top" wrapText="1" readingOrder="1"/>
      <protection locked="0"/>
    </xf>
    <xf numFmtId="0" fontId="69" fillId="2" borderId="70" xfId="0" applyFont="1" applyFill="1" applyBorder="1" applyAlignment="1" applyProtection="1">
      <alignment horizontal="center" vertical="top" wrapText="1" readingOrder="1"/>
      <protection locked="0"/>
    </xf>
    <xf numFmtId="0" fontId="69" fillId="2" borderId="3" xfId="0" applyFont="1" applyFill="1" applyBorder="1" applyAlignment="1" applyProtection="1">
      <alignment horizontal="center" vertical="top" wrapText="1" readingOrder="1"/>
      <protection locked="0"/>
    </xf>
    <xf numFmtId="0" fontId="69" fillId="2" borderId="71" xfId="0" applyFont="1" applyFill="1" applyBorder="1" applyAlignment="1" applyProtection="1">
      <alignment horizontal="center" vertical="top" wrapText="1" readingOrder="1"/>
      <protection locked="0"/>
    </xf>
    <xf numFmtId="0" fontId="2" fillId="0" borderId="4" xfId="0" applyFont="1" applyBorder="1" applyAlignment="1">
      <alignment horizontal="left" vertical="center" wrapText="1"/>
    </xf>
    <xf numFmtId="0" fontId="2" fillId="0" borderId="59" xfId="0" applyFont="1" applyBorder="1" applyAlignment="1">
      <alignment horizontal="left" vertical="center" wrapText="1"/>
    </xf>
    <xf numFmtId="1" fontId="2" fillId="0" borderId="59" xfId="0" applyNumberFormat="1" applyFont="1" applyBorder="1" applyAlignment="1">
      <alignment horizontal="center" vertical="center"/>
    </xf>
    <xf numFmtId="0" fontId="2" fillId="0" borderId="59" xfId="0" applyFont="1" applyBorder="1" applyAlignment="1">
      <alignment horizontal="center" vertical="center"/>
    </xf>
    <xf numFmtId="0" fontId="2" fillId="0" borderId="7" xfId="0" applyFont="1" applyBorder="1" applyAlignment="1">
      <alignment horizontal="center" vertical="center"/>
    </xf>
    <xf numFmtId="0" fontId="2" fillId="0" borderId="45" xfId="0" applyFont="1" applyBorder="1" applyAlignment="1">
      <alignment horizontal="left" vertical="center"/>
    </xf>
    <xf numFmtId="0" fontId="2" fillId="0" borderId="55" xfId="0" applyFont="1" applyBorder="1" applyAlignment="1">
      <alignment horizontal="left" vertical="center"/>
    </xf>
    <xf numFmtId="17" fontId="2" fillId="0" borderId="55" xfId="0" applyNumberFormat="1" applyFont="1" applyBorder="1" applyAlignment="1">
      <alignment horizontal="center" vertical="center"/>
    </xf>
    <xf numFmtId="0" fontId="2" fillId="0" borderId="55" xfId="0" applyFont="1" applyBorder="1" applyAlignment="1">
      <alignment horizontal="center" vertical="center"/>
    </xf>
    <xf numFmtId="0" fontId="2" fillId="0" borderId="38" xfId="0" applyFont="1" applyBorder="1" applyAlignment="1">
      <alignment horizontal="center" vertical="center"/>
    </xf>
    <xf numFmtId="0" fontId="2" fillId="0" borderId="61" xfId="0" applyFont="1" applyBorder="1" applyAlignment="1">
      <alignment horizontal="left" vertical="center"/>
    </xf>
    <xf numFmtId="1" fontId="2" fillId="0" borderId="55" xfId="0" applyNumberFormat="1" applyFont="1" applyBorder="1" applyAlignment="1">
      <alignment horizontal="center" vertical="center"/>
    </xf>
    <xf numFmtId="0" fontId="2" fillId="0" borderId="49" xfId="0" applyFont="1" applyBorder="1" applyAlignment="1">
      <alignment horizontal="center" vertical="center"/>
    </xf>
    <xf numFmtId="0" fontId="2" fillId="0" borderId="66" xfId="0" applyFont="1" applyBorder="1" applyAlignment="1">
      <alignment horizontal="center" vertical="center"/>
    </xf>
    <xf numFmtId="0" fontId="2" fillId="0" borderId="68" xfId="0" applyFont="1" applyBorder="1" applyAlignment="1">
      <alignment horizontal="center" vertical="center"/>
    </xf>
    <xf numFmtId="0" fontId="2" fillId="0" borderId="45" xfId="0" applyFont="1" applyBorder="1" applyAlignment="1">
      <alignment horizontal="left" vertical="center" wrapText="1"/>
    </xf>
    <xf numFmtId="0" fontId="2" fillId="0" borderId="55" xfId="0" applyFont="1" applyBorder="1" applyAlignment="1">
      <alignment horizontal="left" vertical="center" wrapText="1"/>
    </xf>
    <xf numFmtId="1" fontId="2" fillId="0" borderId="10" xfId="0" applyNumberFormat="1" applyFont="1" applyBorder="1" applyAlignment="1">
      <alignment horizontal="center" vertical="center"/>
    </xf>
    <xf numFmtId="1" fontId="2" fillId="0" borderId="58" xfId="0" applyNumberFormat="1" applyFont="1" applyBorder="1" applyAlignment="1">
      <alignment horizontal="center" vertical="center"/>
    </xf>
    <xf numFmtId="1" fontId="2" fillId="0" borderId="40" xfId="0" applyNumberFormat="1" applyFont="1" applyBorder="1" applyAlignment="1">
      <alignment horizontal="center" vertical="center"/>
    </xf>
    <xf numFmtId="14" fontId="2" fillId="0" borderId="64" xfId="0" applyNumberFormat="1" applyFont="1" applyBorder="1" applyAlignment="1">
      <alignment horizontal="center" vertical="center"/>
    </xf>
    <xf numFmtId="0" fontId="2" fillId="0" borderId="64" xfId="0" applyFont="1" applyBorder="1" applyAlignment="1">
      <alignment horizontal="center" vertical="center"/>
    </xf>
    <xf numFmtId="0" fontId="2" fillId="0" borderId="65" xfId="0" applyFont="1" applyBorder="1" applyAlignment="1">
      <alignment horizontal="center" vertical="center"/>
    </xf>
    <xf numFmtId="0" fontId="23" fillId="0" borderId="22" xfId="0" applyFont="1" applyBorder="1" applyAlignment="1">
      <alignment horizontal="center"/>
    </xf>
    <xf numFmtId="0" fontId="0" fillId="0" borderId="11" xfId="0" applyBorder="1" applyAlignment="1">
      <alignment horizontal="center"/>
    </xf>
    <xf numFmtId="0" fontId="0" fillId="0" borderId="23" xfId="0" applyBorder="1" applyAlignment="1">
      <alignment horizontal="center"/>
    </xf>
    <xf numFmtId="0" fontId="24" fillId="0" borderId="24" xfId="0" applyFont="1" applyBorder="1" applyAlignment="1">
      <alignment horizontal="center"/>
    </xf>
    <xf numFmtId="0" fontId="24" fillId="0" borderId="0" xfId="0" applyFont="1" applyBorder="1" applyAlignment="1">
      <alignment horizontal="center"/>
    </xf>
    <xf numFmtId="0" fontId="24" fillId="0" borderId="25" xfId="0" applyFont="1" applyBorder="1" applyAlignment="1">
      <alignment horizontal="center"/>
    </xf>
    <xf numFmtId="0" fontId="5" fillId="0" borderId="29"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2" fillId="0" borderId="24"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25" xfId="0" applyFont="1" applyBorder="1" applyAlignment="1">
      <alignment horizontal="left" vertical="center" wrapText="1"/>
    </xf>
    <xf numFmtId="0" fontId="2" fillId="0" borderId="24" xfId="0" applyFont="1" applyBorder="1" applyAlignment="1">
      <alignment horizontal="left"/>
    </xf>
    <xf numFmtId="0" fontId="2" fillId="0" borderId="0" xfId="0" applyFont="1" applyBorder="1" applyAlignment="1">
      <alignment horizontal="left"/>
    </xf>
    <xf numFmtId="0" fontId="2" fillId="0" borderId="25" xfId="0" applyFont="1" applyBorder="1" applyAlignment="1">
      <alignment horizontal="left"/>
    </xf>
    <xf numFmtId="0" fontId="38" fillId="0" borderId="24" xfId="0" applyFont="1" applyBorder="1" applyAlignment="1">
      <alignment horizontal="left"/>
    </xf>
    <xf numFmtId="0" fontId="38" fillId="0" borderId="0" xfId="0" applyFont="1" applyBorder="1" applyAlignment="1">
      <alignment horizontal="left"/>
    </xf>
    <xf numFmtId="0" fontId="38" fillId="0" borderId="25" xfId="0" applyFont="1" applyBorder="1" applyAlignment="1">
      <alignment horizontal="left"/>
    </xf>
    <xf numFmtId="0" fontId="25" fillId="0" borderId="49" xfId="0" applyFont="1" applyBorder="1" applyAlignment="1">
      <alignment horizontal="left"/>
    </xf>
    <xf numFmtId="0" fontId="25" fillId="0" borderId="66" xfId="0" applyFont="1" applyBorder="1" applyAlignment="1">
      <alignment horizontal="left"/>
    </xf>
    <xf numFmtId="0" fontId="25" fillId="0" borderId="68" xfId="0" applyFont="1" applyBorder="1" applyAlignment="1">
      <alignment horizontal="left"/>
    </xf>
    <xf numFmtId="1" fontId="0" fillId="0" borderId="61" xfId="0" applyNumberFormat="1" applyBorder="1" applyAlignment="1">
      <alignment horizontal="center"/>
    </xf>
    <xf numFmtId="1" fontId="0" fillId="0" borderId="66" xfId="0" applyNumberFormat="1" applyBorder="1" applyAlignment="1">
      <alignment horizontal="center"/>
    </xf>
    <xf numFmtId="1" fontId="0" fillId="0" borderId="67" xfId="0" applyNumberFormat="1" applyBorder="1" applyAlignment="1">
      <alignment horizontal="center"/>
    </xf>
    <xf numFmtId="1" fontId="2" fillId="0" borderId="61" xfId="0" applyNumberFormat="1" applyFont="1" applyBorder="1" applyAlignment="1">
      <alignment horizontal="center" vertical="center"/>
    </xf>
    <xf numFmtId="1" fontId="2" fillId="0" borderId="66" xfId="0" applyNumberFormat="1" applyFont="1" applyBorder="1" applyAlignment="1">
      <alignment horizontal="center" vertical="center"/>
    </xf>
    <xf numFmtId="1" fontId="2" fillId="0" borderId="67" xfId="0" applyNumberFormat="1" applyFont="1" applyBorder="1" applyAlignment="1">
      <alignment horizontal="center" vertical="center"/>
    </xf>
    <xf numFmtId="0" fontId="2" fillId="0" borderId="49" xfId="0" applyFont="1" applyBorder="1" applyAlignment="1">
      <alignment horizontal="left" vertical="center"/>
    </xf>
    <xf numFmtId="0" fontId="2" fillId="0" borderId="66" xfId="0" applyFont="1" applyBorder="1" applyAlignment="1">
      <alignment horizontal="left" vertical="center"/>
    </xf>
    <xf numFmtId="0" fontId="2" fillId="0" borderId="68" xfId="0" applyFont="1" applyBorder="1" applyAlignment="1">
      <alignment horizontal="left" vertical="center"/>
    </xf>
    <xf numFmtId="0" fontId="8" fillId="2" borderId="0" xfId="0" applyFont="1" applyFill="1" applyAlignment="1">
      <alignment horizontal="left" vertical="center" wrapText="1"/>
    </xf>
    <xf numFmtId="0" fontId="8" fillId="2" borderId="0" xfId="0" applyFont="1" applyFill="1" applyAlignment="1">
      <alignment horizontal="left"/>
    </xf>
    <xf numFmtId="0" fontId="0" fillId="2" borderId="24" xfId="0" applyFill="1" applyBorder="1" applyAlignment="1">
      <alignment horizontal="center"/>
    </xf>
    <xf numFmtId="0" fontId="0" fillId="2" borderId="0" xfId="0" applyFill="1" applyAlignment="1">
      <alignment horizontal="center"/>
    </xf>
    <xf numFmtId="0" fontId="0" fillId="2" borderId="25" xfId="0" applyFill="1" applyBorder="1" applyAlignment="1">
      <alignment horizontal="center"/>
    </xf>
    <xf numFmtId="0" fontId="8" fillId="2" borderId="24" xfId="0" applyFont="1" applyFill="1" applyBorder="1" applyAlignment="1">
      <alignment horizontal="left" vertical="center" wrapText="1"/>
    </xf>
    <xf numFmtId="0" fontId="8" fillId="2" borderId="24" xfId="0" applyFont="1" applyFill="1" applyBorder="1" applyAlignment="1">
      <alignment horizontal="left"/>
    </xf>
    <xf numFmtId="0" fontId="0" fillId="2" borderId="27" xfId="0" applyFill="1" applyBorder="1" applyAlignment="1">
      <alignment horizontal="center"/>
    </xf>
    <xf numFmtId="0" fontId="0" fillId="2" borderId="28" xfId="0" applyFill="1" applyBorder="1" applyAlignment="1">
      <alignment horizontal="center"/>
    </xf>
    <xf numFmtId="0" fontId="16" fillId="2" borderId="22" xfId="0" applyFont="1" applyFill="1" applyBorder="1" applyAlignment="1">
      <alignment horizontal="center"/>
    </xf>
    <xf numFmtId="0" fontId="16" fillId="2" borderId="11" xfId="0" applyFont="1" applyFill="1" applyBorder="1" applyAlignment="1">
      <alignment horizontal="center"/>
    </xf>
    <xf numFmtId="0" fontId="16" fillId="2" borderId="23" xfId="0" applyFont="1" applyFill="1" applyBorder="1" applyAlignment="1">
      <alignment horizontal="center"/>
    </xf>
    <xf numFmtId="0" fontId="10" fillId="2" borderId="24" xfId="0" applyFont="1" applyFill="1" applyBorder="1" applyAlignment="1">
      <alignment horizontal="center"/>
    </xf>
    <xf numFmtId="0" fontId="10" fillId="2" borderId="0" xfId="0" applyFont="1" applyFill="1" applyAlignment="1">
      <alignment horizontal="center"/>
    </xf>
    <xf numFmtId="0" fontId="10" fillId="2" borderId="25" xfId="0" applyFont="1" applyFill="1" applyBorder="1" applyAlignment="1">
      <alignment horizontal="center"/>
    </xf>
    <xf numFmtId="0" fontId="31" fillId="0" borderId="34" xfId="0" applyFont="1" applyBorder="1" applyAlignment="1">
      <alignment horizontal="center" wrapText="1"/>
    </xf>
    <xf numFmtId="0" fontId="31" fillId="0" borderId="5" xfId="0" applyFont="1" applyBorder="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30" fillId="0" borderId="3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6" xfId="0" applyFont="1" applyBorder="1" applyAlignment="1">
      <alignment horizontal="center" wrapText="1"/>
    </xf>
    <xf numFmtId="0" fontId="30" fillId="0" borderId="34" xfId="0" applyFont="1" applyBorder="1" applyAlignment="1">
      <alignment horizontal="center" wrapText="1"/>
    </xf>
    <xf numFmtId="0" fontId="30" fillId="0" borderId="5" xfId="0" applyFont="1" applyBorder="1" applyAlignment="1">
      <alignment horizontal="center" wrapText="1"/>
    </xf>
    <xf numFmtId="0" fontId="31" fillId="0" borderId="6" xfId="0" applyFont="1" applyBorder="1" applyAlignment="1">
      <alignment horizontal="center"/>
    </xf>
    <xf numFmtId="0" fontId="31" fillId="0" borderId="6" xfId="0" applyFont="1" applyBorder="1" applyAlignment="1">
      <alignment horizontal="center" wrapText="1"/>
    </xf>
    <xf numFmtId="0" fontId="9" fillId="3" borderId="6" xfId="0" applyFont="1" applyFill="1" applyBorder="1" applyAlignment="1">
      <alignment horizontal="left" vertical="top" wrapText="1"/>
    </xf>
    <xf numFmtId="0" fontId="9" fillId="3" borderId="6" xfId="0" applyFont="1" applyFill="1" applyBorder="1" applyAlignment="1">
      <alignment horizontal="center" vertical="top" wrapText="1"/>
    </xf>
    <xf numFmtId="0" fontId="16" fillId="0" borderId="6" xfId="0" applyFont="1" applyBorder="1" applyAlignment="1">
      <alignment horizontal="center" vertical="center"/>
    </xf>
    <xf numFmtId="0" fontId="8" fillId="0" borderId="6" xfId="0" applyFont="1" applyBorder="1" applyAlignment="1">
      <alignment horizontal="center" vertical="top"/>
    </xf>
    <xf numFmtId="0" fontId="8" fillId="0" borderId="55" xfId="0" applyFont="1" applyBorder="1" applyAlignment="1">
      <alignment horizontal="right" vertical="top"/>
    </xf>
    <xf numFmtId="0" fontId="8" fillId="0" borderId="12" xfId="0" applyFont="1" applyBorder="1" applyAlignment="1">
      <alignment horizontal="right" vertical="top"/>
    </xf>
    <xf numFmtId="0" fontId="8" fillId="0" borderId="13" xfId="0" applyFont="1" applyBorder="1" applyAlignment="1">
      <alignment horizontal="right" vertical="top"/>
    </xf>
    <xf numFmtId="0" fontId="8" fillId="0" borderId="14" xfId="0" applyFont="1" applyBorder="1" applyAlignment="1">
      <alignment horizontal="right" vertical="top"/>
    </xf>
    <xf numFmtId="0" fontId="9" fillId="3" borderId="16" xfId="0" applyFont="1" applyFill="1" applyBorder="1" applyAlignment="1">
      <alignment horizontal="center" vertical="top" wrapText="1"/>
    </xf>
    <xf numFmtId="0" fontId="9" fillId="3" borderId="17" xfId="0" applyFont="1" applyFill="1" applyBorder="1" applyAlignment="1">
      <alignment horizontal="center" vertical="top" wrapText="1"/>
    </xf>
    <xf numFmtId="0" fontId="20" fillId="0" borderId="6" xfId="0" applyFont="1" applyBorder="1" applyAlignment="1">
      <alignment horizontal="center" vertical="center"/>
    </xf>
    <xf numFmtId="0" fontId="9" fillId="3" borderId="16" xfId="0" applyFont="1" applyFill="1" applyBorder="1" applyAlignment="1">
      <alignment horizontal="left" vertical="top" wrapText="1"/>
    </xf>
    <xf numFmtId="0" fontId="9" fillId="3" borderId="17" xfId="0" applyFont="1" applyFill="1" applyBorder="1" applyAlignment="1">
      <alignment horizontal="left" vertical="top" wrapText="1"/>
    </xf>
    <xf numFmtId="0" fontId="9" fillId="0" borderId="61" xfId="0" applyFont="1" applyBorder="1" applyAlignment="1">
      <alignment horizontal="right" vertical="top"/>
    </xf>
    <xf numFmtId="0" fontId="9" fillId="0" borderId="66" xfId="0" applyFont="1" applyBorder="1" applyAlignment="1">
      <alignment horizontal="right" vertical="top"/>
    </xf>
    <xf numFmtId="0" fontId="9" fillId="0" borderId="68" xfId="0" applyFont="1" applyBorder="1" applyAlignment="1">
      <alignment horizontal="right" vertical="top"/>
    </xf>
    <xf numFmtId="0" fontId="8" fillId="0" borderId="34" xfId="0" applyFont="1" applyBorder="1" applyAlignment="1">
      <alignment horizontal="center" vertical="top"/>
    </xf>
    <xf numFmtId="0" fontId="9" fillId="3" borderId="5" xfId="0" applyFont="1" applyFill="1" applyBorder="1" applyAlignment="1">
      <alignment horizontal="left" vertical="top" wrapText="1"/>
    </xf>
    <xf numFmtId="0" fontId="9" fillId="3" borderId="5" xfId="0" applyFont="1" applyFill="1" applyBorder="1" applyAlignment="1">
      <alignment horizontal="center" vertical="top" wrapText="1"/>
    </xf>
    <xf numFmtId="0" fontId="9" fillId="3" borderId="8" xfId="0" applyFont="1" applyFill="1" applyBorder="1" applyAlignment="1">
      <alignment horizontal="center" vertical="top" wrapText="1"/>
    </xf>
    <xf numFmtId="0" fontId="8" fillId="0" borderId="61" xfId="0" applyFont="1" applyBorder="1" applyAlignment="1">
      <alignment horizontal="right" vertical="top"/>
    </xf>
    <xf numFmtId="0" fontId="8" fillId="0" borderId="66" xfId="0" applyFont="1" applyBorder="1" applyAlignment="1">
      <alignment horizontal="right" vertical="top"/>
    </xf>
    <xf numFmtId="0" fontId="8" fillId="0" borderId="68" xfId="0" applyFont="1" applyBorder="1" applyAlignment="1">
      <alignment horizontal="right" vertical="top"/>
    </xf>
    <xf numFmtId="0" fontId="16" fillId="0" borderId="46" xfId="0" applyFont="1" applyBorder="1" applyAlignment="1">
      <alignment horizontal="center" vertical="center"/>
    </xf>
    <xf numFmtId="0" fontId="16" fillId="0" borderId="9" xfId="0" applyFont="1" applyBorder="1" applyAlignment="1">
      <alignment horizontal="center" vertical="center"/>
    </xf>
    <xf numFmtId="0" fontId="16" fillId="0" borderId="43" xfId="0" applyFont="1" applyBorder="1" applyAlignment="1">
      <alignment horizontal="center" vertical="center"/>
    </xf>
    <xf numFmtId="0" fontId="16" fillId="0" borderId="45" xfId="0" applyFont="1" applyBorder="1" applyAlignment="1">
      <alignment horizontal="center" vertical="center"/>
    </xf>
    <xf numFmtId="0" fontId="16" fillId="0" borderId="55" xfId="0" applyFont="1" applyBorder="1" applyAlignment="1">
      <alignment horizontal="center" vertical="center"/>
    </xf>
    <xf numFmtId="0" fontId="16" fillId="0" borderId="38" xfId="0" applyFont="1" applyBorder="1" applyAlignment="1">
      <alignment horizontal="center" vertical="center"/>
    </xf>
    <xf numFmtId="0" fontId="8" fillId="0" borderId="45" xfId="0" applyFont="1" applyBorder="1" applyAlignment="1">
      <alignment horizontal="center" vertical="top"/>
    </xf>
    <xf numFmtId="0" fontId="8" fillId="0" borderId="55" xfId="0" applyFont="1" applyBorder="1" applyAlignment="1">
      <alignment horizontal="center" vertical="top"/>
    </xf>
    <xf numFmtId="0" fontId="8" fillId="0" borderId="38" xfId="0" applyFont="1" applyBorder="1" applyAlignment="1">
      <alignment horizontal="center" vertical="top"/>
    </xf>
    <xf numFmtId="0" fontId="9" fillId="3" borderId="45" xfId="0" applyFont="1" applyFill="1" applyBorder="1" applyAlignment="1">
      <alignment horizontal="center" vertical="top" wrapText="1"/>
    </xf>
    <xf numFmtId="0" fontId="9" fillId="3" borderId="55" xfId="0" applyFont="1" applyFill="1" applyBorder="1" applyAlignment="1">
      <alignment horizontal="center" vertical="top" wrapText="1"/>
    </xf>
    <xf numFmtId="0" fontId="9" fillId="3" borderId="61" xfId="0" applyFont="1" applyFill="1" applyBorder="1" applyAlignment="1">
      <alignment horizontal="center" vertical="top" wrapText="1"/>
    </xf>
    <xf numFmtId="0" fontId="9" fillId="3" borderId="68" xfId="0" applyFont="1" applyFill="1" applyBorder="1" applyAlignment="1">
      <alignment horizontal="left" vertical="top" wrapText="1"/>
    </xf>
    <xf numFmtId="0" fontId="9" fillId="3" borderId="55" xfId="0" applyFont="1" applyFill="1" applyBorder="1" applyAlignment="1">
      <alignment horizontal="left" vertical="top" wrapText="1"/>
    </xf>
    <xf numFmtId="0" fontId="9" fillId="3" borderId="65" xfId="0" applyFont="1" applyFill="1" applyBorder="1" applyAlignment="1">
      <alignment horizontal="center" vertical="top" wrapText="1"/>
    </xf>
    <xf numFmtId="0" fontId="9" fillId="3" borderId="7" xfId="0" applyFont="1" applyFill="1" applyBorder="1" applyAlignment="1">
      <alignment horizontal="center" vertical="top" wrapText="1"/>
    </xf>
    <xf numFmtId="0" fontId="16" fillId="0" borderId="60" xfId="0" applyNumberFormat="1" applyFont="1" applyFill="1" applyBorder="1" applyAlignment="1" applyProtection="1">
      <alignment horizontal="center" vertical="center"/>
    </xf>
    <xf numFmtId="0" fontId="16" fillId="0" borderId="57" xfId="0" applyNumberFormat="1" applyFont="1" applyFill="1" applyBorder="1" applyAlignment="1" applyProtection="1">
      <alignment horizontal="center" vertical="center"/>
    </xf>
    <xf numFmtId="0" fontId="16" fillId="0" borderId="53" xfId="0" applyNumberFormat="1" applyFont="1" applyFill="1" applyBorder="1" applyAlignment="1" applyProtection="1">
      <alignment horizontal="center" vertical="center"/>
    </xf>
    <xf numFmtId="0" fontId="16" fillId="0" borderId="10" xfId="0" applyNumberFormat="1" applyFont="1" applyFill="1" applyBorder="1" applyAlignment="1" applyProtection="1">
      <alignment horizontal="center" vertical="center"/>
    </xf>
    <xf numFmtId="0" fontId="16" fillId="0" borderId="58" xfId="0" applyNumberFormat="1" applyFont="1" applyFill="1" applyBorder="1" applyAlignment="1" applyProtection="1">
      <alignment horizontal="center" vertical="center"/>
    </xf>
    <xf numFmtId="0" fontId="16" fillId="0" borderId="15" xfId="0" applyNumberFormat="1" applyFont="1" applyFill="1" applyBorder="1" applyAlignment="1" applyProtection="1">
      <alignment horizontal="center" vertical="center"/>
    </xf>
    <xf numFmtId="0" fontId="9" fillId="0" borderId="55" xfId="0" applyNumberFormat="1" applyFont="1" applyFill="1" applyBorder="1" applyAlignment="1" applyProtection="1">
      <alignment horizontal="center" vertical="top"/>
    </xf>
    <xf numFmtId="0" fontId="8" fillId="0" borderId="55" xfId="0" applyNumberFormat="1" applyFont="1" applyFill="1" applyBorder="1" applyAlignment="1" applyProtection="1">
      <alignment horizontal="left" vertical="top"/>
    </xf>
    <xf numFmtId="0" fontId="8" fillId="0" borderId="64" xfId="0" applyNumberFormat="1" applyFont="1" applyFill="1" applyBorder="1" applyAlignment="1" applyProtection="1">
      <alignment horizontal="left" vertical="top"/>
    </xf>
    <xf numFmtId="0" fontId="9" fillId="3" borderId="64" xfId="0" applyNumberFormat="1" applyFont="1" applyFill="1" applyBorder="1" applyAlignment="1" applyProtection="1">
      <alignment horizontal="center" vertical="center" textRotation="90"/>
    </xf>
    <xf numFmtId="0" fontId="9" fillId="3" borderId="8" xfId="0" applyNumberFormat="1" applyFont="1" applyFill="1" applyBorder="1" applyAlignment="1" applyProtection="1">
      <alignment horizontal="center" vertical="center" textRotation="90"/>
    </xf>
    <xf numFmtId="0" fontId="9" fillId="3" borderId="59" xfId="0" applyNumberFormat="1" applyFont="1" applyFill="1" applyBorder="1" applyAlignment="1" applyProtection="1">
      <alignment horizontal="center" vertical="center" textRotation="90"/>
    </xf>
    <xf numFmtId="0" fontId="9" fillId="3" borderId="64" xfId="0" applyNumberFormat="1" applyFont="1" applyFill="1" applyBorder="1" applyAlignment="1" applyProtection="1">
      <alignment horizontal="center" vertical="center" textRotation="90" wrapText="1"/>
    </xf>
    <xf numFmtId="0" fontId="9" fillId="3" borderId="8" xfId="0" applyNumberFormat="1" applyFont="1" applyFill="1" applyBorder="1" applyAlignment="1" applyProtection="1">
      <alignment horizontal="center" vertical="center" textRotation="90" wrapText="1"/>
    </xf>
    <xf numFmtId="0" fontId="9" fillId="3" borderId="59" xfId="0" applyNumberFormat="1" applyFont="1" applyFill="1" applyBorder="1" applyAlignment="1" applyProtection="1">
      <alignment horizontal="center" vertical="center" textRotation="90" wrapText="1"/>
    </xf>
    <xf numFmtId="0" fontId="9" fillId="3" borderId="64" xfId="0" applyNumberFormat="1" applyFont="1" applyFill="1" applyBorder="1" applyAlignment="1" applyProtection="1">
      <alignment horizontal="center" vertical="top" textRotation="90" wrapText="1"/>
    </xf>
    <xf numFmtId="0" fontId="9" fillId="3" borderId="8" xfId="0" applyNumberFormat="1" applyFont="1" applyFill="1" applyBorder="1" applyAlignment="1" applyProtection="1">
      <alignment horizontal="center" vertical="top" textRotation="90" wrapText="1"/>
    </xf>
    <xf numFmtId="0" fontId="9" fillId="3" borderId="59" xfId="0" applyNumberFormat="1" applyFont="1" applyFill="1" applyBorder="1" applyAlignment="1" applyProtection="1">
      <alignment horizontal="center" vertical="top" textRotation="90" wrapText="1"/>
    </xf>
    <xf numFmtId="0" fontId="9" fillId="3" borderId="60" xfId="0" applyNumberFormat="1" applyFont="1" applyFill="1" applyBorder="1" applyAlignment="1" applyProtection="1">
      <alignment horizontal="center" vertical="center" wrapText="1"/>
    </xf>
    <xf numFmtId="0" fontId="9" fillId="3" borderId="57" xfId="0" applyNumberFormat="1" applyFont="1" applyFill="1" applyBorder="1" applyAlignment="1" applyProtection="1">
      <alignment horizontal="center" vertical="center" wrapText="1"/>
    </xf>
    <xf numFmtId="0" fontId="9" fillId="3" borderId="10" xfId="0" applyNumberFormat="1" applyFont="1" applyFill="1" applyBorder="1" applyAlignment="1" applyProtection="1">
      <alignment horizontal="center" vertical="center" wrapText="1"/>
    </xf>
    <xf numFmtId="0" fontId="9" fillId="3" borderId="58" xfId="0" applyNumberFormat="1" applyFont="1" applyFill="1" applyBorder="1" applyAlignment="1" applyProtection="1">
      <alignment horizontal="center" vertical="center" wrapText="1"/>
    </xf>
    <xf numFmtId="0" fontId="9" fillId="3" borderId="68" xfId="0" applyNumberFormat="1" applyFont="1" applyFill="1" applyBorder="1" applyAlignment="1" applyProtection="1">
      <alignment horizontal="left" vertical="top" textRotation="90" wrapText="1"/>
    </xf>
    <xf numFmtId="0" fontId="9" fillId="3" borderId="55" xfId="0" applyNumberFormat="1" applyFont="1" applyFill="1" applyBorder="1" applyAlignment="1" applyProtection="1">
      <alignment horizontal="left" vertical="top" textRotation="90" wrapText="1"/>
    </xf>
    <xf numFmtId="0" fontId="2" fillId="0" borderId="6" xfId="0" applyFont="1" applyBorder="1" applyAlignment="1">
      <alignment horizontal="left" vertical="center"/>
    </xf>
    <xf numFmtId="0" fontId="23" fillId="0" borderId="11" xfId="0" applyFont="1" applyBorder="1" applyAlignment="1">
      <alignment horizontal="center"/>
    </xf>
    <xf numFmtId="1" fontId="2" fillId="0" borderId="18" xfId="0" applyNumberFormat="1" applyFont="1" applyBorder="1" applyAlignment="1">
      <alignment horizontal="center" vertical="center"/>
    </xf>
    <xf numFmtId="0" fontId="2" fillId="0" borderId="26" xfId="0" applyFont="1" applyBorder="1" applyAlignment="1">
      <alignment horizontal="center" vertical="center"/>
    </xf>
    <xf numFmtId="0" fontId="2" fillId="0" borderId="41" xfId="0" applyFont="1" applyBorder="1" applyAlignment="1">
      <alignment horizontal="center" vertical="center"/>
    </xf>
    <xf numFmtId="1" fontId="2" fillId="0" borderId="18" xfId="0" applyNumberFormat="1" applyFont="1" applyBorder="1" applyAlignment="1">
      <alignment horizontal="center" vertical="center" wrapText="1"/>
    </xf>
    <xf numFmtId="1" fontId="2" fillId="0" borderId="20" xfId="0" applyNumberFormat="1" applyFont="1" applyBorder="1" applyAlignment="1">
      <alignment horizontal="center" vertical="center" wrapText="1"/>
    </xf>
    <xf numFmtId="1" fontId="2" fillId="0" borderId="41" xfId="0" applyNumberFormat="1" applyFont="1" applyBorder="1" applyAlignment="1">
      <alignment horizontal="center" vertical="center" wrapText="1"/>
    </xf>
    <xf numFmtId="0" fontId="0" fillId="0" borderId="18" xfId="0" applyBorder="1" applyAlignment="1">
      <alignment horizontal="center"/>
    </xf>
    <xf numFmtId="0" fontId="0" fillId="0" borderId="20" xfId="0" applyBorder="1" applyAlignment="1">
      <alignment horizontal="center"/>
    </xf>
    <xf numFmtId="0" fontId="24"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left"/>
    </xf>
    <xf numFmtId="14" fontId="2" fillId="0" borderId="6" xfId="0" applyNumberFormat="1" applyFont="1" applyBorder="1" applyAlignment="1">
      <alignment horizontal="center" vertical="center"/>
    </xf>
    <xf numFmtId="0" fontId="2" fillId="0" borderId="6" xfId="0" applyFont="1" applyBorder="1" applyAlignment="1">
      <alignment horizontal="center" vertical="center"/>
    </xf>
    <xf numFmtId="1" fontId="2" fillId="0" borderId="18" xfId="0" applyNumberFormat="1" applyFont="1" applyBorder="1" applyAlignment="1">
      <alignment horizontal="center"/>
    </xf>
    <xf numFmtId="1" fontId="2" fillId="0" borderId="26" xfId="0" applyNumberFormat="1" applyFont="1" applyBorder="1" applyAlignment="1">
      <alignment horizontal="center"/>
    </xf>
    <xf numFmtId="1" fontId="2" fillId="0" borderId="41" xfId="0" applyNumberFormat="1" applyFont="1" applyBorder="1" applyAlignment="1">
      <alignment horizontal="center"/>
    </xf>
    <xf numFmtId="0" fontId="2" fillId="0" borderId="5" xfId="0" applyFont="1" applyBorder="1" applyAlignment="1">
      <alignment horizontal="left" vertical="center" wrapText="1"/>
    </xf>
    <xf numFmtId="1" fontId="2" fillId="0" borderId="5" xfId="0" applyNumberFormat="1" applyFont="1" applyBorder="1" applyAlignment="1">
      <alignment horizontal="center" vertical="center"/>
    </xf>
    <xf numFmtId="0" fontId="2" fillId="0" borderId="5" xfId="0" applyFont="1" applyBorder="1" applyAlignment="1">
      <alignment horizontal="center" vertical="center"/>
    </xf>
    <xf numFmtId="17" fontId="2" fillId="0" borderId="6"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6" xfId="0" applyFont="1" applyBorder="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0" fillId="0" borderId="41" xfId="0" applyBorder="1" applyAlignment="1">
      <alignment horizontal="center"/>
    </xf>
    <xf numFmtId="0" fontId="2" fillId="0" borderId="0" xfId="0" applyFont="1" applyAlignment="1">
      <alignment horizontal="left" vertical="center"/>
    </xf>
    <xf numFmtId="14" fontId="2" fillId="0" borderId="0" xfId="0" applyNumberFormat="1" applyFont="1" applyAlignment="1">
      <alignment horizontal="center" vertical="center"/>
    </xf>
    <xf numFmtId="0" fontId="5" fillId="0" borderId="0" xfId="0" applyFont="1" applyAlignment="1">
      <alignment horizontal="center"/>
    </xf>
    <xf numFmtId="17" fontId="2" fillId="0" borderId="0" xfId="0" applyNumberFormat="1" applyFont="1" applyAlignment="1">
      <alignment horizontal="center" vertical="center"/>
    </xf>
    <xf numFmtId="0" fontId="23" fillId="0" borderId="0" xfId="0" applyFont="1" applyAlignment="1">
      <alignment horizontal="center"/>
    </xf>
    <xf numFmtId="0" fontId="0" fillId="0" borderId="0" xfId="0" applyAlignment="1">
      <alignment horizontal="center"/>
    </xf>
    <xf numFmtId="0" fontId="0" fillId="0" borderId="26" xfId="0" applyBorder="1" applyAlignment="1">
      <alignment horizontal="center"/>
    </xf>
    <xf numFmtId="1" fontId="2" fillId="0" borderId="26" xfId="0" applyNumberFormat="1" applyFont="1" applyBorder="1" applyAlignment="1">
      <alignment horizontal="center" vertical="center" wrapText="1"/>
    </xf>
    <xf numFmtId="0" fontId="46" fillId="0" borderId="0" xfId="0" applyFont="1" applyAlignment="1">
      <alignment horizontal="center"/>
    </xf>
    <xf numFmtId="0" fontId="46" fillId="0" borderId="25" xfId="0" applyFont="1" applyBorder="1" applyAlignment="1">
      <alignment horizontal="center"/>
    </xf>
    <xf numFmtId="0" fontId="5" fillId="0" borderId="25" xfId="0" applyFont="1" applyBorder="1" applyAlignment="1">
      <alignment horizont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8" xfId="0" applyFont="1" applyBorder="1" applyAlignment="1">
      <alignment horizontal="center"/>
    </xf>
    <xf numFmtId="0" fontId="2" fillId="0" borderId="26" xfId="0" applyFont="1" applyBorder="1" applyAlignment="1">
      <alignment horizontal="center"/>
    </xf>
    <xf numFmtId="0" fontId="2" fillId="0" borderId="41" xfId="0" applyFont="1" applyBorder="1" applyAlignment="1">
      <alignment horizontal="center"/>
    </xf>
    <xf numFmtId="1" fontId="2" fillId="0" borderId="26" xfId="0" applyNumberFormat="1" applyFont="1" applyBorder="1" applyAlignment="1">
      <alignment horizontal="left" vertical="center" wrapText="1"/>
    </xf>
    <xf numFmtId="1" fontId="2" fillId="0" borderId="41" xfId="0" applyNumberFormat="1" applyFont="1" applyBorder="1" applyAlignment="1">
      <alignment horizontal="left" vertical="center" wrapText="1"/>
    </xf>
    <xf numFmtId="0" fontId="47" fillId="2" borderId="18" xfId="0" applyFont="1" applyFill="1" applyBorder="1" applyAlignment="1">
      <alignment horizontal="center" vertical="center"/>
    </xf>
    <xf numFmtId="0" fontId="47" fillId="2" borderId="26" xfId="0" applyFont="1" applyFill="1" applyBorder="1" applyAlignment="1">
      <alignment horizontal="center" vertical="center"/>
    </xf>
    <xf numFmtId="0" fontId="47" fillId="2" borderId="41" xfId="0" applyFont="1" applyFill="1" applyBorder="1" applyAlignment="1">
      <alignment horizontal="center" vertical="center"/>
    </xf>
    <xf numFmtId="0" fontId="0" fillId="0" borderId="18" xfId="0" applyBorder="1" applyAlignment="1">
      <alignment horizontal="left"/>
    </xf>
    <xf numFmtId="0" fontId="0" fillId="0" borderId="26" xfId="0" applyBorder="1" applyAlignment="1">
      <alignment horizontal="left"/>
    </xf>
    <xf numFmtId="0" fontId="2" fillId="0" borderId="18" xfId="0" applyFont="1" applyBorder="1" applyAlignment="1">
      <alignment horizontal="left"/>
    </xf>
    <xf numFmtId="0" fontId="2" fillId="0" borderId="26" xfId="0" applyFont="1" applyBorder="1" applyAlignment="1">
      <alignment horizontal="left"/>
    </xf>
    <xf numFmtId="0" fontId="2" fillId="0" borderId="41" xfId="0" applyFont="1" applyBorder="1" applyAlignment="1">
      <alignment horizontal="left"/>
    </xf>
    <xf numFmtId="0" fontId="47" fillId="2" borderId="20"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5" xfId="0" applyNumberFormat="1" applyFont="1" applyBorder="1" applyAlignment="1">
      <alignment horizontal="center" vertical="center" wrapText="1"/>
    </xf>
    <xf numFmtId="0" fontId="57" fillId="0" borderId="0" xfId="0" applyFont="1" applyAlignment="1">
      <alignment vertical="center" wrapText="1"/>
    </xf>
    <xf numFmtId="0" fontId="57" fillId="0" borderId="25" xfId="0" applyFont="1" applyBorder="1" applyAlignment="1">
      <alignment vertical="center" wrapText="1"/>
    </xf>
    <xf numFmtId="0" fontId="0" fillId="0" borderId="0" xfId="0" applyAlignment="1">
      <alignment horizontal="right"/>
    </xf>
    <xf numFmtId="1" fontId="55" fillId="2" borderId="0" xfId="0" applyNumberFormat="1" applyFont="1" applyFill="1" applyAlignment="1">
      <alignment horizontal="center" vertical="center"/>
    </xf>
    <xf numFmtId="0" fontId="55" fillId="2" borderId="0" xfId="0" applyFont="1" applyFill="1" applyAlignment="1">
      <alignment horizontal="center" vertical="center"/>
    </xf>
    <xf numFmtId="0" fontId="0" fillId="0" borderId="0" xfId="0" applyAlignment="1">
      <alignment horizontal="left"/>
    </xf>
    <xf numFmtId="0" fontId="0" fillId="0" borderId="25" xfId="0" applyBorder="1" applyAlignment="1">
      <alignment horizontal="left"/>
    </xf>
    <xf numFmtId="0" fontId="52" fillId="0" borderId="0" xfId="0" applyFont="1" applyAlignment="1">
      <alignment horizontal="center"/>
    </xf>
    <xf numFmtId="0" fontId="52" fillId="0" borderId="25" xfId="0" applyFont="1" applyBorder="1" applyAlignment="1">
      <alignment horizontal="center"/>
    </xf>
    <xf numFmtId="0" fontId="47" fillId="2" borderId="30" xfId="0" applyFont="1" applyFill="1" applyBorder="1" applyAlignment="1">
      <alignment vertical="center"/>
    </xf>
    <xf numFmtId="0" fontId="47" fillId="2" borderId="31" xfId="0" applyFont="1" applyFill="1" applyBorder="1" applyAlignment="1">
      <alignment vertical="center"/>
    </xf>
    <xf numFmtId="0" fontId="47" fillId="2" borderId="30" xfId="0" applyFont="1" applyFill="1" applyBorder="1" applyAlignment="1">
      <alignment horizontal="center" vertical="center"/>
    </xf>
    <xf numFmtId="0" fontId="47" fillId="2" borderId="31" xfId="0" applyFont="1" applyFill="1" applyBorder="1" applyAlignment="1">
      <alignment horizontal="center" vertical="center"/>
    </xf>
    <xf numFmtId="0" fontId="47" fillId="2" borderId="42" xfId="0" applyFont="1" applyFill="1" applyBorder="1" applyAlignment="1">
      <alignment horizontal="center" vertical="center"/>
    </xf>
    <xf numFmtId="0" fontId="47" fillId="2" borderId="10" xfId="0" applyFont="1" applyFill="1" applyBorder="1" applyAlignment="1">
      <alignment horizontal="center" vertical="center"/>
    </xf>
    <xf numFmtId="0" fontId="47" fillId="2" borderId="21" xfId="0" applyFont="1" applyFill="1" applyBorder="1" applyAlignment="1">
      <alignment horizontal="center" vertical="center"/>
    </xf>
    <xf numFmtId="0" fontId="47" fillId="2" borderId="40" xfId="0" applyFont="1" applyFill="1" applyBorder="1" applyAlignment="1">
      <alignment horizontal="center" vertical="center"/>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5" xfId="0" applyBorder="1" applyAlignment="1">
      <alignment horizontal="left" vertical="center" wrapText="1"/>
    </xf>
    <xf numFmtId="0" fontId="42" fillId="0" borderId="0" xfId="0" applyFont="1" applyAlignment="1">
      <alignment horizontal="left"/>
    </xf>
    <xf numFmtId="0" fontId="42" fillId="0" borderId="25" xfId="0" applyFont="1" applyBorder="1" applyAlignment="1">
      <alignment horizontal="left"/>
    </xf>
    <xf numFmtId="0" fontId="8" fillId="0" borderId="24" xfId="0" applyFont="1" applyBorder="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left" vertical="center"/>
    </xf>
    <xf numFmtId="0" fontId="9" fillId="0" borderId="0" xfId="0" applyFont="1" applyAlignment="1">
      <alignment horizontal="left" vertical="center" wrapText="1"/>
    </xf>
    <xf numFmtId="0" fontId="9" fillId="0" borderId="25" xfId="0" applyFont="1" applyBorder="1" applyAlignment="1">
      <alignment horizontal="left" vertical="center" wrapText="1"/>
    </xf>
    <xf numFmtId="0" fontId="42" fillId="0" borderId="24" xfId="0" applyFont="1" applyBorder="1" applyAlignment="1">
      <alignment horizontal="center"/>
    </xf>
    <xf numFmtId="0" fontId="42" fillId="0" borderId="0" xfId="0" applyFont="1" applyAlignment="1">
      <alignment horizontal="center"/>
    </xf>
    <xf numFmtId="0" fontId="42" fillId="0" borderId="25" xfId="0" applyFont="1" applyBorder="1" applyAlignment="1">
      <alignment horizontal="center"/>
    </xf>
    <xf numFmtId="0" fontId="21" fillId="0" borderId="24" xfId="0" applyFont="1" applyBorder="1" applyAlignment="1">
      <alignment horizontal="left"/>
    </xf>
    <xf numFmtId="0" fontId="21" fillId="0" borderId="0" xfId="0" applyFont="1" applyAlignment="1">
      <alignment horizontal="left"/>
    </xf>
    <xf numFmtId="0" fontId="21" fillId="0" borderId="25" xfId="0" applyFont="1" applyBorder="1" applyAlignment="1">
      <alignment horizontal="left"/>
    </xf>
    <xf numFmtId="0" fontId="21" fillId="0" borderId="45" xfId="0" applyFont="1" applyBorder="1" applyAlignment="1">
      <alignment horizontal="left"/>
    </xf>
    <xf numFmtId="0" fontId="21" fillId="0" borderId="6" xfId="0" applyFont="1" applyBorder="1" applyAlignment="1">
      <alignment horizontal="left"/>
    </xf>
    <xf numFmtId="0" fontId="0" fillId="0" borderId="6" xfId="0" applyBorder="1" applyAlignment="1">
      <alignment horizontal="center"/>
    </xf>
    <xf numFmtId="0" fontId="0" fillId="0" borderId="38" xfId="0" applyBorder="1" applyAlignment="1">
      <alignment horizontal="center"/>
    </xf>
    <xf numFmtId="0" fontId="21" fillId="0" borderId="24" xfId="0" applyFont="1" applyBorder="1" applyAlignment="1">
      <alignment horizontal="justify" vertical="justify" wrapText="1"/>
    </xf>
    <xf numFmtId="0" fontId="21" fillId="0" borderId="0" xfId="0" applyFont="1" applyAlignment="1">
      <alignment horizontal="justify" vertical="justify" wrapText="1"/>
    </xf>
    <xf numFmtId="0" fontId="21" fillId="0" borderId="25" xfId="0" applyFont="1" applyBorder="1" applyAlignment="1">
      <alignment horizontal="justify" vertical="justify" wrapText="1"/>
    </xf>
    <xf numFmtId="0" fontId="60" fillId="0" borderId="22" xfId="0" applyFont="1" applyBorder="1" applyAlignment="1">
      <alignment horizontal="center"/>
    </xf>
    <xf numFmtId="0" fontId="60" fillId="0" borderId="11" xfId="0" applyFont="1" applyBorder="1" applyAlignment="1">
      <alignment horizontal="center"/>
    </xf>
    <xf numFmtId="0" fontId="60" fillId="0" borderId="23" xfId="0" applyFont="1" applyBorder="1" applyAlignment="1">
      <alignment horizontal="center"/>
    </xf>
    <xf numFmtId="0" fontId="61" fillId="0" borderId="24" xfId="0" applyFont="1" applyBorder="1" applyAlignment="1">
      <alignment horizontal="center"/>
    </xf>
    <xf numFmtId="0" fontId="61" fillId="0" borderId="0" xfId="0" applyFont="1" applyAlignment="1">
      <alignment horizontal="center"/>
    </xf>
    <xf numFmtId="0" fontId="61" fillId="0" borderId="25" xfId="0" applyFont="1" applyBorder="1" applyAlignment="1">
      <alignment horizontal="center"/>
    </xf>
    <xf numFmtId="0" fontId="62" fillId="0" borderId="24" xfId="0" applyFont="1" applyBorder="1" applyAlignment="1">
      <alignment horizontal="center"/>
    </xf>
    <xf numFmtId="0" fontId="62" fillId="0" borderId="0" xfId="0" applyFont="1" applyAlignment="1">
      <alignment horizontal="center"/>
    </xf>
    <xf numFmtId="0" fontId="62" fillId="0" borderId="25" xfId="0" applyFont="1" applyBorder="1" applyAlignment="1">
      <alignment horizontal="center"/>
    </xf>
    <xf numFmtId="1" fontId="0" fillId="0" borderId="6" xfId="0" applyNumberFormat="1" applyBorder="1" applyAlignment="1">
      <alignment horizontal="center"/>
    </xf>
    <xf numFmtId="14" fontId="0" fillId="0" borderId="6" xfId="0" applyNumberFormat="1" applyBorder="1" applyAlignment="1">
      <alignment horizontal="center"/>
    </xf>
    <xf numFmtId="0" fontId="0" fillId="0" borderId="0" xfId="0" applyAlignment="1">
      <alignment horizontal="center" vertical="center"/>
    </xf>
    <xf numFmtId="0" fontId="0" fillId="0" borderId="0" xfId="0" applyAlignment="1">
      <alignment horizontal="center" wrapText="1"/>
    </xf>
    <xf numFmtId="0" fontId="16" fillId="0" borderId="11" xfId="0" applyFont="1" applyBorder="1" applyAlignment="1">
      <alignment horizontal="center"/>
    </xf>
    <xf numFmtId="0" fontId="22" fillId="0" borderId="0" xfId="0" applyFont="1" applyAlignment="1">
      <alignment horizontal="center"/>
    </xf>
    <xf numFmtId="0" fontId="9" fillId="0" borderId="0" xfId="0" applyFont="1" applyAlignment="1">
      <alignment horizontal="left"/>
    </xf>
    <xf numFmtId="0" fontId="0" fillId="0" borderId="46" xfId="0" applyBorder="1" applyAlignment="1">
      <alignment horizontal="center" vertical="center" wrapText="1"/>
    </xf>
    <xf numFmtId="0" fontId="0" fillId="0" borderId="45"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43" xfId="0" applyBorder="1" applyAlignment="1">
      <alignment horizontal="center" vertical="center" wrapText="1"/>
    </xf>
    <xf numFmtId="0" fontId="0" fillId="0" borderId="38" xfId="0" applyBorder="1" applyAlignment="1">
      <alignment horizontal="center" vertical="center" wrapText="1"/>
    </xf>
    <xf numFmtId="0" fontId="63" fillId="0" borderId="6" xfId="0" applyFont="1" applyBorder="1" applyAlignment="1">
      <alignment horizontal="center"/>
    </xf>
    <xf numFmtId="0" fontId="0" fillId="0" borderId="27" xfId="0" applyBorder="1" applyAlignment="1">
      <alignment horizontal="center"/>
    </xf>
  </cellXfs>
  <cellStyles count="9">
    <cellStyle name="Comma 2" xfId="1" xr:uid="{00000000-0005-0000-0000-000000000000}"/>
    <cellStyle name="Excel Built-in Normal 1" xfId="6" xr:uid="{00000000-0005-0000-0000-000001000000}"/>
    <cellStyle name="Excel Built-in Normal 2" xfId="7" xr:uid="{00000000-0005-0000-0000-000002000000}"/>
    <cellStyle name="Normal" xfId="0" builtinId="0"/>
    <cellStyle name="Normal 2" xfId="3" xr:uid="{00000000-0005-0000-0000-000004000000}"/>
    <cellStyle name="Normal 3" xfId="8" xr:uid="{00000000-0005-0000-0000-000005000000}"/>
    <cellStyle name="Normal 4 3 3 2 2" xfId="2" xr:uid="{00000000-0005-0000-0000-000006000000}"/>
    <cellStyle name="Normal 4 3 3 2 2 2" xfId="4" xr:uid="{00000000-0005-0000-0000-000007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_rels/drawing3.xml.rels><?xml version="1.0" encoding="UTF-8" standalone="yes"?>
<Relationships xmlns="http://schemas.openxmlformats.org/package/2006/relationships"><Relationship Id="rId1" Type="http://schemas.openxmlformats.org/officeDocument/2006/relationships/image" Target="NULL"/></Relationships>
</file>

<file path=xl/drawings/_rels/drawing4.xml.rels><?xml version="1.0" encoding="UTF-8" standalone="yes"?>
<Relationships xmlns="http://schemas.openxmlformats.org/package/2006/relationships"><Relationship Id="rId1" Type="http://schemas.openxmlformats.org/officeDocument/2006/relationships/image" Target="NULL"/></Relationships>
</file>

<file path=xl/drawings/_rels/drawing5.xml.rels><?xml version="1.0" encoding="UTF-8" standalone="yes"?>
<Relationships xmlns="http://schemas.openxmlformats.org/package/2006/relationships"><Relationship Id="rId1" Type="http://schemas.openxmlformats.org/officeDocument/2006/relationships/image" Target="NULL"/></Relationships>
</file>

<file path=xl/drawings/_rels/drawing6.xml.rels><?xml version="1.0" encoding="UTF-8" standalone="yes"?>
<Relationships xmlns="http://schemas.openxmlformats.org/package/2006/relationships"><Relationship Id="rId1" Type="http://schemas.openxmlformats.org/officeDocument/2006/relationships/image" Target="NULL"/></Relationships>
</file>

<file path=xl/drawings/_rels/drawing7.xml.rels><?xml version="1.0" encoding="UTF-8" standalone="yes"?>
<Relationships xmlns="http://schemas.openxmlformats.org/package/2006/relationships"><Relationship Id="rId1" Type="http://schemas.openxmlformats.org/officeDocument/2006/relationships/image" Target="NULL"/></Relationships>
</file>

<file path=xl/drawings/_rels/drawing8.xml.rels><?xml version="1.0" encoding="UTF-8" standalone="yes"?>
<Relationships xmlns="http://schemas.openxmlformats.org/package/2006/relationships"><Relationship Id="rId1" Type="http://schemas.openxmlformats.org/officeDocument/2006/relationships/image" Target="NULL"/></Relationships>
</file>

<file path=xl/drawings/_rels/drawing9.xml.rels><?xml version="1.0" encoding="UTF-8" standalone="yes"?>
<Relationships xmlns="http://schemas.openxmlformats.org/package/2006/relationships"><Relationship Id="rId1" Type="http://schemas.openxmlformats.org/officeDocument/2006/relationships/image" Target="NULL"/></Relationships>
</file>

<file path=xl/drawings/_rels/drawing10.xml.rels><?xml version="1.0" encoding="UTF-8" standalone="yes"?>
<Relationships xmlns="http://schemas.openxmlformats.org/package/2006/relationships"><Relationship Id="rId1" Type="http://schemas.openxmlformats.org/officeDocument/2006/relationships/image" Target="NULL"/></Relationships>
</file>

<file path=xl/drawings/_rels/drawing11.xml.rels><?xml version="1.0" encoding="UTF-8" standalone="yes"?>
<Relationships xmlns="http://schemas.openxmlformats.org/package/2006/relationships"><Relationship Id="rId1" Type="http://schemas.openxmlformats.org/officeDocument/2006/relationships/image" Target="NULL"/></Relationships>
</file>

<file path=xl/drawings/_rels/drawing12.xml.rels><?xml version="1.0" encoding="UTF-8" standalone="yes"?>
<Relationships xmlns="http://schemas.openxmlformats.org/package/2006/relationships"><Relationship Id="rId1" Type="http://schemas.openxmlformats.org/officeDocument/2006/relationships/image" Target="NULL"/></Relationships>
</file>

<file path=xl/drawings/_rels/drawing13.xml.rels><?xml version="1.0" encoding="UTF-8" standalone="yes"?>
<Relationships xmlns="http://schemas.openxmlformats.org/package/2006/relationships"><Relationship Id="rId1" Type="http://schemas.openxmlformats.org/officeDocument/2006/relationships/image" Target="NULL"/></Relationships>
</file>

<file path=xl/drawings/_rels/drawing14.xml.rels><?xml version="1.0" encoding="UTF-8" standalone="yes"?>
<Relationships xmlns="http://schemas.openxmlformats.org/package/2006/relationships"><Relationship Id="rId1" Type="http://schemas.openxmlformats.org/officeDocument/2006/relationships/image" Target="NULL"/></Relationships>
</file>

<file path=xl/drawings/_rels/drawing15.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9</xdr:col>
      <xdr:colOff>104775</xdr:colOff>
      <xdr:row>12</xdr:row>
      <xdr:rowOff>160662</xdr:rowOff>
    </xdr:from>
    <xdr:to>
      <xdr:col>9</xdr:col>
      <xdr:colOff>800100</xdr:colOff>
      <xdr:row>12</xdr:row>
      <xdr:rowOff>406911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9600" y="4770762"/>
          <a:ext cx="695325" cy="246249"/>
        </a:xfrm>
        <a:prstGeom prst="rect">
          <a:avLst/>
        </a:prstGeom>
      </xdr:spPr>
    </xdr:pic>
    <xdr:clientData/>
  </xdr:twoCellAnchor>
  <xdr:twoCellAnchor editAs="oneCell">
    <xdr:from>
      <xdr:col>9</xdr:col>
      <xdr:colOff>85725</xdr:colOff>
      <xdr:row>13</xdr:row>
      <xdr:rowOff>12880</xdr:rowOff>
    </xdr:from>
    <xdr:to>
      <xdr:col>9</xdr:col>
      <xdr:colOff>1323975</xdr:colOff>
      <xdr:row>14</xdr:row>
      <xdr:rowOff>276225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39775" y="5765980"/>
          <a:ext cx="1238250" cy="920570"/>
        </a:xfrm>
        <a:prstGeom prst="rect">
          <a:avLst/>
        </a:prstGeom>
      </xdr:spPr>
    </xdr:pic>
    <xdr:clientData/>
  </xdr:twoCellAnchor>
  <xdr:twoCellAnchor editAs="oneCell">
    <xdr:from>
      <xdr:col>9</xdr:col>
      <xdr:colOff>57150</xdr:colOff>
      <xdr:row>14</xdr:row>
      <xdr:rowOff>219075</xdr:rowOff>
    </xdr:from>
    <xdr:to>
      <xdr:col>9</xdr:col>
      <xdr:colOff>781050</xdr:colOff>
      <xdr:row>14</xdr:row>
      <xdr:rowOff>337014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1975" y="5819775"/>
          <a:ext cx="723900" cy="117939"/>
        </a:xfrm>
        <a:prstGeom prst="rect">
          <a:avLst/>
        </a:prstGeom>
      </xdr:spPr>
    </xdr:pic>
    <xdr:clientData/>
  </xdr:twoCellAnchor>
  <xdr:twoCellAnchor editAs="oneCell">
    <xdr:from>
      <xdr:col>9</xdr:col>
      <xdr:colOff>9525</xdr:colOff>
      <xdr:row>15</xdr:row>
      <xdr:rowOff>104918</xdr:rowOff>
    </xdr:from>
    <xdr:to>
      <xdr:col>9</xdr:col>
      <xdr:colOff>752475</xdr:colOff>
      <xdr:row>15</xdr:row>
      <xdr:rowOff>405822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0" y="6200918"/>
          <a:ext cx="742950" cy="300904"/>
        </a:xfrm>
        <a:prstGeom prst="rect">
          <a:avLst/>
        </a:prstGeom>
      </xdr:spPr>
    </xdr:pic>
    <xdr:clientData/>
  </xdr:twoCellAnchor>
  <xdr:twoCellAnchor editAs="oneCell">
    <xdr:from>
      <xdr:col>9</xdr:col>
      <xdr:colOff>66676</xdr:colOff>
      <xdr:row>16</xdr:row>
      <xdr:rowOff>140533</xdr:rowOff>
    </xdr:from>
    <xdr:to>
      <xdr:col>9</xdr:col>
      <xdr:colOff>752475</xdr:colOff>
      <xdr:row>16</xdr:row>
      <xdr:rowOff>438243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1" y="6731833"/>
          <a:ext cx="685799" cy="297710"/>
        </a:xfrm>
        <a:prstGeom prst="rect">
          <a:avLst/>
        </a:prstGeom>
      </xdr:spPr>
    </xdr:pic>
    <xdr:clientData/>
  </xdr:twoCellAnchor>
  <xdr:twoCellAnchor editAs="oneCell">
    <xdr:from>
      <xdr:col>9</xdr:col>
      <xdr:colOff>114300</xdr:colOff>
      <xdr:row>17</xdr:row>
      <xdr:rowOff>104775</xdr:rowOff>
    </xdr:from>
    <xdr:to>
      <xdr:col>9</xdr:col>
      <xdr:colOff>752683</xdr:colOff>
      <xdr:row>17</xdr:row>
      <xdr:rowOff>428701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39125" y="7191375"/>
          <a:ext cx="638383" cy="323926"/>
        </a:xfrm>
        <a:prstGeom prst="rect">
          <a:avLst/>
        </a:prstGeom>
      </xdr:spPr>
    </xdr:pic>
    <xdr:clientData/>
  </xdr:twoCellAnchor>
  <xdr:twoCellAnchor editAs="oneCell">
    <xdr:from>
      <xdr:col>9</xdr:col>
      <xdr:colOff>19050</xdr:colOff>
      <xdr:row>18</xdr:row>
      <xdr:rowOff>66675</xdr:rowOff>
    </xdr:from>
    <xdr:to>
      <xdr:col>9</xdr:col>
      <xdr:colOff>765284</xdr:colOff>
      <xdr:row>18</xdr:row>
      <xdr:rowOff>457255</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3875" y="7648575"/>
          <a:ext cx="746234" cy="390580"/>
        </a:xfrm>
        <a:prstGeom prst="rect">
          <a:avLst/>
        </a:prstGeom>
      </xdr:spPr>
    </xdr:pic>
    <xdr:clientData/>
  </xdr:twoCellAnchor>
  <xdr:twoCellAnchor editAs="oneCell">
    <xdr:from>
      <xdr:col>9</xdr:col>
      <xdr:colOff>28575</xdr:colOff>
      <xdr:row>19</xdr:row>
      <xdr:rowOff>57150</xdr:rowOff>
    </xdr:from>
    <xdr:to>
      <xdr:col>9</xdr:col>
      <xdr:colOff>795949</xdr:colOff>
      <xdr:row>19</xdr:row>
      <xdr:rowOff>409575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53400" y="8134350"/>
          <a:ext cx="767374" cy="352425"/>
        </a:xfrm>
        <a:prstGeom prst="rect">
          <a:avLst/>
        </a:prstGeom>
      </xdr:spPr>
    </xdr:pic>
    <xdr:clientData/>
  </xdr:twoCellAnchor>
  <xdr:twoCellAnchor editAs="oneCell">
    <xdr:from>
      <xdr:col>9</xdr:col>
      <xdr:colOff>9526</xdr:colOff>
      <xdr:row>20</xdr:row>
      <xdr:rowOff>132753</xdr:rowOff>
    </xdr:from>
    <xdr:to>
      <xdr:col>9</xdr:col>
      <xdr:colOff>790576</xdr:colOff>
      <xdr:row>20</xdr:row>
      <xdr:rowOff>400123</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1" y="8705253"/>
          <a:ext cx="781050" cy="267370"/>
        </a:xfrm>
        <a:prstGeom prst="rect">
          <a:avLst/>
        </a:prstGeom>
      </xdr:spPr>
    </xdr:pic>
    <xdr:clientData/>
  </xdr:twoCellAnchor>
  <xdr:twoCellAnchor editAs="oneCell">
    <xdr:from>
      <xdr:col>9</xdr:col>
      <xdr:colOff>47625</xdr:colOff>
      <xdr:row>21</xdr:row>
      <xdr:rowOff>104776</xdr:rowOff>
    </xdr:from>
    <xdr:to>
      <xdr:col>9</xdr:col>
      <xdr:colOff>798717</xdr:colOff>
      <xdr:row>21</xdr:row>
      <xdr:rowOff>466726</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2450" y="9172576"/>
          <a:ext cx="751092" cy="361950"/>
        </a:xfrm>
        <a:prstGeom prst="rect">
          <a:avLst/>
        </a:prstGeom>
      </xdr:spPr>
    </xdr:pic>
    <xdr:clientData/>
  </xdr:twoCellAnchor>
  <xdr:twoCellAnchor editAs="oneCell">
    <xdr:from>
      <xdr:col>9</xdr:col>
      <xdr:colOff>142875</xdr:colOff>
      <xdr:row>22</xdr:row>
      <xdr:rowOff>28575</xdr:rowOff>
    </xdr:from>
    <xdr:to>
      <xdr:col>9</xdr:col>
      <xdr:colOff>708109</xdr:colOff>
      <xdr:row>22</xdr:row>
      <xdr:rowOff>428681</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67700" y="9591675"/>
          <a:ext cx="565234" cy="400106"/>
        </a:xfrm>
        <a:prstGeom prst="rect">
          <a:avLst/>
        </a:prstGeom>
      </xdr:spPr>
    </xdr:pic>
    <xdr:clientData/>
  </xdr:twoCellAnchor>
  <xdr:twoCellAnchor editAs="oneCell">
    <xdr:from>
      <xdr:col>9</xdr:col>
      <xdr:colOff>19050</xdr:colOff>
      <xdr:row>23</xdr:row>
      <xdr:rowOff>114300</xdr:rowOff>
    </xdr:from>
    <xdr:to>
      <xdr:col>9</xdr:col>
      <xdr:colOff>808724</xdr:colOff>
      <xdr:row>23</xdr:row>
      <xdr:rowOff>466782</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3875" y="10172700"/>
          <a:ext cx="789674" cy="352482"/>
        </a:xfrm>
        <a:prstGeom prst="rect">
          <a:avLst/>
        </a:prstGeom>
      </xdr:spPr>
    </xdr:pic>
    <xdr:clientData/>
  </xdr:twoCellAnchor>
  <xdr:twoCellAnchor editAs="oneCell">
    <xdr:from>
      <xdr:col>9</xdr:col>
      <xdr:colOff>123825</xdr:colOff>
      <xdr:row>24</xdr:row>
      <xdr:rowOff>86888</xdr:rowOff>
    </xdr:from>
    <xdr:to>
      <xdr:col>9</xdr:col>
      <xdr:colOff>704850</xdr:colOff>
      <xdr:row>24</xdr:row>
      <xdr:rowOff>440951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48650" y="10640588"/>
          <a:ext cx="581025" cy="354063"/>
        </a:xfrm>
        <a:prstGeom prst="rect">
          <a:avLst/>
        </a:prstGeom>
      </xdr:spPr>
    </xdr:pic>
    <xdr:clientData/>
  </xdr:twoCellAnchor>
  <xdr:twoCellAnchor editAs="oneCell">
    <xdr:from>
      <xdr:col>9</xdr:col>
      <xdr:colOff>104775</xdr:colOff>
      <xdr:row>25</xdr:row>
      <xdr:rowOff>133050</xdr:rowOff>
    </xdr:from>
    <xdr:to>
      <xdr:col>9</xdr:col>
      <xdr:colOff>723900</xdr:colOff>
      <xdr:row>25</xdr:row>
      <xdr:rowOff>428686</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9600" y="11182050"/>
          <a:ext cx="619125" cy="295636"/>
        </a:xfrm>
        <a:prstGeom prst="rect">
          <a:avLst/>
        </a:prstGeom>
      </xdr:spPr>
    </xdr:pic>
    <xdr:clientData/>
  </xdr:twoCellAnchor>
  <xdr:twoCellAnchor editAs="oneCell">
    <xdr:from>
      <xdr:col>9</xdr:col>
      <xdr:colOff>47625</xdr:colOff>
      <xdr:row>26</xdr:row>
      <xdr:rowOff>169250</xdr:rowOff>
    </xdr:from>
    <xdr:to>
      <xdr:col>9</xdr:col>
      <xdr:colOff>647700</xdr:colOff>
      <xdr:row>26</xdr:row>
      <xdr:rowOff>409635</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2450" y="11713550"/>
          <a:ext cx="600075" cy="240385"/>
        </a:xfrm>
        <a:prstGeom prst="rect">
          <a:avLst/>
        </a:prstGeom>
      </xdr:spPr>
    </xdr:pic>
    <xdr:clientData/>
  </xdr:twoCellAnchor>
  <xdr:twoCellAnchor editAs="oneCell">
    <xdr:from>
      <xdr:col>9</xdr:col>
      <xdr:colOff>66675</xdr:colOff>
      <xdr:row>27</xdr:row>
      <xdr:rowOff>190499</xdr:rowOff>
    </xdr:from>
    <xdr:to>
      <xdr:col>9</xdr:col>
      <xdr:colOff>710968</xdr:colOff>
      <xdr:row>27</xdr:row>
      <xdr:rowOff>590550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0" y="12230099"/>
          <a:ext cx="644293" cy="400051"/>
        </a:xfrm>
        <a:prstGeom prst="rect">
          <a:avLst/>
        </a:prstGeom>
      </xdr:spPr>
    </xdr:pic>
    <xdr:clientData/>
  </xdr:twoCellAnchor>
  <xdr:twoCellAnchor editAs="oneCell">
    <xdr:from>
      <xdr:col>9</xdr:col>
      <xdr:colOff>38100</xdr:colOff>
      <xdr:row>28</xdr:row>
      <xdr:rowOff>247650</xdr:rowOff>
    </xdr:from>
    <xdr:to>
      <xdr:col>9</xdr:col>
      <xdr:colOff>768415</xdr:colOff>
      <xdr:row>28</xdr:row>
      <xdr:rowOff>542998</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2925" y="13096875"/>
          <a:ext cx="730315" cy="295348"/>
        </a:xfrm>
        <a:prstGeom prst="rect">
          <a:avLst/>
        </a:prstGeom>
      </xdr:spPr>
    </xdr:pic>
    <xdr:clientData/>
  </xdr:twoCellAnchor>
  <xdr:twoCellAnchor editAs="oneCell">
    <xdr:from>
      <xdr:col>9</xdr:col>
      <xdr:colOff>57150</xdr:colOff>
      <xdr:row>29</xdr:row>
      <xdr:rowOff>217602</xdr:rowOff>
    </xdr:from>
    <xdr:to>
      <xdr:col>9</xdr:col>
      <xdr:colOff>733425</xdr:colOff>
      <xdr:row>29</xdr:row>
      <xdr:rowOff>552519</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1975" y="13876452"/>
          <a:ext cx="676275" cy="334917"/>
        </a:xfrm>
        <a:prstGeom prst="rect">
          <a:avLst/>
        </a:prstGeom>
      </xdr:spPr>
    </xdr:pic>
    <xdr:clientData/>
  </xdr:twoCellAnchor>
  <xdr:twoCellAnchor editAs="oneCell">
    <xdr:from>
      <xdr:col>9</xdr:col>
      <xdr:colOff>9525</xdr:colOff>
      <xdr:row>30</xdr:row>
      <xdr:rowOff>266701</xdr:rowOff>
    </xdr:from>
    <xdr:to>
      <xdr:col>9</xdr:col>
      <xdr:colOff>764110</xdr:colOff>
      <xdr:row>30</xdr:row>
      <xdr:rowOff>403861</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5805" y="4876801"/>
          <a:ext cx="754585" cy="137160"/>
        </a:xfrm>
        <a:prstGeom prst="rect">
          <a:avLst/>
        </a:prstGeom>
      </xdr:spPr>
    </xdr:pic>
    <xdr:clientData/>
  </xdr:twoCellAnchor>
  <xdr:twoCellAnchor editAs="oneCell">
    <xdr:from>
      <xdr:col>9</xdr:col>
      <xdr:colOff>66675</xdr:colOff>
      <xdr:row>31</xdr:row>
      <xdr:rowOff>219076</xdr:rowOff>
    </xdr:from>
    <xdr:to>
      <xdr:col>9</xdr:col>
      <xdr:colOff>682625</xdr:colOff>
      <xdr:row>32</xdr:row>
      <xdr:rowOff>438150</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0" y="15497176"/>
          <a:ext cx="615950" cy="438150"/>
        </a:xfrm>
        <a:prstGeom prst="rect">
          <a:avLst/>
        </a:prstGeom>
      </xdr:spPr>
    </xdr:pic>
    <xdr:clientData/>
  </xdr:twoCellAnchor>
  <xdr:twoCellAnchor editAs="oneCell">
    <xdr:from>
      <xdr:col>9</xdr:col>
      <xdr:colOff>9525</xdr:colOff>
      <xdr:row>32</xdr:row>
      <xdr:rowOff>152400</xdr:rowOff>
    </xdr:from>
    <xdr:to>
      <xdr:col>9</xdr:col>
      <xdr:colOff>702422</xdr:colOff>
      <xdr:row>32</xdr:row>
      <xdr:rowOff>628767</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0" y="16240125"/>
          <a:ext cx="692897" cy="476367"/>
        </a:xfrm>
        <a:prstGeom prst="rect">
          <a:avLst/>
        </a:prstGeom>
      </xdr:spPr>
    </xdr:pic>
    <xdr:clientData/>
  </xdr:twoCellAnchor>
  <xdr:twoCellAnchor editAs="oneCell">
    <xdr:from>
      <xdr:col>9</xdr:col>
      <xdr:colOff>57150</xdr:colOff>
      <xdr:row>33</xdr:row>
      <xdr:rowOff>367495</xdr:rowOff>
    </xdr:from>
    <xdr:to>
      <xdr:col>9</xdr:col>
      <xdr:colOff>723900</xdr:colOff>
      <xdr:row>35</xdr:row>
      <xdr:rowOff>322195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1975" y="17264845"/>
          <a:ext cx="666750" cy="327910"/>
        </a:xfrm>
        <a:prstGeom prst="rect">
          <a:avLst/>
        </a:prstGeom>
      </xdr:spPr>
    </xdr:pic>
    <xdr:clientData/>
  </xdr:twoCellAnchor>
  <xdr:twoCellAnchor editAs="oneCell">
    <xdr:from>
      <xdr:col>9</xdr:col>
      <xdr:colOff>57150</xdr:colOff>
      <xdr:row>34</xdr:row>
      <xdr:rowOff>152400</xdr:rowOff>
    </xdr:from>
    <xdr:to>
      <xdr:col>9</xdr:col>
      <xdr:colOff>781151</xdr:colOff>
      <xdr:row>35</xdr:row>
      <xdr:rowOff>495369</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1975" y="17859375"/>
          <a:ext cx="724001" cy="495369"/>
        </a:xfrm>
        <a:prstGeom prst="rect">
          <a:avLst/>
        </a:prstGeom>
      </xdr:spPr>
    </xdr:pic>
    <xdr:clientData/>
  </xdr:twoCellAnchor>
  <xdr:twoCellAnchor editAs="oneCell">
    <xdr:from>
      <xdr:col>9</xdr:col>
      <xdr:colOff>66675</xdr:colOff>
      <xdr:row>35</xdr:row>
      <xdr:rowOff>240545</xdr:rowOff>
    </xdr:from>
    <xdr:to>
      <xdr:col>9</xdr:col>
      <xdr:colOff>790575</xdr:colOff>
      <xdr:row>35</xdr:row>
      <xdr:rowOff>590628</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0" y="18757145"/>
          <a:ext cx="723900" cy="350083"/>
        </a:xfrm>
        <a:prstGeom prst="rect">
          <a:avLst/>
        </a:prstGeom>
      </xdr:spPr>
    </xdr:pic>
    <xdr:clientData/>
  </xdr:twoCellAnchor>
  <xdr:twoCellAnchor editAs="oneCell">
    <xdr:from>
      <xdr:col>9</xdr:col>
      <xdr:colOff>19051</xdr:colOff>
      <xdr:row>36</xdr:row>
      <xdr:rowOff>171450</xdr:rowOff>
    </xdr:from>
    <xdr:to>
      <xdr:col>9</xdr:col>
      <xdr:colOff>771289</xdr:colOff>
      <xdr:row>38</xdr:row>
      <xdr:rowOff>22860</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3876" y="19497675"/>
          <a:ext cx="752238" cy="514350"/>
        </a:xfrm>
        <a:prstGeom prst="rect">
          <a:avLst/>
        </a:prstGeom>
      </xdr:spPr>
    </xdr:pic>
    <xdr:clientData/>
  </xdr:twoCellAnchor>
  <xdr:twoCellAnchor editAs="oneCell">
    <xdr:from>
      <xdr:col>9</xdr:col>
      <xdr:colOff>28575</xdr:colOff>
      <xdr:row>37</xdr:row>
      <xdr:rowOff>228859</xdr:rowOff>
    </xdr:from>
    <xdr:to>
      <xdr:col>9</xdr:col>
      <xdr:colOff>762000</xdr:colOff>
      <xdr:row>38</xdr:row>
      <xdr:rowOff>295106</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53400" y="20364709"/>
          <a:ext cx="733425" cy="295106"/>
        </a:xfrm>
        <a:prstGeom prst="rect">
          <a:avLst/>
        </a:prstGeom>
      </xdr:spPr>
    </xdr:pic>
    <xdr:clientData/>
  </xdr:twoCellAnchor>
  <xdr:twoCellAnchor editAs="oneCell">
    <xdr:from>
      <xdr:col>9</xdr:col>
      <xdr:colOff>19050</xdr:colOff>
      <xdr:row>38</xdr:row>
      <xdr:rowOff>257175</xdr:rowOff>
    </xdr:from>
    <xdr:to>
      <xdr:col>9</xdr:col>
      <xdr:colOff>704946</xdr:colOff>
      <xdr:row>41</xdr:row>
      <xdr:rowOff>51499</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3875" y="21202650"/>
          <a:ext cx="685896" cy="457264"/>
        </a:xfrm>
        <a:prstGeom prst="rect">
          <a:avLst/>
        </a:prstGeom>
      </xdr:spPr>
    </xdr:pic>
    <xdr:clientData/>
  </xdr:twoCellAnchor>
  <xdr:twoCellAnchor editAs="oneCell">
    <xdr:from>
      <xdr:col>9</xdr:col>
      <xdr:colOff>19050</xdr:colOff>
      <xdr:row>39</xdr:row>
      <xdr:rowOff>200025</xdr:rowOff>
    </xdr:from>
    <xdr:to>
      <xdr:col>9</xdr:col>
      <xdr:colOff>801321</xdr:colOff>
      <xdr:row>41</xdr:row>
      <xdr:rowOff>419228</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3875" y="21955125"/>
          <a:ext cx="782271" cy="419228"/>
        </a:xfrm>
        <a:prstGeom prst="rect">
          <a:avLst/>
        </a:prstGeom>
      </xdr:spPr>
    </xdr:pic>
    <xdr:clientData/>
  </xdr:twoCellAnchor>
  <xdr:twoCellAnchor editAs="oneCell">
    <xdr:from>
      <xdr:col>9</xdr:col>
      <xdr:colOff>47626</xdr:colOff>
      <xdr:row>40</xdr:row>
      <xdr:rowOff>292507</xdr:rowOff>
    </xdr:from>
    <xdr:to>
      <xdr:col>9</xdr:col>
      <xdr:colOff>762000</xdr:colOff>
      <xdr:row>41</xdr:row>
      <xdr:rowOff>326754</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2451" y="22857232"/>
          <a:ext cx="714374" cy="326754"/>
        </a:xfrm>
        <a:prstGeom prst="rect">
          <a:avLst/>
        </a:prstGeom>
      </xdr:spPr>
    </xdr:pic>
    <xdr:clientData/>
  </xdr:twoCellAnchor>
  <xdr:twoCellAnchor editAs="oneCell">
    <xdr:from>
      <xdr:col>9</xdr:col>
      <xdr:colOff>9526</xdr:colOff>
      <xdr:row>41</xdr:row>
      <xdr:rowOff>238124</xdr:rowOff>
    </xdr:from>
    <xdr:to>
      <xdr:col>9</xdr:col>
      <xdr:colOff>702716</xdr:colOff>
      <xdr:row>43</xdr:row>
      <xdr:rowOff>13407</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1" y="23612474"/>
          <a:ext cx="693190" cy="438223"/>
        </a:xfrm>
        <a:prstGeom prst="rect">
          <a:avLst/>
        </a:prstGeom>
      </xdr:spPr>
    </xdr:pic>
    <xdr:clientData/>
  </xdr:twoCellAnchor>
  <xdr:twoCellAnchor editAs="oneCell">
    <xdr:from>
      <xdr:col>9</xdr:col>
      <xdr:colOff>9525</xdr:colOff>
      <xdr:row>42</xdr:row>
      <xdr:rowOff>14557</xdr:rowOff>
    </xdr:from>
    <xdr:to>
      <xdr:col>9</xdr:col>
      <xdr:colOff>790575</xdr:colOff>
      <xdr:row>43</xdr:row>
      <xdr:rowOff>442761</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0" y="24198532"/>
          <a:ext cx="781050" cy="442761"/>
        </a:xfrm>
        <a:prstGeom prst="rect">
          <a:avLst/>
        </a:prstGeom>
      </xdr:spPr>
    </xdr:pic>
    <xdr:clientData/>
  </xdr:twoCellAnchor>
  <xdr:twoCellAnchor editAs="oneCell">
    <xdr:from>
      <xdr:col>9</xdr:col>
      <xdr:colOff>38100</xdr:colOff>
      <xdr:row>43</xdr:row>
      <xdr:rowOff>7603</xdr:rowOff>
    </xdr:from>
    <xdr:to>
      <xdr:col>9</xdr:col>
      <xdr:colOff>714375</xdr:colOff>
      <xdr:row>43</xdr:row>
      <xdr:rowOff>419249</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2925" y="25001203"/>
          <a:ext cx="676275" cy="411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40</xdr:row>
      <xdr:rowOff>161924</xdr:rowOff>
    </xdr:from>
    <xdr:to>
      <xdr:col>8</xdr:col>
      <xdr:colOff>380753</xdr:colOff>
      <xdr:row>45</xdr:row>
      <xdr:rowOff>95249</xdr:rowOff>
    </xdr:to>
    <xdr:pic>
      <xdr:nvPicPr>
        <xdr:cNvPr id="3" name="Picture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9058274"/>
          <a:ext cx="2209553" cy="885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37</xdr:col>
      <xdr:colOff>0</xdr:colOff>
      <xdr:row>27</xdr:row>
      <xdr:rowOff>129541</xdr:rowOff>
    </xdr:from>
    <xdr:to>
      <xdr:col>42</xdr:col>
      <xdr:colOff>281858</xdr:colOff>
      <xdr:row>29</xdr:row>
      <xdr:rowOff>76201</xdr:rowOff>
    </xdr:to>
    <xdr:pic>
      <xdr:nvPicPr>
        <xdr:cNvPr id="4" name="Picture 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8820" y="6362701"/>
          <a:ext cx="2224958" cy="312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9525</xdr:colOff>
      <xdr:row>34</xdr:row>
      <xdr:rowOff>123825</xdr:rowOff>
    </xdr:from>
    <xdr:to>
      <xdr:col>8</xdr:col>
      <xdr:colOff>938962</xdr:colOff>
      <xdr:row>41</xdr:row>
      <xdr:rowOff>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86450" y="45843825"/>
          <a:ext cx="2398403" cy="1209675"/>
        </a:xfrm>
        <a:prstGeom prst="rect">
          <a:avLst/>
        </a:prstGeom>
      </xdr:spPr>
    </xdr:pic>
    <xdr:clientData/>
  </xdr:twoCellAnchor>
  <xdr:oneCellAnchor>
    <xdr:from>
      <xdr:col>6</xdr:col>
      <xdr:colOff>76200</xdr:colOff>
      <xdr:row>81</xdr:row>
      <xdr:rowOff>142876</xdr:rowOff>
    </xdr:from>
    <xdr:ext cx="2274372" cy="1143000"/>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0843" y="77866876"/>
          <a:ext cx="2274372" cy="1143000"/>
        </a:xfrm>
        <a:prstGeom prst="rect">
          <a:avLst/>
        </a:prstGeom>
      </xdr:spPr>
    </xdr:pic>
    <xdr:clientData/>
  </xdr:oneCellAnchor>
  <xdr:oneCellAnchor>
    <xdr:from>
      <xdr:col>6</xdr:col>
      <xdr:colOff>76200</xdr:colOff>
      <xdr:row>128</xdr:row>
      <xdr:rowOff>142876</xdr:rowOff>
    </xdr:from>
    <xdr:ext cx="2274372" cy="1143000"/>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0843" y="77866876"/>
          <a:ext cx="2274372" cy="1143000"/>
        </a:xfrm>
        <a:prstGeom prst="rect">
          <a:avLst/>
        </a:prstGeom>
      </xdr:spPr>
    </xdr:pic>
    <xdr:clientData/>
  </xdr:oneCellAnchor>
  <xdr:oneCellAnchor>
    <xdr:from>
      <xdr:col>6</xdr:col>
      <xdr:colOff>76200</xdr:colOff>
      <xdr:row>174</xdr:row>
      <xdr:rowOff>142876</xdr:rowOff>
    </xdr:from>
    <xdr:ext cx="2274372" cy="1143000"/>
    <xdr:pic>
      <xdr:nvPicPr>
        <xdr:cNvPr id="28" name="Picture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020" y="162921316"/>
          <a:ext cx="2274372" cy="1143000"/>
        </a:xfrm>
        <a:prstGeom prst="rect">
          <a:avLst/>
        </a:prstGeom>
      </xdr:spPr>
    </xdr:pic>
    <xdr:clientData/>
  </xdr:oneCellAnchor>
  <xdr:oneCellAnchor>
    <xdr:from>
      <xdr:col>6</xdr:col>
      <xdr:colOff>76200</xdr:colOff>
      <xdr:row>219</xdr:row>
      <xdr:rowOff>142876</xdr:rowOff>
    </xdr:from>
    <xdr:ext cx="2274372" cy="1143000"/>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020" y="172400596"/>
          <a:ext cx="2274372" cy="1143000"/>
        </a:xfrm>
        <a:prstGeom prst="rect">
          <a:avLst/>
        </a:prstGeom>
      </xdr:spPr>
    </xdr:pic>
    <xdr:clientData/>
  </xdr:oneCellAnchor>
  <xdr:oneCellAnchor>
    <xdr:from>
      <xdr:col>6</xdr:col>
      <xdr:colOff>76200</xdr:colOff>
      <xdr:row>264</xdr:row>
      <xdr:rowOff>142876</xdr:rowOff>
    </xdr:from>
    <xdr:ext cx="2274372" cy="1143000"/>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020" y="162921316"/>
          <a:ext cx="2274372" cy="1143000"/>
        </a:xfrm>
        <a:prstGeom prst="rect">
          <a:avLst/>
        </a:prstGeom>
      </xdr:spPr>
    </xdr:pic>
    <xdr:clientData/>
  </xdr:oneCellAnchor>
  <xdr:oneCellAnchor>
    <xdr:from>
      <xdr:col>6</xdr:col>
      <xdr:colOff>76200</xdr:colOff>
      <xdr:row>309</xdr:row>
      <xdr:rowOff>142876</xdr:rowOff>
    </xdr:from>
    <xdr:ext cx="2274372" cy="1143000"/>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020" y="172400596"/>
          <a:ext cx="2274372" cy="1143000"/>
        </a:xfrm>
        <a:prstGeom prst="rect">
          <a:avLst/>
        </a:prstGeom>
      </xdr:spPr>
    </xdr:pic>
    <xdr:clientData/>
  </xdr:oneCellAnchor>
  <xdr:oneCellAnchor>
    <xdr:from>
      <xdr:col>8</xdr:col>
      <xdr:colOff>0</xdr:colOff>
      <xdr:row>356</xdr:row>
      <xdr:rowOff>0</xdr:rowOff>
    </xdr:from>
    <xdr:ext cx="2274372" cy="1143000"/>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1000" y="208068333"/>
          <a:ext cx="2274372" cy="1143000"/>
        </a:xfrm>
        <a:prstGeom prst="rect">
          <a:avLst/>
        </a:prstGeom>
      </xdr:spPr>
    </xdr:pic>
    <xdr:clientData/>
  </xdr:oneCellAnchor>
  <xdr:oneCellAnchor>
    <xdr:from>
      <xdr:col>8</xdr:col>
      <xdr:colOff>0</xdr:colOff>
      <xdr:row>406</xdr:row>
      <xdr:rowOff>0</xdr:rowOff>
    </xdr:from>
    <xdr:ext cx="2274372" cy="1143000"/>
    <xdr:pic>
      <xdr:nvPicPr>
        <xdr:cNvPr id="36" name="Picture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1000" y="208068333"/>
          <a:ext cx="2274372" cy="1143000"/>
        </a:xfrm>
        <a:prstGeom prst="rect">
          <a:avLst/>
        </a:prstGeom>
      </xdr:spPr>
    </xdr:pic>
    <xdr:clientData/>
  </xdr:oneCellAnchor>
  <xdr:oneCellAnchor>
    <xdr:from>
      <xdr:col>8</xdr:col>
      <xdr:colOff>0</xdr:colOff>
      <xdr:row>452</xdr:row>
      <xdr:rowOff>0</xdr:rowOff>
    </xdr:from>
    <xdr:ext cx="2274372" cy="1143000"/>
    <xdr:pic>
      <xdr:nvPicPr>
        <xdr:cNvPr id="37" name="Picture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1000" y="208068333"/>
          <a:ext cx="2274372" cy="1143000"/>
        </a:xfrm>
        <a:prstGeom prst="rect">
          <a:avLst/>
        </a:prstGeom>
      </xdr:spPr>
    </xdr:pic>
    <xdr:clientData/>
  </xdr:oneCellAnchor>
  <xdr:oneCellAnchor>
    <xdr:from>
      <xdr:col>8</xdr:col>
      <xdr:colOff>0</xdr:colOff>
      <xdr:row>499</xdr:row>
      <xdr:rowOff>0</xdr:rowOff>
    </xdr:from>
    <xdr:ext cx="2274372" cy="1143000"/>
    <xdr:pic>
      <xdr:nvPicPr>
        <xdr:cNvPr id="38" name="Picture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1000" y="208068333"/>
          <a:ext cx="2274372" cy="1143000"/>
        </a:xfrm>
        <a:prstGeom prst="rect">
          <a:avLst/>
        </a:prstGeom>
      </xdr:spPr>
    </xdr:pic>
    <xdr:clientData/>
  </xdr:oneCellAnchor>
  <xdr:oneCellAnchor>
    <xdr:from>
      <xdr:col>8</xdr:col>
      <xdr:colOff>0</xdr:colOff>
      <xdr:row>544</xdr:row>
      <xdr:rowOff>0</xdr:rowOff>
    </xdr:from>
    <xdr:ext cx="2274372" cy="1143000"/>
    <xdr:pic>
      <xdr:nvPicPr>
        <xdr:cNvPr id="16" name="Picture 15">
          <a:extLst>
            <a:ext uri="{FF2B5EF4-FFF2-40B4-BE49-F238E27FC236}">
              <a16:creationId xmlns:a16="http://schemas.microsoft.com/office/drawing/2014/main" id="{D91FE137-5658-4C9B-9ADD-E43D05BC37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5733" y="126187200"/>
          <a:ext cx="2274372" cy="1143000"/>
        </a:xfrm>
        <a:prstGeom prst="rect">
          <a:avLst/>
        </a:prstGeom>
      </xdr:spPr>
    </xdr:pic>
    <xdr:clientData/>
  </xdr:oneCellAnchor>
  <xdr:oneCellAnchor>
    <xdr:from>
      <xdr:col>8</xdr:col>
      <xdr:colOff>0</xdr:colOff>
      <xdr:row>591</xdr:row>
      <xdr:rowOff>0</xdr:rowOff>
    </xdr:from>
    <xdr:ext cx="2274372" cy="1143000"/>
    <xdr:pic>
      <xdr:nvPicPr>
        <xdr:cNvPr id="19" name="Picture 18">
          <a:extLst>
            <a:ext uri="{FF2B5EF4-FFF2-40B4-BE49-F238E27FC236}">
              <a16:creationId xmlns:a16="http://schemas.microsoft.com/office/drawing/2014/main" id="{40E59DD4-7580-4966-94BF-2034AEB2CF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5733" y="155558067"/>
          <a:ext cx="2274372" cy="1143000"/>
        </a:xfrm>
        <a:prstGeom prst="rect">
          <a:avLst/>
        </a:prstGeom>
      </xdr:spPr>
    </xdr:pic>
    <xdr:clientData/>
  </xdr:oneCellAnchor>
  <xdr:oneCellAnchor>
    <xdr:from>
      <xdr:col>8</xdr:col>
      <xdr:colOff>0</xdr:colOff>
      <xdr:row>637</xdr:row>
      <xdr:rowOff>0</xdr:rowOff>
    </xdr:from>
    <xdr:ext cx="2274372" cy="1143000"/>
    <xdr:pic>
      <xdr:nvPicPr>
        <xdr:cNvPr id="21" name="Picture 20">
          <a:extLst>
            <a:ext uri="{FF2B5EF4-FFF2-40B4-BE49-F238E27FC236}">
              <a16:creationId xmlns:a16="http://schemas.microsoft.com/office/drawing/2014/main" id="{96B5990B-BE95-4E5B-ACAF-9549199F47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5733" y="145762133"/>
          <a:ext cx="2274372" cy="1143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28</xdr:row>
      <xdr:rowOff>0</xdr:rowOff>
    </xdr:from>
    <xdr:to>
      <xdr:col>14</xdr:col>
      <xdr:colOff>0</xdr:colOff>
      <xdr:row>29</xdr:row>
      <xdr:rowOff>285750</xdr:rowOff>
    </xdr:to>
    <xdr:pic>
      <xdr:nvPicPr>
        <xdr:cNvPr id="3"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91300" y="8210550"/>
          <a:ext cx="1838325"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9</xdr:col>
      <xdr:colOff>123264</xdr:colOff>
      <xdr:row>39</xdr:row>
      <xdr:rowOff>100854</xdr:rowOff>
    </xdr:from>
    <xdr:ext cx="2752912" cy="1358562"/>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3235" y="24092648"/>
          <a:ext cx="2752912" cy="1358562"/>
        </a:xfrm>
        <a:prstGeom prst="rect">
          <a:avLst/>
        </a:prstGeom>
      </xdr:spPr>
    </xdr:pic>
    <xdr:clientData/>
  </xdr:oneCellAnchor>
  <xdr:oneCellAnchor>
    <xdr:from>
      <xdr:col>9</xdr:col>
      <xdr:colOff>123264</xdr:colOff>
      <xdr:row>91</xdr:row>
      <xdr:rowOff>100854</xdr:rowOff>
    </xdr:from>
    <xdr:ext cx="2752912" cy="1358562"/>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6852" y="93658766"/>
          <a:ext cx="2752912" cy="1358562"/>
        </a:xfrm>
        <a:prstGeom prst="rect">
          <a:avLst/>
        </a:prstGeom>
      </xdr:spPr>
    </xdr:pic>
    <xdr:clientData/>
  </xdr:oneCellAnchor>
  <xdr:oneCellAnchor>
    <xdr:from>
      <xdr:col>9</xdr:col>
      <xdr:colOff>123264</xdr:colOff>
      <xdr:row>145</xdr:row>
      <xdr:rowOff>100854</xdr:rowOff>
    </xdr:from>
    <xdr:ext cx="2752912" cy="1358562"/>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6852" y="133574119"/>
          <a:ext cx="2752912" cy="1358562"/>
        </a:xfrm>
        <a:prstGeom prst="rect">
          <a:avLst/>
        </a:prstGeom>
      </xdr:spPr>
    </xdr:pic>
    <xdr:clientData/>
  </xdr:oneCellAnchor>
  <xdr:oneCellAnchor>
    <xdr:from>
      <xdr:col>9</xdr:col>
      <xdr:colOff>123264</xdr:colOff>
      <xdr:row>198</xdr:row>
      <xdr:rowOff>100854</xdr:rowOff>
    </xdr:from>
    <xdr:ext cx="2752912" cy="1358562"/>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0224" y="219930234"/>
          <a:ext cx="2752912" cy="1358562"/>
        </a:xfrm>
        <a:prstGeom prst="rect">
          <a:avLst/>
        </a:prstGeom>
      </xdr:spPr>
    </xdr:pic>
    <xdr:clientData/>
  </xdr:oneCellAnchor>
  <xdr:oneCellAnchor>
    <xdr:from>
      <xdr:col>9</xdr:col>
      <xdr:colOff>123264</xdr:colOff>
      <xdr:row>247</xdr:row>
      <xdr:rowOff>100854</xdr:rowOff>
    </xdr:from>
    <xdr:ext cx="2752912" cy="1358562"/>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0224" y="219930234"/>
          <a:ext cx="2752912" cy="1358562"/>
        </a:xfrm>
        <a:prstGeom prst="rect">
          <a:avLst/>
        </a:prstGeom>
      </xdr:spPr>
    </xdr:pic>
    <xdr:clientData/>
  </xdr:oneCellAnchor>
  <xdr:oneCellAnchor>
    <xdr:from>
      <xdr:col>9</xdr:col>
      <xdr:colOff>123264</xdr:colOff>
      <xdr:row>292</xdr:row>
      <xdr:rowOff>100854</xdr:rowOff>
    </xdr:from>
    <xdr:ext cx="2752912" cy="1358562"/>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44882771"/>
          <a:ext cx="2752912" cy="1358562"/>
        </a:xfrm>
        <a:prstGeom prst="rect">
          <a:avLst/>
        </a:prstGeom>
      </xdr:spPr>
    </xdr:pic>
    <xdr:clientData/>
  </xdr:oneCellAnchor>
  <xdr:oneCellAnchor>
    <xdr:from>
      <xdr:col>9</xdr:col>
      <xdr:colOff>123264</xdr:colOff>
      <xdr:row>337</xdr:row>
      <xdr:rowOff>100854</xdr:rowOff>
    </xdr:from>
    <xdr:ext cx="2752912" cy="1358562"/>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44882771"/>
          <a:ext cx="2752912" cy="1358562"/>
        </a:xfrm>
        <a:prstGeom prst="rect">
          <a:avLst/>
        </a:prstGeom>
      </xdr:spPr>
    </xdr:pic>
    <xdr:clientData/>
  </xdr:oneCellAnchor>
  <xdr:oneCellAnchor>
    <xdr:from>
      <xdr:col>9</xdr:col>
      <xdr:colOff>123264</xdr:colOff>
      <xdr:row>382</xdr:row>
      <xdr:rowOff>100854</xdr:rowOff>
    </xdr:from>
    <xdr:ext cx="2752912" cy="1358562"/>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44882771"/>
          <a:ext cx="2752912" cy="1358562"/>
        </a:xfrm>
        <a:prstGeom prst="rect">
          <a:avLst/>
        </a:prstGeom>
      </xdr:spPr>
    </xdr:pic>
    <xdr:clientData/>
  </xdr:oneCellAnchor>
  <xdr:oneCellAnchor>
    <xdr:from>
      <xdr:col>9</xdr:col>
      <xdr:colOff>123264</xdr:colOff>
      <xdr:row>427</xdr:row>
      <xdr:rowOff>100854</xdr:rowOff>
    </xdr:from>
    <xdr:ext cx="2752912" cy="1358562"/>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44882771"/>
          <a:ext cx="2752912" cy="1358562"/>
        </a:xfrm>
        <a:prstGeom prst="rect">
          <a:avLst/>
        </a:prstGeom>
      </xdr:spPr>
    </xdr:pic>
    <xdr:clientData/>
  </xdr:oneCellAnchor>
  <xdr:oneCellAnchor>
    <xdr:from>
      <xdr:col>9</xdr:col>
      <xdr:colOff>123264</xdr:colOff>
      <xdr:row>476</xdr:row>
      <xdr:rowOff>100854</xdr:rowOff>
    </xdr:from>
    <xdr:ext cx="2752912" cy="1358562"/>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56016437"/>
          <a:ext cx="2752912" cy="1358562"/>
        </a:xfrm>
        <a:prstGeom prst="rect">
          <a:avLst/>
        </a:prstGeom>
      </xdr:spPr>
    </xdr:pic>
    <xdr:clientData/>
  </xdr:oneCellAnchor>
  <xdr:oneCellAnchor>
    <xdr:from>
      <xdr:col>9</xdr:col>
      <xdr:colOff>123264</xdr:colOff>
      <xdr:row>521</xdr:row>
      <xdr:rowOff>100854</xdr:rowOff>
    </xdr:from>
    <xdr:ext cx="2752912" cy="1358562"/>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65001687"/>
          <a:ext cx="2752912" cy="1358562"/>
        </a:xfrm>
        <a:prstGeom prst="rect">
          <a:avLst/>
        </a:prstGeom>
      </xdr:spPr>
    </xdr:pic>
    <xdr:clientData/>
  </xdr:oneCellAnchor>
  <xdr:oneCellAnchor>
    <xdr:from>
      <xdr:col>9</xdr:col>
      <xdr:colOff>123264</xdr:colOff>
      <xdr:row>527</xdr:row>
      <xdr:rowOff>0</xdr:rowOff>
    </xdr:from>
    <xdr:ext cx="2752912" cy="237813"/>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8531" y="204994187"/>
          <a:ext cx="2752912" cy="237813"/>
        </a:xfrm>
        <a:prstGeom prst="rect">
          <a:avLst/>
        </a:prstGeom>
      </xdr:spPr>
    </xdr:pic>
    <xdr:clientData/>
  </xdr:oneCellAnchor>
  <xdr:oneCellAnchor>
    <xdr:from>
      <xdr:col>9</xdr:col>
      <xdr:colOff>123264</xdr:colOff>
      <xdr:row>571</xdr:row>
      <xdr:rowOff>100854</xdr:rowOff>
    </xdr:from>
    <xdr:ext cx="2752912" cy="1358562"/>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1597" y="282972187"/>
          <a:ext cx="2752912" cy="1358562"/>
        </a:xfrm>
        <a:prstGeom prst="rect">
          <a:avLst/>
        </a:prstGeom>
      </xdr:spPr>
    </xdr:pic>
    <xdr:clientData/>
  </xdr:oneCellAnchor>
  <xdr:oneCellAnchor>
    <xdr:from>
      <xdr:col>9</xdr:col>
      <xdr:colOff>123264</xdr:colOff>
      <xdr:row>623</xdr:row>
      <xdr:rowOff>100854</xdr:rowOff>
    </xdr:from>
    <xdr:ext cx="2752912" cy="1358562"/>
    <xdr:pic>
      <xdr:nvPicPr>
        <xdr:cNvPr id="18" name="Picture 17">
          <a:extLst>
            <a:ext uri="{FF2B5EF4-FFF2-40B4-BE49-F238E27FC236}">
              <a16:creationId xmlns:a16="http://schemas.microsoft.com/office/drawing/2014/main" id="{184EE3DC-983D-4404-B9F0-636ACD4263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8531" y="185283787"/>
          <a:ext cx="2752912" cy="1358562"/>
        </a:xfrm>
        <a:prstGeom prst="rect">
          <a:avLst/>
        </a:prstGeom>
      </xdr:spPr>
    </xdr:pic>
    <xdr:clientData/>
  </xdr:oneCellAnchor>
  <xdr:oneCellAnchor>
    <xdr:from>
      <xdr:col>9</xdr:col>
      <xdr:colOff>123264</xdr:colOff>
      <xdr:row>668</xdr:row>
      <xdr:rowOff>100854</xdr:rowOff>
    </xdr:from>
    <xdr:ext cx="2752912" cy="1358562"/>
    <xdr:pic>
      <xdr:nvPicPr>
        <xdr:cNvPr id="22" name="Picture 21">
          <a:extLst>
            <a:ext uri="{FF2B5EF4-FFF2-40B4-BE49-F238E27FC236}">
              <a16:creationId xmlns:a16="http://schemas.microsoft.com/office/drawing/2014/main" id="{3A045E9A-FD1A-4212-AD14-4186F5179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8531" y="194072187"/>
          <a:ext cx="2752912" cy="1358562"/>
        </a:xfrm>
        <a:prstGeom prst="rect">
          <a:avLst/>
        </a:prstGeom>
      </xdr:spPr>
    </xdr:pic>
    <xdr:clientData/>
  </xdr:oneCellAnchor>
  <xdr:oneCellAnchor>
    <xdr:from>
      <xdr:col>9</xdr:col>
      <xdr:colOff>123264</xdr:colOff>
      <xdr:row>721</xdr:row>
      <xdr:rowOff>100854</xdr:rowOff>
    </xdr:from>
    <xdr:ext cx="2752912" cy="1358562"/>
    <xdr:pic>
      <xdr:nvPicPr>
        <xdr:cNvPr id="23" name="Picture 22">
          <a:extLst>
            <a:ext uri="{FF2B5EF4-FFF2-40B4-BE49-F238E27FC236}">
              <a16:creationId xmlns:a16="http://schemas.microsoft.com/office/drawing/2014/main" id="{EA035855-3346-44A5-86DA-24A31016B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8531" y="202860587"/>
          <a:ext cx="2752912" cy="135856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33</xdr:row>
      <xdr:rowOff>0</xdr:rowOff>
    </xdr:from>
    <xdr:to>
      <xdr:col>8</xdr:col>
      <xdr:colOff>180975</xdr:colOff>
      <xdr:row>38</xdr:row>
      <xdr:rowOff>162050</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0" y="23936325"/>
          <a:ext cx="2209800" cy="1114550"/>
        </a:xfrm>
        <a:prstGeom prst="rect">
          <a:avLst/>
        </a:prstGeom>
      </xdr:spPr>
    </xdr:pic>
    <xdr:clientData/>
  </xdr:twoCellAnchor>
  <xdr:twoCellAnchor editAs="oneCell">
    <xdr:from>
      <xdr:col>14</xdr:col>
      <xdr:colOff>0</xdr:colOff>
      <xdr:row>33</xdr:row>
      <xdr:rowOff>0</xdr:rowOff>
    </xdr:from>
    <xdr:to>
      <xdr:col>17</xdr:col>
      <xdr:colOff>381000</xdr:colOff>
      <xdr:row>38</xdr:row>
      <xdr:rowOff>162050</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4350" y="23936325"/>
          <a:ext cx="2209800" cy="1114550"/>
        </a:xfrm>
        <a:prstGeom prst="rect">
          <a:avLst/>
        </a:prstGeom>
      </xdr:spPr>
    </xdr:pic>
    <xdr:clientData/>
  </xdr:twoCellAnchor>
  <xdr:twoCellAnchor editAs="oneCell">
    <xdr:from>
      <xdr:col>4</xdr:col>
      <xdr:colOff>0</xdr:colOff>
      <xdr:row>78</xdr:row>
      <xdr:rowOff>0</xdr:rowOff>
    </xdr:from>
    <xdr:to>
      <xdr:col>7</xdr:col>
      <xdr:colOff>170392</xdr:colOff>
      <xdr:row>83</xdr:row>
      <xdr:rowOff>162050</xdr:rowOff>
    </xdr:to>
    <xdr:pic>
      <xdr:nvPicPr>
        <xdr:cNvPr id="20" name="Picture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0" y="76019025"/>
          <a:ext cx="2209800" cy="1114550"/>
        </a:xfrm>
        <a:prstGeom prst="rect">
          <a:avLst/>
        </a:prstGeom>
      </xdr:spPr>
    </xdr:pic>
    <xdr:clientData/>
  </xdr:twoCellAnchor>
  <xdr:twoCellAnchor editAs="oneCell">
    <xdr:from>
      <xdr:col>12</xdr:col>
      <xdr:colOff>0</xdr:colOff>
      <xdr:row>78</xdr:row>
      <xdr:rowOff>0</xdr:rowOff>
    </xdr:from>
    <xdr:to>
      <xdr:col>15</xdr:col>
      <xdr:colOff>381000</xdr:colOff>
      <xdr:row>83</xdr:row>
      <xdr:rowOff>162050</xdr:rowOff>
    </xdr:to>
    <xdr:pic>
      <xdr:nvPicPr>
        <xdr:cNvPr id="21" name="Picture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15150" y="76019025"/>
          <a:ext cx="2209800" cy="1114550"/>
        </a:xfrm>
        <a:prstGeom prst="rect">
          <a:avLst/>
        </a:prstGeom>
      </xdr:spPr>
    </xdr:pic>
    <xdr:clientData/>
  </xdr:twoCellAnchor>
  <xdr:twoCellAnchor editAs="oneCell">
    <xdr:from>
      <xdr:col>5</xdr:col>
      <xdr:colOff>0</xdr:colOff>
      <xdr:row>123</xdr:row>
      <xdr:rowOff>0</xdr:rowOff>
    </xdr:from>
    <xdr:to>
      <xdr:col>8</xdr:col>
      <xdr:colOff>180975</xdr:colOff>
      <xdr:row>128</xdr:row>
      <xdr:rowOff>162050</xdr:rowOff>
    </xdr:to>
    <xdr:pic>
      <xdr:nvPicPr>
        <xdr:cNvPr id="24" name="Picture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0" y="93506925"/>
          <a:ext cx="2209800" cy="1114550"/>
        </a:xfrm>
        <a:prstGeom prst="rect">
          <a:avLst/>
        </a:prstGeom>
      </xdr:spPr>
    </xdr:pic>
    <xdr:clientData/>
  </xdr:twoCellAnchor>
  <xdr:twoCellAnchor editAs="oneCell">
    <xdr:from>
      <xdr:col>12</xdr:col>
      <xdr:colOff>0</xdr:colOff>
      <xdr:row>123</xdr:row>
      <xdr:rowOff>0</xdr:rowOff>
    </xdr:from>
    <xdr:to>
      <xdr:col>15</xdr:col>
      <xdr:colOff>381000</xdr:colOff>
      <xdr:row>128</xdr:row>
      <xdr:rowOff>162050</xdr:rowOff>
    </xdr:to>
    <xdr:pic>
      <xdr:nvPicPr>
        <xdr:cNvPr id="25" name="Picture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15150" y="93506925"/>
          <a:ext cx="2209800" cy="111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28</xdr:row>
      <xdr:rowOff>38100</xdr:rowOff>
    </xdr:from>
    <xdr:to>
      <xdr:col>14</xdr:col>
      <xdr:colOff>381000</xdr:colOff>
      <xdr:row>31</xdr:row>
      <xdr:rowOff>47625</xdr:rowOff>
    </xdr:to>
    <xdr:pic>
      <xdr:nvPicPr>
        <xdr:cNvPr id="3"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0" y="6648450"/>
          <a:ext cx="2209800" cy="5810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542925</xdr:colOff>
      <xdr:row>34</xdr:row>
      <xdr:rowOff>9526</xdr:rowOff>
    </xdr:from>
    <xdr:to>
      <xdr:col>8</xdr:col>
      <xdr:colOff>333375</xdr:colOff>
      <xdr:row>39</xdr:row>
      <xdr:rowOff>181184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5900" y="7153276"/>
          <a:ext cx="2228850" cy="11241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142875</xdr:colOff>
      <xdr:row>33</xdr:row>
      <xdr:rowOff>123825</xdr:rowOff>
    </xdr:from>
    <xdr:to>
      <xdr:col>8</xdr:col>
      <xdr:colOff>259237</xdr:colOff>
      <xdr:row>38</xdr:row>
      <xdr:rowOff>152400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67325" y="6934200"/>
          <a:ext cx="1945162" cy="9810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476250</xdr:colOff>
      <xdr:row>31</xdr:row>
      <xdr:rowOff>57151</xdr:rowOff>
    </xdr:from>
    <xdr:to>
      <xdr:col>9</xdr:col>
      <xdr:colOff>457200</xdr:colOff>
      <xdr:row>37</xdr:row>
      <xdr:rowOff>134391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3600" y="6600826"/>
          <a:ext cx="2419350" cy="12202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95250</xdr:colOff>
      <xdr:row>30</xdr:row>
      <xdr:rowOff>171451</xdr:rowOff>
    </xdr:from>
    <xdr:to>
      <xdr:col>9</xdr:col>
      <xdr:colOff>247650</xdr:colOff>
      <xdr:row>36</xdr:row>
      <xdr:rowOff>27703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00675" y="5867401"/>
          <a:ext cx="1981200" cy="99925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22</xdr:row>
      <xdr:rowOff>142876</xdr:rowOff>
    </xdr:from>
    <xdr:to>
      <xdr:col>12</xdr:col>
      <xdr:colOff>417698</xdr:colOff>
      <xdr:row>28</xdr:row>
      <xdr:rowOff>180976</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67475" y="6762751"/>
          <a:ext cx="2341748" cy="11811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1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New%20folder/3.BURGEON%20-PUNE%20ASC-SEZ-JANUARY%2022-1/%23%23%23%23$$%20PAY%20SHEET%20JAN-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ddi/Desktop/&amp;&amp;%5e%5eBURGEONPAY%20SHEET%20March-22%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12">
          <cell r="C12" t="str">
            <v>BITS-542</v>
          </cell>
          <cell r="D12">
            <v>2108578</v>
          </cell>
          <cell r="E12" t="str">
            <v>Haneef</v>
          </cell>
          <cell r="F12" t="str">
            <v>PUNE ASC SEZ</v>
          </cell>
          <cell r="G12">
            <v>70000</v>
          </cell>
          <cell r="H12">
            <v>61740</v>
          </cell>
          <cell r="I12">
            <v>30</v>
          </cell>
          <cell r="J12">
            <v>30</v>
          </cell>
          <cell r="L12">
            <v>30</v>
          </cell>
          <cell r="M12">
            <v>37044</v>
          </cell>
          <cell r="N12">
            <v>14817.6</v>
          </cell>
          <cell r="O12">
            <v>2083</v>
          </cell>
          <cell r="P12">
            <v>2083</v>
          </cell>
          <cell r="Q12">
            <v>5825.4000000000015</v>
          </cell>
          <cell r="R12">
            <v>61853</v>
          </cell>
          <cell r="S12">
            <v>1950</v>
          </cell>
          <cell r="T12">
            <v>1554.6089999999999</v>
          </cell>
          <cell r="U12">
            <v>1781.8163999999999</v>
          </cell>
          <cell r="V12">
            <v>3087</v>
          </cell>
          <cell r="W12">
            <v>70226.425400000007</v>
          </cell>
          <cell r="Y12">
            <v>61853</v>
          </cell>
          <cell r="AA12">
            <v>200</v>
          </cell>
          <cell r="AB12">
            <v>1800</v>
          </cell>
          <cell r="AC12">
            <v>391.787848</v>
          </cell>
          <cell r="AE12">
            <v>2391.7878479999999</v>
          </cell>
          <cell r="AF12">
            <v>65884.425400000007</v>
          </cell>
        </row>
        <row r="13">
          <cell r="C13" t="str">
            <v>BITS-557</v>
          </cell>
          <cell r="D13">
            <v>2109800</v>
          </cell>
          <cell r="E13" t="str">
            <v>Ved Prakash 20-4-2022</v>
          </cell>
          <cell r="F13" t="str">
            <v>PUNE ASC SEZ</v>
          </cell>
          <cell r="G13">
            <v>80000</v>
          </cell>
          <cell r="H13">
            <v>71009</v>
          </cell>
          <cell r="I13">
            <v>30</v>
          </cell>
          <cell r="J13">
            <v>20</v>
          </cell>
          <cell r="L13">
            <v>20</v>
          </cell>
          <cell r="M13">
            <v>28403.599999999999</v>
          </cell>
          <cell r="N13">
            <v>11361.44</v>
          </cell>
          <cell r="O13">
            <v>1389</v>
          </cell>
          <cell r="P13">
            <v>1389</v>
          </cell>
          <cell r="Q13">
            <v>4909.2933333333349</v>
          </cell>
          <cell r="R13">
            <v>47452.333333333336</v>
          </cell>
          <cell r="S13">
            <v>1950</v>
          </cell>
          <cell r="T13">
            <v>1554.6089999999999</v>
          </cell>
          <cell r="U13">
            <v>1366.21316</v>
          </cell>
          <cell r="V13">
            <v>2366.9666666666667</v>
          </cell>
          <cell r="W13">
            <v>54690.122159999999</v>
          </cell>
          <cell r="Y13">
            <v>47452.333333333336</v>
          </cell>
          <cell r="AA13">
            <v>200</v>
          </cell>
          <cell r="AB13">
            <v>1800</v>
          </cell>
          <cell r="AC13">
            <v>440.76132899999999</v>
          </cell>
          <cell r="AE13">
            <v>2440.7613289999999</v>
          </cell>
          <cell r="AF13">
            <v>50299.788826666663</v>
          </cell>
        </row>
        <row r="14">
          <cell r="C14" t="str">
            <v>BITS-559</v>
          </cell>
          <cell r="D14">
            <v>2110592</v>
          </cell>
          <cell r="E14" t="str">
            <v>GauravVispute</v>
          </cell>
          <cell r="F14" t="str">
            <v>PUNE ASC SEZ</v>
          </cell>
          <cell r="G14">
            <v>50000</v>
          </cell>
          <cell r="H14">
            <v>43202</v>
          </cell>
          <cell r="I14">
            <v>30</v>
          </cell>
          <cell r="J14">
            <v>28</v>
          </cell>
          <cell r="K14">
            <v>2</v>
          </cell>
          <cell r="L14">
            <v>29</v>
          </cell>
          <cell r="M14">
            <v>25057.16</v>
          </cell>
          <cell r="N14">
            <v>10022.864000000001</v>
          </cell>
          <cell r="O14">
            <v>2014</v>
          </cell>
          <cell r="P14">
            <v>2014</v>
          </cell>
          <cell r="Q14">
            <v>2766.9093333333294</v>
          </cell>
          <cell r="R14">
            <v>41874.933333333334</v>
          </cell>
          <cell r="S14">
            <v>1950</v>
          </cell>
          <cell r="T14">
            <v>1554.6089999999999</v>
          </cell>
          <cell r="U14">
            <v>1205.2493959999999</v>
          </cell>
          <cell r="V14">
            <v>2088.0966666666668</v>
          </cell>
          <cell r="W14">
            <v>48672.888395999995</v>
          </cell>
          <cell r="Y14">
            <v>41874.933333333334</v>
          </cell>
          <cell r="AA14">
            <v>200</v>
          </cell>
          <cell r="AB14">
            <v>1800</v>
          </cell>
          <cell r="AC14">
            <v>391.787848</v>
          </cell>
          <cell r="AE14">
            <v>2391.7878479999999</v>
          </cell>
          <cell r="AF14">
            <v>44330.955062666661</v>
          </cell>
        </row>
        <row r="15">
          <cell r="C15" t="str">
            <v>BITS-564</v>
          </cell>
          <cell r="D15">
            <v>2110635</v>
          </cell>
          <cell r="E15" t="str">
            <v>Amith a</v>
          </cell>
          <cell r="F15" t="str">
            <v>PUNE STP</v>
          </cell>
          <cell r="G15">
            <v>65000</v>
          </cell>
          <cell r="H15">
            <v>57105</v>
          </cell>
          <cell r="I15">
            <v>30</v>
          </cell>
          <cell r="J15">
            <v>30</v>
          </cell>
          <cell r="L15">
            <v>30</v>
          </cell>
          <cell r="M15">
            <v>34263</v>
          </cell>
          <cell r="N15">
            <v>13705.2</v>
          </cell>
          <cell r="O15">
            <v>2083</v>
          </cell>
          <cell r="P15">
            <v>2083</v>
          </cell>
          <cell r="Q15">
            <v>5083.8000000000029</v>
          </cell>
          <cell r="R15">
            <v>57218</v>
          </cell>
          <cell r="S15">
            <v>1950</v>
          </cell>
          <cell r="T15">
            <v>1554.6089999999999</v>
          </cell>
          <cell r="U15">
            <v>1648.0502999999999</v>
          </cell>
          <cell r="V15">
            <v>2855.25</v>
          </cell>
          <cell r="W15">
            <v>65225.909299999999</v>
          </cell>
          <cell r="Y15">
            <v>57218</v>
          </cell>
          <cell r="AA15">
            <v>200</v>
          </cell>
          <cell r="AB15">
            <v>1800</v>
          </cell>
          <cell r="AC15">
            <v>440.76132899999999</v>
          </cell>
          <cell r="AE15">
            <v>2440.7613289999999</v>
          </cell>
          <cell r="AF15">
            <v>60834.909299999999</v>
          </cell>
        </row>
        <row r="16">
          <cell r="C16" t="str">
            <v>BITS-565</v>
          </cell>
          <cell r="D16">
            <v>2110700</v>
          </cell>
          <cell r="E16" t="str">
            <v>RajasekharReddy KN</v>
          </cell>
          <cell r="F16" t="str">
            <v>BNG STP</v>
          </cell>
          <cell r="G16">
            <v>75000</v>
          </cell>
          <cell r="H16">
            <v>66374</v>
          </cell>
          <cell r="I16">
            <v>30</v>
          </cell>
          <cell r="J16">
            <v>29</v>
          </cell>
          <cell r="K16">
            <v>1</v>
          </cell>
          <cell r="L16">
            <v>30</v>
          </cell>
          <cell r="M16">
            <v>39824.400000000001</v>
          </cell>
          <cell r="N16">
            <v>15929.760000000002</v>
          </cell>
          <cell r="O16">
            <v>2083</v>
          </cell>
          <cell r="P16">
            <v>2083</v>
          </cell>
          <cell r="Q16">
            <v>6566.8399999999965</v>
          </cell>
          <cell r="R16">
            <v>66487</v>
          </cell>
          <cell r="S16">
            <v>1950</v>
          </cell>
          <cell r="T16">
            <v>1554.6089999999999</v>
          </cell>
          <cell r="U16">
            <v>1915.5536400000001</v>
          </cell>
          <cell r="V16">
            <v>3318.7000000000003</v>
          </cell>
          <cell r="W16">
            <v>75225.862639999992</v>
          </cell>
          <cell r="Y16">
            <v>66487</v>
          </cell>
          <cell r="AA16">
            <v>200</v>
          </cell>
          <cell r="AB16">
            <v>1800</v>
          </cell>
          <cell r="AC16">
            <v>391.787848</v>
          </cell>
          <cell r="AE16">
            <v>2391.7878479999999</v>
          </cell>
          <cell r="AF16">
            <v>70883.862639999992</v>
          </cell>
        </row>
        <row r="17">
          <cell r="C17" t="str">
            <v>BITS-566</v>
          </cell>
          <cell r="D17">
            <v>2110684</v>
          </cell>
          <cell r="E17" t="str">
            <v>Moulika GM</v>
          </cell>
          <cell r="F17" t="str">
            <v>BNG STP</v>
          </cell>
          <cell r="G17">
            <v>25000</v>
          </cell>
          <cell r="H17">
            <v>20029</v>
          </cell>
          <cell r="I17">
            <v>30</v>
          </cell>
          <cell r="J17">
            <v>30</v>
          </cell>
          <cell r="L17">
            <v>30</v>
          </cell>
          <cell r="M17">
            <v>12017.4</v>
          </cell>
          <cell r="N17">
            <v>4806.96</v>
          </cell>
          <cell r="O17">
            <v>2083</v>
          </cell>
          <cell r="P17">
            <v>2083</v>
          </cell>
          <cell r="Q17">
            <v>-848.36000000000058</v>
          </cell>
          <cell r="R17">
            <v>20142</v>
          </cell>
          <cell r="S17">
            <v>1562.2619999999999</v>
          </cell>
          <cell r="T17">
            <v>1554.6089999999999</v>
          </cell>
          <cell r="U17">
            <v>578.03693999999996</v>
          </cell>
          <cell r="V17">
            <v>1001.4499999999999</v>
          </cell>
          <cell r="W17">
            <v>24838.357939999998</v>
          </cell>
          <cell r="Y17">
            <v>20142</v>
          </cell>
          <cell r="AA17">
            <v>200</v>
          </cell>
          <cell r="AB17">
            <v>1442</v>
          </cell>
          <cell r="AC17">
            <v>391.787848</v>
          </cell>
          <cell r="AE17">
            <v>2033.7878479999999</v>
          </cell>
          <cell r="AF17">
            <v>21242.095940000003</v>
          </cell>
        </row>
        <row r="18">
          <cell r="C18" t="str">
            <v>BITS-567</v>
          </cell>
          <cell r="D18">
            <v>2110899</v>
          </cell>
          <cell r="E18" t="str">
            <v>AsokKumar J</v>
          </cell>
          <cell r="F18" t="str">
            <v>BNG STP</v>
          </cell>
          <cell r="G18">
            <v>135000</v>
          </cell>
          <cell r="H18">
            <v>121988</v>
          </cell>
          <cell r="I18">
            <v>30</v>
          </cell>
          <cell r="J18">
            <v>27</v>
          </cell>
          <cell r="K18">
            <v>3</v>
          </cell>
          <cell r="L18">
            <v>28</v>
          </cell>
          <cell r="M18">
            <v>68313.279999999999</v>
          </cell>
          <cell r="N18">
            <v>27325.312000000002</v>
          </cell>
          <cell r="O18">
            <v>1944</v>
          </cell>
          <cell r="P18">
            <v>1944</v>
          </cell>
          <cell r="Q18">
            <v>14441.874666666656</v>
          </cell>
          <cell r="R18">
            <v>113968.46666666666</v>
          </cell>
          <cell r="S18">
            <v>1950</v>
          </cell>
          <cell r="T18">
            <v>1554.6089999999999</v>
          </cell>
          <cell r="U18">
            <v>3285.8687679999998</v>
          </cell>
          <cell r="V18">
            <v>5692.7733333333335</v>
          </cell>
          <cell r="W18">
            <v>126451.71776799999</v>
          </cell>
          <cell r="Y18">
            <v>113968.46666666666</v>
          </cell>
          <cell r="AA18">
            <v>200</v>
          </cell>
          <cell r="AB18">
            <v>1800</v>
          </cell>
          <cell r="AC18">
            <v>391.787848</v>
          </cell>
          <cell r="AE18">
            <v>2391.7878479999999</v>
          </cell>
          <cell r="AF18">
            <v>122110.25110133333</v>
          </cell>
        </row>
        <row r="19">
          <cell r="C19" t="str">
            <v>BITS-568</v>
          </cell>
          <cell r="D19">
            <v>2110947</v>
          </cell>
          <cell r="E19" t="str">
            <v>RUKNUDEEN S</v>
          </cell>
          <cell r="F19" t="str">
            <v>HYD SEZ</v>
          </cell>
          <cell r="G19">
            <v>100000</v>
          </cell>
          <cell r="H19">
            <v>89547</v>
          </cell>
          <cell r="I19">
            <v>30</v>
          </cell>
          <cell r="J19">
            <v>29</v>
          </cell>
          <cell r="K19">
            <v>1</v>
          </cell>
          <cell r="L19">
            <v>30</v>
          </cell>
          <cell r="M19">
            <v>53728.2</v>
          </cell>
          <cell r="N19">
            <v>21491.279999999999</v>
          </cell>
          <cell r="O19">
            <v>2083</v>
          </cell>
          <cell r="P19">
            <v>2083</v>
          </cell>
          <cell r="Q19">
            <v>10274.520000000004</v>
          </cell>
          <cell r="R19">
            <v>89660</v>
          </cell>
          <cell r="S19">
            <v>1950</v>
          </cell>
          <cell r="T19">
            <v>1554.6089999999999</v>
          </cell>
          <cell r="U19">
            <v>2584.3264199999994</v>
          </cell>
          <cell r="V19">
            <v>4477.3499999999995</v>
          </cell>
          <cell r="W19">
            <v>100226.28542</v>
          </cell>
          <cell r="Y19">
            <v>89660</v>
          </cell>
          <cell r="AA19">
            <v>200</v>
          </cell>
          <cell r="AB19">
            <v>1800</v>
          </cell>
          <cell r="AC19">
            <v>391.787848</v>
          </cell>
          <cell r="AE19">
            <v>2391.7878479999999</v>
          </cell>
          <cell r="AF19">
            <v>95884.28542</v>
          </cell>
        </row>
        <row r="20">
          <cell r="C20" t="str">
            <v>BITS-569</v>
          </cell>
          <cell r="D20">
            <v>2110966</v>
          </cell>
          <cell r="E20" t="str">
            <v>Rajesh Kongara</v>
          </cell>
          <cell r="F20" t="str">
            <v>BNG SEZ</v>
          </cell>
          <cell r="G20">
            <v>130000</v>
          </cell>
          <cell r="H20">
            <v>117354</v>
          </cell>
          <cell r="I20">
            <v>30</v>
          </cell>
          <cell r="J20">
            <v>29</v>
          </cell>
          <cell r="K20">
            <v>1</v>
          </cell>
          <cell r="L20">
            <v>30</v>
          </cell>
          <cell r="M20">
            <v>70412.399999999994</v>
          </cell>
          <cell r="N20">
            <v>28164.959999999999</v>
          </cell>
          <cell r="O20">
            <v>2083</v>
          </cell>
          <cell r="P20">
            <v>2083</v>
          </cell>
          <cell r="Q20">
            <v>14723.640000000014</v>
          </cell>
          <cell r="R20">
            <v>117467</v>
          </cell>
          <cell r="S20">
            <v>1950</v>
          </cell>
          <cell r="T20">
            <v>1554.6089999999999</v>
          </cell>
          <cell r="U20">
            <v>3386.8364399999996</v>
          </cell>
          <cell r="V20">
            <v>5867.7</v>
          </cell>
          <cell r="W20">
            <v>130226.14543999999</v>
          </cell>
          <cell r="Y20">
            <v>117467</v>
          </cell>
          <cell r="AA20">
            <v>200</v>
          </cell>
          <cell r="AB20">
            <v>1800</v>
          </cell>
          <cell r="AC20">
            <v>391.787848</v>
          </cell>
          <cell r="AE20">
            <v>2391.7878479999999</v>
          </cell>
          <cell r="AF20">
            <v>125884.14543999999</v>
          </cell>
        </row>
        <row r="21">
          <cell r="C21" t="str">
            <v>BITS-572</v>
          </cell>
          <cell r="D21">
            <v>2111448</v>
          </cell>
          <cell r="E21" t="str">
            <v>Yarramaddu Raveendra Reddy</v>
          </cell>
          <cell r="F21" t="str">
            <v>PUNE SEZ 1</v>
          </cell>
          <cell r="G21">
            <v>70000</v>
          </cell>
          <cell r="H21">
            <v>61740</v>
          </cell>
          <cell r="I21">
            <v>30</v>
          </cell>
          <cell r="J21">
            <v>29</v>
          </cell>
          <cell r="K21">
            <v>1</v>
          </cell>
          <cell r="L21">
            <v>30</v>
          </cell>
          <cell r="M21">
            <v>37044</v>
          </cell>
          <cell r="N21">
            <v>14817.6</v>
          </cell>
          <cell r="O21">
            <v>2083</v>
          </cell>
          <cell r="P21">
            <v>2083</v>
          </cell>
          <cell r="Q21">
            <v>5825.4000000000015</v>
          </cell>
          <cell r="R21">
            <v>61853</v>
          </cell>
          <cell r="S21">
            <v>1950</v>
          </cell>
          <cell r="T21">
            <v>1554.6089999999999</v>
          </cell>
          <cell r="U21">
            <v>1781.8163999999999</v>
          </cell>
          <cell r="V21">
            <v>3087</v>
          </cell>
          <cell r="W21">
            <v>70226.425400000007</v>
          </cell>
          <cell r="Y21">
            <v>61853</v>
          </cell>
          <cell r="AA21">
            <v>200</v>
          </cell>
          <cell r="AB21">
            <v>1800</v>
          </cell>
          <cell r="AC21">
            <v>391.787848</v>
          </cell>
          <cell r="AE21">
            <v>2391.7878479999999</v>
          </cell>
          <cell r="AF21">
            <v>65884.425400000007</v>
          </cell>
        </row>
        <row r="22">
          <cell r="C22" t="str">
            <v>BITS-574</v>
          </cell>
          <cell r="E22" t="str">
            <v>Naresh Kandhula</v>
          </cell>
          <cell r="F22" t="str">
            <v>Mumbai</v>
          </cell>
          <cell r="G22">
            <v>125000</v>
          </cell>
          <cell r="H22">
            <v>112719</v>
          </cell>
          <cell r="I22">
            <v>30</v>
          </cell>
          <cell r="J22">
            <v>30</v>
          </cell>
          <cell r="L22">
            <v>30</v>
          </cell>
          <cell r="M22">
            <v>67631.399999999994</v>
          </cell>
          <cell r="N22">
            <v>27052.559999999998</v>
          </cell>
          <cell r="O22">
            <v>2083</v>
          </cell>
          <cell r="P22">
            <v>2083</v>
          </cell>
          <cell r="Q22">
            <v>13982.040000000008</v>
          </cell>
          <cell r="R22">
            <v>112832</v>
          </cell>
          <cell r="S22">
            <v>1950</v>
          </cell>
          <cell r="T22">
            <v>1554.6089999999999</v>
          </cell>
          <cell r="U22">
            <v>3253.0703399999993</v>
          </cell>
          <cell r="V22">
            <v>5635.95</v>
          </cell>
          <cell r="W22">
            <v>125225.62934</v>
          </cell>
          <cell r="Y22">
            <v>112832</v>
          </cell>
          <cell r="AA22">
            <v>200</v>
          </cell>
          <cell r="AB22">
            <v>1800</v>
          </cell>
          <cell r="AC22">
            <v>440.76132899999999</v>
          </cell>
          <cell r="AE22">
            <v>2440.7613289999999</v>
          </cell>
          <cell r="AF22">
            <v>120834.62934</v>
          </cell>
        </row>
        <row r="23">
          <cell r="C23" t="str">
            <v>BITS-577</v>
          </cell>
          <cell r="D23">
            <v>2112033</v>
          </cell>
          <cell r="E23" t="str">
            <v>Majed Khan</v>
          </cell>
          <cell r="F23" t="str">
            <v>BNG STP</v>
          </cell>
          <cell r="G23">
            <v>150000</v>
          </cell>
          <cell r="H23">
            <v>135892</v>
          </cell>
          <cell r="I23">
            <v>30</v>
          </cell>
          <cell r="J23">
            <v>29</v>
          </cell>
          <cell r="K23">
            <v>1</v>
          </cell>
          <cell r="L23">
            <v>30</v>
          </cell>
          <cell r="M23">
            <v>81535.199999999997</v>
          </cell>
          <cell r="N23">
            <v>32614.080000000002</v>
          </cell>
          <cell r="O23">
            <v>2083</v>
          </cell>
          <cell r="P23">
            <v>2083</v>
          </cell>
          <cell r="Q23">
            <v>17689.72</v>
          </cell>
          <cell r="R23">
            <v>136005</v>
          </cell>
          <cell r="S23">
            <v>1950</v>
          </cell>
          <cell r="T23">
            <v>1554.6089999999999</v>
          </cell>
          <cell r="U23">
            <v>3921.8431199999995</v>
          </cell>
          <cell r="V23">
            <v>6794.5999999999995</v>
          </cell>
          <cell r="W23">
            <v>150226.05212000001</v>
          </cell>
          <cell r="Y23">
            <v>136005</v>
          </cell>
          <cell r="AA23">
            <v>200</v>
          </cell>
          <cell r="AB23">
            <v>1800</v>
          </cell>
          <cell r="AC23">
            <v>391.787848</v>
          </cell>
          <cell r="AE23">
            <v>2391.7878479999999</v>
          </cell>
          <cell r="AF23">
            <v>145884.05212000001</v>
          </cell>
        </row>
        <row r="24">
          <cell r="C24" t="str">
            <v>BITS-587</v>
          </cell>
          <cell r="E24" t="str">
            <v>Madan</v>
          </cell>
          <cell r="F24" t="str">
            <v>BNG STP</v>
          </cell>
          <cell r="G24">
            <v>105000</v>
          </cell>
          <cell r="H24">
            <v>94181</v>
          </cell>
          <cell r="I24">
            <v>30</v>
          </cell>
          <cell r="J24">
            <v>30</v>
          </cell>
          <cell r="L24">
            <v>30</v>
          </cell>
          <cell r="M24">
            <v>56508.6</v>
          </cell>
          <cell r="N24">
            <v>22603.440000000002</v>
          </cell>
          <cell r="O24">
            <v>2083</v>
          </cell>
          <cell r="P24">
            <v>2083</v>
          </cell>
          <cell r="Q24">
            <v>11015.959999999992</v>
          </cell>
          <cell r="R24">
            <v>94294</v>
          </cell>
          <cell r="S24">
            <v>1950</v>
          </cell>
          <cell r="T24">
            <v>1554.6089999999999</v>
          </cell>
          <cell r="U24">
            <v>2718.0636599999998</v>
          </cell>
          <cell r="V24">
            <v>4709.05</v>
          </cell>
          <cell r="W24">
            <v>105225.72266</v>
          </cell>
          <cell r="Y24">
            <v>94294</v>
          </cell>
          <cell r="AA24">
            <v>200</v>
          </cell>
          <cell r="AB24">
            <v>1800</v>
          </cell>
          <cell r="AC24">
            <v>391.787848</v>
          </cell>
          <cell r="AE24">
            <v>2391.7878479999999</v>
          </cell>
          <cell r="AF24">
            <v>100883.72266</v>
          </cell>
        </row>
        <row r="25">
          <cell r="C25" t="str">
            <v>BITS-592</v>
          </cell>
          <cell r="E25" t="str">
            <v>Sachin Ameshram</v>
          </cell>
          <cell r="F25" t="str">
            <v>BNG STP</v>
          </cell>
          <cell r="G25">
            <v>95000</v>
          </cell>
          <cell r="H25">
            <v>84912</v>
          </cell>
          <cell r="I25">
            <v>30</v>
          </cell>
          <cell r="J25">
            <v>13</v>
          </cell>
          <cell r="L25">
            <v>13</v>
          </cell>
          <cell r="M25">
            <v>22077.119999999999</v>
          </cell>
          <cell r="N25">
            <v>8830.848</v>
          </cell>
          <cell r="O25">
            <v>903</v>
          </cell>
          <cell r="P25">
            <v>903</v>
          </cell>
          <cell r="Q25">
            <v>4194.2319999999963</v>
          </cell>
          <cell r="R25">
            <v>36908.199999999997</v>
          </cell>
          <cell r="S25">
            <v>1950</v>
          </cell>
          <cell r="T25">
            <v>1554.6089999999999</v>
          </cell>
          <cell r="U25">
            <v>1061.9094719999998</v>
          </cell>
          <cell r="V25">
            <v>1839.76</v>
          </cell>
          <cell r="W25">
            <v>43314.478471999995</v>
          </cell>
          <cell r="Y25">
            <v>36908.199999999997</v>
          </cell>
          <cell r="AA25">
            <v>200</v>
          </cell>
          <cell r="AB25">
            <v>1800</v>
          </cell>
          <cell r="AC25">
            <v>391.787848</v>
          </cell>
          <cell r="AE25">
            <v>2391.7878479999999</v>
          </cell>
          <cell r="AF25">
            <v>38972.278471999998</v>
          </cell>
        </row>
        <row r="26">
          <cell r="C26" t="str">
            <v>BITS-597</v>
          </cell>
          <cell r="E26" t="str">
            <v>Srikanth Thota</v>
          </cell>
          <cell r="F26" t="str">
            <v>HYD SEZ</v>
          </cell>
          <cell r="G26">
            <v>115000</v>
          </cell>
          <cell r="H26">
            <v>103451</v>
          </cell>
          <cell r="I26">
            <v>30</v>
          </cell>
          <cell r="J26">
            <v>29</v>
          </cell>
          <cell r="K26">
            <v>1</v>
          </cell>
          <cell r="L26">
            <v>30</v>
          </cell>
          <cell r="M26">
            <v>62070.6</v>
          </cell>
          <cell r="N26">
            <v>24828.240000000002</v>
          </cell>
          <cell r="O26">
            <v>2083</v>
          </cell>
          <cell r="P26">
            <v>2083</v>
          </cell>
          <cell r="Q26">
            <v>12499.160000000003</v>
          </cell>
          <cell r="R26">
            <v>103564</v>
          </cell>
          <cell r="S26">
            <v>1950</v>
          </cell>
          <cell r="T26">
            <v>1554.6089999999999</v>
          </cell>
          <cell r="U26">
            <v>2985.5958599999994</v>
          </cell>
          <cell r="V26">
            <v>5172.55</v>
          </cell>
          <cell r="W26">
            <v>115226.75486</v>
          </cell>
          <cell r="Y26">
            <v>103564</v>
          </cell>
          <cell r="AA26">
            <v>200</v>
          </cell>
          <cell r="AB26">
            <v>1800</v>
          </cell>
          <cell r="AC26">
            <v>377</v>
          </cell>
          <cell r="AE26">
            <v>2377</v>
          </cell>
          <cell r="AF26">
            <v>110899.75486</v>
          </cell>
        </row>
        <row r="27">
          <cell r="C27" t="str">
            <v>BITS-600</v>
          </cell>
          <cell r="E27" t="str">
            <v>Shekhar Panchal</v>
          </cell>
          <cell r="F27" t="str">
            <v>HYD SEZ</v>
          </cell>
          <cell r="G27">
            <v>75000</v>
          </cell>
          <cell r="H27">
            <v>66374</v>
          </cell>
          <cell r="I27">
            <v>30</v>
          </cell>
          <cell r="J27">
            <v>30</v>
          </cell>
          <cell r="L27">
            <v>30</v>
          </cell>
          <cell r="M27">
            <v>39824.400000000001</v>
          </cell>
          <cell r="N27">
            <v>15929.760000000002</v>
          </cell>
          <cell r="O27">
            <v>2083</v>
          </cell>
          <cell r="P27">
            <v>2083</v>
          </cell>
          <cell r="Q27">
            <v>6566.8399999999965</v>
          </cell>
          <cell r="R27">
            <v>66487</v>
          </cell>
          <cell r="S27">
            <v>1950</v>
          </cell>
          <cell r="T27">
            <v>1554.6089999999999</v>
          </cell>
          <cell r="U27">
            <v>1915.5536400000001</v>
          </cell>
          <cell r="V27">
            <v>3318.7000000000003</v>
          </cell>
          <cell r="W27">
            <v>75225.862639999992</v>
          </cell>
          <cell r="Y27">
            <v>66487</v>
          </cell>
          <cell r="AA27">
            <v>200</v>
          </cell>
          <cell r="AB27">
            <v>1800</v>
          </cell>
          <cell r="AC27">
            <v>336</v>
          </cell>
          <cell r="AE27">
            <v>2336</v>
          </cell>
          <cell r="AF27">
            <v>70939.862639999992</v>
          </cell>
        </row>
        <row r="28">
          <cell r="C28" t="str">
            <v>BITS-602</v>
          </cell>
          <cell r="E28" t="str">
            <v>Girish Bandi</v>
          </cell>
          <cell r="F28" t="str">
            <v>BNG SEZ</v>
          </cell>
          <cell r="G28">
            <v>80000</v>
          </cell>
          <cell r="H28">
            <v>71009</v>
          </cell>
          <cell r="I28">
            <v>30</v>
          </cell>
          <cell r="J28">
            <v>29</v>
          </cell>
          <cell r="K28">
            <v>1</v>
          </cell>
          <cell r="L28">
            <v>30</v>
          </cell>
          <cell r="M28">
            <v>42605.4</v>
          </cell>
          <cell r="N28">
            <v>17042.16</v>
          </cell>
          <cell r="O28">
            <v>2083</v>
          </cell>
          <cell r="P28">
            <v>2083</v>
          </cell>
          <cell r="Q28">
            <v>7308.4400000000023</v>
          </cell>
          <cell r="R28">
            <v>71122</v>
          </cell>
          <cell r="S28">
            <v>1950</v>
          </cell>
          <cell r="T28">
            <v>1554.6089999999999</v>
          </cell>
          <cell r="U28">
            <v>2049.3197399999999</v>
          </cell>
          <cell r="V28">
            <v>3550.4500000000003</v>
          </cell>
          <cell r="W28">
            <v>80226.37874</v>
          </cell>
          <cell r="Y28">
            <v>71122</v>
          </cell>
          <cell r="AA28">
            <v>200</v>
          </cell>
          <cell r="AB28">
            <v>1800</v>
          </cell>
          <cell r="AC28">
            <v>335</v>
          </cell>
          <cell r="AE28">
            <v>2335</v>
          </cell>
          <cell r="AF28">
            <v>75941.37874</v>
          </cell>
        </row>
        <row r="29">
          <cell r="C29" t="str">
            <v>BITS-605</v>
          </cell>
          <cell r="E29" t="str">
            <v>Chitra Kulkarni</v>
          </cell>
          <cell r="F29" t="str">
            <v>PUNE SEZ 1</v>
          </cell>
          <cell r="G29">
            <v>92000</v>
          </cell>
          <cell r="H29">
            <v>82132</v>
          </cell>
          <cell r="I29">
            <v>30</v>
          </cell>
          <cell r="J29">
            <v>29</v>
          </cell>
          <cell r="K29">
            <v>1</v>
          </cell>
          <cell r="L29">
            <v>30</v>
          </cell>
          <cell r="M29">
            <v>49279.199999999997</v>
          </cell>
          <cell r="N29">
            <v>19711.68</v>
          </cell>
          <cell r="O29">
            <v>2083</v>
          </cell>
          <cell r="P29">
            <v>2083</v>
          </cell>
          <cell r="Q29">
            <v>9088.1199999999953</v>
          </cell>
          <cell r="R29">
            <v>82245</v>
          </cell>
          <cell r="S29">
            <v>1950</v>
          </cell>
          <cell r="T29">
            <v>1554.6089999999999</v>
          </cell>
          <cell r="U29">
            <v>2370.3295199999998</v>
          </cell>
          <cell r="V29">
            <v>4106.5999999999995</v>
          </cell>
          <cell r="W29">
            <v>92226.538520000002</v>
          </cell>
          <cell r="Y29">
            <v>82245</v>
          </cell>
          <cell r="AA29">
            <v>200</v>
          </cell>
          <cell r="AB29">
            <v>1800</v>
          </cell>
          <cell r="AC29">
            <v>335</v>
          </cell>
          <cell r="AE29">
            <v>2335</v>
          </cell>
          <cell r="AF29">
            <v>87941.538520000002</v>
          </cell>
        </row>
        <row r="30">
          <cell r="C30" t="str">
            <v>BITS-606</v>
          </cell>
          <cell r="E30" t="str">
            <v>Barathiyar A 14-4-2022</v>
          </cell>
          <cell r="F30" t="str">
            <v>BNG STP</v>
          </cell>
          <cell r="G30">
            <v>67000</v>
          </cell>
          <cell r="H30">
            <v>58959</v>
          </cell>
          <cell r="I30">
            <v>30</v>
          </cell>
          <cell r="J30">
            <v>12</v>
          </cell>
          <cell r="K30">
            <v>1</v>
          </cell>
          <cell r="L30">
            <v>13</v>
          </cell>
          <cell r="M30">
            <v>15329.34</v>
          </cell>
          <cell r="N30">
            <v>6131.7360000000008</v>
          </cell>
          <cell r="O30">
            <v>903</v>
          </cell>
          <cell r="P30">
            <v>903</v>
          </cell>
          <cell r="Q30">
            <v>2394.8240000000005</v>
          </cell>
          <cell r="R30">
            <v>25661.9</v>
          </cell>
          <cell r="S30">
            <v>1950</v>
          </cell>
          <cell r="T30">
            <v>1554.6089999999999</v>
          </cell>
          <cell r="U30">
            <v>737.34125399999994</v>
          </cell>
          <cell r="V30">
            <v>1277.4449999999999</v>
          </cell>
          <cell r="W30">
            <v>31181.295254000001</v>
          </cell>
          <cell r="Y30">
            <v>25661.9</v>
          </cell>
          <cell r="AA30">
            <v>200</v>
          </cell>
          <cell r="AB30">
            <v>1800</v>
          </cell>
          <cell r="AC30">
            <v>335</v>
          </cell>
          <cell r="AE30">
            <v>2335</v>
          </cell>
          <cell r="AF30">
            <v>26896.395253999999</v>
          </cell>
        </row>
        <row r="31">
          <cell r="C31" t="str">
            <v>BITS-607</v>
          </cell>
          <cell r="E31" t="str">
            <v>Kumaravel M</v>
          </cell>
          <cell r="F31" t="str">
            <v>BNG STP</v>
          </cell>
          <cell r="G31">
            <v>55000</v>
          </cell>
          <cell r="H31">
            <v>47836</v>
          </cell>
          <cell r="I31">
            <v>30</v>
          </cell>
          <cell r="J31">
            <v>29</v>
          </cell>
          <cell r="K31">
            <v>1</v>
          </cell>
          <cell r="L31">
            <v>30</v>
          </cell>
          <cell r="M31">
            <v>28701.599999999999</v>
          </cell>
          <cell r="N31">
            <v>11480.64</v>
          </cell>
          <cell r="O31">
            <v>2083</v>
          </cell>
          <cell r="P31">
            <v>2083</v>
          </cell>
          <cell r="Q31">
            <v>3600.760000000002</v>
          </cell>
          <cell r="R31">
            <v>47949</v>
          </cell>
          <cell r="S31">
            <v>1950</v>
          </cell>
          <cell r="T31">
            <v>1554.6089999999999</v>
          </cell>
          <cell r="U31">
            <v>1380.5469599999999</v>
          </cell>
          <cell r="V31">
            <v>2391.7999999999997</v>
          </cell>
          <cell r="W31">
            <v>55225.955959999999</v>
          </cell>
          <cell r="Y31">
            <v>47949</v>
          </cell>
          <cell r="AA31">
            <v>200</v>
          </cell>
          <cell r="AB31">
            <v>1800</v>
          </cell>
          <cell r="AC31">
            <v>335</v>
          </cell>
          <cell r="AE31">
            <v>2335</v>
          </cell>
          <cell r="AF31">
            <v>50940.955959999999</v>
          </cell>
        </row>
        <row r="32">
          <cell r="C32" t="str">
            <v>BITS-609</v>
          </cell>
          <cell r="E32" t="str">
            <v>CHANDRASEHARAN GERORGE 15-4-2022</v>
          </cell>
          <cell r="F32" t="str">
            <v>BNG STP</v>
          </cell>
          <cell r="G32">
            <v>58000</v>
          </cell>
          <cell r="H32">
            <v>50617</v>
          </cell>
          <cell r="I32">
            <v>30</v>
          </cell>
          <cell r="J32">
            <v>15</v>
          </cell>
          <cell r="L32">
            <v>15</v>
          </cell>
          <cell r="M32">
            <v>15185.1</v>
          </cell>
          <cell r="N32">
            <v>6074.0400000000009</v>
          </cell>
          <cell r="O32">
            <v>1042</v>
          </cell>
          <cell r="P32">
            <v>1042</v>
          </cell>
          <cell r="Q32">
            <v>2078.3600000000006</v>
          </cell>
          <cell r="R32">
            <v>25421.5</v>
          </cell>
          <cell r="S32">
            <v>1950</v>
          </cell>
          <cell r="T32">
            <v>1554.6089999999999</v>
          </cell>
          <cell r="U32">
            <v>730.40330999999992</v>
          </cell>
          <cell r="V32">
            <v>1265.425</v>
          </cell>
          <cell r="W32">
            <v>30921.937310000001</v>
          </cell>
          <cell r="Y32">
            <v>25421.5</v>
          </cell>
          <cell r="AA32">
            <v>200</v>
          </cell>
          <cell r="AB32">
            <v>1800</v>
          </cell>
          <cell r="AC32">
            <v>335</v>
          </cell>
          <cell r="AE32">
            <v>2335</v>
          </cell>
          <cell r="AF32">
            <v>26637.437310000001</v>
          </cell>
        </row>
        <row r="33">
          <cell r="C33" t="str">
            <v>BITS-611</v>
          </cell>
          <cell r="E33" t="str">
            <v>VISHNUPRASATH T</v>
          </cell>
          <cell r="F33" t="str">
            <v>BNG STP</v>
          </cell>
          <cell r="G33">
            <v>55000</v>
          </cell>
          <cell r="H33">
            <v>47836</v>
          </cell>
          <cell r="I33">
            <v>30</v>
          </cell>
          <cell r="J33">
            <v>29</v>
          </cell>
          <cell r="K33">
            <v>1</v>
          </cell>
          <cell r="L33">
            <v>30</v>
          </cell>
          <cell r="M33">
            <v>28701.599999999999</v>
          </cell>
          <cell r="N33">
            <v>11480.64</v>
          </cell>
          <cell r="O33">
            <v>2083</v>
          </cell>
          <cell r="P33">
            <v>2083</v>
          </cell>
          <cell r="Q33">
            <v>3600.760000000002</v>
          </cell>
          <cell r="R33">
            <v>47949</v>
          </cell>
          <cell r="S33">
            <v>1950</v>
          </cell>
          <cell r="T33">
            <v>1554.6089999999999</v>
          </cell>
          <cell r="U33">
            <v>1380.5469599999999</v>
          </cell>
          <cell r="V33">
            <v>2391.7999999999997</v>
          </cell>
          <cell r="W33">
            <v>55225.955959999999</v>
          </cell>
          <cell r="Y33">
            <v>47949</v>
          </cell>
          <cell r="AA33">
            <v>200</v>
          </cell>
          <cell r="AB33">
            <v>1800</v>
          </cell>
          <cell r="AC33">
            <v>335</v>
          </cell>
          <cell r="AE33">
            <v>2335</v>
          </cell>
          <cell r="AF33">
            <v>50940.955959999999</v>
          </cell>
        </row>
        <row r="34">
          <cell r="C34" t="str">
            <v>BITS-612</v>
          </cell>
          <cell r="E34" t="str">
            <v>Nagaranjan S</v>
          </cell>
          <cell r="F34" t="str">
            <v>BNG STP</v>
          </cell>
          <cell r="G34">
            <v>55000</v>
          </cell>
          <cell r="H34">
            <v>47836</v>
          </cell>
          <cell r="I34">
            <v>30</v>
          </cell>
          <cell r="J34">
            <v>30</v>
          </cell>
          <cell r="L34">
            <v>30</v>
          </cell>
          <cell r="M34">
            <v>28701.599999999999</v>
          </cell>
          <cell r="N34">
            <v>11480.64</v>
          </cell>
          <cell r="O34">
            <v>2083</v>
          </cell>
          <cell r="P34">
            <v>2083</v>
          </cell>
          <cell r="Q34">
            <v>3600.760000000002</v>
          </cell>
          <cell r="R34">
            <v>47949</v>
          </cell>
          <cell r="S34">
            <v>1950</v>
          </cell>
          <cell r="T34">
            <v>1554.6089999999999</v>
          </cell>
          <cell r="U34">
            <v>1380.5469599999999</v>
          </cell>
          <cell r="V34">
            <v>2391.7999999999997</v>
          </cell>
          <cell r="W34">
            <v>55225.955959999999</v>
          </cell>
          <cell r="Y34">
            <v>47949</v>
          </cell>
          <cell r="AA34">
            <v>200</v>
          </cell>
          <cell r="AB34">
            <v>1800</v>
          </cell>
          <cell r="AC34">
            <v>335</v>
          </cell>
          <cell r="AE34">
            <v>2335</v>
          </cell>
          <cell r="AF34">
            <v>50940.955959999999</v>
          </cell>
        </row>
        <row r="35">
          <cell r="C35" t="str">
            <v>BITS-613</v>
          </cell>
          <cell r="E35" t="str">
            <v>ELAMPARITHI SB 20-4-2022</v>
          </cell>
          <cell r="F35" t="str">
            <v>BNG STP</v>
          </cell>
          <cell r="G35">
            <v>55000</v>
          </cell>
          <cell r="H35">
            <v>47836</v>
          </cell>
          <cell r="I35">
            <v>30</v>
          </cell>
          <cell r="J35">
            <v>20</v>
          </cell>
          <cell r="L35">
            <v>20</v>
          </cell>
          <cell r="M35">
            <v>19134.400000000001</v>
          </cell>
          <cell r="N35">
            <v>7653.7600000000011</v>
          </cell>
          <cell r="O35">
            <v>1389</v>
          </cell>
          <cell r="P35">
            <v>1389</v>
          </cell>
          <cell r="Q35">
            <v>2437.5066666666644</v>
          </cell>
          <cell r="R35">
            <v>32003.666666666668</v>
          </cell>
          <cell r="S35">
            <v>1950</v>
          </cell>
          <cell r="T35">
            <v>1554.6089999999999</v>
          </cell>
          <cell r="U35">
            <v>920.36463999999989</v>
          </cell>
          <cell r="V35">
            <v>1594.5333333333335</v>
          </cell>
          <cell r="W35">
            <v>38023.173639999994</v>
          </cell>
          <cell r="Y35">
            <v>32003.666666666668</v>
          </cell>
          <cell r="AA35">
            <v>200</v>
          </cell>
          <cell r="AB35">
            <v>1800</v>
          </cell>
          <cell r="AC35">
            <v>335</v>
          </cell>
          <cell r="AE35">
            <v>2335</v>
          </cell>
          <cell r="AF35">
            <v>33738.506973333337</v>
          </cell>
        </row>
        <row r="36">
          <cell r="C36" t="str">
            <v>BITS-614</v>
          </cell>
          <cell r="E36" t="str">
            <v>KISHANPRASAD GANDHE</v>
          </cell>
          <cell r="F36" t="str">
            <v>HYD STP</v>
          </cell>
          <cell r="G36">
            <v>152000</v>
          </cell>
          <cell r="H36">
            <v>137746</v>
          </cell>
          <cell r="I36">
            <v>30</v>
          </cell>
          <cell r="J36">
            <v>30</v>
          </cell>
          <cell r="L36">
            <v>30</v>
          </cell>
          <cell r="M36">
            <v>82647.600000000006</v>
          </cell>
          <cell r="N36">
            <v>33059.040000000001</v>
          </cell>
          <cell r="O36">
            <v>2083</v>
          </cell>
          <cell r="P36">
            <v>2083</v>
          </cell>
          <cell r="Q36">
            <v>17986.359999999986</v>
          </cell>
          <cell r="R36">
            <v>137859</v>
          </cell>
          <cell r="S36">
            <v>1950</v>
          </cell>
          <cell r="T36">
            <v>1554.6089999999999</v>
          </cell>
          <cell r="U36">
            <v>3975.3495600000001</v>
          </cell>
          <cell r="V36">
            <v>6887.3</v>
          </cell>
          <cell r="W36">
            <v>152226.25855999999</v>
          </cell>
          <cell r="X36">
            <v>5066</v>
          </cell>
          <cell r="Y36">
            <v>142925</v>
          </cell>
          <cell r="AA36">
            <v>200</v>
          </cell>
          <cell r="AB36">
            <v>1800</v>
          </cell>
          <cell r="AC36">
            <v>839</v>
          </cell>
          <cell r="AE36">
            <v>2839</v>
          </cell>
          <cell r="AF36">
            <v>152503.25855999999</v>
          </cell>
        </row>
        <row r="37">
          <cell r="C37" t="str">
            <v>BITS-617</v>
          </cell>
          <cell r="E37" t="str">
            <v>Sunnapalli Anil</v>
          </cell>
          <cell r="F37" t="str">
            <v>PUNE SEZ 1</v>
          </cell>
          <cell r="G37">
            <v>80000</v>
          </cell>
          <cell r="H37">
            <v>69580</v>
          </cell>
          <cell r="I37">
            <v>30</v>
          </cell>
          <cell r="J37">
            <v>30</v>
          </cell>
          <cell r="L37">
            <v>30</v>
          </cell>
          <cell r="M37">
            <v>41748</v>
          </cell>
          <cell r="N37">
            <v>16699.2</v>
          </cell>
          <cell r="O37">
            <v>2083</v>
          </cell>
          <cell r="P37">
            <v>2083</v>
          </cell>
          <cell r="Q37">
            <v>7079.8000000000029</v>
          </cell>
          <cell r="R37">
            <v>69693</v>
          </cell>
          <cell r="S37">
            <v>1950</v>
          </cell>
          <cell r="T37">
            <v>1554.6089999999999</v>
          </cell>
          <cell r="U37">
            <v>2008.0787999999998</v>
          </cell>
          <cell r="V37">
            <v>3479</v>
          </cell>
          <cell r="W37">
            <v>78684.6878</v>
          </cell>
          <cell r="Y37">
            <v>69693</v>
          </cell>
          <cell r="AA37">
            <v>200</v>
          </cell>
          <cell r="AB37">
            <v>1800</v>
          </cell>
          <cell r="AC37">
            <v>335</v>
          </cell>
          <cell r="AE37">
            <v>2335</v>
          </cell>
          <cell r="AF37">
            <v>74399.6878</v>
          </cell>
        </row>
        <row r="38">
          <cell r="C38" t="str">
            <v>BITS-619</v>
          </cell>
          <cell r="D38" t="str">
            <v>Cognizant</v>
          </cell>
          <cell r="E38" t="str">
            <v>Varsha Bollu</v>
          </cell>
          <cell r="G38">
            <v>85000</v>
          </cell>
          <cell r="H38">
            <v>75643</v>
          </cell>
          <cell r="I38">
            <v>30</v>
          </cell>
          <cell r="J38">
            <v>30</v>
          </cell>
          <cell r="L38">
            <v>30</v>
          </cell>
          <cell r="M38">
            <v>45385.8</v>
          </cell>
          <cell r="N38">
            <v>18154.320000000003</v>
          </cell>
          <cell r="O38">
            <v>2083</v>
          </cell>
          <cell r="P38">
            <v>2083</v>
          </cell>
          <cell r="Q38">
            <v>8049.8799999999901</v>
          </cell>
          <cell r="R38">
            <v>75756</v>
          </cell>
          <cell r="S38">
            <v>1950</v>
          </cell>
          <cell r="T38">
            <v>1554.6089999999999</v>
          </cell>
          <cell r="U38">
            <v>2183.0569799999998</v>
          </cell>
          <cell r="V38">
            <v>3782.15</v>
          </cell>
          <cell r="W38">
            <v>85225.815979999985</v>
          </cell>
          <cell r="Y38">
            <v>75756</v>
          </cell>
          <cell r="AA38">
            <v>200</v>
          </cell>
          <cell r="AB38">
            <v>1800</v>
          </cell>
          <cell r="AC38">
            <v>335</v>
          </cell>
          <cell r="AE38">
            <v>2335</v>
          </cell>
          <cell r="AF38">
            <v>80940.815979999985</v>
          </cell>
        </row>
        <row r="39">
          <cell r="C39" t="str">
            <v>BITS-620</v>
          </cell>
          <cell r="D39" t="str">
            <v>Cognizant</v>
          </cell>
          <cell r="E39" t="str">
            <v>Bhaskar Reddy Sudha</v>
          </cell>
          <cell r="G39">
            <v>110000</v>
          </cell>
          <cell r="H39">
            <v>98816</v>
          </cell>
          <cell r="I39">
            <v>30</v>
          </cell>
          <cell r="J39">
            <v>28</v>
          </cell>
          <cell r="K39">
            <v>2</v>
          </cell>
          <cell r="L39">
            <v>29</v>
          </cell>
          <cell r="M39">
            <v>57313.279999999999</v>
          </cell>
          <cell r="N39">
            <v>22925.312000000002</v>
          </cell>
          <cell r="O39">
            <v>2014</v>
          </cell>
          <cell r="P39">
            <v>2014</v>
          </cell>
          <cell r="Q39">
            <v>11368.541333333327</v>
          </cell>
          <cell r="R39">
            <v>95635.133333333331</v>
          </cell>
          <cell r="S39">
            <v>1950</v>
          </cell>
          <cell r="T39">
            <v>1554.6089999999999</v>
          </cell>
          <cell r="U39">
            <v>2756.7687679999999</v>
          </cell>
          <cell r="V39">
            <v>4776.1066666666666</v>
          </cell>
          <cell r="W39">
            <v>106672.617768</v>
          </cell>
          <cell r="Y39">
            <v>95635.133333333331</v>
          </cell>
          <cell r="AA39">
            <v>200</v>
          </cell>
          <cell r="AB39">
            <v>1800</v>
          </cell>
          <cell r="AC39">
            <v>335</v>
          </cell>
          <cell r="AE39">
            <v>2335</v>
          </cell>
          <cell r="AF39">
            <v>102387.48443466667</v>
          </cell>
        </row>
        <row r="40">
          <cell r="C40" t="str">
            <v>BITS-645</v>
          </cell>
          <cell r="D40" t="str">
            <v>Cognizant</v>
          </cell>
          <cell r="E40" t="str">
            <v>BHARGAVI .R</v>
          </cell>
          <cell r="G40">
            <v>105000</v>
          </cell>
          <cell r="H40">
            <v>94181</v>
          </cell>
          <cell r="I40">
            <v>30</v>
          </cell>
          <cell r="J40">
            <v>29</v>
          </cell>
          <cell r="K40">
            <v>1</v>
          </cell>
          <cell r="L40">
            <v>30</v>
          </cell>
          <cell r="M40">
            <v>56508.6</v>
          </cell>
          <cell r="N40">
            <v>22603.440000000002</v>
          </cell>
          <cell r="O40">
            <v>2083</v>
          </cell>
          <cell r="P40">
            <v>2083</v>
          </cell>
          <cell r="Q40">
            <v>11015.959999999992</v>
          </cell>
          <cell r="R40">
            <v>94294</v>
          </cell>
          <cell r="S40">
            <v>1950</v>
          </cell>
          <cell r="T40">
            <v>1554.6089999999999</v>
          </cell>
          <cell r="U40">
            <v>2718.0636599999998</v>
          </cell>
          <cell r="V40">
            <v>4709.05</v>
          </cell>
          <cell r="W40">
            <v>105225.72266</v>
          </cell>
          <cell r="Y40">
            <v>94294</v>
          </cell>
          <cell r="AA40">
            <v>200</v>
          </cell>
          <cell r="AB40">
            <v>1800</v>
          </cell>
          <cell r="AC40">
            <v>378</v>
          </cell>
          <cell r="AE40">
            <v>2378</v>
          </cell>
          <cell r="AF40">
            <v>100897.72266</v>
          </cell>
        </row>
        <row r="41">
          <cell r="C41" t="str">
            <v>BITS-676</v>
          </cell>
          <cell r="D41" t="str">
            <v>Cognizant</v>
          </cell>
          <cell r="E41" t="str">
            <v>Siva Krishna</v>
          </cell>
          <cell r="G41">
            <v>80000</v>
          </cell>
          <cell r="H41">
            <v>71009</v>
          </cell>
          <cell r="I41">
            <v>30</v>
          </cell>
          <cell r="J41">
            <v>30</v>
          </cell>
          <cell r="L41">
            <v>30</v>
          </cell>
          <cell r="M41">
            <v>42605.4</v>
          </cell>
          <cell r="N41">
            <v>17042.16</v>
          </cell>
          <cell r="O41">
            <v>2083</v>
          </cell>
          <cell r="P41">
            <v>2083</v>
          </cell>
          <cell r="Q41">
            <v>7308.4400000000023</v>
          </cell>
          <cell r="R41">
            <v>71122</v>
          </cell>
          <cell r="S41">
            <v>1950</v>
          </cell>
          <cell r="T41">
            <v>1554.6089999999999</v>
          </cell>
          <cell r="U41">
            <v>2049.3197399999999</v>
          </cell>
          <cell r="V41">
            <v>3550.4500000000003</v>
          </cell>
          <cell r="W41">
            <v>80226.37874</v>
          </cell>
          <cell r="Y41">
            <v>71122</v>
          </cell>
          <cell r="AA41">
            <v>200</v>
          </cell>
          <cell r="AB41">
            <v>1800</v>
          </cell>
          <cell r="AC41">
            <v>378</v>
          </cell>
          <cell r="AE41">
            <v>2378</v>
          </cell>
          <cell r="AF41">
            <v>75898.37874</v>
          </cell>
        </row>
        <row r="42">
          <cell r="C42" t="str">
            <v>BITS-621</v>
          </cell>
          <cell r="E42" t="str">
            <v>ARJUN PUNDLIK JOSHI</v>
          </cell>
          <cell r="F42" t="str">
            <v>Mysore SEZ</v>
          </cell>
          <cell r="G42">
            <v>85000</v>
          </cell>
          <cell r="H42">
            <v>75643</v>
          </cell>
          <cell r="I42">
            <v>30</v>
          </cell>
          <cell r="J42">
            <v>30</v>
          </cell>
          <cell r="L42">
            <v>30</v>
          </cell>
          <cell r="M42">
            <v>45385.8</v>
          </cell>
          <cell r="N42">
            <v>18154.320000000003</v>
          </cell>
          <cell r="O42">
            <v>2083</v>
          </cell>
          <cell r="P42">
            <v>2083</v>
          </cell>
          <cell r="Q42">
            <v>8049.8799999999901</v>
          </cell>
          <cell r="R42">
            <v>75756</v>
          </cell>
          <cell r="S42">
            <v>1950</v>
          </cell>
          <cell r="T42">
            <v>1554.6089999999999</v>
          </cell>
          <cell r="U42">
            <v>2183.0569799999998</v>
          </cell>
          <cell r="V42">
            <v>3782.15</v>
          </cell>
          <cell r="W42">
            <v>85225.815979999985</v>
          </cell>
          <cell r="X42">
            <v>1000</v>
          </cell>
          <cell r="Y42">
            <v>76756</v>
          </cell>
          <cell r="AA42">
            <v>200</v>
          </cell>
          <cell r="AB42">
            <v>1800</v>
          </cell>
          <cell r="AC42">
            <v>336</v>
          </cell>
          <cell r="AE42">
            <v>2336</v>
          </cell>
          <cell r="AF42">
            <v>81939.815979999985</v>
          </cell>
        </row>
        <row r="43">
          <cell r="C43" t="str">
            <v>BITS-624</v>
          </cell>
          <cell r="E43" t="str">
            <v>Karthick G</v>
          </cell>
          <cell r="F43" t="str">
            <v>BNG STP</v>
          </cell>
          <cell r="G43">
            <v>100000</v>
          </cell>
          <cell r="H43">
            <v>89547</v>
          </cell>
          <cell r="I43">
            <v>30</v>
          </cell>
          <cell r="J43">
            <v>30</v>
          </cell>
          <cell r="L43">
            <v>30</v>
          </cell>
          <cell r="M43">
            <v>53728.2</v>
          </cell>
          <cell r="N43">
            <v>21491.279999999999</v>
          </cell>
          <cell r="O43">
            <v>2083</v>
          </cell>
          <cell r="P43">
            <v>2083</v>
          </cell>
          <cell r="Q43">
            <v>10274.520000000004</v>
          </cell>
          <cell r="R43">
            <v>89660</v>
          </cell>
          <cell r="S43">
            <v>1950</v>
          </cell>
          <cell r="T43">
            <v>1554.6089999999999</v>
          </cell>
          <cell r="U43">
            <v>2584.3264199999994</v>
          </cell>
          <cell r="V43">
            <v>4477.3499999999995</v>
          </cell>
          <cell r="W43">
            <v>100226.28542</v>
          </cell>
          <cell r="Y43">
            <v>89660</v>
          </cell>
          <cell r="AA43">
            <v>200</v>
          </cell>
          <cell r="AB43">
            <v>1800</v>
          </cell>
          <cell r="AC43">
            <v>336</v>
          </cell>
          <cell r="AE43">
            <v>2336</v>
          </cell>
          <cell r="AF43">
            <v>95940.28542</v>
          </cell>
        </row>
        <row r="44">
          <cell r="C44" t="str">
            <v>BITS-626</v>
          </cell>
          <cell r="E44" t="str">
            <v>Somisetty VenkataKrishna</v>
          </cell>
          <cell r="F44" t="str">
            <v>BNG SEZ</v>
          </cell>
          <cell r="G44">
            <v>75000</v>
          </cell>
          <cell r="H44">
            <v>66374</v>
          </cell>
          <cell r="I44">
            <v>30</v>
          </cell>
          <cell r="J44">
            <v>29</v>
          </cell>
          <cell r="K44">
            <v>1</v>
          </cell>
          <cell r="L44">
            <v>30</v>
          </cell>
          <cell r="M44">
            <v>39824.400000000001</v>
          </cell>
          <cell r="N44">
            <v>15929.760000000002</v>
          </cell>
          <cell r="O44">
            <v>2083</v>
          </cell>
          <cell r="P44">
            <v>2083</v>
          </cell>
          <cell r="Q44">
            <v>6566.8399999999965</v>
          </cell>
          <cell r="R44">
            <v>66487</v>
          </cell>
          <cell r="S44">
            <v>1950</v>
          </cell>
          <cell r="T44">
            <v>1554.6089999999999</v>
          </cell>
          <cell r="U44">
            <v>1915.5536400000001</v>
          </cell>
          <cell r="V44">
            <v>3318.7000000000003</v>
          </cell>
          <cell r="W44">
            <v>75225.862639999992</v>
          </cell>
          <cell r="Y44">
            <v>66487</v>
          </cell>
          <cell r="AA44">
            <v>200</v>
          </cell>
          <cell r="AB44">
            <v>1800</v>
          </cell>
          <cell r="AC44">
            <v>335</v>
          </cell>
          <cell r="AE44">
            <v>2335</v>
          </cell>
          <cell r="AF44">
            <v>70940.862639999992</v>
          </cell>
        </row>
        <row r="45">
          <cell r="C45" t="str">
            <v>BITS-629</v>
          </cell>
          <cell r="E45" t="str">
            <v>CHEREDDY MURALI KRISHNA NAIDU</v>
          </cell>
          <cell r="F45" t="str">
            <v>BNG SEZ</v>
          </cell>
          <cell r="G45">
            <v>115000</v>
          </cell>
          <cell r="H45">
            <v>103451</v>
          </cell>
          <cell r="I45">
            <v>30</v>
          </cell>
          <cell r="J45">
            <v>29</v>
          </cell>
          <cell r="K45">
            <v>1</v>
          </cell>
          <cell r="L45">
            <v>30</v>
          </cell>
          <cell r="M45">
            <v>62070.6</v>
          </cell>
          <cell r="N45">
            <v>24828.240000000002</v>
          </cell>
          <cell r="O45">
            <v>2083</v>
          </cell>
          <cell r="P45">
            <v>2083</v>
          </cell>
          <cell r="Q45">
            <v>12499.160000000003</v>
          </cell>
          <cell r="R45">
            <v>103564</v>
          </cell>
          <cell r="S45">
            <v>1950</v>
          </cell>
          <cell r="T45">
            <v>1554.6089999999999</v>
          </cell>
          <cell r="U45">
            <v>2985.5958599999994</v>
          </cell>
          <cell r="V45">
            <v>5172.55</v>
          </cell>
          <cell r="W45">
            <v>115226.75486</v>
          </cell>
          <cell r="Y45">
            <v>103564</v>
          </cell>
          <cell r="AA45">
            <v>200</v>
          </cell>
          <cell r="AB45">
            <v>1800</v>
          </cell>
          <cell r="AC45">
            <v>336</v>
          </cell>
          <cell r="AE45">
            <v>2336</v>
          </cell>
          <cell r="AF45">
            <v>110940.75486</v>
          </cell>
        </row>
        <row r="46">
          <cell r="C46" t="str">
            <v>BITS-630</v>
          </cell>
          <cell r="E46" t="str">
            <v>Gangadhar Yarabham</v>
          </cell>
          <cell r="F46" t="str">
            <v>HYD SEZ</v>
          </cell>
          <cell r="G46">
            <v>95000</v>
          </cell>
          <cell r="H46">
            <v>84912</v>
          </cell>
          <cell r="I46">
            <v>30</v>
          </cell>
          <cell r="J46">
            <v>30</v>
          </cell>
          <cell r="L46">
            <v>30</v>
          </cell>
          <cell r="M46">
            <v>50947.199999999997</v>
          </cell>
          <cell r="N46">
            <v>20378.88</v>
          </cell>
          <cell r="O46">
            <v>2083</v>
          </cell>
          <cell r="P46">
            <v>2083</v>
          </cell>
          <cell r="Q46">
            <v>9532.9199999999983</v>
          </cell>
          <cell r="R46">
            <v>85025</v>
          </cell>
          <cell r="S46">
            <v>1950</v>
          </cell>
          <cell r="T46">
            <v>1554.6089999999999</v>
          </cell>
          <cell r="U46">
            <v>2450.5603199999996</v>
          </cell>
          <cell r="V46">
            <v>4245.5999999999995</v>
          </cell>
          <cell r="W46">
            <v>95225.769320000007</v>
          </cell>
          <cell r="Y46">
            <v>85025</v>
          </cell>
          <cell r="AA46">
            <v>200</v>
          </cell>
          <cell r="AB46">
            <v>1800</v>
          </cell>
          <cell r="AC46">
            <v>377</v>
          </cell>
          <cell r="AE46">
            <v>2377</v>
          </cell>
          <cell r="AF46">
            <v>90898.769320000007</v>
          </cell>
        </row>
        <row r="47">
          <cell r="C47" t="str">
            <v>BITS-632</v>
          </cell>
          <cell r="E47" t="str">
            <v>Himanshu Anand</v>
          </cell>
          <cell r="F47" t="str">
            <v>PUNE SEZ 1</v>
          </cell>
          <cell r="G47">
            <v>110000</v>
          </cell>
          <cell r="H47">
            <v>98501</v>
          </cell>
          <cell r="I47">
            <v>30</v>
          </cell>
          <cell r="J47">
            <v>30</v>
          </cell>
          <cell r="L47">
            <v>30</v>
          </cell>
          <cell r="M47">
            <v>59100.6</v>
          </cell>
          <cell r="N47">
            <v>23640.240000000002</v>
          </cell>
          <cell r="O47">
            <v>2083</v>
          </cell>
          <cell r="P47">
            <v>2083</v>
          </cell>
          <cell r="Q47">
            <v>11707.160000000003</v>
          </cell>
          <cell r="R47">
            <v>98614</v>
          </cell>
          <cell r="S47">
            <v>1950</v>
          </cell>
          <cell r="T47">
            <v>1554.6089999999999</v>
          </cell>
          <cell r="U47">
            <v>2842.7388599999999</v>
          </cell>
          <cell r="V47">
            <v>4925.05</v>
          </cell>
          <cell r="W47">
            <v>109886.39786</v>
          </cell>
          <cell r="Y47">
            <v>98614</v>
          </cell>
          <cell r="AA47">
            <v>200</v>
          </cell>
          <cell r="AB47">
            <v>1800</v>
          </cell>
          <cell r="AC47">
            <v>336</v>
          </cell>
          <cell r="AE47">
            <v>2336</v>
          </cell>
          <cell r="AF47">
            <v>105600.39786</v>
          </cell>
        </row>
        <row r="48">
          <cell r="C48" t="str">
            <v>BITS-633</v>
          </cell>
          <cell r="E48" t="str">
            <v>Kanchupati Kondaiah</v>
          </cell>
          <cell r="F48" t="str">
            <v>PUNE SEZ 1</v>
          </cell>
          <cell r="G48">
            <v>54000</v>
          </cell>
          <cell r="H48">
            <v>46909</v>
          </cell>
          <cell r="I48">
            <v>30</v>
          </cell>
          <cell r="J48">
            <v>29</v>
          </cell>
          <cell r="K48">
            <v>1</v>
          </cell>
          <cell r="L48">
            <v>30</v>
          </cell>
          <cell r="M48">
            <v>28145.4</v>
          </cell>
          <cell r="N48">
            <v>11258.160000000002</v>
          </cell>
          <cell r="O48">
            <v>2083</v>
          </cell>
          <cell r="P48">
            <v>2083</v>
          </cell>
          <cell r="Q48">
            <v>3452.4399999999951</v>
          </cell>
          <cell r="R48">
            <v>47022</v>
          </cell>
          <cell r="S48">
            <v>1950</v>
          </cell>
          <cell r="T48">
            <v>1554.6089999999999</v>
          </cell>
          <cell r="U48">
            <v>1353.7937399999998</v>
          </cell>
          <cell r="V48">
            <v>2345.4500000000003</v>
          </cell>
          <cell r="W48">
            <v>54225.852739999995</v>
          </cell>
          <cell r="Y48">
            <v>47022</v>
          </cell>
          <cell r="AA48">
            <v>200</v>
          </cell>
          <cell r="AB48">
            <v>1800</v>
          </cell>
          <cell r="AC48">
            <v>336</v>
          </cell>
          <cell r="AE48">
            <v>2336</v>
          </cell>
          <cell r="AF48">
            <v>49939.852739999995</v>
          </cell>
        </row>
        <row r="49">
          <cell r="C49" t="str">
            <v>BITS-634</v>
          </cell>
          <cell r="E49" t="str">
            <v>Santosh Patel</v>
          </cell>
          <cell r="F49" t="str">
            <v>PUNE SEZ 1</v>
          </cell>
          <cell r="G49">
            <v>145000</v>
          </cell>
          <cell r="H49">
            <v>131257</v>
          </cell>
          <cell r="I49">
            <v>30</v>
          </cell>
          <cell r="J49">
            <v>30</v>
          </cell>
          <cell r="L49">
            <v>30</v>
          </cell>
          <cell r="M49">
            <v>78754.2</v>
          </cell>
          <cell r="N49">
            <v>31501.68</v>
          </cell>
          <cell r="O49">
            <v>2083</v>
          </cell>
          <cell r="P49">
            <v>2083</v>
          </cell>
          <cell r="Q49">
            <v>16948.119999999995</v>
          </cell>
          <cell r="R49">
            <v>131370</v>
          </cell>
          <cell r="S49">
            <v>1950</v>
          </cell>
          <cell r="T49">
            <v>1554.6089999999999</v>
          </cell>
          <cell r="U49">
            <v>3788.0770199999993</v>
          </cell>
          <cell r="V49">
            <v>6562.8499999999995</v>
          </cell>
          <cell r="W49">
            <v>145225.53602</v>
          </cell>
          <cell r="Y49">
            <v>131370</v>
          </cell>
          <cell r="AA49">
            <v>200</v>
          </cell>
          <cell r="AB49">
            <v>1800</v>
          </cell>
          <cell r="AC49">
            <v>336</v>
          </cell>
          <cell r="AE49">
            <v>2336</v>
          </cell>
          <cell r="AF49">
            <v>140939.53602</v>
          </cell>
        </row>
        <row r="50">
          <cell r="C50" t="str">
            <v>BITS-638</v>
          </cell>
          <cell r="E50" t="str">
            <v>Basweshwar Pawar</v>
          </cell>
          <cell r="F50" t="str">
            <v>PUNE SEZ 1</v>
          </cell>
          <cell r="G50">
            <v>100000</v>
          </cell>
          <cell r="H50">
            <v>89547</v>
          </cell>
          <cell r="I50">
            <v>30</v>
          </cell>
          <cell r="J50">
            <v>30</v>
          </cell>
          <cell r="L50">
            <v>30</v>
          </cell>
          <cell r="M50">
            <v>53728.2</v>
          </cell>
          <cell r="N50">
            <v>21491.279999999999</v>
          </cell>
          <cell r="O50">
            <v>2083</v>
          </cell>
          <cell r="P50">
            <v>2083</v>
          </cell>
          <cell r="Q50">
            <v>10274.520000000004</v>
          </cell>
          <cell r="R50">
            <v>89660</v>
          </cell>
          <cell r="S50">
            <v>1950</v>
          </cell>
          <cell r="T50">
            <v>1554.6089999999999</v>
          </cell>
          <cell r="U50">
            <v>2584.3264199999994</v>
          </cell>
          <cell r="V50">
            <v>4477.3499999999995</v>
          </cell>
          <cell r="W50">
            <v>100226.28542</v>
          </cell>
          <cell r="Y50">
            <v>89660</v>
          </cell>
          <cell r="AA50">
            <v>200</v>
          </cell>
          <cell r="AB50">
            <v>1800</v>
          </cell>
          <cell r="AC50">
            <v>224</v>
          </cell>
          <cell r="AE50">
            <v>2224</v>
          </cell>
          <cell r="AF50">
            <v>96052.28542</v>
          </cell>
        </row>
        <row r="51">
          <cell r="C51" t="str">
            <v>BITS-640</v>
          </cell>
          <cell r="E51" t="str">
            <v>K V Kannan</v>
          </cell>
          <cell r="F51" t="str">
            <v>BNG STP</v>
          </cell>
          <cell r="G51">
            <v>43000</v>
          </cell>
          <cell r="H51">
            <v>36713</v>
          </cell>
          <cell r="I51">
            <v>30</v>
          </cell>
          <cell r="J51">
            <v>29</v>
          </cell>
          <cell r="K51">
            <v>1</v>
          </cell>
          <cell r="L51">
            <v>30</v>
          </cell>
          <cell r="M51">
            <v>22027.8</v>
          </cell>
          <cell r="N51">
            <v>8811.1200000000008</v>
          </cell>
          <cell r="O51">
            <v>2083</v>
          </cell>
          <cell r="P51">
            <v>2083</v>
          </cell>
          <cell r="Q51">
            <v>1821.0800000000017</v>
          </cell>
          <cell r="R51">
            <v>36826</v>
          </cell>
          <cell r="S51">
            <v>1950</v>
          </cell>
          <cell r="T51">
            <v>1554.6089999999999</v>
          </cell>
          <cell r="U51">
            <v>1059.53718</v>
          </cell>
          <cell r="V51">
            <v>1835.6499999999999</v>
          </cell>
          <cell r="W51">
            <v>43225.796179999998</v>
          </cell>
          <cell r="Y51">
            <v>36826</v>
          </cell>
          <cell r="AA51">
            <v>200</v>
          </cell>
          <cell r="AB51">
            <v>1800</v>
          </cell>
          <cell r="AC51">
            <v>252</v>
          </cell>
          <cell r="AE51">
            <v>2252</v>
          </cell>
          <cell r="AF51">
            <v>39023.796179999998</v>
          </cell>
        </row>
        <row r="52">
          <cell r="C52" t="str">
            <v>BITS-641</v>
          </cell>
          <cell r="E52" t="str">
            <v>Thanigaivel.J</v>
          </cell>
          <cell r="F52" t="str">
            <v>BNG STP</v>
          </cell>
          <cell r="G52">
            <v>43000</v>
          </cell>
          <cell r="H52">
            <v>36713</v>
          </cell>
          <cell r="I52">
            <v>30</v>
          </cell>
          <cell r="J52">
            <v>30</v>
          </cell>
          <cell r="L52">
            <v>30</v>
          </cell>
          <cell r="M52">
            <v>22027.8</v>
          </cell>
          <cell r="N52">
            <v>8811.1200000000008</v>
          </cell>
          <cell r="O52">
            <v>2083</v>
          </cell>
          <cell r="P52">
            <v>2083</v>
          </cell>
          <cell r="Q52">
            <v>1821.0800000000017</v>
          </cell>
          <cell r="R52">
            <v>36826</v>
          </cell>
          <cell r="S52">
            <v>1950</v>
          </cell>
          <cell r="T52">
            <v>1554.6089999999999</v>
          </cell>
          <cell r="U52">
            <v>1059.53718</v>
          </cell>
          <cell r="V52">
            <v>1835.6499999999999</v>
          </cell>
          <cell r="W52">
            <v>43225.796179999998</v>
          </cell>
          <cell r="Y52">
            <v>36826</v>
          </cell>
          <cell r="AA52">
            <v>200</v>
          </cell>
          <cell r="AB52">
            <v>1800</v>
          </cell>
          <cell r="AC52">
            <v>224</v>
          </cell>
          <cell r="AE52">
            <v>2224</v>
          </cell>
          <cell r="AF52">
            <v>39051.796179999998</v>
          </cell>
        </row>
        <row r="53">
          <cell r="C53" t="str">
            <v>BITS-644</v>
          </cell>
          <cell r="E53" t="str">
            <v>gopi reddy chirra</v>
          </cell>
          <cell r="F53" t="str">
            <v>Chandigarh</v>
          </cell>
          <cell r="G53">
            <v>66000</v>
          </cell>
          <cell r="H53">
            <v>58032</v>
          </cell>
          <cell r="I53">
            <v>30</v>
          </cell>
          <cell r="J53">
            <v>29</v>
          </cell>
          <cell r="K53">
            <v>1</v>
          </cell>
          <cell r="L53">
            <v>30</v>
          </cell>
          <cell r="M53">
            <v>34819.199999999997</v>
          </cell>
          <cell r="N53">
            <v>13927.68</v>
          </cell>
          <cell r="O53">
            <v>2083</v>
          </cell>
          <cell r="P53">
            <v>2083</v>
          </cell>
          <cell r="Q53">
            <v>5232.1200000000026</v>
          </cell>
          <cell r="R53">
            <v>58145</v>
          </cell>
          <cell r="S53">
            <v>1950</v>
          </cell>
          <cell r="T53">
            <v>1554.6089999999999</v>
          </cell>
          <cell r="U53">
            <v>1674.8035199999999</v>
          </cell>
          <cell r="V53">
            <v>2901.6</v>
          </cell>
          <cell r="W53">
            <v>66226.012519999989</v>
          </cell>
          <cell r="Y53">
            <v>58145</v>
          </cell>
          <cell r="AA53">
            <v>200</v>
          </cell>
          <cell r="AB53">
            <v>1800</v>
          </cell>
          <cell r="AC53">
            <v>224</v>
          </cell>
          <cell r="AE53">
            <v>2224</v>
          </cell>
          <cell r="AF53">
            <v>62052.012519999997</v>
          </cell>
        </row>
        <row r="54">
          <cell r="C54" t="str">
            <v>BITS-645</v>
          </cell>
          <cell r="E54" t="str">
            <v>Anil kumar Redd kusam</v>
          </cell>
          <cell r="F54" t="str">
            <v>BNG STP</v>
          </cell>
          <cell r="G54">
            <v>90000</v>
          </cell>
          <cell r="H54">
            <v>80278</v>
          </cell>
          <cell r="I54">
            <v>30</v>
          </cell>
          <cell r="J54">
            <v>30</v>
          </cell>
          <cell r="L54">
            <v>30</v>
          </cell>
          <cell r="M54">
            <v>48166.8</v>
          </cell>
          <cell r="N54">
            <v>19266.72</v>
          </cell>
          <cell r="O54">
            <v>2083</v>
          </cell>
          <cell r="P54">
            <v>2083</v>
          </cell>
          <cell r="Q54">
            <v>8791.4799999999959</v>
          </cell>
          <cell r="R54">
            <v>80391</v>
          </cell>
          <cell r="S54">
            <v>1950</v>
          </cell>
          <cell r="T54">
            <v>1554.6089999999999</v>
          </cell>
          <cell r="U54">
            <v>2316.8230800000001</v>
          </cell>
          <cell r="V54">
            <v>4013.9</v>
          </cell>
          <cell r="W54">
            <v>90226.332079999993</v>
          </cell>
          <cell r="Y54">
            <v>80391</v>
          </cell>
          <cell r="AA54">
            <v>200</v>
          </cell>
          <cell r="AB54">
            <v>1800</v>
          </cell>
          <cell r="AC54">
            <v>224</v>
          </cell>
          <cell r="AE54">
            <v>2224</v>
          </cell>
          <cell r="AF54">
            <v>86052.332079999993</v>
          </cell>
        </row>
        <row r="55">
          <cell r="C55" t="str">
            <v>BITS-646</v>
          </cell>
          <cell r="E55" t="str">
            <v>Vijay Kumar Sundara</v>
          </cell>
          <cell r="F55" t="str">
            <v>HYD STP</v>
          </cell>
          <cell r="G55">
            <v>90000</v>
          </cell>
          <cell r="H55">
            <v>80278</v>
          </cell>
          <cell r="I55">
            <v>30</v>
          </cell>
          <cell r="J55">
            <v>30</v>
          </cell>
          <cell r="L55">
            <v>30</v>
          </cell>
          <cell r="M55">
            <v>48166.8</v>
          </cell>
          <cell r="N55">
            <v>19266.72</v>
          </cell>
          <cell r="O55">
            <v>2083</v>
          </cell>
          <cell r="P55">
            <v>2083</v>
          </cell>
          <cell r="Q55">
            <v>8791.4799999999959</v>
          </cell>
          <cell r="R55">
            <v>80391</v>
          </cell>
          <cell r="S55">
            <v>1950</v>
          </cell>
          <cell r="T55">
            <v>1554.6089999999999</v>
          </cell>
          <cell r="U55">
            <v>2316.8230800000001</v>
          </cell>
          <cell r="V55">
            <v>4013.9</v>
          </cell>
          <cell r="W55">
            <v>90226.332079999993</v>
          </cell>
          <cell r="Y55">
            <v>80391</v>
          </cell>
          <cell r="AA55">
            <v>200</v>
          </cell>
          <cell r="AB55">
            <v>1800</v>
          </cell>
          <cell r="AC55">
            <v>224</v>
          </cell>
          <cell r="AE55">
            <v>2224</v>
          </cell>
          <cell r="AF55">
            <v>86052.332079999993</v>
          </cell>
        </row>
        <row r="56">
          <cell r="C56" t="str">
            <v>BITS-650</v>
          </cell>
          <cell r="E56" t="str">
            <v>Bhaskar Idagottu</v>
          </cell>
          <cell r="G56">
            <v>125000</v>
          </cell>
          <cell r="H56">
            <v>112719</v>
          </cell>
          <cell r="I56">
            <v>30</v>
          </cell>
          <cell r="J56">
            <v>26</v>
          </cell>
          <cell r="K56">
            <v>4</v>
          </cell>
          <cell r="L56">
            <v>27</v>
          </cell>
          <cell r="M56">
            <v>60868.26</v>
          </cell>
          <cell r="N56">
            <v>24347.304000000004</v>
          </cell>
          <cell r="O56">
            <v>1875</v>
          </cell>
          <cell r="P56">
            <v>1875</v>
          </cell>
          <cell r="Q56">
            <v>12594.535999999993</v>
          </cell>
          <cell r="R56">
            <v>101560.1</v>
          </cell>
          <cell r="T56">
            <v>1554.6089999999999</v>
          </cell>
          <cell r="U56">
            <v>2927.7633059999998</v>
          </cell>
          <cell r="V56">
            <v>5072.3550000000005</v>
          </cell>
          <cell r="W56">
            <v>111114.82730599999</v>
          </cell>
          <cell r="Y56">
            <v>101560.1</v>
          </cell>
          <cell r="AA56">
            <v>200</v>
          </cell>
          <cell r="AC56">
            <v>283</v>
          </cell>
          <cell r="AE56">
            <v>483</v>
          </cell>
          <cell r="AF56">
            <v>110631.72730599999</v>
          </cell>
        </row>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row r="130">
          <cell r="C130" t="str">
            <v>BITS-742</v>
          </cell>
          <cell r="E130" t="str">
            <v xml:space="preserve">Ravi Gande </v>
          </cell>
          <cell r="F130" t="str">
            <v>HYD SEZ</v>
          </cell>
          <cell r="G130">
            <v>75000</v>
          </cell>
          <cell r="H130">
            <v>68182</v>
          </cell>
          <cell r="I130">
            <v>30</v>
          </cell>
          <cell r="J130">
            <v>30</v>
          </cell>
          <cell r="L130">
            <v>30</v>
          </cell>
          <cell r="M130">
            <v>40909.199999999997</v>
          </cell>
          <cell r="N130">
            <v>16363.68</v>
          </cell>
          <cell r="O130">
            <v>2083</v>
          </cell>
          <cell r="P130">
            <v>2083</v>
          </cell>
          <cell r="Q130">
            <v>6856.1200000000026</v>
          </cell>
          <cell r="R130">
            <v>68295</v>
          </cell>
          <cell r="S130">
            <v>1950</v>
          </cell>
          <cell r="T130">
            <v>1441.6089999999999</v>
          </cell>
          <cell r="U130">
            <v>1967.7325199999998</v>
          </cell>
          <cell r="V130">
            <v>3409.1</v>
          </cell>
          <cell r="W130">
            <v>77063.441519999993</v>
          </cell>
          <cell r="Y130">
            <v>68295</v>
          </cell>
          <cell r="AA130">
            <v>200</v>
          </cell>
          <cell r="AE130">
            <v>200</v>
          </cell>
          <cell r="AF130">
            <v>74913.441520000008</v>
          </cell>
        </row>
        <row r="131">
          <cell r="C131" t="str">
            <v>BITS-743</v>
          </cell>
          <cell r="E131" t="str">
            <v xml:space="preserve">Vinoth Vairavan </v>
          </cell>
          <cell r="F131" t="str">
            <v>BNG STP</v>
          </cell>
          <cell r="G131">
            <v>150000</v>
          </cell>
          <cell r="H131">
            <v>135892</v>
          </cell>
          <cell r="I131">
            <v>30</v>
          </cell>
          <cell r="J131">
            <v>25</v>
          </cell>
          <cell r="L131">
            <v>25</v>
          </cell>
          <cell r="M131">
            <v>67946</v>
          </cell>
          <cell r="N131">
            <v>27178.400000000001</v>
          </cell>
          <cell r="O131">
            <v>1736</v>
          </cell>
          <cell r="P131">
            <v>1736</v>
          </cell>
          <cell r="Q131">
            <v>14759.933333333334</v>
          </cell>
          <cell r="R131">
            <v>113356.33333333333</v>
          </cell>
          <cell r="S131">
            <v>1950</v>
          </cell>
          <cell r="T131">
            <v>1554.6089999999999</v>
          </cell>
          <cell r="U131">
            <v>3268.2025999999996</v>
          </cell>
          <cell r="V131">
            <v>5662.166666666667</v>
          </cell>
          <cell r="W131">
            <v>125791.3116</v>
          </cell>
          <cell r="Y131">
            <v>113356.33333333333</v>
          </cell>
          <cell r="AA131">
            <v>200</v>
          </cell>
          <cell r="AB131">
            <v>1800</v>
          </cell>
          <cell r="AE131">
            <v>2000</v>
          </cell>
          <cell r="AF131">
            <v>121840.97826666667</v>
          </cell>
        </row>
        <row r="132">
          <cell r="C132" t="str">
            <v>BITS-744</v>
          </cell>
          <cell r="E132" t="str">
            <v xml:space="preserve">OMPRAKASH PURI </v>
          </cell>
          <cell r="F132" t="str">
            <v>PUNE SEZ 1</v>
          </cell>
          <cell r="G132">
            <v>120000</v>
          </cell>
          <cell r="H132">
            <v>108085</v>
          </cell>
          <cell r="I132">
            <v>30</v>
          </cell>
          <cell r="J132">
            <v>30</v>
          </cell>
          <cell r="L132">
            <v>30</v>
          </cell>
          <cell r="M132">
            <v>64851</v>
          </cell>
          <cell r="N132">
            <v>25940.400000000001</v>
          </cell>
          <cell r="O132">
            <v>2083</v>
          </cell>
          <cell r="P132">
            <v>2083</v>
          </cell>
          <cell r="Q132">
            <v>13240.600000000006</v>
          </cell>
          <cell r="R132">
            <v>108198</v>
          </cell>
          <cell r="S132">
            <v>1950</v>
          </cell>
          <cell r="T132">
            <v>1554.6089999999999</v>
          </cell>
          <cell r="U132">
            <v>3119.3330999999998</v>
          </cell>
          <cell r="V132">
            <v>5404.25</v>
          </cell>
          <cell r="W132">
            <v>120226.1921</v>
          </cell>
          <cell r="Y132">
            <v>108198</v>
          </cell>
          <cell r="AA132">
            <v>200</v>
          </cell>
          <cell r="AB132">
            <v>1800</v>
          </cell>
          <cell r="AE132">
            <v>2000</v>
          </cell>
          <cell r="AF132">
            <v>116276.1921</v>
          </cell>
        </row>
        <row r="133">
          <cell r="C133" t="str">
            <v>BITS-745</v>
          </cell>
          <cell r="E133" t="str">
            <v xml:space="preserve">NarsiReddy Venna </v>
          </cell>
          <cell r="F133" t="str">
            <v>HYD SEZ</v>
          </cell>
          <cell r="G133">
            <v>125000</v>
          </cell>
          <cell r="H133">
            <v>112719</v>
          </cell>
          <cell r="I133">
            <v>30</v>
          </cell>
          <cell r="J133">
            <v>27</v>
          </cell>
          <cell r="L133">
            <v>27</v>
          </cell>
          <cell r="M133">
            <v>60868.26</v>
          </cell>
          <cell r="N133">
            <v>24347.304000000004</v>
          </cell>
          <cell r="O133">
            <v>1875</v>
          </cell>
          <cell r="P133">
            <v>1875</v>
          </cell>
          <cell r="Q133">
            <v>12594.535999999993</v>
          </cell>
          <cell r="R133">
            <v>101560.1</v>
          </cell>
          <cell r="S133">
            <v>1950</v>
          </cell>
          <cell r="T133">
            <v>1554.6089999999999</v>
          </cell>
          <cell r="U133">
            <v>2927.7633059999998</v>
          </cell>
          <cell r="V133">
            <v>5072.3550000000005</v>
          </cell>
          <cell r="W133">
            <v>113064.82730599999</v>
          </cell>
          <cell r="Y133">
            <v>101560.1</v>
          </cell>
          <cell r="AA133">
            <v>200</v>
          </cell>
          <cell r="AB133">
            <v>1800</v>
          </cell>
          <cell r="AE133">
            <v>2000</v>
          </cell>
          <cell r="AF133">
            <v>109114.72730599999</v>
          </cell>
        </row>
        <row r="134">
          <cell r="C134" t="str">
            <v>BITS-746</v>
          </cell>
          <cell r="E134" t="str">
            <v xml:space="preserve">DiptiRanjan Dikhit </v>
          </cell>
          <cell r="F134" t="str">
            <v>PUNE SEZ 1</v>
          </cell>
          <cell r="G134">
            <v>71000</v>
          </cell>
          <cell r="H134">
            <v>62667</v>
          </cell>
          <cell r="I134">
            <v>30</v>
          </cell>
          <cell r="J134">
            <v>27</v>
          </cell>
          <cell r="L134">
            <v>27</v>
          </cell>
          <cell r="M134">
            <v>33840.18</v>
          </cell>
          <cell r="N134">
            <v>13536.072</v>
          </cell>
          <cell r="O134">
            <v>1875</v>
          </cell>
          <cell r="P134">
            <v>1875</v>
          </cell>
          <cell r="Q134">
            <v>5387.0480000000025</v>
          </cell>
          <cell r="R134">
            <v>56513.3</v>
          </cell>
          <cell r="S134">
            <v>1950</v>
          </cell>
          <cell r="T134">
            <v>1554.6089999999999</v>
          </cell>
          <cell r="U134">
            <v>1627.7126579999999</v>
          </cell>
          <cell r="V134">
            <v>2820.0149999999999</v>
          </cell>
          <cell r="W134">
            <v>64465.636657999996</v>
          </cell>
          <cell r="Y134">
            <v>56513.3</v>
          </cell>
          <cell r="AA134">
            <v>200</v>
          </cell>
          <cell r="AB134">
            <v>1800</v>
          </cell>
          <cell r="AE134">
            <v>2000</v>
          </cell>
          <cell r="AF134">
            <v>60515.336657999993</v>
          </cell>
        </row>
        <row r="135">
          <cell r="C135" t="str">
            <v>BITS-747</v>
          </cell>
          <cell r="E135" t="str">
            <v xml:space="preserve">Govarthanan TK </v>
          </cell>
          <cell r="F135" t="str">
            <v>BNG STP</v>
          </cell>
          <cell r="G135">
            <v>135000</v>
          </cell>
          <cell r="H135">
            <v>121988</v>
          </cell>
          <cell r="I135">
            <v>30</v>
          </cell>
          <cell r="J135">
            <v>20</v>
          </cell>
          <cell r="L135">
            <v>20</v>
          </cell>
          <cell r="M135">
            <v>48795.199999999997</v>
          </cell>
          <cell r="N135">
            <v>19518.079999999998</v>
          </cell>
          <cell r="O135">
            <v>1389</v>
          </cell>
          <cell r="P135">
            <v>1389</v>
          </cell>
          <cell r="Q135">
            <v>10347.05333333333</v>
          </cell>
          <cell r="R135">
            <v>81438.333333333328</v>
          </cell>
          <cell r="S135">
            <v>1950</v>
          </cell>
          <cell r="T135">
            <v>1554.6089999999999</v>
          </cell>
          <cell r="U135">
            <v>2347.0491199999997</v>
          </cell>
          <cell r="V135">
            <v>4066.2666666666664</v>
          </cell>
          <cell r="W135">
            <v>91356.258119999984</v>
          </cell>
          <cell r="Y135">
            <v>81438.333333333328</v>
          </cell>
          <cell r="AA135">
            <v>200</v>
          </cell>
          <cell r="AB135">
            <v>1800</v>
          </cell>
          <cell r="AE135">
            <v>2000</v>
          </cell>
          <cell r="AF135">
            <v>87405.924786666656</v>
          </cell>
        </row>
        <row r="136">
          <cell r="C136" t="str">
            <v>BITS-748</v>
          </cell>
          <cell r="E136" t="str">
            <v xml:space="preserve">BIKSHAPATHI ENDLA </v>
          </cell>
          <cell r="F136" t="str">
            <v>HYD STP</v>
          </cell>
          <cell r="G136">
            <v>116000</v>
          </cell>
          <cell r="H136">
            <v>104377</v>
          </cell>
          <cell r="I136">
            <v>30</v>
          </cell>
          <cell r="J136">
            <v>19</v>
          </cell>
          <cell r="L136">
            <v>19</v>
          </cell>
          <cell r="M136">
            <v>39663.26</v>
          </cell>
          <cell r="N136">
            <v>15865.304000000002</v>
          </cell>
          <cell r="O136">
            <v>1319</v>
          </cell>
          <cell r="P136">
            <v>1319</v>
          </cell>
          <cell r="Q136">
            <v>8051.8693333333285</v>
          </cell>
          <cell r="R136">
            <v>66218.433333333334</v>
          </cell>
          <cell r="S136">
            <v>1950</v>
          </cell>
          <cell r="T136">
            <v>1554.6089999999999</v>
          </cell>
          <cell r="U136">
            <v>1907.8028059999999</v>
          </cell>
          <cell r="V136">
            <v>3305.271666666667</v>
          </cell>
          <cell r="W136">
            <v>74936.116806000005</v>
          </cell>
          <cell r="Y136">
            <v>66218.433333333334</v>
          </cell>
          <cell r="AA136">
            <v>200</v>
          </cell>
          <cell r="AB136">
            <v>1800</v>
          </cell>
          <cell r="AE136">
            <v>2000</v>
          </cell>
          <cell r="AF136">
            <v>70985.683472666671</v>
          </cell>
        </row>
        <row r="137">
          <cell r="C137" t="str">
            <v>BITS-749</v>
          </cell>
          <cell r="E137" t="str">
            <v xml:space="preserve">LaxmiSoujanya Mudunuri </v>
          </cell>
          <cell r="F137" t="str">
            <v>BNG STP</v>
          </cell>
          <cell r="G137">
            <v>175000</v>
          </cell>
          <cell r="H137">
            <v>159065</v>
          </cell>
          <cell r="I137">
            <v>30</v>
          </cell>
          <cell r="J137">
            <v>11</v>
          </cell>
          <cell r="L137">
            <v>11</v>
          </cell>
          <cell r="M137">
            <v>34994.300000000003</v>
          </cell>
          <cell r="N137">
            <v>13997.720000000001</v>
          </cell>
          <cell r="O137">
            <v>764</v>
          </cell>
          <cell r="P137">
            <v>764</v>
          </cell>
          <cell r="Q137">
            <v>7916.8133333333317</v>
          </cell>
          <cell r="R137">
            <v>58436.833333333336</v>
          </cell>
          <cell r="S137">
            <v>1950</v>
          </cell>
          <cell r="T137">
            <v>1554.6089999999999</v>
          </cell>
          <cell r="U137">
            <v>1683.2258300000001</v>
          </cell>
          <cell r="V137">
            <v>2916.1916666666671</v>
          </cell>
          <cell r="W137">
            <v>66540.859830000001</v>
          </cell>
          <cell r="Y137">
            <v>58436.833333333336</v>
          </cell>
          <cell r="AA137">
            <v>200</v>
          </cell>
          <cell r="AB137">
            <v>1800</v>
          </cell>
          <cell r="AE137">
            <v>2000</v>
          </cell>
          <cell r="AF137">
            <v>62591.026496666665</v>
          </cell>
        </row>
        <row r="138">
          <cell r="C138" t="str">
            <v>BITS-750</v>
          </cell>
          <cell r="E138" t="str">
            <v xml:space="preserve">AbdulSaleem Sunkesula </v>
          </cell>
          <cell r="F138" t="str">
            <v>HYD SEZ</v>
          </cell>
          <cell r="G138">
            <v>85000</v>
          </cell>
          <cell r="H138">
            <v>75643</v>
          </cell>
          <cell r="I138">
            <v>30</v>
          </cell>
          <cell r="J138">
            <v>11</v>
          </cell>
          <cell r="L138">
            <v>11</v>
          </cell>
          <cell r="M138">
            <v>16641.46</v>
          </cell>
          <cell r="N138">
            <v>6656.5839999999998</v>
          </cell>
          <cell r="O138">
            <v>764</v>
          </cell>
          <cell r="P138">
            <v>764</v>
          </cell>
          <cell r="Q138">
            <v>3022.7226666666684</v>
          </cell>
          <cell r="R138">
            <v>27848.766666666666</v>
          </cell>
          <cell r="S138">
            <v>1950</v>
          </cell>
          <cell r="T138">
            <v>1554.6089999999999</v>
          </cell>
          <cell r="U138">
            <v>800.45422599999995</v>
          </cell>
          <cell r="V138">
            <v>1386.7883333333332</v>
          </cell>
          <cell r="W138">
            <v>33540.618226000006</v>
          </cell>
          <cell r="Y138">
            <v>27848.766666666666</v>
          </cell>
          <cell r="AA138">
            <v>200</v>
          </cell>
          <cell r="AB138">
            <v>1800</v>
          </cell>
          <cell r="AE138">
            <v>2000</v>
          </cell>
          <cell r="AF138">
            <v>29590.851559333336</v>
          </cell>
        </row>
        <row r="139">
          <cell r="C139" t="str">
            <v>BITS-751</v>
          </cell>
          <cell r="E139" t="str">
            <v>Varsha AmitKadam</v>
          </cell>
          <cell r="F139" t="str">
            <v>PUNE ASC SEZ</v>
          </cell>
          <cell r="G139">
            <v>62000</v>
          </cell>
          <cell r="H139">
            <v>54324</v>
          </cell>
          <cell r="I139">
            <v>30</v>
          </cell>
          <cell r="J139">
            <v>6</v>
          </cell>
          <cell r="L139">
            <v>6</v>
          </cell>
          <cell r="M139">
            <v>6518.88</v>
          </cell>
          <cell r="N139">
            <v>2607.5520000000001</v>
          </cell>
          <cell r="O139">
            <v>417</v>
          </cell>
          <cell r="P139">
            <v>417</v>
          </cell>
          <cell r="Q139">
            <v>1017.3679999999986</v>
          </cell>
          <cell r="R139">
            <v>10977.8</v>
          </cell>
          <cell r="S139">
            <v>847.45440000000008</v>
          </cell>
          <cell r="T139">
            <v>1554.6089999999999</v>
          </cell>
          <cell r="U139">
            <v>313.55812800000001</v>
          </cell>
          <cell r="V139">
            <v>543.24</v>
          </cell>
          <cell r="W139">
            <v>14236.661528000001</v>
          </cell>
          <cell r="Y139">
            <v>10977.8</v>
          </cell>
          <cell r="AA139">
            <v>0</v>
          </cell>
          <cell r="AB139">
            <v>782</v>
          </cell>
          <cell r="AE139">
            <v>782</v>
          </cell>
          <cell r="AF139">
            <v>12607.407128000001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JAN- 2021"/>
      <sheetName val="Emp Details "/>
      <sheetName val="kaja Venkat Ragavendra"/>
      <sheetName val="Venegella Kanaka durga"/>
      <sheetName val="Ayyappa Kopparapu "/>
      <sheetName val="Moeenahmed Shakilahmed Shaikh"/>
      <sheetName val="AKASH DEEP CHUNAP "/>
      <sheetName val="Jagdish Salian "/>
      <sheetName val="Parteek Arora"/>
      <sheetName val="Gaunda Mohammad Arief"/>
      <sheetName val="KRANTHI KUMAR VEDULLA"/>
      <sheetName val="Vipin U.N"/>
      <sheetName val="VeerendraBabu Galam"/>
      <sheetName val="SatishKumar Dhandu"/>
      <sheetName val="RAMBABU PYDI"/>
      <sheetName val="Sudhir Perka"/>
      <sheetName val="Haneef"/>
      <sheetName val="Ramesh Baira"/>
      <sheetName val="RAMALAKSHMAIAH "/>
      <sheetName val="Nilesh Baviskar"/>
      <sheetName val="Ved Prakash"/>
      <sheetName val="GauravVispute"/>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athishKumar V"/>
      <sheetName val="Madan"/>
      <sheetName val="Kutagolla Mohazzer"/>
      <sheetName val="Sachin Ameshram"/>
      <sheetName val="Naresh Subbarajulu "/>
      <sheetName val="Vikram Sunchu"/>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Karthikeyan Radha"/>
      <sheetName val="Bhaskar Reddy Sudha"/>
      <sheetName val="BHARGAVI .R"/>
      <sheetName val="Shiva Krishna"/>
      <sheetName val="ARJUN PUNDLIK JOSHI"/>
      <sheetName val="Karthick G"/>
      <sheetName val="Somisetty VenkataKrishna"/>
      <sheetName val="Ramarao Kongara"/>
      <sheetName val="CHEREDDY MURALI KRISHNA NAIDU"/>
      <sheetName val="Gangadhar Yarabham"/>
      <sheetName val="Himanshu Anand"/>
      <sheetName val="Kanchupati Kondaiah"/>
      <sheetName val="Santosh Patel"/>
      <sheetName val="Saleem Ahmed Natamkar"/>
      <sheetName val="Sambasivarao M"/>
      <sheetName val="Basweshwar Pawar"/>
      <sheetName val=" RAJPRANEETH SUTHRAVE"/>
      <sheetName val="K V Kannan"/>
      <sheetName val="Thanigaivel.J"/>
      <sheetName val="Suprity Chandra"/>
      <sheetName val="SaiPrasad Cheruvukommu"/>
      <sheetName val="gopi reddy chirra"/>
      <sheetName val="Anil kumar Redd kusam"/>
      <sheetName val="Vijay Kumar Sundara"/>
      <sheetName val="Swati Bhattachary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SREENIVASULU NARIS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s>
    <sheetDataSet>
      <sheetData sheetId="0" refreshError="1">
        <row r="18">
          <cell r="C18" t="str">
            <v>BITS-542</v>
          </cell>
          <cell r="D18">
            <v>2108578</v>
          </cell>
          <cell r="E18" t="str">
            <v>Haneef</v>
          </cell>
          <cell r="F18" t="str">
            <v>PUNE ASC SEZ</v>
          </cell>
          <cell r="G18">
            <v>70000</v>
          </cell>
          <cell r="H18">
            <v>61740</v>
          </cell>
          <cell r="I18">
            <v>31</v>
          </cell>
          <cell r="J18">
            <v>29</v>
          </cell>
          <cell r="K18">
            <v>2</v>
          </cell>
          <cell r="L18">
            <v>30</v>
          </cell>
          <cell r="M18">
            <v>35849.032258064515</v>
          </cell>
          <cell r="N18">
            <v>14339.612903225807</v>
          </cell>
          <cell r="O18">
            <v>2016</v>
          </cell>
          <cell r="P18">
            <v>2016</v>
          </cell>
          <cell r="Q18">
            <v>5527.7419354838785</v>
          </cell>
          <cell r="R18">
            <v>59748.387096774197</v>
          </cell>
          <cell r="S18">
            <v>1950</v>
          </cell>
          <cell r="T18">
            <v>1441.6089999999999</v>
          </cell>
          <cell r="U18">
            <v>1724.3384516129031</v>
          </cell>
          <cell r="V18">
            <v>2987.4193548387098</v>
          </cell>
          <cell r="W18">
            <v>67851.753903225806</v>
          </cell>
          <cell r="Y18">
            <v>59748.387096774197</v>
          </cell>
          <cell r="Z18">
            <v>1837</v>
          </cell>
          <cell r="AA18">
            <v>200</v>
          </cell>
          <cell r="AB18">
            <v>1800</v>
          </cell>
          <cell r="AC18">
            <v>391.787848</v>
          </cell>
          <cell r="AE18">
            <v>4228.7878479999999</v>
          </cell>
          <cell r="AF18">
            <v>61673.36680645161</v>
          </cell>
        </row>
        <row r="19">
          <cell r="C19" t="str">
            <v>BITS-550</v>
          </cell>
          <cell r="D19">
            <v>2108937</v>
          </cell>
          <cell r="E19" t="str">
            <v>Ramesh Baira</v>
          </cell>
          <cell r="F19" t="str">
            <v>HYD SEZ</v>
          </cell>
          <cell r="G19">
            <v>90000</v>
          </cell>
          <cell r="H19">
            <v>80278</v>
          </cell>
          <cell r="I19">
            <v>31</v>
          </cell>
          <cell r="J19">
            <v>31</v>
          </cell>
          <cell r="L19">
            <v>31</v>
          </cell>
          <cell r="M19">
            <v>48166.8</v>
          </cell>
          <cell r="N19">
            <v>19266.72</v>
          </cell>
          <cell r="O19">
            <v>2083</v>
          </cell>
          <cell r="P19">
            <v>2083</v>
          </cell>
          <cell r="Q19">
            <v>8678.4799999999959</v>
          </cell>
          <cell r="R19">
            <v>80278</v>
          </cell>
          <cell r="S19">
            <v>1950</v>
          </cell>
          <cell r="T19">
            <v>1441.6089999999999</v>
          </cell>
          <cell r="U19">
            <v>2316.8230800000001</v>
          </cell>
          <cell r="V19">
            <v>4013.9</v>
          </cell>
          <cell r="W19">
            <v>90000.332079999993</v>
          </cell>
          <cell r="Y19">
            <v>80278</v>
          </cell>
          <cell r="Z19">
            <v>6746</v>
          </cell>
          <cell r="AA19">
            <v>200</v>
          </cell>
          <cell r="AB19">
            <v>1800</v>
          </cell>
          <cell r="AC19">
            <v>391.787848</v>
          </cell>
          <cell r="AE19">
            <v>9137.7878479999999</v>
          </cell>
          <cell r="AF19">
            <v>78912.332079999993</v>
          </cell>
        </row>
        <row r="20">
          <cell r="C20" t="str">
            <v>BITS-553</v>
          </cell>
          <cell r="D20">
            <v>2109857</v>
          </cell>
          <cell r="E20" t="str">
            <v>RAMALAKSHMAIAH 21-01-2021</v>
          </cell>
          <cell r="F20" t="str">
            <v>HYD SEZ</v>
          </cell>
          <cell r="G20">
            <v>140000</v>
          </cell>
          <cell r="H20">
            <v>126623</v>
          </cell>
          <cell r="I20">
            <v>31</v>
          </cell>
          <cell r="J20">
            <v>21</v>
          </cell>
          <cell r="L20">
            <v>21</v>
          </cell>
          <cell r="M20">
            <v>51466.122580645162</v>
          </cell>
          <cell r="N20">
            <v>20586.449032258068</v>
          </cell>
          <cell r="O20">
            <v>1411</v>
          </cell>
          <cell r="P20">
            <v>1411</v>
          </cell>
          <cell r="Q20">
            <v>10902.299354838702</v>
          </cell>
          <cell r="R20">
            <v>85776.870967741939</v>
          </cell>
          <cell r="S20">
            <v>1950</v>
          </cell>
          <cell r="T20">
            <v>1441.6089999999999</v>
          </cell>
          <cell r="U20">
            <v>2475.5204961290319</v>
          </cell>
          <cell r="V20">
            <v>4288.8435483870971</v>
          </cell>
          <cell r="W20">
            <v>95932.844012258065</v>
          </cell>
          <cell r="Y20">
            <v>85776.870967741939</v>
          </cell>
          <cell r="Z20">
            <v>10000</v>
          </cell>
          <cell r="AA20">
            <v>200</v>
          </cell>
          <cell r="AB20">
            <v>1800</v>
          </cell>
          <cell r="AC20">
            <v>391.787848</v>
          </cell>
          <cell r="AE20">
            <v>12391.787848</v>
          </cell>
          <cell r="AF20">
            <v>81590.973044516126</v>
          </cell>
        </row>
        <row r="21">
          <cell r="C21" t="str">
            <v>BITS-556</v>
          </cell>
          <cell r="E21" t="str">
            <v>Nilesh Baviskar</v>
          </cell>
          <cell r="F21" t="str">
            <v>PUNE ASC SEZ</v>
          </cell>
          <cell r="G21">
            <v>77000</v>
          </cell>
          <cell r="H21">
            <v>68228</v>
          </cell>
          <cell r="I21">
            <v>31</v>
          </cell>
          <cell r="J21">
            <v>30</v>
          </cell>
          <cell r="K21">
            <v>1</v>
          </cell>
          <cell r="L21">
            <v>31</v>
          </cell>
          <cell r="M21">
            <v>40936.800000000003</v>
          </cell>
          <cell r="N21">
            <v>16374.720000000001</v>
          </cell>
          <cell r="O21">
            <v>2083</v>
          </cell>
          <cell r="P21">
            <v>2083</v>
          </cell>
          <cell r="Q21">
            <v>6750.4799999999959</v>
          </cell>
          <cell r="R21">
            <v>68228</v>
          </cell>
          <cell r="S21">
            <v>1950</v>
          </cell>
          <cell r="T21">
            <v>1441.6089999999999</v>
          </cell>
          <cell r="U21">
            <v>1969.06008</v>
          </cell>
          <cell r="V21">
            <v>3411.4</v>
          </cell>
          <cell r="W21">
            <v>77000.069079999987</v>
          </cell>
          <cell r="Y21">
            <v>68228</v>
          </cell>
          <cell r="Z21">
            <v>3232</v>
          </cell>
          <cell r="AA21">
            <v>200</v>
          </cell>
          <cell r="AB21">
            <v>1800</v>
          </cell>
          <cell r="AC21">
            <v>391.787848</v>
          </cell>
          <cell r="AE21">
            <v>5623.7878479999999</v>
          </cell>
          <cell r="AF21">
            <v>69426.069079999987</v>
          </cell>
        </row>
        <row r="22">
          <cell r="C22" t="str">
            <v>BITS-557</v>
          </cell>
          <cell r="D22">
            <v>2109800</v>
          </cell>
          <cell r="E22" t="str">
            <v>Ved Prakash</v>
          </cell>
          <cell r="F22" t="str">
            <v>PUNE ASC SEZ</v>
          </cell>
          <cell r="G22">
            <v>80000</v>
          </cell>
          <cell r="H22">
            <v>71009</v>
          </cell>
          <cell r="I22">
            <v>31</v>
          </cell>
          <cell r="J22">
            <v>31</v>
          </cell>
          <cell r="L22">
            <v>31</v>
          </cell>
          <cell r="M22">
            <v>42605.4</v>
          </cell>
          <cell r="N22">
            <v>17042.16</v>
          </cell>
          <cell r="O22">
            <v>2083</v>
          </cell>
          <cell r="P22">
            <v>2083</v>
          </cell>
          <cell r="Q22">
            <v>7195.4400000000023</v>
          </cell>
          <cell r="R22">
            <v>71009</v>
          </cell>
          <cell r="S22">
            <v>1950</v>
          </cell>
          <cell r="T22">
            <v>1441.6089999999999</v>
          </cell>
          <cell r="U22">
            <v>2049.3197399999999</v>
          </cell>
          <cell r="V22">
            <v>3550.4500000000003</v>
          </cell>
          <cell r="W22">
            <v>80000.37874</v>
          </cell>
          <cell r="Y22">
            <v>71009</v>
          </cell>
          <cell r="Z22">
            <v>3744</v>
          </cell>
          <cell r="AA22">
            <v>200</v>
          </cell>
          <cell r="AB22">
            <v>1800</v>
          </cell>
          <cell r="AC22">
            <v>440.76132899999999</v>
          </cell>
          <cell r="AE22">
            <v>6184.7613289999999</v>
          </cell>
          <cell r="AF22">
            <v>71865.37874</v>
          </cell>
        </row>
        <row r="23">
          <cell r="C23" t="str">
            <v>BITS-559</v>
          </cell>
          <cell r="D23">
            <v>2110592</v>
          </cell>
          <cell r="E23" t="str">
            <v>GauravVispute</v>
          </cell>
          <cell r="F23" t="str">
            <v>PUNE ASC SEZ</v>
          </cell>
          <cell r="G23">
            <v>50000</v>
          </cell>
          <cell r="H23">
            <v>43202</v>
          </cell>
          <cell r="I23">
            <v>31</v>
          </cell>
          <cell r="J23">
            <v>31</v>
          </cell>
          <cell r="L23">
            <v>31</v>
          </cell>
          <cell r="M23">
            <v>25921.200000000001</v>
          </cell>
          <cell r="N23">
            <v>10368.480000000001</v>
          </cell>
          <cell r="O23">
            <v>2083</v>
          </cell>
          <cell r="P23">
            <v>2083</v>
          </cell>
          <cell r="Q23">
            <v>2746.3199999999997</v>
          </cell>
          <cell r="R23">
            <v>43202</v>
          </cell>
          <cell r="S23">
            <v>1950</v>
          </cell>
          <cell r="T23">
            <v>1441.6089999999999</v>
          </cell>
          <cell r="U23">
            <v>1246.80972</v>
          </cell>
          <cell r="V23">
            <v>2160.1</v>
          </cell>
          <cell r="W23">
            <v>50000.518719999993</v>
          </cell>
          <cell r="Y23">
            <v>43202</v>
          </cell>
          <cell r="AA23">
            <v>200</v>
          </cell>
          <cell r="AB23">
            <v>1800</v>
          </cell>
          <cell r="AC23">
            <v>391.787848</v>
          </cell>
          <cell r="AE23">
            <v>2391.7878479999999</v>
          </cell>
          <cell r="AF23">
            <v>45658.518719999993</v>
          </cell>
        </row>
        <row r="24">
          <cell r="C24" t="str">
            <v>BITS-564</v>
          </cell>
          <cell r="D24">
            <v>2110635</v>
          </cell>
          <cell r="E24" t="str">
            <v>Amith a</v>
          </cell>
          <cell r="F24" t="str">
            <v>PUNE STP</v>
          </cell>
          <cell r="G24">
            <v>65000</v>
          </cell>
          <cell r="H24">
            <v>57105</v>
          </cell>
          <cell r="I24">
            <v>31</v>
          </cell>
          <cell r="J24">
            <v>30</v>
          </cell>
          <cell r="L24">
            <v>31</v>
          </cell>
          <cell r="M24">
            <v>34263</v>
          </cell>
          <cell r="N24">
            <v>13705.2</v>
          </cell>
          <cell r="O24">
            <v>2083</v>
          </cell>
          <cell r="P24">
            <v>2083</v>
          </cell>
          <cell r="Q24">
            <v>4970.8000000000029</v>
          </cell>
          <cell r="R24">
            <v>57105</v>
          </cell>
          <cell r="S24">
            <v>1950</v>
          </cell>
          <cell r="T24">
            <v>1441.6089999999999</v>
          </cell>
          <cell r="U24">
            <v>1648.0502999999999</v>
          </cell>
          <cell r="V24">
            <v>2855.25</v>
          </cell>
          <cell r="W24">
            <v>64999.909299999999</v>
          </cell>
          <cell r="Y24">
            <v>57105</v>
          </cell>
          <cell r="AA24">
            <v>200</v>
          </cell>
          <cell r="AB24">
            <v>1800</v>
          </cell>
          <cell r="AC24">
            <v>440.76132899999999</v>
          </cell>
          <cell r="AE24">
            <v>2440.7613289999999</v>
          </cell>
          <cell r="AF24">
            <v>60608.909299999999</v>
          </cell>
        </row>
        <row r="25">
          <cell r="C25" t="str">
            <v>BITS-565</v>
          </cell>
          <cell r="D25">
            <v>2110700</v>
          </cell>
          <cell r="E25" t="str">
            <v>RajasekharReddy KN</v>
          </cell>
          <cell r="F25" t="str">
            <v>BNG STP</v>
          </cell>
          <cell r="G25">
            <v>75000</v>
          </cell>
          <cell r="H25">
            <v>66374</v>
          </cell>
          <cell r="I25">
            <v>31</v>
          </cell>
          <cell r="J25">
            <v>31</v>
          </cell>
          <cell r="L25">
            <v>31</v>
          </cell>
          <cell r="M25">
            <v>39824.400000000001</v>
          </cell>
          <cell r="N25">
            <v>15929.760000000002</v>
          </cell>
          <cell r="O25">
            <v>2083</v>
          </cell>
          <cell r="P25">
            <v>2083</v>
          </cell>
          <cell r="Q25">
            <v>6453.8399999999965</v>
          </cell>
          <cell r="R25">
            <v>66374</v>
          </cell>
          <cell r="S25">
            <v>1950</v>
          </cell>
          <cell r="T25">
            <v>1441.6089999999999</v>
          </cell>
          <cell r="U25">
            <v>1915.5536400000001</v>
          </cell>
          <cell r="V25">
            <v>3318.7000000000003</v>
          </cell>
          <cell r="W25">
            <v>74999.862639999992</v>
          </cell>
          <cell r="Y25">
            <v>66374</v>
          </cell>
          <cell r="Z25">
            <v>2682</v>
          </cell>
          <cell r="AA25">
            <v>200</v>
          </cell>
          <cell r="AB25">
            <v>1800</v>
          </cell>
          <cell r="AC25">
            <v>391.787848</v>
          </cell>
          <cell r="AE25">
            <v>5073.7878479999999</v>
          </cell>
          <cell r="AF25">
            <v>67975.862639999992</v>
          </cell>
        </row>
        <row r="26">
          <cell r="C26" t="str">
            <v>BITS-566</v>
          </cell>
          <cell r="D26">
            <v>2110684</v>
          </cell>
          <cell r="E26" t="str">
            <v>Moulika GM</v>
          </cell>
          <cell r="F26" t="str">
            <v>BNG STP</v>
          </cell>
          <cell r="G26">
            <v>25000</v>
          </cell>
          <cell r="H26">
            <v>20029</v>
          </cell>
          <cell r="I26">
            <v>31</v>
          </cell>
          <cell r="J26">
            <v>29</v>
          </cell>
          <cell r="K26">
            <v>2</v>
          </cell>
          <cell r="L26">
            <v>29</v>
          </cell>
          <cell r="M26">
            <v>11242.083870967741</v>
          </cell>
          <cell r="N26">
            <v>4496.8335483870969</v>
          </cell>
          <cell r="O26">
            <v>1949</v>
          </cell>
          <cell r="P26">
            <v>1949</v>
          </cell>
          <cell r="Q26">
            <v>-900.1109677419372</v>
          </cell>
          <cell r="R26">
            <v>18736.806451612902</v>
          </cell>
          <cell r="S26">
            <v>1461.4709032258063</v>
          </cell>
          <cell r="T26">
            <v>1441.6089999999999</v>
          </cell>
          <cell r="U26">
            <v>540.74423419354832</v>
          </cell>
          <cell r="V26">
            <v>936.84032258064508</v>
          </cell>
          <cell r="W26">
            <v>23117.470911612902</v>
          </cell>
          <cell r="Y26">
            <v>18736.806451612902</v>
          </cell>
          <cell r="AA26">
            <v>150</v>
          </cell>
          <cell r="AB26">
            <v>1349</v>
          </cell>
          <cell r="AC26">
            <v>391.787848</v>
          </cell>
          <cell r="AE26">
            <v>1890.7878479999999</v>
          </cell>
          <cell r="AF26">
            <v>19765.193556774197</v>
          </cell>
        </row>
        <row r="27">
          <cell r="C27" t="str">
            <v>BITS-567</v>
          </cell>
          <cell r="D27">
            <v>2110899</v>
          </cell>
          <cell r="E27" t="str">
            <v>AsokKumar J</v>
          </cell>
          <cell r="F27" t="str">
            <v>BNG STP</v>
          </cell>
          <cell r="G27">
            <v>135000</v>
          </cell>
          <cell r="H27">
            <v>121988</v>
          </cell>
          <cell r="I27">
            <v>31</v>
          </cell>
          <cell r="J27">
            <v>29</v>
          </cell>
          <cell r="K27">
            <v>2</v>
          </cell>
          <cell r="L27">
            <v>30</v>
          </cell>
          <cell r="M27">
            <v>70831.741935483864</v>
          </cell>
          <cell r="N27">
            <v>28332.696774193548</v>
          </cell>
          <cell r="O27">
            <v>2016</v>
          </cell>
          <cell r="P27">
            <v>2016</v>
          </cell>
          <cell r="Q27">
            <v>14856.464516129039</v>
          </cell>
          <cell r="R27">
            <v>118052.90322580645</v>
          </cell>
          <cell r="S27">
            <v>1950</v>
          </cell>
          <cell r="T27">
            <v>1441.6089999999999</v>
          </cell>
          <cell r="U27">
            <v>3407.0067870967737</v>
          </cell>
          <cell r="V27">
            <v>5902.645161290322</v>
          </cell>
          <cell r="W27">
            <v>130754.16417419355</v>
          </cell>
          <cell r="Y27">
            <v>118052.90322580645</v>
          </cell>
          <cell r="Z27">
            <v>25607</v>
          </cell>
          <cell r="AA27">
            <v>200</v>
          </cell>
          <cell r="AB27">
            <v>1800</v>
          </cell>
          <cell r="AC27">
            <v>391.787848</v>
          </cell>
          <cell r="AE27">
            <v>27998.787848</v>
          </cell>
          <cell r="AF27">
            <v>100805.26094838709</v>
          </cell>
        </row>
        <row r="28">
          <cell r="C28" t="str">
            <v>BITS-568</v>
          </cell>
          <cell r="D28">
            <v>2110947</v>
          </cell>
          <cell r="E28" t="str">
            <v>RUKNUDEEN S</v>
          </cell>
          <cell r="F28" t="str">
            <v>HYD SEZ</v>
          </cell>
          <cell r="G28">
            <v>100000</v>
          </cell>
          <cell r="H28">
            <v>89547</v>
          </cell>
          <cell r="I28">
            <v>31</v>
          </cell>
          <cell r="J28">
            <v>31</v>
          </cell>
          <cell r="L28">
            <v>31</v>
          </cell>
          <cell r="M28">
            <v>53728.2</v>
          </cell>
          <cell r="N28">
            <v>21491.279999999999</v>
          </cell>
          <cell r="O28">
            <v>2083</v>
          </cell>
          <cell r="P28">
            <v>2083</v>
          </cell>
          <cell r="Q28">
            <v>10161.520000000004</v>
          </cell>
          <cell r="R28">
            <v>89547</v>
          </cell>
          <cell r="S28">
            <v>1950</v>
          </cell>
          <cell r="T28">
            <v>1441.6089999999999</v>
          </cell>
          <cell r="U28">
            <v>2584.3264199999994</v>
          </cell>
          <cell r="V28">
            <v>4477.3499999999995</v>
          </cell>
          <cell r="W28">
            <v>100000.28542</v>
          </cell>
          <cell r="Y28">
            <v>89547</v>
          </cell>
          <cell r="Z28">
            <v>8328</v>
          </cell>
          <cell r="AA28">
            <v>200</v>
          </cell>
          <cell r="AB28">
            <v>1800</v>
          </cell>
          <cell r="AC28">
            <v>391.787848</v>
          </cell>
          <cell r="AE28">
            <v>10719.787848</v>
          </cell>
          <cell r="AF28">
            <v>87330.28542</v>
          </cell>
        </row>
        <row r="29">
          <cell r="C29" t="str">
            <v>BITS-569</v>
          </cell>
          <cell r="D29">
            <v>2110966</v>
          </cell>
          <cell r="E29" t="str">
            <v>Rajesh Kongara</v>
          </cell>
          <cell r="F29" t="str">
            <v>BNG SEZ</v>
          </cell>
          <cell r="G29">
            <v>130000</v>
          </cell>
          <cell r="H29">
            <v>117354</v>
          </cell>
          <cell r="I29">
            <v>31</v>
          </cell>
          <cell r="J29">
            <v>30</v>
          </cell>
          <cell r="K29">
            <v>1</v>
          </cell>
          <cell r="L29">
            <v>31</v>
          </cell>
          <cell r="M29">
            <v>70412.399999999994</v>
          </cell>
          <cell r="N29">
            <v>28164.959999999999</v>
          </cell>
          <cell r="O29">
            <v>2083</v>
          </cell>
          <cell r="P29">
            <v>2083</v>
          </cell>
          <cell r="Q29">
            <v>14610.640000000014</v>
          </cell>
          <cell r="R29">
            <v>117354</v>
          </cell>
          <cell r="S29">
            <v>1950</v>
          </cell>
          <cell r="T29">
            <v>1441.6089999999999</v>
          </cell>
          <cell r="U29">
            <v>3386.8364399999996</v>
          </cell>
          <cell r="V29">
            <v>5867.7</v>
          </cell>
          <cell r="W29">
            <v>130000.14543999999</v>
          </cell>
          <cell r="Y29">
            <v>117354</v>
          </cell>
          <cell r="Z29">
            <v>15443</v>
          </cell>
          <cell r="AA29">
            <v>200</v>
          </cell>
          <cell r="AB29">
            <v>1800</v>
          </cell>
          <cell r="AC29">
            <v>391.787848</v>
          </cell>
          <cell r="AE29">
            <v>17834.787848</v>
          </cell>
          <cell r="AF29">
            <v>110215.14543999999</v>
          </cell>
        </row>
        <row r="30">
          <cell r="C30" t="str">
            <v>BITS-570</v>
          </cell>
          <cell r="D30">
            <v>2110969</v>
          </cell>
          <cell r="E30" t="str">
            <v>Dhrubajyoti Goswami</v>
          </cell>
          <cell r="F30" t="str">
            <v>PUNE STP</v>
          </cell>
          <cell r="G30">
            <v>90000</v>
          </cell>
          <cell r="H30">
            <v>80278</v>
          </cell>
          <cell r="I30">
            <v>31</v>
          </cell>
          <cell r="J30">
            <v>31</v>
          </cell>
          <cell r="L30">
            <v>31</v>
          </cell>
          <cell r="M30">
            <v>48166.8</v>
          </cell>
          <cell r="N30">
            <v>19266.72</v>
          </cell>
          <cell r="O30">
            <v>2083</v>
          </cell>
          <cell r="P30">
            <v>2083</v>
          </cell>
          <cell r="Q30">
            <v>8678.4799999999959</v>
          </cell>
          <cell r="R30">
            <v>80278</v>
          </cell>
          <cell r="S30">
            <v>1950</v>
          </cell>
          <cell r="T30">
            <v>1441.6089999999999</v>
          </cell>
          <cell r="U30">
            <v>2316.8230800000001</v>
          </cell>
          <cell r="V30">
            <v>4013.9</v>
          </cell>
          <cell r="W30">
            <v>90000.332079999993</v>
          </cell>
          <cell r="Y30">
            <v>80278</v>
          </cell>
          <cell r="Z30">
            <v>5748</v>
          </cell>
          <cell r="AA30">
            <v>200</v>
          </cell>
          <cell r="AB30">
            <v>1800</v>
          </cell>
          <cell r="AC30">
            <v>440.76132899999999</v>
          </cell>
          <cell r="AE30">
            <v>8188.7613289999999</v>
          </cell>
          <cell r="AF30">
            <v>79861.332079999993</v>
          </cell>
        </row>
        <row r="31">
          <cell r="C31" t="str">
            <v>BITS-572</v>
          </cell>
          <cell r="D31">
            <v>2111448</v>
          </cell>
          <cell r="E31" t="str">
            <v>Yarramaddu Raveendra Reddy</v>
          </cell>
          <cell r="F31" t="str">
            <v>PUNE SEZ 1</v>
          </cell>
          <cell r="G31">
            <v>70000</v>
          </cell>
          <cell r="H31">
            <v>61740</v>
          </cell>
          <cell r="I31">
            <v>31</v>
          </cell>
          <cell r="J31">
            <v>31</v>
          </cell>
          <cell r="L31">
            <v>31</v>
          </cell>
          <cell r="M31">
            <v>37044</v>
          </cell>
          <cell r="N31">
            <v>14817.6</v>
          </cell>
          <cell r="O31">
            <v>2083</v>
          </cell>
          <cell r="P31">
            <v>2083</v>
          </cell>
          <cell r="Q31">
            <v>5712.4000000000015</v>
          </cell>
          <cell r="R31">
            <v>61740</v>
          </cell>
          <cell r="S31">
            <v>1950</v>
          </cell>
          <cell r="T31">
            <v>1441.6089999999999</v>
          </cell>
          <cell r="U31">
            <v>1781.8163999999999</v>
          </cell>
          <cell r="V31">
            <v>3087</v>
          </cell>
          <cell r="W31">
            <v>70000.425400000007</v>
          </cell>
          <cell r="Y31">
            <v>61740</v>
          </cell>
          <cell r="AA31">
            <v>200</v>
          </cell>
          <cell r="AB31">
            <v>1800</v>
          </cell>
          <cell r="AC31">
            <v>391.787848</v>
          </cell>
          <cell r="AE31">
            <v>2391.7878479999999</v>
          </cell>
          <cell r="AF31">
            <v>65658.425400000007</v>
          </cell>
        </row>
        <row r="32">
          <cell r="C32" t="str">
            <v>BITS-573</v>
          </cell>
          <cell r="D32">
            <v>2111607</v>
          </cell>
          <cell r="E32" t="str">
            <v>Ravindra bathoji</v>
          </cell>
          <cell r="F32" t="str">
            <v>HYD SEZ</v>
          </cell>
          <cell r="G32">
            <v>70000</v>
          </cell>
          <cell r="H32">
            <v>61740</v>
          </cell>
          <cell r="I32">
            <v>31</v>
          </cell>
          <cell r="J32">
            <v>31</v>
          </cell>
          <cell r="L32">
            <v>31</v>
          </cell>
          <cell r="M32">
            <v>37044</v>
          </cell>
          <cell r="N32">
            <v>14817.6</v>
          </cell>
          <cell r="O32">
            <v>2083</v>
          </cell>
          <cell r="P32">
            <v>2083</v>
          </cell>
          <cell r="Q32">
            <v>5712.4000000000015</v>
          </cell>
          <cell r="R32">
            <v>61740</v>
          </cell>
          <cell r="S32">
            <v>1950</v>
          </cell>
          <cell r="T32">
            <v>1441.6089999999999</v>
          </cell>
          <cell r="U32">
            <v>1781.8163999999999</v>
          </cell>
          <cell r="V32">
            <v>3087</v>
          </cell>
          <cell r="W32">
            <v>70000.425400000007</v>
          </cell>
          <cell r="Y32">
            <v>61740</v>
          </cell>
          <cell r="AA32">
            <v>200</v>
          </cell>
          <cell r="AB32">
            <v>1800</v>
          </cell>
          <cell r="AC32">
            <v>440.76132899999999</v>
          </cell>
          <cell r="AE32">
            <v>2440.7613289999999</v>
          </cell>
          <cell r="AF32">
            <v>65609.425400000007</v>
          </cell>
        </row>
        <row r="33">
          <cell r="C33" t="str">
            <v>BITS-574</v>
          </cell>
          <cell r="E33" t="str">
            <v>Naresh Kandhula</v>
          </cell>
          <cell r="F33" t="str">
            <v>Mumbai</v>
          </cell>
          <cell r="G33">
            <v>125000</v>
          </cell>
          <cell r="H33">
            <v>112719</v>
          </cell>
          <cell r="I33">
            <v>31</v>
          </cell>
          <cell r="J33">
            <v>26</v>
          </cell>
          <cell r="K33">
            <v>5</v>
          </cell>
          <cell r="L33">
            <v>27</v>
          </cell>
          <cell r="M33">
            <v>58904.767741935488</v>
          </cell>
          <cell r="N33">
            <v>23561.907096774197</v>
          </cell>
          <cell r="O33">
            <v>1814</v>
          </cell>
          <cell r="P33">
            <v>1814</v>
          </cell>
          <cell r="Q33">
            <v>12079.938064516115</v>
          </cell>
          <cell r="R33">
            <v>98174.612903225803</v>
          </cell>
          <cell r="S33">
            <v>1950</v>
          </cell>
          <cell r="T33">
            <v>1441.6089999999999</v>
          </cell>
          <cell r="U33">
            <v>2833.3193283870969</v>
          </cell>
          <cell r="V33">
            <v>4908.7306451612903</v>
          </cell>
          <cell r="W33">
            <v>109308.27187677419</v>
          </cell>
          <cell r="Y33">
            <v>98174.612903225803</v>
          </cell>
          <cell r="AA33">
            <v>200</v>
          </cell>
          <cell r="AB33">
            <v>1800</v>
          </cell>
          <cell r="AC33">
            <v>440.76132899999999</v>
          </cell>
          <cell r="AE33">
            <v>2440.7613289999999</v>
          </cell>
          <cell r="AF33">
            <v>104917.65897354839</v>
          </cell>
        </row>
        <row r="34">
          <cell r="C34" t="str">
            <v>BITS-575</v>
          </cell>
          <cell r="E34" t="str">
            <v>Reno Vijayan</v>
          </cell>
          <cell r="F34" t="str">
            <v>BNG STP</v>
          </cell>
          <cell r="G34">
            <v>70000</v>
          </cell>
          <cell r="H34">
            <v>61740</v>
          </cell>
          <cell r="I34">
            <v>31</v>
          </cell>
          <cell r="J34">
            <v>30</v>
          </cell>
          <cell r="K34">
            <v>1</v>
          </cell>
          <cell r="L34">
            <v>31</v>
          </cell>
          <cell r="M34">
            <v>37044</v>
          </cell>
          <cell r="N34">
            <v>14817.6</v>
          </cell>
          <cell r="O34">
            <v>2083</v>
          </cell>
          <cell r="P34">
            <v>2083</v>
          </cell>
          <cell r="Q34">
            <v>5712.4000000000015</v>
          </cell>
          <cell r="R34">
            <v>61740</v>
          </cell>
          <cell r="S34">
            <v>1950</v>
          </cell>
          <cell r="T34">
            <v>1441.6089999999999</v>
          </cell>
          <cell r="U34">
            <v>1781.8163999999999</v>
          </cell>
          <cell r="V34">
            <v>3087</v>
          </cell>
          <cell r="W34">
            <v>70000.425400000007</v>
          </cell>
          <cell r="Y34">
            <v>61740</v>
          </cell>
          <cell r="AA34">
            <v>200</v>
          </cell>
          <cell r="AB34">
            <v>1800</v>
          </cell>
          <cell r="AC34">
            <v>391.787848</v>
          </cell>
          <cell r="AE34">
            <v>2391.7878479999999</v>
          </cell>
          <cell r="AF34">
            <v>65658.425400000007</v>
          </cell>
        </row>
        <row r="35">
          <cell r="C35" t="str">
            <v>BITS-577</v>
          </cell>
          <cell r="D35">
            <v>2112033</v>
          </cell>
          <cell r="E35" t="str">
            <v>Majed Khan</v>
          </cell>
          <cell r="F35" t="str">
            <v>BNG STP</v>
          </cell>
          <cell r="G35">
            <v>150000</v>
          </cell>
          <cell r="H35">
            <v>135892</v>
          </cell>
          <cell r="I35">
            <v>31</v>
          </cell>
          <cell r="J35">
            <v>30</v>
          </cell>
          <cell r="K35">
            <v>1</v>
          </cell>
          <cell r="L35">
            <v>31</v>
          </cell>
          <cell r="M35">
            <v>81535.199999999997</v>
          </cell>
          <cell r="N35">
            <v>32614.080000000002</v>
          </cell>
          <cell r="O35">
            <v>2083</v>
          </cell>
          <cell r="P35">
            <v>2083</v>
          </cell>
          <cell r="Q35">
            <v>17576.72</v>
          </cell>
          <cell r="R35">
            <v>135892</v>
          </cell>
          <cell r="S35">
            <v>1950</v>
          </cell>
          <cell r="T35">
            <v>1441.6089999999999</v>
          </cell>
          <cell r="U35">
            <v>3921.8431199999995</v>
          </cell>
          <cell r="V35">
            <v>6794.5999999999995</v>
          </cell>
          <cell r="W35">
            <v>150000.05212000001</v>
          </cell>
          <cell r="Y35">
            <v>135892</v>
          </cell>
          <cell r="Z35">
            <v>17230</v>
          </cell>
          <cell r="AA35">
            <v>200</v>
          </cell>
          <cell r="AB35">
            <v>1800</v>
          </cell>
          <cell r="AC35">
            <v>391.787848</v>
          </cell>
          <cell r="AE35">
            <v>19621.787848</v>
          </cell>
          <cell r="AF35">
            <v>128428.05212000001</v>
          </cell>
        </row>
        <row r="36">
          <cell r="C36" t="str">
            <v>BITS-582</v>
          </cell>
          <cell r="E36" t="str">
            <v>SathishKumar V</v>
          </cell>
          <cell r="F36" t="str">
            <v>BNG STP</v>
          </cell>
          <cell r="G36">
            <v>130000</v>
          </cell>
          <cell r="H36">
            <v>117354</v>
          </cell>
          <cell r="I36">
            <v>31</v>
          </cell>
          <cell r="J36">
            <v>30</v>
          </cell>
          <cell r="K36">
            <v>1</v>
          </cell>
          <cell r="L36">
            <v>31</v>
          </cell>
          <cell r="M36">
            <v>70412.399999999994</v>
          </cell>
          <cell r="N36">
            <v>28164.959999999999</v>
          </cell>
          <cell r="O36">
            <v>2083</v>
          </cell>
          <cell r="P36">
            <v>2083</v>
          </cell>
          <cell r="Q36">
            <v>14610.640000000014</v>
          </cell>
          <cell r="R36">
            <v>117354</v>
          </cell>
          <cell r="S36">
            <v>1950</v>
          </cell>
          <cell r="T36">
            <v>1441.6089999999999</v>
          </cell>
          <cell r="U36">
            <v>3386.8364399999996</v>
          </cell>
          <cell r="V36">
            <v>5867.7</v>
          </cell>
          <cell r="W36">
            <v>130000.14543999999</v>
          </cell>
          <cell r="Y36">
            <v>117354</v>
          </cell>
          <cell r="Z36">
            <v>17738</v>
          </cell>
          <cell r="AA36">
            <v>200</v>
          </cell>
          <cell r="AB36">
            <v>1800</v>
          </cell>
          <cell r="AC36">
            <v>391.787848</v>
          </cell>
          <cell r="AE36">
            <v>20129.787848</v>
          </cell>
          <cell r="AF36">
            <v>107920.14543999999</v>
          </cell>
        </row>
        <row r="37">
          <cell r="C37" t="str">
            <v>BITS-587</v>
          </cell>
          <cell r="E37" t="str">
            <v>Madan</v>
          </cell>
          <cell r="F37" t="str">
            <v>BNG STP</v>
          </cell>
          <cell r="G37">
            <v>105000</v>
          </cell>
          <cell r="H37">
            <v>94181</v>
          </cell>
          <cell r="I37">
            <v>31</v>
          </cell>
          <cell r="J37">
            <v>31</v>
          </cell>
          <cell r="L37">
            <v>31</v>
          </cell>
          <cell r="M37">
            <v>56508.6</v>
          </cell>
          <cell r="N37">
            <v>22603.440000000002</v>
          </cell>
          <cell r="O37">
            <v>2083</v>
          </cell>
          <cell r="P37">
            <v>2083</v>
          </cell>
          <cell r="Q37">
            <v>10902.959999999992</v>
          </cell>
          <cell r="R37">
            <v>94181</v>
          </cell>
          <cell r="S37">
            <v>1950</v>
          </cell>
          <cell r="T37">
            <v>1441.6089999999999</v>
          </cell>
          <cell r="U37">
            <v>2718.0636599999998</v>
          </cell>
          <cell r="V37">
            <v>4709.05</v>
          </cell>
          <cell r="W37">
            <v>104999.72266</v>
          </cell>
          <cell r="Y37">
            <v>94181</v>
          </cell>
          <cell r="Z37">
            <v>7527</v>
          </cell>
          <cell r="AA37">
            <v>200</v>
          </cell>
          <cell r="AB37">
            <v>1800</v>
          </cell>
          <cell r="AC37">
            <v>391.787848</v>
          </cell>
          <cell r="AE37">
            <v>9918.7878479999999</v>
          </cell>
          <cell r="AF37">
            <v>93130.722659999999</v>
          </cell>
        </row>
        <row r="38">
          <cell r="C38" t="str">
            <v>BITS-588</v>
          </cell>
          <cell r="E38" t="str">
            <v>Kutagolla Mohazzer</v>
          </cell>
          <cell r="F38" t="str">
            <v>BNG STP</v>
          </cell>
          <cell r="G38">
            <v>75000</v>
          </cell>
          <cell r="H38">
            <v>66374</v>
          </cell>
          <cell r="I38">
            <v>31</v>
          </cell>
          <cell r="J38">
            <v>31</v>
          </cell>
          <cell r="L38">
            <v>31</v>
          </cell>
          <cell r="M38">
            <v>39824.400000000001</v>
          </cell>
          <cell r="N38">
            <v>15929.760000000002</v>
          </cell>
          <cell r="O38">
            <v>2083</v>
          </cell>
          <cell r="P38">
            <v>2083</v>
          </cell>
          <cell r="Q38">
            <v>6453.8399999999965</v>
          </cell>
          <cell r="R38">
            <v>66374</v>
          </cell>
          <cell r="S38">
            <v>1950</v>
          </cell>
          <cell r="T38">
            <v>1441.6089999999999</v>
          </cell>
          <cell r="U38">
            <v>1915.5536400000001</v>
          </cell>
          <cell r="V38">
            <v>3318.7000000000003</v>
          </cell>
          <cell r="W38">
            <v>74999.862639999992</v>
          </cell>
          <cell r="Y38">
            <v>66374</v>
          </cell>
          <cell r="AA38">
            <v>200</v>
          </cell>
          <cell r="AB38">
            <v>1800</v>
          </cell>
          <cell r="AC38">
            <v>391.787848</v>
          </cell>
          <cell r="AE38">
            <v>2391.7878479999999</v>
          </cell>
          <cell r="AF38">
            <v>70657.862639999992</v>
          </cell>
        </row>
        <row r="39">
          <cell r="C39" t="str">
            <v>BITS-592</v>
          </cell>
          <cell r="E39" t="str">
            <v>Sachin Ameshram</v>
          </cell>
          <cell r="F39" t="str">
            <v>BNG STP</v>
          </cell>
          <cell r="G39">
            <v>95000</v>
          </cell>
          <cell r="H39">
            <v>84912</v>
          </cell>
          <cell r="I39">
            <v>31</v>
          </cell>
          <cell r="J39">
            <v>31</v>
          </cell>
          <cell r="L39">
            <v>31</v>
          </cell>
          <cell r="M39">
            <v>50947.199999999997</v>
          </cell>
          <cell r="N39">
            <v>20378.88</v>
          </cell>
          <cell r="O39">
            <v>2083</v>
          </cell>
          <cell r="P39">
            <v>2083</v>
          </cell>
          <cell r="Q39">
            <v>9419.9199999999983</v>
          </cell>
          <cell r="R39">
            <v>84912</v>
          </cell>
          <cell r="S39">
            <v>1950</v>
          </cell>
          <cell r="T39">
            <v>1441.6089999999999</v>
          </cell>
          <cell r="U39">
            <v>2450.5603199999996</v>
          </cell>
          <cell r="V39">
            <v>4245.5999999999995</v>
          </cell>
          <cell r="W39">
            <v>94999.769320000007</v>
          </cell>
          <cell r="Y39">
            <v>84912</v>
          </cell>
          <cell r="Z39">
            <v>4800</v>
          </cell>
          <cell r="AA39">
            <v>200</v>
          </cell>
          <cell r="AB39">
            <v>1800</v>
          </cell>
          <cell r="AC39">
            <v>391.787848</v>
          </cell>
          <cell r="AE39">
            <v>7191.7878479999999</v>
          </cell>
          <cell r="AF39">
            <v>85857.769320000007</v>
          </cell>
        </row>
        <row r="40">
          <cell r="C40" t="str">
            <v>BITS-593</v>
          </cell>
          <cell r="E40" t="str">
            <v xml:space="preserve">Naresh Subbarajulu </v>
          </cell>
          <cell r="F40" t="str">
            <v>Chennai STP</v>
          </cell>
          <cell r="G40">
            <v>80000</v>
          </cell>
          <cell r="H40">
            <v>71009</v>
          </cell>
          <cell r="I40">
            <v>31</v>
          </cell>
          <cell r="J40">
            <v>31</v>
          </cell>
          <cell r="L40">
            <v>31</v>
          </cell>
          <cell r="M40">
            <v>42605.4</v>
          </cell>
          <cell r="N40">
            <v>17042.16</v>
          </cell>
          <cell r="O40">
            <v>2083</v>
          </cell>
          <cell r="P40">
            <v>2083</v>
          </cell>
          <cell r="Q40">
            <v>7195.4400000000023</v>
          </cell>
          <cell r="R40">
            <v>71009</v>
          </cell>
          <cell r="S40">
            <v>1950</v>
          </cell>
          <cell r="T40">
            <v>1441.6089999999999</v>
          </cell>
          <cell r="U40">
            <v>2049.3197399999999</v>
          </cell>
          <cell r="V40">
            <v>3550.4500000000003</v>
          </cell>
          <cell r="W40">
            <v>80000.37874</v>
          </cell>
          <cell r="Y40">
            <v>71009</v>
          </cell>
          <cell r="AA40">
            <v>200</v>
          </cell>
          <cell r="AB40">
            <v>1800</v>
          </cell>
          <cell r="AC40">
            <v>391.787848</v>
          </cell>
          <cell r="AE40">
            <v>2391.7878479999999</v>
          </cell>
          <cell r="AF40">
            <v>75658.37874</v>
          </cell>
        </row>
        <row r="41">
          <cell r="C41" t="str">
            <v>BITS-594</v>
          </cell>
          <cell r="E41" t="str">
            <v>Vikram Sunchu 5-1-2022</v>
          </cell>
          <cell r="F41" t="str">
            <v>HYD SEZ</v>
          </cell>
          <cell r="G41">
            <v>70000</v>
          </cell>
          <cell r="H41">
            <v>61740</v>
          </cell>
          <cell r="I41">
            <v>31</v>
          </cell>
          <cell r="J41">
            <v>5</v>
          </cell>
          <cell r="L41">
            <v>5</v>
          </cell>
          <cell r="M41">
            <v>5974.8387096774195</v>
          </cell>
          <cell r="N41">
            <v>2389.9354838709678</v>
          </cell>
          <cell r="O41">
            <v>336</v>
          </cell>
          <cell r="P41">
            <v>336</v>
          </cell>
          <cell r="Q41">
            <v>921.29032258064581</v>
          </cell>
          <cell r="R41">
            <v>9958.0645161290322</v>
          </cell>
          <cell r="S41">
            <v>776.72903225806454</v>
          </cell>
          <cell r="T41">
            <v>1441.6089999999999</v>
          </cell>
          <cell r="U41">
            <v>287.38974193548387</v>
          </cell>
          <cell r="V41">
            <v>497.90322580645164</v>
          </cell>
          <cell r="W41">
            <v>12961.695516129032</v>
          </cell>
          <cell r="Y41">
            <v>9958.0645161290322</v>
          </cell>
          <cell r="AA41">
            <v>0</v>
          </cell>
          <cell r="AB41">
            <v>717</v>
          </cell>
          <cell r="AC41">
            <v>391.787848</v>
          </cell>
          <cell r="AE41">
            <v>1108.7878479999999</v>
          </cell>
          <cell r="AF41">
            <v>11075.901967741935</v>
          </cell>
        </row>
        <row r="42">
          <cell r="C42" t="str">
            <v>BITS-597</v>
          </cell>
          <cell r="E42" t="str">
            <v>Srikanth Thota</v>
          </cell>
          <cell r="F42" t="str">
            <v>HYD SEZ</v>
          </cell>
          <cell r="G42">
            <v>115000</v>
          </cell>
          <cell r="H42">
            <v>103451</v>
          </cell>
          <cell r="I42">
            <v>31</v>
          </cell>
          <cell r="J42">
            <v>31</v>
          </cell>
          <cell r="L42">
            <v>31</v>
          </cell>
          <cell r="M42">
            <v>62070.6</v>
          </cell>
          <cell r="N42">
            <v>24828.240000000002</v>
          </cell>
          <cell r="O42">
            <v>2083</v>
          </cell>
          <cell r="P42">
            <v>2083</v>
          </cell>
          <cell r="Q42">
            <v>12386.160000000003</v>
          </cell>
          <cell r="R42">
            <v>103451</v>
          </cell>
          <cell r="S42">
            <v>1950</v>
          </cell>
          <cell r="T42">
            <v>1441.6089999999999</v>
          </cell>
          <cell r="U42">
            <v>2985.5958599999994</v>
          </cell>
          <cell r="V42">
            <v>5172.55</v>
          </cell>
          <cell r="W42">
            <v>115000.75486</v>
          </cell>
          <cell r="Y42">
            <v>103451</v>
          </cell>
          <cell r="Z42">
            <v>9924</v>
          </cell>
          <cell r="AA42">
            <v>200</v>
          </cell>
          <cell r="AB42">
            <v>1800</v>
          </cell>
          <cell r="AC42">
            <v>377</v>
          </cell>
          <cell r="AE42">
            <v>12301</v>
          </cell>
          <cell r="AF42">
            <v>100749.75486</v>
          </cell>
        </row>
        <row r="43">
          <cell r="C43" t="str">
            <v>BITS-600</v>
          </cell>
          <cell r="E43" t="str">
            <v>Shekhar Panchal</v>
          </cell>
          <cell r="F43" t="str">
            <v>HYD SEZ</v>
          </cell>
          <cell r="G43">
            <v>75000</v>
          </cell>
          <cell r="H43">
            <v>66374</v>
          </cell>
          <cell r="I43">
            <v>31</v>
          </cell>
          <cell r="J43">
            <v>31</v>
          </cell>
          <cell r="L43">
            <v>31</v>
          </cell>
          <cell r="M43">
            <v>39824.400000000001</v>
          </cell>
          <cell r="N43">
            <v>15929.760000000002</v>
          </cell>
          <cell r="O43">
            <v>2083</v>
          </cell>
          <cell r="P43">
            <v>2083</v>
          </cell>
          <cell r="Q43">
            <v>6453.8399999999965</v>
          </cell>
          <cell r="R43">
            <v>66374</v>
          </cell>
          <cell r="S43">
            <v>1950</v>
          </cell>
          <cell r="T43">
            <v>1441.6089999999999</v>
          </cell>
          <cell r="U43">
            <v>1915.5536400000001</v>
          </cell>
          <cell r="V43">
            <v>3318.7000000000003</v>
          </cell>
          <cell r="W43">
            <v>74999.862639999992</v>
          </cell>
          <cell r="Y43">
            <v>66374</v>
          </cell>
          <cell r="AA43">
            <v>200</v>
          </cell>
          <cell r="AB43">
            <v>1800</v>
          </cell>
          <cell r="AC43">
            <v>336</v>
          </cell>
          <cell r="AE43">
            <v>2336</v>
          </cell>
          <cell r="AF43">
            <v>70713.862639999992</v>
          </cell>
        </row>
        <row r="44">
          <cell r="C44" t="str">
            <v>BITS-602</v>
          </cell>
          <cell r="E44" t="str">
            <v>Girish Bandi</v>
          </cell>
          <cell r="F44" t="str">
            <v>BNG SEZ</v>
          </cell>
          <cell r="G44">
            <v>80000</v>
          </cell>
          <cell r="H44">
            <v>71009</v>
          </cell>
          <cell r="I44">
            <v>31</v>
          </cell>
          <cell r="J44">
            <v>30</v>
          </cell>
          <cell r="K44">
            <v>1</v>
          </cell>
          <cell r="L44">
            <v>31</v>
          </cell>
          <cell r="M44">
            <v>42605.4</v>
          </cell>
          <cell r="N44">
            <v>17042.16</v>
          </cell>
          <cell r="O44">
            <v>2083</v>
          </cell>
          <cell r="P44">
            <v>2083</v>
          </cell>
          <cell r="Q44">
            <v>7195.4400000000023</v>
          </cell>
          <cell r="R44">
            <v>71009</v>
          </cell>
          <cell r="S44">
            <v>1950</v>
          </cell>
          <cell r="T44">
            <v>1441.6089999999999</v>
          </cell>
          <cell r="U44">
            <v>2049.3197399999999</v>
          </cell>
          <cell r="V44">
            <v>3550.4500000000003</v>
          </cell>
          <cell r="W44">
            <v>80000.37874</v>
          </cell>
          <cell r="Y44">
            <v>71009</v>
          </cell>
          <cell r="AA44">
            <v>200</v>
          </cell>
          <cell r="AB44">
            <v>1800</v>
          </cell>
          <cell r="AC44">
            <v>335</v>
          </cell>
          <cell r="AE44">
            <v>2335</v>
          </cell>
          <cell r="AF44">
            <v>75715.37874</v>
          </cell>
        </row>
        <row r="45">
          <cell r="C45" t="str">
            <v>BITS-603</v>
          </cell>
          <cell r="E45" t="str">
            <v>DESIR KOIPURATH</v>
          </cell>
          <cell r="F45" t="str">
            <v>PUNE SEZ 2</v>
          </cell>
          <cell r="G45">
            <v>112000</v>
          </cell>
          <cell r="H45">
            <v>100670</v>
          </cell>
          <cell r="I45">
            <v>31</v>
          </cell>
          <cell r="J45">
            <v>31</v>
          </cell>
          <cell r="L45">
            <v>31</v>
          </cell>
          <cell r="M45">
            <v>60402</v>
          </cell>
          <cell r="N45">
            <v>24160.800000000003</v>
          </cell>
          <cell r="O45">
            <v>2083</v>
          </cell>
          <cell r="P45">
            <v>2083</v>
          </cell>
          <cell r="Q45">
            <v>11941.199999999997</v>
          </cell>
          <cell r="R45">
            <v>100670</v>
          </cell>
          <cell r="S45">
            <v>1950</v>
          </cell>
          <cell r="T45">
            <v>1441.6089999999999</v>
          </cell>
          <cell r="U45">
            <v>2905.3361999999997</v>
          </cell>
          <cell r="V45">
            <v>5033.5</v>
          </cell>
          <cell r="W45">
            <v>112000.4452</v>
          </cell>
          <cell r="Y45">
            <v>100670</v>
          </cell>
          <cell r="Z45">
            <v>7200</v>
          </cell>
          <cell r="AA45">
            <v>200</v>
          </cell>
          <cell r="AB45">
            <v>1800</v>
          </cell>
          <cell r="AC45">
            <v>378</v>
          </cell>
          <cell r="AE45">
            <v>9578</v>
          </cell>
          <cell r="AF45">
            <v>100472.4452</v>
          </cell>
        </row>
        <row r="46">
          <cell r="C46" t="str">
            <v>BITS-605</v>
          </cell>
          <cell r="E46" t="str">
            <v>Chitra Kulkarni</v>
          </cell>
          <cell r="F46" t="str">
            <v>PUNE SEZ 1</v>
          </cell>
          <cell r="G46">
            <v>92000</v>
          </cell>
          <cell r="H46">
            <v>82132</v>
          </cell>
          <cell r="I46">
            <v>31</v>
          </cell>
          <cell r="J46">
            <v>31</v>
          </cell>
          <cell r="L46">
            <v>31</v>
          </cell>
          <cell r="M46">
            <v>49279.199999999997</v>
          </cell>
          <cell r="N46">
            <v>19711.68</v>
          </cell>
          <cell r="O46">
            <v>2083</v>
          </cell>
          <cell r="P46">
            <v>2083</v>
          </cell>
          <cell r="Q46">
            <v>8975.1199999999953</v>
          </cell>
          <cell r="R46">
            <v>82132</v>
          </cell>
          <cell r="S46">
            <v>1950</v>
          </cell>
          <cell r="T46">
            <v>1441.6089999999999</v>
          </cell>
          <cell r="U46">
            <v>2370.3295199999998</v>
          </cell>
          <cell r="V46">
            <v>4106.5999999999995</v>
          </cell>
          <cell r="W46">
            <v>92000.538520000002</v>
          </cell>
          <cell r="Y46">
            <v>82132</v>
          </cell>
          <cell r="Z46">
            <v>1772</v>
          </cell>
          <cell r="AA46">
            <v>200</v>
          </cell>
          <cell r="AB46">
            <v>1800</v>
          </cell>
          <cell r="AC46">
            <v>335</v>
          </cell>
          <cell r="AE46">
            <v>4107</v>
          </cell>
          <cell r="AF46">
            <v>85943.538520000002</v>
          </cell>
        </row>
        <row r="47">
          <cell r="C47" t="str">
            <v>BITS-606</v>
          </cell>
          <cell r="E47" t="str">
            <v>Barathiyar A</v>
          </cell>
          <cell r="F47" t="str">
            <v>BNG STP</v>
          </cell>
          <cell r="G47">
            <v>67000</v>
          </cell>
          <cell r="H47">
            <v>58959</v>
          </cell>
          <cell r="I47">
            <v>31</v>
          </cell>
          <cell r="J47">
            <v>31</v>
          </cell>
          <cell r="L47">
            <v>31</v>
          </cell>
          <cell r="M47">
            <v>35375.4</v>
          </cell>
          <cell r="N47">
            <v>14150.160000000002</v>
          </cell>
          <cell r="O47">
            <v>2083</v>
          </cell>
          <cell r="P47">
            <v>2083</v>
          </cell>
          <cell r="Q47">
            <v>5267.4399999999951</v>
          </cell>
          <cell r="R47">
            <v>58959</v>
          </cell>
          <cell r="S47">
            <v>1950</v>
          </cell>
          <cell r="T47">
            <v>1441.6089999999999</v>
          </cell>
          <cell r="U47">
            <v>1701.55674</v>
          </cell>
          <cell r="V47">
            <v>2947.9500000000003</v>
          </cell>
          <cell r="W47">
            <v>67000.115739999994</v>
          </cell>
          <cell r="Y47">
            <v>58959</v>
          </cell>
          <cell r="AA47">
            <v>200</v>
          </cell>
          <cell r="AB47">
            <v>1800</v>
          </cell>
          <cell r="AC47">
            <v>335</v>
          </cell>
          <cell r="AE47">
            <v>2335</v>
          </cell>
          <cell r="AF47">
            <v>62715.115739999994</v>
          </cell>
        </row>
        <row r="48">
          <cell r="C48" t="str">
            <v>BITS-607</v>
          </cell>
          <cell r="E48" t="str">
            <v>Kumaravel M</v>
          </cell>
          <cell r="F48" t="str">
            <v>BNG STP</v>
          </cell>
          <cell r="G48">
            <v>55000</v>
          </cell>
          <cell r="H48">
            <v>47836</v>
          </cell>
          <cell r="I48">
            <v>31</v>
          </cell>
          <cell r="J48">
            <v>30</v>
          </cell>
          <cell r="K48">
            <v>1</v>
          </cell>
          <cell r="L48">
            <v>31</v>
          </cell>
          <cell r="M48">
            <v>28701.599999999999</v>
          </cell>
          <cell r="N48">
            <v>11480.64</v>
          </cell>
          <cell r="O48">
            <v>2083</v>
          </cell>
          <cell r="P48">
            <v>2083</v>
          </cell>
          <cell r="Q48">
            <v>3487.760000000002</v>
          </cell>
          <cell r="R48">
            <v>47836</v>
          </cell>
          <cell r="S48">
            <v>1950</v>
          </cell>
          <cell r="T48">
            <v>1441.6089999999999</v>
          </cell>
          <cell r="U48">
            <v>1380.5469599999999</v>
          </cell>
          <cell r="V48">
            <v>2391.7999999999997</v>
          </cell>
          <cell r="W48">
            <v>54999.955959999999</v>
          </cell>
          <cell r="Y48">
            <v>47836</v>
          </cell>
          <cell r="AA48">
            <v>200</v>
          </cell>
          <cell r="AB48">
            <v>1800</v>
          </cell>
          <cell r="AC48">
            <v>335</v>
          </cell>
          <cell r="AE48">
            <v>2335</v>
          </cell>
          <cell r="AF48">
            <v>50714.955959999999</v>
          </cell>
        </row>
        <row r="49">
          <cell r="C49" t="str">
            <v>BITS-609</v>
          </cell>
          <cell r="E49" t="str">
            <v>CHANDRASEHARAN GERORGE</v>
          </cell>
          <cell r="F49" t="str">
            <v>BNG STP</v>
          </cell>
          <cell r="G49">
            <v>58000</v>
          </cell>
          <cell r="H49">
            <v>50617</v>
          </cell>
          <cell r="I49">
            <v>31</v>
          </cell>
          <cell r="J49">
            <v>31</v>
          </cell>
          <cell r="L49">
            <v>31</v>
          </cell>
          <cell r="M49">
            <v>30370.2</v>
          </cell>
          <cell r="N49">
            <v>12148.080000000002</v>
          </cell>
          <cell r="O49">
            <v>2083</v>
          </cell>
          <cell r="P49">
            <v>2083</v>
          </cell>
          <cell r="Q49">
            <v>3932.7200000000012</v>
          </cell>
          <cell r="R49">
            <v>50617</v>
          </cell>
          <cell r="S49">
            <v>1950</v>
          </cell>
          <cell r="T49">
            <v>1441.6089999999999</v>
          </cell>
          <cell r="U49">
            <v>1460.8066199999998</v>
          </cell>
          <cell r="V49">
            <v>2530.85</v>
          </cell>
          <cell r="W49">
            <v>58000.265619999998</v>
          </cell>
          <cell r="Y49">
            <v>50617</v>
          </cell>
          <cell r="AA49">
            <v>200</v>
          </cell>
          <cell r="AB49">
            <v>1800</v>
          </cell>
          <cell r="AC49">
            <v>335</v>
          </cell>
          <cell r="AE49">
            <v>2335</v>
          </cell>
          <cell r="AF49">
            <v>53715.265619999998</v>
          </cell>
        </row>
        <row r="50">
          <cell r="C50" t="str">
            <v>BITS-610</v>
          </cell>
          <cell r="E50" t="str">
            <v>Kannan Selvakumar</v>
          </cell>
          <cell r="F50" t="str">
            <v>BNG STP</v>
          </cell>
          <cell r="G50">
            <v>65000</v>
          </cell>
          <cell r="H50">
            <v>57105</v>
          </cell>
          <cell r="I50">
            <v>31</v>
          </cell>
          <cell r="J50">
            <v>31</v>
          </cell>
          <cell r="L50">
            <v>31</v>
          </cell>
          <cell r="M50">
            <v>34263</v>
          </cell>
          <cell r="N50">
            <v>13705.2</v>
          </cell>
          <cell r="O50">
            <v>2083</v>
          </cell>
          <cell r="P50">
            <v>2083</v>
          </cell>
          <cell r="Q50">
            <v>4970.8000000000029</v>
          </cell>
          <cell r="R50">
            <v>57105</v>
          </cell>
          <cell r="S50">
            <v>1950</v>
          </cell>
          <cell r="T50">
            <v>1441.6089999999999</v>
          </cell>
          <cell r="U50">
            <v>1648.0502999999999</v>
          </cell>
          <cell r="V50">
            <v>2855.25</v>
          </cell>
          <cell r="W50">
            <v>64999.909299999999</v>
          </cell>
          <cell r="Y50">
            <v>57105</v>
          </cell>
          <cell r="AA50">
            <v>200</v>
          </cell>
          <cell r="AB50">
            <v>1800</v>
          </cell>
          <cell r="AC50">
            <v>335</v>
          </cell>
          <cell r="AE50">
            <v>2335</v>
          </cell>
          <cell r="AF50">
            <v>60714.909299999999</v>
          </cell>
        </row>
        <row r="51">
          <cell r="C51" t="str">
            <v>BITS-611</v>
          </cell>
          <cell r="E51" t="str">
            <v>VISHNUPRASATH T</v>
          </cell>
          <cell r="F51" t="str">
            <v>BNG STP</v>
          </cell>
          <cell r="G51">
            <v>55000</v>
          </cell>
          <cell r="H51">
            <v>47836</v>
          </cell>
          <cell r="I51">
            <v>31</v>
          </cell>
          <cell r="J51">
            <v>31</v>
          </cell>
          <cell r="L51">
            <v>31</v>
          </cell>
          <cell r="M51">
            <v>28701.599999999999</v>
          </cell>
          <cell r="N51">
            <v>11480.64</v>
          </cell>
          <cell r="O51">
            <v>2083</v>
          </cell>
          <cell r="P51">
            <v>2083</v>
          </cell>
          <cell r="Q51">
            <v>3487.760000000002</v>
          </cell>
          <cell r="R51">
            <v>47836</v>
          </cell>
          <cell r="S51">
            <v>1950</v>
          </cell>
          <cell r="T51">
            <v>1441.6089999999999</v>
          </cell>
          <cell r="U51">
            <v>1380.5469599999999</v>
          </cell>
          <cell r="V51">
            <v>2391.7999999999997</v>
          </cell>
          <cell r="W51">
            <v>54999.955959999999</v>
          </cell>
          <cell r="Y51">
            <v>47836</v>
          </cell>
          <cell r="AA51">
            <v>200</v>
          </cell>
          <cell r="AB51">
            <v>1800</v>
          </cell>
          <cell r="AC51">
            <v>335</v>
          </cell>
          <cell r="AE51">
            <v>2335</v>
          </cell>
          <cell r="AF51">
            <v>50714.955959999999</v>
          </cell>
        </row>
        <row r="52">
          <cell r="C52" t="str">
            <v>BITS-612</v>
          </cell>
          <cell r="E52" t="str">
            <v>Nagaranjan S</v>
          </cell>
          <cell r="F52" t="str">
            <v>BNG STP</v>
          </cell>
          <cell r="G52">
            <v>55000</v>
          </cell>
          <cell r="H52">
            <v>47836</v>
          </cell>
          <cell r="I52">
            <v>31</v>
          </cell>
          <cell r="J52">
            <v>30</v>
          </cell>
          <cell r="K52">
            <v>1</v>
          </cell>
          <cell r="L52">
            <v>31</v>
          </cell>
          <cell r="M52">
            <v>28701.599999999999</v>
          </cell>
          <cell r="N52">
            <v>11480.64</v>
          </cell>
          <cell r="O52">
            <v>2083</v>
          </cell>
          <cell r="P52">
            <v>2083</v>
          </cell>
          <cell r="Q52">
            <v>3487.760000000002</v>
          </cell>
          <cell r="R52">
            <v>47836</v>
          </cell>
          <cell r="S52">
            <v>1950</v>
          </cell>
          <cell r="T52">
            <v>1441.6089999999999</v>
          </cell>
          <cell r="U52">
            <v>1380.5469599999999</v>
          </cell>
          <cell r="V52">
            <v>2391.7999999999997</v>
          </cell>
          <cell r="W52">
            <v>54999.955959999999</v>
          </cell>
          <cell r="Y52">
            <v>47836</v>
          </cell>
          <cell r="AA52">
            <v>200</v>
          </cell>
          <cell r="AB52">
            <v>1800</v>
          </cell>
          <cell r="AC52">
            <v>335</v>
          </cell>
          <cell r="AE52">
            <v>2335</v>
          </cell>
          <cell r="AF52">
            <v>50714.955959999999</v>
          </cell>
        </row>
        <row r="53">
          <cell r="C53" t="str">
            <v>BITS-613</v>
          </cell>
          <cell r="E53" t="str">
            <v>ELAMPARITHI SB</v>
          </cell>
          <cell r="F53" t="str">
            <v>BNG STP</v>
          </cell>
          <cell r="G53">
            <v>55000</v>
          </cell>
          <cell r="H53">
            <v>47836</v>
          </cell>
          <cell r="I53">
            <v>31</v>
          </cell>
          <cell r="J53">
            <v>31</v>
          </cell>
          <cell r="L53">
            <v>31</v>
          </cell>
          <cell r="M53">
            <v>28701.599999999999</v>
          </cell>
          <cell r="N53">
            <v>11480.64</v>
          </cell>
          <cell r="O53">
            <v>2083</v>
          </cell>
          <cell r="P53">
            <v>2083</v>
          </cell>
          <cell r="Q53">
            <v>3487.760000000002</v>
          </cell>
          <cell r="R53">
            <v>47836</v>
          </cell>
          <cell r="S53">
            <v>1950</v>
          </cell>
          <cell r="T53">
            <v>1441.6089999999999</v>
          </cell>
          <cell r="U53">
            <v>1380.5469599999999</v>
          </cell>
          <cell r="V53">
            <v>2391.7999999999997</v>
          </cell>
          <cell r="W53">
            <v>54999.955959999999</v>
          </cell>
          <cell r="Y53">
            <v>47836</v>
          </cell>
          <cell r="AA53">
            <v>200</v>
          </cell>
          <cell r="AB53">
            <v>1800</v>
          </cell>
          <cell r="AC53">
            <v>335</v>
          </cell>
          <cell r="AE53">
            <v>2335</v>
          </cell>
          <cell r="AF53">
            <v>50714.955959999999</v>
          </cell>
        </row>
        <row r="54">
          <cell r="C54" t="str">
            <v>BITS-614</v>
          </cell>
          <cell r="E54" t="str">
            <v>KISHANPRASAD GANDHE</v>
          </cell>
          <cell r="F54" t="str">
            <v>HYD STP</v>
          </cell>
          <cell r="G54">
            <v>152000</v>
          </cell>
          <cell r="H54">
            <v>137746</v>
          </cell>
          <cell r="I54">
            <v>31</v>
          </cell>
          <cell r="J54">
            <v>31</v>
          </cell>
          <cell r="L54">
            <v>31</v>
          </cell>
          <cell r="M54">
            <v>82647.600000000006</v>
          </cell>
          <cell r="N54">
            <v>33059.040000000001</v>
          </cell>
          <cell r="O54">
            <v>2083</v>
          </cell>
          <cell r="P54">
            <v>2083</v>
          </cell>
          <cell r="Q54">
            <v>17873.359999999986</v>
          </cell>
          <cell r="R54">
            <v>137746</v>
          </cell>
          <cell r="S54">
            <v>1950</v>
          </cell>
          <cell r="T54">
            <v>1441.6089999999999</v>
          </cell>
          <cell r="U54">
            <v>3975.3495600000001</v>
          </cell>
          <cell r="V54">
            <v>6887.3</v>
          </cell>
          <cell r="W54">
            <v>152000.25855999999</v>
          </cell>
          <cell r="Y54">
            <v>137746</v>
          </cell>
          <cell r="Z54">
            <v>17127</v>
          </cell>
          <cell r="AA54">
            <v>200</v>
          </cell>
          <cell r="AB54">
            <v>1800</v>
          </cell>
          <cell r="AC54">
            <v>839</v>
          </cell>
          <cell r="AE54">
            <v>19966</v>
          </cell>
          <cell r="AF54">
            <v>130084.25856</v>
          </cell>
        </row>
        <row r="55">
          <cell r="C55" t="str">
            <v>BITS-617</v>
          </cell>
          <cell r="E55" t="str">
            <v>Sunnapalli Anil</v>
          </cell>
          <cell r="F55" t="str">
            <v>PUNE SEZ 1</v>
          </cell>
          <cell r="G55">
            <v>80000</v>
          </cell>
          <cell r="H55">
            <v>69580</v>
          </cell>
          <cell r="I55">
            <v>31</v>
          </cell>
          <cell r="J55">
            <v>30</v>
          </cell>
          <cell r="K55">
            <v>1</v>
          </cell>
          <cell r="L55">
            <v>31</v>
          </cell>
          <cell r="M55">
            <v>41748</v>
          </cell>
          <cell r="N55">
            <v>16699.2</v>
          </cell>
          <cell r="O55">
            <v>2083</v>
          </cell>
          <cell r="P55">
            <v>2083</v>
          </cell>
          <cell r="Q55">
            <v>6966.8000000000029</v>
          </cell>
          <cell r="R55">
            <v>69580</v>
          </cell>
          <cell r="S55">
            <v>1950</v>
          </cell>
          <cell r="T55">
            <v>1441.6089999999999</v>
          </cell>
          <cell r="U55">
            <v>2008.0787999999998</v>
          </cell>
          <cell r="V55">
            <v>3479</v>
          </cell>
          <cell r="W55">
            <v>78458.6878</v>
          </cell>
          <cell r="Y55">
            <v>69580</v>
          </cell>
          <cell r="AA55">
            <v>200</v>
          </cell>
          <cell r="AB55">
            <v>1800</v>
          </cell>
          <cell r="AC55">
            <v>335</v>
          </cell>
          <cell r="AE55">
            <v>2335</v>
          </cell>
          <cell r="AF55">
            <v>74173.6878</v>
          </cell>
        </row>
        <row r="56">
          <cell r="C56" t="str">
            <v>BITS-619</v>
          </cell>
          <cell r="D56" t="str">
            <v>Cognizant</v>
          </cell>
          <cell r="E56" t="str">
            <v>Varsha Bollu</v>
          </cell>
          <cell r="G56">
            <v>85000</v>
          </cell>
          <cell r="H56">
            <v>75643</v>
          </cell>
          <cell r="I56">
            <v>31</v>
          </cell>
          <cell r="J56">
            <v>31</v>
          </cell>
          <cell r="L56">
            <v>31</v>
          </cell>
          <cell r="M56">
            <v>45385.8</v>
          </cell>
          <cell r="N56">
            <v>18154.320000000003</v>
          </cell>
          <cell r="O56">
            <v>2083</v>
          </cell>
          <cell r="P56">
            <v>2083</v>
          </cell>
          <cell r="Q56">
            <v>7936.8799999999901</v>
          </cell>
          <cell r="R56">
            <v>75643</v>
          </cell>
          <cell r="S56">
            <v>1950</v>
          </cell>
          <cell r="T56">
            <v>1441.6089999999999</v>
          </cell>
          <cell r="U56">
            <v>2183.0569799999998</v>
          </cell>
          <cell r="V56">
            <v>3782.15</v>
          </cell>
          <cell r="W56">
            <v>84999.815979999985</v>
          </cell>
          <cell r="Y56">
            <v>75643</v>
          </cell>
          <cell r="AA56">
            <v>200</v>
          </cell>
          <cell r="AB56">
            <v>1800</v>
          </cell>
          <cell r="AC56">
            <v>335</v>
          </cell>
          <cell r="AE56">
            <v>2335</v>
          </cell>
          <cell r="AF56">
            <v>80714.815979999985</v>
          </cell>
        </row>
        <row r="57">
          <cell r="C57" t="str">
            <v>BITS-618</v>
          </cell>
          <cell r="D57" t="str">
            <v>Cognizant</v>
          </cell>
          <cell r="E57" t="str">
            <v>Karthikeyan Radha</v>
          </cell>
          <cell r="G57">
            <v>80000</v>
          </cell>
          <cell r="H57">
            <v>71009</v>
          </cell>
          <cell r="I57">
            <v>31</v>
          </cell>
          <cell r="J57">
            <v>29</v>
          </cell>
          <cell r="K57">
            <v>2</v>
          </cell>
          <cell r="L57">
            <v>30</v>
          </cell>
          <cell r="M57">
            <v>41231.032258064515</v>
          </cell>
          <cell r="N57">
            <v>16492.412903225806</v>
          </cell>
          <cell r="O57">
            <v>2016</v>
          </cell>
          <cell r="P57">
            <v>2016</v>
          </cell>
          <cell r="Q57">
            <v>6962.9419354838756</v>
          </cell>
          <cell r="R57">
            <v>68718.387096774197</v>
          </cell>
          <cell r="S57">
            <v>1950</v>
          </cell>
          <cell r="T57">
            <v>1441.6089999999999</v>
          </cell>
          <cell r="U57">
            <v>1983.2126516129031</v>
          </cell>
          <cell r="V57">
            <v>3435.9193548387098</v>
          </cell>
          <cell r="W57">
            <v>77529.128103225812</v>
          </cell>
          <cell r="Y57">
            <v>68718.387096774197</v>
          </cell>
          <cell r="AA57">
            <v>200</v>
          </cell>
          <cell r="AB57">
            <v>1800</v>
          </cell>
          <cell r="AC57">
            <v>335</v>
          </cell>
          <cell r="AE57">
            <v>2335</v>
          </cell>
          <cell r="AF57">
            <v>73243.741006451615</v>
          </cell>
        </row>
        <row r="58">
          <cell r="C58" t="str">
            <v>BITS-620</v>
          </cell>
          <cell r="D58" t="str">
            <v>Cognizant</v>
          </cell>
          <cell r="E58" t="str">
            <v>Bhaskar Reddy Sudha</v>
          </cell>
          <cell r="G58">
            <v>110000</v>
          </cell>
          <cell r="H58">
            <v>98816</v>
          </cell>
          <cell r="I58">
            <v>31</v>
          </cell>
          <cell r="J58">
            <v>31</v>
          </cell>
          <cell r="L58">
            <v>31</v>
          </cell>
          <cell r="M58">
            <v>59289.599999999999</v>
          </cell>
          <cell r="N58">
            <v>23715.84</v>
          </cell>
          <cell r="O58">
            <v>2083</v>
          </cell>
          <cell r="P58">
            <v>2083</v>
          </cell>
          <cell r="Q58">
            <v>11644.559999999998</v>
          </cell>
          <cell r="R58">
            <v>98816</v>
          </cell>
          <cell r="S58">
            <v>1950</v>
          </cell>
          <cell r="T58">
            <v>1441.6089999999999</v>
          </cell>
          <cell r="U58">
            <v>2851.8297599999996</v>
          </cell>
          <cell r="V58">
            <v>4940.8</v>
          </cell>
          <cell r="W58">
            <v>110000.23875999999</v>
          </cell>
          <cell r="Y58">
            <v>98816</v>
          </cell>
          <cell r="Z58">
            <v>5494</v>
          </cell>
          <cell r="AA58">
            <v>200</v>
          </cell>
          <cell r="AB58">
            <v>1800</v>
          </cell>
          <cell r="AC58">
            <v>335</v>
          </cell>
          <cell r="AE58">
            <v>7829</v>
          </cell>
          <cell r="AF58">
            <v>100221.23875999999</v>
          </cell>
        </row>
        <row r="59">
          <cell r="C59" t="str">
            <v>BITS-645</v>
          </cell>
          <cell r="D59" t="str">
            <v>Cognizant</v>
          </cell>
          <cell r="E59" t="str">
            <v>BHARGAVI .R</v>
          </cell>
          <cell r="G59">
            <v>105000</v>
          </cell>
          <cell r="H59">
            <v>94181</v>
          </cell>
          <cell r="I59">
            <v>31</v>
          </cell>
          <cell r="J59">
            <v>31</v>
          </cell>
          <cell r="L59">
            <v>31</v>
          </cell>
          <cell r="M59">
            <v>56508.6</v>
          </cell>
          <cell r="N59">
            <v>22603.440000000002</v>
          </cell>
          <cell r="O59">
            <v>2083</v>
          </cell>
          <cell r="P59">
            <v>2083</v>
          </cell>
          <cell r="Q59">
            <v>10902.959999999992</v>
          </cell>
          <cell r="R59">
            <v>94181</v>
          </cell>
          <cell r="S59">
            <v>1950</v>
          </cell>
          <cell r="T59">
            <v>1441.6089999999999</v>
          </cell>
          <cell r="U59">
            <v>2718.0636599999998</v>
          </cell>
          <cell r="V59">
            <v>4709.05</v>
          </cell>
          <cell r="W59">
            <v>104999.72266</v>
          </cell>
          <cell r="Y59">
            <v>94181</v>
          </cell>
          <cell r="AA59">
            <v>200</v>
          </cell>
          <cell r="AB59">
            <v>1800</v>
          </cell>
          <cell r="AC59">
            <v>378</v>
          </cell>
          <cell r="AE59">
            <v>2378</v>
          </cell>
          <cell r="AF59">
            <v>100671.72266</v>
          </cell>
        </row>
        <row r="60">
          <cell r="C60" t="str">
            <v>BITS-676</v>
          </cell>
          <cell r="D60" t="str">
            <v>Cognizant</v>
          </cell>
          <cell r="E60" t="str">
            <v>Shiva Krishna</v>
          </cell>
          <cell r="G60">
            <v>80000</v>
          </cell>
          <cell r="H60">
            <v>71009</v>
          </cell>
          <cell r="I60">
            <v>31</v>
          </cell>
          <cell r="J60">
            <v>31</v>
          </cell>
          <cell r="L60">
            <v>31</v>
          </cell>
          <cell r="M60">
            <v>42605.4</v>
          </cell>
          <cell r="N60">
            <v>17042.16</v>
          </cell>
          <cell r="O60">
            <v>2083</v>
          </cell>
          <cell r="P60">
            <v>2083</v>
          </cell>
          <cell r="Q60">
            <v>7195.4400000000023</v>
          </cell>
          <cell r="R60">
            <v>71009</v>
          </cell>
          <cell r="S60">
            <v>1950</v>
          </cell>
          <cell r="T60">
            <v>1441.6089999999999</v>
          </cell>
          <cell r="U60">
            <v>2049.3197399999999</v>
          </cell>
          <cell r="V60">
            <v>3550.4500000000003</v>
          </cell>
          <cell r="W60">
            <v>80000.37874</v>
          </cell>
          <cell r="Y60">
            <v>71009</v>
          </cell>
          <cell r="AA60">
            <v>200</v>
          </cell>
          <cell r="AB60">
            <v>1800</v>
          </cell>
          <cell r="AC60">
            <v>378</v>
          </cell>
          <cell r="AE60">
            <v>2378</v>
          </cell>
          <cell r="AF60">
            <v>75672.37874</v>
          </cell>
        </row>
        <row r="61">
          <cell r="C61" t="str">
            <v>BITS-621</v>
          </cell>
          <cell r="E61" t="str">
            <v>ARJUN PUNDLIK JOSHI</v>
          </cell>
          <cell r="F61" t="str">
            <v>Mysore SEZ</v>
          </cell>
          <cell r="G61">
            <v>85000</v>
          </cell>
          <cell r="H61">
            <v>75643</v>
          </cell>
          <cell r="I61">
            <v>31</v>
          </cell>
          <cell r="J61">
            <v>31</v>
          </cell>
          <cell r="L61">
            <v>31</v>
          </cell>
          <cell r="M61">
            <v>45385.8</v>
          </cell>
          <cell r="N61">
            <v>18154.320000000003</v>
          </cell>
          <cell r="O61">
            <v>2083</v>
          </cell>
          <cell r="P61">
            <v>2083</v>
          </cell>
          <cell r="Q61">
            <v>7936.8799999999901</v>
          </cell>
          <cell r="R61">
            <v>75643</v>
          </cell>
          <cell r="S61">
            <v>1950</v>
          </cell>
          <cell r="T61">
            <v>1441.6089999999999</v>
          </cell>
          <cell r="U61">
            <v>2183.0569799999998</v>
          </cell>
          <cell r="V61">
            <v>3782.15</v>
          </cell>
          <cell r="W61">
            <v>84999.815979999985</v>
          </cell>
          <cell r="X61">
            <v>1000</v>
          </cell>
          <cell r="Y61">
            <v>76643</v>
          </cell>
          <cell r="AA61">
            <v>200</v>
          </cell>
          <cell r="AB61">
            <v>1800</v>
          </cell>
          <cell r="AC61">
            <v>336</v>
          </cell>
          <cell r="AE61">
            <v>2336</v>
          </cell>
          <cell r="AF61">
            <v>81713.815979999985</v>
          </cell>
        </row>
        <row r="62">
          <cell r="C62" t="str">
            <v>BITS-624</v>
          </cell>
          <cell r="E62" t="str">
            <v>Karthick G</v>
          </cell>
          <cell r="F62" t="str">
            <v>BNG STP</v>
          </cell>
          <cell r="G62">
            <v>100000</v>
          </cell>
          <cell r="H62">
            <v>89547</v>
          </cell>
          <cell r="I62">
            <v>31</v>
          </cell>
          <cell r="J62">
            <v>31</v>
          </cell>
          <cell r="L62">
            <v>31</v>
          </cell>
          <cell r="M62">
            <v>53728.2</v>
          </cell>
          <cell r="N62">
            <v>21491.279999999999</v>
          </cell>
          <cell r="O62">
            <v>2083</v>
          </cell>
          <cell r="P62">
            <v>2083</v>
          </cell>
          <cell r="Q62">
            <v>10161.520000000004</v>
          </cell>
          <cell r="R62">
            <v>89547</v>
          </cell>
          <cell r="S62">
            <v>1950</v>
          </cell>
          <cell r="T62">
            <v>1441.6089999999999</v>
          </cell>
          <cell r="U62">
            <v>2584.3264199999994</v>
          </cell>
          <cell r="V62">
            <v>4477.3499999999995</v>
          </cell>
          <cell r="W62">
            <v>100000.28542</v>
          </cell>
          <cell r="Y62">
            <v>89547</v>
          </cell>
          <cell r="AA62">
            <v>200</v>
          </cell>
          <cell r="AB62">
            <v>1800</v>
          </cell>
          <cell r="AC62">
            <v>336</v>
          </cell>
          <cell r="AE62">
            <v>2336</v>
          </cell>
          <cell r="AF62">
            <v>95714.28542</v>
          </cell>
        </row>
        <row r="63">
          <cell r="C63" t="str">
            <v>BITS-626</v>
          </cell>
          <cell r="E63" t="str">
            <v>Somisetty VenkataKrishna</v>
          </cell>
          <cell r="F63" t="str">
            <v>BNG SEZ</v>
          </cell>
          <cell r="G63">
            <v>75000</v>
          </cell>
          <cell r="H63">
            <v>66374</v>
          </cell>
          <cell r="I63">
            <v>31</v>
          </cell>
          <cell r="J63">
            <v>29</v>
          </cell>
          <cell r="K63">
            <v>2</v>
          </cell>
          <cell r="L63">
            <v>30</v>
          </cell>
          <cell r="M63">
            <v>38539.741935483871</v>
          </cell>
          <cell r="N63">
            <v>15415.896774193548</v>
          </cell>
          <cell r="O63">
            <v>2016</v>
          </cell>
          <cell r="P63">
            <v>2016</v>
          </cell>
          <cell r="Q63">
            <v>6245.2645161290347</v>
          </cell>
          <cell r="R63">
            <v>64232.903225806454</v>
          </cell>
          <cell r="S63">
            <v>1950</v>
          </cell>
          <cell r="T63">
            <v>1441.6089999999999</v>
          </cell>
          <cell r="U63">
            <v>1853.7615870967741</v>
          </cell>
          <cell r="V63">
            <v>3211.6451612903224</v>
          </cell>
          <cell r="W63">
            <v>72689.918974193541</v>
          </cell>
          <cell r="Y63">
            <v>64232.903225806454</v>
          </cell>
          <cell r="AA63">
            <v>200</v>
          </cell>
          <cell r="AB63">
            <v>1800</v>
          </cell>
          <cell r="AC63">
            <v>335</v>
          </cell>
          <cell r="AE63">
            <v>2335</v>
          </cell>
          <cell r="AF63">
            <v>68405.015748387086</v>
          </cell>
        </row>
        <row r="64">
          <cell r="C64" t="str">
            <v>BITS-628</v>
          </cell>
          <cell r="E64" t="str">
            <v>Ramarao Kongara 19-1-2022</v>
          </cell>
          <cell r="F64" t="str">
            <v>BNG STP</v>
          </cell>
          <cell r="G64">
            <v>110000</v>
          </cell>
          <cell r="H64">
            <v>98816</v>
          </cell>
          <cell r="I64">
            <v>31</v>
          </cell>
          <cell r="J64">
            <v>19</v>
          </cell>
          <cell r="L64">
            <v>19</v>
          </cell>
          <cell r="M64">
            <v>36338.787096774198</v>
          </cell>
          <cell r="N64">
            <v>14535.51483870968</v>
          </cell>
          <cell r="O64">
            <v>1277</v>
          </cell>
          <cell r="P64">
            <v>1277</v>
          </cell>
          <cell r="Q64">
            <v>7136.3432258064495</v>
          </cell>
          <cell r="R64">
            <v>60564.645161290326</v>
          </cell>
          <cell r="S64">
            <v>1950</v>
          </cell>
          <cell r="T64">
            <v>1441.6089999999999</v>
          </cell>
          <cell r="U64">
            <v>1747.8956593548387</v>
          </cell>
          <cell r="V64">
            <v>3028.2322580645164</v>
          </cell>
          <cell r="W64">
            <v>68732.382078709677</v>
          </cell>
          <cell r="X64">
            <v>7096</v>
          </cell>
          <cell r="Y64">
            <v>67660.645161290333</v>
          </cell>
          <cell r="Z64">
            <v>6461</v>
          </cell>
          <cell r="AA64">
            <v>200</v>
          </cell>
          <cell r="AB64">
            <v>1800</v>
          </cell>
          <cell r="AC64">
            <v>377</v>
          </cell>
          <cell r="AE64">
            <v>8838</v>
          </cell>
          <cell r="AF64">
            <v>65040.736917419352</v>
          </cell>
        </row>
        <row r="65">
          <cell r="C65" t="str">
            <v>BITS-629</v>
          </cell>
          <cell r="E65" t="str">
            <v>CHEREDDY MURALI KRISHNA NAIDU</v>
          </cell>
          <cell r="F65" t="str">
            <v>BNG SEZ</v>
          </cell>
          <cell r="G65">
            <v>115000</v>
          </cell>
          <cell r="H65">
            <v>103451</v>
          </cell>
          <cell r="I65">
            <v>31</v>
          </cell>
          <cell r="J65">
            <v>31</v>
          </cell>
          <cell r="L65">
            <v>31</v>
          </cell>
          <cell r="M65">
            <v>62070.6</v>
          </cell>
          <cell r="N65">
            <v>24828.240000000002</v>
          </cell>
          <cell r="O65">
            <v>2083</v>
          </cell>
          <cell r="P65">
            <v>2083</v>
          </cell>
          <cell r="Q65">
            <v>12386.160000000003</v>
          </cell>
          <cell r="R65">
            <v>103451</v>
          </cell>
          <cell r="S65">
            <v>1950</v>
          </cell>
          <cell r="T65">
            <v>1441.6089999999999</v>
          </cell>
          <cell r="U65">
            <v>2985.5958599999994</v>
          </cell>
          <cell r="V65">
            <v>5172.55</v>
          </cell>
          <cell r="W65">
            <v>115000.75486</v>
          </cell>
          <cell r="Y65">
            <v>103451</v>
          </cell>
          <cell r="Z65">
            <v>8469</v>
          </cell>
          <cell r="AA65">
            <v>200</v>
          </cell>
          <cell r="AB65">
            <v>1800</v>
          </cell>
          <cell r="AC65">
            <v>336</v>
          </cell>
          <cell r="AE65">
            <v>10805</v>
          </cell>
          <cell r="AF65">
            <v>102245.75486</v>
          </cell>
        </row>
        <row r="66">
          <cell r="C66" t="str">
            <v>BITS-630</v>
          </cell>
          <cell r="E66" t="str">
            <v>Gangadhar Yarabham</v>
          </cell>
          <cell r="F66" t="str">
            <v>HYD SEZ</v>
          </cell>
          <cell r="G66">
            <v>95000</v>
          </cell>
          <cell r="H66">
            <v>84912</v>
          </cell>
          <cell r="I66">
            <v>31</v>
          </cell>
          <cell r="J66">
            <v>31</v>
          </cell>
          <cell r="L66">
            <v>31</v>
          </cell>
          <cell r="M66">
            <v>50947.199999999997</v>
          </cell>
          <cell r="N66">
            <v>20378.88</v>
          </cell>
          <cell r="O66">
            <v>2083</v>
          </cell>
          <cell r="P66">
            <v>2083</v>
          </cell>
          <cell r="Q66">
            <v>9419.9199999999983</v>
          </cell>
          <cell r="R66">
            <v>84912</v>
          </cell>
          <cell r="S66">
            <v>1950</v>
          </cell>
          <cell r="T66">
            <v>1441.6089999999999</v>
          </cell>
          <cell r="U66">
            <v>2450.5603199999996</v>
          </cell>
          <cell r="V66">
            <v>4245.5999999999995</v>
          </cell>
          <cell r="W66">
            <v>94999.769320000007</v>
          </cell>
          <cell r="Y66">
            <v>84912</v>
          </cell>
          <cell r="AA66">
            <v>200</v>
          </cell>
          <cell r="AB66">
            <v>1800</v>
          </cell>
          <cell r="AC66">
            <v>377</v>
          </cell>
          <cell r="AE66">
            <v>2377</v>
          </cell>
          <cell r="AF66">
            <v>90672.769320000007</v>
          </cell>
        </row>
        <row r="67">
          <cell r="C67" t="str">
            <v>BITS-632</v>
          </cell>
          <cell r="E67" t="str">
            <v>Himanshu Anand</v>
          </cell>
          <cell r="F67" t="str">
            <v>PUNE SEZ 1</v>
          </cell>
          <cell r="G67">
            <v>110000</v>
          </cell>
          <cell r="H67">
            <v>98501</v>
          </cell>
          <cell r="I67">
            <v>31</v>
          </cell>
          <cell r="J67">
            <v>31</v>
          </cell>
          <cell r="L67">
            <v>31</v>
          </cell>
          <cell r="M67">
            <v>59100.6</v>
          </cell>
          <cell r="N67">
            <v>23640.240000000002</v>
          </cell>
          <cell r="O67">
            <v>2083</v>
          </cell>
          <cell r="P67">
            <v>2083</v>
          </cell>
          <cell r="Q67">
            <v>11594.160000000003</v>
          </cell>
          <cell r="R67">
            <v>98501</v>
          </cell>
          <cell r="S67">
            <v>1950</v>
          </cell>
          <cell r="T67">
            <v>1441.6089999999999</v>
          </cell>
          <cell r="U67">
            <v>2842.7388599999999</v>
          </cell>
          <cell r="V67">
            <v>4925.05</v>
          </cell>
          <cell r="W67">
            <v>109660.39786</v>
          </cell>
          <cell r="Y67">
            <v>98501</v>
          </cell>
          <cell r="Z67">
            <v>6461</v>
          </cell>
          <cell r="AA67">
            <v>200</v>
          </cell>
          <cell r="AB67">
            <v>1800</v>
          </cell>
          <cell r="AC67">
            <v>336</v>
          </cell>
          <cell r="AE67">
            <v>8797</v>
          </cell>
          <cell r="AF67">
            <v>98913.397859999997</v>
          </cell>
        </row>
        <row r="68">
          <cell r="C68" t="str">
            <v>BITS-633</v>
          </cell>
          <cell r="E68" t="str">
            <v>Kanchupati Kondaiah</v>
          </cell>
          <cell r="F68" t="str">
            <v>PUNE SEZ 1</v>
          </cell>
          <cell r="G68">
            <v>54000</v>
          </cell>
          <cell r="H68">
            <v>46909</v>
          </cell>
          <cell r="I68">
            <v>31</v>
          </cell>
          <cell r="J68">
            <v>28</v>
          </cell>
          <cell r="K68">
            <v>3</v>
          </cell>
          <cell r="L68">
            <v>29</v>
          </cell>
          <cell r="M68">
            <v>26329.56774193548</v>
          </cell>
          <cell r="N68">
            <v>10531.827096774192</v>
          </cell>
          <cell r="O68">
            <v>1949</v>
          </cell>
          <cell r="P68">
            <v>1949</v>
          </cell>
          <cell r="Q68">
            <v>3123.2180645161279</v>
          </cell>
          <cell r="R68">
            <v>43882.612903225803</v>
          </cell>
          <cell r="S68">
            <v>1950</v>
          </cell>
          <cell r="T68">
            <v>1441.6089999999999</v>
          </cell>
          <cell r="U68">
            <v>1266.4522083870966</v>
          </cell>
          <cell r="V68">
            <v>2194.13064516129</v>
          </cell>
          <cell r="W68">
            <v>50734.804756774189</v>
          </cell>
          <cell r="Y68">
            <v>43882.612903225803</v>
          </cell>
          <cell r="AA68">
            <v>200</v>
          </cell>
          <cell r="AB68">
            <v>1800</v>
          </cell>
          <cell r="AE68">
            <v>2000</v>
          </cell>
          <cell r="AF68">
            <v>46785.191853548386</v>
          </cell>
        </row>
        <row r="69">
          <cell r="C69" t="str">
            <v>BITS-634</v>
          </cell>
          <cell r="E69" t="str">
            <v>Santosh Patel</v>
          </cell>
          <cell r="F69" t="str">
            <v>PUNE SEZ 1</v>
          </cell>
          <cell r="G69">
            <v>145000</v>
          </cell>
          <cell r="H69">
            <v>131257</v>
          </cell>
          <cell r="I69">
            <v>31</v>
          </cell>
          <cell r="J69">
            <v>31</v>
          </cell>
          <cell r="L69">
            <v>31</v>
          </cell>
          <cell r="M69">
            <v>78754.2</v>
          </cell>
          <cell r="N69">
            <v>31501.68</v>
          </cell>
          <cell r="O69">
            <v>2083</v>
          </cell>
          <cell r="P69">
            <v>2083</v>
          </cell>
          <cell r="Q69">
            <v>16835.119999999995</v>
          </cell>
          <cell r="R69">
            <v>131257</v>
          </cell>
          <cell r="S69">
            <v>1950</v>
          </cell>
          <cell r="T69">
            <v>1441.6089999999999</v>
          </cell>
          <cell r="U69">
            <v>3788.0770199999993</v>
          </cell>
          <cell r="V69">
            <v>6562.8499999999995</v>
          </cell>
          <cell r="W69">
            <v>144999.53602</v>
          </cell>
          <cell r="X69">
            <v>4677</v>
          </cell>
          <cell r="Y69">
            <v>135934</v>
          </cell>
          <cell r="Z69">
            <v>17416</v>
          </cell>
          <cell r="AA69">
            <v>200</v>
          </cell>
          <cell r="AB69">
            <v>1800</v>
          </cell>
          <cell r="AC69">
            <v>336</v>
          </cell>
          <cell r="AE69">
            <v>19752</v>
          </cell>
          <cell r="AF69">
            <v>127974.53602</v>
          </cell>
        </row>
        <row r="70">
          <cell r="C70" t="str">
            <v>BITS-635</v>
          </cell>
          <cell r="E70" t="str">
            <v>Saleem Ahmed Natamkar</v>
          </cell>
          <cell r="F70" t="str">
            <v>BNG SEZ</v>
          </cell>
          <cell r="G70">
            <v>75000</v>
          </cell>
          <cell r="H70">
            <v>66374</v>
          </cell>
          <cell r="I70">
            <v>31</v>
          </cell>
          <cell r="J70">
            <v>24</v>
          </cell>
          <cell r="K70">
            <v>6</v>
          </cell>
          <cell r="L70">
            <v>25</v>
          </cell>
          <cell r="M70">
            <v>32116.451612903227</v>
          </cell>
          <cell r="N70">
            <v>12846.580645161292</v>
          </cell>
          <cell r="O70">
            <v>1680</v>
          </cell>
          <cell r="P70">
            <v>1680</v>
          </cell>
          <cell r="Q70">
            <v>5204.3870967741968</v>
          </cell>
          <cell r="R70">
            <v>53527.419354838712</v>
          </cell>
          <cell r="S70">
            <v>1950</v>
          </cell>
          <cell r="T70">
            <v>1441.6089999999999</v>
          </cell>
          <cell r="U70">
            <v>1544.8013225806453</v>
          </cell>
          <cell r="V70">
            <v>2676.3709677419356</v>
          </cell>
          <cell r="W70">
            <v>61140.200645161283</v>
          </cell>
          <cell r="Y70">
            <v>53527.419354838712</v>
          </cell>
          <cell r="AA70">
            <v>200</v>
          </cell>
          <cell r="AB70">
            <v>1800</v>
          </cell>
          <cell r="AC70">
            <v>377</v>
          </cell>
          <cell r="AE70">
            <v>2377</v>
          </cell>
          <cell r="AF70">
            <v>56812.781290322571</v>
          </cell>
        </row>
        <row r="71">
          <cell r="C71" t="str">
            <v>BITS-637</v>
          </cell>
          <cell r="E71" t="str">
            <v>Sambasivarao M</v>
          </cell>
          <cell r="F71" t="str">
            <v>BNG STP</v>
          </cell>
          <cell r="G71">
            <v>105000</v>
          </cell>
          <cell r="H71">
            <v>94181</v>
          </cell>
          <cell r="I71">
            <v>31</v>
          </cell>
          <cell r="J71">
            <v>28</v>
          </cell>
          <cell r="K71">
            <v>3</v>
          </cell>
          <cell r="L71">
            <v>29</v>
          </cell>
          <cell r="M71">
            <v>52862.883870967751</v>
          </cell>
          <cell r="N71">
            <v>21145.153548387101</v>
          </cell>
          <cell r="O71">
            <v>1949</v>
          </cell>
          <cell r="P71">
            <v>1949</v>
          </cell>
          <cell r="Q71">
            <v>10198.76903225806</v>
          </cell>
          <cell r="R71">
            <v>88104.806451612909</v>
          </cell>
          <cell r="S71">
            <v>1950</v>
          </cell>
          <cell r="T71">
            <v>1441.6089999999999</v>
          </cell>
          <cell r="U71">
            <v>2542.7047141935486</v>
          </cell>
          <cell r="V71">
            <v>4405.2403225806456</v>
          </cell>
          <cell r="W71">
            <v>98444.360488387101</v>
          </cell>
          <cell r="Y71">
            <v>88104.806451612909</v>
          </cell>
          <cell r="AA71">
            <v>200</v>
          </cell>
          <cell r="AB71">
            <v>1800</v>
          </cell>
          <cell r="AC71">
            <v>224</v>
          </cell>
          <cell r="AE71">
            <v>2224</v>
          </cell>
          <cell r="AF71">
            <v>94270.554036774192</v>
          </cell>
        </row>
        <row r="72">
          <cell r="C72" t="str">
            <v>BITS-638</v>
          </cell>
          <cell r="E72" t="str">
            <v>Basweshwar Pawar</v>
          </cell>
          <cell r="F72" t="str">
            <v>PUNE SEZ 1</v>
          </cell>
          <cell r="G72">
            <v>100000</v>
          </cell>
          <cell r="H72">
            <v>89547</v>
          </cell>
          <cell r="I72">
            <v>31</v>
          </cell>
          <cell r="J72">
            <v>31</v>
          </cell>
          <cell r="L72">
            <v>31</v>
          </cell>
          <cell r="M72">
            <v>53728.2</v>
          </cell>
          <cell r="N72">
            <v>21491.279999999999</v>
          </cell>
          <cell r="O72">
            <v>2083</v>
          </cell>
          <cell r="P72">
            <v>2083</v>
          </cell>
          <cell r="Q72">
            <v>10161.520000000004</v>
          </cell>
          <cell r="R72">
            <v>89547</v>
          </cell>
          <cell r="S72">
            <v>1950</v>
          </cell>
          <cell r="T72">
            <v>1441.6089999999999</v>
          </cell>
          <cell r="U72">
            <v>2584.3264199999994</v>
          </cell>
          <cell r="V72">
            <v>4477.3499999999995</v>
          </cell>
          <cell r="W72">
            <v>100000.28542</v>
          </cell>
          <cell r="Y72">
            <v>89547</v>
          </cell>
          <cell r="AA72">
            <v>200</v>
          </cell>
          <cell r="AB72">
            <v>1800</v>
          </cell>
          <cell r="AC72">
            <v>224</v>
          </cell>
          <cell r="AE72">
            <v>2224</v>
          </cell>
          <cell r="AF72">
            <v>95826.28542</v>
          </cell>
        </row>
        <row r="73">
          <cell r="C73" t="str">
            <v>BITS-639</v>
          </cell>
          <cell r="E73" t="str">
            <v> RAJPRANEETH SUTHRAVE 31-1-2022</v>
          </cell>
          <cell r="F73" t="str">
            <v>BNG SEZ</v>
          </cell>
          <cell r="G73">
            <v>125000</v>
          </cell>
          <cell r="H73">
            <v>112719</v>
          </cell>
          <cell r="I73">
            <v>31</v>
          </cell>
          <cell r="J73">
            <v>30</v>
          </cell>
          <cell r="K73">
            <v>1</v>
          </cell>
          <cell r="L73">
            <v>31</v>
          </cell>
          <cell r="M73">
            <v>67631.399999999994</v>
          </cell>
          <cell r="N73">
            <v>27052.559999999998</v>
          </cell>
          <cell r="O73">
            <v>2083</v>
          </cell>
          <cell r="P73">
            <v>2083</v>
          </cell>
          <cell r="Q73">
            <v>13869.040000000008</v>
          </cell>
          <cell r="R73">
            <v>112719</v>
          </cell>
          <cell r="S73">
            <v>1950</v>
          </cell>
          <cell r="T73">
            <v>1441.6089999999999</v>
          </cell>
          <cell r="U73">
            <v>3253.0703399999993</v>
          </cell>
          <cell r="V73">
            <v>5635.95</v>
          </cell>
          <cell r="W73">
            <v>124999.62934</v>
          </cell>
          <cell r="Y73">
            <v>112719</v>
          </cell>
          <cell r="AA73">
            <v>200</v>
          </cell>
          <cell r="AB73">
            <v>1800</v>
          </cell>
          <cell r="AC73">
            <v>224</v>
          </cell>
          <cell r="AE73">
            <v>2224</v>
          </cell>
          <cell r="AF73">
            <v>120825.62934</v>
          </cell>
        </row>
        <row r="74">
          <cell r="C74" t="str">
            <v>BITS-640</v>
          </cell>
          <cell r="E74" t="str">
            <v>K V Kannan</v>
          </cell>
          <cell r="F74" t="str">
            <v>BNG STP</v>
          </cell>
          <cell r="G74">
            <v>43000</v>
          </cell>
          <cell r="H74">
            <v>36713</v>
          </cell>
          <cell r="I74">
            <v>31</v>
          </cell>
          <cell r="J74">
            <v>31</v>
          </cell>
          <cell r="L74">
            <v>31</v>
          </cell>
          <cell r="M74">
            <v>22027.8</v>
          </cell>
          <cell r="N74">
            <v>8811.1200000000008</v>
          </cell>
          <cell r="O74">
            <v>2083</v>
          </cell>
          <cell r="P74">
            <v>2083</v>
          </cell>
          <cell r="Q74">
            <v>1708.0800000000017</v>
          </cell>
          <cell r="R74">
            <v>36713</v>
          </cell>
          <cell r="S74">
            <v>1950</v>
          </cell>
          <cell r="T74">
            <v>1441.6089999999999</v>
          </cell>
          <cell r="U74">
            <v>1059.53718</v>
          </cell>
          <cell r="V74">
            <v>1835.6499999999999</v>
          </cell>
          <cell r="W74">
            <v>42999.796179999998</v>
          </cell>
          <cell r="Y74">
            <v>36713</v>
          </cell>
          <cell r="AA74">
            <v>200</v>
          </cell>
          <cell r="AB74">
            <v>1800</v>
          </cell>
          <cell r="AC74">
            <v>252</v>
          </cell>
          <cell r="AE74">
            <v>2252</v>
          </cell>
          <cell r="AF74">
            <v>38797.796179999998</v>
          </cell>
        </row>
        <row r="75">
          <cell r="C75" t="str">
            <v>BITS-641</v>
          </cell>
          <cell r="E75" t="str">
            <v>Thanigaivel.J</v>
          </cell>
          <cell r="F75" t="str">
            <v>BNG STP</v>
          </cell>
          <cell r="G75">
            <v>43000</v>
          </cell>
          <cell r="H75">
            <v>36713</v>
          </cell>
          <cell r="I75">
            <v>31</v>
          </cell>
          <cell r="J75">
            <v>30</v>
          </cell>
          <cell r="K75">
            <v>1</v>
          </cell>
          <cell r="L75">
            <v>31</v>
          </cell>
          <cell r="M75">
            <v>22027.8</v>
          </cell>
          <cell r="N75">
            <v>8811.1200000000008</v>
          </cell>
          <cell r="O75">
            <v>2083</v>
          </cell>
          <cell r="P75">
            <v>2083</v>
          </cell>
          <cell r="Q75">
            <v>1708.0800000000017</v>
          </cell>
          <cell r="R75">
            <v>36713</v>
          </cell>
          <cell r="S75">
            <v>1950</v>
          </cell>
          <cell r="T75">
            <v>1441.6089999999999</v>
          </cell>
          <cell r="U75">
            <v>1059.53718</v>
          </cell>
          <cell r="V75">
            <v>1835.6499999999999</v>
          </cell>
          <cell r="W75">
            <v>42999.796179999998</v>
          </cell>
          <cell r="Y75">
            <v>36713</v>
          </cell>
          <cell r="AA75">
            <v>200</v>
          </cell>
          <cell r="AB75">
            <v>1800</v>
          </cell>
          <cell r="AC75">
            <v>224</v>
          </cell>
          <cell r="AE75">
            <v>2224</v>
          </cell>
          <cell r="AF75">
            <v>38825.796179999998</v>
          </cell>
        </row>
        <row r="76">
          <cell r="C76" t="str">
            <v>BITS-642</v>
          </cell>
          <cell r="E76" t="str">
            <v>Suprity Chandra 11-1-2022</v>
          </cell>
          <cell r="F76" t="str">
            <v>BNG STP</v>
          </cell>
          <cell r="G76">
            <v>30000</v>
          </cell>
          <cell r="H76">
            <v>24663</v>
          </cell>
          <cell r="I76">
            <v>31</v>
          </cell>
          <cell r="J76">
            <v>11</v>
          </cell>
          <cell r="L76">
            <v>11</v>
          </cell>
          <cell r="M76">
            <v>5250.8322580645163</v>
          </cell>
          <cell r="N76">
            <v>2100.3329032258066</v>
          </cell>
          <cell r="O76">
            <v>1500</v>
          </cell>
          <cell r="P76">
            <v>1500</v>
          </cell>
          <cell r="Q76">
            <v>-1599.7780645161292</v>
          </cell>
          <cell r="R76">
            <v>8751.3870967741932</v>
          </cell>
          <cell r="S76">
            <v>682.60819354838713</v>
          </cell>
          <cell r="T76">
            <v>1441.6089999999999</v>
          </cell>
          <cell r="U76">
            <v>252.56503161290323</v>
          </cell>
          <cell r="V76">
            <v>437.56935483870967</v>
          </cell>
          <cell r="W76">
            <v>11565.738676774194</v>
          </cell>
          <cell r="Y76">
            <v>8751.3870967741932</v>
          </cell>
          <cell r="AA76">
            <v>0</v>
          </cell>
          <cell r="AB76">
            <v>630</v>
          </cell>
          <cell r="AC76">
            <v>224</v>
          </cell>
          <cell r="AE76">
            <v>854</v>
          </cell>
          <cell r="AF76">
            <v>10028.743386451613</v>
          </cell>
        </row>
        <row r="77">
          <cell r="C77" t="str">
            <v>BITS-643</v>
          </cell>
          <cell r="E77" t="str">
            <v>SaiPrasad Cheruvukommu 31-1-2022</v>
          </cell>
          <cell r="F77" t="str">
            <v>PUNE ASC SEZ</v>
          </cell>
          <cell r="G77">
            <v>85000</v>
          </cell>
          <cell r="H77">
            <v>75643</v>
          </cell>
          <cell r="I77">
            <v>31</v>
          </cell>
          <cell r="J77">
            <v>29</v>
          </cell>
          <cell r="K77">
            <v>2</v>
          </cell>
          <cell r="L77">
            <v>30</v>
          </cell>
          <cell r="M77">
            <v>43921.741935483871</v>
          </cell>
          <cell r="N77">
            <v>17568.696774193548</v>
          </cell>
          <cell r="O77">
            <v>2016</v>
          </cell>
          <cell r="P77">
            <v>2016</v>
          </cell>
          <cell r="Q77">
            <v>7680.4645161290391</v>
          </cell>
          <cell r="R77">
            <v>73202.903225806454</v>
          </cell>
          <cell r="S77">
            <v>1950</v>
          </cell>
          <cell r="T77">
            <v>1441.6089999999999</v>
          </cell>
          <cell r="U77">
            <v>2112.635787096774</v>
          </cell>
          <cell r="V77">
            <v>3660.1451612903224</v>
          </cell>
          <cell r="W77">
            <v>82367.293174193546</v>
          </cell>
          <cell r="Y77">
            <v>73202.903225806454</v>
          </cell>
          <cell r="AA77">
            <v>200</v>
          </cell>
          <cell r="AB77">
            <v>1800</v>
          </cell>
          <cell r="AC77">
            <v>224</v>
          </cell>
          <cell r="AE77">
            <v>2224</v>
          </cell>
          <cell r="AF77">
            <v>78193.389948387092</v>
          </cell>
        </row>
        <row r="78">
          <cell r="C78" t="str">
            <v>BITS-644</v>
          </cell>
          <cell r="E78" t="str">
            <v>gopi reddy chirra</v>
          </cell>
          <cell r="F78" t="str">
            <v>Chandigarh</v>
          </cell>
          <cell r="G78">
            <v>66000</v>
          </cell>
          <cell r="H78">
            <v>58032</v>
          </cell>
          <cell r="I78">
            <v>31</v>
          </cell>
          <cell r="J78">
            <v>29</v>
          </cell>
          <cell r="K78">
            <v>2</v>
          </cell>
          <cell r="L78">
            <v>30</v>
          </cell>
          <cell r="M78">
            <v>33696</v>
          </cell>
          <cell r="N78">
            <v>13478.400000000001</v>
          </cell>
          <cell r="O78">
            <v>2016</v>
          </cell>
          <cell r="P78">
            <v>2016</v>
          </cell>
          <cell r="Q78">
            <v>4953.5999999999985</v>
          </cell>
          <cell r="R78">
            <v>56160</v>
          </cell>
          <cell r="S78">
            <v>1950</v>
          </cell>
          <cell r="T78">
            <v>1441.6089999999999</v>
          </cell>
          <cell r="U78">
            <v>1620.7775999999999</v>
          </cell>
          <cell r="V78">
            <v>2808</v>
          </cell>
          <cell r="W78">
            <v>63980.386599999998</v>
          </cell>
          <cell r="Y78">
            <v>56160</v>
          </cell>
          <cell r="AA78">
            <v>200</v>
          </cell>
          <cell r="AB78">
            <v>1800</v>
          </cell>
          <cell r="AC78">
            <v>224</v>
          </cell>
          <cell r="AE78">
            <v>2224</v>
          </cell>
          <cell r="AF78">
            <v>59806.386599999998</v>
          </cell>
        </row>
        <row r="79">
          <cell r="C79" t="str">
            <v>BITS-645</v>
          </cell>
          <cell r="E79" t="str">
            <v>Anil kumar Redd kusam</v>
          </cell>
          <cell r="F79" t="str">
            <v>BNG STP</v>
          </cell>
          <cell r="G79">
            <v>90000</v>
          </cell>
          <cell r="H79">
            <v>80278</v>
          </cell>
          <cell r="I79">
            <v>31</v>
          </cell>
          <cell r="J79">
            <v>30</v>
          </cell>
          <cell r="K79">
            <v>1</v>
          </cell>
          <cell r="L79">
            <v>31</v>
          </cell>
          <cell r="M79">
            <v>48166.8</v>
          </cell>
          <cell r="N79">
            <v>19266.72</v>
          </cell>
          <cell r="O79">
            <v>2083</v>
          </cell>
          <cell r="P79">
            <v>2083</v>
          </cell>
          <cell r="Q79">
            <v>8678.4799999999959</v>
          </cell>
          <cell r="R79">
            <v>80278</v>
          </cell>
          <cell r="S79">
            <v>1950</v>
          </cell>
          <cell r="T79">
            <v>1441.6089999999999</v>
          </cell>
          <cell r="U79">
            <v>2316.8230800000001</v>
          </cell>
          <cell r="V79">
            <v>4013.9</v>
          </cell>
          <cell r="W79">
            <v>90000.332079999993</v>
          </cell>
          <cell r="Y79">
            <v>80278</v>
          </cell>
          <cell r="AA79">
            <v>200</v>
          </cell>
          <cell r="AB79">
            <v>1800</v>
          </cell>
          <cell r="AC79">
            <v>224</v>
          </cell>
          <cell r="AE79">
            <v>2224</v>
          </cell>
          <cell r="AF79">
            <v>85826.332079999993</v>
          </cell>
        </row>
        <row r="80">
          <cell r="C80" t="str">
            <v>BITS-646</v>
          </cell>
          <cell r="E80" t="str">
            <v>Vijay Kumar Sundara</v>
          </cell>
          <cell r="F80" t="str">
            <v>HYD STP</v>
          </cell>
          <cell r="G80">
            <v>90000</v>
          </cell>
          <cell r="H80">
            <v>80278</v>
          </cell>
          <cell r="I80">
            <v>31</v>
          </cell>
          <cell r="J80">
            <v>31</v>
          </cell>
          <cell r="L80">
            <v>31</v>
          </cell>
          <cell r="M80">
            <v>48166.8</v>
          </cell>
          <cell r="N80">
            <v>19266.72</v>
          </cell>
          <cell r="O80">
            <v>2083</v>
          </cell>
          <cell r="P80">
            <v>2083</v>
          </cell>
          <cell r="Q80">
            <v>8678.4799999999959</v>
          </cell>
          <cell r="R80">
            <v>80278</v>
          </cell>
          <cell r="S80">
            <v>1950</v>
          </cell>
          <cell r="T80">
            <v>1441.6089999999999</v>
          </cell>
          <cell r="U80">
            <v>2316.8230800000001</v>
          </cell>
          <cell r="V80">
            <v>4013.9</v>
          </cell>
          <cell r="W80">
            <v>90000.332079999993</v>
          </cell>
          <cell r="Y80">
            <v>80278</v>
          </cell>
          <cell r="AA80">
            <v>200</v>
          </cell>
          <cell r="AB80">
            <v>1800</v>
          </cell>
          <cell r="AC80">
            <v>224</v>
          </cell>
          <cell r="AE80">
            <v>2224</v>
          </cell>
          <cell r="AF80">
            <v>85826.332079999993</v>
          </cell>
        </row>
        <row r="81">
          <cell r="C81" t="str">
            <v>BITS-647</v>
          </cell>
          <cell r="E81" t="str">
            <v>Swati Bhattacharya</v>
          </cell>
          <cell r="F81" t="str">
            <v>PUNE SEZ 1</v>
          </cell>
          <cell r="G81">
            <v>120000</v>
          </cell>
          <cell r="H81">
            <v>108085</v>
          </cell>
          <cell r="I81">
            <v>31</v>
          </cell>
          <cell r="J81">
            <v>30</v>
          </cell>
          <cell r="L81">
            <v>31</v>
          </cell>
          <cell r="M81">
            <v>64851</v>
          </cell>
          <cell r="N81">
            <v>25940.400000000001</v>
          </cell>
          <cell r="O81">
            <v>2083</v>
          </cell>
          <cell r="P81">
            <v>2083</v>
          </cell>
          <cell r="Q81">
            <v>13127.600000000006</v>
          </cell>
          <cell r="R81">
            <v>108085</v>
          </cell>
          <cell r="S81">
            <v>1950</v>
          </cell>
          <cell r="T81">
            <v>1441.6089999999999</v>
          </cell>
          <cell r="U81">
            <v>3119.3330999999998</v>
          </cell>
          <cell r="V81">
            <v>5404.25</v>
          </cell>
          <cell r="W81">
            <v>120000.1921</v>
          </cell>
          <cell r="Y81">
            <v>108085</v>
          </cell>
          <cell r="AA81">
            <v>200</v>
          </cell>
          <cell r="AB81">
            <v>1800</v>
          </cell>
          <cell r="AC81">
            <v>252</v>
          </cell>
          <cell r="AE81">
            <v>2252</v>
          </cell>
          <cell r="AF81">
            <v>115798.1921</v>
          </cell>
        </row>
        <row r="82">
          <cell r="C82" t="str">
            <v>BITS-649</v>
          </cell>
          <cell r="E82" t="str">
            <v>Paparao</v>
          </cell>
          <cell r="G82">
            <v>125000</v>
          </cell>
          <cell r="H82">
            <v>112719</v>
          </cell>
          <cell r="I82">
            <v>31</v>
          </cell>
          <cell r="J82">
            <v>31</v>
          </cell>
          <cell r="L82">
            <v>31</v>
          </cell>
          <cell r="M82">
            <v>67631.399999999994</v>
          </cell>
          <cell r="N82">
            <v>27052.559999999998</v>
          </cell>
          <cell r="O82">
            <v>2083</v>
          </cell>
          <cell r="P82">
            <v>2083</v>
          </cell>
          <cell r="Q82">
            <v>13869.040000000008</v>
          </cell>
          <cell r="R82">
            <v>112719</v>
          </cell>
          <cell r="S82">
            <v>1950</v>
          </cell>
          <cell r="T82">
            <v>1441.6089999999999</v>
          </cell>
          <cell r="U82">
            <v>3253.0703399999993</v>
          </cell>
          <cell r="V82">
            <v>5635.95</v>
          </cell>
          <cell r="W82">
            <v>124999.62934</v>
          </cell>
          <cell r="Y82">
            <v>112719</v>
          </cell>
          <cell r="Z82">
            <v>4446</v>
          </cell>
          <cell r="AA82">
            <v>200</v>
          </cell>
          <cell r="AB82">
            <v>1800</v>
          </cell>
          <cell r="AC82">
            <v>224</v>
          </cell>
          <cell r="AE82">
            <v>6670</v>
          </cell>
          <cell r="AF82">
            <v>116379.62934</v>
          </cell>
        </row>
        <row r="83">
          <cell r="C83" t="str">
            <v>BITS-650</v>
          </cell>
          <cell r="E83" t="str">
            <v>Bhaskar Idagottu</v>
          </cell>
          <cell r="G83">
            <v>125000</v>
          </cell>
          <cell r="H83">
            <v>112719</v>
          </cell>
          <cell r="I83">
            <v>31</v>
          </cell>
          <cell r="J83">
            <v>31</v>
          </cell>
          <cell r="L83">
            <v>31</v>
          </cell>
          <cell r="M83">
            <v>67631.399999999994</v>
          </cell>
          <cell r="N83">
            <v>27052.559999999998</v>
          </cell>
          <cell r="O83">
            <v>2083</v>
          </cell>
          <cell r="P83">
            <v>2083</v>
          </cell>
          <cell r="Q83">
            <v>13869.040000000008</v>
          </cell>
          <cell r="R83">
            <v>112719</v>
          </cell>
          <cell r="T83">
            <v>1441.6089999999999</v>
          </cell>
          <cell r="U83">
            <v>3253.0703399999993</v>
          </cell>
          <cell r="V83">
            <v>5635.95</v>
          </cell>
          <cell r="W83">
            <v>123049.62934</v>
          </cell>
          <cell r="Y83">
            <v>112719</v>
          </cell>
          <cell r="Z83">
            <v>4446</v>
          </cell>
          <cell r="AA83">
            <v>200</v>
          </cell>
          <cell r="AE83">
            <v>4646</v>
          </cell>
          <cell r="AF83">
            <v>118403.62934</v>
          </cell>
        </row>
        <row r="84">
          <cell r="C84" t="str">
            <v>BITS-651</v>
          </cell>
          <cell r="E84" t="str">
            <v>Snehal Shirsat</v>
          </cell>
          <cell r="F84" t="str">
            <v>PUNE ASC SEZ</v>
          </cell>
          <cell r="G84">
            <v>67000</v>
          </cell>
          <cell r="H84">
            <v>58959</v>
          </cell>
          <cell r="I84">
            <v>31</v>
          </cell>
          <cell r="J84">
            <v>29</v>
          </cell>
          <cell r="K84">
            <v>2</v>
          </cell>
          <cell r="L84">
            <v>30</v>
          </cell>
          <cell r="M84">
            <v>34234.258064516129</v>
          </cell>
          <cell r="N84">
            <v>13693.703225806452</v>
          </cell>
          <cell r="O84">
            <v>2016</v>
          </cell>
          <cell r="P84">
            <v>2016</v>
          </cell>
          <cell r="Q84">
            <v>5097.1354838709667</v>
          </cell>
          <cell r="R84">
            <v>57057.096774193546</v>
          </cell>
          <cell r="S84">
            <v>1950</v>
          </cell>
          <cell r="T84">
            <v>1441.6089999999999</v>
          </cell>
          <cell r="U84">
            <v>1646.6678129032257</v>
          </cell>
          <cell r="V84">
            <v>2852.8548387096776</v>
          </cell>
          <cell r="W84">
            <v>64948.228425806439</v>
          </cell>
          <cell r="Y84">
            <v>57057.096774193546</v>
          </cell>
          <cell r="AA84">
            <v>200</v>
          </cell>
          <cell r="AB84">
            <v>1800</v>
          </cell>
          <cell r="AC84">
            <v>254</v>
          </cell>
          <cell r="AE84">
            <v>2254</v>
          </cell>
          <cell r="AF84">
            <v>60744.131651612894</v>
          </cell>
        </row>
        <row r="85">
          <cell r="C85" t="str">
            <v>BITS-652</v>
          </cell>
          <cell r="E85" t="str">
            <v>Shaikh Mohammed Sartaj</v>
          </cell>
          <cell r="F85" t="str">
            <v>PUNE SEZ 2</v>
          </cell>
          <cell r="G85">
            <v>90000</v>
          </cell>
          <cell r="H85">
            <v>80278</v>
          </cell>
          <cell r="I85">
            <v>31</v>
          </cell>
          <cell r="J85">
            <v>31</v>
          </cell>
          <cell r="L85">
            <v>31</v>
          </cell>
          <cell r="M85">
            <v>48166.8</v>
          </cell>
          <cell r="N85">
            <v>19266.72</v>
          </cell>
          <cell r="O85">
            <v>2083</v>
          </cell>
          <cell r="P85">
            <v>2083</v>
          </cell>
          <cell r="Q85">
            <v>8678.4799999999959</v>
          </cell>
          <cell r="R85">
            <v>80278</v>
          </cell>
          <cell r="S85">
            <v>1950</v>
          </cell>
          <cell r="T85">
            <v>1441.6089999999999</v>
          </cell>
          <cell r="U85">
            <v>2316.8230800000001</v>
          </cell>
          <cell r="V85">
            <v>4013.9</v>
          </cell>
          <cell r="W85">
            <v>90000.332079999993</v>
          </cell>
          <cell r="Y85">
            <v>80278</v>
          </cell>
          <cell r="AA85">
            <v>200</v>
          </cell>
          <cell r="AB85">
            <v>1800</v>
          </cell>
          <cell r="AC85">
            <v>254</v>
          </cell>
          <cell r="AE85">
            <v>2254</v>
          </cell>
          <cell r="AF85">
            <v>85796.332079999993</v>
          </cell>
        </row>
        <row r="86">
          <cell r="C86" t="str">
            <v>BITS-654</v>
          </cell>
          <cell r="E86" t="str">
            <v>Dinesh Kumar Maran</v>
          </cell>
          <cell r="F86" t="str">
            <v>Chennai STP</v>
          </cell>
          <cell r="G86">
            <v>50000</v>
          </cell>
          <cell r="H86">
            <v>43202</v>
          </cell>
          <cell r="I86">
            <v>31</v>
          </cell>
          <cell r="J86">
            <v>30</v>
          </cell>
          <cell r="K86">
            <v>1</v>
          </cell>
          <cell r="L86">
            <v>31</v>
          </cell>
          <cell r="M86">
            <v>25921.200000000001</v>
          </cell>
          <cell r="N86">
            <v>10368.480000000001</v>
          </cell>
          <cell r="O86">
            <v>2083</v>
          </cell>
          <cell r="P86">
            <v>2083</v>
          </cell>
          <cell r="Q86">
            <v>2746.3199999999997</v>
          </cell>
          <cell r="R86">
            <v>43202</v>
          </cell>
          <cell r="S86">
            <v>1950</v>
          </cell>
          <cell r="T86">
            <v>1441.6089999999999</v>
          </cell>
          <cell r="U86">
            <v>1246.80972</v>
          </cell>
          <cell r="V86">
            <v>2160.1</v>
          </cell>
          <cell r="W86">
            <v>50000.518719999993</v>
          </cell>
          <cell r="Y86">
            <v>43202</v>
          </cell>
          <cell r="AA86">
            <v>200</v>
          </cell>
          <cell r="AB86">
            <v>1800</v>
          </cell>
          <cell r="AC86">
            <v>254</v>
          </cell>
          <cell r="AE86">
            <v>2254</v>
          </cell>
          <cell r="AF86">
            <v>45796.518719999993</v>
          </cell>
        </row>
        <row r="87">
          <cell r="C87" t="str">
            <v>BITS-656</v>
          </cell>
          <cell r="E87" t="str">
            <v>Ranjith Kumar Karanam</v>
          </cell>
          <cell r="F87" t="str">
            <v>HYD STP</v>
          </cell>
          <cell r="G87">
            <v>120000</v>
          </cell>
          <cell r="H87">
            <v>108085</v>
          </cell>
          <cell r="I87">
            <v>31</v>
          </cell>
          <cell r="J87">
            <v>30</v>
          </cell>
          <cell r="K87">
            <v>1</v>
          </cell>
          <cell r="L87">
            <v>31</v>
          </cell>
          <cell r="M87">
            <v>64851</v>
          </cell>
          <cell r="N87">
            <v>25940.400000000001</v>
          </cell>
          <cell r="O87">
            <v>2083</v>
          </cell>
          <cell r="P87">
            <v>2083</v>
          </cell>
          <cell r="Q87">
            <v>13127.600000000006</v>
          </cell>
          <cell r="R87">
            <v>108085</v>
          </cell>
          <cell r="S87">
            <v>1950</v>
          </cell>
          <cell r="T87">
            <v>1441.6089999999999</v>
          </cell>
          <cell r="U87">
            <v>3119.3330999999998</v>
          </cell>
          <cell r="V87">
            <v>5404.25</v>
          </cell>
          <cell r="W87">
            <v>120000.1921</v>
          </cell>
          <cell r="Y87">
            <v>108085</v>
          </cell>
          <cell r="AA87">
            <v>200</v>
          </cell>
          <cell r="AB87">
            <v>1800</v>
          </cell>
          <cell r="AC87">
            <v>254</v>
          </cell>
          <cell r="AE87">
            <v>2254</v>
          </cell>
          <cell r="AF87">
            <v>115796.1921</v>
          </cell>
        </row>
        <row r="88">
          <cell r="C88" t="str">
            <v>BITS-657</v>
          </cell>
          <cell r="E88" t="str">
            <v>Shashanki Mishra</v>
          </cell>
          <cell r="F88" t="str">
            <v>PUNE ASC SEZ</v>
          </cell>
          <cell r="G88">
            <v>55000</v>
          </cell>
          <cell r="H88">
            <v>47836</v>
          </cell>
          <cell r="I88">
            <v>31</v>
          </cell>
          <cell r="J88">
            <v>31</v>
          </cell>
          <cell r="K88">
            <v>0</v>
          </cell>
          <cell r="L88">
            <v>31</v>
          </cell>
          <cell r="M88">
            <v>28701.599999999999</v>
          </cell>
          <cell r="N88">
            <v>11480.64</v>
          </cell>
          <cell r="O88">
            <v>2083</v>
          </cell>
          <cell r="P88">
            <v>2083</v>
          </cell>
          <cell r="Q88">
            <v>3487.760000000002</v>
          </cell>
          <cell r="R88">
            <v>47836</v>
          </cell>
          <cell r="S88">
            <v>1950</v>
          </cell>
          <cell r="T88">
            <v>1441.6089999999999</v>
          </cell>
          <cell r="U88">
            <v>1380.5469599999999</v>
          </cell>
          <cell r="V88">
            <v>2391.7999999999997</v>
          </cell>
          <cell r="W88">
            <v>54999.955959999999</v>
          </cell>
          <cell r="Y88">
            <v>47836</v>
          </cell>
          <cell r="AA88">
            <v>200</v>
          </cell>
          <cell r="AB88">
            <v>1800</v>
          </cell>
          <cell r="AC88">
            <v>254</v>
          </cell>
          <cell r="AE88">
            <v>2254</v>
          </cell>
          <cell r="AF88">
            <v>50795.955959999999</v>
          </cell>
        </row>
        <row r="89">
          <cell r="C89" t="str">
            <v>BITS-658</v>
          </cell>
          <cell r="E89" t="str">
            <v>Anjali Dubey</v>
          </cell>
          <cell r="F89" t="str">
            <v>PUNE ASC SEZ</v>
          </cell>
          <cell r="G89">
            <v>67000</v>
          </cell>
          <cell r="H89">
            <v>58959</v>
          </cell>
          <cell r="I89">
            <v>31</v>
          </cell>
          <cell r="J89">
            <v>31</v>
          </cell>
          <cell r="L89">
            <v>31</v>
          </cell>
          <cell r="M89">
            <v>35375.4</v>
          </cell>
          <cell r="N89">
            <v>14150.160000000002</v>
          </cell>
          <cell r="O89">
            <v>2083</v>
          </cell>
          <cell r="P89">
            <v>2083</v>
          </cell>
          <cell r="Q89">
            <v>5267.4399999999951</v>
          </cell>
          <cell r="R89">
            <v>58959</v>
          </cell>
          <cell r="S89">
            <v>1950</v>
          </cell>
          <cell r="T89">
            <v>1441.6089999999999</v>
          </cell>
          <cell r="U89">
            <v>1701.55674</v>
          </cell>
          <cell r="V89">
            <v>2947.9500000000003</v>
          </cell>
          <cell r="W89">
            <v>67000.115739999994</v>
          </cell>
          <cell r="Y89">
            <v>58959</v>
          </cell>
          <cell r="AA89">
            <v>200</v>
          </cell>
          <cell r="AB89">
            <v>1800</v>
          </cell>
          <cell r="AC89">
            <v>254</v>
          </cell>
          <cell r="AE89">
            <v>2254</v>
          </cell>
          <cell r="AF89">
            <v>62796.115739999994</v>
          </cell>
        </row>
        <row r="90">
          <cell r="C90" t="str">
            <v>BITS-659</v>
          </cell>
          <cell r="E90" t="str">
            <v>Manzoor Ahamed</v>
          </cell>
          <cell r="F90" t="str">
            <v>BNG STP</v>
          </cell>
          <cell r="G90">
            <v>245000</v>
          </cell>
          <cell r="H90">
            <v>223948</v>
          </cell>
          <cell r="I90">
            <v>31</v>
          </cell>
          <cell r="J90">
            <v>31</v>
          </cell>
          <cell r="L90">
            <v>31</v>
          </cell>
          <cell r="M90">
            <v>134368.79999999999</v>
          </cell>
          <cell r="N90">
            <v>53747.519999999997</v>
          </cell>
          <cell r="O90">
            <v>2083</v>
          </cell>
          <cell r="P90">
            <v>2083</v>
          </cell>
          <cell r="Q90">
            <v>31665.680000000022</v>
          </cell>
          <cell r="R90">
            <v>223948</v>
          </cell>
          <cell r="S90">
            <v>1950</v>
          </cell>
          <cell r="T90">
            <v>1441.6089999999999</v>
          </cell>
          <cell r="U90">
            <v>6463.1392799999985</v>
          </cell>
          <cell r="V90">
            <v>11197.4</v>
          </cell>
          <cell r="W90">
            <v>245000.14827999999</v>
          </cell>
          <cell r="X90">
            <v>15587</v>
          </cell>
          <cell r="Y90">
            <v>239535</v>
          </cell>
          <cell r="Z90">
            <v>35917</v>
          </cell>
          <cell r="AA90">
            <v>200</v>
          </cell>
          <cell r="AB90">
            <v>1800</v>
          </cell>
          <cell r="AC90">
            <v>286</v>
          </cell>
          <cell r="AE90">
            <v>38203</v>
          </cell>
          <cell r="AF90">
            <v>220434.14827999999</v>
          </cell>
        </row>
        <row r="91">
          <cell r="C91" t="str">
            <v>BITS-660</v>
          </cell>
          <cell r="E91" t="str">
            <v>Moin Ahemad Jahur Ahemad Kumarkiri</v>
          </cell>
          <cell r="F91" t="str">
            <v>PUNE SEZ 2</v>
          </cell>
          <cell r="G91">
            <v>158000</v>
          </cell>
          <cell r="H91">
            <v>143307</v>
          </cell>
          <cell r="I91">
            <v>31</v>
          </cell>
          <cell r="J91">
            <v>30</v>
          </cell>
          <cell r="K91">
            <v>1</v>
          </cell>
          <cell r="L91">
            <v>31</v>
          </cell>
          <cell r="M91">
            <v>85984.2</v>
          </cell>
          <cell r="N91">
            <v>34393.68</v>
          </cell>
          <cell r="O91">
            <v>2083</v>
          </cell>
          <cell r="P91">
            <v>2083</v>
          </cell>
          <cell r="Q91">
            <v>18763.119999999995</v>
          </cell>
          <cell r="R91">
            <v>143307</v>
          </cell>
          <cell r="S91">
            <v>1950</v>
          </cell>
          <cell r="T91">
            <v>1441.6089999999999</v>
          </cell>
          <cell r="U91">
            <v>4135.8400199999996</v>
          </cell>
          <cell r="V91">
            <v>7165.3499999999995</v>
          </cell>
          <cell r="W91">
            <v>157999.79902000001</v>
          </cell>
          <cell r="Y91">
            <v>143307</v>
          </cell>
          <cell r="Z91">
            <v>11561</v>
          </cell>
          <cell r="AA91">
            <v>200</v>
          </cell>
          <cell r="AB91">
            <v>1800</v>
          </cell>
          <cell r="AC91">
            <v>254</v>
          </cell>
          <cell r="AE91">
            <v>13815</v>
          </cell>
          <cell r="AF91">
            <v>142234.79902000001</v>
          </cell>
        </row>
        <row r="92">
          <cell r="C92" t="str">
            <v>BITS-661</v>
          </cell>
          <cell r="E92" t="str">
            <v>Hemanth Mishra</v>
          </cell>
          <cell r="F92" t="str">
            <v>PUNE SEZ 1</v>
          </cell>
          <cell r="G92">
            <v>110000</v>
          </cell>
          <cell r="H92">
            <v>98816</v>
          </cell>
          <cell r="I92">
            <v>31</v>
          </cell>
          <cell r="J92">
            <v>30</v>
          </cell>
          <cell r="K92">
            <v>1</v>
          </cell>
          <cell r="L92">
            <v>31</v>
          </cell>
          <cell r="M92">
            <v>59289.599999999999</v>
          </cell>
          <cell r="N92">
            <v>23715.84</v>
          </cell>
          <cell r="O92">
            <v>2083</v>
          </cell>
          <cell r="P92">
            <v>2083</v>
          </cell>
          <cell r="Q92">
            <v>11644.559999999998</v>
          </cell>
          <cell r="R92">
            <v>98816</v>
          </cell>
          <cell r="S92">
            <v>1950</v>
          </cell>
          <cell r="T92">
            <v>1441.6089999999999</v>
          </cell>
          <cell r="U92">
            <v>2851.8297599999996</v>
          </cell>
          <cell r="V92">
            <v>4940.8</v>
          </cell>
          <cell r="W92">
            <v>110000.23875999999</v>
          </cell>
          <cell r="Y92">
            <v>98816</v>
          </cell>
          <cell r="AA92">
            <v>200</v>
          </cell>
          <cell r="AB92">
            <v>1800</v>
          </cell>
          <cell r="AC92">
            <v>254</v>
          </cell>
          <cell r="AE92">
            <v>2254</v>
          </cell>
          <cell r="AF92">
            <v>105796.23875999999</v>
          </cell>
        </row>
        <row r="93">
          <cell r="C93" t="str">
            <v>BITS-662</v>
          </cell>
          <cell r="E93" t="str">
            <v>Sandeep Kumar Gupta</v>
          </cell>
          <cell r="F93" t="str">
            <v>HYD SEZ</v>
          </cell>
          <cell r="G93">
            <v>125000</v>
          </cell>
          <cell r="H93">
            <v>112719</v>
          </cell>
          <cell r="I93">
            <v>31</v>
          </cell>
          <cell r="J93">
            <v>26</v>
          </cell>
          <cell r="K93">
            <v>5</v>
          </cell>
          <cell r="L93">
            <v>27</v>
          </cell>
          <cell r="M93">
            <v>58904.767741935488</v>
          </cell>
          <cell r="N93">
            <v>23561.907096774197</v>
          </cell>
          <cell r="O93">
            <v>1814</v>
          </cell>
          <cell r="P93">
            <v>1814</v>
          </cell>
          <cell r="Q93">
            <v>12079.938064516115</v>
          </cell>
          <cell r="R93">
            <v>98174.612903225803</v>
          </cell>
          <cell r="S93">
            <v>1950</v>
          </cell>
          <cell r="T93">
            <v>1441.6089999999999</v>
          </cell>
          <cell r="U93">
            <v>2833.3193283870969</v>
          </cell>
          <cell r="V93">
            <v>4908.7306451612903</v>
          </cell>
          <cell r="W93">
            <v>109308.27187677419</v>
          </cell>
          <cell r="Y93">
            <v>98174.612903225803</v>
          </cell>
          <cell r="AA93">
            <v>200</v>
          </cell>
          <cell r="AB93">
            <v>1800</v>
          </cell>
          <cell r="AC93">
            <v>254</v>
          </cell>
          <cell r="AE93">
            <v>2254</v>
          </cell>
          <cell r="AF93">
            <v>105104.65897354839</v>
          </cell>
        </row>
        <row r="94">
          <cell r="C94" t="str">
            <v>BITS-663</v>
          </cell>
          <cell r="E94" t="str">
            <v>FAZALAHMED IRKAL</v>
          </cell>
          <cell r="F94" t="str">
            <v>PUNE SEZ 1</v>
          </cell>
          <cell r="G94">
            <v>68000</v>
          </cell>
          <cell r="H94">
            <v>59886</v>
          </cell>
          <cell r="I94">
            <v>31</v>
          </cell>
          <cell r="J94">
            <v>31</v>
          </cell>
          <cell r="L94">
            <v>31</v>
          </cell>
          <cell r="M94">
            <v>35931.599999999999</v>
          </cell>
          <cell r="N94">
            <v>14372.64</v>
          </cell>
          <cell r="O94">
            <v>2083</v>
          </cell>
          <cell r="P94">
            <v>2083</v>
          </cell>
          <cell r="Q94">
            <v>5415.760000000002</v>
          </cell>
          <cell r="R94">
            <v>59886</v>
          </cell>
          <cell r="S94">
            <v>1950</v>
          </cell>
          <cell r="T94">
            <v>1441.6089999999999</v>
          </cell>
          <cell r="U94">
            <v>1728.3099599999998</v>
          </cell>
          <cell r="V94">
            <v>2994.2999999999997</v>
          </cell>
          <cell r="W94">
            <v>68000.218959999998</v>
          </cell>
          <cell r="Y94">
            <v>59886</v>
          </cell>
          <cell r="AA94">
            <v>200</v>
          </cell>
          <cell r="AB94">
            <v>1800</v>
          </cell>
          <cell r="AC94">
            <v>254</v>
          </cell>
          <cell r="AE94">
            <v>2254</v>
          </cell>
          <cell r="AF94">
            <v>63796.218959999998</v>
          </cell>
        </row>
        <row r="95">
          <cell r="C95" t="str">
            <v>BITS-664</v>
          </cell>
          <cell r="E95" t="str">
            <v>Savana Saritha Dora</v>
          </cell>
          <cell r="F95" t="str">
            <v>PUNE SEZ 2</v>
          </cell>
          <cell r="G95">
            <v>63000</v>
          </cell>
          <cell r="H95">
            <v>55251</v>
          </cell>
          <cell r="I95">
            <v>31</v>
          </cell>
          <cell r="J95">
            <v>30</v>
          </cell>
          <cell r="K95">
            <v>1</v>
          </cell>
          <cell r="L95">
            <v>31</v>
          </cell>
          <cell r="M95">
            <v>33150.6</v>
          </cell>
          <cell r="N95">
            <v>13260.24</v>
          </cell>
          <cell r="O95">
            <v>2083</v>
          </cell>
          <cell r="P95">
            <v>2083</v>
          </cell>
          <cell r="Q95">
            <v>4674.1600000000035</v>
          </cell>
          <cell r="R95">
            <v>55251</v>
          </cell>
          <cell r="S95">
            <v>1950</v>
          </cell>
          <cell r="T95">
            <v>1441.6089999999999</v>
          </cell>
          <cell r="U95">
            <v>1594.5438599999998</v>
          </cell>
          <cell r="V95">
            <v>2762.5499999999997</v>
          </cell>
          <cell r="W95">
            <v>62999.702859999998</v>
          </cell>
          <cell r="Y95">
            <v>55251</v>
          </cell>
          <cell r="AA95">
            <v>200</v>
          </cell>
          <cell r="AB95">
            <v>1800</v>
          </cell>
          <cell r="AC95">
            <v>286</v>
          </cell>
          <cell r="AE95">
            <v>2286</v>
          </cell>
          <cell r="AF95">
            <v>58763.702859999998</v>
          </cell>
        </row>
        <row r="96">
          <cell r="C96" t="str">
            <v>BITS-667</v>
          </cell>
          <cell r="E96" t="str">
            <v>SUKRUTH YELLAMBOTLA</v>
          </cell>
          <cell r="F96" t="str">
            <v>PUNE SEZ 1</v>
          </cell>
          <cell r="G96">
            <v>42000</v>
          </cell>
          <cell r="H96">
            <v>35786</v>
          </cell>
          <cell r="I96">
            <v>31</v>
          </cell>
          <cell r="J96">
            <v>29</v>
          </cell>
          <cell r="K96">
            <v>2</v>
          </cell>
          <cell r="L96">
            <v>30</v>
          </cell>
          <cell r="M96">
            <v>20778.967741935481</v>
          </cell>
          <cell r="N96">
            <v>8311.5870967741921</v>
          </cell>
          <cell r="O96">
            <v>2016</v>
          </cell>
          <cell r="P96">
            <v>2016</v>
          </cell>
          <cell r="Q96">
            <v>1509.0580645161317</v>
          </cell>
          <cell r="R96">
            <v>34631.612903225803</v>
          </cell>
          <cell r="S96">
            <v>1950</v>
          </cell>
          <cell r="T96">
            <v>1441.6089999999999</v>
          </cell>
          <cell r="U96">
            <v>999.46834838709663</v>
          </cell>
          <cell r="V96">
            <v>1731.58064516129</v>
          </cell>
          <cell r="W96">
            <v>40754.270896774186</v>
          </cell>
          <cell r="Y96">
            <v>34631.612903225803</v>
          </cell>
          <cell r="AA96">
            <v>200</v>
          </cell>
          <cell r="AB96">
            <v>1800</v>
          </cell>
          <cell r="AC96">
            <v>252</v>
          </cell>
          <cell r="AE96">
            <v>2252</v>
          </cell>
          <cell r="AF96">
            <v>36552.657993548382</v>
          </cell>
        </row>
        <row r="97">
          <cell r="C97" t="str">
            <v>BITS-668</v>
          </cell>
          <cell r="E97" t="str">
            <v xml:space="preserve">Mandar Shetty </v>
          </cell>
          <cell r="F97" t="str">
            <v>PUNE SEZ 2</v>
          </cell>
          <cell r="G97">
            <v>116000</v>
          </cell>
          <cell r="H97">
            <v>104377</v>
          </cell>
          <cell r="I97">
            <v>31</v>
          </cell>
          <cell r="J97">
            <v>26</v>
          </cell>
          <cell r="K97">
            <v>5</v>
          </cell>
          <cell r="L97">
            <v>27</v>
          </cell>
          <cell r="M97">
            <v>54545.4</v>
          </cell>
          <cell r="N97">
            <v>21818.160000000003</v>
          </cell>
          <cell r="O97">
            <v>1814</v>
          </cell>
          <cell r="P97">
            <v>1814</v>
          </cell>
          <cell r="Q97">
            <v>10917.440000000002</v>
          </cell>
          <cell r="R97">
            <v>90909</v>
          </cell>
          <cell r="S97">
            <v>1950</v>
          </cell>
          <cell r="T97">
            <v>1441.6089999999999</v>
          </cell>
          <cell r="U97">
            <v>2623.6337400000002</v>
          </cell>
          <cell r="V97">
            <v>4545.45</v>
          </cell>
          <cell r="W97">
            <v>101469.69274</v>
          </cell>
          <cell r="Y97">
            <v>90909</v>
          </cell>
          <cell r="AA97">
            <v>200</v>
          </cell>
          <cell r="AB97">
            <v>1800</v>
          </cell>
          <cell r="AC97">
            <v>283</v>
          </cell>
          <cell r="AE97">
            <v>2283</v>
          </cell>
          <cell r="AF97">
            <v>97236.692739999999</v>
          </cell>
        </row>
        <row r="98">
          <cell r="C98" t="str">
            <v>BITS-670</v>
          </cell>
          <cell r="E98" t="str">
            <v>SREENIVASULU NARISETTY 5-1-2022</v>
          </cell>
          <cell r="F98" t="str">
            <v>PUNE ASC SEZ</v>
          </cell>
          <cell r="G98">
            <v>108000</v>
          </cell>
          <cell r="H98">
            <v>96962</v>
          </cell>
          <cell r="I98">
            <v>31</v>
          </cell>
          <cell r="J98">
            <v>5</v>
          </cell>
          <cell r="L98">
            <v>5</v>
          </cell>
          <cell r="M98">
            <v>9383.4193548387102</v>
          </cell>
          <cell r="N98">
            <v>3753.3677419354844</v>
          </cell>
          <cell r="O98">
            <v>336</v>
          </cell>
          <cell r="P98">
            <v>336</v>
          </cell>
          <cell r="Q98">
            <v>1830.2451612903224</v>
          </cell>
          <cell r="R98">
            <v>15639.032258064517</v>
          </cell>
          <cell r="S98">
            <v>1219.8445161290324</v>
          </cell>
          <cell r="T98">
            <v>1441.6089999999999</v>
          </cell>
          <cell r="U98">
            <v>451.34247096774192</v>
          </cell>
          <cell r="V98">
            <v>781.95161290322585</v>
          </cell>
          <cell r="W98">
            <v>19533.779858064518</v>
          </cell>
          <cell r="Y98">
            <v>15639.032258064517</v>
          </cell>
          <cell r="AA98">
            <v>150</v>
          </cell>
          <cell r="AB98">
            <v>1126</v>
          </cell>
          <cell r="AC98">
            <v>252</v>
          </cell>
          <cell r="AE98">
            <v>1528</v>
          </cell>
          <cell r="AF98">
            <v>16785.90308387097</v>
          </cell>
        </row>
        <row r="99">
          <cell r="C99" t="str">
            <v>BITS-671</v>
          </cell>
          <cell r="E99" t="str">
            <v>Ramakrishna J Reddy</v>
          </cell>
          <cell r="F99" t="str">
            <v>BNG STP</v>
          </cell>
          <cell r="G99">
            <v>210000</v>
          </cell>
          <cell r="H99">
            <v>191506</v>
          </cell>
          <cell r="I99">
            <v>31</v>
          </cell>
          <cell r="J99">
            <v>30</v>
          </cell>
          <cell r="K99">
            <v>1</v>
          </cell>
          <cell r="L99">
            <v>31</v>
          </cell>
          <cell r="M99">
            <v>114903.6</v>
          </cell>
          <cell r="N99">
            <v>45961.440000000002</v>
          </cell>
          <cell r="O99">
            <v>2083</v>
          </cell>
          <cell r="P99">
            <v>2083</v>
          </cell>
          <cell r="Q99">
            <v>26474.959999999992</v>
          </cell>
          <cell r="R99">
            <v>191506</v>
          </cell>
          <cell r="S99">
            <v>1950</v>
          </cell>
          <cell r="T99">
            <v>1441.6089999999999</v>
          </cell>
          <cell r="U99">
            <v>5526.8631599999999</v>
          </cell>
          <cell r="V99">
            <v>9575.3000000000011</v>
          </cell>
          <cell r="W99">
            <v>209999.77215999999</v>
          </cell>
          <cell r="Y99">
            <v>191506</v>
          </cell>
          <cell r="AA99">
            <v>200</v>
          </cell>
          <cell r="AB99">
            <v>1800</v>
          </cell>
          <cell r="AC99">
            <v>252</v>
          </cell>
          <cell r="AE99">
            <v>2252</v>
          </cell>
          <cell r="AF99">
            <v>205797.77215999999</v>
          </cell>
        </row>
        <row r="100">
          <cell r="C100" t="str">
            <v>BITS-672</v>
          </cell>
          <cell r="E100" t="str">
            <v xml:space="preserve">Vivek Dongre </v>
          </cell>
          <cell r="F100" t="str">
            <v>PUNE SEZ 2</v>
          </cell>
          <cell r="G100">
            <v>75000</v>
          </cell>
          <cell r="H100">
            <v>66374</v>
          </cell>
          <cell r="I100">
            <v>31</v>
          </cell>
          <cell r="J100">
            <v>22</v>
          </cell>
          <cell r="K100">
            <v>9</v>
          </cell>
          <cell r="L100">
            <v>23</v>
          </cell>
          <cell r="M100">
            <v>29547.135483870967</v>
          </cell>
          <cell r="N100">
            <v>11818.854193548388</v>
          </cell>
          <cell r="O100">
            <v>1545</v>
          </cell>
          <cell r="P100">
            <v>1545</v>
          </cell>
          <cell r="Q100">
            <v>4789.2361290322588</v>
          </cell>
          <cell r="R100">
            <v>49245.225806451614</v>
          </cell>
          <cell r="S100">
            <v>1950</v>
          </cell>
          <cell r="T100">
            <v>1441.6089999999999</v>
          </cell>
          <cell r="U100">
            <v>1421.2172167741935</v>
          </cell>
          <cell r="V100">
            <v>2462.2612903225804</v>
          </cell>
          <cell r="W100">
            <v>56520.313313548388</v>
          </cell>
          <cell r="Y100">
            <v>49245.225806451614</v>
          </cell>
          <cell r="AA100">
            <v>200</v>
          </cell>
          <cell r="AB100">
            <v>1800</v>
          </cell>
          <cell r="AC100">
            <v>252</v>
          </cell>
          <cell r="AE100">
            <v>2252</v>
          </cell>
          <cell r="AF100">
            <v>52318.087507096774</v>
          </cell>
        </row>
        <row r="101">
          <cell r="C101" t="str">
            <v>BITS-673</v>
          </cell>
          <cell r="E101" t="str">
            <v>Praveen Kumar Beesabat</v>
          </cell>
          <cell r="F101" t="str">
            <v>HYD SEZ</v>
          </cell>
          <cell r="G101">
            <v>90000</v>
          </cell>
          <cell r="H101">
            <v>80278</v>
          </cell>
          <cell r="I101">
            <v>31</v>
          </cell>
          <cell r="J101">
            <v>28</v>
          </cell>
          <cell r="K101">
            <v>3</v>
          </cell>
          <cell r="L101">
            <v>29</v>
          </cell>
          <cell r="M101">
            <v>45059.264516129035</v>
          </cell>
          <cell r="N101">
            <v>18023.705806451613</v>
          </cell>
          <cell r="O101">
            <v>1949</v>
          </cell>
          <cell r="P101">
            <v>1949</v>
          </cell>
          <cell r="Q101">
            <v>8117.8038709677494</v>
          </cell>
          <cell r="R101">
            <v>75098.774193548394</v>
          </cell>
          <cell r="S101">
            <v>1950</v>
          </cell>
          <cell r="T101">
            <v>1441.6089999999999</v>
          </cell>
          <cell r="U101">
            <v>2167.3506232258064</v>
          </cell>
          <cell r="V101">
            <v>3754.9387096774194</v>
          </cell>
          <cell r="W101">
            <v>84412.672526451614</v>
          </cell>
          <cell r="Y101">
            <v>75098.774193548394</v>
          </cell>
          <cell r="AA101">
            <v>200</v>
          </cell>
          <cell r="AB101">
            <v>1800</v>
          </cell>
          <cell r="AC101">
            <v>252</v>
          </cell>
          <cell r="AE101">
            <v>2252</v>
          </cell>
          <cell r="AF101">
            <v>80210.89833290322</v>
          </cell>
        </row>
        <row r="102">
          <cell r="C102" t="str">
            <v>BITS-674</v>
          </cell>
          <cell r="E102" t="str">
            <v>Amit Chalwadi</v>
          </cell>
          <cell r="F102" t="str">
            <v>PUNE SEZ 2</v>
          </cell>
          <cell r="G102">
            <v>90000</v>
          </cell>
          <cell r="H102">
            <v>80278</v>
          </cell>
          <cell r="I102">
            <v>31</v>
          </cell>
          <cell r="J102">
            <v>31</v>
          </cell>
          <cell r="L102">
            <v>31</v>
          </cell>
          <cell r="M102">
            <v>48166.8</v>
          </cell>
          <cell r="N102">
            <v>19266.72</v>
          </cell>
          <cell r="O102">
            <v>2083</v>
          </cell>
          <cell r="P102">
            <v>2083</v>
          </cell>
          <cell r="Q102">
            <v>8678.4799999999959</v>
          </cell>
          <cell r="R102">
            <v>80278</v>
          </cell>
          <cell r="S102">
            <v>1950</v>
          </cell>
          <cell r="T102">
            <v>1441.6089999999999</v>
          </cell>
          <cell r="U102">
            <v>2316.8230800000001</v>
          </cell>
          <cell r="V102">
            <v>4013.9</v>
          </cell>
          <cell r="W102">
            <v>90000.332079999993</v>
          </cell>
          <cell r="Y102">
            <v>80278</v>
          </cell>
          <cell r="AA102">
            <v>200</v>
          </cell>
          <cell r="AB102">
            <v>1800</v>
          </cell>
          <cell r="AC102">
            <v>283</v>
          </cell>
          <cell r="AE102">
            <v>2283</v>
          </cell>
          <cell r="AF102">
            <v>85767.332079999993</v>
          </cell>
        </row>
        <row r="103">
          <cell r="C103" t="str">
            <v>BITS-675</v>
          </cell>
          <cell r="E103" t="str">
            <v xml:space="preserve">Nikhila Kaveri </v>
          </cell>
          <cell r="F103" t="str">
            <v>HYD SEZ</v>
          </cell>
          <cell r="G103">
            <v>120000</v>
          </cell>
          <cell r="H103">
            <v>108085</v>
          </cell>
          <cell r="I103">
            <v>31</v>
          </cell>
          <cell r="J103">
            <v>31</v>
          </cell>
          <cell r="L103">
            <v>31</v>
          </cell>
          <cell r="M103">
            <v>64851</v>
          </cell>
          <cell r="N103">
            <v>25940.400000000001</v>
          </cell>
          <cell r="O103">
            <v>2083</v>
          </cell>
          <cell r="P103">
            <v>2083</v>
          </cell>
          <cell r="Q103">
            <v>13127.600000000006</v>
          </cell>
          <cell r="R103">
            <v>108085</v>
          </cell>
          <cell r="S103">
            <v>1950</v>
          </cell>
          <cell r="T103">
            <v>1441.6089999999999</v>
          </cell>
          <cell r="U103">
            <v>3119.3330999999998</v>
          </cell>
          <cell r="V103">
            <v>5404.25</v>
          </cell>
          <cell r="W103">
            <v>120000.1921</v>
          </cell>
          <cell r="Y103">
            <v>108085</v>
          </cell>
          <cell r="AA103">
            <v>200</v>
          </cell>
          <cell r="AB103">
            <v>1800</v>
          </cell>
          <cell r="AC103">
            <v>252</v>
          </cell>
          <cell r="AE103">
            <v>2252</v>
          </cell>
          <cell r="AF103">
            <v>115798.1921</v>
          </cell>
        </row>
        <row r="104">
          <cell r="C104" t="str">
            <v>BITS-677</v>
          </cell>
          <cell r="E104" t="str">
            <v>Ashwini Nanaware</v>
          </cell>
          <cell r="F104" t="str">
            <v>PUNE SEZ 2</v>
          </cell>
          <cell r="G104">
            <v>62000</v>
          </cell>
          <cell r="H104">
            <v>54324</v>
          </cell>
          <cell r="I104">
            <v>31</v>
          </cell>
          <cell r="J104">
            <v>31</v>
          </cell>
          <cell r="L104">
            <v>31</v>
          </cell>
          <cell r="M104">
            <v>32594.400000000001</v>
          </cell>
          <cell r="N104">
            <v>13037.760000000002</v>
          </cell>
          <cell r="O104">
            <v>2083</v>
          </cell>
          <cell r="P104">
            <v>2083</v>
          </cell>
          <cell r="Q104">
            <v>4525.8399999999965</v>
          </cell>
          <cell r="R104">
            <v>54324</v>
          </cell>
          <cell r="S104">
            <v>1950</v>
          </cell>
          <cell r="T104">
            <v>1441.6089999999999</v>
          </cell>
          <cell r="U104">
            <v>1567.7906399999999</v>
          </cell>
          <cell r="V104">
            <v>2716.2000000000003</v>
          </cell>
          <cell r="W104">
            <v>61999.599639999993</v>
          </cell>
          <cell r="Y104">
            <v>54324</v>
          </cell>
          <cell r="AA104">
            <v>200</v>
          </cell>
          <cell r="AB104">
            <v>1800</v>
          </cell>
          <cell r="AC104">
            <v>283</v>
          </cell>
          <cell r="AE104">
            <v>2283</v>
          </cell>
          <cell r="AF104">
            <v>57766.599639999993</v>
          </cell>
        </row>
        <row r="105">
          <cell r="C105" t="str">
            <v>BITS-678</v>
          </cell>
          <cell r="E105" t="str">
            <v>Kaushal Sushil Sharma</v>
          </cell>
          <cell r="F105" t="str">
            <v>PUNE SEZ 2</v>
          </cell>
          <cell r="G105">
            <v>70000</v>
          </cell>
          <cell r="H105">
            <v>61740</v>
          </cell>
          <cell r="I105">
            <v>31</v>
          </cell>
          <cell r="J105">
            <v>31</v>
          </cell>
          <cell r="L105">
            <v>31</v>
          </cell>
          <cell r="M105">
            <v>37044</v>
          </cell>
          <cell r="N105">
            <v>14817.6</v>
          </cell>
          <cell r="O105">
            <v>2083</v>
          </cell>
          <cell r="P105">
            <v>2083</v>
          </cell>
          <cell r="Q105">
            <v>5712.4000000000015</v>
          </cell>
          <cell r="R105">
            <v>61740</v>
          </cell>
          <cell r="S105">
            <v>1950</v>
          </cell>
          <cell r="T105">
            <v>1441.6089999999999</v>
          </cell>
          <cell r="U105">
            <v>1781.8163999999999</v>
          </cell>
          <cell r="V105">
            <v>3087</v>
          </cell>
          <cell r="W105">
            <v>70000.425400000007</v>
          </cell>
          <cell r="Y105">
            <v>61740</v>
          </cell>
          <cell r="AA105">
            <v>200</v>
          </cell>
          <cell r="AB105">
            <v>1800</v>
          </cell>
          <cell r="AC105">
            <v>283</v>
          </cell>
          <cell r="AE105">
            <v>2283</v>
          </cell>
          <cell r="AF105">
            <v>65767.425400000007</v>
          </cell>
        </row>
        <row r="106">
          <cell r="C106" t="str">
            <v>BITS-679</v>
          </cell>
          <cell r="E106" t="str">
            <v>Praveen Kumar Tandra</v>
          </cell>
          <cell r="F106" t="str">
            <v>BNG STP</v>
          </cell>
          <cell r="G106">
            <v>110000</v>
          </cell>
          <cell r="H106">
            <v>98816</v>
          </cell>
          <cell r="I106">
            <v>31</v>
          </cell>
          <cell r="J106">
            <v>31</v>
          </cell>
          <cell r="L106">
            <v>31</v>
          </cell>
          <cell r="M106">
            <v>59289.599999999999</v>
          </cell>
          <cell r="N106">
            <v>23715.84</v>
          </cell>
          <cell r="O106">
            <v>2083</v>
          </cell>
          <cell r="P106">
            <v>2083</v>
          </cell>
          <cell r="Q106">
            <v>11644.559999999998</v>
          </cell>
          <cell r="R106">
            <v>98816</v>
          </cell>
          <cell r="S106">
            <v>1950</v>
          </cell>
          <cell r="T106">
            <v>1441.6089999999999</v>
          </cell>
          <cell r="U106">
            <v>2851.8297599999996</v>
          </cell>
          <cell r="V106">
            <v>4940.8</v>
          </cell>
          <cell r="W106">
            <v>110000.23875999999</v>
          </cell>
          <cell r="Y106">
            <v>98816</v>
          </cell>
          <cell r="AA106">
            <v>200</v>
          </cell>
          <cell r="AB106">
            <v>1800</v>
          </cell>
          <cell r="AC106">
            <v>283</v>
          </cell>
          <cell r="AE106">
            <v>2283</v>
          </cell>
          <cell r="AF106">
            <v>105767.23875999999</v>
          </cell>
        </row>
        <row r="107">
          <cell r="C107" t="str">
            <v>BITS-680</v>
          </cell>
          <cell r="E107" t="str">
            <v>Arvind Akhare</v>
          </cell>
          <cell r="F107" t="str">
            <v>PUNE SEZ 2</v>
          </cell>
          <cell r="G107">
            <v>95000</v>
          </cell>
          <cell r="H107">
            <v>84912</v>
          </cell>
          <cell r="I107">
            <v>31</v>
          </cell>
          <cell r="J107">
            <v>31</v>
          </cell>
          <cell r="L107">
            <v>31</v>
          </cell>
          <cell r="M107">
            <v>50947.199999999997</v>
          </cell>
          <cell r="N107">
            <v>20378.88</v>
          </cell>
          <cell r="O107">
            <v>2083</v>
          </cell>
          <cell r="P107">
            <v>2083</v>
          </cell>
          <cell r="Q107">
            <v>9419.9199999999983</v>
          </cell>
          <cell r="R107">
            <v>84912</v>
          </cell>
          <cell r="S107">
            <v>1950</v>
          </cell>
          <cell r="T107">
            <v>1441.6089999999999</v>
          </cell>
          <cell r="U107">
            <v>2450.5603199999996</v>
          </cell>
          <cell r="V107">
            <v>4245.5999999999995</v>
          </cell>
          <cell r="W107">
            <v>94999.769320000007</v>
          </cell>
          <cell r="Y107">
            <v>84912</v>
          </cell>
          <cell r="AA107">
            <v>200</v>
          </cell>
          <cell r="AB107">
            <v>1800</v>
          </cell>
          <cell r="AC107">
            <v>283</v>
          </cell>
          <cell r="AE107">
            <v>2283</v>
          </cell>
          <cell r="AF107">
            <v>90766.769320000007</v>
          </cell>
        </row>
        <row r="108">
          <cell r="C108" t="str">
            <v>BITS-681</v>
          </cell>
          <cell r="E108" t="str">
            <v>Pallavi Rishikesh Naik</v>
          </cell>
          <cell r="F108" t="str">
            <v>PUNE SEZ 2</v>
          </cell>
          <cell r="G108">
            <v>80000</v>
          </cell>
          <cell r="H108">
            <v>71009</v>
          </cell>
          <cell r="I108">
            <v>31</v>
          </cell>
          <cell r="J108">
            <v>31</v>
          </cell>
          <cell r="L108">
            <v>31</v>
          </cell>
          <cell r="M108">
            <v>42605.4</v>
          </cell>
          <cell r="N108">
            <v>17042.16</v>
          </cell>
          <cell r="O108">
            <v>2083</v>
          </cell>
          <cell r="P108">
            <v>2083</v>
          </cell>
          <cell r="Q108">
            <v>7195.4400000000023</v>
          </cell>
          <cell r="R108">
            <v>71009</v>
          </cell>
          <cell r="S108">
            <v>1950</v>
          </cell>
          <cell r="T108">
            <v>1441.6089999999999</v>
          </cell>
          <cell r="U108">
            <v>2049.3197399999999</v>
          </cell>
          <cell r="V108">
            <v>3550.4500000000003</v>
          </cell>
          <cell r="W108">
            <v>80000.37874</v>
          </cell>
          <cell r="Y108">
            <v>71009</v>
          </cell>
          <cell r="AA108">
            <v>200</v>
          </cell>
          <cell r="AB108">
            <v>1800</v>
          </cell>
          <cell r="AC108">
            <v>283</v>
          </cell>
          <cell r="AE108">
            <v>2283</v>
          </cell>
          <cell r="AF108">
            <v>75767.37874</v>
          </cell>
        </row>
        <row r="109">
          <cell r="C109" t="str">
            <v>BITS-682</v>
          </cell>
          <cell r="E109" t="str">
            <v>Ajay Singh</v>
          </cell>
          <cell r="F109" t="str">
            <v>PUNE SEZ 1</v>
          </cell>
          <cell r="G109">
            <v>142000</v>
          </cell>
          <cell r="H109">
            <v>128477</v>
          </cell>
          <cell r="I109">
            <v>31</v>
          </cell>
          <cell r="J109">
            <v>26</v>
          </cell>
          <cell r="K109">
            <v>5</v>
          </cell>
          <cell r="L109">
            <v>27</v>
          </cell>
          <cell r="M109">
            <v>67139.5935483871</v>
          </cell>
          <cell r="N109">
            <v>26855.837419354841</v>
          </cell>
          <cell r="O109">
            <v>1814</v>
          </cell>
          <cell r="P109">
            <v>1814</v>
          </cell>
          <cell r="Q109">
            <v>14275.89161290323</v>
          </cell>
          <cell r="R109">
            <v>111899.32258064517</v>
          </cell>
          <cell r="S109">
            <v>1950</v>
          </cell>
          <cell r="T109">
            <v>1441.6089999999999</v>
          </cell>
          <cell r="U109">
            <v>3229.4144496774188</v>
          </cell>
          <cell r="V109">
            <v>5594.9661290322583</v>
          </cell>
          <cell r="W109">
            <v>124115.31215935484</v>
          </cell>
          <cell r="Y109">
            <v>111899.32258064517</v>
          </cell>
          <cell r="AA109">
            <v>200</v>
          </cell>
          <cell r="AB109">
            <v>1800</v>
          </cell>
          <cell r="AC109">
            <v>283</v>
          </cell>
          <cell r="AE109">
            <v>2283</v>
          </cell>
          <cell r="AF109">
            <v>119881.98957870968</v>
          </cell>
        </row>
        <row r="110">
          <cell r="C110" t="str">
            <v>BITS-683</v>
          </cell>
          <cell r="E110" t="str">
            <v>TUSHAR UCHAGAONKAR</v>
          </cell>
          <cell r="F110" t="str">
            <v>PUNE ASC SEZ</v>
          </cell>
          <cell r="G110">
            <v>87000</v>
          </cell>
          <cell r="H110">
            <v>77497</v>
          </cell>
          <cell r="I110">
            <v>31</v>
          </cell>
          <cell r="J110">
            <v>30</v>
          </cell>
          <cell r="K110">
            <v>1</v>
          </cell>
          <cell r="L110">
            <v>31</v>
          </cell>
          <cell r="M110">
            <v>46498.2</v>
          </cell>
          <cell r="N110">
            <v>18599.28</v>
          </cell>
          <cell r="O110">
            <v>2083</v>
          </cell>
          <cell r="P110">
            <v>2083</v>
          </cell>
          <cell r="Q110">
            <v>8233.5200000000041</v>
          </cell>
          <cell r="R110">
            <v>77497</v>
          </cell>
          <cell r="S110">
            <v>1950</v>
          </cell>
          <cell r="T110">
            <v>1441.6089999999999</v>
          </cell>
          <cell r="U110">
            <v>2236.56342</v>
          </cell>
          <cell r="V110">
            <v>3874.85</v>
          </cell>
          <cell r="W110">
            <v>87000.022420000008</v>
          </cell>
          <cell r="Y110">
            <v>77497</v>
          </cell>
          <cell r="AA110">
            <v>200</v>
          </cell>
          <cell r="AB110">
            <v>1800</v>
          </cell>
          <cell r="AC110">
            <v>283</v>
          </cell>
          <cell r="AE110">
            <v>2283</v>
          </cell>
          <cell r="AF110">
            <v>82767.022420000008</v>
          </cell>
        </row>
        <row r="111">
          <cell r="C111" t="str">
            <v>BITS-684</v>
          </cell>
          <cell r="E111" t="str">
            <v>PRAVEEN M</v>
          </cell>
          <cell r="F111" t="str">
            <v>HYD STP</v>
          </cell>
          <cell r="G111">
            <v>155000</v>
          </cell>
          <cell r="H111">
            <v>140526</v>
          </cell>
          <cell r="I111">
            <v>31</v>
          </cell>
          <cell r="J111">
            <v>31</v>
          </cell>
          <cell r="L111">
            <v>31</v>
          </cell>
          <cell r="M111">
            <v>84315.6</v>
          </cell>
          <cell r="N111">
            <v>33726.240000000005</v>
          </cell>
          <cell r="O111">
            <v>2083</v>
          </cell>
          <cell r="P111">
            <v>2083</v>
          </cell>
          <cell r="Q111">
            <v>18318.159999999989</v>
          </cell>
          <cell r="R111">
            <v>140526</v>
          </cell>
          <cell r="S111">
            <v>1950</v>
          </cell>
          <cell r="T111">
            <v>1441.6089999999999</v>
          </cell>
          <cell r="U111">
            <v>4055.5803600000004</v>
          </cell>
          <cell r="V111">
            <v>7026.3</v>
          </cell>
          <cell r="W111">
            <v>154999.48936000001</v>
          </cell>
          <cell r="Y111">
            <v>140526</v>
          </cell>
          <cell r="AA111">
            <v>200</v>
          </cell>
          <cell r="AB111">
            <v>1800</v>
          </cell>
          <cell r="AC111">
            <v>283</v>
          </cell>
          <cell r="AE111">
            <v>2283</v>
          </cell>
          <cell r="AF111">
            <v>150766.48935999998</v>
          </cell>
        </row>
        <row r="112">
          <cell r="C112" t="str">
            <v>BITS-686</v>
          </cell>
          <cell r="E112" t="str">
            <v>Amit Kumar</v>
          </cell>
          <cell r="F112" t="str">
            <v>PUNE SEZ 2</v>
          </cell>
          <cell r="G112">
            <v>105000</v>
          </cell>
          <cell r="H112">
            <v>94181</v>
          </cell>
          <cell r="I112">
            <v>31</v>
          </cell>
          <cell r="J112">
            <v>30</v>
          </cell>
          <cell r="L112">
            <v>31</v>
          </cell>
          <cell r="M112">
            <v>56508.6</v>
          </cell>
          <cell r="N112">
            <v>22603.440000000002</v>
          </cell>
          <cell r="O112">
            <v>2083</v>
          </cell>
          <cell r="P112">
            <v>2083</v>
          </cell>
          <cell r="Q112">
            <v>10902.959999999992</v>
          </cell>
          <cell r="R112">
            <v>94181</v>
          </cell>
          <cell r="S112">
            <v>1950</v>
          </cell>
          <cell r="T112">
            <v>1441.6089999999999</v>
          </cell>
          <cell r="U112">
            <v>2718.0636599999998</v>
          </cell>
          <cell r="V112">
            <v>4709.05</v>
          </cell>
          <cell r="W112">
            <v>104999.72266</v>
          </cell>
          <cell r="Y112">
            <v>94181</v>
          </cell>
          <cell r="AA112">
            <v>200</v>
          </cell>
          <cell r="AB112">
            <v>1800</v>
          </cell>
          <cell r="AC112">
            <v>283</v>
          </cell>
          <cell r="AE112">
            <v>2283</v>
          </cell>
          <cell r="AF112">
            <v>100766.72266</v>
          </cell>
        </row>
        <row r="113">
          <cell r="C113" t="str">
            <v>BITS-688</v>
          </cell>
          <cell r="E113" t="str">
            <v>Pranav Thakare</v>
          </cell>
          <cell r="F113" t="str">
            <v>PUNE SEZ 2</v>
          </cell>
          <cell r="G113">
            <v>85000</v>
          </cell>
          <cell r="H113">
            <v>75643</v>
          </cell>
          <cell r="I113">
            <v>31</v>
          </cell>
          <cell r="J113">
            <v>29</v>
          </cell>
          <cell r="L113">
            <v>29</v>
          </cell>
          <cell r="M113">
            <v>42457.683870967747</v>
          </cell>
          <cell r="N113">
            <v>16983.073548387099</v>
          </cell>
          <cell r="O113">
            <v>1949</v>
          </cell>
          <cell r="P113">
            <v>1949</v>
          </cell>
          <cell r="Q113">
            <v>7424.049032258059</v>
          </cell>
          <cell r="R113">
            <v>70762.806451612909</v>
          </cell>
          <cell r="S113">
            <v>1950</v>
          </cell>
          <cell r="T113">
            <v>1441.6089999999999</v>
          </cell>
          <cell r="U113">
            <v>2042.2145941935485</v>
          </cell>
          <cell r="V113">
            <v>3538.1403225806457</v>
          </cell>
          <cell r="W113">
            <v>79734.770368387093</v>
          </cell>
          <cell r="Y113">
            <v>70762.806451612909</v>
          </cell>
          <cell r="AA113">
            <v>200</v>
          </cell>
          <cell r="AB113">
            <v>1800</v>
          </cell>
          <cell r="AE113">
            <v>2000</v>
          </cell>
          <cell r="AF113">
            <v>75784.963916774184</v>
          </cell>
        </row>
        <row r="114">
          <cell r="C114" t="str">
            <v>BITS-689</v>
          </cell>
          <cell r="E114" t="str">
            <v>Nagarjun KV</v>
          </cell>
          <cell r="F114" t="str">
            <v>BNG STP</v>
          </cell>
          <cell r="G114">
            <v>85000</v>
          </cell>
          <cell r="H114">
            <v>75643</v>
          </cell>
          <cell r="I114">
            <v>31</v>
          </cell>
          <cell r="J114">
            <v>29</v>
          </cell>
          <cell r="L114">
            <v>29</v>
          </cell>
          <cell r="M114">
            <v>42457.683870967747</v>
          </cell>
          <cell r="N114">
            <v>16983.073548387099</v>
          </cell>
          <cell r="O114">
            <v>1949</v>
          </cell>
          <cell r="P114">
            <v>1949</v>
          </cell>
          <cell r="Q114">
            <v>7424.049032258059</v>
          </cell>
          <cell r="R114">
            <v>70762.806451612909</v>
          </cell>
          <cell r="S114">
            <v>1950</v>
          </cell>
          <cell r="T114">
            <v>1441.6089999999999</v>
          </cell>
          <cell r="U114">
            <v>2042.2145941935485</v>
          </cell>
          <cell r="V114">
            <v>3538.1403225806457</v>
          </cell>
          <cell r="W114">
            <v>79734.770368387093</v>
          </cell>
          <cell r="Y114">
            <v>70762.806451612909</v>
          </cell>
          <cell r="AA114">
            <v>200</v>
          </cell>
          <cell r="AB114">
            <v>1800</v>
          </cell>
          <cell r="AE114">
            <v>2000</v>
          </cell>
          <cell r="AF114">
            <v>75784.963916774184</v>
          </cell>
        </row>
        <row r="115">
          <cell r="C115" t="str">
            <v>BITS-690</v>
          </cell>
          <cell r="E115" t="str">
            <v>Thaposh Ghosh</v>
          </cell>
          <cell r="F115" t="str">
            <v>HYD SEZ</v>
          </cell>
          <cell r="G115">
            <v>155000</v>
          </cell>
          <cell r="H115">
            <v>140526</v>
          </cell>
          <cell r="I115">
            <v>31</v>
          </cell>
          <cell r="J115">
            <v>29</v>
          </cell>
          <cell r="L115">
            <v>29</v>
          </cell>
          <cell r="M115">
            <v>78875.883870967751</v>
          </cell>
          <cell r="N115">
            <v>31550.353548387102</v>
          </cell>
          <cell r="O115">
            <v>1949</v>
          </cell>
          <cell r="P115">
            <v>1949</v>
          </cell>
          <cell r="Q115">
            <v>17135.569032258063</v>
          </cell>
          <cell r="R115">
            <v>131459.80645161291</v>
          </cell>
          <cell r="S115">
            <v>1950</v>
          </cell>
          <cell r="T115">
            <v>1441.6089999999999</v>
          </cell>
          <cell r="U115">
            <v>3793.9300141935487</v>
          </cell>
          <cell r="V115">
            <v>6572.9903225806456</v>
          </cell>
          <cell r="W115">
            <v>145218.33578838711</v>
          </cell>
          <cell r="Y115">
            <v>131459.80645161291</v>
          </cell>
          <cell r="AA115">
            <v>200</v>
          </cell>
          <cell r="AB115">
            <v>1800</v>
          </cell>
          <cell r="AE115">
            <v>2000</v>
          </cell>
          <cell r="AF115">
            <v>141268.5293367742</v>
          </cell>
        </row>
        <row r="116">
          <cell r="C116" t="str">
            <v>BITS-691</v>
          </cell>
          <cell r="E116" t="str">
            <v xml:space="preserve">Boopathi Palani </v>
          </cell>
          <cell r="F116" t="str">
            <v>BNG STP</v>
          </cell>
          <cell r="G116">
            <v>85000</v>
          </cell>
          <cell r="H116">
            <v>75643</v>
          </cell>
          <cell r="I116">
            <v>31</v>
          </cell>
          <cell r="J116">
            <v>29</v>
          </cell>
          <cell r="L116">
            <v>29</v>
          </cell>
          <cell r="M116">
            <v>42457.683870967747</v>
          </cell>
          <cell r="N116">
            <v>16983.073548387099</v>
          </cell>
          <cell r="O116">
            <v>1949</v>
          </cell>
          <cell r="P116">
            <v>1949</v>
          </cell>
          <cell r="Q116">
            <v>7424.049032258059</v>
          </cell>
          <cell r="R116">
            <v>70762.806451612909</v>
          </cell>
          <cell r="S116">
            <v>1950</v>
          </cell>
          <cell r="T116">
            <v>1441.6089999999999</v>
          </cell>
          <cell r="U116">
            <v>2042.2145941935485</v>
          </cell>
          <cell r="V116">
            <v>3538.1403225806457</v>
          </cell>
          <cell r="W116">
            <v>79734.770368387093</v>
          </cell>
          <cell r="Y116">
            <v>70762.806451612909</v>
          </cell>
          <cell r="AA116">
            <v>200</v>
          </cell>
          <cell r="AB116">
            <v>1800</v>
          </cell>
          <cell r="AE116">
            <v>2000</v>
          </cell>
          <cell r="AF116">
            <v>75784.963916774184</v>
          </cell>
        </row>
        <row r="117">
          <cell r="C117" t="str">
            <v>BITS-692</v>
          </cell>
          <cell r="E117" t="str">
            <v>Sneha Hande</v>
          </cell>
          <cell r="F117" t="str">
            <v>PUNE ASC SEZ</v>
          </cell>
          <cell r="G117">
            <v>58000</v>
          </cell>
          <cell r="H117">
            <v>50617</v>
          </cell>
          <cell r="I117">
            <v>31</v>
          </cell>
          <cell r="J117">
            <v>27</v>
          </cell>
          <cell r="L117">
            <v>27</v>
          </cell>
          <cell r="M117">
            <v>26451.464516129032</v>
          </cell>
          <cell r="N117">
            <v>10580.585806451614</v>
          </cell>
          <cell r="O117">
            <v>1814</v>
          </cell>
          <cell r="P117">
            <v>1814</v>
          </cell>
          <cell r="Q117">
            <v>3425.7238709677404</v>
          </cell>
          <cell r="R117">
            <v>44085.774193548386</v>
          </cell>
          <cell r="S117">
            <v>1950</v>
          </cell>
          <cell r="T117">
            <v>1441.6089999999999</v>
          </cell>
          <cell r="U117">
            <v>1272.3154432258063</v>
          </cell>
          <cell r="V117">
            <v>2204.2887096774193</v>
          </cell>
          <cell r="W117">
            <v>50953.987346451613</v>
          </cell>
          <cell r="Y117">
            <v>44085.774193548386</v>
          </cell>
          <cell r="AA117">
            <v>200</v>
          </cell>
          <cell r="AB117">
            <v>1800</v>
          </cell>
          <cell r="AE117">
            <v>2000</v>
          </cell>
          <cell r="AF117">
            <v>47004.213152903227</v>
          </cell>
        </row>
        <row r="118">
          <cell r="C118" t="str">
            <v>BITS-693</v>
          </cell>
          <cell r="E118" t="str">
            <v>JNANESWARARAO G</v>
          </cell>
          <cell r="F118" t="str">
            <v>BNG STP</v>
          </cell>
          <cell r="G118">
            <v>108000</v>
          </cell>
          <cell r="H118">
            <v>96962</v>
          </cell>
          <cell r="I118">
            <v>31</v>
          </cell>
          <cell r="J118">
            <v>31</v>
          </cell>
          <cell r="L118">
            <v>31</v>
          </cell>
          <cell r="M118">
            <v>58177.2</v>
          </cell>
          <cell r="N118">
            <v>23270.880000000001</v>
          </cell>
          <cell r="O118">
            <v>2083</v>
          </cell>
          <cell r="P118">
            <v>2083</v>
          </cell>
          <cell r="Q118">
            <v>11347.919999999998</v>
          </cell>
          <cell r="R118">
            <v>96962</v>
          </cell>
          <cell r="S118">
            <v>1950</v>
          </cell>
          <cell r="T118">
            <v>1441.6089999999999</v>
          </cell>
          <cell r="U118">
            <v>2798.3233199999995</v>
          </cell>
          <cell r="V118">
            <v>4848.0999999999995</v>
          </cell>
          <cell r="W118">
            <v>108000.03232</v>
          </cell>
          <cell r="Y118">
            <v>96962</v>
          </cell>
          <cell r="AA118">
            <v>200</v>
          </cell>
          <cell r="AB118">
            <v>1800</v>
          </cell>
          <cell r="AE118">
            <v>2000</v>
          </cell>
          <cell r="AF118">
            <v>104050.03232</v>
          </cell>
        </row>
        <row r="119">
          <cell r="C119" t="str">
            <v>BITS-694</v>
          </cell>
          <cell r="E119" t="str">
            <v>Asita Kumar Sahoo</v>
          </cell>
          <cell r="F119" t="str">
            <v>PUNE SEZ 2</v>
          </cell>
          <cell r="G119">
            <v>60000</v>
          </cell>
          <cell r="H119">
            <v>52471</v>
          </cell>
          <cell r="I119">
            <v>31</v>
          </cell>
          <cell r="J119">
            <v>26</v>
          </cell>
          <cell r="L119">
            <v>26</v>
          </cell>
          <cell r="M119">
            <v>26404.761290322578</v>
          </cell>
          <cell r="N119">
            <v>10561.904516129032</v>
          </cell>
          <cell r="O119">
            <v>1747</v>
          </cell>
          <cell r="P119">
            <v>1747</v>
          </cell>
          <cell r="Q119">
            <v>3547.269677419361</v>
          </cell>
          <cell r="R119">
            <v>44007.93548387097</v>
          </cell>
          <cell r="S119">
            <v>1950</v>
          </cell>
          <cell r="T119">
            <v>1441.6089999999999</v>
          </cell>
          <cell r="U119">
            <v>1270.0690180645158</v>
          </cell>
          <cell r="V119">
            <v>2200.396774193548</v>
          </cell>
          <cell r="W119">
            <v>50870.010276129033</v>
          </cell>
          <cell r="Y119">
            <v>44007.93548387097</v>
          </cell>
          <cell r="AA119">
            <v>200</v>
          </cell>
          <cell r="AB119">
            <v>1800</v>
          </cell>
          <cell r="AE119">
            <v>2000</v>
          </cell>
          <cell r="AF119">
            <v>46920.074792258063</v>
          </cell>
        </row>
        <row r="120">
          <cell r="C120" t="str">
            <v>BITS-695</v>
          </cell>
          <cell r="E120" t="str">
            <v>Nagashree Narayan</v>
          </cell>
          <cell r="F120" t="str">
            <v>HYD SEZ</v>
          </cell>
          <cell r="G120">
            <v>110000</v>
          </cell>
          <cell r="H120">
            <v>98816</v>
          </cell>
          <cell r="I120">
            <v>31</v>
          </cell>
          <cell r="J120">
            <v>22</v>
          </cell>
          <cell r="L120">
            <v>22</v>
          </cell>
          <cell r="M120">
            <v>42076.490322580648</v>
          </cell>
          <cell r="N120">
            <v>16830.596129032259</v>
          </cell>
          <cell r="O120">
            <v>1478</v>
          </cell>
          <cell r="P120">
            <v>1478</v>
          </cell>
          <cell r="Q120">
            <v>8264.3974193548347</v>
          </cell>
          <cell r="R120">
            <v>70127.483870967742</v>
          </cell>
          <cell r="S120">
            <v>1950</v>
          </cell>
          <cell r="T120">
            <v>1441.6089999999999</v>
          </cell>
          <cell r="U120">
            <v>2023.879184516129</v>
          </cell>
          <cell r="V120">
            <v>3506.3741935483872</v>
          </cell>
          <cell r="W120">
            <v>79049.346249032256</v>
          </cell>
          <cell r="Y120">
            <v>70127.483870967742</v>
          </cell>
          <cell r="AA120">
            <v>200</v>
          </cell>
          <cell r="AB120">
            <v>1800</v>
          </cell>
          <cell r="AE120">
            <v>2000</v>
          </cell>
          <cell r="AF120">
            <v>75098.862378064514</v>
          </cell>
        </row>
        <row r="121">
          <cell r="C121" t="str">
            <v>BITS-696</v>
          </cell>
          <cell r="E121" t="str">
            <v>Amarnath Reddy</v>
          </cell>
          <cell r="F121" t="str">
            <v>Chennai SEZ</v>
          </cell>
          <cell r="G121">
            <v>130000</v>
          </cell>
          <cell r="H121">
            <v>117354</v>
          </cell>
          <cell r="I121">
            <v>31</v>
          </cell>
          <cell r="J121">
            <v>15</v>
          </cell>
          <cell r="L121">
            <v>15</v>
          </cell>
          <cell r="M121">
            <v>34070.516129032258</v>
          </cell>
          <cell r="N121">
            <v>13628.206451612903</v>
          </cell>
          <cell r="O121">
            <v>1008</v>
          </cell>
          <cell r="P121">
            <v>1008</v>
          </cell>
          <cell r="Q121">
            <v>7069.4709677419378</v>
          </cell>
          <cell r="R121">
            <v>56784.193548387098</v>
          </cell>
          <cell r="T121">
            <v>1441.6089999999999</v>
          </cell>
          <cell r="U121">
            <v>1638.7918258064515</v>
          </cell>
          <cell r="V121">
            <v>2839.2096774193546</v>
          </cell>
          <cell r="W121">
            <v>62703.804051612904</v>
          </cell>
          <cell r="Y121">
            <v>56784.193548387098</v>
          </cell>
          <cell r="AA121">
            <v>200</v>
          </cell>
          <cell r="AE121">
            <v>200</v>
          </cell>
          <cell r="AF121">
            <v>62503.610503225806</v>
          </cell>
        </row>
        <row r="122">
          <cell r="C122" t="str">
            <v>BITS-697</v>
          </cell>
          <cell r="E122" t="str">
            <v> Rajesh Dhumal</v>
          </cell>
          <cell r="F122" t="str">
            <v>PUNE SEZ 1</v>
          </cell>
          <cell r="G122">
            <v>84000</v>
          </cell>
          <cell r="H122">
            <v>74716</v>
          </cell>
          <cell r="I122">
            <v>31</v>
          </cell>
          <cell r="J122">
            <v>14</v>
          </cell>
          <cell r="L122">
            <v>14</v>
          </cell>
          <cell r="M122">
            <v>20245.625806451615</v>
          </cell>
          <cell r="N122">
            <v>8098.2503225806468</v>
          </cell>
          <cell r="O122">
            <v>941</v>
          </cell>
          <cell r="P122">
            <v>941</v>
          </cell>
          <cell r="Q122">
            <v>3516.8335483870942</v>
          </cell>
          <cell r="R122">
            <v>33742.709677419356</v>
          </cell>
          <cell r="S122">
            <v>1950</v>
          </cell>
          <cell r="T122">
            <v>1441.6089999999999</v>
          </cell>
          <cell r="U122">
            <v>973.81460129032257</v>
          </cell>
          <cell r="V122">
            <v>1687.1354838709678</v>
          </cell>
          <cell r="W122">
            <v>39795.268762580643</v>
          </cell>
          <cell r="Y122">
            <v>33742.709677419356</v>
          </cell>
          <cell r="AA122">
            <v>200</v>
          </cell>
          <cell r="AB122">
            <v>1800</v>
          </cell>
          <cell r="AE122">
            <v>2000</v>
          </cell>
          <cell r="AF122">
            <v>35845.559085161287</v>
          </cell>
        </row>
        <row r="123">
          <cell r="C123" t="str">
            <v>BITS-698</v>
          </cell>
          <cell r="E123" t="str">
            <v xml:space="preserve">Amol Gole </v>
          </cell>
          <cell r="F123" t="str">
            <v>PUNE ASC SEZ</v>
          </cell>
          <cell r="G123">
            <v>75000</v>
          </cell>
          <cell r="H123">
            <v>66374</v>
          </cell>
          <cell r="I123">
            <v>31</v>
          </cell>
          <cell r="J123">
            <v>14</v>
          </cell>
          <cell r="L123">
            <v>14</v>
          </cell>
          <cell r="M123">
            <v>17985.212903225805</v>
          </cell>
          <cell r="N123">
            <v>7194.0851612903225</v>
          </cell>
          <cell r="O123">
            <v>941</v>
          </cell>
          <cell r="P123">
            <v>941</v>
          </cell>
          <cell r="Q123">
            <v>2914.0567741935483</v>
          </cell>
          <cell r="R123">
            <v>29975.354838709678</v>
          </cell>
          <cell r="S123">
            <v>1950</v>
          </cell>
          <cell r="T123">
            <v>1441.6089999999999</v>
          </cell>
          <cell r="U123">
            <v>865.08874064516112</v>
          </cell>
          <cell r="V123">
            <v>1498.7677419354839</v>
          </cell>
          <cell r="W123">
            <v>35730.820321290317</v>
          </cell>
          <cell r="Y123">
            <v>29975.354838709678</v>
          </cell>
          <cell r="AA123">
            <v>200</v>
          </cell>
          <cell r="AB123">
            <v>1800</v>
          </cell>
          <cell r="AE123">
            <v>2000</v>
          </cell>
          <cell r="AF123">
            <v>31780.465482580646</v>
          </cell>
        </row>
        <row r="124">
          <cell r="C124" t="str">
            <v>BITS-699</v>
          </cell>
          <cell r="E124" t="str">
            <v>Srinivasa Rao yellaneni</v>
          </cell>
          <cell r="F124" t="str">
            <v>BNG SEZ</v>
          </cell>
          <cell r="G124">
            <v>150000</v>
          </cell>
          <cell r="H124">
            <v>135892</v>
          </cell>
          <cell r="I124">
            <v>31</v>
          </cell>
          <cell r="J124">
            <v>1</v>
          </cell>
          <cell r="L124">
            <v>1</v>
          </cell>
          <cell r="M124">
            <v>2630.1677419354842</v>
          </cell>
          <cell r="N124">
            <v>1052.0670967741937</v>
          </cell>
          <cell r="O124">
            <v>67</v>
          </cell>
          <cell r="P124">
            <v>67</v>
          </cell>
          <cell r="Q124">
            <v>567.37806451612869</v>
          </cell>
          <cell r="R124">
            <v>4383.6129032258068</v>
          </cell>
          <cell r="S124">
            <v>341.92180645161295</v>
          </cell>
          <cell r="T124">
            <v>1441.6089999999999</v>
          </cell>
          <cell r="U124">
            <v>126.51106838709678</v>
          </cell>
          <cell r="V124">
            <v>219.18064516129036</v>
          </cell>
          <cell r="W124">
            <v>6512.8354232258071</v>
          </cell>
          <cell r="Y124">
            <v>4383.6129032258068</v>
          </cell>
          <cell r="AA124">
            <v>0</v>
          </cell>
          <cell r="AB124">
            <v>316</v>
          </cell>
          <cell r="AE124">
            <v>316</v>
          </cell>
          <cell r="AF124">
            <v>5855.3007135483876</v>
          </cell>
        </row>
        <row r="125">
          <cell r="C125" t="str">
            <v>BITS-700</v>
          </cell>
          <cell r="E125" t="str">
            <v>Sandeep Dixit</v>
          </cell>
          <cell r="F125" t="str">
            <v>PUNE ASC SEZ</v>
          </cell>
          <cell r="G125">
            <v>190000</v>
          </cell>
          <cell r="H125">
            <v>172968</v>
          </cell>
          <cell r="I125">
            <v>31</v>
          </cell>
          <cell r="J125">
            <v>1</v>
          </cell>
          <cell r="L125">
            <v>1</v>
          </cell>
          <cell r="M125">
            <v>3347.7677419354841</v>
          </cell>
          <cell r="N125">
            <v>1339.1070967741937</v>
          </cell>
          <cell r="O125">
            <v>67</v>
          </cell>
          <cell r="P125">
            <v>67</v>
          </cell>
          <cell r="Q125">
            <v>758.73806451612927</v>
          </cell>
          <cell r="R125">
            <v>5579.6129032258068</v>
          </cell>
          <cell r="S125">
            <v>435.20980645161296</v>
          </cell>
          <cell r="T125">
            <v>1441.6089999999999</v>
          </cell>
          <cell r="U125">
            <v>161.02762838709677</v>
          </cell>
          <cell r="V125">
            <v>278.98064516129034</v>
          </cell>
          <cell r="W125">
            <v>7896.4399832258077</v>
          </cell>
          <cell r="Y125">
            <v>5579.6129032258068</v>
          </cell>
          <cell r="AA125">
            <v>0</v>
          </cell>
          <cell r="AB125">
            <v>402</v>
          </cell>
          <cell r="AE125">
            <v>402</v>
          </cell>
          <cell r="AF125">
            <v>7059.6172735483879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MARCH- 2022"/>
      <sheetName val="Emp Details "/>
      <sheetName val="kaja Venkat Ragavendra"/>
      <sheetName val="Venegella Kanaka durga"/>
      <sheetName val="Ayyappa Kopparapu "/>
      <sheetName val="Moeenahmed Shakilahmed Shaikh"/>
      <sheetName val="AKASH DEEP CHUNAP "/>
      <sheetName val="Jagdish Salian "/>
      <sheetName val="Parteek Arora"/>
      <sheetName val="Gaunda Mohammad Arief"/>
      <sheetName val="KRANTHI KUMAR VEDULLA"/>
      <sheetName val="Vipin U.N"/>
      <sheetName val="VeerendraBabu Galam"/>
      <sheetName val="SatishKumar Dhandu"/>
      <sheetName val="RAMBABU PYDI"/>
      <sheetName val="Sudhir Perka"/>
      <sheetName val="Haneef"/>
      <sheetName val="Ramesh Baira"/>
      <sheetName val="Nilesh Baviskar"/>
      <sheetName val="Ved Prakash"/>
      <sheetName val="GauravVispute"/>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athishKumar V"/>
      <sheetName val="Madan"/>
      <sheetName val="Kutagolla Mohazzer"/>
      <sheetName val="Sachin Ameshram"/>
      <sheetName val="Naresh Subbarajulu "/>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Swati Bhattachary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Rohit Kamble"/>
      <sheetName val="Inturi Ramakrishna"/>
      <sheetName val="D.Santhoshi"/>
      <sheetName val="Bharath"/>
      <sheetName val="NEERUDU SAI KUMAR"/>
      <sheetName val="Ramineni Abhilash"/>
      <sheetName val="Sheet29"/>
    </sheetNames>
    <sheetDataSet>
      <sheetData sheetId="0" refreshError="1">
        <row r="13">
          <cell r="C13" t="str">
            <v>BITS-542</v>
          </cell>
          <cell r="D13">
            <v>2108578</v>
          </cell>
          <cell r="E13" t="str">
            <v>Haneef</v>
          </cell>
          <cell r="F13" t="str">
            <v>PUNE ASC SEZ</v>
          </cell>
          <cell r="G13">
            <v>70000</v>
          </cell>
          <cell r="H13">
            <v>61740</v>
          </cell>
          <cell r="I13">
            <v>31</v>
          </cell>
          <cell r="J13">
            <v>15</v>
          </cell>
          <cell r="K13">
            <v>16</v>
          </cell>
          <cell r="L13">
            <v>16</v>
          </cell>
          <cell r="M13">
            <v>19119.483870967742</v>
          </cell>
          <cell r="N13">
            <v>7647.793548387097</v>
          </cell>
          <cell r="O13">
            <v>1075</v>
          </cell>
          <cell r="P13">
            <v>1075</v>
          </cell>
          <cell r="Q13">
            <v>2948.5290322580622</v>
          </cell>
          <cell r="R13">
            <v>31865.806451612902</v>
          </cell>
          <cell r="S13">
            <v>1950</v>
          </cell>
          <cell r="T13">
            <v>1441.6089999999999</v>
          </cell>
          <cell r="U13">
            <v>919.64717419354827</v>
          </cell>
          <cell r="V13">
            <v>1593.2903225806451</v>
          </cell>
          <cell r="W13">
            <v>37770.352948387095</v>
          </cell>
          <cell r="Y13">
            <v>31865.806451612902</v>
          </cell>
          <cell r="Z13">
            <v>1837</v>
          </cell>
          <cell r="AA13">
            <v>200</v>
          </cell>
          <cell r="AB13">
            <v>1800</v>
          </cell>
          <cell r="AC13">
            <v>391.787848</v>
          </cell>
          <cell r="AE13">
            <v>4228.7878479999999</v>
          </cell>
          <cell r="AF13">
            <v>31591.546496774194</v>
          </cell>
        </row>
        <row r="14">
          <cell r="C14" t="str">
            <v>BITS-556</v>
          </cell>
          <cell r="E14" t="str">
            <v>Nilesh Baviskar 16-3-2022</v>
          </cell>
          <cell r="F14" t="str">
            <v>PUNE ASC SEZ</v>
          </cell>
          <cell r="G14">
            <v>77000</v>
          </cell>
          <cell r="H14">
            <v>68228</v>
          </cell>
          <cell r="I14">
            <v>31</v>
          </cell>
          <cell r="J14">
            <v>16</v>
          </cell>
          <cell r="L14">
            <v>16</v>
          </cell>
          <cell r="M14">
            <v>21128.670967741935</v>
          </cell>
          <cell r="N14">
            <v>8451.4683870967747</v>
          </cell>
          <cell r="O14">
            <v>1075</v>
          </cell>
          <cell r="P14">
            <v>1075</v>
          </cell>
          <cell r="Q14">
            <v>3484.3122580645177</v>
          </cell>
          <cell r="R14">
            <v>35214.451612903227</v>
          </cell>
          <cell r="S14">
            <v>1950</v>
          </cell>
          <cell r="T14">
            <v>1441.6089999999999</v>
          </cell>
          <cell r="U14">
            <v>1016.2890735483869</v>
          </cell>
          <cell r="V14">
            <v>1760.7225806451613</v>
          </cell>
          <cell r="W14">
            <v>41383.072267096781</v>
          </cell>
          <cell r="Y14">
            <v>35214.451612903227</v>
          </cell>
          <cell r="Z14">
            <v>3232</v>
          </cell>
          <cell r="AA14">
            <v>200</v>
          </cell>
          <cell r="AB14">
            <v>1800</v>
          </cell>
          <cell r="AC14">
            <v>391.787848</v>
          </cell>
          <cell r="AE14">
            <v>5623.7878479999999</v>
          </cell>
          <cell r="AF14">
            <v>33809.620654193546</v>
          </cell>
        </row>
        <row r="15">
          <cell r="C15" t="str">
            <v>BITS-557</v>
          </cell>
          <cell r="D15">
            <v>2109800</v>
          </cell>
          <cell r="E15" t="str">
            <v>Ved Prakash</v>
          </cell>
          <cell r="F15" t="str">
            <v>PUNE ASC SEZ</v>
          </cell>
          <cell r="G15">
            <v>80000</v>
          </cell>
          <cell r="H15">
            <v>71009</v>
          </cell>
          <cell r="I15">
            <v>31</v>
          </cell>
          <cell r="J15">
            <v>30</v>
          </cell>
          <cell r="K15">
            <v>1</v>
          </cell>
          <cell r="L15">
            <v>31</v>
          </cell>
          <cell r="M15">
            <v>42605.4</v>
          </cell>
          <cell r="N15">
            <v>17042.16</v>
          </cell>
          <cell r="O15">
            <v>2083</v>
          </cell>
          <cell r="P15">
            <v>2083</v>
          </cell>
          <cell r="Q15">
            <v>7195.4400000000023</v>
          </cell>
          <cell r="R15">
            <v>71009</v>
          </cell>
          <cell r="S15">
            <v>1950</v>
          </cell>
          <cell r="T15">
            <v>1441.6089999999999</v>
          </cell>
          <cell r="U15">
            <v>2049.3197399999999</v>
          </cell>
          <cell r="V15">
            <v>3550.4500000000003</v>
          </cell>
          <cell r="W15">
            <v>80000.37874</v>
          </cell>
          <cell r="Y15">
            <v>71009</v>
          </cell>
          <cell r="Z15">
            <v>3744</v>
          </cell>
          <cell r="AA15">
            <v>200</v>
          </cell>
          <cell r="AB15">
            <v>1800</v>
          </cell>
          <cell r="AC15">
            <v>440.76132899999999</v>
          </cell>
          <cell r="AE15">
            <v>6184.7613289999999</v>
          </cell>
          <cell r="AF15">
            <v>71865.37874</v>
          </cell>
        </row>
        <row r="16">
          <cell r="C16" t="str">
            <v>BITS-559</v>
          </cell>
          <cell r="D16">
            <v>2110592</v>
          </cell>
          <cell r="E16" t="str">
            <v>GauravVispute</v>
          </cell>
          <cell r="F16" t="str">
            <v>PUNE ASC SEZ</v>
          </cell>
          <cell r="G16">
            <v>50000</v>
          </cell>
          <cell r="H16">
            <v>43202</v>
          </cell>
          <cell r="I16">
            <v>31</v>
          </cell>
          <cell r="J16">
            <v>31</v>
          </cell>
          <cell r="L16">
            <v>31</v>
          </cell>
          <cell r="M16">
            <v>25921.200000000001</v>
          </cell>
          <cell r="N16">
            <v>10368.480000000001</v>
          </cell>
          <cell r="O16">
            <v>2083</v>
          </cell>
          <cell r="P16">
            <v>2083</v>
          </cell>
          <cell r="Q16">
            <v>2746.3199999999997</v>
          </cell>
          <cell r="R16">
            <v>43202</v>
          </cell>
          <cell r="S16">
            <v>1950</v>
          </cell>
          <cell r="T16">
            <v>1441.6089999999999</v>
          </cell>
          <cell r="U16">
            <v>1246.80972</v>
          </cell>
          <cell r="V16">
            <v>2160.1</v>
          </cell>
          <cell r="W16">
            <v>50000.518719999993</v>
          </cell>
          <cell r="Y16">
            <v>43202</v>
          </cell>
          <cell r="AA16">
            <v>200</v>
          </cell>
          <cell r="AB16">
            <v>1800</v>
          </cell>
          <cell r="AC16">
            <v>391.787848</v>
          </cell>
          <cell r="AE16">
            <v>2391.7878479999999</v>
          </cell>
          <cell r="AF16">
            <v>45658.518719999993</v>
          </cell>
        </row>
        <row r="17">
          <cell r="C17" t="str">
            <v>BITS-564</v>
          </cell>
          <cell r="D17">
            <v>2110635</v>
          </cell>
          <cell r="E17" t="str">
            <v>Amith a</v>
          </cell>
          <cell r="F17" t="str">
            <v>PUNE STP</v>
          </cell>
          <cell r="G17">
            <v>65000</v>
          </cell>
          <cell r="H17">
            <v>57105</v>
          </cell>
          <cell r="I17">
            <v>31</v>
          </cell>
          <cell r="J17">
            <v>30</v>
          </cell>
          <cell r="K17">
            <v>1</v>
          </cell>
          <cell r="L17">
            <v>31</v>
          </cell>
          <cell r="M17">
            <v>34263</v>
          </cell>
          <cell r="N17">
            <v>13705.2</v>
          </cell>
          <cell r="O17">
            <v>2083</v>
          </cell>
          <cell r="P17">
            <v>2083</v>
          </cell>
          <cell r="Q17">
            <v>4970.8000000000029</v>
          </cell>
          <cell r="R17">
            <v>57105</v>
          </cell>
          <cell r="S17">
            <v>1950</v>
          </cell>
          <cell r="T17">
            <v>1441.6089999999999</v>
          </cell>
          <cell r="U17">
            <v>1648.0502999999999</v>
          </cell>
          <cell r="V17">
            <v>2855.25</v>
          </cell>
          <cell r="W17">
            <v>64999.909299999999</v>
          </cell>
          <cell r="Y17">
            <v>57105</v>
          </cell>
          <cell r="AA17">
            <v>200</v>
          </cell>
          <cell r="AB17">
            <v>1800</v>
          </cell>
          <cell r="AC17">
            <v>440.76132899999999</v>
          </cell>
          <cell r="AE17">
            <v>2440.7613289999999</v>
          </cell>
          <cell r="AF17">
            <v>60608.909299999999</v>
          </cell>
        </row>
        <row r="18">
          <cell r="C18" t="str">
            <v>BITS-565</v>
          </cell>
          <cell r="D18">
            <v>2110700</v>
          </cell>
          <cell r="E18" t="str">
            <v>RajasekharReddy KN</v>
          </cell>
          <cell r="F18" t="str">
            <v>BNG STP</v>
          </cell>
          <cell r="G18">
            <v>75000</v>
          </cell>
          <cell r="H18">
            <v>66374</v>
          </cell>
          <cell r="I18">
            <v>31</v>
          </cell>
          <cell r="J18">
            <v>29</v>
          </cell>
          <cell r="K18">
            <v>2</v>
          </cell>
          <cell r="L18">
            <v>30</v>
          </cell>
          <cell r="M18">
            <v>38539.741935483871</v>
          </cell>
          <cell r="N18">
            <v>15415.896774193548</v>
          </cell>
          <cell r="O18">
            <v>2016</v>
          </cell>
          <cell r="P18">
            <v>2016</v>
          </cell>
          <cell r="Q18">
            <v>6245.2645161290347</v>
          </cell>
          <cell r="R18">
            <v>64232.903225806454</v>
          </cell>
          <cell r="S18">
            <v>1950</v>
          </cell>
          <cell r="T18">
            <v>1441.6089999999999</v>
          </cell>
          <cell r="U18">
            <v>1853.7615870967741</v>
          </cell>
          <cell r="V18">
            <v>3211.6451612903224</v>
          </cell>
          <cell r="W18">
            <v>72689.918974193541</v>
          </cell>
          <cell r="Y18">
            <v>64232.903225806454</v>
          </cell>
          <cell r="Z18">
            <v>2682</v>
          </cell>
          <cell r="AA18">
            <v>200</v>
          </cell>
          <cell r="AB18">
            <v>1800</v>
          </cell>
          <cell r="AC18">
            <v>391.787848</v>
          </cell>
          <cell r="AE18">
            <v>5073.7878479999999</v>
          </cell>
          <cell r="AF18">
            <v>65666.015748387086</v>
          </cell>
        </row>
        <row r="19">
          <cell r="C19" t="str">
            <v>BITS-566</v>
          </cell>
          <cell r="D19">
            <v>2110684</v>
          </cell>
          <cell r="E19" t="str">
            <v>Moulika GM</v>
          </cell>
          <cell r="F19" t="str">
            <v>BNG STP</v>
          </cell>
          <cell r="G19">
            <v>25000</v>
          </cell>
          <cell r="H19">
            <v>20029</v>
          </cell>
          <cell r="I19">
            <v>31</v>
          </cell>
          <cell r="J19">
            <v>31</v>
          </cell>
          <cell r="L19">
            <v>31</v>
          </cell>
          <cell r="M19">
            <v>12017.4</v>
          </cell>
          <cell r="N19">
            <v>4806.96</v>
          </cell>
          <cell r="O19">
            <v>2083</v>
          </cell>
          <cell r="P19">
            <v>2083</v>
          </cell>
          <cell r="Q19">
            <v>-961.36000000000058</v>
          </cell>
          <cell r="R19">
            <v>20029</v>
          </cell>
          <cell r="S19">
            <v>1562.2619999999999</v>
          </cell>
          <cell r="T19">
            <v>1441.6089999999999</v>
          </cell>
          <cell r="U19">
            <v>578.03693999999996</v>
          </cell>
          <cell r="V19">
            <v>1001.4499999999999</v>
          </cell>
          <cell r="W19">
            <v>24612.357939999998</v>
          </cell>
          <cell r="Y19">
            <v>20029</v>
          </cell>
          <cell r="AA19">
            <v>200</v>
          </cell>
          <cell r="AB19">
            <v>1442</v>
          </cell>
          <cell r="AC19">
            <v>391.787848</v>
          </cell>
          <cell r="AE19">
            <v>2033.7878479999999</v>
          </cell>
          <cell r="AF19">
            <v>21016.095940000003</v>
          </cell>
        </row>
        <row r="20">
          <cell r="C20" t="str">
            <v>BITS-567</v>
          </cell>
          <cell r="D20">
            <v>2110899</v>
          </cell>
          <cell r="E20" t="str">
            <v>AsokKumar J</v>
          </cell>
          <cell r="F20" t="str">
            <v>BNG STP</v>
          </cell>
          <cell r="G20">
            <v>135000</v>
          </cell>
          <cell r="H20">
            <v>121988</v>
          </cell>
          <cell r="I20">
            <v>31</v>
          </cell>
          <cell r="J20">
            <v>30</v>
          </cell>
          <cell r="K20">
            <v>1</v>
          </cell>
          <cell r="L20">
            <v>31</v>
          </cell>
          <cell r="M20">
            <v>73192.800000000003</v>
          </cell>
          <cell r="N20">
            <v>29277.120000000003</v>
          </cell>
          <cell r="O20">
            <v>2083</v>
          </cell>
          <cell r="P20">
            <v>2083</v>
          </cell>
          <cell r="Q20">
            <v>15352.079999999987</v>
          </cell>
          <cell r="R20">
            <v>121988</v>
          </cell>
          <cell r="S20">
            <v>1950</v>
          </cell>
          <cell r="T20">
            <v>1441.6089999999999</v>
          </cell>
          <cell r="U20">
            <v>3520.5736799999995</v>
          </cell>
          <cell r="V20">
            <v>6099.4000000000005</v>
          </cell>
          <cell r="W20">
            <v>134999.58267999999</v>
          </cell>
          <cell r="Y20">
            <v>121988</v>
          </cell>
          <cell r="Z20">
            <v>25607</v>
          </cell>
          <cell r="AA20">
            <v>200</v>
          </cell>
          <cell r="AB20">
            <v>1800</v>
          </cell>
          <cell r="AC20">
            <v>391.787848</v>
          </cell>
          <cell r="AE20">
            <v>27998.787848</v>
          </cell>
          <cell r="AF20">
            <v>105050.58267999999</v>
          </cell>
        </row>
        <row r="21">
          <cell r="C21" t="str">
            <v>BITS-568</v>
          </cell>
          <cell r="D21">
            <v>2110947</v>
          </cell>
          <cell r="E21" t="str">
            <v>RUKNUDEEN S</v>
          </cell>
          <cell r="F21" t="str">
            <v>HYD SEZ</v>
          </cell>
          <cell r="G21">
            <v>100000</v>
          </cell>
          <cell r="H21">
            <v>89547</v>
          </cell>
          <cell r="I21">
            <v>31</v>
          </cell>
          <cell r="J21">
            <v>31</v>
          </cell>
          <cell r="L21">
            <v>31</v>
          </cell>
          <cell r="M21">
            <v>53728.2</v>
          </cell>
          <cell r="N21">
            <v>21491.279999999999</v>
          </cell>
          <cell r="O21">
            <v>2083</v>
          </cell>
          <cell r="P21">
            <v>2083</v>
          </cell>
          <cell r="Q21">
            <v>10161.520000000004</v>
          </cell>
          <cell r="R21">
            <v>89547</v>
          </cell>
          <cell r="S21">
            <v>1950</v>
          </cell>
          <cell r="T21">
            <v>1441.6089999999999</v>
          </cell>
          <cell r="U21">
            <v>2584.3264199999994</v>
          </cell>
          <cell r="V21">
            <v>4477.3499999999995</v>
          </cell>
          <cell r="W21">
            <v>100000.28542</v>
          </cell>
          <cell r="Y21">
            <v>89547</v>
          </cell>
          <cell r="Z21">
            <v>8328</v>
          </cell>
          <cell r="AA21">
            <v>200</v>
          </cell>
          <cell r="AB21">
            <v>1800</v>
          </cell>
          <cell r="AC21">
            <v>391.787848</v>
          </cell>
          <cell r="AE21">
            <v>10719.787848</v>
          </cell>
          <cell r="AF21">
            <v>87330.28542</v>
          </cell>
        </row>
        <row r="22">
          <cell r="C22" t="str">
            <v>BITS-569</v>
          </cell>
          <cell r="D22">
            <v>2110966</v>
          </cell>
          <cell r="E22" t="str">
            <v>Rajesh Kongara</v>
          </cell>
          <cell r="F22" t="str">
            <v>BNG SEZ</v>
          </cell>
          <cell r="G22">
            <v>130000</v>
          </cell>
          <cell r="H22">
            <v>117354</v>
          </cell>
          <cell r="I22">
            <v>31</v>
          </cell>
          <cell r="J22">
            <v>30</v>
          </cell>
          <cell r="K22">
            <v>1</v>
          </cell>
          <cell r="L22">
            <v>31</v>
          </cell>
          <cell r="M22">
            <v>70412.399999999994</v>
          </cell>
          <cell r="N22">
            <v>28164.959999999999</v>
          </cell>
          <cell r="O22">
            <v>2083</v>
          </cell>
          <cell r="P22">
            <v>2083</v>
          </cell>
          <cell r="Q22">
            <v>14610.640000000014</v>
          </cell>
          <cell r="R22">
            <v>117354</v>
          </cell>
          <cell r="S22">
            <v>1950</v>
          </cell>
          <cell r="T22">
            <v>1441.6089999999999</v>
          </cell>
          <cell r="U22">
            <v>3386.8364399999996</v>
          </cell>
          <cell r="V22">
            <v>5867.7</v>
          </cell>
          <cell r="W22">
            <v>130000.14543999999</v>
          </cell>
          <cell r="Y22">
            <v>117354</v>
          </cell>
          <cell r="Z22">
            <v>15443</v>
          </cell>
          <cell r="AA22">
            <v>200</v>
          </cell>
          <cell r="AB22">
            <v>1800</v>
          </cell>
          <cell r="AC22">
            <v>391.787848</v>
          </cell>
          <cell r="AE22">
            <v>17834.787848</v>
          </cell>
          <cell r="AF22">
            <v>110215.14543999999</v>
          </cell>
        </row>
        <row r="23">
          <cell r="C23" t="str">
            <v>BITS-572</v>
          </cell>
          <cell r="D23">
            <v>2111448</v>
          </cell>
          <cell r="E23" t="str">
            <v>Yarramaddu Raveendra Reddy</v>
          </cell>
          <cell r="F23" t="str">
            <v>PUNE SEZ 1</v>
          </cell>
          <cell r="G23">
            <v>70000</v>
          </cell>
          <cell r="H23">
            <v>61740</v>
          </cell>
          <cell r="I23">
            <v>31</v>
          </cell>
          <cell r="J23">
            <v>31</v>
          </cell>
          <cell r="L23">
            <v>31</v>
          </cell>
          <cell r="M23">
            <v>37044</v>
          </cell>
          <cell r="N23">
            <v>14817.6</v>
          </cell>
          <cell r="O23">
            <v>2083</v>
          </cell>
          <cell r="P23">
            <v>2083</v>
          </cell>
          <cell r="Q23">
            <v>5712.4000000000015</v>
          </cell>
          <cell r="R23">
            <v>61740</v>
          </cell>
          <cell r="S23">
            <v>1950</v>
          </cell>
          <cell r="T23">
            <v>1441.6089999999999</v>
          </cell>
          <cell r="U23">
            <v>1781.8163999999999</v>
          </cell>
          <cell r="V23">
            <v>3087</v>
          </cell>
          <cell r="W23">
            <v>70000.425400000007</v>
          </cell>
          <cell r="Y23">
            <v>61740</v>
          </cell>
          <cell r="AA23">
            <v>200</v>
          </cell>
          <cell r="AB23">
            <v>1800</v>
          </cell>
          <cell r="AC23">
            <v>391.787848</v>
          </cell>
          <cell r="AE23">
            <v>2391.7878479999999</v>
          </cell>
          <cell r="AF23">
            <v>65658.425400000007</v>
          </cell>
        </row>
        <row r="24">
          <cell r="C24" t="str">
            <v>BITS-574</v>
          </cell>
          <cell r="E24" t="str">
            <v>Naresh Kandhula</v>
          </cell>
          <cell r="F24" t="str">
            <v>Mumbai</v>
          </cell>
          <cell r="G24">
            <v>125000</v>
          </cell>
          <cell r="H24">
            <v>112719</v>
          </cell>
          <cell r="I24">
            <v>31</v>
          </cell>
          <cell r="J24">
            <v>31</v>
          </cell>
          <cell r="L24">
            <v>31</v>
          </cell>
          <cell r="M24">
            <v>67631.399999999994</v>
          </cell>
          <cell r="N24">
            <v>27052.559999999998</v>
          </cell>
          <cell r="O24">
            <v>2083</v>
          </cell>
          <cell r="P24">
            <v>2083</v>
          </cell>
          <cell r="Q24">
            <v>13869.040000000008</v>
          </cell>
          <cell r="R24">
            <v>112719</v>
          </cell>
          <cell r="S24">
            <v>1950</v>
          </cell>
          <cell r="T24">
            <v>1441.6089999999999</v>
          </cell>
          <cell r="U24">
            <v>3253.0703399999993</v>
          </cell>
          <cell r="V24">
            <v>5635.95</v>
          </cell>
          <cell r="W24">
            <v>124999.62934</v>
          </cell>
          <cell r="X24">
            <v>4032</v>
          </cell>
          <cell r="Y24">
            <v>116751</v>
          </cell>
          <cell r="AA24">
            <v>200</v>
          </cell>
          <cell r="AB24">
            <v>1800</v>
          </cell>
          <cell r="AC24">
            <v>440.76132899999999</v>
          </cell>
          <cell r="AE24">
            <v>2440.7613289999999</v>
          </cell>
          <cell r="AF24">
            <v>124640.62934</v>
          </cell>
        </row>
        <row r="25">
          <cell r="C25" t="str">
            <v>BITS-575</v>
          </cell>
          <cell r="E25" t="str">
            <v>Reno Vijayan</v>
          </cell>
          <cell r="F25" t="str">
            <v>BNG STP</v>
          </cell>
          <cell r="G25">
            <v>70000</v>
          </cell>
          <cell r="H25">
            <v>61740</v>
          </cell>
          <cell r="I25">
            <v>31</v>
          </cell>
          <cell r="J25">
            <v>31</v>
          </cell>
          <cell r="L25">
            <v>31</v>
          </cell>
          <cell r="M25">
            <v>37044</v>
          </cell>
          <cell r="N25">
            <v>14817.6</v>
          </cell>
          <cell r="O25">
            <v>2083</v>
          </cell>
          <cell r="P25">
            <v>2083</v>
          </cell>
          <cell r="Q25">
            <v>5712.4000000000015</v>
          </cell>
          <cell r="R25">
            <v>61740</v>
          </cell>
          <cell r="S25">
            <v>1950</v>
          </cell>
          <cell r="T25">
            <v>1441.6089999999999</v>
          </cell>
          <cell r="U25">
            <v>1781.8163999999999</v>
          </cell>
          <cell r="V25">
            <v>3087</v>
          </cell>
          <cell r="W25">
            <v>70000.425400000007</v>
          </cell>
          <cell r="Y25">
            <v>61740</v>
          </cell>
          <cell r="AA25">
            <v>200</v>
          </cell>
          <cell r="AB25">
            <v>1800</v>
          </cell>
          <cell r="AC25">
            <v>391.787848</v>
          </cell>
          <cell r="AE25">
            <v>2391.7878479999999</v>
          </cell>
          <cell r="AF25">
            <v>65658.425400000007</v>
          </cell>
        </row>
        <row r="26">
          <cell r="C26" t="str">
            <v>BITS-577</v>
          </cell>
          <cell r="D26">
            <v>2112033</v>
          </cell>
          <cell r="E26" t="str">
            <v>Majed Khan</v>
          </cell>
          <cell r="F26" t="str">
            <v>BNG STP</v>
          </cell>
          <cell r="G26">
            <v>150000</v>
          </cell>
          <cell r="H26">
            <v>135892</v>
          </cell>
          <cell r="I26">
            <v>31</v>
          </cell>
          <cell r="J26">
            <v>31</v>
          </cell>
          <cell r="L26">
            <v>31</v>
          </cell>
          <cell r="M26">
            <v>81535.199999999997</v>
          </cell>
          <cell r="N26">
            <v>32614.080000000002</v>
          </cell>
          <cell r="O26">
            <v>2083</v>
          </cell>
          <cell r="P26">
            <v>2083</v>
          </cell>
          <cell r="Q26">
            <v>17576.72</v>
          </cell>
          <cell r="R26">
            <v>135892</v>
          </cell>
          <cell r="S26">
            <v>1950</v>
          </cell>
          <cell r="T26">
            <v>1441.6089999999999</v>
          </cell>
          <cell r="U26">
            <v>3921.8431199999995</v>
          </cell>
          <cell r="V26">
            <v>6794.5999999999995</v>
          </cell>
          <cell r="W26">
            <v>150000.05212000001</v>
          </cell>
          <cell r="Y26">
            <v>135892</v>
          </cell>
          <cell r="Z26">
            <v>17230</v>
          </cell>
          <cell r="AA26">
            <v>200</v>
          </cell>
          <cell r="AB26">
            <v>1800</v>
          </cell>
          <cell r="AC26">
            <v>391.787848</v>
          </cell>
          <cell r="AE26">
            <v>19621.787848</v>
          </cell>
          <cell r="AF26">
            <v>128428.05212000001</v>
          </cell>
        </row>
        <row r="27">
          <cell r="C27" t="str">
            <v>BITS-582</v>
          </cell>
          <cell r="E27" t="str">
            <v>SathishKumar V 11-3-2022</v>
          </cell>
          <cell r="F27" t="str">
            <v>BNG STP</v>
          </cell>
          <cell r="G27">
            <v>130000</v>
          </cell>
          <cell r="H27">
            <v>117354</v>
          </cell>
          <cell r="I27">
            <v>31</v>
          </cell>
          <cell r="J27">
            <v>31</v>
          </cell>
          <cell r="L27">
            <v>31</v>
          </cell>
          <cell r="M27">
            <v>70412.399999999994</v>
          </cell>
          <cell r="N27">
            <v>28164.959999999999</v>
          </cell>
          <cell r="O27">
            <v>2083</v>
          </cell>
          <cell r="P27">
            <v>2083</v>
          </cell>
          <cell r="Q27">
            <v>14610.640000000014</v>
          </cell>
          <cell r="R27">
            <v>117354</v>
          </cell>
          <cell r="S27">
            <v>1950</v>
          </cell>
          <cell r="T27">
            <v>1441.6089999999999</v>
          </cell>
          <cell r="U27">
            <v>3386.8364399999996</v>
          </cell>
          <cell r="V27">
            <v>5867.7</v>
          </cell>
          <cell r="W27">
            <v>130000.14543999999</v>
          </cell>
          <cell r="Y27">
            <v>117354</v>
          </cell>
          <cell r="AA27">
            <v>200</v>
          </cell>
          <cell r="AB27">
            <v>1800</v>
          </cell>
          <cell r="AC27">
            <v>391.787848</v>
          </cell>
          <cell r="AE27">
            <v>2391.7878479999999</v>
          </cell>
          <cell r="AF27">
            <v>125658.14543999999</v>
          </cell>
        </row>
        <row r="28">
          <cell r="C28" t="str">
            <v>BITS-587</v>
          </cell>
          <cell r="E28" t="str">
            <v>Madan</v>
          </cell>
          <cell r="F28" t="str">
            <v>BNG STP</v>
          </cell>
          <cell r="G28">
            <v>105000</v>
          </cell>
          <cell r="H28">
            <v>94181</v>
          </cell>
          <cell r="I28">
            <v>31</v>
          </cell>
          <cell r="J28">
            <v>31</v>
          </cell>
          <cell r="L28">
            <v>31</v>
          </cell>
          <cell r="M28">
            <v>56508.6</v>
          </cell>
          <cell r="N28">
            <v>22603.440000000002</v>
          </cell>
          <cell r="O28">
            <v>2083</v>
          </cell>
          <cell r="P28">
            <v>2083</v>
          </cell>
          <cell r="Q28">
            <v>10902.959999999992</v>
          </cell>
          <cell r="R28">
            <v>94181</v>
          </cell>
          <cell r="S28">
            <v>1950</v>
          </cell>
          <cell r="T28">
            <v>1441.6089999999999</v>
          </cell>
          <cell r="U28">
            <v>2718.0636599999998</v>
          </cell>
          <cell r="V28">
            <v>4709.05</v>
          </cell>
          <cell r="W28">
            <v>104999.72266</v>
          </cell>
          <cell r="Y28">
            <v>94181</v>
          </cell>
          <cell r="Z28">
            <v>7527</v>
          </cell>
          <cell r="AA28">
            <v>200</v>
          </cell>
          <cell r="AB28">
            <v>1800</v>
          </cell>
          <cell r="AC28">
            <v>391.787848</v>
          </cell>
          <cell r="AE28">
            <v>9918.7878479999999</v>
          </cell>
          <cell r="AF28">
            <v>93130.722659999999</v>
          </cell>
        </row>
        <row r="29">
          <cell r="C29" t="str">
            <v>BITS-588</v>
          </cell>
          <cell r="E29" t="str">
            <v>Kutagolla Mohazzer 31-3-2022</v>
          </cell>
          <cell r="F29" t="str">
            <v>BNG STP</v>
          </cell>
          <cell r="G29">
            <v>75000</v>
          </cell>
          <cell r="H29">
            <v>66374</v>
          </cell>
          <cell r="I29">
            <v>31</v>
          </cell>
          <cell r="J29">
            <v>31</v>
          </cell>
          <cell r="L29">
            <v>31</v>
          </cell>
          <cell r="M29">
            <v>39824.400000000001</v>
          </cell>
          <cell r="N29">
            <v>15929.760000000002</v>
          </cell>
          <cell r="O29">
            <v>2083</v>
          </cell>
          <cell r="P29">
            <v>2083</v>
          </cell>
          <cell r="Q29">
            <v>6453.8399999999965</v>
          </cell>
          <cell r="R29">
            <v>66374</v>
          </cell>
          <cell r="S29">
            <v>1950</v>
          </cell>
          <cell r="T29">
            <v>1441.6089999999999</v>
          </cell>
          <cell r="U29">
            <v>1915.5536400000001</v>
          </cell>
          <cell r="V29">
            <v>3318.7000000000003</v>
          </cell>
          <cell r="W29">
            <v>74999.862639999992</v>
          </cell>
          <cell r="Y29">
            <v>66374</v>
          </cell>
          <cell r="AA29">
            <v>200</v>
          </cell>
          <cell r="AB29">
            <v>1800</v>
          </cell>
          <cell r="AC29">
            <v>391.787848</v>
          </cell>
          <cell r="AE29">
            <v>2391.7878479999999</v>
          </cell>
          <cell r="AF29">
            <v>70657.862639999992</v>
          </cell>
        </row>
        <row r="30">
          <cell r="C30" t="str">
            <v>BITS-592</v>
          </cell>
          <cell r="E30" t="str">
            <v>Sachin Ameshram</v>
          </cell>
          <cell r="F30" t="str">
            <v>BNG STP</v>
          </cell>
          <cell r="G30">
            <v>95000</v>
          </cell>
          <cell r="H30">
            <v>84912</v>
          </cell>
          <cell r="I30">
            <v>31</v>
          </cell>
          <cell r="J30">
            <v>30</v>
          </cell>
          <cell r="L30">
            <v>31</v>
          </cell>
          <cell r="M30">
            <v>50947.199999999997</v>
          </cell>
          <cell r="N30">
            <v>20378.88</v>
          </cell>
          <cell r="O30">
            <v>2083</v>
          </cell>
          <cell r="P30">
            <v>2083</v>
          </cell>
          <cell r="Q30">
            <v>9419.9199999999983</v>
          </cell>
          <cell r="R30">
            <v>84912</v>
          </cell>
          <cell r="S30">
            <v>1950</v>
          </cell>
          <cell r="T30">
            <v>1441.6089999999999</v>
          </cell>
          <cell r="U30">
            <v>2450.5603199999996</v>
          </cell>
          <cell r="V30">
            <v>4245.5999999999995</v>
          </cell>
          <cell r="W30">
            <v>94999.769320000007</v>
          </cell>
          <cell r="Y30">
            <v>84912</v>
          </cell>
          <cell r="Z30">
            <v>4800</v>
          </cell>
          <cell r="AA30">
            <v>200</v>
          </cell>
          <cell r="AB30">
            <v>1800</v>
          </cell>
          <cell r="AC30">
            <v>391.787848</v>
          </cell>
          <cell r="AE30">
            <v>7191.7878479999999</v>
          </cell>
          <cell r="AF30">
            <v>85857.769320000007</v>
          </cell>
        </row>
        <row r="31">
          <cell r="C31" t="str">
            <v>BITS-597</v>
          </cell>
          <cell r="E31" t="str">
            <v>Srikanth Thota</v>
          </cell>
          <cell r="F31" t="str">
            <v>HYD SEZ</v>
          </cell>
          <cell r="G31">
            <v>115000</v>
          </cell>
          <cell r="H31">
            <v>103451</v>
          </cell>
          <cell r="I31">
            <v>31</v>
          </cell>
          <cell r="J31">
            <v>31</v>
          </cell>
          <cell r="L31">
            <v>31</v>
          </cell>
          <cell r="M31">
            <v>62070.6</v>
          </cell>
          <cell r="N31">
            <v>24828.240000000002</v>
          </cell>
          <cell r="O31">
            <v>2083</v>
          </cell>
          <cell r="P31">
            <v>2083</v>
          </cell>
          <cell r="Q31">
            <v>12386.160000000003</v>
          </cell>
          <cell r="R31">
            <v>103451</v>
          </cell>
          <cell r="S31">
            <v>1950</v>
          </cell>
          <cell r="T31">
            <v>1441.6089999999999</v>
          </cell>
          <cell r="U31">
            <v>2985.5958599999994</v>
          </cell>
          <cell r="V31">
            <v>5172.55</v>
          </cell>
          <cell r="W31">
            <v>115000.75486</v>
          </cell>
          <cell r="Y31">
            <v>103451</v>
          </cell>
          <cell r="Z31">
            <v>9924</v>
          </cell>
          <cell r="AA31">
            <v>200</v>
          </cell>
          <cell r="AB31">
            <v>1800</v>
          </cell>
          <cell r="AC31">
            <v>377</v>
          </cell>
          <cell r="AE31">
            <v>12301</v>
          </cell>
          <cell r="AF31">
            <v>100749.75486</v>
          </cell>
        </row>
        <row r="32">
          <cell r="C32" t="str">
            <v>BITS-600</v>
          </cell>
          <cell r="E32" t="str">
            <v>Shekhar Panchal</v>
          </cell>
          <cell r="F32" t="str">
            <v>HYD SEZ</v>
          </cell>
          <cell r="G32">
            <v>75000</v>
          </cell>
          <cell r="H32">
            <v>66374</v>
          </cell>
          <cell r="I32">
            <v>31</v>
          </cell>
          <cell r="J32">
            <v>31</v>
          </cell>
          <cell r="L32">
            <v>31</v>
          </cell>
          <cell r="M32">
            <v>39824.400000000001</v>
          </cell>
          <cell r="N32">
            <v>15929.760000000002</v>
          </cell>
          <cell r="O32">
            <v>2083</v>
          </cell>
          <cell r="P32">
            <v>2083</v>
          </cell>
          <cell r="Q32">
            <v>6453.8399999999965</v>
          </cell>
          <cell r="R32">
            <v>66374</v>
          </cell>
          <cell r="S32">
            <v>1950</v>
          </cell>
          <cell r="T32">
            <v>1441.6089999999999</v>
          </cell>
          <cell r="U32">
            <v>1915.5536400000001</v>
          </cell>
          <cell r="V32">
            <v>3318.7000000000003</v>
          </cell>
          <cell r="W32">
            <v>74999.862639999992</v>
          </cell>
          <cell r="Y32">
            <v>66374</v>
          </cell>
          <cell r="AA32">
            <v>200</v>
          </cell>
          <cell r="AB32">
            <v>1800</v>
          </cell>
          <cell r="AC32">
            <v>336</v>
          </cell>
          <cell r="AE32">
            <v>2336</v>
          </cell>
          <cell r="AF32">
            <v>70713.862639999992</v>
          </cell>
        </row>
        <row r="33">
          <cell r="C33" t="str">
            <v>BITS-602</v>
          </cell>
          <cell r="E33" t="str">
            <v>Girish Bandi</v>
          </cell>
          <cell r="F33" t="str">
            <v>BNG SEZ</v>
          </cell>
          <cell r="G33">
            <v>80000</v>
          </cell>
          <cell r="H33">
            <v>71009</v>
          </cell>
          <cell r="I33">
            <v>31</v>
          </cell>
          <cell r="J33">
            <v>30</v>
          </cell>
          <cell r="K33">
            <v>1</v>
          </cell>
          <cell r="L33">
            <v>31</v>
          </cell>
          <cell r="M33">
            <v>42605.4</v>
          </cell>
          <cell r="N33">
            <v>17042.16</v>
          </cell>
          <cell r="O33">
            <v>2083</v>
          </cell>
          <cell r="P33">
            <v>2083</v>
          </cell>
          <cell r="Q33">
            <v>7195.4400000000023</v>
          </cell>
          <cell r="R33">
            <v>71009</v>
          </cell>
          <cell r="S33">
            <v>1950</v>
          </cell>
          <cell r="T33">
            <v>1441.6089999999999</v>
          </cell>
          <cell r="U33">
            <v>2049.3197399999999</v>
          </cell>
          <cell r="V33">
            <v>3550.4500000000003</v>
          </cell>
          <cell r="W33">
            <v>80000.37874</v>
          </cell>
          <cell r="Y33">
            <v>71009</v>
          </cell>
          <cell r="AA33">
            <v>200</v>
          </cell>
          <cell r="AB33">
            <v>1800</v>
          </cell>
          <cell r="AC33">
            <v>335</v>
          </cell>
          <cell r="AE33">
            <v>2335</v>
          </cell>
          <cell r="AF33">
            <v>75715.37874</v>
          </cell>
        </row>
        <row r="34">
          <cell r="C34" t="str">
            <v>BITS-603</v>
          </cell>
          <cell r="E34" t="str">
            <v>DESIR KOIPURATH 25-3-2022</v>
          </cell>
          <cell r="F34" t="str">
            <v>PUNE SEZ 2</v>
          </cell>
          <cell r="G34">
            <v>112000</v>
          </cell>
          <cell r="H34">
            <v>100670</v>
          </cell>
          <cell r="I34">
            <v>31</v>
          </cell>
          <cell r="J34">
            <v>25</v>
          </cell>
          <cell r="L34">
            <v>25</v>
          </cell>
          <cell r="M34">
            <v>48711.290322580644</v>
          </cell>
          <cell r="N34">
            <v>19484.516129032258</v>
          </cell>
          <cell r="O34">
            <v>1680</v>
          </cell>
          <cell r="P34">
            <v>1680</v>
          </cell>
          <cell r="Q34">
            <v>9629.6774193548335</v>
          </cell>
          <cell r="R34">
            <v>81185.483870967742</v>
          </cell>
          <cell r="S34">
            <v>1950</v>
          </cell>
          <cell r="T34">
            <v>1441.6089999999999</v>
          </cell>
          <cell r="U34">
            <v>2343.0130645161289</v>
          </cell>
          <cell r="V34">
            <v>4059.2741935483868</v>
          </cell>
          <cell r="W34">
            <v>90979.380129032259</v>
          </cell>
          <cell r="Y34">
            <v>81185.483870967742</v>
          </cell>
          <cell r="Z34">
            <v>7200</v>
          </cell>
          <cell r="AA34">
            <v>200</v>
          </cell>
          <cell r="AB34">
            <v>1800</v>
          </cell>
          <cell r="AC34">
            <v>378</v>
          </cell>
          <cell r="AE34">
            <v>9578</v>
          </cell>
          <cell r="AF34">
            <v>79450.896258064517</v>
          </cell>
        </row>
        <row r="35">
          <cell r="C35" t="str">
            <v>BITS-605</v>
          </cell>
          <cell r="E35" t="str">
            <v>Chitra Kulkarni</v>
          </cell>
          <cell r="F35" t="str">
            <v>PUNE SEZ 1</v>
          </cell>
          <cell r="G35">
            <v>92000</v>
          </cell>
          <cell r="H35">
            <v>82132</v>
          </cell>
          <cell r="I35">
            <v>31</v>
          </cell>
          <cell r="J35">
            <v>31</v>
          </cell>
          <cell r="L35">
            <v>31</v>
          </cell>
          <cell r="M35">
            <v>49279.199999999997</v>
          </cell>
          <cell r="N35">
            <v>19711.68</v>
          </cell>
          <cell r="O35">
            <v>2083</v>
          </cell>
          <cell r="P35">
            <v>2083</v>
          </cell>
          <cell r="Q35">
            <v>8975.1199999999953</v>
          </cell>
          <cell r="R35">
            <v>82132</v>
          </cell>
          <cell r="S35">
            <v>1950</v>
          </cell>
          <cell r="T35">
            <v>1441.6089999999999</v>
          </cell>
          <cell r="U35">
            <v>2370.3295199999998</v>
          </cell>
          <cell r="V35">
            <v>4106.5999999999995</v>
          </cell>
          <cell r="W35">
            <v>92000.538520000002</v>
          </cell>
          <cell r="Y35">
            <v>82132</v>
          </cell>
          <cell r="Z35">
            <v>1772</v>
          </cell>
          <cell r="AA35">
            <v>200</v>
          </cell>
          <cell r="AB35">
            <v>1800</v>
          </cell>
          <cell r="AC35">
            <v>335</v>
          </cell>
          <cell r="AE35">
            <v>4107</v>
          </cell>
          <cell r="AF35">
            <v>85943.538520000002</v>
          </cell>
        </row>
        <row r="36">
          <cell r="C36" t="str">
            <v>BITS-606</v>
          </cell>
          <cell r="E36" t="str">
            <v>Barathiyar A</v>
          </cell>
          <cell r="F36" t="str">
            <v>BNG STP</v>
          </cell>
          <cell r="G36">
            <v>67000</v>
          </cell>
          <cell r="H36">
            <v>58959</v>
          </cell>
          <cell r="I36">
            <v>31</v>
          </cell>
          <cell r="J36">
            <v>31</v>
          </cell>
          <cell r="L36">
            <v>31</v>
          </cell>
          <cell r="M36">
            <v>35375.4</v>
          </cell>
          <cell r="N36">
            <v>14150.160000000002</v>
          </cell>
          <cell r="O36">
            <v>2083</v>
          </cell>
          <cell r="P36">
            <v>2083</v>
          </cell>
          <cell r="Q36">
            <v>5267.4399999999951</v>
          </cell>
          <cell r="R36">
            <v>58959</v>
          </cell>
          <cell r="S36">
            <v>1950</v>
          </cell>
          <cell r="T36">
            <v>1441.6089999999999</v>
          </cell>
          <cell r="U36">
            <v>1701.55674</v>
          </cell>
          <cell r="V36">
            <v>2947.9500000000003</v>
          </cell>
          <cell r="W36">
            <v>67000.115739999994</v>
          </cell>
          <cell r="Y36">
            <v>58959</v>
          </cell>
          <cell r="AA36">
            <v>200</v>
          </cell>
          <cell r="AB36">
            <v>1800</v>
          </cell>
          <cell r="AC36">
            <v>335</v>
          </cell>
          <cell r="AE36">
            <v>2335</v>
          </cell>
          <cell r="AF36">
            <v>62715.115739999994</v>
          </cell>
        </row>
        <row r="37">
          <cell r="C37" t="str">
            <v>BITS-607</v>
          </cell>
          <cell r="E37" t="str">
            <v>Kumaravel M</v>
          </cell>
          <cell r="F37" t="str">
            <v>BNG STP</v>
          </cell>
          <cell r="G37">
            <v>55000</v>
          </cell>
          <cell r="H37">
            <v>47836</v>
          </cell>
          <cell r="I37">
            <v>31</v>
          </cell>
          <cell r="J37">
            <v>31</v>
          </cell>
          <cell r="L37">
            <v>31</v>
          </cell>
          <cell r="M37">
            <v>28701.599999999999</v>
          </cell>
          <cell r="N37">
            <v>11480.64</v>
          </cell>
          <cell r="O37">
            <v>2083</v>
          </cell>
          <cell r="P37">
            <v>2083</v>
          </cell>
          <cell r="Q37">
            <v>3487.760000000002</v>
          </cell>
          <cell r="R37">
            <v>47836</v>
          </cell>
          <cell r="S37">
            <v>1950</v>
          </cell>
          <cell r="T37">
            <v>1441.6089999999999</v>
          </cell>
          <cell r="U37">
            <v>1380.5469599999999</v>
          </cell>
          <cell r="V37">
            <v>2391.7999999999997</v>
          </cell>
          <cell r="W37">
            <v>54999.955959999999</v>
          </cell>
          <cell r="Y37">
            <v>47836</v>
          </cell>
          <cell r="AA37">
            <v>200</v>
          </cell>
          <cell r="AB37">
            <v>1800</v>
          </cell>
          <cell r="AC37">
            <v>335</v>
          </cell>
          <cell r="AE37">
            <v>2335</v>
          </cell>
          <cell r="AF37">
            <v>50714.955959999999</v>
          </cell>
        </row>
        <row r="38">
          <cell r="C38" t="str">
            <v>BITS-609</v>
          </cell>
          <cell r="E38" t="str">
            <v>CHANDRASEHARAN GERORGE</v>
          </cell>
          <cell r="F38" t="str">
            <v>BNG STP</v>
          </cell>
          <cell r="G38">
            <v>58000</v>
          </cell>
          <cell r="H38">
            <v>50617</v>
          </cell>
          <cell r="I38">
            <v>31</v>
          </cell>
          <cell r="J38">
            <v>31</v>
          </cell>
          <cell r="L38">
            <v>31</v>
          </cell>
          <cell r="M38">
            <v>30370.2</v>
          </cell>
          <cell r="N38">
            <v>12148.080000000002</v>
          </cell>
          <cell r="O38">
            <v>2083</v>
          </cell>
          <cell r="P38">
            <v>2083</v>
          </cell>
          <cell r="Q38">
            <v>3932.7200000000012</v>
          </cell>
          <cell r="R38">
            <v>50617</v>
          </cell>
          <cell r="S38">
            <v>1950</v>
          </cell>
          <cell r="T38">
            <v>1441.6089999999999</v>
          </cell>
          <cell r="U38">
            <v>1460.8066199999998</v>
          </cell>
          <cell r="V38">
            <v>2530.85</v>
          </cell>
          <cell r="W38">
            <v>58000.265619999998</v>
          </cell>
          <cell r="Y38">
            <v>50617</v>
          </cell>
          <cell r="AA38">
            <v>200</v>
          </cell>
          <cell r="AB38">
            <v>1800</v>
          </cell>
          <cell r="AC38">
            <v>335</v>
          </cell>
          <cell r="AE38">
            <v>2335</v>
          </cell>
          <cell r="AF38">
            <v>53715.265619999998</v>
          </cell>
        </row>
        <row r="39">
          <cell r="C39" t="str">
            <v>BITS-610</v>
          </cell>
          <cell r="E39" t="str">
            <v>Kannan Selvakumar</v>
          </cell>
          <cell r="F39" t="str">
            <v>BNG STP</v>
          </cell>
          <cell r="G39">
            <v>65000</v>
          </cell>
          <cell r="H39">
            <v>57105</v>
          </cell>
          <cell r="I39">
            <v>31</v>
          </cell>
          <cell r="J39">
            <v>31</v>
          </cell>
          <cell r="L39">
            <v>31</v>
          </cell>
          <cell r="M39">
            <v>34263</v>
          </cell>
          <cell r="N39">
            <v>13705.2</v>
          </cell>
          <cell r="O39">
            <v>2083</v>
          </cell>
          <cell r="P39">
            <v>2083</v>
          </cell>
          <cell r="Q39">
            <v>4970.8000000000029</v>
          </cell>
          <cell r="R39">
            <v>57105</v>
          </cell>
          <cell r="S39">
            <v>1950</v>
          </cell>
          <cell r="T39">
            <v>1441.6089999999999</v>
          </cell>
          <cell r="U39">
            <v>1648.0502999999999</v>
          </cell>
          <cell r="V39">
            <v>2855.25</v>
          </cell>
          <cell r="W39">
            <v>64999.909299999999</v>
          </cell>
          <cell r="Y39">
            <v>57105</v>
          </cell>
          <cell r="AA39">
            <v>200</v>
          </cell>
          <cell r="AB39">
            <v>1800</v>
          </cell>
          <cell r="AC39">
            <v>335</v>
          </cell>
          <cell r="AE39">
            <v>2335</v>
          </cell>
          <cell r="AF39">
            <v>60714.909299999999</v>
          </cell>
        </row>
        <row r="40">
          <cell r="C40" t="str">
            <v>BITS-611</v>
          </cell>
          <cell r="E40" t="str">
            <v>VISHNUPRASATH T</v>
          </cell>
          <cell r="F40" t="str">
            <v>BNG STP</v>
          </cell>
          <cell r="G40">
            <v>55000</v>
          </cell>
          <cell r="H40">
            <v>47836</v>
          </cell>
          <cell r="I40">
            <v>31</v>
          </cell>
          <cell r="J40">
            <v>31</v>
          </cell>
          <cell r="L40">
            <v>31</v>
          </cell>
          <cell r="M40">
            <v>28701.599999999999</v>
          </cell>
          <cell r="N40">
            <v>11480.64</v>
          </cell>
          <cell r="O40">
            <v>2083</v>
          </cell>
          <cell r="P40">
            <v>2083</v>
          </cell>
          <cell r="Q40">
            <v>3487.760000000002</v>
          </cell>
          <cell r="R40">
            <v>47836</v>
          </cell>
          <cell r="S40">
            <v>1950</v>
          </cell>
          <cell r="T40">
            <v>1441.6089999999999</v>
          </cell>
          <cell r="U40">
            <v>1380.5469599999999</v>
          </cell>
          <cell r="V40">
            <v>2391.7999999999997</v>
          </cell>
          <cell r="W40">
            <v>54999.955959999999</v>
          </cell>
          <cell r="Y40">
            <v>47836</v>
          </cell>
          <cell r="AA40">
            <v>200</v>
          </cell>
          <cell r="AB40">
            <v>1800</v>
          </cell>
          <cell r="AC40">
            <v>335</v>
          </cell>
          <cell r="AE40">
            <v>2335</v>
          </cell>
          <cell r="AF40">
            <v>50714.955959999999</v>
          </cell>
        </row>
        <row r="41">
          <cell r="C41" t="str">
            <v>BITS-612</v>
          </cell>
          <cell r="E41" t="str">
            <v>Nagaranjan S</v>
          </cell>
          <cell r="F41" t="str">
            <v>BNG STP</v>
          </cell>
          <cell r="G41">
            <v>55000</v>
          </cell>
          <cell r="H41">
            <v>47836</v>
          </cell>
          <cell r="I41">
            <v>31</v>
          </cell>
          <cell r="J41">
            <v>30</v>
          </cell>
          <cell r="K41">
            <v>1</v>
          </cell>
          <cell r="L41">
            <v>31</v>
          </cell>
          <cell r="M41">
            <v>28701.599999999999</v>
          </cell>
          <cell r="N41">
            <v>11480.64</v>
          </cell>
          <cell r="O41">
            <v>2083</v>
          </cell>
          <cell r="P41">
            <v>2083</v>
          </cell>
          <cell r="Q41">
            <v>3487.760000000002</v>
          </cell>
          <cell r="R41">
            <v>47836</v>
          </cell>
          <cell r="S41">
            <v>1950</v>
          </cell>
          <cell r="T41">
            <v>1441.6089999999999</v>
          </cell>
          <cell r="U41">
            <v>1380.5469599999999</v>
          </cell>
          <cell r="V41">
            <v>2391.7999999999997</v>
          </cell>
          <cell r="W41">
            <v>54999.955959999999</v>
          </cell>
          <cell r="Y41">
            <v>47836</v>
          </cell>
          <cell r="AA41">
            <v>200</v>
          </cell>
          <cell r="AB41">
            <v>1800</v>
          </cell>
          <cell r="AC41">
            <v>335</v>
          </cell>
          <cell r="AE41">
            <v>2335</v>
          </cell>
          <cell r="AF41">
            <v>50714.955959999999</v>
          </cell>
        </row>
        <row r="42">
          <cell r="C42" t="str">
            <v>BITS-613</v>
          </cell>
          <cell r="E42" t="str">
            <v>ELAMPARITHI SB</v>
          </cell>
          <cell r="F42" t="str">
            <v>BNG STP</v>
          </cell>
          <cell r="G42">
            <v>55000</v>
          </cell>
          <cell r="H42">
            <v>47836</v>
          </cell>
          <cell r="I42">
            <v>31</v>
          </cell>
          <cell r="J42">
            <v>31</v>
          </cell>
          <cell r="L42">
            <v>31</v>
          </cell>
          <cell r="M42">
            <v>28701.599999999999</v>
          </cell>
          <cell r="N42">
            <v>11480.64</v>
          </cell>
          <cell r="O42">
            <v>2083</v>
          </cell>
          <cell r="P42">
            <v>2083</v>
          </cell>
          <cell r="Q42">
            <v>3487.760000000002</v>
          </cell>
          <cell r="R42">
            <v>47836</v>
          </cell>
          <cell r="S42">
            <v>1950</v>
          </cell>
          <cell r="T42">
            <v>1441.6089999999999</v>
          </cell>
          <cell r="U42">
            <v>1380.5469599999999</v>
          </cell>
          <cell r="V42">
            <v>2391.7999999999997</v>
          </cell>
          <cell r="W42">
            <v>54999.955959999999</v>
          </cell>
          <cell r="Y42">
            <v>47836</v>
          </cell>
          <cell r="AA42">
            <v>200</v>
          </cell>
          <cell r="AB42">
            <v>1800</v>
          </cell>
          <cell r="AC42">
            <v>335</v>
          </cell>
          <cell r="AE42">
            <v>2335</v>
          </cell>
          <cell r="AF42">
            <v>50714.955959999999</v>
          </cell>
        </row>
        <row r="43">
          <cell r="C43" t="str">
            <v>BITS-614</v>
          </cell>
          <cell r="E43" t="str">
            <v>KISHANPRASAD GANDHE</v>
          </cell>
          <cell r="F43" t="str">
            <v>HYD STP</v>
          </cell>
          <cell r="G43">
            <v>152000</v>
          </cell>
          <cell r="H43">
            <v>137746</v>
          </cell>
          <cell r="I43">
            <v>31</v>
          </cell>
          <cell r="J43">
            <v>31</v>
          </cell>
          <cell r="L43">
            <v>31</v>
          </cell>
          <cell r="M43">
            <v>82647.600000000006</v>
          </cell>
          <cell r="N43">
            <v>33059.040000000001</v>
          </cell>
          <cell r="O43">
            <v>2083</v>
          </cell>
          <cell r="P43">
            <v>2083</v>
          </cell>
          <cell r="Q43">
            <v>17873.359999999986</v>
          </cell>
          <cell r="R43">
            <v>137746</v>
          </cell>
          <cell r="S43">
            <v>1950</v>
          </cell>
          <cell r="T43">
            <v>1441.6089999999999</v>
          </cell>
          <cell r="U43">
            <v>3975.3495600000001</v>
          </cell>
          <cell r="V43">
            <v>6887.3</v>
          </cell>
          <cell r="W43">
            <v>152000.25855999999</v>
          </cell>
          <cell r="X43">
            <v>9806</v>
          </cell>
          <cell r="Y43">
            <v>147552</v>
          </cell>
          <cell r="Z43">
            <v>17127</v>
          </cell>
          <cell r="AA43">
            <v>200</v>
          </cell>
          <cell r="AB43">
            <v>1800</v>
          </cell>
          <cell r="AC43">
            <v>839</v>
          </cell>
          <cell r="AE43">
            <v>19966</v>
          </cell>
          <cell r="AF43">
            <v>139890.25855999999</v>
          </cell>
        </row>
        <row r="44">
          <cell r="C44" t="str">
            <v>BITS-617</v>
          </cell>
          <cell r="E44" t="str">
            <v>Sunnapalli Anil</v>
          </cell>
          <cell r="F44" t="str">
            <v>PUNE SEZ 1</v>
          </cell>
          <cell r="G44">
            <v>80000</v>
          </cell>
          <cell r="H44">
            <v>69580</v>
          </cell>
          <cell r="I44">
            <v>31</v>
          </cell>
          <cell r="J44">
            <v>31</v>
          </cell>
          <cell r="L44">
            <v>31</v>
          </cell>
          <cell r="M44">
            <v>41748</v>
          </cell>
          <cell r="N44">
            <v>16699.2</v>
          </cell>
          <cell r="O44">
            <v>2083</v>
          </cell>
          <cell r="P44">
            <v>2083</v>
          </cell>
          <cell r="Q44">
            <v>6966.8000000000029</v>
          </cell>
          <cell r="R44">
            <v>69580</v>
          </cell>
          <cell r="S44">
            <v>1950</v>
          </cell>
          <cell r="T44">
            <v>1441.6089999999999</v>
          </cell>
          <cell r="U44">
            <v>2008.0787999999998</v>
          </cell>
          <cell r="V44">
            <v>3479</v>
          </cell>
          <cell r="W44">
            <v>78458.6878</v>
          </cell>
          <cell r="Y44">
            <v>69580</v>
          </cell>
          <cell r="AA44">
            <v>200</v>
          </cell>
          <cell r="AB44">
            <v>1800</v>
          </cell>
          <cell r="AC44">
            <v>335</v>
          </cell>
          <cell r="AE44">
            <v>2335</v>
          </cell>
          <cell r="AF44">
            <v>74173.6878</v>
          </cell>
        </row>
        <row r="45">
          <cell r="C45" t="str">
            <v>BITS-619</v>
          </cell>
          <cell r="D45" t="str">
            <v>Cognizant</v>
          </cell>
          <cell r="E45" t="str">
            <v>Varsha Bollu</v>
          </cell>
          <cell r="G45">
            <v>85000</v>
          </cell>
          <cell r="H45">
            <v>75643</v>
          </cell>
          <cell r="I45">
            <v>31</v>
          </cell>
          <cell r="J45">
            <v>31</v>
          </cell>
          <cell r="L45">
            <v>31</v>
          </cell>
          <cell r="M45">
            <v>45385.8</v>
          </cell>
          <cell r="N45">
            <v>18154.320000000003</v>
          </cell>
          <cell r="O45">
            <v>2083</v>
          </cell>
          <cell r="P45">
            <v>2083</v>
          </cell>
          <cell r="Q45">
            <v>7936.8799999999901</v>
          </cell>
          <cell r="R45">
            <v>75643</v>
          </cell>
          <cell r="S45">
            <v>1950</v>
          </cell>
          <cell r="T45">
            <v>1441.6089999999999</v>
          </cell>
          <cell r="U45">
            <v>2183.0569799999998</v>
          </cell>
          <cell r="V45">
            <v>3782.15</v>
          </cell>
          <cell r="W45">
            <v>84999.815979999985</v>
          </cell>
          <cell r="Y45">
            <v>75643</v>
          </cell>
          <cell r="AA45">
            <v>200</v>
          </cell>
          <cell r="AB45">
            <v>1800</v>
          </cell>
          <cell r="AC45">
            <v>335</v>
          </cell>
          <cell r="AE45">
            <v>2335</v>
          </cell>
          <cell r="AF45">
            <v>80714.815979999985</v>
          </cell>
        </row>
        <row r="46">
          <cell r="C46" t="str">
            <v>BITS-620</v>
          </cell>
          <cell r="D46" t="str">
            <v>Cognizant</v>
          </cell>
          <cell r="E46" t="str">
            <v>Bhaskar Reddy Sudha</v>
          </cell>
          <cell r="G46">
            <v>110000</v>
          </cell>
          <cell r="H46">
            <v>98816</v>
          </cell>
          <cell r="I46">
            <v>31</v>
          </cell>
          <cell r="J46">
            <v>31</v>
          </cell>
          <cell r="L46">
            <v>31</v>
          </cell>
          <cell r="M46">
            <v>59289.599999999999</v>
          </cell>
          <cell r="N46">
            <v>23715.84</v>
          </cell>
          <cell r="O46">
            <v>2083</v>
          </cell>
          <cell r="P46">
            <v>2083</v>
          </cell>
          <cell r="Q46">
            <v>11644.559999999998</v>
          </cell>
          <cell r="R46">
            <v>98816</v>
          </cell>
          <cell r="S46">
            <v>1950</v>
          </cell>
          <cell r="T46">
            <v>1441.6089999999999</v>
          </cell>
          <cell r="U46">
            <v>2851.8297599999996</v>
          </cell>
          <cell r="V46">
            <v>4940.8</v>
          </cell>
          <cell r="W46">
            <v>110000.23875999999</v>
          </cell>
          <cell r="Y46">
            <v>98816</v>
          </cell>
          <cell r="Z46">
            <v>5494</v>
          </cell>
          <cell r="AA46">
            <v>200</v>
          </cell>
          <cell r="AB46">
            <v>1800</v>
          </cell>
          <cell r="AC46">
            <v>335</v>
          </cell>
          <cell r="AE46">
            <v>7829</v>
          </cell>
          <cell r="AF46">
            <v>100221.23875999999</v>
          </cell>
        </row>
        <row r="47">
          <cell r="C47" t="str">
            <v>BITS-645</v>
          </cell>
          <cell r="D47" t="str">
            <v>Cognizant</v>
          </cell>
          <cell r="E47" t="str">
            <v>BHARGAVI .R</v>
          </cell>
          <cell r="G47">
            <v>105000</v>
          </cell>
          <cell r="H47">
            <v>94181</v>
          </cell>
          <cell r="I47">
            <v>31</v>
          </cell>
          <cell r="J47">
            <v>31</v>
          </cell>
          <cell r="L47">
            <v>31</v>
          </cell>
          <cell r="M47">
            <v>56508.6</v>
          </cell>
          <cell r="N47">
            <v>22603.440000000002</v>
          </cell>
          <cell r="O47">
            <v>2083</v>
          </cell>
          <cell r="P47">
            <v>2083</v>
          </cell>
          <cell r="Q47">
            <v>10902.959999999992</v>
          </cell>
          <cell r="R47">
            <v>94181</v>
          </cell>
          <cell r="S47">
            <v>1950</v>
          </cell>
          <cell r="T47">
            <v>1441.6089999999999</v>
          </cell>
          <cell r="U47">
            <v>2718.0636599999998</v>
          </cell>
          <cell r="V47">
            <v>4709.05</v>
          </cell>
          <cell r="W47">
            <v>104999.72266</v>
          </cell>
          <cell r="Y47">
            <v>94181</v>
          </cell>
          <cell r="AA47">
            <v>200</v>
          </cell>
          <cell r="AB47">
            <v>1800</v>
          </cell>
          <cell r="AC47">
            <v>378</v>
          </cell>
          <cell r="AE47">
            <v>2378</v>
          </cell>
          <cell r="AF47">
            <v>100671.72266</v>
          </cell>
        </row>
        <row r="48">
          <cell r="C48" t="str">
            <v>BITS-676</v>
          </cell>
          <cell r="D48" t="str">
            <v>Cognizant</v>
          </cell>
          <cell r="E48" t="str">
            <v>Siva Krishna</v>
          </cell>
          <cell r="G48">
            <v>80000</v>
          </cell>
          <cell r="H48">
            <v>71009</v>
          </cell>
          <cell r="I48">
            <v>31</v>
          </cell>
          <cell r="J48">
            <v>29</v>
          </cell>
          <cell r="K48">
            <v>2</v>
          </cell>
          <cell r="L48">
            <v>30</v>
          </cell>
          <cell r="M48">
            <v>41231.032258064515</v>
          </cell>
          <cell r="N48">
            <v>16492.412903225806</v>
          </cell>
          <cell r="O48">
            <v>2016</v>
          </cell>
          <cell r="P48">
            <v>2016</v>
          </cell>
          <cell r="Q48">
            <v>6962.9419354838756</v>
          </cell>
          <cell r="R48">
            <v>68718.387096774197</v>
          </cell>
          <cell r="S48">
            <v>1950</v>
          </cell>
          <cell r="T48">
            <v>1441.6089999999999</v>
          </cell>
          <cell r="U48">
            <v>1983.2126516129031</v>
          </cell>
          <cell r="V48">
            <v>3435.9193548387098</v>
          </cell>
          <cell r="W48">
            <v>77529.128103225812</v>
          </cell>
          <cell r="Y48">
            <v>68718.387096774197</v>
          </cell>
          <cell r="AA48">
            <v>200</v>
          </cell>
          <cell r="AB48">
            <v>1800</v>
          </cell>
          <cell r="AC48">
            <v>378</v>
          </cell>
          <cell r="AE48">
            <v>2378</v>
          </cell>
          <cell r="AF48">
            <v>73200.741006451615</v>
          </cell>
        </row>
        <row r="49">
          <cell r="C49" t="str">
            <v>BITS-621</v>
          </cell>
          <cell r="E49" t="str">
            <v>ARJUN PUNDLIK JOSHI</v>
          </cell>
          <cell r="F49" t="str">
            <v>Mysore SEZ</v>
          </cell>
          <cell r="G49">
            <v>85000</v>
          </cell>
          <cell r="H49">
            <v>75643</v>
          </cell>
          <cell r="I49">
            <v>31</v>
          </cell>
          <cell r="J49">
            <v>31</v>
          </cell>
          <cell r="L49">
            <v>31</v>
          </cell>
          <cell r="M49">
            <v>45385.8</v>
          </cell>
          <cell r="N49">
            <v>18154.320000000003</v>
          </cell>
          <cell r="O49">
            <v>2083</v>
          </cell>
          <cell r="P49">
            <v>2083</v>
          </cell>
          <cell r="Q49">
            <v>7936.8799999999901</v>
          </cell>
          <cell r="R49">
            <v>75643</v>
          </cell>
          <cell r="S49">
            <v>1950</v>
          </cell>
          <cell r="T49">
            <v>1441.6089999999999</v>
          </cell>
          <cell r="U49">
            <v>2183.0569799999998</v>
          </cell>
          <cell r="V49">
            <v>3782.15</v>
          </cell>
          <cell r="W49">
            <v>84999.815979999985</v>
          </cell>
          <cell r="X49">
            <v>1000</v>
          </cell>
          <cell r="Y49">
            <v>76643</v>
          </cell>
          <cell r="AA49">
            <v>200</v>
          </cell>
          <cell r="AB49">
            <v>1800</v>
          </cell>
          <cell r="AC49">
            <v>336</v>
          </cell>
          <cell r="AE49">
            <v>2336</v>
          </cell>
          <cell r="AF49">
            <v>81713.815979999985</v>
          </cell>
        </row>
        <row r="50">
          <cell r="C50" t="str">
            <v>BITS-624</v>
          </cell>
          <cell r="E50" t="str">
            <v>Karthick G</v>
          </cell>
          <cell r="F50" t="str">
            <v>BNG STP</v>
          </cell>
          <cell r="G50">
            <v>100000</v>
          </cell>
          <cell r="H50">
            <v>89547</v>
          </cell>
          <cell r="I50">
            <v>31</v>
          </cell>
          <cell r="J50">
            <v>31</v>
          </cell>
          <cell r="L50">
            <v>31</v>
          </cell>
          <cell r="M50">
            <v>53728.2</v>
          </cell>
          <cell r="N50">
            <v>21491.279999999999</v>
          </cell>
          <cell r="O50">
            <v>2083</v>
          </cell>
          <cell r="P50">
            <v>2083</v>
          </cell>
          <cell r="Q50">
            <v>10161.520000000004</v>
          </cell>
          <cell r="R50">
            <v>89547</v>
          </cell>
          <cell r="S50">
            <v>1950</v>
          </cell>
          <cell r="T50">
            <v>1441.6089999999999</v>
          </cell>
          <cell r="U50">
            <v>2584.3264199999994</v>
          </cell>
          <cell r="V50">
            <v>4477.3499999999995</v>
          </cell>
          <cell r="W50">
            <v>100000.28542</v>
          </cell>
          <cell r="Y50">
            <v>89547</v>
          </cell>
          <cell r="AA50">
            <v>200</v>
          </cell>
          <cell r="AB50">
            <v>1800</v>
          </cell>
          <cell r="AC50">
            <v>336</v>
          </cell>
          <cell r="AE50">
            <v>2336</v>
          </cell>
          <cell r="AF50">
            <v>95714.28542</v>
          </cell>
        </row>
        <row r="51">
          <cell r="C51" t="str">
            <v>BITS-626</v>
          </cell>
          <cell r="E51" t="str">
            <v>Somisetty VenkataKrishna</v>
          </cell>
          <cell r="F51" t="str">
            <v>BNG SEZ</v>
          </cell>
          <cell r="G51">
            <v>75000</v>
          </cell>
          <cell r="H51">
            <v>66374</v>
          </cell>
          <cell r="I51">
            <v>31</v>
          </cell>
          <cell r="J51">
            <v>30</v>
          </cell>
          <cell r="K51">
            <v>1</v>
          </cell>
          <cell r="L51">
            <v>31</v>
          </cell>
          <cell r="M51">
            <v>39824.400000000001</v>
          </cell>
          <cell r="N51">
            <v>15929.760000000002</v>
          </cell>
          <cell r="O51">
            <v>2083</v>
          </cell>
          <cell r="P51">
            <v>2083</v>
          </cell>
          <cell r="Q51">
            <v>6453.8399999999965</v>
          </cell>
          <cell r="R51">
            <v>66374</v>
          </cell>
          <cell r="S51">
            <v>1950</v>
          </cell>
          <cell r="T51">
            <v>1441.6089999999999</v>
          </cell>
          <cell r="U51">
            <v>1915.5536400000001</v>
          </cell>
          <cell r="V51">
            <v>3318.7000000000003</v>
          </cell>
          <cell r="W51">
            <v>74999.862639999992</v>
          </cell>
          <cell r="Y51">
            <v>66374</v>
          </cell>
          <cell r="AA51">
            <v>200</v>
          </cell>
          <cell r="AB51">
            <v>1800</v>
          </cell>
          <cell r="AC51">
            <v>335</v>
          </cell>
          <cell r="AE51">
            <v>2335</v>
          </cell>
          <cell r="AF51">
            <v>70714.862639999992</v>
          </cell>
        </row>
        <row r="52">
          <cell r="C52" t="str">
            <v>BITS-629</v>
          </cell>
          <cell r="E52" t="str">
            <v>CHEREDDY MURALI KRISHNA NAIDU</v>
          </cell>
          <cell r="F52" t="str">
            <v>BNG SEZ</v>
          </cell>
          <cell r="G52">
            <v>115000</v>
          </cell>
          <cell r="H52">
            <v>103451</v>
          </cell>
          <cell r="I52">
            <v>31</v>
          </cell>
          <cell r="J52">
            <v>30</v>
          </cell>
          <cell r="K52">
            <v>1</v>
          </cell>
          <cell r="L52">
            <v>31</v>
          </cell>
          <cell r="M52">
            <v>62070.6</v>
          </cell>
          <cell r="N52">
            <v>24828.240000000002</v>
          </cell>
          <cell r="O52">
            <v>2083</v>
          </cell>
          <cell r="P52">
            <v>2083</v>
          </cell>
          <cell r="Q52">
            <v>12386.160000000003</v>
          </cell>
          <cell r="R52">
            <v>103451</v>
          </cell>
          <cell r="S52">
            <v>1950</v>
          </cell>
          <cell r="T52">
            <v>1441.6089999999999</v>
          </cell>
          <cell r="U52">
            <v>2985.5958599999994</v>
          </cell>
          <cell r="V52">
            <v>5172.55</v>
          </cell>
          <cell r="W52">
            <v>115000.75486</v>
          </cell>
          <cell r="Y52">
            <v>103451</v>
          </cell>
          <cell r="Z52">
            <v>8469</v>
          </cell>
          <cell r="AA52">
            <v>200</v>
          </cell>
          <cell r="AB52">
            <v>1800</v>
          </cell>
          <cell r="AC52">
            <v>336</v>
          </cell>
          <cell r="AE52">
            <v>10805</v>
          </cell>
          <cell r="AF52">
            <v>102245.75486</v>
          </cell>
        </row>
        <row r="53">
          <cell r="C53" t="str">
            <v>BITS-630</v>
          </cell>
          <cell r="E53" t="str">
            <v>Gangadhar Yarabham</v>
          </cell>
          <cell r="F53" t="str">
            <v>HYD SEZ</v>
          </cell>
          <cell r="G53">
            <v>95000</v>
          </cell>
          <cell r="H53">
            <v>84912</v>
          </cell>
          <cell r="I53">
            <v>31</v>
          </cell>
          <cell r="J53">
            <v>31</v>
          </cell>
          <cell r="L53">
            <v>31</v>
          </cell>
          <cell r="M53">
            <v>50947.199999999997</v>
          </cell>
          <cell r="N53">
            <v>20378.88</v>
          </cell>
          <cell r="O53">
            <v>2083</v>
          </cell>
          <cell r="P53">
            <v>2083</v>
          </cell>
          <cell r="Q53">
            <v>9419.9199999999983</v>
          </cell>
          <cell r="R53">
            <v>84912</v>
          </cell>
          <cell r="S53">
            <v>1950</v>
          </cell>
          <cell r="T53">
            <v>1441.6089999999999</v>
          </cell>
          <cell r="U53">
            <v>2450.5603199999996</v>
          </cell>
          <cell r="V53">
            <v>4245.5999999999995</v>
          </cell>
          <cell r="W53">
            <v>94999.769320000007</v>
          </cell>
          <cell r="Y53">
            <v>84912</v>
          </cell>
          <cell r="AA53">
            <v>200</v>
          </cell>
          <cell r="AB53">
            <v>1800</v>
          </cell>
          <cell r="AC53">
            <v>377</v>
          </cell>
          <cell r="AE53">
            <v>2377</v>
          </cell>
          <cell r="AF53">
            <v>90672.769320000007</v>
          </cell>
        </row>
        <row r="54">
          <cell r="C54" t="str">
            <v>BITS-632</v>
          </cell>
          <cell r="E54" t="str">
            <v>Himanshu Anand</v>
          </cell>
          <cell r="F54" t="str">
            <v>PUNE SEZ 1</v>
          </cell>
          <cell r="G54">
            <v>110000</v>
          </cell>
          <cell r="H54">
            <v>98501</v>
          </cell>
          <cell r="I54">
            <v>31</v>
          </cell>
          <cell r="J54">
            <v>31</v>
          </cell>
          <cell r="L54">
            <v>31</v>
          </cell>
          <cell r="M54">
            <v>59100.6</v>
          </cell>
          <cell r="N54">
            <v>23640.240000000002</v>
          </cell>
          <cell r="O54">
            <v>2083</v>
          </cell>
          <cell r="P54">
            <v>2083</v>
          </cell>
          <cell r="Q54">
            <v>11594.160000000003</v>
          </cell>
          <cell r="R54">
            <v>98501</v>
          </cell>
          <cell r="S54">
            <v>1950</v>
          </cell>
          <cell r="T54">
            <v>1441.6089999999999</v>
          </cell>
          <cell r="U54">
            <v>2842.7388599999999</v>
          </cell>
          <cell r="V54">
            <v>4925.05</v>
          </cell>
          <cell r="W54">
            <v>109660.39786</v>
          </cell>
          <cell r="Y54">
            <v>98501</v>
          </cell>
          <cell r="Z54">
            <v>6461</v>
          </cell>
          <cell r="AA54">
            <v>200</v>
          </cell>
          <cell r="AB54">
            <v>1800</v>
          </cell>
          <cell r="AC54">
            <v>336</v>
          </cell>
          <cell r="AE54">
            <v>8797</v>
          </cell>
          <cell r="AF54">
            <v>98913.397859999997</v>
          </cell>
        </row>
        <row r="55">
          <cell r="C55" t="str">
            <v>BITS-633</v>
          </cell>
          <cell r="E55" t="str">
            <v>Kanchupati Kondaiah</v>
          </cell>
          <cell r="F55" t="str">
            <v>PUNE SEZ 1</v>
          </cell>
          <cell r="G55">
            <v>54000</v>
          </cell>
          <cell r="H55">
            <v>46909</v>
          </cell>
          <cell r="I55">
            <v>31</v>
          </cell>
          <cell r="J55">
            <v>27.5</v>
          </cell>
          <cell r="K55">
            <v>3.5</v>
          </cell>
          <cell r="L55">
            <v>28.5</v>
          </cell>
          <cell r="M55">
            <v>25875.609677419354</v>
          </cell>
          <cell r="N55">
            <v>10350.243870967743</v>
          </cell>
          <cell r="O55">
            <v>1915</v>
          </cell>
          <cell r="P55">
            <v>1915</v>
          </cell>
          <cell r="Q55">
            <v>3070.162580645163</v>
          </cell>
          <cell r="R55">
            <v>43126.016129032258</v>
          </cell>
          <cell r="S55">
            <v>1950</v>
          </cell>
          <cell r="T55">
            <v>1441.6089999999999</v>
          </cell>
          <cell r="U55">
            <v>1244.6168254838708</v>
          </cell>
          <cell r="V55">
            <v>2156.300806451613</v>
          </cell>
          <cell r="W55">
            <v>49918.542760967735</v>
          </cell>
          <cell r="Y55">
            <v>43126.016129032258</v>
          </cell>
          <cell r="AA55">
            <v>200</v>
          </cell>
          <cell r="AB55">
            <v>1800</v>
          </cell>
          <cell r="AC55">
            <v>336</v>
          </cell>
          <cell r="AE55">
            <v>2336</v>
          </cell>
          <cell r="AF55">
            <v>45632.526631935478</v>
          </cell>
        </row>
        <row r="56">
          <cell r="C56" t="str">
            <v>BITS-634</v>
          </cell>
          <cell r="E56" t="str">
            <v>Santosh Patel</v>
          </cell>
          <cell r="F56" t="str">
            <v>PUNE SEZ 1</v>
          </cell>
          <cell r="G56">
            <v>145000</v>
          </cell>
          <cell r="H56">
            <v>131257</v>
          </cell>
          <cell r="I56">
            <v>31</v>
          </cell>
          <cell r="J56">
            <v>31</v>
          </cell>
          <cell r="L56">
            <v>31</v>
          </cell>
          <cell r="M56">
            <v>78754.2</v>
          </cell>
          <cell r="N56">
            <v>31501.68</v>
          </cell>
          <cell r="O56">
            <v>2083</v>
          </cell>
          <cell r="P56">
            <v>2083</v>
          </cell>
          <cell r="Q56">
            <v>16835.119999999995</v>
          </cell>
          <cell r="R56">
            <v>131257</v>
          </cell>
          <cell r="S56">
            <v>1950</v>
          </cell>
          <cell r="T56">
            <v>1441.6089999999999</v>
          </cell>
          <cell r="U56">
            <v>3788.0770199999993</v>
          </cell>
          <cell r="V56">
            <v>6562.8499999999995</v>
          </cell>
          <cell r="W56">
            <v>144999.53602</v>
          </cell>
          <cell r="Y56">
            <v>131257</v>
          </cell>
          <cell r="Z56">
            <v>17416</v>
          </cell>
          <cell r="AA56">
            <v>200</v>
          </cell>
          <cell r="AB56">
            <v>1800</v>
          </cell>
          <cell r="AC56">
            <v>336</v>
          </cell>
          <cell r="AE56">
            <v>19752</v>
          </cell>
          <cell r="AF56">
            <v>123297.53602</v>
          </cell>
        </row>
        <row r="57">
          <cell r="C57" t="str">
            <v>BITS-635</v>
          </cell>
          <cell r="E57" t="str">
            <v>Saleem Ahmed Natamkar</v>
          </cell>
          <cell r="F57" t="str">
            <v>BNG SEZ</v>
          </cell>
          <cell r="G57">
            <v>75000</v>
          </cell>
          <cell r="H57">
            <v>66374</v>
          </cell>
          <cell r="I57">
            <v>31</v>
          </cell>
          <cell r="J57">
            <v>0</v>
          </cell>
          <cell r="K57">
            <v>0</v>
          </cell>
          <cell r="L57">
            <v>0</v>
          </cell>
          <cell r="M57">
            <v>0</v>
          </cell>
          <cell r="N57">
            <v>0</v>
          </cell>
          <cell r="O57">
            <v>0</v>
          </cell>
          <cell r="P57">
            <v>0</v>
          </cell>
          <cell r="Q57">
            <v>0</v>
          </cell>
          <cell r="R57">
            <v>0</v>
          </cell>
          <cell r="S57">
            <v>0</v>
          </cell>
          <cell r="T57">
            <v>1441.6089999999999</v>
          </cell>
          <cell r="U57">
            <v>0</v>
          </cell>
          <cell r="V57">
            <v>0</v>
          </cell>
          <cell r="W57">
            <v>1441.6089999999999</v>
          </cell>
          <cell r="Y57">
            <v>0</v>
          </cell>
          <cell r="AA57">
            <v>0</v>
          </cell>
          <cell r="AB57">
            <v>0</v>
          </cell>
          <cell r="AC57">
            <v>377</v>
          </cell>
          <cell r="AE57">
            <v>377</v>
          </cell>
          <cell r="AF57">
            <v>1064.6089999999999</v>
          </cell>
        </row>
        <row r="58">
          <cell r="C58" t="str">
            <v>BITS-637</v>
          </cell>
          <cell r="E58" t="str">
            <v>Sambasivarao M left</v>
          </cell>
          <cell r="F58" t="str">
            <v>BNG STP</v>
          </cell>
          <cell r="G58">
            <v>105000</v>
          </cell>
          <cell r="H58">
            <v>94181</v>
          </cell>
          <cell r="I58">
            <v>31</v>
          </cell>
          <cell r="J58">
            <v>31</v>
          </cell>
          <cell r="L58">
            <v>31</v>
          </cell>
          <cell r="M58">
            <v>56508.6</v>
          </cell>
          <cell r="N58">
            <v>22603.440000000002</v>
          </cell>
          <cell r="O58">
            <v>2083</v>
          </cell>
          <cell r="P58">
            <v>2083</v>
          </cell>
          <cell r="Q58">
            <v>10902.959999999992</v>
          </cell>
          <cell r="R58">
            <v>94181</v>
          </cell>
          <cell r="S58">
            <v>1950</v>
          </cell>
          <cell r="T58">
            <v>1441.6089999999999</v>
          </cell>
          <cell r="U58">
            <v>2718.0636599999998</v>
          </cell>
          <cell r="V58">
            <v>4709.05</v>
          </cell>
          <cell r="W58">
            <v>104999.72266</v>
          </cell>
          <cell r="Y58">
            <v>94181</v>
          </cell>
          <cell r="AA58">
            <v>200</v>
          </cell>
          <cell r="AB58">
            <v>1800</v>
          </cell>
          <cell r="AC58">
            <v>224</v>
          </cell>
          <cell r="AE58">
            <v>2224</v>
          </cell>
          <cell r="AF58">
            <v>100825.72266</v>
          </cell>
        </row>
        <row r="59">
          <cell r="C59" t="str">
            <v>BITS-638</v>
          </cell>
          <cell r="E59" t="str">
            <v>Basweshwar Pawar</v>
          </cell>
          <cell r="F59" t="str">
            <v>PUNE SEZ 1</v>
          </cell>
          <cell r="G59">
            <v>100000</v>
          </cell>
          <cell r="H59">
            <v>89547</v>
          </cell>
          <cell r="I59">
            <v>31</v>
          </cell>
          <cell r="J59">
            <v>31</v>
          </cell>
          <cell r="L59">
            <v>31</v>
          </cell>
          <cell r="M59">
            <v>53728.2</v>
          </cell>
          <cell r="N59">
            <v>21491.279999999999</v>
          </cell>
          <cell r="O59">
            <v>2083</v>
          </cell>
          <cell r="P59">
            <v>2083</v>
          </cell>
          <cell r="Q59">
            <v>10161.520000000004</v>
          </cell>
          <cell r="R59">
            <v>89547</v>
          </cell>
          <cell r="S59">
            <v>1950</v>
          </cell>
          <cell r="T59">
            <v>1441.6089999999999</v>
          </cell>
          <cell r="U59">
            <v>2584.3264199999994</v>
          </cell>
          <cell r="V59">
            <v>4477.3499999999995</v>
          </cell>
          <cell r="W59">
            <v>100000.28542</v>
          </cell>
          <cell r="Y59">
            <v>89547</v>
          </cell>
          <cell r="AA59">
            <v>200</v>
          </cell>
          <cell r="AB59">
            <v>1800</v>
          </cell>
          <cell r="AC59">
            <v>224</v>
          </cell>
          <cell r="AE59">
            <v>2224</v>
          </cell>
          <cell r="AF59">
            <v>95826.28542</v>
          </cell>
        </row>
        <row r="60">
          <cell r="C60" t="str">
            <v>BITS-640</v>
          </cell>
          <cell r="E60" t="str">
            <v>K V Kannan</v>
          </cell>
          <cell r="F60" t="str">
            <v>BNG STP</v>
          </cell>
          <cell r="G60">
            <v>43000</v>
          </cell>
          <cell r="H60">
            <v>36713</v>
          </cell>
          <cell r="I60">
            <v>31</v>
          </cell>
          <cell r="J60">
            <v>30</v>
          </cell>
          <cell r="K60">
            <v>1</v>
          </cell>
          <cell r="L60">
            <v>31</v>
          </cell>
          <cell r="M60">
            <v>22027.8</v>
          </cell>
          <cell r="N60">
            <v>8811.1200000000008</v>
          </cell>
          <cell r="O60">
            <v>2083</v>
          </cell>
          <cell r="P60">
            <v>2083</v>
          </cell>
          <cell r="Q60">
            <v>1708.0800000000017</v>
          </cell>
          <cell r="R60">
            <v>36713</v>
          </cell>
          <cell r="S60">
            <v>1950</v>
          </cell>
          <cell r="T60">
            <v>1441.6089999999999</v>
          </cell>
          <cell r="U60">
            <v>1059.53718</v>
          </cell>
          <cell r="V60">
            <v>1835.6499999999999</v>
          </cell>
          <cell r="W60">
            <v>42999.796179999998</v>
          </cell>
          <cell r="Y60">
            <v>36713</v>
          </cell>
          <cell r="AA60">
            <v>200</v>
          </cell>
          <cell r="AB60">
            <v>1800</v>
          </cell>
          <cell r="AC60">
            <v>252</v>
          </cell>
          <cell r="AE60">
            <v>2252</v>
          </cell>
          <cell r="AF60">
            <v>38797.796179999998</v>
          </cell>
        </row>
        <row r="61">
          <cell r="C61" t="str">
            <v>BITS-641</v>
          </cell>
          <cell r="E61" t="str">
            <v>Thanigaivel.J</v>
          </cell>
          <cell r="F61" t="str">
            <v>BNG STP</v>
          </cell>
          <cell r="G61">
            <v>43000</v>
          </cell>
          <cell r="H61">
            <v>36713</v>
          </cell>
          <cell r="I61">
            <v>31</v>
          </cell>
          <cell r="J61">
            <v>31</v>
          </cell>
          <cell r="L61">
            <v>31</v>
          </cell>
          <cell r="M61">
            <v>22027.8</v>
          </cell>
          <cell r="N61">
            <v>8811.1200000000008</v>
          </cell>
          <cell r="O61">
            <v>2083</v>
          </cell>
          <cell r="P61">
            <v>2083</v>
          </cell>
          <cell r="Q61">
            <v>1708.0800000000017</v>
          </cell>
          <cell r="R61">
            <v>36713</v>
          </cell>
          <cell r="S61">
            <v>1950</v>
          </cell>
          <cell r="T61">
            <v>1441.6089999999999</v>
          </cell>
          <cell r="U61">
            <v>1059.53718</v>
          </cell>
          <cell r="V61">
            <v>1835.6499999999999</v>
          </cell>
          <cell r="W61">
            <v>42999.796179999998</v>
          </cell>
          <cell r="Y61">
            <v>36713</v>
          </cell>
          <cell r="AA61">
            <v>200</v>
          </cell>
          <cell r="AB61">
            <v>1800</v>
          </cell>
          <cell r="AC61">
            <v>224</v>
          </cell>
          <cell r="AE61">
            <v>2224</v>
          </cell>
          <cell r="AF61">
            <v>38825.796179999998</v>
          </cell>
        </row>
        <row r="62">
          <cell r="C62" t="str">
            <v>BITS-644</v>
          </cell>
          <cell r="E62" t="str">
            <v>gopi reddy chirra</v>
          </cell>
          <cell r="F62" t="str">
            <v>Chandigarh</v>
          </cell>
          <cell r="G62">
            <v>66000</v>
          </cell>
          <cell r="H62">
            <v>58032</v>
          </cell>
          <cell r="I62">
            <v>31</v>
          </cell>
          <cell r="J62">
            <v>30</v>
          </cell>
          <cell r="K62">
            <v>1</v>
          </cell>
          <cell r="L62">
            <v>31</v>
          </cell>
          <cell r="M62">
            <v>34819.199999999997</v>
          </cell>
          <cell r="N62">
            <v>13927.68</v>
          </cell>
          <cell r="O62">
            <v>2083</v>
          </cell>
          <cell r="P62">
            <v>2083</v>
          </cell>
          <cell r="Q62">
            <v>5119.1200000000026</v>
          </cell>
          <cell r="R62">
            <v>58032</v>
          </cell>
          <cell r="S62">
            <v>1950</v>
          </cell>
          <cell r="T62">
            <v>1441.6089999999999</v>
          </cell>
          <cell r="U62">
            <v>1674.8035199999999</v>
          </cell>
          <cell r="V62">
            <v>2901.6</v>
          </cell>
          <cell r="W62">
            <v>66000.012519999989</v>
          </cell>
          <cell r="Y62">
            <v>58032</v>
          </cell>
          <cell r="AA62">
            <v>200</v>
          </cell>
          <cell r="AB62">
            <v>1800</v>
          </cell>
          <cell r="AC62">
            <v>224</v>
          </cell>
          <cell r="AE62">
            <v>2224</v>
          </cell>
          <cell r="AF62">
            <v>61826.012519999997</v>
          </cell>
        </row>
        <row r="63">
          <cell r="C63" t="str">
            <v>BITS-645</v>
          </cell>
          <cell r="E63" t="str">
            <v>Anil kumar Redd kusam</v>
          </cell>
          <cell r="F63" t="str">
            <v>BNG STP</v>
          </cell>
          <cell r="G63">
            <v>90000</v>
          </cell>
          <cell r="H63">
            <v>80278</v>
          </cell>
          <cell r="I63">
            <v>31</v>
          </cell>
          <cell r="J63">
            <v>31</v>
          </cell>
          <cell r="L63">
            <v>31</v>
          </cell>
          <cell r="M63">
            <v>48166.8</v>
          </cell>
          <cell r="N63">
            <v>19266.72</v>
          </cell>
          <cell r="O63">
            <v>2083</v>
          </cell>
          <cell r="P63">
            <v>2083</v>
          </cell>
          <cell r="Q63">
            <v>8678.4799999999959</v>
          </cell>
          <cell r="R63">
            <v>80278</v>
          </cell>
          <cell r="S63">
            <v>1950</v>
          </cell>
          <cell r="T63">
            <v>1441.6089999999999</v>
          </cell>
          <cell r="U63">
            <v>2316.8230800000001</v>
          </cell>
          <cell r="V63">
            <v>4013.9</v>
          </cell>
          <cell r="W63">
            <v>90000.332079999993</v>
          </cell>
          <cell r="Y63">
            <v>80278</v>
          </cell>
          <cell r="AA63">
            <v>200</v>
          </cell>
          <cell r="AB63">
            <v>1800</v>
          </cell>
          <cell r="AC63">
            <v>224</v>
          </cell>
          <cell r="AE63">
            <v>2224</v>
          </cell>
          <cell r="AF63">
            <v>85826.332079999993</v>
          </cell>
        </row>
        <row r="64">
          <cell r="C64" t="str">
            <v>BITS-646</v>
          </cell>
          <cell r="E64" t="str">
            <v>Vijay Kumar Sundara</v>
          </cell>
          <cell r="F64" t="str">
            <v>HYD STP</v>
          </cell>
          <cell r="G64">
            <v>90000</v>
          </cell>
          <cell r="H64">
            <v>80278</v>
          </cell>
          <cell r="I64">
            <v>31</v>
          </cell>
          <cell r="J64">
            <v>29</v>
          </cell>
          <cell r="K64">
            <v>2</v>
          </cell>
          <cell r="L64">
            <v>30</v>
          </cell>
          <cell r="M64">
            <v>46613.032258064515</v>
          </cell>
          <cell r="N64">
            <v>18645.212903225805</v>
          </cell>
          <cell r="O64">
            <v>2016</v>
          </cell>
          <cell r="P64">
            <v>2016</v>
          </cell>
          <cell r="Q64">
            <v>8398.1419354838727</v>
          </cell>
          <cell r="R64">
            <v>77688.387096774197</v>
          </cell>
          <cell r="S64">
            <v>1950</v>
          </cell>
          <cell r="T64">
            <v>1441.6089999999999</v>
          </cell>
          <cell r="U64">
            <v>2242.086851612903</v>
          </cell>
          <cell r="V64">
            <v>3884.4193548387098</v>
          </cell>
          <cell r="W64">
            <v>87206.502303225803</v>
          </cell>
          <cell r="Y64">
            <v>77688.387096774197</v>
          </cell>
          <cell r="AA64">
            <v>200</v>
          </cell>
          <cell r="AB64">
            <v>1800</v>
          </cell>
          <cell r="AC64">
            <v>224</v>
          </cell>
          <cell r="AE64">
            <v>2224</v>
          </cell>
          <cell r="AF64">
            <v>83032.115206451606</v>
          </cell>
        </row>
        <row r="65">
          <cell r="C65" t="str">
            <v>BITS-649</v>
          </cell>
          <cell r="E65" t="str">
            <v>Paparao</v>
          </cell>
          <cell r="F65">
            <v>44629</v>
          </cell>
          <cell r="G65">
            <v>125000</v>
          </cell>
          <cell r="H65">
            <v>112719</v>
          </cell>
          <cell r="I65">
            <v>31</v>
          </cell>
          <cell r="J65">
            <v>9</v>
          </cell>
          <cell r="L65">
            <v>9</v>
          </cell>
          <cell r="M65">
            <v>19634.922580645161</v>
          </cell>
          <cell r="N65">
            <v>7853.9690322580645</v>
          </cell>
          <cell r="O65">
            <v>605</v>
          </cell>
          <cell r="P65">
            <v>605</v>
          </cell>
          <cell r="Q65">
            <v>4025.9793548387097</v>
          </cell>
          <cell r="R65">
            <v>32724.870967741936</v>
          </cell>
          <cell r="S65">
            <v>1950</v>
          </cell>
          <cell r="T65">
            <v>1441.6089999999999</v>
          </cell>
          <cell r="U65">
            <v>944.43977612903223</v>
          </cell>
          <cell r="V65">
            <v>1636.2435483870968</v>
          </cell>
          <cell r="W65">
            <v>38697.163292258061</v>
          </cell>
          <cell r="Y65">
            <v>32724.870967741936</v>
          </cell>
          <cell r="AA65">
            <v>200</v>
          </cell>
          <cell r="AB65">
            <v>1800</v>
          </cell>
          <cell r="AC65">
            <v>224</v>
          </cell>
          <cell r="AE65">
            <v>2224</v>
          </cell>
          <cell r="AF65">
            <v>34523.292324516129</v>
          </cell>
        </row>
        <row r="66">
          <cell r="C66" t="str">
            <v>BITS-650</v>
          </cell>
          <cell r="E66" t="str">
            <v>Bhaskar Idagottu</v>
          </cell>
          <cell r="G66">
            <v>125000</v>
          </cell>
          <cell r="H66">
            <v>112719</v>
          </cell>
          <cell r="I66">
            <v>31</v>
          </cell>
          <cell r="J66">
            <v>30</v>
          </cell>
          <cell r="K66">
            <v>1</v>
          </cell>
          <cell r="L66">
            <v>31</v>
          </cell>
          <cell r="M66">
            <v>67631.399999999994</v>
          </cell>
          <cell r="N66">
            <v>27052.559999999998</v>
          </cell>
          <cell r="O66">
            <v>2083</v>
          </cell>
          <cell r="P66">
            <v>2083</v>
          </cell>
          <cell r="Q66">
            <v>13869.040000000008</v>
          </cell>
          <cell r="R66">
            <v>112719</v>
          </cell>
          <cell r="T66">
            <v>1441.6089999999999</v>
          </cell>
          <cell r="U66">
            <v>3253.0703399999993</v>
          </cell>
          <cell r="V66">
            <v>5635.95</v>
          </cell>
          <cell r="W66">
            <v>123049.62934</v>
          </cell>
          <cell r="Y66">
            <v>112719</v>
          </cell>
          <cell r="Z66">
            <v>4446</v>
          </cell>
          <cell r="AA66">
            <v>200</v>
          </cell>
          <cell r="AE66">
            <v>4646</v>
          </cell>
          <cell r="AF66">
            <v>118403.62934</v>
          </cell>
        </row>
        <row r="67">
          <cell r="C67" t="str">
            <v>BITS-651</v>
          </cell>
          <cell r="E67" t="str">
            <v>Snehal Shirsat</v>
          </cell>
          <cell r="F67" t="str">
            <v>PUNE ASC SEZ</v>
          </cell>
          <cell r="G67">
            <v>67000</v>
          </cell>
          <cell r="H67">
            <v>58959</v>
          </cell>
          <cell r="I67">
            <v>31</v>
          </cell>
          <cell r="J67">
            <v>30</v>
          </cell>
          <cell r="K67">
            <v>1</v>
          </cell>
          <cell r="L67">
            <v>31</v>
          </cell>
          <cell r="M67">
            <v>35375.4</v>
          </cell>
          <cell r="N67">
            <v>14150.160000000002</v>
          </cell>
          <cell r="O67">
            <v>2083</v>
          </cell>
          <cell r="P67">
            <v>2083</v>
          </cell>
          <cell r="Q67">
            <v>5267.4399999999951</v>
          </cell>
          <cell r="R67">
            <v>58959</v>
          </cell>
          <cell r="S67">
            <v>1950</v>
          </cell>
          <cell r="T67">
            <v>1441.6089999999999</v>
          </cell>
          <cell r="U67">
            <v>1701.55674</v>
          </cell>
          <cell r="V67">
            <v>2947.9500000000003</v>
          </cell>
          <cell r="W67">
            <v>67000.115739999994</v>
          </cell>
          <cell r="Y67">
            <v>58959</v>
          </cell>
          <cell r="AA67">
            <v>200</v>
          </cell>
          <cell r="AB67">
            <v>1800</v>
          </cell>
          <cell r="AC67">
            <v>254</v>
          </cell>
          <cell r="AE67">
            <v>2254</v>
          </cell>
          <cell r="AF67">
            <v>62796.115739999994</v>
          </cell>
        </row>
        <row r="68">
          <cell r="C68" t="str">
            <v>BITS-652</v>
          </cell>
          <cell r="E68" t="str">
            <v>Shaikh Mohammed Sartaj</v>
          </cell>
          <cell r="F68" t="str">
            <v>PUNE SEZ 2</v>
          </cell>
          <cell r="G68">
            <v>90000</v>
          </cell>
          <cell r="H68">
            <v>80278</v>
          </cell>
          <cell r="I68">
            <v>31</v>
          </cell>
          <cell r="J68">
            <v>27</v>
          </cell>
          <cell r="K68">
            <v>4</v>
          </cell>
          <cell r="L68">
            <v>28</v>
          </cell>
          <cell r="M68">
            <v>43505.49677419354</v>
          </cell>
          <cell r="N68">
            <v>17402.198709677417</v>
          </cell>
          <cell r="O68">
            <v>1881</v>
          </cell>
          <cell r="P68">
            <v>1881</v>
          </cell>
          <cell r="Q68">
            <v>7839.4658064516188</v>
          </cell>
          <cell r="R68">
            <v>72509.161290322576</v>
          </cell>
          <cell r="S68">
            <v>1950</v>
          </cell>
          <cell r="T68">
            <v>1441.6089999999999</v>
          </cell>
          <cell r="U68">
            <v>2092.6143948387089</v>
          </cell>
          <cell r="V68">
            <v>3625.4580645161282</v>
          </cell>
          <cell r="W68">
            <v>81618.842749677395</v>
          </cell>
          <cell r="Y68">
            <v>72509.161290322576</v>
          </cell>
          <cell r="AA68">
            <v>200</v>
          </cell>
          <cell r="AB68">
            <v>1800</v>
          </cell>
          <cell r="AC68">
            <v>254</v>
          </cell>
          <cell r="AE68">
            <v>2254</v>
          </cell>
          <cell r="AF68">
            <v>77414.681459354833</v>
          </cell>
        </row>
        <row r="69">
          <cell r="C69" t="str">
            <v>BITS-654</v>
          </cell>
          <cell r="E69" t="str">
            <v>Dinesh Kumar Maran</v>
          </cell>
          <cell r="F69" t="str">
            <v>Chennai STP</v>
          </cell>
          <cell r="G69">
            <v>50000</v>
          </cell>
          <cell r="H69">
            <v>43202</v>
          </cell>
          <cell r="I69">
            <v>31</v>
          </cell>
          <cell r="J69">
            <v>30</v>
          </cell>
          <cell r="K69">
            <v>1</v>
          </cell>
          <cell r="L69">
            <v>31</v>
          </cell>
          <cell r="M69">
            <v>25921.200000000001</v>
          </cell>
          <cell r="N69">
            <v>10368.480000000001</v>
          </cell>
          <cell r="O69">
            <v>2083</v>
          </cell>
          <cell r="P69">
            <v>2083</v>
          </cell>
          <cell r="Q69">
            <v>2746.3199999999997</v>
          </cell>
          <cell r="R69">
            <v>43202</v>
          </cell>
          <cell r="S69">
            <v>1950</v>
          </cell>
          <cell r="T69">
            <v>1441.6089999999999</v>
          </cell>
          <cell r="U69">
            <v>1246.80972</v>
          </cell>
          <cell r="V69">
            <v>2160.1</v>
          </cell>
          <cell r="W69">
            <v>50000.518719999993</v>
          </cell>
          <cell r="Y69">
            <v>43202</v>
          </cell>
          <cell r="AA69">
            <v>200</v>
          </cell>
          <cell r="AB69">
            <v>1800</v>
          </cell>
          <cell r="AC69">
            <v>254</v>
          </cell>
          <cell r="AE69">
            <v>2254</v>
          </cell>
          <cell r="AF69">
            <v>45796.518719999993</v>
          </cell>
        </row>
        <row r="70">
          <cell r="C70" t="str">
            <v>BITS-656</v>
          </cell>
          <cell r="E70" t="str">
            <v>Ranjith Kumar Karanam</v>
          </cell>
          <cell r="F70" t="str">
            <v>HYD STP</v>
          </cell>
          <cell r="G70">
            <v>120000</v>
          </cell>
          <cell r="H70">
            <v>108085</v>
          </cell>
          <cell r="I70">
            <v>31</v>
          </cell>
          <cell r="J70">
            <v>31</v>
          </cell>
          <cell r="L70">
            <v>31</v>
          </cell>
          <cell r="M70">
            <v>64851</v>
          </cell>
          <cell r="N70">
            <v>25940.400000000001</v>
          </cell>
          <cell r="O70">
            <v>2083</v>
          </cell>
          <cell r="P70">
            <v>2083</v>
          </cell>
          <cell r="Q70">
            <v>13127.600000000006</v>
          </cell>
          <cell r="R70">
            <v>108085</v>
          </cell>
          <cell r="S70">
            <v>1950</v>
          </cell>
          <cell r="T70">
            <v>1441.6089999999999</v>
          </cell>
          <cell r="U70">
            <v>3119.3330999999998</v>
          </cell>
          <cell r="V70">
            <v>5404.25</v>
          </cell>
          <cell r="W70">
            <v>120000.1921</v>
          </cell>
          <cell r="Y70">
            <v>108085</v>
          </cell>
          <cell r="AA70">
            <v>200</v>
          </cell>
          <cell r="AB70">
            <v>1800</v>
          </cell>
          <cell r="AC70">
            <v>254</v>
          </cell>
          <cell r="AE70">
            <v>2254</v>
          </cell>
          <cell r="AF70">
            <v>115796.1921</v>
          </cell>
        </row>
        <row r="71">
          <cell r="C71" t="str">
            <v>BITS-657</v>
          </cell>
          <cell r="E71" t="str">
            <v>Shashanki Mishra 15-3-2022</v>
          </cell>
          <cell r="F71" t="str">
            <v>PUNE ASC SEZ</v>
          </cell>
          <cell r="G71">
            <v>55000</v>
          </cell>
          <cell r="H71">
            <v>47836</v>
          </cell>
          <cell r="I71">
            <v>31</v>
          </cell>
          <cell r="J71">
            <v>15</v>
          </cell>
          <cell r="L71">
            <v>15</v>
          </cell>
          <cell r="M71">
            <v>13887.870967741937</v>
          </cell>
          <cell r="N71">
            <v>5555.148387096775</v>
          </cell>
          <cell r="O71">
            <v>1008</v>
          </cell>
          <cell r="P71">
            <v>1008</v>
          </cell>
          <cell r="Q71">
            <v>1687.4322580645166</v>
          </cell>
          <cell r="R71">
            <v>23146.451612903227</v>
          </cell>
          <cell r="S71">
            <v>1805.4232258064519</v>
          </cell>
          <cell r="T71">
            <v>1441.6089999999999</v>
          </cell>
          <cell r="U71">
            <v>668.00659354838717</v>
          </cell>
          <cell r="V71">
            <v>1157.3225806451615</v>
          </cell>
          <cell r="W71">
            <v>28218.813012903229</v>
          </cell>
          <cell r="Y71">
            <v>23146.451612903227</v>
          </cell>
          <cell r="AA71">
            <v>200</v>
          </cell>
          <cell r="AB71">
            <v>1667</v>
          </cell>
          <cell r="AC71">
            <v>254</v>
          </cell>
          <cell r="AE71">
            <v>2121</v>
          </cell>
          <cell r="AF71">
            <v>24291.93817419355</v>
          </cell>
        </row>
        <row r="72">
          <cell r="C72" t="str">
            <v>BITS-658</v>
          </cell>
          <cell r="E72" t="str">
            <v>Anjali Dubey</v>
          </cell>
          <cell r="F72" t="str">
            <v>PUNE ASC SEZ</v>
          </cell>
          <cell r="G72">
            <v>67000</v>
          </cell>
          <cell r="H72">
            <v>58959</v>
          </cell>
          <cell r="I72">
            <v>31</v>
          </cell>
          <cell r="J72">
            <v>30</v>
          </cell>
          <cell r="K72">
            <v>1</v>
          </cell>
          <cell r="L72">
            <v>31</v>
          </cell>
          <cell r="M72">
            <v>35375.4</v>
          </cell>
          <cell r="N72">
            <v>14150.160000000002</v>
          </cell>
          <cell r="O72">
            <v>2083</v>
          </cell>
          <cell r="P72">
            <v>2083</v>
          </cell>
          <cell r="Q72">
            <v>5267.4399999999951</v>
          </cell>
          <cell r="R72">
            <v>58959</v>
          </cell>
          <cell r="S72">
            <v>1950</v>
          </cell>
          <cell r="T72">
            <v>1441.6089999999999</v>
          </cell>
          <cell r="U72">
            <v>1701.55674</v>
          </cell>
          <cell r="V72">
            <v>2947.9500000000003</v>
          </cell>
          <cell r="W72">
            <v>67000.115739999994</v>
          </cell>
          <cell r="Y72">
            <v>58959</v>
          </cell>
          <cell r="AA72">
            <v>200</v>
          </cell>
          <cell r="AB72">
            <v>1800</v>
          </cell>
          <cell r="AC72">
            <v>254</v>
          </cell>
          <cell r="AE72">
            <v>2254</v>
          </cell>
          <cell r="AF72">
            <v>62796.115739999994</v>
          </cell>
        </row>
        <row r="73">
          <cell r="C73" t="str">
            <v>BITS-659</v>
          </cell>
          <cell r="E73" t="str">
            <v>Manzoor Ahamed</v>
          </cell>
          <cell r="F73" t="str">
            <v>BNG STP</v>
          </cell>
          <cell r="G73">
            <v>245000</v>
          </cell>
          <cell r="H73">
            <v>223948</v>
          </cell>
          <cell r="I73">
            <v>31</v>
          </cell>
          <cell r="J73">
            <v>31</v>
          </cell>
          <cell r="L73">
            <v>31</v>
          </cell>
          <cell r="M73">
            <v>134368.79999999999</v>
          </cell>
          <cell r="N73">
            <v>53747.519999999997</v>
          </cell>
          <cell r="O73">
            <v>2083</v>
          </cell>
          <cell r="P73">
            <v>2083</v>
          </cell>
          <cell r="Q73">
            <v>31665.680000000022</v>
          </cell>
          <cell r="R73">
            <v>223948</v>
          </cell>
          <cell r="S73">
            <v>1950</v>
          </cell>
          <cell r="T73">
            <v>1441.6089999999999</v>
          </cell>
          <cell r="U73">
            <v>6463.1392799999985</v>
          </cell>
          <cell r="V73">
            <v>11197.4</v>
          </cell>
          <cell r="W73">
            <v>245000.14827999999</v>
          </cell>
          <cell r="Y73">
            <v>223948</v>
          </cell>
          <cell r="Z73">
            <v>35917</v>
          </cell>
          <cell r="AA73">
            <v>200</v>
          </cell>
          <cell r="AB73">
            <v>1800</v>
          </cell>
          <cell r="AC73">
            <v>286</v>
          </cell>
          <cell r="AE73">
            <v>38203</v>
          </cell>
          <cell r="AF73">
            <v>204847.14827999999</v>
          </cell>
        </row>
        <row r="74">
          <cell r="C74" t="str">
            <v>BITS-660</v>
          </cell>
          <cell r="E74" t="str">
            <v>Moin Ahemad Jahur Ahemad Kumarkiri</v>
          </cell>
          <cell r="F74" t="str">
            <v>PUNE SEZ 2</v>
          </cell>
          <cell r="G74">
            <v>158000</v>
          </cell>
          <cell r="H74">
            <v>143307</v>
          </cell>
          <cell r="I74">
            <v>31</v>
          </cell>
          <cell r="J74">
            <v>31</v>
          </cell>
          <cell r="L74">
            <v>31</v>
          </cell>
          <cell r="M74">
            <v>85984.2</v>
          </cell>
          <cell r="N74">
            <v>34393.68</v>
          </cell>
          <cell r="O74">
            <v>2083</v>
          </cell>
          <cell r="P74">
            <v>2083</v>
          </cell>
          <cell r="Q74">
            <v>18763.119999999995</v>
          </cell>
          <cell r="R74">
            <v>143307</v>
          </cell>
          <cell r="S74">
            <v>1950</v>
          </cell>
          <cell r="T74">
            <v>1441.6089999999999</v>
          </cell>
          <cell r="U74">
            <v>4135.8400199999996</v>
          </cell>
          <cell r="V74">
            <v>7165.3499999999995</v>
          </cell>
          <cell r="W74">
            <v>157999.79902000001</v>
          </cell>
          <cell r="Y74">
            <v>143307</v>
          </cell>
          <cell r="Z74">
            <v>11561</v>
          </cell>
          <cell r="AA74">
            <v>200</v>
          </cell>
          <cell r="AB74">
            <v>1800</v>
          </cell>
          <cell r="AC74">
            <v>254</v>
          </cell>
          <cell r="AE74">
            <v>13815</v>
          </cell>
          <cell r="AF74">
            <v>142234.79902000001</v>
          </cell>
        </row>
        <row r="75">
          <cell r="C75" t="str">
            <v>BITS-661</v>
          </cell>
          <cell r="E75" t="str">
            <v>Hemanth Mishra</v>
          </cell>
          <cell r="F75" t="str">
            <v>PUNE SEZ 1</v>
          </cell>
          <cell r="G75">
            <v>110000</v>
          </cell>
          <cell r="H75">
            <v>98816</v>
          </cell>
          <cell r="I75">
            <v>31</v>
          </cell>
          <cell r="J75">
            <v>30</v>
          </cell>
          <cell r="K75">
            <v>1</v>
          </cell>
          <cell r="L75">
            <v>31</v>
          </cell>
          <cell r="M75">
            <v>59289.599999999999</v>
          </cell>
          <cell r="N75">
            <v>23715.84</v>
          </cell>
          <cell r="O75">
            <v>2083</v>
          </cell>
          <cell r="P75">
            <v>2083</v>
          </cell>
          <cell r="Q75">
            <v>11644.559999999998</v>
          </cell>
          <cell r="R75">
            <v>98816</v>
          </cell>
          <cell r="S75">
            <v>1950</v>
          </cell>
          <cell r="T75">
            <v>1441.6089999999999</v>
          </cell>
          <cell r="U75">
            <v>2851.8297599999996</v>
          </cell>
          <cell r="V75">
            <v>4940.8</v>
          </cell>
          <cell r="W75">
            <v>110000.23875999999</v>
          </cell>
          <cell r="Y75">
            <v>98816</v>
          </cell>
          <cell r="AA75">
            <v>200</v>
          </cell>
          <cell r="AB75">
            <v>1800</v>
          </cell>
          <cell r="AC75">
            <v>254</v>
          </cell>
          <cell r="AE75">
            <v>2254</v>
          </cell>
          <cell r="AF75">
            <v>105796.23875999999</v>
          </cell>
        </row>
        <row r="76">
          <cell r="C76" t="str">
            <v>BITS-662</v>
          </cell>
          <cell r="E76" t="str">
            <v>Sandeep Kumar Gupta</v>
          </cell>
          <cell r="F76" t="str">
            <v>HYD SEZ</v>
          </cell>
          <cell r="G76">
            <v>125000</v>
          </cell>
          <cell r="H76">
            <v>112719</v>
          </cell>
          <cell r="I76">
            <v>31</v>
          </cell>
          <cell r="J76">
            <v>29</v>
          </cell>
          <cell r="K76">
            <v>2</v>
          </cell>
          <cell r="L76">
            <v>30</v>
          </cell>
          <cell r="M76">
            <v>65449.741935483871</v>
          </cell>
          <cell r="N76">
            <v>26179.896774193548</v>
          </cell>
          <cell r="O76">
            <v>2016</v>
          </cell>
          <cell r="P76">
            <v>2016</v>
          </cell>
          <cell r="Q76">
            <v>13421.264516129042</v>
          </cell>
          <cell r="R76">
            <v>109082.90322580645</v>
          </cell>
          <cell r="S76">
            <v>1950</v>
          </cell>
          <cell r="T76">
            <v>1441.6089999999999</v>
          </cell>
          <cell r="U76">
            <v>3148.1325870967739</v>
          </cell>
          <cell r="V76">
            <v>5454.1451612903229</v>
          </cell>
          <cell r="W76">
            <v>121076.78997419354</v>
          </cell>
          <cell r="Y76">
            <v>109082.90322580645</v>
          </cell>
          <cell r="AA76">
            <v>200</v>
          </cell>
          <cell r="AB76">
            <v>1800</v>
          </cell>
          <cell r="AC76">
            <v>254</v>
          </cell>
          <cell r="AE76">
            <v>2254</v>
          </cell>
          <cell r="AF76">
            <v>116872.88674838709</v>
          </cell>
        </row>
        <row r="77">
          <cell r="C77" t="str">
            <v>BITS-663</v>
          </cell>
          <cell r="E77" t="str">
            <v>FAZALAHMED IRKAL</v>
          </cell>
          <cell r="F77" t="str">
            <v>PUNE SEZ 1</v>
          </cell>
          <cell r="G77">
            <v>68000</v>
          </cell>
          <cell r="H77">
            <v>59886</v>
          </cell>
          <cell r="I77">
            <v>31</v>
          </cell>
          <cell r="J77">
            <v>30</v>
          </cell>
          <cell r="K77">
            <v>1</v>
          </cell>
          <cell r="L77">
            <v>31</v>
          </cell>
          <cell r="M77">
            <v>35931.599999999999</v>
          </cell>
          <cell r="N77">
            <v>14372.64</v>
          </cell>
          <cell r="O77">
            <v>2083</v>
          </cell>
          <cell r="P77">
            <v>2083</v>
          </cell>
          <cell r="Q77">
            <v>5415.760000000002</v>
          </cell>
          <cell r="R77">
            <v>59886</v>
          </cell>
          <cell r="S77">
            <v>1950</v>
          </cell>
          <cell r="T77">
            <v>1441.6089999999999</v>
          </cell>
          <cell r="U77">
            <v>1728.3099599999998</v>
          </cell>
          <cell r="V77">
            <v>2994.2999999999997</v>
          </cell>
          <cell r="W77">
            <v>68000.218959999998</v>
          </cell>
          <cell r="Y77">
            <v>59886</v>
          </cell>
          <cell r="AA77">
            <v>200</v>
          </cell>
          <cell r="AB77">
            <v>1800</v>
          </cell>
          <cell r="AC77">
            <v>254</v>
          </cell>
          <cell r="AE77">
            <v>2254</v>
          </cell>
          <cell r="AF77">
            <v>63796.218959999998</v>
          </cell>
        </row>
        <row r="78">
          <cell r="C78" t="str">
            <v>BITS-664</v>
          </cell>
          <cell r="E78" t="str">
            <v>Savana Saritha Dora</v>
          </cell>
          <cell r="F78" t="str">
            <v>PUNE SEZ 2</v>
          </cell>
          <cell r="G78">
            <v>63000</v>
          </cell>
          <cell r="H78">
            <v>55251</v>
          </cell>
          <cell r="I78">
            <v>31</v>
          </cell>
          <cell r="J78">
            <v>30</v>
          </cell>
          <cell r="K78">
            <v>1</v>
          </cell>
          <cell r="L78">
            <v>31</v>
          </cell>
          <cell r="M78">
            <v>33150.6</v>
          </cell>
          <cell r="N78">
            <v>13260.24</v>
          </cell>
          <cell r="O78">
            <v>2083</v>
          </cell>
          <cell r="P78">
            <v>2083</v>
          </cell>
          <cell r="Q78">
            <v>4674.1600000000035</v>
          </cell>
          <cell r="R78">
            <v>55251</v>
          </cell>
          <cell r="S78">
            <v>1950</v>
          </cell>
          <cell r="T78">
            <v>1441.6089999999999</v>
          </cell>
          <cell r="U78">
            <v>1594.5438599999998</v>
          </cell>
          <cell r="V78">
            <v>2762.5499999999997</v>
          </cell>
          <cell r="W78">
            <v>62999.702859999998</v>
          </cell>
          <cell r="Y78">
            <v>55251</v>
          </cell>
          <cell r="AA78">
            <v>200</v>
          </cell>
          <cell r="AB78">
            <v>1800</v>
          </cell>
          <cell r="AC78">
            <v>286</v>
          </cell>
          <cell r="AE78">
            <v>2286</v>
          </cell>
          <cell r="AF78">
            <v>58763.702859999998</v>
          </cell>
        </row>
        <row r="79">
          <cell r="C79" t="str">
            <v>BITS-667</v>
          </cell>
          <cell r="E79" t="str">
            <v>SUKRUTH YELLAMBOTLA</v>
          </cell>
          <cell r="F79" t="str">
            <v>PUNE SEZ 1</v>
          </cell>
          <cell r="G79">
            <v>42000</v>
          </cell>
          <cell r="H79">
            <v>35786</v>
          </cell>
          <cell r="I79">
            <v>31</v>
          </cell>
          <cell r="J79">
            <v>28</v>
          </cell>
          <cell r="K79">
            <v>3</v>
          </cell>
          <cell r="L79">
            <v>29</v>
          </cell>
          <cell r="M79">
            <v>20086.335483870967</v>
          </cell>
          <cell r="N79">
            <v>8034.5341935483875</v>
          </cell>
          <cell r="O79">
            <v>1949</v>
          </cell>
          <cell r="P79">
            <v>1949</v>
          </cell>
          <cell r="Q79">
            <v>1458.3561290322577</v>
          </cell>
          <cell r="R79">
            <v>33477.225806451614</v>
          </cell>
          <cell r="S79">
            <v>1950</v>
          </cell>
          <cell r="T79">
            <v>1441.6089999999999</v>
          </cell>
          <cell r="U79">
            <v>966.1527367741935</v>
          </cell>
          <cell r="V79">
            <v>1673.8612903225805</v>
          </cell>
          <cell r="W79">
            <v>39508.848833548385</v>
          </cell>
          <cell r="Y79">
            <v>33477.225806451614</v>
          </cell>
          <cell r="AA79">
            <v>200</v>
          </cell>
          <cell r="AB79">
            <v>1800</v>
          </cell>
          <cell r="AC79">
            <v>252</v>
          </cell>
          <cell r="AE79">
            <v>2252</v>
          </cell>
          <cell r="AF79">
            <v>35306.623027096772</v>
          </cell>
        </row>
        <row r="80">
          <cell r="C80" t="str">
            <v>BITS-668</v>
          </cell>
          <cell r="E80" t="str">
            <v xml:space="preserve">Mandar Shetty </v>
          </cell>
          <cell r="F80" t="str">
            <v>PUNE SEZ 2</v>
          </cell>
          <cell r="G80">
            <v>116000</v>
          </cell>
          <cell r="H80">
            <v>104377</v>
          </cell>
          <cell r="I80">
            <v>31</v>
          </cell>
          <cell r="J80">
            <v>31</v>
          </cell>
          <cell r="L80">
            <v>31</v>
          </cell>
          <cell r="M80">
            <v>62626.2</v>
          </cell>
          <cell r="N80">
            <v>25050.48</v>
          </cell>
          <cell r="O80">
            <v>2083</v>
          </cell>
          <cell r="P80">
            <v>2083</v>
          </cell>
          <cell r="Q80">
            <v>12534.320000000007</v>
          </cell>
          <cell r="R80">
            <v>104377</v>
          </cell>
          <cell r="S80">
            <v>1950</v>
          </cell>
          <cell r="T80">
            <v>1441.6089999999999</v>
          </cell>
          <cell r="U80">
            <v>3012.3202199999996</v>
          </cell>
          <cell r="V80">
            <v>5218.8499999999995</v>
          </cell>
          <cell r="W80">
            <v>115999.77922</v>
          </cell>
          <cell r="Y80">
            <v>104377</v>
          </cell>
          <cell r="AA80">
            <v>200</v>
          </cell>
          <cell r="AB80">
            <v>1800</v>
          </cell>
          <cell r="AC80">
            <v>283</v>
          </cell>
          <cell r="AE80">
            <v>2283</v>
          </cell>
          <cell r="AF80">
            <v>111766.77922</v>
          </cell>
        </row>
        <row r="81">
          <cell r="C81" t="str">
            <v>BITS-671</v>
          </cell>
          <cell r="E81" t="str">
            <v>Ramakrishna J Reddy</v>
          </cell>
          <cell r="F81" t="str">
            <v>BNG STP</v>
          </cell>
          <cell r="G81">
            <v>210000</v>
          </cell>
          <cell r="H81">
            <v>191506</v>
          </cell>
          <cell r="I81">
            <v>31</v>
          </cell>
          <cell r="J81">
            <v>31</v>
          </cell>
          <cell r="L81">
            <v>31</v>
          </cell>
          <cell r="M81">
            <v>114903.6</v>
          </cell>
          <cell r="N81">
            <v>45961.440000000002</v>
          </cell>
          <cell r="O81">
            <v>2083</v>
          </cell>
          <cell r="P81">
            <v>2083</v>
          </cell>
          <cell r="Q81">
            <v>26474.959999999992</v>
          </cell>
          <cell r="R81">
            <v>191506</v>
          </cell>
          <cell r="S81">
            <v>1950</v>
          </cell>
          <cell r="T81">
            <v>1441.6089999999999</v>
          </cell>
          <cell r="U81">
            <v>5526.8631599999999</v>
          </cell>
          <cell r="V81">
            <v>9575.3000000000011</v>
          </cell>
          <cell r="W81">
            <v>209999.77215999999</v>
          </cell>
          <cell r="Y81">
            <v>191506</v>
          </cell>
          <cell r="AA81">
            <v>200</v>
          </cell>
          <cell r="AB81">
            <v>1800</v>
          </cell>
          <cell r="AC81">
            <v>252</v>
          </cell>
          <cell r="AE81">
            <v>2252</v>
          </cell>
          <cell r="AF81">
            <v>205797.77215999999</v>
          </cell>
        </row>
        <row r="82">
          <cell r="C82" t="str">
            <v>BITS-672</v>
          </cell>
          <cell r="E82" t="str">
            <v xml:space="preserve">Vivek Dongre </v>
          </cell>
          <cell r="F82" t="str">
            <v>PUNE SEZ 2</v>
          </cell>
          <cell r="G82">
            <v>75000</v>
          </cell>
          <cell r="H82">
            <v>66374</v>
          </cell>
          <cell r="I82">
            <v>31</v>
          </cell>
          <cell r="J82">
            <v>29</v>
          </cell>
          <cell r="K82">
            <v>2</v>
          </cell>
          <cell r="L82">
            <v>30</v>
          </cell>
          <cell r="M82">
            <v>38539.741935483871</v>
          </cell>
          <cell r="N82">
            <v>15415.896774193548</v>
          </cell>
          <cell r="O82">
            <v>2016</v>
          </cell>
          <cell r="P82">
            <v>2016</v>
          </cell>
          <cell r="Q82">
            <v>6245.2645161290347</v>
          </cell>
          <cell r="R82">
            <v>64232.903225806454</v>
          </cell>
          <cell r="S82">
            <v>1950</v>
          </cell>
          <cell r="T82">
            <v>1441.6089999999999</v>
          </cell>
          <cell r="U82">
            <v>1853.7615870967741</v>
          </cell>
          <cell r="V82">
            <v>3211.6451612903224</v>
          </cell>
          <cell r="W82">
            <v>72689.918974193541</v>
          </cell>
          <cell r="Y82">
            <v>64232.903225806454</v>
          </cell>
          <cell r="AA82">
            <v>200</v>
          </cell>
          <cell r="AB82">
            <v>1800</v>
          </cell>
          <cell r="AC82">
            <v>252</v>
          </cell>
          <cell r="AE82">
            <v>2252</v>
          </cell>
          <cell r="AF82">
            <v>68488.015748387086</v>
          </cell>
        </row>
        <row r="83">
          <cell r="C83" t="str">
            <v>BITS-673</v>
          </cell>
          <cell r="E83" t="str">
            <v>Praveen Kumar Beesabat 9-3-2022</v>
          </cell>
          <cell r="F83" t="str">
            <v>HYD SEZ</v>
          </cell>
          <cell r="G83">
            <v>90000</v>
          </cell>
          <cell r="H83">
            <v>80278</v>
          </cell>
          <cell r="I83">
            <v>31</v>
          </cell>
          <cell r="J83">
            <v>31</v>
          </cell>
          <cell r="L83">
            <v>31</v>
          </cell>
          <cell r="M83">
            <v>48166.8</v>
          </cell>
          <cell r="N83">
            <v>19266.72</v>
          </cell>
          <cell r="O83">
            <v>2083</v>
          </cell>
          <cell r="P83">
            <v>2083</v>
          </cell>
          <cell r="Q83">
            <v>8678.4799999999959</v>
          </cell>
          <cell r="R83">
            <v>80278</v>
          </cell>
          <cell r="S83">
            <v>1950</v>
          </cell>
          <cell r="T83">
            <v>1441.6089999999999</v>
          </cell>
          <cell r="U83">
            <v>2316.8230800000001</v>
          </cell>
          <cell r="V83">
            <v>4013.9</v>
          </cell>
          <cell r="W83">
            <v>90000.332079999993</v>
          </cell>
          <cell r="Y83">
            <v>80278</v>
          </cell>
          <cell r="AA83">
            <v>200</v>
          </cell>
          <cell r="AB83">
            <v>1800</v>
          </cell>
          <cell r="AC83">
            <v>252</v>
          </cell>
          <cell r="AE83">
            <v>2252</v>
          </cell>
          <cell r="AF83">
            <v>85798.332079999993</v>
          </cell>
        </row>
        <row r="84">
          <cell r="C84" t="str">
            <v>BITS-674</v>
          </cell>
          <cell r="E84" t="str">
            <v>Amit Chalwadi</v>
          </cell>
          <cell r="F84" t="str">
            <v>PUNE SEZ 2</v>
          </cell>
          <cell r="G84">
            <v>90000</v>
          </cell>
          <cell r="H84">
            <v>80278</v>
          </cell>
          <cell r="I84">
            <v>31</v>
          </cell>
          <cell r="J84">
            <v>31</v>
          </cell>
          <cell r="L84">
            <v>31</v>
          </cell>
          <cell r="M84">
            <v>48166.8</v>
          </cell>
          <cell r="N84">
            <v>19266.72</v>
          </cell>
          <cell r="O84">
            <v>2083</v>
          </cell>
          <cell r="P84">
            <v>2083</v>
          </cell>
          <cell r="Q84">
            <v>8678.4799999999959</v>
          </cell>
          <cell r="R84">
            <v>80278</v>
          </cell>
          <cell r="S84">
            <v>1950</v>
          </cell>
          <cell r="T84">
            <v>1441.6089999999999</v>
          </cell>
          <cell r="U84">
            <v>2316.8230800000001</v>
          </cell>
          <cell r="V84">
            <v>4013.9</v>
          </cell>
          <cell r="W84">
            <v>90000.332079999993</v>
          </cell>
          <cell r="Y84">
            <v>80278</v>
          </cell>
          <cell r="AA84">
            <v>200</v>
          </cell>
          <cell r="AB84">
            <v>1800</v>
          </cell>
          <cell r="AC84">
            <v>283</v>
          </cell>
          <cell r="AE84">
            <v>2283</v>
          </cell>
          <cell r="AF84">
            <v>85767.332079999993</v>
          </cell>
        </row>
        <row r="85">
          <cell r="C85" t="str">
            <v>BITS-675</v>
          </cell>
          <cell r="E85" t="str">
            <v xml:space="preserve">Nikhila Kaveri </v>
          </cell>
          <cell r="F85" t="str">
            <v>HYD SEZ</v>
          </cell>
          <cell r="G85">
            <v>120000</v>
          </cell>
          <cell r="H85">
            <v>108085</v>
          </cell>
          <cell r="I85">
            <v>31</v>
          </cell>
          <cell r="J85">
            <v>29</v>
          </cell>
          <cell r="K85">
            <v>2</v>
          </cell>
          <cell r="L85">
            <v>30</v>
          </cell>
          <cell r="M85">
            <v>62759.032258064515</v>
          </cell>
          <cell r="N85">
            <v>25103.612903225807</v>
          </cell>
          <cell r="O85">
            <v>2016</v>
          </cell>
          <cell r="P85">
            <v>2016</v>
          </cell>
          <cell r="Q85">
            <v>12703.741935483878</v>
          </cell>
          <cell r="R85">
            <v>104598.3870967742</v>
          </cell>
          <cell r="S85">
            <v>1950</v>
          </cell>
          <cell r="T85">
            <v>1441.6089999999999</v>
          </cell>
          <cell r="U85">
            <v>3018.7094516129027</v>
          </cell>
          <cell r="V85">
            <v>5229.9193548387093</v>
          </cell>
          <cell r="W85">
            <v>116238.62490322581</v>
          </cell>
          <cell r="Y85">
            <v>104598.3870967742</v>
          </cell>
          <cell r="AA85">
            <v>200</v>
          </cell>
          <cell r="AB85">
            <v>1800</v>
          </cell>
          <cell r="AC85">
            <v>252</v>
          </cell>
          <cell r="AE85">
            <v>2252</v>
          </cell>
          <cell r="AF85">
            <v>112036.23780645161</v>
          </cell>
        </row>
        <row r="86">
          <cell r="C86" t="str">
            <v>BITS-677</v>
          </cell>
          <cell r="E86" t="str">
            <v>Ashwini Nanaware</v>
          </cell>
          <cell r="F86" t="str">
            <v>PUNE SEZ 2</v>
          </cell>
          <cell r="G86">
            <v>62000</v>
          </cell>
          <cell r="H86">
            <v>54324</v>
          </cell>
          <cell r="I86">
            <v>31</v>
          </cell>
          <cell r="J86">
            <v>31</v>
          </cell>
          <cell r="L86">
            <v>31</v>
          </cell>
          <cell r="M86">
            <v>32594.400000000001</v>
          </cell>
          <cell r="N86">
            <v>13037.760000000002</v>
          </cell>
          <cell r="O86">
            <v>2083</v>
          </cell>
          <cell r="P86">
            <v>2083</v>
          </cell>
          <cell r="Q86">
            <v>4525.8399999999965</v>
          </cell>
          <cell r="R86">
            <v>54324</v>
          </cell>
          <cell r="S86">
            <v>1950</v>
          </cell>
          <cell r="T86">
            <v>1441.6089999999999</v>
          </cell>
          <cell r="U86">
            <v>1567.7906399999999</v>
          </cell>
          <cell r="V86">
            <v>2716.2000000000003</v>
          </cell>
          <cell r="W86">
            <v>61999.599639999993</v>
          </cell>
          <cell r="Y86">
            <v>54324</v>
          </cell>
          <cell r="AA86">
            <v>200</v>
          </cell>
          <cell r="AB86">
            <v>1800</v>
          </cell>
          <cell r="AC86">
            <v>283</v>
          </cell>
          <cell r="AE86">
            <v>2283</v>
          </cell>
          <cell r="AF86">
            <v>57766.599639999993</v>
          </cell>
        </row>
        <row r="87">
          <cell r="C87" t="str">
            <v>BITS-678</v>
          </cell>
          <cell r="E87" t="str">
            <v>Kaushal Sushil Sharma</v>
          </cell>
          <cell r="F87" t="str">
            <v>PUNE SEZ 2</v>
          </cell>
          <cell r="G87">
            <v>70000</v>
          </cell>
          <cell r="H87">
            <v>61740</v>
          </cell>
          <cell r="I87">
            <v>31</v>
          </cell>
          <cell r="J87">
            <v>30</v>
          </cell>
          <cell r="K87">
            <v>1</v>
          </cell>
          <cell r="L87">
            <v>31</v>
          </cell>
          <cell r="M87">
            <v>37044</v>
          </cell>
          <cell r="N87">
            <v>14817.6</v>
          </cell>
          <cell r="O87">
            <v>2083</v>
          </cell>
          <cell r="P87">
            <v>2083</v>
          </cell>
          <cell r="Q87">
            <v>5712.4000000000015</v>
          </cell>
          <cell r="R87">
            <v>61740</v>
          </cell>
          <cell r="S87">
            <v>1950</v>
          </cell>
          <cell r="T87">
            <v>1441.6089999999999</v>
          </cell>
          <cell r="U87">
            <v>1781.8163999999999</v>
          </cell>
          <cell r="V87">
            <v>3087</v>
          </cell>
          <cell r="W87">
            <v>70000.425400000007</v>
          </cell>
          <cell r="Y87">
            <v>61740</v>
          </cell>
          <cell r="AA87">
            <v>200</v>
          </cell>
          <cell r="AB87">
            <v>1800</v>
          </cell>
          <cell r="AC87">
            <v>283</v>
          </cell>
          <cell r="AE87">
            <v>2283</v>
          </cell>
          <cell r="AF87">
            <v>65767.425400000007</v>
          </cell>
        </row>
        <row r="88">
          <cell r="C88" t="str">
            <v>BITS-679</v>
          </cell>
          <cell r="E88" t="str">
            <v>Praveen Kumar Tandra</v>
          </cell>
          <cell r="F88" t="str">
            <v>BNG STP</v>
          </cell>
          <cell r="G88">
            <v>110000</v>
          </cell>
          <cell r="H88">
            <v>98816</v>
          </cell>
          <cell r="I88">
            <v>31</v>
          </cell>
          <cell r="J88">
            <v>31</v>
          </cell>
          <cell r="L88">
            <v>31</v>
          </cell>
          <cell r="M88">
            <v>59289.599999999999</v>
          </cell>
          <cell r="N88">
            <v>23715.84</v>
          </cell>
          <cell r="O88">
            <v>2083</v>
          </cell>
          <cell r="P88">
            <v>2083</v>
          </cell>
          <cell r="Q88">
            <v>11644.559999999998</v>
          </cell>
          <cell r="R88">
            <v>98816</v>
          </cell>
          <cell r="S88">
            <v>1950</v>
          </cell>
          <cell r="T88">
            <v>1441.6089999999999</v>
          </cell>
          <cell r="U88">
            <v>2851.8297599999996</v>
          </cell>
          <cell r="V88">
            <v>4940.8</v>
          </cell>
          <cell r="W88">
            <v>110000.23875999999</v>
          </cell>
          <cell r="Y88">
            <v>98816</v>
          </cell>
          <cell r="AA88">
            <v>200</v>
          </cell>
          <cell r="AB88">
            <v>1800</v>
          </cell>
          <cell r="AC88">
            <v>283</v>
          </cell>
          <cell r="AE88">
            <v>2283</v>
          </cell>
          <cell r="AF88">
            <v>105767.23875999999</v>
          </cell>
        </row>
        <row r="89">
          <cell r="C89" t="str">
            <v>BITS-680</v>
          </cell>
          <cell r="E89" t="str">
            <v>Arvind Akhare</v>
          </cell>
          <cell r="F89" t="str">
            <v>PUNE SEZ 2</v>
          </cell>
          <cell r="G89">
            <v>95000</v>
          </cell>
          <cell r="H89">
            <v>84912</v>
          </cell>
          <cell r="I89">
            <v>31</v>
          </cell>
          <cell r="J89">
            <v>31</v>
          </cell>
          <cell r="L89">
            <v>31</v>
          </cell>
          <cell r="M89">
            <v>50947.199999999997</v>
          </cell>
          <cell r="N89">
            <v>20378.88</v>
          </cell>
          <cell r="O89">
            <v>2083</v>
          </cell>
          <cell r="P89">
            <v>2083</v>
          </cell>
          <cell r="Q89">
            <v>9419.9199999999983</v>
          </cell>
          <cell r="R89">
            <v>84912</v>
          </cell>
          <cell r="S89">
            <v>1950</v>
          </cell>
          <cell r="T89">
            <v>1441.6089999999999</v>
          </cell>
          <cell r="U89">
            <v>2450.5603199999996</v>
          </cell>
          <cell r="V89">
            <v>4245.5999999999995</v>
          </cell>
          <cell r="W89">
            <v>94999.769320000007</v>
          </cell>
          <cell r="Y89">
            <v>84912</v>
          </cell>
          <cell r="AA89">
            <v>200</v>
          </cell>
          <cell r="AB89">
            <v>1800</v>
          </cell>
          <cell r="AC89">
            <v>283</v>
          </cell>
          <cell r="AE89">
            <v>2283</v>
          </cell>
          <cell r="AF89">
            <v>90766.769320000007</v>
          </cell>
        </row>
        <row r="90">
          <cell r="C90" t="str">
            <v>BITS-681</v>
          </cell>
          <cell r="E90" t="str">
            <v>Pallavi Rishikesh Naik</v>
          </cell>
          <cell r="F90" t="str">
            <v>PUNE SEZ 2</v>
          </cell>
          <cell r="G90">
            <v>80000</v>
          </cell>
          <cell r="H90">
            <v>71009</v>
          </cell>
          <cell r="I90">
            <v>31</v>
          </cell>
          <cell r="J90">
            <v>30</v>
          </cell>
          <cell r="K90">
            <v>1</v>
          </cell>
          <cell r="L90">
            <v>31</v>
          </cell>
          <cell r="M90">
            <v>42605.4</v>
          </cell>
          <cell r="N90">
            <v>17042.16</v>
          </cell>
          <cell r="O90">
            <v>2083</v>
          </cell>
          <cell r="P90">
            <v>2083</v>
          </cell>
          <cell r="Q90">
            <v>7195.4400000000023</v>
          </cell>
          <cell r="R90">
            <v>71009</v>
          </cell>
          <cell r="S90">
            <v>1950</v>
          </cell>
          <cell r="T90">
            <v>1441.6089999999999</v>
          </cell>
          <cell r="U90">
            <v>2049.3197399999999</v>
          </cell>
          <cell r="V90">
            <v>3550.4500000000003</v>
          </cell>
          <cell r="W90">
            <v>80000.37874</v>
          </cell>
          <cell r="Y90">
            <v>71009</v>
          </cell>
          <cell r="AA90">
            <v>200</v>
          </cell>
          <cell r="AB90">
            <v>1800</v>
          </cell>
          <cell r="AC90">
            <v>283</v>
          </cell>
          <cell r="AE90">
            <v>2283</v>
          </cell>
          <cell r="AF90">
            <v>75767.37874</v>
          </cell>
        </row>
        <row r="91">
          <cell r="C91" t="str">
            <v>BITS-682</v>
          </cell>
          <cell r="E91" t="str">
            <v>Ajay Singh</v>
          </cell>
          <cell r="F91" t="str">
            <v>PUNE SEZ 1</v>
          </cell>
          <cell r="G91">
            <v>142000</v>
          </cell>
          <cell r="H91">
            <v>128477</v>
          </cell>
          <cell r="I91">
            <v>31</v>
          </cell>
          <cell r="J91">
            <v>30</v>
          </cell>
          <cell r="K91">
            <v>1</v>
          </cell>
          <cell r="L91">
            <v>31</v>
          </cell>
          <cell r="M91">
            <v>77086.2</v>
          </cell>
          <cell r="N91">
            <v>30834.48</v>
          </cell>
          <cell r="O91">
            <v>2083</v>
          </cell>
          <cell r="P91">
            <v>2083</v>
          </cell>
          <cell r="Q91">
            <v>16390.320000000007</v>
          </cell>
          <cell r="R91">
            <v>128477</v>
          </cell>
          <cell r="S91">
            <v>1950</v>
          </cell>
          <cell r="T91">
            <v>1441.6089999999999</v>
          </cell>
          <cell r="U91">
            <v>3707.8462199999999</v>
          </cell>
          <cell r="V91">
            <v>6423.8499999999995</v>
          </cell>
          <cell r="W91">
            <v>142000.30522000001</v>
          </cell>
          <cell r="Y91">
            <v>128477</v>
          </cell>
          <cell r="AA91">
            <v>200</v>
          </cell>
          <cell r="AB91">
            <v>1800</v>
          </cell>
          <cell r="AC91">
            <v>283</v>
          </cell>
          <cell r="AE91">
            <v>2283</v>
          </cell>
          <cell r="AF91">
            <v>137767.30522000001</v>
          </cell>
        </row>
        <row r="92">
          <cell r="C92" t="str">
            <v>BITS-683</v>
          </cell>
          <cell r="E92" t="str">
            <v>TUSHAR UCHAGAONKAR</v>
          </cell>
          <cell r="F92" t="str">
            <v>PUNE ASC SEZ</v>
          </cell>
          <cell r="G92">
            <v>87000</v>
          </cell>
          <cell r="H92">
            <v>77497</v>
          </cell>
          <cell r="I92">
            <v>31</v>
          </cell>
          <cell r="J92">
            <v>30</v>
          </cell>
          <cell r="K92">
            <v>1</v>
          </cell>
          <cell r="L92">
            <v>31</v>
          </cell>
          <cell r="M92">
            <v>46498.2</v>
          </cell>
          <cell r="N92">
            <v>18599.28</v>
          </cell>
          <cell r="O92">
            <v>2083</v>
          </cell>
          <cell r="P92">
            <v>2083</v>
          </cell>
          <cell r="Q92">
            <v>8233.5200000000041</v>
          </cell>
          <cell r="R92">
            <v>77497</v>
          </cell>
          <cell r="S92">
            <v>1950</v>
          </cell>
          <cell r="T92">
            <v>1441.6089999999999</v>
          </cell>
          <cell r="U92">
            <v>2236.56342</v>
          </cell>
          <cell r="V92">
            <v>3874.85</v>
          </cell>
          <cell r="W92">
            <v>87000.022420000008</v>
          </cell>
          <cell r="Y92">
            <v>77497</v>
          </cell>
          <cell r="AA92">
            <v>200</v>
          </cell>
          <cell r="AB92">
            <v>1800</v>
          </cell>
          <cell r="AC92">
            <v>283</v>
          </cell>
          <cell r="AE92">
            <v>2283</v>
          </cell>
          <cell r="AF92">
            <v>82767.022420000008</v>
          </cell>
        </row>
        <row r="93">
          <cell r="C93" t="str">
            <v>BITS-684</v>
          </cell>
          <cell r="E93" t="str">
            <v>PRAVEEN M</v>
          </cell>
          <cell r="F93" t="str">
            <v>HYD STP</v>
          </cell>
          <cell r="G93">
            <v>155000</v>
          </cell>
          <cell r="H93">
            <v>140526</v>
          </cell>
          <cell r="I93">
            <v>31</v>
          </cell>
          <cell r="J93">
            <v>31</v>
          </cell>
          <cell r="L93">
            <v>31</v>
          </cell>
          <cell r="M93">
            <v>84315.6</v>
          </cell>
          <cell r="N93">
            <v>33726.240000000005</v>
          </cell>
          <cell r="O93">
            <v>2083</v>
          </cell>
          <cell r="P93">
            <v>2083</v>
          </cell>
          <cell r="Q93">
            <v>18318.159999999989</v>
          </cell>
          <cell r="R93">
            <v>140526</v>
          </cell>
          <cell r="S93">
            <v>1950</v>
          </cell>
          <cell r="T93">
            <v>1441.6089999999999</v>
          </cell>
          <cell r="U93">
            <v>4055.5803600000004</v>
          </cell>
          <cell r="V93">
            <v>7026.3</v>
          </cell>
          <cell r="W93">
            <v>154999.48936000001</v>
          </cell>
          <cell r="Y93">
            <v>140526</v>
          </cell>
          <cell r="AA93">
            <v>200</v>
          </cell>
          <cell r="AB93">
            <v>1800</v>
          </cell>
          <cell r="AC93">
            <v>283</v>
          </cell>
          <cell r="AE93">
            <v>2283</v>
          </cell>
          <cell r="AF93">
            <v>150766.48935999998</v>
          </cell>
        </row>
        <row r="94">
          <cell r="C94" t="str">
            <v>BITS-686</v>
          </cell>
          <cell r="E94" t="str">
            <v>Amit Kumar</v>
          </cell>
          <cell r="F94" t="str">
            <v>PUNE SEZ 2</v>
          </cell>
          <cell r="G94">
            <v>105000</v>
          </cell>
          <cell r="H94">
            <v>94181</v>
          </cell>
          <cell r="I94">
            <v>31</v>
          </cell>
          <cell r="J94">
            <v>31</v>
          </cell>
          <cell r="L94">
            <v>31</v>
          </cell>
          <cell r="M94">
            <v>56508.6</v>
          </cell>
          <cell r="N94">
            <v>22603.440000000002</v>
          </cell>
          <cell r="O94">
            <v>2083</v>
          </cell>
          <cell r="P94">
            <v>2083</v>
          </cell>
          <cell r="Q94">
            <v>10902.959999999992</v>
          </cell>
          <cell r="R94">
            <v>94181</v>
          </cell>
          <cell r="S94">
            <v>1950</v>
          </cell>
          <cell r="T94">
            <v>1441.6089999999999</v>
          </cell>
          <cell r="U94">
            <v>2718.0636599999998</v>
          </cell>
          <cell r="V94">
            <v>4709.05</v>
          </cell>
          <cell r="W94">
            <v>104999.72266</v>
          </cell>
          <cell r="Y94">
            <v>94181</v>
          </cell>
          <cell r="AA94">
            <v>200</v>
          </cell>
          <cell r="AB94">
            <v>1800</v>
          </cell>
          <cell r="AC94">
            <v>283</v>
          </cell>
          <cell r="AE94">
            <v>2283</v>
          </cell>
          <cell r="AF94">
            <v>100766.72266</v>
          </cell>
        </row>
        <row r="95">
          <cell r="C95" t="str">
            <v>BITS-688</v>
          </cell>
          <cell r="E95" t="str">
            <v>Pranav Thakare</v>
          </cell>
          <cell r="F95" t="str">
            <v>PUNE SEZ 2</v>
          </cell>
          <cell r="G95">
            <v>85000</v>
          </cell>
          <cell r="H95">
            <v>75643</v>
          </cell>
          <cell r="I95">
            <v>31</v>
          </cell>
          <cell r="J95">
            <v>30</v>
          </cell>
          <cell r="K95">
            <v>1</v>
          </cell>
          <cell r="L95">
            <v>31</v>
          </cell>
          <cell r="M95">
            <v>45385.8</v>
          </cell>
          <cell r="N95">
            <v>18154.320000000003</v>
          </cell>
          <cell r="O95">
            <v>2083</v>
          </cell>
          <cell r="P95">
            <v>2083</v>
          </cell>
          <cell r="Q95">
            <v>7936.8799999999901</v>
          </cell>
          <cell r="R95">
            <v>75643</v>
          </cell>
          <cell r="S95">
            <v>1950</v>
          </cell>
          <cell r="T95">
            <v>1441.6089999999999</v>
          </cell>
          <cell r="U95">
            <v>2183.0569799999998</v>
          </cell>
          <cell r="V95">
            <v>3782.15</v>
          </cell>
          <cell r="W95">
            <v>84999.815979999985</v>
          </cell>
          <cell r="Y95">
            <v>75643</v>
          </cell>
          <cell r="AA95">
            <v>200</v>
          </cell>
          <cell r="AB95">
            <v>1800</v>
          </cell>
          <cell r="AC95">
            <v>283</v>
          </cell>
          <cell r="AE95">
            <v>2283</v>
          </cell>
          <cell r="AF95">
            <v>80766.815979999985</v>
          </cell>
        </row>
        <row r="96">
          <cell r="C96" t="str">
            <v>BITS-689</v>
          </cell>
          <cell r="E96" t="str">
            <v>Nagarjun KV</v>
          </cell>
          <cell r="F96" t="str">
            <v>BNG STP</v>
          </cell>
          <cell r="G96">
            <v>85000</v>
          </cell>
          <cell r="H96">
            <v>75643</v>
          </cell>
          <cell r="I96">
            <v>31</v>
          </cell>
          <cell r="J96">
            <v>31</v>
          </cell>
          <cell r="L96">
            <v>31</v>
          </cell>
          <cell r="M96">
            <v>45385.8</v>
          </cell>
          <cell r="N96">
            <v>18154.320000000003</v>
          </cell>
          <cell r="O96">
            <v>2083</v>
          </cell>
          <cell r="P96">
            <v>2083</v>
          </cell>
          <cell r="Q96">
            <v>7936.8799999999901</v>
          </cell>
          <cell r="R96">
            <v>75643</v>
          </cell>
          <cell r="S96">
            <v>1950</v>
          </cell>
          <cell r="T96">
            <v>1441.6089999999999</v>
          </cell>
          <cell r="U96">
            <v>2183.0569799999998</v>
          </cell>
          <cell r="V96">
            <v>3782.15</v>
          </cell>
          <cell r="W96">
            <v>84999.815979999985</v>
          </cell>
          <cell r="Y96">
            <v>75643</v>
          </cell>
          <cell r="AA96">
            <v>200</v>
          </cell>
          <cell r="AB96">
            <v>1800</v>
          </cell>
          <cell r="AC96">
            <v>283</v>
          </cell>
          <cell r="AE96">
            <v>2283</v>
          </cell>
          <cell r="AF96">
            <v>80766.815979999985</v>
          </cell>
        </row>
        <row r="97">
          <cell r="C97" t="str">
            <v>BITS-690</v>
          </cell>
          <cell r="E97" t="str">
            <v>Thaposh Ghosh</v>
          </cell>
          <cell r="F97" t="str">
            <v>HYD SEZ</v>
          </cell>
          <cell r="G97">
            <v>155000</v>
          </cell>
          <cell r="H97">
            <v>140526</v>
          </cell>
          <cell r="I97">
            <v>31</v>
          </cell>
          <cell r="J97">
            <v>30</v>
          </cell>
          <cell r="K97">
            <v>1</v>
          </cell>
          <cell r="L97">
            <v>31</v>
          </cell>
          <cell r="M97">
            <v>84315.6</v>
          </cell>
          <cell r="N97">
            <v>33726.240000000005</v>
          </cell>
          <cell r="O97">
            <v>2083</v>
          </cell>
          <cell r="P97">
            <v>2083</v>
          </cell>
          <cell r="Q97">
            <v>18318.159999999989</v>
          </cell>
          <cell r="R97">
            <v>140526</v>
          </cell>
          <cell r="S97">
            <v>1950</v>
          </cell>
          <cell r="T97">
            <v>1441.6089999999999</v>
          </cell>
          <cell r="U97">
            <v>4055.5803600000004</v>
          </cell>
          <cell r="V97">
            <v>7026.3</v>
          </cell>
          <cell r="W97">
            <v>154999.48936000001</v>
          </cell>
          <cell r="Y97">
            <v>140526</v>
          </cell>
          <cell r="AA97">
            <v>200</v>
          </cell>
          <cell r="AB97">
            <v>1800</v>
          </cell>
          <cell r="AC97">
            <v>283</v>
          </cell>
          <cell r="AE97">
            <v>2283</v>
          </cell>
          <cell r="AF97">
            <v>150766.48935999998</v>
          </cell>
        </row>
        <row r="98">
          <cell r="C98" t="str">
            <v>BITS-691</v>
          </cell>
          <cell r="E98" t="str">
            <v xml:space="preserve">Boopathi Palani </v>
          </cell>
          <cell r="F98" t="str">
            <v>BNG STP</v>
          </cell>
          <cell r="G98">
            <v>85000</v>
          </cell>
          <cell r="H98">
            <v>75643</v>
          </cell>
          <cell r="I98">
            <v>31</v>
          </cell>
          <cell r="J98">
            <v>30</v>
          </cell>
          <cell r="K98">
            <v>1</v>
          </cell>
          <cell r="L98">
            <v>31</v>
          </cell>
          <cell r="M98">
            <v>45385.8</v>
          </cell>
          <cell r="N98">
            <v>18154.320000000003</v>
          </cell>
          <cell r="O98">
            <v>2083</v>
          </cell>
          <cell r="P98">
            <v>2083</v>
          </cell>
          <cell r="Q98">
            <v>7936.8799999999901</v>
          </cell>
          <cell r="R98">
            <v>75643</v>
          </cell>
          <cell r="S98">
            <v>1950</v>
          </cell>
          <cell r="T98">
            <v>1441.6089999999999</v>
          </cell>
          <cell r="U98">
            <v>2183.0569799999998</v>
          </cell>
          <cell r="V98">
            <v>3782.15</v>
          </cell>
          <cell r="W98">
            <v>84999.815979999985</v>
          </cell>
          <cell r="Y98">
            <v>75643</v>
          </cell>
          <cell r="AA98">
            <v>200</v>
          </cell>
          <cell r="AB98">
            <v>1800</v>
          </cell>
          <cell r="AC98">
            <v>283</v>
          </cell>
          <cell r="AE98">
            <v>2283</v>
          </cell>
          <cell r="AF98">
            <v>80766.815979999985</v>
          </cell>
        </row>
        <row r="99">
          <cell r="C99" t="str">
            <v>BITS-692</v>
          </cell>
          <cell r="E99" t="str">
            <v>Sneha Hande</v>
          </cell>
          <cell r="F99" t="str">
            <v>PUNE ASC SEZ</v>
          </cell>
          <cell r="G99">
            <v>58000</v>
          </cell>
          <cell r="H99">
            <v>50617</v>
          </cell>
          <cell r="I99">
            <v>31</v>
          </cell>
          <cell r="J99">
            <v>31</v>
          </cell>
          <cell r="L99">
            <v>31</v>
          </cell>
          <cell r="M99">
            <v>30370.2</v>
          </cell>
          <cell r="N99">
            <v>12148.080000000002</v>
          </cell>
          <cell r="O99">
            <v>2083</v>
          </cell>
          <cell r="P99">
            <v>2083</v>
          </cell>
          <cell r="Q99">
            <v>3932.7200000000012</v>
          </cell>
          <cell r="R99">
            <v>50617</v>
          </cell>
          <cell r="S99">
            <v>1950</v>
          </cell>
          <cell r="T99">
            <v>1441.6089999999999</v>
          </cell>
          <cell r="U99">
            <v>1460.8066199999998</v>
          </cell>
          <cell r="V99">
            <v>2530.85</v>
          </cell>
          <cell r="W99">
            <v>58000.265619999998</v>
          </cell>
          <cell r="Y99">
            <v>50617</v>
          </cell>
          <cell r="AA99">
            <v>200</v>
          </cell>
          <cell r="AB99">
            <v>1800</v>
          </cell>
          <cell r="AC99">
            <v>283</v>
          </cell>
          <cell r="AE99">
            <v>2283</v>
          </cell>
          <cell r="AF99">
            <v>53767.265619999998</v>
          </cell>
        </row>
        <row r="100">
          <cell r="C100" t="str">
            <v>BITS-693</v>
          </cell>
          <cell r="E100" t="str">
            <v>JNANESWARARAO G</v>
          </cell>
          <cell r="F100" t="str">
            <v>BNG STP</v>
          </cell>
          <cell r="G100">
            <v>108000</v>
          </cell>
          <cell r="H100">
            <v>96962</v>
          </cell>
          <cell r="I100">
            <v>31</v>
          </cell>
          <cell r="J100">
            <v>28</v>
          </cell>
          <cell r="K100">
            <v>3</v>
          </cell>
          <cell r="L100">
            <v>29</v>
          </cell>
          <cell r="M100">
            <v>54423.832258064511</v>
          </cell>
          <cell r="N100">
            <v>21769.532903225805</v>
          </cell>
          <cell r="O100">
            <v>1949</v>
          </cell>
          <cell r="P100">
            <v>1949</v>
          </cell>
          <cell r="Q100">
            <v>10615.021935483877</v>
          </cell>
          <cell r="R100">
            <v>90706.387096774197</v>
          </cell>
          <cell r="S100">
            <v>1950</v>
          </cell>
          <cell r="T100">
            <v>1441.6089999999999</v>
          </cell>
          <cell r="U100">
            <v>2617.7863316129028</v>
          </cell>
          <cell r="V100">
            <v>4535.3193548387089</v>
          </cell>
          <cell r="W100">
            <v>101251.10178322581</v>
          </cell>
          <cell r="Y100">
            <v>90706.387096774197</v>
          </cell>
          <cell r="AA100">
            <v>200</v>
          </cell>
          <cell r="AB100">
            <v>1800</v>
          </cell>
          <cell r="AC100">
            <v>283</v>
          </cell>
          <cell r="AE100">
            <v>2283</v>
          </cell>
          <cell r="AF100">
            <v>97017.714686451611</v>
          </cell>
        </row>
        <row r="101">
          <cell r="C101" t="str">
            <v>BITS-694</v>
          </cell>
          <cell r="E101" t="str">
            <v>Asita Kumar Sahoo</v>
          </cell>
          <cell r="F101" t="str">
            <v>PUNE SEZ 2</v>
          </cell>
          <cell r="G101">
            <v>60000</v>
          </cell>
          <cell r="H101">
            <v>52471</v>
          </cell>
          <cell r="I101">
            <v>31</v>
          </cell>
          <cell r="J101">
            <v>31</v>
          </cell>
          <cell r="L101">
            <v>31</v>
          </cell>
          <cell r="M101">
            <v>31482.6</v>
          </cell>
          <cell r="N101">
            <v>12593.04</v>
          </cell>
          <cell r="O101">
            <v>2083</v>
          </cell>
          <cell r="P101">
            <v>2083</v>
          </cell>
          <cell r="Q101">
            <v>4229.3600000000006</v>
          </cell>
          <cell r="R101">
            <v>52471</v>
          </cell>
          <cell r="S101">
            <v>1950</v>
          </cell>
          <cell r="T101">
            <v>1441.6089999999999</v>
          </cell>
          <cell r="U101">
            <v>1514.3130599999997</v>
          </cell>
          <cell r="V101">
            <v>2623.5499999999997</v>
          </cell>
          <cell r="W101">
            <v>60000.47206</v>
          </cell>
          <cell r="Y101">
            <v>52471</v>
          </cell>
          <cell r="AA101">
            <v>200</v>
          </cell>
          <cell r="AB101">
            <v>1800</v>
          </cell>
          <cell r="AC101">
            <v>283</v>
          </cell>
          <cell r="AE101">
            <v>2283</v>
          </cell>
          <cell r="AF101">
            <v>55767.47206</v>
          </cell>
        </row>
        <row r="102">
          <cell r="C102" t="str">
            <v>BITS-695</v>
          </cell>
          <cell r="E102" t="str">
            <v>Nagashree Narayan</v>
          </cell>
          <cell r="F102" t="str">
            <v>HYD SEZ</v>
          </cell>
          <cell r="G102">
            <v>110000</v>
          </cell>
          <cell r="H102">
            <v>98816</v>
          </cell>
          <cell r="I102">
            <v>31</v>
          </cell>
          <cell r="J102">
            <v>31</v>
          </cell>
          <cell r="L102">
            <v>31</v>
          </cell>
          <cell r="M102">
            <v>59289.599999999999</v>
          </cell>
          <cell r="N102">
            <v>23715.84</v>
          </cell>
          <cell r="O102">
            <v>2083</v>
          </cell>
          <cell r="P102">
            <v>2083</v>
          </cell>
          <cell r="Q102">
            <v>11644.559999999998</v>
          </cell>
          <cell r="R102">
            <v>98816</v>
          </cell>
          <cell r="S102">
            <v>1950</v>
          </cell>
          <cell r="T102">
            <v>1441.6089999999999</v>
          </cell>
          <cell r="U102">
            <v>2851.8297599999996</v>
          </cell>
          <cell r="V102">
            <v>4940.8</v>
          </cell>
          <cell r="W102">
            <v>110000.23875999999</v>
          </cell>
          <cell r="Y102">
            <v>98816</v>
          </cell>
          <cell r="AA102">
            <v>200</v>
          </cell>
          <cell r="AB102">
            <v>1800</v>
          </cell>
          <cell r="AC102">
            <v>283</v>
          </cell>
          <cell r="AE102">
            <v>2283</v>
          </cell>
          <cell r="AF102">
            <v>105767.23875999999</v>
          </cell>
        </row>
        <row r="103">
          <cell r="C103" t="str">
            <v>BITS-696</v>
          </cell>
          <cell r="E103" t="str">
            <v>Amarnath Reddy</v>
          </cell>
          <cell r="F103" t="str">
            <v>Chennai SEZ</v>
          </cell>
          <cell r="G103">
            <v>130000</v>
          </cell>
          <cell r="H103">
            <v>117354</v>
          </cell>
          <cell r="I103">
            <v>31</v>
          </cell>
          <cell r="J103">
            <v>29</v>
          </cell>
          <cell r="K103">
            <v>2</v>
          </cell>
          <cell r="L103">
            <v>30</v>
          </cell>
          <cell r="M103">
            <v>68141.032258064515</v>
          </cell>
          <cell r="N103">
            <v>27256.412903225806</v>
          </cell>
          <cell r="O103">
            <v>2016</v>
          </cell>
          <cell r="P103">
            <v>2016</v>
          </cell>
          <cell r="Q103">
            <v>14138.941935483876</v>
          </cell>
          <cell r="R103">
            <v>113568.3870967742</v>
          </cell>
          <cell r="T103">
            <v>1441.6089999999999</v>
          </cell>
          <cell r="U103">
            <v>3277.5836516129029</v>
          </cell>
          <cell r="V103">
            <v>5678.4193548387093</v>
          </cell>
          <cell r="W103">
            <v>123965.99910322581</v>
          </cell>
          <cell r="Y103">
            <v>113568.3870967742</v>
          </cell>
          <cell r="AA103">
            <v>200</v>
          </cell>
          <cell r="AC103">
            <v>283</v>
          </cell>
          <cell r="AE103">
            <v>483</v>
          </cell>
          <cell r="AF103">
            <v>123482.61200645161</v>
          </cell>
        </row>
        <row r="104">
          <cell r="C104" t="str">
            <v>BITS-697</v>
          </cell>
          <cell r="E104" t="str">
            <v> Rajesh Dhumal</v>
          </cell>
          <cell r="F104" t="str">
            <v>PUNE SEZ 1</v>
          </cell>
          <cell r="G104">
            <v>84000</v>
          </cell>
          <cell r="H104">
            <v>74716</v>
          </cell>
          <cell r="I104">
            <v>31</v>
          </cell>
          <cell r="J104">
            <v>31</v>
          </cell>
          <cell r="L104">
            <v>31</v>
          </cell>
          <cell r="M104">
            <v>44829.599999999999</v>
          </cell>
          <cell r="N104">
            <v>17931.84</v>
          </cell>
          <cell r="O104">
            <v>2083</v>
          </cell>
          <cell r="P104">
            <v>2083</v>
          </cell>
          <cell r="Q104">
            <v>7788.5599999999977</v>
          </cell>
          <cell r="R104">
            <v>74716</v>
          </cell>
          <cell r="S104">
            <v>1950</v>
          </cell>
          <cell r="T104">
            <v>1441.6089999999999</v>
          </cell>
          <cell r="U104">
            <v>2156.3037599999998</v>
          </cell>
          <cell r="V104">
            <v>3735.7999999999997</v>
          </cell>
          <cell r="W104">
            <v>83999.712759999995</v>
          </cell>
          <cell r="Y104">
            <v>74716</v>
          </cell>
          <cell r="AA104">
            <v>200</v>
          </cell>
          <cell r="AB104">
            <v>1800</v>
          </cell>
          <cell r="AC104">
            <v>283</v>
          </cell>
          <cell r="AE104">
            <v>2283</v>
          </cell>
          <cell r="AF104">
            <v>79766.712759999995</v>
          </cell>
        </row>
        <row r="105">
          <cell r="C105" t="str">
            <v>BITS-698</v>
          </cell>
          <cell r="E105" t="str">
            <v xml:space="preserve">Amol Gole </v>
          </cell>
          <cell r="F105" t="str">
            <v>PUNE ASC SEZ</v>
          </cell>
          <cell r="G105">
            <v>75000</v>
          </cell>
          <cell r="H105">
            <v>66374</v>
          </cell>
          <cell r="I105">
            <v>31</v>
          </cell>
          <cell r="J105">
            <v>31</v>
          </cell>
          <cell r="L105">
            <v>31</v>
          </cell>
          <cell r="M105">
            <v>39824.400000000001</v>
          </cell>
          <cell r="N105">
            <v>15929.760000000002</v>
          </cell>
          <cell r="O105">
            <v>2083</v>
          </cell>
          <cell r="P105">
            <v>2083</v>
          </cell>
          <cell r="Q105">
            <v>6453.8399999999965</v>
          </cell>
          <cell r="R105">
            <v>66374</v>
          </cell>
          <cell r="S105">
            <v>1950</v>
          </cell>
          <cell r="T105">
            <v>1441.6089999999999</v>
          </cell>
          <cell r="U105">
            <v>1915.5536400000001</v>
          </cell>
          <cell r="V105">
            <v>3318.7000000000003</v>
          </cell>
          <cell r="W105">
            <v>74999.862639999992</v>
          </cell>
          <cell r="Y105">
            <v>66374</v>
          </cell>
          <cell r="AA105">
            <v>200</v>
          </cell>
          <cell r="AB105">
            <v>1800</v>
          </cell>
          <cell r="AC105">
            <v>283</v>
          </cell>
          <cell r="AE105">
            <v>2283</v>
          </cell>
          <cell r="AF105">
            <v>70766.862639999992</v>
          </cell>
        </row>
        <row r="106">
          <cell r="C106" t="str">
            <v>BITS-699</v>
          </cell>
          <cell r="E106" t="str">
            <v>Srinivasa Rao yellaneni</v>
          </cell>
          <cell r="F106" t="str">
            <v>BNG SEZ</v>
          </cell>
          <cell r="G106">
            <v>150000</v>
          </cell>
          <cell r="H106">
            <v>135892</v>
          </cell>
          <cell r="I106">
            <v>31</v>
          </cell>
          <cell r="J106">
            <v>31</v>
          </cell>
          <cell r="L106">
            <v>31</v>
          </cell>
          <cell r="M106">
            <v>81535.199999999997</v>
          </cell>
          <cell r="N106">
            <v>32614.080000000002</v>
          </cell>
          <cell r="O106">
            <v>2083</v>
          </cell>
          <cell r="P106">
            <v>2083</v>
          </cell>
          <cell r="Q106">
            <v>17576.72</v>
          </cell>
          <cell r="R106">
            <v>135892</v>
          </cell>
          <cell r="S106">
            <v>1950</v>
          </cell>
          <cell r="T106">
            <v>1441.6089999999999</v>
          </cell>
          <cell r="U106">
            <v>3921.8431199999995</v>
          </cell>
          <cell r="V106">
            <v>6794.5999999999995</v>
          </cell>
          <cell r="W106">
            <v>150000.05212000001</v>
          </cell>
          <cell r="X106">
            <v>24190</v>
          </cell>
          <cell r="Y106">
            <v>160082</v>
          </cell>
          <cell r="AA106">
            <v>200</v>
          </cell>
          <cell r="AB106">
            <v>1800</v>
          </cell>
          <cell r="AC106">
            <v>283</v>
          </cell>
          <cell r="AE106">
            <v>2283</v>
          </cell>
          <cell r="AF106">
            <v>169957.05212000001</v>
          </cell>
        </row>
        <row r="107">
          <cell r="C107" t="str">
            <v>BITS-700</v>
          </cell>
          <cell r="E107" t="str">
            <v>Sandeep Dixit</v>
          </cell>
          <cell r="F107" t="str">
            <v>PUNE ASC SEZ</v>
          </cell>
          <cell r="G107">
            <v>190000</v>
          </cell>
          <cell r="H107">
            <v>172968</v>
          </cell>
          <cell r="I107">
            <v>31</v>
          </cell>
          <cell r="J107">
            <v>31</v>
          </cell>
          <cell r="L107">
            <v>31</v>
          </cell>
          <cell r="M107">
            <v>103780.8</v>
          </cell>
          <cell r="N107">
            <v>41512.320000000007</v>
          </cell>
          <cell r="O107">
            <v>2083</v>
          </cell>
          <cell r="P107">
            <v>2083</v>
          </cell>
          <cell r="Q107">
            <v>23508.880000000005</v>
          </cell>
          <cell r="R107">
            <v>172968</v>
          </cell>
          <cell r="S107">
            <v>1950</v>
          </cell>
          <cell r="T107">
            <v>1441.6089999999999</v>
          </cell>
          <cell r="U107">
            <v>4991.8564799999995</v>
          </cell>
          <cell r="V107">
            <v>8648.4</v>
          </cell>
          <cell r="W107">
            <v>189999.86547999998</v>
          </cell>
          <cell r="Y107">
            <v>172968</v>
          </cell>
          <cell r="AA107">
            <v>200</v>
          </cell>
          <cell r="AB107">
            <v>1800</v>
          </cell>
          <cell r="AC107">
            <v>283</v>
          </cell>
          <cell r="AE107">
            <v>2283</v>
          </cell>
          <cell r="AF107">
            <v>185766.86547999998</v>
          </cell>
        </row>
        <row r="108">
          <cell r="C108" t="str">
            <v>BITS-701</v>
          </cell>
          <cell r="E108" t="str">
            <v>Shridhar Madlur</v>
          </cell>
          <cell r="F108" t="str">
            <v>BNG STP</v>
          </cell>
          <cell r="G108">
            <v>58000</v>
          </cell>
          <cell r="H108">
            <v>50617</v>
          </cell>
          <cell r="I108">
            <v>31</v>
          </cell>
          <cell r="J108">
            <v>31</v>
          </cell>
          <cell r="L108">
            <v>31</v>
          </cell>
          <cell r="M108">
            <v>30370.2</v>
          </cell>
          <cell r="N108">
            <v>12148.080000000002</v>
          </cell>
          <cell r="O108">
            <v>2083</v>
          </cell>
          <cell r="P108">
            <v>2083</v>
          </cell>
          <cell r="Q108">
            <v>3932.7200000000012</v>
          </cell>
          <cell r="R108">
            <v>50617</v>
          </cell>
          <cell r="S108">
            <v>1950</v>
          </cell>
          <cell r="T108">
            <v>1441.6089999999999</v>
          </cell>
          <cell r="U108">
            <v>1460.8066199999998</v>
          </cell>
          <cell r="V108">
            <v>2530.85</v>
          </cell>
          <cell r="W108">
            <v>58000.265619999998</v>
          </cell>
          <cell r="Y108">
            <v>50617</v>
          </cell>
          <cell r="AA108">
            <v>200</v>
          </cell>
          <cell r="AB108">
            <v>1800</v>
          </cell>
          <cell r="AC108">
            <v>283</v>
          </cell>
          <cell r="AE108">
            <v>2283</v>
          </cell>
          <cell r="AF108">
            <v>53767.265619999998</v>
          </cell>
        </row>
        <row r="109">
          <cell r="C109" t="str">
            <v>BITS-702</v>
          </cell>
          <cell r="E109" t="str">
            <v>Samarjit Saha</v>
          </cell>
          <cell r="F109" t="str">
            <v>BNG STP</v>
          </cell>
          <cell r="G109">
            <v>140000</v>
          </cell>
          <cell r="H109">
            <v>126623</v>
          </cell>
          <cell r="I109">
            <v>31</v>
          </cell>
          <cell r="J109">
            <v>30</v>
          </cell>
          <cell r="K109">
            <v>1</v>
          </cell>
          <cell r="L109">
            <v>31</v>
          </cell>
          <cell r="M109">
            <v>75973.8</v>
          </cell>
          <cell r="N109">
            <v>30389.520000000004</v>
          </cell>
          <cell r="O109">
            <v>2083</v>
          </cell>
          <cell r="P109">
            <v>2083</v>
          </cell>
          <cell r="Q109">
            <v>16093.679999999993</v>
          </cell>
          <cell r="R109">
            <v>126623</v>
          </cell>
          <cell r="S109">
            <v>1950</v>
          </cell>
          <cell r="T109">
            <v>1441.6089999999999</v>
          </cell>
          <cell r="U109">
            <v>3654.3397800000002</v>
          </cell>
          <cell r="V109">
            <v>6331.1500000000005</v>
          </cell>
          <cell r="W109">
            <v>140000.09878</v>
          </cell>
          <cell r="Y109">
            <v>126623</v>
          </cell>
          <cell r="AA109">
            <v>200</v>
          </cell>
          <cell r="AB109">
            <v>1800</v>
          </cell>
          <cell r="AC109">
            <v>283</v>
          </cell>
          <cell r="AE109">
            <v>2283</v>
          </cell>
          <cell r="AF109">
            <v>135767.09878</v>
          </cell>
        </row>
        <row r="110">
          <cell r="C110" t="str">
            <v>BITS-703</v>
          </cell>
          <cell r="E110" t="str">
            <v>Arun kh</v>
          </cell>
          <cell r="F110" t="str">
            <v>HYD STP</v>
          </cell>
          <cell r="G110">
            <v>85000</v>
          </cell>
          <cell r="H110">
            <v>75643</v>
          </cell>
          <cell r="I110">
            <v>31</v>
          </cell>
          <cell r="J110">
            <v>31</v>
          </cell>
          <cell r="L110">
            <v>31</v>
          </cell>
          <cell r="M110">
            <v>45385.8</v>
          </cell>
          <cell r="N110">
            <v>18154.320000000003</v>
          </cell>
          <cell r="O110">
            <v>2083</v>
          </cell>
          <cell r="P110">
            <v>2083</v>
          </cell>
          <cell r="Q110">
            <v>7936.8799999999901</v>
          </cell>
          <cell r="R110">
            <v>75643</v>
          </cell>
          <cell r="S110">
            <v>1950</v>
          </cell>
          <cell r="T110">
            <v>1441.6089999999999</v>
          </cell>
          <cell r="U110">
            <v>2183.0569799999998</v>
          </cell>
          <cell r="V110">
            <v>3782.15</v>
          </cell>
          <cell r="W110">
            <v>84999.815979999985</v>
          </cell>
          <cell r="Y110">
            <v>75643</v>
          </cell>
          <cell r="AA110">
            <v>200</v>
          </cell>
          <cell r="AB110">
            <v>1800</v>
          </cell>
          <cell r="AC110">
            <v>283</v>
          </cell>
          <cell r="AD110">
            <v>8744</v>
          </cell>
          <cell r="AE110">
            <v>11027</v>
          </cell>
          <cell r="AF110">
            <v>72022.815979999985</v>
          </cell>
        </row>
        <row r="111">
          <cell r="C111" t="str">
            <v>BITS-704</v>
          </cell>
          <cell r="E111" t="str">
            <v>Ajay Pal Singh</v>
          </cell>
          <cell r="F111" t="str">
            <v>PUNE SEZ 1</v>
          </cell>
          <cell r="G111">
            <v>80000</v>
          </cell>
          <cell r="H111">
            <v>71009</v>
          </cell>
          <cell r="I111">
            <v>31</v>
          </cell>
          <cell r="J111">
            <v>31</v>
          </cell>
          <cell r="L111">
            <v>31</v>
          </cell>
          <cell r="M111">
            <v>42605.4</v>
          </cell>
          <cell r="N111">
            <v>17042.16</v>
          </cell>
          <cell r="O111">
            <v>2083</v>
          </cell>
          <cell r="P111">
            <v>2083</v>
          </cell>
          <cell r="Q111">
            <v>7195.4400000000023</v>
          </cell>
          <cell r="R111">
            <v>71009</v>
          </cell>
          <cell r="S111">
            <v>1950</v>
          </cell>
          <cell r="T111">
            <v>1441.6089999999999</v>
          </cell>
          <cell r="U111">
            <v>2049.3197399999999</v>
          </cell>
          <cell r="V111">
            <v>3550.4500000000003</v>
          </cell>
          <cell r="W111">
            <v>80000.37874</v>
          </cell>
          <cell r="Y111">
            <v>71009</v>
          </cell>
          <cell r="AA111">
            <v>200</v>
          </cell>
          <cell r="AB111">
            <v>1800</v>
          </cell>
          <cell r="AC111">
            <v>283</v>
          </cell>
          <cell r="AE111">
            <v>2283</v>
          </cell>
          <cell r="AF111">
            <v>75767.37874</v>
          </cell>
        </row>
        <row r="112">
          <cell r="C112" t="str">
            <v>BITS-705</v>
          </cell>
          <cell r="E112" t="str">
            <v>Narasimha rao Gurazala</v>
          </cell>
          <cell r="F112" t="str">
            <v>BNG STP</v>
          </cell>
          <cell r="G112">
            <v>100000</v>
          </cell>
          <cell r="H112">
            <v>89547</v>
          </cell>
          <cell r="I112">
            <v>31</v>
          </cell>
          <cell r="J112">
            <v>31</v>
          </cell>
          <cell r="L112">
            <v>31</v>
          </cell>
          <cell r="M112">
            <v>53728.2</v>
          </cell>
          <cell r="N112">
            <v>21491.279999999999</v>
          </cell>
          <cell r="O112">
            <v>2083</v>
          </cell>
          <cell r="P112">
            <v>2083</v>
          </cell>
          <cell r="Q112">
            <v>10161.520000000004</v>
          </cell>
          <cell r="R112">
            <v>89547</v>
          </cell>
          <cell r="S112">
            <v>1950</v>
          </cell>
          <cell r="T112">
            <v>1441.6089999999999</v>
          </cell>
          <cell r="U112">
            <v>2584.3264199999994</v>
          </cell>
          <cell r="V112">
            <v>4477.3499999999995</v>
          </cell>
          <cell r="W112">
            <v>100000.28542</v>
          </cell>
          <cell r="Y112">
            <v>89547</v>
          </cell>
          <cell r="AA112">
            <v>200</v>
          </cell>
          <cell r="AB112">
            <v>1800</v>
          </cell>
          <cell r="AC112">
            <v>283</v>
          </cell>
          <cell r="AE112">
            <v>2283</v>
          </cell>
          <cell r="AF112">
            <v>95767.28542</v>
          </cell>
        </row>
        <row r="113">
          <cell r="C113" t="str">
            <v>BITS-706</v>
          </cell>
          <cell r="D113" t="str">
            <v>SAP</v>
          </cell>
          <cell r="E113" t="str">
            <v>Arun Arra</v>
          </cell>
          <cell r="F113" t="str">
            <v>PUNE SEZ 2</v>
          </cell>
          <cell r="G113">
            <v>45000</v>
          </cell>
          <cell r="H113">
            <v>38567</v>
          </cell>
          <cell r="I113">
            <v>31</v>
          </cell>
          <cell r="J113">
            <v>31</v>
          </cell>
          <cell r="L113">
            <v>31</v>
          </cell>
          <cell r="M113">
            <v>23140.2</v>
          </cell>
          <cell r="N113">
            <v>9256.08</v>
          </cell>
          <cell r="O113">
            <v>2083</v>
          </cell>
          <cell r="P113">
            <v>2083</v>
          </cell>
          <cell r="Q113">
            <v>2004.7200000000012</v>
          </cell>
          <cell r="R113">
            <v>38567</v>
          </cell>
          <cell r="S113">
            <v>1950</v>
          </cell>
          <cell r="T113">
            <v>1441.6089999999999</v>
          </cell>
          <cell r="U113">
            <v>1113.0436199999999</v>
          </cell>
          <cell r="V113">
            <v>1928.3500000000001</v>
          </cell>
          <cell r="W113">
            <v>45000.002619999992</v>
          </cell>
          <cell r="Y113">
            <v>38567</v>
          </cell>
          <cell r="AA113">
            <v>200</v>
          </cell>
          <cell r="AB113">
            <v>1800</v>
          </cell>
          <cell r="AC113">
            <v>283</v>
          </cell>
          <cell r="AE113">
            <v>2283</v>
          </cell>
          <cell r="AF113">
            <v>40767.002619999992</v>
          </cell>
        </row>
        <row r="114">
          <cell r="C114" t="str">
            <v>BITS-707</v>
          </cell>
          <cell r="D114" t="str">
            <v>SAP</v>
          </cell>
          <cell r="E114" t="str">
            <v>Ramya Nalla</v>
          </cell>
          <cell r="F114" t="str">
            <v>PUNE SEZ 2</v>
          </cell>
          <cell r="G114">
            <v>45000</v>
          </cell>
          <cell r="H114">
            <v>38567</v>
          </cell>
          <cell r="I114">
            <v>31</v>
          </cell>
          <cell r="J114">
            <v>31</v>
          </cell>
          <cell r="L114">
            <v>31</v>
          </cell>
          <cell r="M114">
            <v>23140.2</v>
          </cell>
          <cell r="N114">
            <v>9256.08</v>
          </cell>
          <cell r="O114">
            <v>2083</v>
          </cell>
          <cell r="P114">
            <v>2083</v>
          </cell>
          <cell r="Q114">
            <v>2004.7200000000012</v>
          </cell>
          <cell r="R114">
            <v>38567</v>
          </cell>
          <cell r="S114">
            <v>1950</v>
          </cell>
          <cell r="T114">
            <v>1441.6089999999999</v>
          </cell>
          <cell r="U114">
            <v>1113.0436199999999</v>
          </cell>
          <cell r="V114">
            <v>1928.3500000000001</v>
          </cell>
          <cell r="W114">
            <v>45000.002619999992</v>
          </cell>
          <cell r="Y114">
            <v>38567</v>
          </cell>
          <cell r="AA114">
            <v>200</v>
          </cell>
          <cell r="AB114">
            <v>1800</v>
          </cell>
          <cell r="AC114">
            <v>283</v>
          </cell>
          <cell r="AE114">
            <v>2283</v>
          </cell>
          <cell r="AF114">
            <v>40767.002619999992</v>
          </cell>
        </row>
        <row r="115">
          <cell r="C115" t="str">
            <v>BITS-708</v>
          </cell>
          <cell r="D115" t="str">
            <v>SAP</v>
          </cell>
          <cell r="E115" t="str">
            <v>SYED  MOHAMMED AZHER</v>
          </cell>
          <cell r="F115" t="str">
            <v>PUNE SEZ 2</v>
          </cell>
          <cell r="G115">
            <v>45000</v>
          </cell>
          <cell r="H115">
            <v>38567</v>
          </cell>
          <cell r="I115">
            <v>31</v>
          </cell>
          <cell r="J115">
            <v>30</v>
          </cell>
          <cell r="K115">
            <v>1</v>
          </cell>
          <cell r="L115">
            <v>31</v>
          </cell>
          <cell r="M115">
            <v>23140.2</v>
          </cell>
          <cell r="N115">
            <v>9256.08</v>
          </cell>
          <cell r="O115">
            <v>2083</v>
          </cell>
          <cell r="P115">
            <v>2083</v>
          </cell>
          <cell r="Q115">
            <v>2004.7200000000012</v>
          </cell>
          <cell r="R115">
            <v>38567</v>
          </cell>
          <cell r="S115">
            <v>1950</v>
          </cell>
          <cell r="T115">
            <v>1441.6089999999999</v>
          </cell>
          <cell r="U115">
            <v>1113.0436199999999</v>
          </cell>
          <cell r="V115">
            <v>1928.3500000000001</v>
          </cell>
          <cell r="W115">
            <v>45000.002619999992</v>
          </cell>
          <cell r="Y115">
            <v>38567</v>
          </cell>
          <cell r="AA115">
            <v>200</v>
          </cell>
          <cell r="AB115">
            <v>1800</v>
          </cell>
          <cell r="AC115">
            <v>283</v>
          </cell>
          <cell r="AE115">
            <v>2283</v>
          </cell>
          <cell r="AF115">
            <v>40767.002619999992</v>
          </cell>
        </row>
        <row r="116">
          <cell r="C116" t="str">
            <v>BITS-709</v>
          </cell>
          <cell r="D116" t="str">
            <v>SAP</v>
          </cell>
          <cell r="E116" t="str">
            <v>Uma  Mahesh P</v>
          </cell>
          <cell r="F116" t="str">
            <v>PUNE SEZ 2</v>
          </cell>
          <cell r="G116">
            <v>45000</v>
          </cell>
          <cell r="H116">
            <v>38567</v>
          </cell>
          <cell r="I116">
            <v>31</v>
          </cell>
          <cell r="J116">
            <v>31</v>
          </cell>
          <cell r="L116">
            <v>31</v>
          </cell>
          <cell r="M116">
            <v>23140.2</v>
          </cell>
          <cell r="N116">
            <v>9256.08</v>
          </cell>
          <cell r="O116">
            <v>2083</v>
          </cell>
          <cell r="P116">
            <v>2083</v>
          </cell>
          <cell r="Q116">
            <v>2004.7200000000012</v>
          </cell>
          <cell r="R116">
            <v>38567</v>
          </cell>
          <cell r="S116">
            <v>1950</v>
          </cell>
          <cell r="T116">
            <v>1441.6089999999999</v>
          </cell>
          <cell r="U116">
            <v>1113.0436199999999</v>
          </cell>
          <cell r="V116">
            <v>1928.3500000000001</v>
          </cell>
          <cell r="W116">
            <v>45000.002619999992</v>
          </cell>
          <cell r="Y116">
            <v>38567</v>
          </cell>
          <cell r="AA116">
            <v>200</v>
          </cell>
          <cell r="AB116">
            <v>1800</v>
          </cell>
          <cell r="AC116">
            <v>283</v>
          </cell>
          <cell r="AE116">
            <v>2283</v>
          </cell>
          <cell r="AF116">
            <v>40767.002619999992</v>
          </cell>
        </row>
        <row r="117">
          <cell r="C117" t="str">
            <v>BITS-710</v>
          </cell>
          <cell r="D117" t="str">
            <v>SAP</v>
          </cell>
          <cell r="E117" t="str">
            <v>GONTHINI  SAIBABU 25-3-2022</v>
          </cell>
          <cell r="F117" t="str">
            <v>PUNE SEZ 2</v>
          </cell>
          <cell r="G117">
            <v>45000</v>
          </cell>
          <cell r="H117">
            <v>38567</v>
          </cell>
          <cell r="I117">
            <v>31</v>
          </cell>
          <cell r="J117">
            <v>25</v>
          </cell>
          <cell r="L117">
            <v>25</v>
          </cell>
          <cell r="M117">
            <v>18661.451612903224</v>
          </cell>
          <cell r="N117">
            <v>7464.5806451612898</v>
          </cell>
          <cell r="O117">
            <v>1680</v>
          </cell>
          <cell r="P117">
            <v>1680</v>
          </cell>
          <cell r="Q117">
            <v>1616.3870967741932</v>
          </cell>
          <cell r="R117">
            <v>31102.419354838708</v>
          </cell>
          <cell r="S117">
            <v>1950</v>
          </cell>
          <cell r="T117">
            <v>1441.6089999999999</v>
          </cell>
          <cell r="U117">
            <v>897.61582258064504</v>
          </cell>
          <cell r="V117">
            <v>1555.1209677419354</v>
          </cell>
          <cell r="W117">
            <v>36946.765145161276</v>
          </cell>
          <cell r="Y117">
            <v>31102.419354838708</v>
          </cell>
          <cell r="AA117">
            <v>200</v>
          </cell>
          <cell r="AB117">
            <v>1800</v>
          </cell>
          <cell r="AC117">
            <v>283</v>
          </cell>
          <cell r="AE117">
            <v>2283</v>
          </cell>
          <cell r="AF117">
            <v>32713.345790322583</v>
          </cell>
        </row>
        <row r="118">
          <cell r="C118" t="str">
            <v>BITS-711</v>
          </cell>
          <cell r="D118" t="str">
            <v>SAP</v>
          </cell>
          <cell r="E118" t="str">
            <v>Pavan  Nagendra Tatina 25-3-2022</v>
          </cell>
          <cell r="F118" t="str">
            <v>PUNE SEZ 2</v>
          </cell>
          <cell r="G118">
            <v>35000</v>
          </cell>
          <cell r="H118">
            <v>29298</v>
          </cell>
          <cell r="I118">
            <v>31</v>
          </cell>
          <cell r="J118">
            <v>25</v>
          </cell>
          <cell r="L118">
            <v>25</v>
          </cell>
          <cell r="M118">
            <v>14176.451612903224</v>
          </cell>
          <cell r="N118">
            <v>5670.5806451612898</v>
          </cell>
          <cell r="O118">
            <v>1680</v>
          </cell>
          <cell r="P118">
            <v>1680</v>
          </cell>
          <cell r="Q118">
            <v>420.3870967741932</v>
          </cell>
          <cell r="R118">
            <v>23627.419354838708</v>
          </cell>
          <cell r="S118">
            <v>1842.9387096774192</v>
          </cell>
          <cell r="T118">
            <v>1441.6089999999999</v>
          </cell>
          <cell r="U118">
            <v>681.88732258064499</v>
          </cell>
          <cell r="V118">
            <v>1181.3709677419354</v>
          </cell>
          <cell r="W118">
            <v>28775.225354838709</v>
          </cell>
          <cell r="Y118">
            <v>23627.419354838708</v>
          </cell>
          <cell r="AA118">
            <v>200</v>
          </cell>
          <cell r="AB118">
            <v>1701</v>
          </cell>
          <cell r="AC118">
            <v>283</v>
          </cell>
          <cell r="AE118">
            <v>2184</v>
          </cell>
          <cell r="AF118">
            <v>24747.867290322582</v>
          </cell>
        </row>
        <row r="119">
          <cell r="C119" t="str">
            <v>BITS-712</v>
          </cell>
          <cell r="D119" t="str">
            <v>SAP</v>
          </cell>
          <cell r="E119" t="str">
            <v>Mohd  Azhar Shareef 25-3-2022</v>
          </cell>
          <cell r="F119" t="str">
            <v>PUNE SEZ 2</v>
          </cell>
          <cell r="G119">
            <v>45000</v>
          </cell>
          <cell r="H119">
            <v>38567</v>
          </cell>
          <cell r="I119">
            <v>31</v>
          </cell>
          <cell r="J119">
            <v>19</v>
          </cell>
          <cell r="L119">
            <v>19</v>
          </cell>
          <cell r="M119">
            <v>14182.703225806454</v>
          </cell>
          <cell r="N119">
            <v>5673.0812903225815</v>
          </cell>
          <cell r="O119">
            <v>1277</v>
          </cell>
          <cell r="P119">
            <v>1277</v>
          </cell>
          <cell r="Q119">
            <v>1228.0541935483852</v>
          </cell>
          <cell r="R119">
            <v>23637.83870967742</v>
          </cell>
          <cell r="S119">
            <v>1843.7514193548391</v>
          </cell>
          <cell r="T119">
            <v>1441.6089999999999</v>
          </cell>
          <cell r="U119">
            <v>682.1880251612904</v>
          </cell>
          <cell r="V119">
            <v>1181.8919354838711</v>
          </cell>
          <cell r="W119">
            <v>28787.27908967742</v>
          </cell>
          <cell r="Y119">
            <v>23637.83870967742</v>
          </cell>
          <cell r="AA119">
            <v>200</v>
          </cell>
          <cell r="AB119">
            <v>1702</v>
          </cell>
          <cell r="AC119">
            <v>283</v>
          </cell>
          <cell r="AE119">
            <v>2185</v>
          </cell>
          <cell r="AF119">
            <v>24758.688960645162</v>
          </cell>
        </row>
        <row r="120">
          <cell r="C120" t="str">
            <v>BITS-713</v>
          </cell>
          <cell r="D120" t="str">
            <v>SAP</v>
          </cell>
          <cell r="E120" t="str">
            <v>NAGA SAI TEJA NUTHI</v>
          </cell>
          <cell r="F120" t="str">
            <v>PUNE SEZ 2</v>
          </cell>
          <cell r="G120">
            <v>50000</v>
          </cell>
          <cell r="H120">
            <v>43202</v>
          </cell>
          <cell r="I120">
            <v>31</v>
          </cell>
          <cell r="J120">
            <v>30</v>
          </cell>
          <cell r="K120">
            <v>1</v>
          </cell>
          <cell r="L120">
            <v>31</v>
          </cell>
          <cell r="M120">
            <v>25921.200000000001</v>
          </cell>
          <cell r="N120">
            <v>10368.480000000001</v>
          </cell>
          <cell r="O120">
            <v>2083</v>
          </cell>
          <cell r="P120">
            <v>2083</v>
          </cell>
          <cell r="Q120">
            <v>2746.3199999999997</v>
          </cell>
          <cell r="R120">
            <v>43202</v>
          </cell>
          <cell r="S120">
            <v>1950</v>
          </cell>
          <cell r="T120">
            <v>1441.6089999999999</v>
          </cell>
          <cell r="U120">
            <v>1246.80972</v>
          </cell>
          <cell r="V120">
            <v>2160.1</v>
          </cell>
          <cell r="W120">
            <v>50000.518719999993</v>
          </cell>
          <cell r="Y120">
            <v>43202</v>
          </cell>
          <cell r="AA120">
            <v>200</v>
          </cell>
          <cell r="AB120">
            <v>1800</v>
          </cell>
          <cell r="AC120">
            <v>283</v>
          </cell>
          <cell r="AE120">
            <v>2283</v>
          </cell>
          <cell r="AF120">
            <v>45767.518719999993</v>
          </cell>
        </row>
        <row r="121">
          <cell r="C121" t="str">
            <v>BITS-714</v>
          </cell>
          <cell r="D121" t="str">
            <v>SAP</v>
          </cell>
          <cell r="E121" t="str">
            <v>Mani Krishna Nandineedi</v>
          </cell>
          <cell r="F121" t="str">
            <v>PUNE SEZ 2</v>
          </cell>
          <cell r="G121">
            <v>45000</v>
          </cell>
          <cell r="H121">
            <v>38567</v>
          </cell>
          <cell r="I121">
            <v>31</v>
          </cell>
          <cell r="J121">
            <v>31</v>
          </cell>
          <cell r="L121">
            <v>31</v>
          </cell>
          <cell r="M121">
            <v>23140.2</v>
          </cell>
          <cell r="N121">
            <v>9256.08</v>
          </cell>
          <cell r="O121">
            <v>2083</v>
          </cell>
          <cell r="P121">
            <v>2083</v>
          </cell>
          <cell r="Q121">
            <v>2004.7200000000012</v>
          </cell>
          <cell r="R121">
            <v>38567</v>
          </cell>
          <cell r="S121">
            <v>1950</v>
          </cell>
          <cell r="T121">
            <v>1441.6089999999999</v>
          </cell>
          <cell r="U121">
            <v>1113.0436199999999</v>
          </cell>
          <cell r="V121">
            <v>1928.3500000000001</v>
          </cell>
          <cell r="W121">
            <v>45000.002619999992</v>
          </cell>
          <cell r="Y121">
            <v>38567</v>
          </cell>
          <cell r="AA121">
            <v>200</v>
          </cell>
          <cell r="AB121">
            <v>1800</v>
          </cell>
          <cell r="AC121">
            <v>283</v>
          </cell>
          <cell r="AE121">
            <v>2283</v>
          </cell>
          <cell r="AF121">
            <v>40767.002619999992</v>
          </cell>
        </row>
        <row r="122">
          <cell r="C122" t="str">
            <v>BITS-715</v>
          </cell>
          <cell r="D122" t="str">
            <v>SAP</v>
          </cell>
          <cell r="E122" t="str">
            <v>Sushma P</v>
          </cell>
          <cell r="F122" t="str">
            <v>PUNE SEZ 2</v>
          </cell>
          <cell r="G122">
            <v>45000</v>
          </cell>
          <cell r="H122">
            <v>38567</v>
          </cell>
          <cell r="I122">
            <v>31</v>
          </cell>
          <cell r="J122">
            <v>31</v>
          </cell>
          <cell r="L122">
            <v>31</v>
          </cell>
          <cell r="M122">
            <v>23140.2</v>
          </cell>
          <cell r="N122">
            <v>9256.08</v>
          </cell>
          <cell r="O122">
            <v>2083</v>
          </cell>
          <cell r="P122">
            <v>2083</v>
          </cell>
          <cell r="Q122">
            <v>2004.7200000000012</v>
          </cell>
          <cell r="R122">
            <v>38567</v>
          </cell>
          <cell r="S122">
            <v>1950</v>
          </cell>
          <cell r="T122">
            <v>1441.6089999999999</v>
          </cell>
          <cell r="U122">
            <v>1113.0436199999999</v>
          </cell>
          <cell r="V122">
            <v>1928.3500000000001</v>
          </cell>
          <cell r="W122">
            <v>45000.002619999992</v>
          </cell>
          <cell r="Y122">
            <v>38567</v>
          </cell>
          <cell r="AA122">
            <v>200</v>
          </cell>
          <cell r="AB122">
            <v>1800</v>
          </cell>
          <cell r="AC122">
            <v>283</v>
          </cell>
          <cell r="AE122">
            <v>2283</v>
          </cell>
          <cell r="AF122">
            <v>40767.002619999992</v>
          </cell>
        </row>
        <row r="123">
          <cell r="C123" t="str">
            <v>BITS-716</v>
          </cell>
          <cell r="D123" t="str">
            <v>SAP</v>
          </cell>
          <cell r="E123" t="str">
            <v>PAVANKUMAR</v>
          </cell>
          <cell r="F123" t="str">
            <v>PUNE SEZ 1</v>
          </cell>
          <cell r="G123">
            <v>45000</v>
          </cell>
          <cell r="H123">
            <v>38567</v>
          </cell>
          <cell r="I123">
            <v>31</v>
          </cell>
          <cell r="J123">
            <v>30</v>
          </cell>
          <cell r="K123">
            <v>1</v>
          </cell>
          <cell r="L123">
            <v>31</v>
          </cell>
          <cell r="M123">
            <v>23140.2</v>
          </cell>
          <cell r="N123">
            <v>9256.08</v>
          </cell>
          <cell r="O123">
            <v>2083</v>
          </cell>
          <cell r="P123">
            <v>2083</v>
          </cell>
          <cell r="Q123">
            <v>2004.7200000000012</v>
          </cell>
          <cell r="R123">
            <v>38567</v>
          </cell>
          <cell r="S123">
            <v>1950</v>
          </cell>
          <cell r="T123">
            <v>1441.6089999999999</v>
          </cell>
          <cell r="U123">
            <v>1113.0436199999999</v>
          </cell>
          <cell r="V123">
            <v>1928.3500000000001</v>
          </cell>
          <cell r="W123">
            <v>45000.002619999992</v>
          </cell>
          <cell r="Y123">
            <v>38567</v>
          </cell>
          <cell r="AA123">
            <v>200</v>
          </cell>
          <cell r="AB123">
            <v>1800</v>
          </cell>
          <cell r="AC123">
            <v>283</v>
          </cell>
          <cell r="AE123">
            <v>2283</v>
          </cell>
          <cell r="AF123">
            <v>40767.002619999992</v>
          </cell>
        </row>
        <row r="124">
          <cell r="C124" t="str">
            <v>BITS-717</v>
          </cell>
          <cell r="E124" t="str">
            <v>Jaikesh Upadhyay  </v>
          </cell>
          <cell r="F124" t="str">
            <v>PUNE ASC SEZ</v>
          </cell>
          <cell r="G124">
            <v>125000</v>
          </cell>
          <cell r="H124">
            <v>112719</v>
          </cell>
          <cell r="I124">
            <v>31</v>
          </cell>
          <cell r="J124">
            <v>30</v>
          </cell>
          <cell r="K124">
            <v>1</v>
          </cell>
          <cell r="L124">
            <v>31</v>
          </cell>
          <cell r="M124">
            <v>67631.399999999994</v>
          </cell>
          <cell r="N124">
            <v>27052.559999999998</v>
          </cell>
          <cell r="O124">
            <v>2083</v>
          </cell>
          <cell r="P124">
            <v>2083</v>
          </cell>
          <cell r="Q124">
            <v>13869.040000000008</v>
          </cell>
          <cell r="R124">
            <v>112719</v>
          </cell>
          <cell r="S124">
            <v>1950</v>
          </cell>
          <cell r="T124">
            <v>1441.6089999999999</v>
          </cell>
          <cell r="U124">
            <v>3253.0703399999993</v>
          </cell>
          <cell r="V124">
            <v>5635.95</v>
          </cell>
          <cell r="W124">
            <v>124999.62934</v>
          </cell>
          <cell r="Y124">
            <v>112719</v>
          </cell>
          <cell r="AA124">
            <v>200</v>
          </cell>
          <cell r="AB124">
            <v>1800</v>
          </cell>
          <cell r="AC124">
            <v>283</v>
          </cell>
          <cell r="AE124">
            <v>2283</v>
          </cell>
          <cell r="AF124">
            <v>120766.62934</v>
          </cell>
        </row>
        <row r="125">
          <cell r="C125" t="str">
            <v>BITS-718</v>
          </cell>
          <cell r="E125" t="str">
            <v>Mahanth Devasani</v>
          </cell>
          <cell r="F125" t="str">
            <v>BNG STP</v>
          </cell>
          <cell r="G125">
            <v>160000</v>
          </cell>
          <cell r="H125">
            <v>145161</v>
          </cell>
          <cell r="I125">
            <v>31</v>
          </cell>
          <cell r="J125">
            <v>30</v>
          </cell>
          <cell r="K125">
            <v>1</v>
          </cell>
          <cell r="L125">
            <v>31</v>
          </cell>
          <cell r="M125">
            <v>87096.6</v>
          </cell>
          <cell r="N125">
            <v>34838.640000000007</v>
          </cell>
          <cell r="O125">
            <v>2083</v>
          </cell>
          <cell r="P125">
            <v>2083</v>
          </cell>
          <cell r="Q125">
            <v>19059.75999999998</v>
          </cell>
          <cell r="R125">
            <v>145161</v>
          </cell>
          <cell r="S125">
            <v>1950</v>
          </cell>
          <cell r="T125">
            <v>1441.6089999999999</v>
          </cell>
          <cell r="U125">
            <v>4189.3464599999998</v>
          </cell>
          <cell r="V125">
            <v>7258.05</v>
          </cell>
          <cell r="W125">
            <v>160000.00545999999</v>
          </cell>
          <cell r="Y125">
            <v>145161</v>
          </cell>
          <cell r="AA125">
            <v>200</v>
          </cell>
          <cell r="AB125">
            <v>1800</v>
          </cell>
          <cell r="AC125">
            <v>283</v>
          </cell>
          <cell r="AE125">
            <v>2283</v>
          </cell>
          <cell r="AF125">
            <v>155767.00545999999</v>
          </cell>
        </row>
        <row r="126">
          <cell r="C126" t="str">
            <v>BITS-719</v>
          </cell>
          <cell r="E126" t="str">
            <v>ROOPINI CHIYYARAPU</v>
          </cell>
          <cell r="F126" t="str">
            <v>HYD SEZ</v>
          </cell>
          <cell r="G126">
            <v>85000</v>
          </cell>
          <cell r="H126">
            <v>75643</v>
          </cell>
          <cell r="I126">
            <v>31</v>
          </cell>
          <cell r="J126">
            <v>30</v>
          </cell>
          <cell r="K126">
            <v>1</v>
          </cell>
          <cell r="L126">
            <v>31</v>
          </cell>
          <cell r="M126">
            <v>45385.8</v>
          </cell>
          <cell r="N126">
            <v>18154.320000000003</v>
          </cell>
          <cell r="O126">
            <v>2083</v>
          </cell>
          <cell r="P126">
            <v>2083</v>
          </cell>
          <cell r="Q126">
            <v>7936.8799999999901</v>
          </cell>
          <cell r="R126">
            <v>75643</v>
          </cell>
          <cell r="S126">
            <v>1950</v>
          </cell>
          <cell r="T126">
            <v>1441.6089999999999</v>
          </cell>
          <cell r="U126">
            <v>2183.0569799999998</v>
          </cell>
          <cell r="V126">
            <v>3782.15</v>
          </cell>
          <cell r="W126">
            <v>84999.815979999985</v>
          </cell>
          <cell r="Y126">
            <v>75643</v>
          </cell>
          <cell r="AA126">
            <v>200</v>
          </cell>
          <cell r="AB126">
            <v>1800</v>
          </cell>
          <cell r="AC126">
            <v>283</v>
          </cell>
          <cell r="AE126">
            <v>2283</v>
          </cell>
          <cell r="AF126">
            <v>80766.815979999985</v>
          </cell>
        </row>
        <row r="127">
          <cell r="C127" t="str">
            <v>BITS-720</v>
          </cell>
          <cell r="E127" t="str">
            <v>Jyoti Singh</v>
          </cell>
          <cell r="F127" t="str">
            <v>PUNE ASC SEZ</v>
          </cell>
          <cell r="G127">
            <v>115000</v>
          </cell>
          <cell r="H127">
            <v>103450</v>
          </cell>
          <cell r="I127">
            <v>31</v>
          </cell>
          <cell r="J127">
            <v>31</v>
          </cell>
          <cell r="L127">
            <v>31</v>
          </cell>
          <cell r="M127">
            <v>62070</v>
          </cell>
          <cell r="N127">
            <v>24828</v>
          </cell>
          <cell r="O127">
            <v>2083</v>
          </cell>
          <cell r="P127">
            <v>2083</v>
          </cell>
          <cell r="Q127">
            <v>12386</v>
          </cell>
          <cell r="R127">
            <v>103450</v>
          </cell>
          <cell r="S127">
            <v>1950</v>
          </cell>
          <cell r="T127">
            <v>1441.6089999999999</v>
          </cell>
          <cell r="U127">
            <v>2985.5669999999996</v>
          </cell>
          <cell r="V127">
            <v>5172.5</v>
          </cell>
          <cell r="W127">
            <v>114999.67599999999</v>
          </cell>
          <cell r="Y127">
            <v>103450</v>
          </cell>
          <cell r="AA127">
            <v>200</v>
          </cell>
          <cell r="AC127">
            <v>283</v>
          </cell>
          <cell r="AE127">
            <v>483</v>
          </cell>
          <cell r="AF127">
            <v>112566.67599999999</v>
          </cell>
        </row>
        <row r="128">
          <cell r="C128" t="str">
            <v>BITS-721</v>
          </cell>
          <cell r="E128" t="str">
            <v>Rohit Kamble 11-3-2022</v>
          </cell>
          <cell r="G128">
            <v>84000</v>
          </cell>
          <cell r="H128">
            <v>74716</v>
          </cell>
          <cell r="I128">
            <v>31</v>
          </cell>
          <cell r="J128">
            <v>11</v>
          </cell>
          <cell r="L128">
            <v>11</v>
          </cell>
          <cell r="M128">
            <v>15907.277419354839</v>
          </cell>
          <cell r="N128">
            <v>6362.9109677419365</v>
          </cell>
          <cell r="O128">
            <v>739</v>
          </cell>
          <cell r="P128">
            <v>739</v>
          </cell>
          <cell r="Q128">
            <v>2763.9406451612886</v>
          </cell>
          <cell r="R128">
            <v>26512.129032258064</v>
          </cell>
          <cell r="S128">
            <v>1950</v>
          </cell>
          <cell r="T128">
            <v>1441.6089999999999</v>
          </cell>
          <cell r="U128">
            <v>765.14004387096782</v>
          </cell>
          <cell r="V128">
            <v>1325.6064516129034</v>
          </cell>
          <cell r="W128">
            <v>31994.484527741937</v>
          </cell>
          <cell r="Y128">
            <v>26512.129032258064</v>
          </cell>
          <cell r="AA128">
            <v>200</v>
          </cell>
          <cell r="AB128">
            <v>1800</v>
          </cell>
          <cell r="AC128">
            <v>283</v>
          </cell>
          <cell r="AE128">
            <v>2283</v>
          </cell>
          <cell r="AF128">
            <v>27761.355495483873</v>
          </cell>
        </row>
        <row r="129">
          <cell r="C129" t="str">
            <v>BITS-722</v>
          </cell>
          <cell r="E129" t="str">
            <v>Inturi Ramakrishna</v>
          </cell>
          <cell r="G129">
            <v>90000</v>
          </cell>
          <cell r="H129">
            <v>80278</v>
          </cell>
          <cell r="I129">
            <v>31</v>
          </cell>
          <cell r="J129">
            <v>31</v>
          </cell>
          <cell r="L129">
            <v>31</v>
          </cell>
          <cell r="M129">
            <v>48166.8</v>
          </cell>
          <cell r="N129">
            <v>19266.72</v>
          </cell>
          <cell r="O129">
            <v>2083</v>
          </cell>
          <cell r="P129">
            <v>2083</v>
          </cell>
          <cell r="Q129">
            <v>8678.4799999999959</v>
          </cell>
          <cell r="R129">
            <v>80278</v>
          </cell>
          <cell r="S129">
            <v>1950</v>
          </cell>
          <cell r="T129">
            <v>1441.6089999999999</v>
          </cell>
          <cell r="U129">
            <v>2316.8230800000001</v>
          </cell>
          <cell r="V129">
            <v>4013.9</v>
          </cell>
          <cell r="W129">
            <v>90000.332079999993</v>
          </cell>
          <cell r="X129">
            <v>24336</v>
          </cell>
          <cell r="Y129">
            <v>104614</v>
          </cell>
          <cell r="AA129">
            <v>200</v>
          </cell>
          <cell r="AB129">
            <v>1800</v>
          </cell>
          <cell r="AC129">
            <v>283</v>
          </cell>
          <cell r="AE129">
            <v>2283</v>
          </cell>
          <cell r="AF129">
            <v>110103.33207999999</v>
          </cell>
        </row>
        <row r="130">
          <cell r="C130" t="str">
            <v>BITS-723</v>
          </cell>
          <cell r="D130" t="str">
            <v>SAP</v>
          </cell>
          <cell r="E130" t="str">
            <v>D.Santhoshi</v>
          </cell>
          <cell r="F130" t="str">
            <v>HYD SEZ</v>
          </cell>
          <cell r="G130">
            <v>45000</v>
          </cell>
          <cell r="H130">
            <v>38567</v>
          </cell>
          <cell r="I130">
            <v>31</v>
          </cell>
          <cell r="J130">
            <v>31</v>
          </cell>
          <cell r="L130">
            <v>31</v>
          </cell>
          <cell r="M130">
            <v>23140.2</v>
          </cell>
          <cell r="N130">
            <v>9256.08</v>
          </cell>
          <cell r="O130">
            <v>2083</v>
          </cell>
          <cell r="P130">
            <v>2083</v>
          </cell>
          <cell r="Q130">
            <v>2004.7200000000012</v>
          </cell>
          <cell r="R130">
            <v>38567</v>
          </cell>
          <cell r="S130">
            <v>1950</v>
          </cell>
          <cell r="T130">
            <v>1441.6089999999999</v>
          </cell>
          <cell r="U130">
            <v>1113.0436199999999</v>
          </cell>
          <cell r="V130">
            <v>1928.3500000000001</v>
          </cell>
          <cell r="W130">
            <v>45000.002619999992</v>
          </cell>
          <cell r="Y130">
            <v>38567</v>
          </cell>
          <cell r="AA130">
            <v>200</v>
          </cell>
          <cell r="AB130">
            <v>1800</v>
          </cell>
          <cell r="AC130">
            <v>283</v>
          </cell>
          <cell r="AE130">
            <v>2283</v>
          </cell>
          <cell r="AF130">
            <v>40767.002619999992</v>
          </cell>
        </row>
        <row r="131">
          <cell r="C131" t="str">
            <v>BITS-724</v>
          </cell>
          <cell r="D131" t="str">
            <v>SAP</v>
          </cell>
          <cell r="E131" t="str">
            <v>Bharath</v>
          </cell>
          <cell r="F131" t="str">
            <v>HYD SEZ</v>
          </cell>
          <cell r="G131">
            <v>30000</v>
          </cell>
          <cell r="H131">
            <v>24636</v>
          </cell>
          <cell r="I131">
            <v>31</v>
          </cell>
          <cell r="J131">
            <v>31</v>
          </cell>
          <cell r="L131">
            <v>31</v>
          </cell>
          <cell r="M131">
            <v>14781.6</v>
          </cell>
          <cell r="N131">
            <v>5912.64</v>
          </cell>
          <cell r="O131">
            <v>1500</v>
          </cell>
          <cell r="P131">
            <v>1500</v>
          </cell>
          <cell r="Q131">
            <v>631</v>
          </cell>
          <cell r="R131">
            <v>24325.24</v>
          </cell>
          <cell r="S131">
            <v>1921.6080000000002</v>
          </cell>
          <cell r="T131">
            <v>1441.6089999999999</v>
          </cell>
          <cell r="U131">
            <v>710.99495999999999</v>
          </cell>
          <cell r="V131">
            <v>1231.8</v>
          </cell>
          <cell r="W131">
            <v>29631.251960000001</v>
          </cell>
          <cell r="Y131">
            <v>24325.24</v>
          </cell>
          <cell r="AA131">
            <v>200</v>
          </cell>
          <cell r="AB131">
            <v>1774</v>
          </cell>
          <cell r="AC131">
            <v>283</v>
          </cell>
          <cell r="AE131">
            <v>2257</v>
          </cell>
          <cell r="AF131">
            <v>25452.40396</v>
          </cell>
        </row>
        <row r="132">
          <cell r="C132" t="str">
            <v>BITS-725</v>
          </cell>
          <cell r="D132" t="str">
            <v>SAP</v>
          </cell>
          <cell r="E132" t="str">
            <v>NEERUDU SAI KUMAR</v>
          </cell>
          <cell r="F132" t="str">
            <v>HYD SEZ</v>
          </cell>
          <cell r="G132">
            <v>45000</v>
          </cell>
          <cell r="H132">
            <v>38567</v>
          </cell>
          <cell r="I132">
            <v>31</v>
          </cell>
          <cell r="J132">
            <v>31</v>
          </cell>
          <cell r="L132">
            <v>31</v>
          </cell>
          <cell r="M132">
            <v>23140.2</v>
          </cell>
          <cell r="N132">
            <v>9256.08</v>
          </cell>
          <cell r="O132">
            <v>2083</v>
          </cell>
          <cell r="P132">
            <v>2083</v>
          </cell>
          <cell r="Q132">
            <v>2004.7200000000012</v>
          </cell>
          <cell r="R132">
            <v>38567</v>
          </cell>
          <cell r="S132">
            <v>1950</v>
          </cell>
          <cell r="T132">
            <v>1441.6089999999999</v>
          </cell>
          <cell r="U132">
            <v>1113.0436199999999</v>
          </cell>
          <cell r="V132">
            <v>1928.3500000000001</v>
          </cell>
          <cell r="W132">
            <v>45000.002619999992</v>
          </cell>
          <cell r="Y132">
            <v>38567</v>
          </cell>
          <cell r="AA132">
            <v>200</v>
          </cell>
          <cell r="AB132">
            <v>1800</v>
          </cell>
          <cell r="AC132">
            <v>283</v>
          </cell>
          <cell r="AE132">
            <v>2283</v>
          </cell>
          <cell r="AF132">
            <v>40767.002619999992</v>
          </cell>
        </row>
        <row r="133">
          <cell r="C133" t="str">
            <v>BITS-726</v>
          </cell>
          <cell r="D133" t="str">
            <v>SAP</v>
          </cell>
          <cell r="E133" t="str">
            <v>Ramineni Abhilash</v>
          </cell>
          <cell r="F133" t="str">
            <v>HYD SEZ</v>
          </cell>
          <cell r="G133">
            <v>45000</v>
          </cell>
          <cell r="H133">
            <v>38567</v>
          </cell>
          <cell r="I133">
            <v>31</v>
          </cell>
          <cell r="J133">
            <v>31</v>
          </cell>
          <cell r="L133">
            <v>31</v>
          </cell>
          <cell r="M133">
            <v>23140.2</v>
          </cell>
          <cell r="N133">
            <v>9256.08</v>
          </cell>
          <cell r="O133">
            <v>2083</v>
          </cell>
          <cell r="P133">
            <v>2083</v>
          </cell>
          <cell r="Q133">
            <v>2004.7200000000012</v>
          </cell>
          <cell r="R133">
            <v>38567</v>
          </cell>
          <cell r="S133">
            <v>1950</v>
          </cell>
          <cell r="T133">
            <v>1441.6089999999999</v>
          </cell>
          <cell r="U133">
            <v>1113.0436199999999</v>
          </cell>
          <cell r="V133">
            <v>1928.3500000000001</v>
          </cell>
          <cell r="W133">
            <v>45000.002619999992</v>
          </cell>
          <cell r="Y133">
            <v>38567</v>
          </cell>
          <cell r="AA133">
            <v>200</v>
          </cell>
          <cell r="AB133">
            <v>1800</v>
          </cell>
          <cell r="AC133">
            <v>283</v>
          </cell>
          <cell r="AE133">
            <v>2283</v>
          </cell>
          <cell r="AF133">
            <v>40767.002619999992</v>
          </cell>
        </row>
        <row r="134">
          <cell r="C134" t="str">
            <v>BITS-727</v>
          </cell>
          <cell r="E134" t="str">
            <v>SRILATHA</v>
          </cell>
          <cell r="F134" t="str">
            <v>HYD SEZ</v>
          </cell>
          <cell r="G134">
            <v>115000</v>
          </cell>
          <cell r="H134">
            <v>103450</v>
          </cell>
          <cell r="I134">
            <v>31</v>
          </cell>
          <cell r="J134">
            <v>31</v>
          </cell>
          <cell r="L134">
            <v>31</v>
          </cell>
          <cell r="M134">
            <v>62070</v>
          </cell>
          <cell r="N134">
            <v>24828</v>
          </cell>
          <cell r="O134">
            <v>2083</v>
          </cell>
          <cell r="P134">
            <v>2083</v>
          </cell>
          <cell r="Q134">
            <v>12386</v>
          </cell>
          <cell r="R134">
            <v>103450</v>
          </cell>
          <cell r="S134">
            <v>1950</v>
          </cell>
          <cell r="T134">
            <v>1441.6089999999999</v>
          </cell>
          <cell r="U134">
            <v>2985.5669999999996</v>
          </cell>
          <cell r="V134">
            <v>5172.5</v>
          </cell>
          <cell r="W134">
            <v>114999.67599999999</v>
          </cell>
          <cell r="Y134">
            <v>103450</v>
          </cell>
          <cell r="AA134">
            <v>200</v>
          </cell>
          <cell r="AB134">
            <v>1800</v>
          </cell>
          <cell r="AE134">
            <v>2000</v>
          </cell>
          <cell r="AF134">
            <v>111049.67599999999</v>
          </cell>
        </row>
        <row r="135">
          <cell r="C135" t="str">
            <v>BITS-728</v>
          </cell>
          <cell r="E135" t="str">
            <v>Reshma Punde</v>
          </cell>
          <cell r="F135" t="str">
            <v>hold</v>
          </cell>
          <cell r="G135">
            <v>80000</v>
          </cell>
          <cell r="H135">
            <v>71009</v>
          </cell>
          <cell r="I135">
            <v>31</v>
          </cell>
          <cell r="J135">
            <v>29</v>
          </cell>
          <cell r="L135">
            <v>29</v>
          </cell>
          <cell r="M135">
            <v>39856.664516129036</v>
          </cell>
          <cell r="N135">
            <v>15942.665806451616</v>
          </cell>
          <cell r="O135">
            <v>1949</v>
          </cell>
          <cell r="P135">
            <v>1949</v>
          </cell>
          <cell r="Q135">
            <v>6730.4438709677415</v>
          </cell>
          <cell r="R135">
            <v>66427.774193548394</v>
          </cell>
          <cell r="S135">
            <v>1950</v>
          </cell>
          <cell r="T135">
            <v>1441.6089999999999</v>
          </cell>
          <cell r="U135">
            <v>1917.1055632258065</v>
          </cell>
          <cell r="V135">
            <v>3321.3887096774197</v>
          </cell>
          <cell r="W135">
            <v>75057.87746645161</v>
          </cell>
          <cell r="Y135">
            <v>66427.774193548394</v>
          </cell>
          <cell r="AA135">
            <v>200</v>
          </cell>
          <cell r="AE135">
            <v>200</v>
          </cell>
          <cell r="AF135">
            <v>72908.103272903216</v>
          </cell>
        </row>
        <row r="136">
          <cell r="C136" t="str">
            <v>BITS-729</v>
          </cell>
          <cell r="E136" t="str">
            <v>Rahul Suryawanshi</v>
          </cell>
          <cell r="F136" t="str">
            <v>PUNE SEZ 1</v>
          </cell>
          <cell r="G136">
            <v>90000</v>
          </cell>
          <cell r="H136">
            <v>80278</v>
          </cell>
          <cell r="I136">
            <v>31</v>
          </cell>
          <cell r="J136">
            <v>28</v>
          </cell>
          <cell r="L136">
            <v>28</v>
          </cell>
          <cell r="M136">
            <v>43505.49677419354</v>
          </cell>
          <cell r="N136">
            <v>17402.198709677417</v>
          </cell>
          <cell r="O136">
            <v>1881</v>
          </cell>
          <cell r="P136">
            <v>1881</v>
          </cell>
          <cell r="Q136">
            <v>7839.4658064516188</v>
          </cell>
          <cell r="R136">
            <v>72509.161290322576</v>
          </cell>
          <cell r="S136">
            <v>1950</v>
          </cell>
          <cell r="T136">
            <v>1441.6089999999999</v>
          </cell>
          <cell r="U136">
            <v>2092.6143948387089</v>
          </cell>
          <cell r="V136">
            <v>3625.4580645161282</v>
          </cell>
          <cell r="W136">
            <v>81618.842749677395</v>
          </cell>
          <cell r="Y136">
            <v>72509.161290322576</v>
          </cell>
          <cell r="AA136">
            <v>200</v>
          </cell>
          <cell r="AB136">
            <v>1800</v>
          </cell>
          <cell r="AE136">
            <v>2000</v>
          </cell>
          <cell r="AF136">
            <v>77668.681459354833</v>
          </cell>
        </row>
        <row r="137">
          <cell r="C137" t="str">
            <v>BITS-730</v>
          </cell>
          <cell r="E137" t="str">
            <v xml:space="preserve">Shantanu Patankar </v>
          </cell>
          <cell r="F137" t="str">
            <v>PUNE SEZ 1</v>
          </cell>
          <cell r="G137">
            <v>125000</v>
          </cell>
          <cell r="H137">
            <v>112719</v>
          </cell>
          <cell r="I137">
            <v>31</v>
          </cell>
          <cell r="J137">
            <v>23</v>
          </cell>
          <cell r="L137">
            <v>23</v>
          </cell>
          <cell r="M137">
            <v>50178.135483870959</v>
          </cell>
          <cell r="N137">
            <v>20071.254193548386</v>
          </cell>
          <cell r="O137">
            <v>1545</v>
          </cell>
          <cell r="P137">
            <v>1545</v>
          </cell>
          <cell r="Q137">
            <v>10290.836129032265</v>
          </cell>
          <cell r="R137">
            <v>83630.225806451606</v>
          </cell>
          <cell r="S137">
            <v>1950</v>
          </cell>
          <cell r="T137">
            <v>1441.6089999999999</v>
          </cell>
          <cell r="U137">
            <v>2413.5683167741931</v>
          </cell>
          <cell r="V137">
            <v>4181.51129032258</v>
          </cell>
          <cell r="W137">
            <v>93616.91441354838</v>
          </cell>
          <cell r="Y137">
            <v>83630.225806451606</v>
          </cell>
          <cell r="AA137">
            <v>200</v>
          </cell>
          <cell r="AB137">
            <v>1800</v>
          </cell>
          <cell r="AE137">
            <v>2000</v>
          </cell>
          <cell r="AF137">
            <v>89666.688607096774</v>
          </cell>
        </row>
        <row r="138">
          <cell r="C138" t="str">
            <v>BITS-731</v>
          </cell>
          <cell r="E138" t="str">
            <v xml:space="preserve">YAMUNA S </v>
          </cell>
          <cell r="F138" t="str">
            <v>BNG STP</v>
          </cell>
          <cell r="G138">
            <v>135000</v>
          </cell>
          <cell r="H138">
            <v>121988</v>
          </cell>
          <cell r="I138">
            <v>31</v>
          </cell>
          <cell r="J138">
            <v>21</v>
          </cell>
          <cell r="L138">
            <v>21</v>
          </cell>
          <cell r="M138">
            <v>49582.219354838708</v>
          </cell>
          <cell r="N138">
            <v>19832.887741935483</v>
          </cell>
          <cell r="O138">
            <v>1411</v>
          </cell>
          <cell r="P138">
            <v>1411</v>
          </cell>
          <cell r="Q138">
            <v>10399.925161290332</v>
          </cell>
          <cell r="R138">
            <v>82637.032258064515</v>
          </cell>
          <cell r="S138">
            <v>1950</v>
          </cell>
          <cell r="T138">
            <v>1441.6089999999999</v>
          </cell>
          <cell r="U138">
            <v>2384.9047509677416</v>
          </cell>
          <cell r="V138">
            <v>4131.8516129032259</v>
          </cell>
          <cell r="W138">
            <v>92545.397621935481</v>
          </cell>
          <cell r="Y138">
            <v>82637.032258064515</v>
          </cell>
          <cell r="AA138">
            <v>200</v>
          </cell>
          <cell r="AB138">
            <v>1800</v>
          </cell>
          <cell r="AE138">
            <v>2000</v>
          </cell>
          <cell r="AF138">
            <v>88595.365363870966</v>
          </cell>
        </row>
        <row r="139">
          <cell r="C139" t="str">
            <v>BITS-732</v>
          </cell>
          <cell r="E139" t="str">
            <v xml:space="preserve">ChetanMadhukar Mundhe </v>
          </cell>
          <cell r="F139" t="str">
            <v>BNG STP</v>
          </cell>
          <cell r="G139">
            <v>125000</v>
          </cell>
          <cell r="H139">
            <v>112719</v>
          </cell>
          <cell r="I139">
            <v>31</v>
          </cell>
          <cell r="J139">
            <v>17</v>
          </cell>
          <cell r="L139">
            <v>17</v>
          </cell>
          <cell r="M139">
            <v>37088.1870967742</v>
          </cell>
          <cell r="N139">
            <v>14835.27483870968</v>
          </cell>
          <cell r="O139">
            <v>1142</v>
          </cell>
          <cell r="P139">
            <v>1142</v>
          </cell>
          <cell r="Q139">
            <v>7606.183225806446</v>
          </cell>
          <cell r="R139">
            <v>61813.645161290326</v>
          </cell>
          <cell r="S139">
            <v>1950</v>
          </cell>
          <cell r="T139">
            <v>1441.6089999999999</v>
          </cell>
          <cell r="U139">
            <v>1783.9417993548386</v>
          </cell>
          <cell r="V139">
            <v>3090.6822580645166</v>
          </cell>
          <cell r="W139">
            <v>70079.87821870968</v>
          </cell>
          <cell r="Y139">
            <v>61813.645161290326</v>
          </cell>
          <cell r="AA139">
            <v>200</v>
          </cell>
          <cell r="AB139">
            <v>1800</v>
          </cell>
          <cell r="AE139">
            <v>2000</v>
          </cell>
          <cell r="AF139">
            <v>66130.233057419362</v>
          </cell>
        </row>
        <row r="140">
          <cell r="C140" t="str">
            <v>BITS-733</v>
          </cell>
          <cell r="E140" t="str">
            <v>Chandrashekar Patil</v>
          </cell>
          <cell r="F140" t="str">
            <v>PUNE ASC SEZ</v>
          </cell>
          <cell r="G140">
            <v>83000</v>
          </cell>
          <cell r="H140">
            <v>73789</v>
          </cell>
          <cell r="I140">
            <v>31</v>
          </cell>
          <cell r="J140">
            <v>17</v>
          </cell>
          <cell r="K140">
            <v>1</v>
          </cell>
          <cell r="L140">
            <v>18</v>
          </cell>
          <cell r="M140">
            <v>25707.135483870967</v>
          </cell>
          <cell r="N140">
            <v>10282.854193548388</v>
          </cell>
          <cell r="O140">
            <v>1209</v>
          </cell>
          <cell r="P140">
            <v>1209</v>
          </cell>
          <cell r="Q140">
            <v>4437.2361290322588</v>
          </cell>
          <cell r="R140">
            <v>42845.225806451614</v>
          </cell>
          <cell r="S140">
            <v>1950</v>
          </cell>
          <cell r="T140">
            <v>1441.6089999999999</v>
          </cell>
          <cell r="U140">
            <v>1236.5132167741933</v>
          </cell>
          <cell r="V140">
            <v>2142.2612903225804</v>
          </cell>
          <cell r="W140">
            <v>49615.609313548382</v>
          </cell>
          <cell r="Y140">
            <v>42845.225806451614</v>
          </cell>
          <cell r="AA140">
            <v>200</v>
          </cell>
          <cell r="AB140">
            <v>1800</v>
          </cell>
          <cell r="AE140">
            <v>2000</v>
          </cell>
          <cell r="AF140">
            <v>45665.383507096769</v>
          </cell>
        </row>
        <row r="141">
          <cell r="C141" t="str">
            <v>BITS-734</v>
          </cell>
          <cell r="E141" t="str">
            <v xml:space="preserve">ShaikFarooq Basha </v>
          </cell>
          <cell r="F141" t="str">
            <v>PUNE ASC SEZ</v>
          </cell>
          <cell r="G141">
            <v>115000</v>
          </cell>
          <cell r="H141">
            <v>103450</v>
          </cell>
          <cell r="I141">
            <v>31</v>
          </cell>
          <cell r="J141">
            <v>16</v>
          </cell>
          <cell r="L141">
            <v>16</v>
          </cell>
          <cell r="M141">
            <v>32036.129032258064</v>
          </cell>
          <cell r="N141">
            <v>12814.451612903227</v>
          </cell>
          <cell r="O141">
            <v>1075</v>
          </cell>
          <cell r="P141">
            <v>1075</v>
          </cell>
          <cell r="Q141">
            <v>6392.9677419354848</v>
          </cell>
          <cell r="R141">
            <v>53393.548387096773</v>
          </cell>
          <cell r="S141">
            <v>1950</v>
          </cell>
          <cell r="T141">
            <v>1441.6089999999999</v>
          </cell>
          <cell r="U141">
            <v>1540.9378064516129</v>
          </cell>
          <cell r="V141">
            <v>2669.6774193548385</v>
          </cell>
          <cell r="W141">
            <v>60995.772612903223</v>
          </cell>
          <cell r="Y141">
            <v>53393.548387096773</v>
          </cell>
          <cell r="AA141">
            <v>200</v>
          </cell>
          <cell r="AB141">
            <v>1800</v>
          </cell>
          <cell r="AE141">
            <v>2000</v>
          </cell>
          <cell r="AF141">
            <v>57046.224225806451</v>
          </cell>
        </row>
        <row r="142">
          <cell r="C142" t="str">
            <v>BITS-734</v>
          </cell>
          <cell r="E142" t="str">
            <v>SathishKumar dhandu</v>
          </cell>
          <cell r="F142" t="str">
            <v>BNG STP</v>
          </cell>
          <cell r="G142">
            <v>95000</v>
          </cell>
          <cell r="H142">
            <v>84812</v>
          </cell>
          <cell r="I142">
            <v>31</v>
          </cell>
          <cell r="J142">
            <v>16</v>
          </cell>
          <cell r="L142">
            <v>16</v>
          </cell>
          <cell r="M142">
            <v>26264.36129032258</v>
          </cell>
          <cell r="N142">
            <v>10505.744516129032</v>
          </cell>
          <cell r="O142">
            <v>1075</v>
          </cell>
          <cell r="P142">
            <v>1075</v>
          </cell>
          <cell r="Q142">
            <v>4853.8296774193586</v>
          </cell>
          <cell r="R142">
            <v>43773.93548387097</v>
          </cell>
          <cell r="T142">
            <v>1441.6089999999999</v>
          </cell>
          <cell r="U142">
            <v>1263.3157780645161</v>
          </cell>
          <cell r="V142">
            <v>2188.6967741935482</v>
          </cell>
          <cell r="W142">
            <v>48667.55703612903</v>
          </cell>
          <cell r="Y142">
            <v>43773.93548387097</v>
          </cell>
          <cell r="AA142">
            <v>200</v>
          </cell>
          <cell r="AE142">
            <v>200</v>
          </cell>
          <cell r="AF142">
            <v>48467.621552258061</v>
          </cell>
        </row>
        <row r="143">
          <cell r="C143" t="str">
            <v>BITS-735</v>
          </cell>
          <cell r="E143" t="str">
            <v> SURESH Kumar KOLA</v>
          </cell>
          <cell r="F143" t="str">
            <v>HYD SEZ</v>
          </cell>
          <cell r="G143">
            <v>90000</v>
          </cell>
          <cell r="H143">
            <v>80278</v>
          </cell>
          <cell r="I143">
            <v>31</v>
          </cell>
          <cell r="J143">
            <v>15</v>
          </cell>
          <cell r="L143">
            <v>15</v>
          </cell>
          <cell r="M143">
            <v>23306.516129032258</v>
          </cell>
          <cell r="N143">
            <v>9322.6064516129027</v>
          </cell>
          <cell r="O143">
            <v>1008</v>
          </cell>
          <cell r="P143">
            <v>1008</v>
          </cell>
          <cell r="Q143">
            <v>4199.0709677419363</v>
          </cell>
          <cell r="R143">
            <v>38844.193548387098</v>
          </cell>
          <cell r="S143">
            <v>1950</v>
          </cell>
          <cell r="T143">
            <v>1441.6089999999999</v>
          </cell>
          <cell r="U143">
            <v>1121.0434258064515</v>
          </cell>
          <cell r="V143">
            <v>1942.2096774193549</v>
          </cell>
          <cell r="W143">
            <v>45299.0556516129</v>
          </cell>
          <cell r="Y143">
            <v>38844.193548387098</v>
          </cell>
          <cell r="AA143">
            <v>200</v>
          </cell>
          <cell r="AB143">
            <v>1800</v>
          </cell>
          <cell r="AE143">
            <v>2000</v>
          </cell>
          <cell r="AF143">
            <v>41348.862103225802</v>
          </cell>
        </row>
        <row r="144">
          <cell r="C144" t="str">
            <v>BITS-736</v>
          </cell>
          <cell r="E144" t="str">
            <v>Varalakshmi Vijay</v>
          </cell>
          <cell r="F144" t="str">
            <v>PUNE SEZ 1</v>
          </cell>
          <cell r="G144">
            <v>75000</v>
          </cell>
          <cell r="H144">
            <v>66374</v>
          </cell>
          <cell r="I144">
            <v>31</v>
          </cell>
          <cell r="J144">
            <v>11</v>
          </cell>
          <cell r="L144">
            <v>11</v>
          </cell>
          <cell r="M144">
            <v>14131.23870967742</v>
          </cell>
          <cell r="N144">
            <v>5652.4954838709682</v>
          </cell>
          <cell r="O144">
            <v>739</v>
          </cell>
          <cell r="P144">
            <v>739</v>
          </cell>
          <cell r="Q144">
            <v>2290.3303225806449</v>
          </cell>
          <cell r="R144">
            <v>23552.064516129034</v>
          </cell>
          <cell r="S144">
            <v>1837.0610322580646</v>
          </cell>
          <cell r="T144">
            <v>1441.6089999999999</v>
          </cell>
          <cell r="U144">
            <v>679.71258193548385</v>
          </cell>
          <cell r="V144">
            <v>1177.6032258064517</v>
          </cell>
          <cell r="W144">
            <v>28688.050356129035</v>
          </cell>
          <cell r="Y144">
            <v>23552.064516129034</v>
          </cell>
          <cell r="AA144">
            <v>200</v>
          </cell>
          <cell r="AB144">
            <v>1696</v>
          </cell>
          <cell r="AE144">
            <v>1896</v>
          </cell>
          <cell r="AF144">
            <v>24954.924807741936</v>
          </cell>
        </row>
        <row r="145">
          <cell r="C145" t="str">
            <v>BITS-737</v>
          </cell>
          <cell r="E145" t="str">
            <v>Rammohan Mothukuri</v>
          </cell>
          <cell r="F145" t="str">
            <v>HYD STP</v>
          </cell>
          <cell r="G145">
            <v>97000</v>
          </cell>
          <cell r="H145">
            <v>86766</v>
          </cell>
          <cell r="I145">
            <v>31</v>
          </cell>
          <cell r="J145">
            <v>11</v>
          </cell>
          <cell r="L145">
            <v>11</v>
          </cell>
          <cell r="M145">
            <v>18472.761290322578</v>
          </cell>
          <cell r="N145">
            <v>7389.1045161290313</v>
          </cell>
          <cell r="O145">
            <v>739</v>
          </cell>
          <cell r="P145">
            <v>739</v>
          </cell>
          <cell r="Q145">
            <v>3448.0696774193566</v>
          </cell>
          <cell r="R145">
            <v>30787.935483870966</v>
          </cell>
          <cell r="S145">
            <v>1950</v>
          </cell>
          <cell r="T145">
            <v>1441.6089999999999</v>
          </cell>
          <cell r="U145">
            <v>888.539818064516</v>
          </cell>
          <cell r="V145">
            <v>1539.3967741935483</v>
          </cell>
          <cell r="W145">
            <v>36607.481076129028</v>
          </cell>
          <cell r="Y145">
            <v>30787.935483870966</v>
          </cell>
          <cell r="AA145">
            <v>200</v>
          </cell>
          <cell r="AB145">
            <v>1800</v>
          </cell>
          <cell r="AE145">
            <v>2000</v>
          </cell>
          <cell r="AF145">
            <v>32657.545592258066</v>
          </cell>
        </row>
        <row r="146">
          <cell r="C146" t="str">
            <v>BITS-738</v>
          </cell>
          <cell r="E146" t="str">
            <v>NILOTPAL BHOWAL</v>
          </cell>
          <cell r="F146" t="str">
            <v>PUNE ASC SEZ</v>
          </cell>
          <cell r="G146">
            <v>135000</v>
          </cell>
          <cell r="H146">
            <v>121988</v>
          </cell>
          <cell r="I146">
            <v>31</v>
          </cell>
          <cell r="J146">
            <v>2</v>
          </cell>
          <cell r="L146">
            <v>2</v>
          </cell>
          <cell r="M146">
            <v>4722.116129032258</v>
          </cell>
          <cell r="N146">
            <v>1888.8464516129034</v>
          </cell>
          <cell r="O146">
            <v>134</v>
          </cell>
          <cell r="P146">
            <v>134</v>
          </cell>
          <cell r="Q146">
            <v>991.23096774193527</v>
          </cell>
          <cell r="R146">
            <v>7870.1935483870966</v>
          </cell>
          <cell r="S146">
            <v>613.87509677419359</v>
          </cell>
          <cell r="T146">
            <v>1441.6089999999999</v>
          </cell>
          <cell r="U146">
            <v>227.13378580645158</v>
          </cell>
          <cell r="V146">
            <v>393.50967741935483</v>
          </cell>
          <cell r="W146">
            <v>10546.321108387096</v>
          </cell>
          <cell r="Y146">
            <v>7870.1935483870966</v>
          </cell>
          <cell r="AA146">
            <v>0</v>
          </cell>
          <cell r="AB146">
            <v>567</v>
          </cell>
          <cell r="AE146">
            <v>567</v>
          </cell>
          <cell r="AF146">
            <v>9365.2524632258064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4"/>
  <sheetViews>
    <sheetView topLeftCell="A9" workbookViewId="0">
      <pane xSplit="2" ySplit="4" topLeftCell="C21" activePane="bottomRight" state="frozen"/>
      <selection activeCell="A9" sqref="A9"/>
      <selection pane="topRight" activeCell="C9" sqref="C9"/>
      <selection pane="bottomLeft" activeCell="A13" sqref="A13"/>
      <selection pane="bottomRight" activeCell="C59" sqref="C59"/>
    </sheetView>
  </sheetViews>
  <sheetFormatPr defaultColWidth="9.140625" defaultRowHeight="39" customHeight="1"/>
  <cols>
    <col min="1" max="1" width="5.140625" style="7" customWidth="1"/>
    <col min="2" max="2" width="31.140625" style="719" customWidth="1"/>
    <col min="3" max="12" width="23.42578125" style="607" customWidth="1"/>
    <col min="13" max="13" width="8.85546875" style="7" customWidth="1"/>
    <col min="14" max="15" width="9.140625" style="536"/>
    <col min="16" max="16384" width="9.140625" style="7"/>
  </cols>
  <sheetData>
    <row r="1" spans="1:15" ht="39" customHeight="1">
      <c r="A1" s="986" t="s">
        <v>538</v>
      </c>
      <c r="B1" s="987"/>
      <c r="C1" s="987"/>
      <c r="D1" s="987"/>
      <c r="E1" s="987"/>
      <c r="F1" s="987"/>
      <c r="G1" s="987"/>
      <c r="H1" s="987"/>
      <c r="I1" s="987"/>
      <c r="J1" s="987"/>
      <c r="K1" s="987"/>
      <c r="L1" s="988"/>
      <c r="M1" s="989"/>
      <c r="N1" s="802">
        <v>44501</v>
      </c>
    </row>
    <row r="2" spans="1:15" ht="39" customHeight="1">
      <c r="A2" s="990"/>
      <c r="B2" s="991"/>
      <c r="C2" s="991"/>
      <c r="D2" s="991"/>
      <c r="E2" s="991"/>
      <c r="F2" s="991"/>
      <c r="G2" s="991"/>
      <c r="H2" s="991"/>
      <c r="I2" s="991"/>
      <c r="J2" s="991"/>
      <c r="K2" s="991"/>
      <c r="L2" s="992"/>
      <c r="M2" s="993"/>
    </row>
    <row r="3" spans="1:15" ht="39" customHeight="1">
      <c r="A3" s="994" t="s">
        <v>448</v>
      </c>
      <c r="B3" s="995"/>
      <c r="C3" s="995"/>
      <c r="D3" s="996"/>
      <c r="E3" s="995"/>
      <c r="F3" s="995"/>
      <c r="G3" s="995"/>
      <c r="H3" s="995"/>
      <c r="I3" s="995"/>
      <c r="J3" s="995"/>
      <c r="K3" s="995"/>
      <c r="L3" s="997"/>
      <c r="M3" s="998"/>
    </row>
    <row r="4" spans="1:15" ht="39" customHeight="1">
      <c r="A4" s="350" t="s">
        <v>653</v>
      </c>
      <c r="B4" s="713"/>
      <c r="C4" s="573"/>
      <c r="D4" s="574"/>
      <c r="E4" s="575"/>
      <c r="F4" s="999" t="s">
        <v>507</v>
      </c>
      <c r="G4" s="999"/>
      <c r="H4" s="999"/>
      <c r="I4" s="999"/>
      <c r="J4" s="999"/>
      <c r="K4" s="999"/>
      <c r="L4" s="999"/>
      <c r="M4" s="999"/>
    </row>
    <row r="5" spans="1:15" ht="39" customHeight="1">
      <c r="A5" s="334"/>
      <c r="B5" s="714" t="str">
        <f>'4-22MASTER'!G6</f>
        <v>Siri Mansion LIGB 436 Dr.A S Rao Nagar,Hyderabad</v>
      </c>
      <c r="C5" s="576"/>
      <c r="D5" s="576"/>
      <c r="E5" s="577"/>
      <c r="F5" s="999"/>
      <c r="G5" s="999"/>
      <c r="H5" s="999"/>
      <c r="I5" s="999"/>
      <c r="J5" s="999"/>
      <c r="K5" s="999"/>
      <c r="L5" s="999"/>
      <c r="M5" s="999"/>
    </row>
    <row r="6" spans="1:15" ht="39" customHeight="1" thickBot="1">
      <c r="A6" s="335"/>
      <c r="B6" s="715"/>
      <c r="C6" s="578"/>
      <c r="D6" s="579"/>
      <c r="E6" s="580"/>
      <c r="F6" s="1000"/>
      <c r="G6" s="1000"/>
      <c r="H6" s="1000"/>
      <c r="I6" s="1000"/>
      <c r="J6" s="1000"/>
      <c r="K6" s="1000"/>
      <c r="L6" s="1000"/>
      <c r="M6" s="1000"/>
    </row>
    <row r="7" spans="1:15" ht="39" customHeight="1">
      <c r="A7" s="1001" t="s">
        <v>506</v>
      </c>
      <c r="B7" s="1001"/>
      <c r="C7" s="1001"/>
      <c r="D7" s="1002"/>
      <c r="E7" s="1002"/>
      <c r="F7" s="581" t="s">
        <v>66</v>
      </c>
      <c r="G7" s="582"/>
      <c r="H7" s="582"/>
      <c r="I7" s="582"/>
      <c r="J7" s="582"/>
      <c r="K7" s="582"/>
      <c r="L7" s="583"/>
      <c r="M7" s="336"/>
    </row>
    <row r="8" spans="1:15" ht="39" customHeight="1">
      <c r="A8" s="1001"/>
      <c r="B8" s="1001"/>
      <c r="C8" s="1001"/>
      <c r="D8" s="1002"/>
      <c r="E8" s="1002"/>
      <c r="F8" s="584" t="str">
        <f>'4-22MASTER'!AQ10</f>
        <v>INFOSYS  LTD.IL Ascendas SEZ Unit,Building Juniper</v>
      </c>
      <c r="G8" s="576"/>
      <c r="H8" s="576"/>
      <c r="I8" s="576"/>
      <c r="J8" s="576"/>
      <c r="K8" s="576"/>
      <c r="L8" s="585"/>
      <c r="M8" s="337"/>
    </row>
    <row r="9" spans="1:15" ht="23.45" customHeight="1">
      <c r="A9" s="1001"/>
      <c r="B9" s="1001"/>
      <c r="C9" s="1001"/>
      <c r="D9" s="1002"/>
      <c r="E9" s="1002"/>
      <c r="F9" s="586" t="s">
        <v>472</v>
      </c>
      <c r="G9" s="576"/>
      <c r="H9" s="576"/>
      <c r="I9" s="576"/>
      <c r="J9" s="576"/>
      <c r="K9" s="576"/>
      <c r="L9" s="585"/>
      <c r="M9" s="337"/>
    </row>
    <row r="10" spans="1:15" ht="39" customHeight="1" thickBot="1">
      <c r="A10" s="1001"/>
      <c r="B10" s="1001"/>
      <c r="C10" s="1001"/>
      <c r="D10" s="1002"/>
      <c r="E10" s="1002"/>
      <c r="F10" s="587"/>
      <c r="G10" s="588"/>
      <c r="H10" s="588"/>
      <c r="I10" s="588"/>
      <c r="J10" s="588"/>
      <c r="K10" s="588"/>
      <c r="L10" s="589"/>
      <c r="M10" s="338"/>
    </row>
    <row r="11" spans="1:15" ht="39" customHeight="1">
      <c r="A11" s="1003" t="s">
        <v>5</v>
      </c>
      <c r="B11" s="1005" t="s">
        <v>449</v>
      </c>
      <c r="C11" s="1007" t="s">
        <v>450</v>
      </c>
      <c r="D11" s="590"/>
      <c r="E11" s="1009" t="s">
        <v>451</v>
      </c>
      <c r="F11" s="1009" t="s">
        <v>452</v>
      </c>
      <c r="G11" s="1009" t="s">
        <v>453</v>
      </c>
      <c r="H11" s="1009" t="s">
        <v>43</v>
      </c>
      <c r="I11" s="1009" t="s">
        <v>454</v>
      </c>
      <c r="J11" s="1009" t="s">
        <v>455</v>
      </c>
      <c r="K11" s="1007" t="s">
        <v>456</v>
      </c>
      <c r="L11" s="591"/>
      <c r="M11" s="1011" t="s">
        <v>40</v>
      </c>
    </row>
    <row r="12" spans="1:15" ht="0.95" customHeight="1">
      <c r="A12" s="1004"/>
      <c r="B12" s="1006"/>
      <c r="C12" s="1008"/>
      <c r="D12" s="592"/>
      <c r="E12" s="1010"/>
      <c r="F12" s="1010"/>
      <c r="G12" s="1010"/>
      <c r="H12" s="1010"/>
      <c r="I12" s="1010"/>
      <c r="J12" s="1010"/>
      <c r="K12" s="1008"/>
      <c r="L12" s="624" t="s">
        <v>457</v>
      </c>
      <c r="M12" s="1003"/>
    </row>
    <row r="13" spans="1:15" s="755" customFormat="1" ht="39" customHeight="1">
      <c r="A13" s="765">
        <v>1</v>
      </c>
      <c r="B13" s="766" t="s">
        <v>396</v>
      </c>
      <c r="C13" s="764">
        <v>31900</v>
      </c>
      <c r="D13" s="749" t="s">
        <v>477</v>
      </c>
      <c r="E13" s="752" t="s">
        <v>473</v>
      </c>
      <c r="F13" s="763" t="s">
        <v>509</v>
      </c>
      <c r="G13" s="767" t="s">
        <v>474</v>
      </c>
      <c r="H13" s="767" t="s">
        <v>474</v>
      </c>
      <c r="I13" s="768">
        <v>42782</v>
      </c>
      <c r="J13" s="749"/>
      <c r="K13" s="769">
        <v>43695</v>
      </c>
      <c r="L13" s="765" t="s">
        <v>539</v>
      </c>
      <c r="M13" s="765"/>
      <c r="N13" s="756"/>
      <c r="O13" s="756"/>
    </row>
    <row r="14" spans="1:15" s="755" customFormat="1" ht="52.15" customHeight="1">
      <c r="A14" s="765">
        <v>2</v>
      </c>
      <c r="B14" s="770" t="s">
        <v>397</v>
      </c>
      <c r="C14" s="771">
        <v>29382</v>
      </c>
      <c r="D14" s="749" t="s">
        <v>477</v>
      </c>
      <c r="E14" s="772" t="s">
        <v>478</v>
      </c>
      <c r="F14" s="763" t="s">
        <v>509</v>
      </c>
      <c r="G14" s="773" t="s">
        <v>485</v>
      </c>
      <c r="H14" s="773" t="s">
        <v>485</v>
      </c>
      <c r="I14" s="764">
        <v>43206</v>
      </c>
      <c r="J14" s="749"/>
      <c r="K14" s="769">
        <v>43700</v>
      </c>
      <c r="L14" s="765" t="s">
        <v>539</v>
      </c>
      <c r="M14" s="765"/>
      <c r="N14" s="756"/>
      <c r="O14" s="756"/>
    </row>
    <row r="15" spans="1:15" s="755" customFormat="1" ht="52.15" customHeight="1">
      <c r="A15" s="765">
        <v>3</v>
      </c>
      <c r="B15" s="770" t="s">
        <v>398</v>
      </c>
      <c r="C15" s="772" t="s">
        <v>475</v>
      </c>
      <c r="D15" s="749" t="s">
        <v>477</v>
      </c>
      <c r="E15" s="772" t="s">
        <v>479</v>
      </c>
      <c r="F15" s="763" t="s">
        <v>509</v>
      </c>
      <c r="G15" s="773" t="s">
        <v>486</v>
      </c>
      <c r="H15" s="773" t="s">
        <v>486</v>
      </c>
      <c r="I15" s="764">
        <v>43206</v>
      </c>
      <c r="J15" s="749"/>
      <c r="K15" s="769">
        <v>43812</v>
      </c>
      <c r="L15" s="765" t="s">
        <v>539</v>
      </c>
      <c r="M15" s="765"/>
      <c r="N15" s="756"/>
      <c r="O15" s="756"/>
    </row>
    <row r="16" spans="1:15" s="755" customFormat="1" ht="52.15" customHeight="1">
      <c r="A16" s="765">
        <v>4</v>
      </c>
      <c r="B16" s="770" t="s">
        <v>399</v>
      </c>
      <c r="C16" s="774">
        <v>32707</v>
      </c>
      <c r="D16" s="775" t="s">
        <v>484</v>
      </c>
      <c r="E16" s="775" t="s">
        <v>480</v>
      </c>
      <c r="F16" s="763" t="s">
        <v>509</v>
      </c>
      <c r="G16" s="767" t="s">
        <v>487</v>
      </c>
      <c r="H16" s="767" t="s">
        <v>487</v>
      </c>
      <c r="I16" s="764">
        <v>43228</v>
      </c>
      <c r="J16" s="749"/>
      <c r="K16" s="769">
        <v>43672</v>
      </c>
      <c r="L16" s="765" t="s">
        <v>539</v>
      </c>
      <c r="M16" s="765"/>
      <c r="N16" s="756"/>
      <c r="O16" s="756"/>
    </row>
    <row r="17" spans="1:15" s="755" customFormat="1" ht="52.15" customHeight="1">
      <c r="A17" s="765">
        <v>5</v>
      </c>
      <c r="B17" s="770" t="s">
        <v>400</v>
      </c>
      <c r="C17" s="774">
        <v>33329</v>
      </c>
      <c r="D17" s="775" t="s">
        <v>484</v>
      </c>
      <c r="E17" s="775" t="s">
        <v>481</v>
      </c>
      <c r="F17" s="763" t="s">
        <v>509</v>
      </c>
      <c r="G17" s="767" t="s">
        <v>488</v>
      </c>
      <c r="H17" s="767" t="s">
        <v>488</v>
      </c>
      <c r="I17" s="764">
        <v>43228</v>
      </c>
      <c r="J17" s="749"/>
      <c r="K17" s="769">
        <v>43517</v>
      </c>
      <c r="L17" s="765" t="s">
        <v>539</v>
      </c>
      <c r="M17" s="765"/>
      <c r="N17" s="756"/>
      <c r="O17" s="756"/>
    </row>
    <row r="18" spans="1:15" s="755" customFormat="1" ht="52.15" customHeight="1">
      <c r="A18" s="765">
        <v>6</v>
      </c>
      <c r="B18" s="770" t="s">
        <v>401</v>
      </c>
      <c r="C18" s="775" t="s">
        <v>476</v>
      </c>
      <c r="D18" s="749" t="s">
        <v>477</v>
      </c>
      <c r="E18" s="775" t="s">
        <v>482</v>
      </c>
      <c r="F18" s="763" t="s">
        <v>509</v>
      </c>
      <c r="G18" s="767" t="s">
        <v>489</v>
      </c>
      <c r="H18" s="767" t="s">
        <v>489</v>
      </c>
      <c r="I18" s="764">
        <v>43272</v>
      </c>
      <c r="J18" s="749"/>
      <c r="K18" s="769">
        <v>43672</v>
      </c>
      <c r="L18" s="765" t="s">
        <v>539</v>
      </c>
      <c r="M18" s="765"/>
      <c r="N18" s="756"/>
      <c r="O18" s="756"/>
    </row>
    <row r="19" spans="1:15" s="755" customFormat="1" ht="52.15" customHeight="1">
      <c r="A19" s="765">
        <v>7</v>
      </c>
      <c r="B19" s="770" t="s">
        <v>402</v>
      </c>
      <c r="C19" s="774">
        <v>29800</v>
      </c>
      <c r="D19" s="749" t="s">
        <v>477</v>
      </c>
      <c r="E19" s="775" t="s">
        <v>483</v>
      </c>
      <c r="F19" s="763" t="s">
        <v>509</v>
      </c>
      <c r="G19" s="767" t="s">
        <v>490</v>
      </c>
      <c r="H19" s="767" t="s">
        <v>490</v>
      </c>
      <c r="I19" s="764">
        <v>43297</v>
      </c>
      <c r="J19" s="749"/>
      <c r="K19" s="769">
        <v>43637</v>
      </c>
      <c r="L19" s="765" t="s">
        <v>539</v>
      </c>
      <c r="M19" s="765"/>
      <c r="N19" s="756"/>
      <c r="O19" s="756"/>
    </row>
    <row r="20" spans="1:15" s="755" customFormat="1" ht="52.15" customHeight="1">
      <c r="A20" s="765">
        <v>8</v>
      </c>
      <c r="B20" s="770" t="s">
        <v>403</v>
      </c>
      <c r="C20" s="774">
        <v>32942</v>
      </c>
      <c r="D20" s="749" t="s">
        <v>477</v>
      </c>
      <c r="E20" s="775" t="s">
        <v>491</v>
      </c>
      <c r="F20" s="763" t="s">
        <v>509</v>
      </c>
      <c r="G20" s="767" t="s">
        <v>493</v>
      </c>
      <c r="H20" s="767" t="s">
        <v>493</v>
      </c>
      <c r="I20" s="764">
        <v>43377</v>
      </c>
      <c r="J20" s="749"/>
      <c r="K20" s="769">
        <v>43636</v>
      </c>
      <c r="L20" s="765" t="s">
        <v>539</v>
      </c>
      <c r="M20" s="749"/>
      <c r="N20" s="756"/>
      <c r="O20" s="756"/>
    </row>
    <row r="21" spans="1:15" s="755" customFormat="1" ht="52.15" customHeight="1">
      <c r="A21" s="765">
        <v>9</v>
      </c>
      <c r="B21" s="770" t="s">
        <v>404</v>
      </c>
      <c r="C21" s="774">
        <v>32665</v>
      </c>
      <c r="D21" s="749" t="s">
        <v>477</v>
      </c>
      <c r="E21" s="775" t="s">
        <v>492</v>
      </c>
      <c r="F21" s="763" t="s">
        <v>509</v>
      </c>
      <c r="G21" s="767" t="s">
        <v>494</v>
      </c>
      <c r="H21" s="767" t="s">
        <v>494</v>
      </c>
      <c r="I21" s="764">
        <v>43398</v>
      </c>
      <c r="J21" s="749"/>
      <c r="K21" s="769">
        <v>43546</v>
      </c>
      <c r="L21" s="765" t="s">
        <v>539</v>
      </c>
      <c r="M21" s="749"/>
      <c r="N21" s="756"/>
      <c r="O21" s="756"/>
    </row>
    <row r="22" spans="1:15" s="755" customFormat="1" ht="52.15" customHeight="1">
      <c r="A22" s="765">
        <v>10</v>
      </c>
      <c r="B22" s="770" t="s">
        <v>405</v>
      </c>
      <c r="C22" s="774">
        <v>32750</v>
      </c>
      <c r="D22" s="749" t="s">
        <v>477</v>
      </c>
      <c r="E22" s="775" t="s">
        <v>495</v>
      </c>
      <c r="F22" s="763" t="s">
        <v>509</v>
      </c>
      <c r="G22" s="767" t="s">
        <v>498</v>
      </c>
      <c r="H22" s="767" t="s">
        <v>501</v>
      </c>
      <c r="I22" s="764">
        <v>43448</v>
      </c>
      <c r="J22" s="749"/>
      <c r="K22" s="769">
        <v>43652</v>
      </c>
      <c r="L22" s="765" t="s">
        <v>539</v>
      </c>
      <c r="M22" s="749"/>
      <c r="N22" s="756"/>
      <c r="O22" s="756"/>
    </row>
    <row r="23" spans="1:15" s="755" customFormat="1" ht="52.15" customHeight="1">
      <c r="A23" s="765">
        <v>11</v>
      </c>
      <c r="B23" s="770" t="s">
        <v>406</v>
      </c>
      <c r="C23" s="774">
        <v>34282</v>
      </c>
      <c r="D23" s="775" t="s">
        <v>484</v>
      </c>
      <c r="E23" s="775" t="s">
        <v>496</v>
      </c>
      <c r="F23" s="763" t="s">
        <v>509</v>
      </c>
      <c r="G23" s="767" t="s">
        <v>499</v>
      </c>
      <c r="H23" s="767" t="s">
        <v>502</v>
      </c>
      <c r="I23" s="764">
        <v>43451</v>
      </c>
      <c r="J23" s="749"/>
      <c r="K23" s="769">
        <v>43714</v>
      </c>
      <c r="L23" s="765" t="s">
        <v>539</v>
      </c>
      <c r="M23" s="749"/>
      <c r="N23" s="756"/>
      <c r="O23" s="756"/>
    </row>
    <row r="24" spans="1:15" s="755" customFormat="1" ht="52.15" customHeight="1">
      <c r="A24" s="765">
        <v>12</v>
      </c>
      <c r="B24" s="770" t="s">
        <v>470</v>
      </c>
      <c r="C24" s="774">
        <v>31088</v>
      </c>
      <c r="D24" s="775" t="s">
        <v>484</v>
      </c>
      <c r="E24" s="775" t="s">
        <v>497</v>
      </c>
      <c r="F24" s="763" t="s">
        <v>509</v>
      </c>
      <c r="G24" s="767" t="s">
        <v>500</v>
      </c>
      <c r="H24" s="767" t="s">
        <v>503</v>
      </c>
      <c r="I24" s="764">
        <v>43468</v>
      </c>
      <c r="J24" s="749"/>
      <c r="K24" s="769">
        <v>43602</v>
      </c>
      <c r="L24" s="765" t="s">
        <v>539</v>
      </c>
      <c r="M24" s="749"/>
      <c r="N24" s="756"/>
      <c r="O24" s="756"/>
    </row>
    <row r="25" spans="1:15" s="755" customFormat="1" ht="52.15" customHeight="1">
      <c r="A25" s="765">
        <v>13</v>
      </c>
      <c r="B25" s="776" t="s">
        <v>504</v>
      </c>
      <c r="C25" s="764">
        <v>33336</v>
      </c>
      <c r="D25" s="752" t="s">
        <v>477</v>
      </c>
      <c r="E25" s="752" t="s">
        <v>511</v>
      </c>
      <c r="F25" s="763" t="s">
        <v>509</v>
      </c>
      <c r="G25" s="763" t="s">
        <v>512</v>
      </c>
      <c r="H25" s="763" t="s">
        <v>512</v>
      </c>
      <c r="I25" s="764">
        <v>43528</v>
      </c>
      <c r="J25" s="749"/>
      <c r="K25" s="769">
        <v>43812</v>
      </c>
      <c r="L25" s="765" t="s">
        <v>539</v>
      </c>
      <c r="M25" s="749"/>
      <c r="N25" s="756"/>
      <c r="O25" s="756"/>
    </row>
    <row r="26" spans="1:15" s="755" customFormat="1" ht="52.15" customHeight="1">
      <c r="A26" s="765">
        <v>14</v>
      </c>
      <c r="B26" s="776" t="s">
        <v>505</v>
      </c>
      <c r="C26" s="764" t="s">
        <v>513</v>
      </c>
      <c r="D26" s="752" t="s">
        <v>484</v>
      </c>
      <c r="E26" s="752" t="s">
        <v>514</v>
      </c>
      <c r="F26" s="763" t="s">
        <v>509</v>
      </c>
      <c r="G26" s="763" t="s">
        <v>515</v>
      </c>
      <c r="H26" s="763" t="s">
        <v>516</v>
      </c>
      <c r="I26" s="764">
        <v>43556</v>
      </c>
      <c r="J26" s="749"/>
      <c r="K26" s="769">
        <v>43854</v>
      </c>
      <c r="L26" s="765" t="s">
        <v>539</v>
      </c>
      <c r="M26" s="749"/>
      <c r="N26" s="756"/>
      <c r="O26" s="756"/>
    </row>
    <row r="27" spans="1:15" s="755" customFormat="1" ht="52.15" customHeight="1">
      <c r="A27" s="765">
        <v>15</v>
      </c>
      <c r="B27" s="750" t="s">
        <v>510</v>
      </c>
      <c r="C27" s="777">
        <v>34644</v>
      </c>
      <c r="D27" s="778" t="s">
        <v>477</v>
      </c>
      <c r="E27" s="752" t="s">
        <v>517</v>
      </c>
      <c r="F27" s="779" t="s">
        <v>521</v>
      </c>
      <c r="G27" s="753" t="s">
        <v>518</v>
      </c>
      <c r="H27" s="753" t="s">
        <v>519</v>
      </c>
      <c r="I27" s="764">
        <v>43742</v>
      </c>
      <c r="J27" s="754"/>
      <c r="K27" s="769">
        <v>44420</v>
      </c>
      <c r="L27" s="765" t="s">
        <v>539</v>
      </c>
      <c r="M27" s="754"/>
      <c r="N27" s="756"/>
      <c r="O27" s="756"/>
    </row>
    <row r="28" spans="1:15" s="755" customFormat="1" ht="52.15" customHeight="1">
      <c r="A28" s="749">
        <v>16</v>
      </c>
      <c r="B28" s="750" t="s">
        <v>540</v>
      </c>
      <c r="C28" s="777" t="s">
        <v>543</v>
      </c>
      <c r="D28" s="752" t="s">
        <v>477</v>
      </c>
      <c r="E28" s="752" t="s">
        <v>542</v>
      </c>
      <c r="F28" s="778" t="s">
        <v>544</v>
      </c>
      <c r="G28" s="753" t="s">
        <v>541</v>
      </c>
      <c r="H28" s="753" t="s">
        <v>541</v>
      </c>
      <c r="I28" s="764">
        <v>44172</v>
      </c>
      <c r="J28" s="754"/>
      <c r="K28" s="780">
        <v>44408</v>
      </c>
      <c r="L28" s="765" t="s">
        <v>539</v>
      </c>
      <c r="M28" s="754"/>
      <c r="N28" s="756"/>
      <c r="O28" s="756"/>
    </row>
    <row r="29" spans="1:15" s="755" customFormat="1" ht="52.15" customHeight="1">
      <c r="A29" s="749">
        <v>17</v>
      </c>
      <c r="B29" s="750" t="s">
        <v>546</v>
      </c>
      <c r="C29" s="781">
        <v>28345</v>
      </c>
      <c r="D29" s="752" t="s">
        <v>477</v>
      </c>
      <c r="E29" s="752" t="s">
        <v>547</v>
      </c>
      <c r="F29" s="778" t="s">
        <v>550</v>
      </c>
      <c r="G29" s="753" t="s">
        <v>548</v>
      </c>
      <c r="H29" s="753" t="s">
        <v>548</v>
      </c>
      <c r="I29" s="764" t="s">
        <v>549</v>
      </c>
      <c r="J29" s="754"/>
      <c r="K29" s="780">
        <v>44384</v>
      </c>
      <c r="L29" s="754" t="s">
        <v>539</v>
      </c>
      <c r="M29" s="754"/>
      <c r="N29" s="756"/>
      <c r="O29" s="756"/>
    </row>
    <row r="30" spans="1:15" s="755" customFormat="1" ht="52.15" customHeight="1">
      <c r="A30" s="749">
        <v>18</v>
      </c>
      <c r="B30" s="750" t="s">
        <v>552</v>
      </c>
      <c r="C30" s="751">
        <v>32295</v>
      </c>
      <c r="D30" s="752" t="s">
        <v>559</v>
      </c>
      <c r="E30" s="752" t="s">
        <v>560</v>
      </c>
      <c r="F30" s="782" t="s">
        <v>565</v>
      </c>
      <c r="G30" s="753" t="s">
        <v>570</v>
      </c>
      <c r="H30" s="763" t="s">
        <v>570</v>
      </c>
      <c r="I30" s="764">
        <v>44294</v>
      </c>
      <c r="J30" s="754"/>
      <c r="K30" s="780">
        <v>44475</v>
      </c>
      <c r="L30" s="754" t="s">
        <v>539</v>
      </c>
      <c r="M30" s="754"/>
      <c r="N30" s="756"/>
      <c r="O30" s="756"/>
    </row>
    <row r="31" spans="1:15" ht="52.15" customHeight="1">
      <c r="A31" s="360">
        <v>19</v>
      </c>
      <c r="B31" s="922" t="s">
        <v>553</v>
      </c>
      <c r="C31" s="602">
        <v>34715</v>
      </c>
      <c r="D31" s="596" t="s">
        <v>559</v>
      </c>
      <c r="E31" s="596" t="s">
        <v>561</v>
      </c>
      <c r="F31" s="596" t="s">
        <v>566</v>
      </c>
      <c r="G31" s="603" t="s">
        <v>571</v>
      </c>
      <c r="H31" s="604" t="s">
        <v>575</v>
      </c>
      <c r="I31" s="597">
        <v>44298</v>
      </c>
      <c r="J31" s="598"/>
      <c r="K31" s="599" t="s">
        <v>607</v>
      </c>
      <c r="L31" s="599" t="s">
        <v>607</v>
      </c>
      <c r="M31" s="340"/>
      <c r="N31" s="729">
        <v>1</v>
      </c>
    </row>
    <row r="32" spans="1:15" s="505" customFormat="1" ht="52.15" hidden="1" customHeight="1">
      <c r="A32" s="503">
        <v>20</v>
      </c>
      <c r="B32" s="712" t="s">
        <v>554</v>
      </c>
      <c r="C32" s="702">
        <v>30190</v>
      </c>
      <c r="D32" s="594" t="s">
        <v>559</v>
      </c>
      <c r="E32" s="710" t="s">
        <v>562</v>
      </c>
      <c r="F32" s="594" t="s">
        <v>567</v>
      </c>
      <c r="G32" s="600" t="s">
        <v>572</v>
      </c>
      <c r="H32" s="711" t="s">
        <v>576</v>
      </c>
      <c r="I32" s="593">
        <v>44298</v>
      </c>
      <c r="J32" s="595"/>
      <c r="K32" s="612">
        <v>44508</v>
      </c>
      <c r="L32" s="601" t="s">
        <v>539</v>
      </c>
      <c r="M32" s="504"/>
      <c r="N32" s="803">
        <v>2</v>
      </c>
      <c r="O32" s="611"/>
    </row>
    <row r="33" spans="1:15" s="759" customFormat="1" ht="52.15" customHeight="1">
      <c r="A33" s="757">
        <v>21</v>
      </c>
      <c r="B33" s="758" t="s">
        <v>555</v>
      </c>
      <c r="C33" s="744">
        <v>31873</v>
      </c>
      <c r="D33" s="745" t="s">
        <v>559</v>
      </c>
      <c r="E33" s="745" t="s">
        <v>563</v>
      </c>
      <c r="F33" s="745" t="s">
        <v>568</v>
      </c>
      <c r="G33" s="747" t="s">
        <v>573</v>
      </c>
      <c r="H33" s="761" t="s">
        <v>573</v>
      </c>
      <c r="I33" s="762">
        <v>44301</v>
      </c>
      <c r="J33" s="748"/>
      <c r="K33" s="748" t="s">
        <v>607</v>
      </c>
      <c r="L33" s="748" t="s">
        <v>607</v>
      </c>
      <c r="M33" s="748"/>
      <c r="N33" s="804"/>
      <c r="O33" s="760"/>
    </row>
    <row r="34" spans="1:15" s="689" customFormat="1" ht="52.15" hidden="1" customHeight="1">
      <c r="A34" s="683">
        <v>22</v>
      </c>
      <c r="B34" s="716" t="s">
        <v>556</v>
      </c>
      <c r="C34" s="684">
        <v>33359</v>
      </c>
      <c r="D34" s="610" t="s">
        <v>559</v>
      </c>
      <c r="E34" s="610" t="s">
        <v>564</v>
      </c>
      <c r="F34" s="608" t="s">
        <v>569</v>
      </c>
      <c r="G34" s="609" t="s">
        <v>574</v>
      </c>
      <c r="H34" s="610" t="s">
        <v>574</v>
      </c>
      <c r="I34" s="685">
        <v>44296</v>
      </c>
      <c r="J34" s="686"/>
      <c r="K34" s="687">
        <v>44439</v>
      </c>
      <c r="L34" s="686" t="s">
        <v>539</v>
      </c>
      <c r="M34" s="688"/>
      <c r="N34" s="727"/>
      <c r="O34" s="690"/>
    </row>
    <row r="35" spans="1:15" s="505" customFormat="1" ht="52.15" hidden="1" customHeight="1">
      <c r="A35" s="503">
        <v>23</v>
      </c>
      <c r="B35" s="717" t="s">
        <v>610</v>
      </c>
      <c r="C35" s="707">
        <v>33767</v>
      </c>
      <c r="D35" s="594" t="s">
        <v>477</v>
      </c>
      <c r="E35" s="708" t="s">
        <v>611</v>
      </c>
      <c r="F35" s="706" t="s">
        <v>565</v>
      </c>
      <c r="G35" s="610" t="s">
        <v>612</v>
      </c>
      <c r="H35" s="709"/>
      <c r="I35" s="594" t="s">
        <v>598</v>
      </c>
      <c r="J35" s="595"/>
      <c r="K35" s="612">
        <v>44524</v>
      </c>
      <c r="L35" s="686" t="s">
        <v>539</v>
      </c>
      <c r="M35" s="504"/>
      <c r="N35" s="803">
        <v>4</v>
      </c>
      <c r="O35" s="611"/>
    </row>
    <row r="36" spans="1:15" s="933" customFormat="1" ht="52.15" customHeight="1">
      <c r="A36" s="929"/>
      <c r="B36" s="930" t="s">
        <v>580</v>
      </c>
      <c r="C36" s="931">
        <v>33030</v>
      </c>
      <c r="D36" s="703" t="s">
        <v>559</v>
      </c>
      <c r="E36" s="703" t="s">
        <v>587</v>
      </c>
      <c r="F36" s="608" t="s">
        <v>565</v>
      </c>
      <c r="G36" s="609" t="s">
        <v>592</v>
      </c>
      <c r="H36" s="609" t="s">
        <v>592</v>
      </c>
      <c r="I36" s="703" t="s">
        <v>598</v>
      </c>
      <c r="J36" s="601"/>
      <c r="K36" s="601" t="s">
        <v>607</v>
      </c>
      <c r="L36" s="601" t="s">
        <v>607</v>
      </c>
      <c r="M36" s="932"/>
      <c r="N36" s="803"/>
      <c r="O36" s="611"/>
    </row>
    <row r="37" spans="1:15" ht="52.15" customHeight="1">
      <c r="A37" s="360">
        <v>25</v>
      </c>
      <c r="B37" s="922" t="s">
        <v>581</v>
      </c>
      <c r="C37" s="602">
        <v>30321</v>
      </c>
      <c r="D37" s="596" t="s">
        <v>559</v>
      </c>
      <c r="E37" s="596" t="s">
        <v>588</v>
      </c>
      <c r="F37" s="605" t="s">
        <v>565</v>
      </c>
      <c r="G37" s="603" t="s">
        <v>593</v>
      </c>
      <c r="H37" s="603" t="s">
        <v>593</v>
      </c>
      <c r="I37" s="596" t="s">
        <v>598</v>
      </c>
      <c r="J37" s="598"/>
      <c r="K37" s="599" t="s">
        <v>607</v>
      </c>
      <c r="L37" s="599" t="s">
        <v>607</v>
      </c>
      <c r="M37" s="340"/>
      <c r="N37" s="729">
        <v>2</v>
      </c>
    </row>
    <row r="38" spans="1:15" s="505" customFormat="1" ht="52.15" hidden="1" customHeight="1">
      <c r="A38" s="503">
        <v>26</v>
      </c>
      <c r="B38" s="923" t="s">
        <v>613</v>
      </c>
      <c r="C38" s="702">
        <v>31554</v>
      </c>
      <c r="D38" s="594" t="s">
        <v>477</v>
      </c>
      <c r="E38" s="594" t="s">
        <v>616</v>
      </c>
      <c r="F38" s="706" t="s">
        <v>565</v>
      </c>
      <c r="G38" s="600" t="s">
        <v>617</v>
      </c>
      <c r="H38" s="600" t="s">
        <v>617</v>
      </c>
      <c r="I38" s="594" t="s">
        <v>598</v>
      </c>
      <c r="J38" s="595"/>
      <c r="K38" s="612">
        <v>44526</v>
      </c>
      <c r="L38" s="686" t="s">
        <v>539</v>
      </c>
      <c r="M38" s="504"/>
      <c r="N38" s="803">
        <v>7</v>
      </c>
      <c r="O38" s="611"/>
    </row>
    <row r="39" spans="1:15" ht="52.15" customHeight="1">
      <c r="A39" s="360">
        <v>27</v>
      </c>
      <c r="B39" s="924" t="s">
        <v>603</v>
      </c>
      <c r="C39" s="602">
        <v>33721</v>
      </c>
      <c r="D39" s="596" t="s">
        <v>477</v>
      </c>
      <c r="E39" s="596" t="s">
        <v>614</v>
      </c>
      <c r="F39" s="644" t="s">
        <v>626</v>
      </c>
      <c r="G39" s="603" t="s">
        <v>615</v>
      </c>
      <c r="H39" s="603" t="s">
        <v>617</v>
      </c>
      <c r="I39" s="596" t="s">
        <v>598</v>
      </c>
      <c r="J39" s="598"/>
      <c r="K39" s="599" t="s">
        <v>607</v>
      </c>
      <c r="L39" s="599" t="s">
        <v>607</v>
      </c>
      <c r="M39" s="340"/>
      <c r="N39" s="729">
        <v>3</v>
      </c>
    </row>
    <row r="40" spans="1:15" s="681" customFormat="1" ht="52.15" hidden="1" customHeight="1">
      <c r="A40" s="676">
        <v>28</v>
      </c>
      <c r="B40" s="718" t="s">
        <v>582</v>
      </c>
      <c r="C40" s="677" t="s">
        <v>585</v>
      </c>
      <c r="D40" s="678" t="s">
        <v>559</v>
      </c>
      <c r="E40" s="678" t="s">
        <v>589</v>
      </c>
      <c r="F40" s="674" t="s">
        <v>565</v>
      </c>
      <c r="G40" s="675" t="s">
        <v>594</v>
      </c>
      <c r="H40" s="675" t="s">
        <v>594</v>
      </c>
      <c r="I40" s="678" t="s">
        <v>599</v>
      </c>
      <c r="J40" s="679"/>
      <c r="K40" s="680" t="s">
        <v>654</v>
      </c>
      <c r="L40" s="680" t="s">
        <v>539</v>
      </c>
      <c r="M40" s="679"/>
      <c r="N40" s="805"/>
      <c r="O40" s="682"/>
    </row>
    <row r="41" spans="1:15" s="505" customFormat="1" ht="52.15" hidden="1" customHeight="1">
      <c r="A41" s="503">
        <v>29</v>
      </c>
      <c r="B41" s="718" t="s">
        <v>583</v>
      </c>
      <c r="C41" s="702" t="s">
        <v>586</v>
      </c>
      <c r="D41" s="594" t="s">
        <v>559</v>
      </c>
      <c r="E41" s="594" t="s">
        <v>590</v>
      </c>
      <c r="F41" s="693" t="s">
        <v>627</v>
      </c>
      <c r="G41" s="705" t="s">
        <v>595</v>
      </c>
      <c r="H41" s="705" t="s">
        <v>595</v>
      </c>
      <c r="I41" s="594" t="s">
        <v>599</v>
      </c>
      <c r="J41" s="595"/>
      <c r="K41" s="612">
        <v>44512</v>
      </c>
      <c r="L41" s="680" t="s">
        <v>539</v>
      </c>
      <c r="M41" s="504"/>
      <c r="N41" s="803">
        <v>9</v>
      </c>
      <c r="O41" s="611"/>
    </row>
    <row r="42" spans="1:15" s="759" customFormat="1" ht="52.15" customHeight="1">
      <c r="A42" s="757">
        <v>30</v>
      </c>
      <c r="B42" s="758" t="s">
        <v>584</v>
      </c>
      <c r="C42" s="744">
        <v>31560</v>
      </c>
      <c r="D42" s="745" t="s">
        <v>559</v>
      </c>
      <c r="E42" s="745" t="s">
        <v>591</v>
      </c>
      <c r="F42" s="746" t="s">
        <v>565</v>
      </c>
      <c r="G42" s="747" t="s">
        <v>596</v>
      </c>
      <c r="H42" s="747" t="s">
        <v>597</v>
      </c>
      <c r="I42" s="745" t="s">
        <v>600</v>
      </c>
      <c r="J42" s="748"/>
      <c r="K42" s="748" t="s">
        <v>607</v>
      </c>
      <c r="L42" s="748" t="s">
        <v>607</v>
      </c>
      <c r="M42" s="748"/>
      <c r="N42" s="804"/>
      <c r="O42" s="760"/>
    </row>
    <row r="43" spans="1:15" s="505" customFormat="1" ht="52.15" hidden="1" customHeight="1">
      <c r="A43" s="503">
        <v>31</v>
      </c>
      <c r="B43" s="853" t="s">
        <v>618</v>
      </c>
      <c r="C43" s="702">
        <v>33951</v>
      </c>
      <c r="D43" s="594" t="s">
        <v>484</v>
      </c>
      <c r="E43" s="703" t="s">
        <v>623</v>
      </c>
      <c r="F43" s="673" t="s">
        <v>565</v>
      </c>
      <c r="G43" s="594" t="s">
        <v>624</v>
      </c>
      <c r="H43" s="594" t="s">
        <v>624</v>
      </c>
      <c r="I43" s="704">
        <v>44358</v>
      </c>
      <c r="J43" s="595" t="s">
        <v>619</v>
      </c>
      <c r="K43" s="612">
        <v>44516</v>
      </c>
      <c r="L43" s="680" t="s">
        <v>539</v>
      </c>
      <c r="M43" s="504"/>
      <c r="N43" s="803">
        <v>11</v>
      </c>
      <c r="O43" s="611"/>
    </row>
    <row r="44" spans="1:15" s="505" customFormat="1" ht="52.15" customHeight="1">
      <c r="A44" s="503">
        <v>32</v>
      </c>
      <c r="B44" s="852" t="s">
        <v>625</v>
      </c>
      <c r="C44" s="702" t="e">
        <f>'4-22MASTER'!#REF!</f>
        <v>#REF!</v>
      </c>
      <c r="D44" s="594" t="s">
        <v>477</v>
      </c>
      <c r="E44" s="594" t="e">
        <f>'4-22MASTER'!#REF!</f>
        <v>#REF!</v>
      </c>
      <c r="F44" s="851" t="e">
        <f>'4-22MASTER'!#REF!</f>
        <v>#REF!</v>
      </c>
      <c r="G44" s="600" t="e">
        <f>'4-22MASTER'!#REF!</f>
        <v>#REF!</v>
      </c>
      <c r="H44" s="709" t="e">
        <f>'4-22MASTER'!#REF!</f>
        <v>#REF!</v>
      </c>
      <c r="I44" s="593">
        <v>44454</v>
      </c>
      <c r="J44" s="595" t="s">
        <v>619</v>
      </c>
      <c r="K44" s="601" t="s">
        <v>607</v>
      </c>
      <c r="L44" s="601" t="s">
        <v>607</v>
      </c>
      <c r="M44" s="504"/>
      <c r="N44" s="803"/>
      <c r="O44" s="611"/>
    </row>
    <row r="45" spans="1:15" s="933" customFormat="1" ht="52.15" customHeight="1">
      <c r="A45" s="929">
        <v>33</v>
      </c>
      <c r="B45" s="934" t="s">
        <v>628</v>
      </c>
      <c r="C45" s="935">
        <v>32523</v>
      </c>
      <c r="D45" s="703" t="s">
        <v>477</v>
      </c>
      <c r="E45" s="936" t="s">
        <v>631</v>
      </c>
      <c r="F45" s="937" t="s">
        <v>639</v>
      </c>
      <c r="G45" s="937" t="s">
        <v>633</v>
      </c>
      <c r="H45" s="937" t="s">
        <v>632</v>
      </c>
      <c r="I45" s="938">
        <v>44481</v>
      </c>
      <c r="J45" s="601"/>
      <c r="K45" s="601" t="s">
        <v>607</v>
      </c>
      <c r="L45" s="601" t="s">
        <v>607</v>
      </c>
      <c r="M45" s="932"/>
      <c r="N45" s="803"/>
      <c r="O45" s="611"/>
    </row>
    <row r="46" spans="1:15" s="933" customFormat="1" ht="52.15" customHeight="1">
      <c r="A46" s="939">
        <v>34</v>
      </c>
      <c r="B46" s="940" t="s">
        <v>629</v>
      </c>
      <c r="C46" s="941">
        <v>33253</v>
      </c>
      <c r="D46" s="703" t="s">
        <v>477</v>
      </c>
      <c r="E46" s="936" t="s">
        <v>634</v>
      </c>
      <c r="F46" s="937" t="s">
        <v>640</v>
      </c>
      <c r="G46" s="937" t="s">
        <v>635</v>
      </c>
      <c r="H46" s="937" t="s">
        <v>635</v>
      </c>
      <c r="I46" s="938">
        <v>44481</v>
      </c>
      <c r="J46" s="601"/>
      <c r="K46" s="601" t="s">
        <v>607</v>
      </c>
      <c r="L46" s="601" t="s">
        <v>607</v>
      </c>
      <c r="M46" s="932"/>
      <c r="N46" s="803"/>
      <c r="O46" s="611"/>
    </row>
    <row r="47" spans="1:15" ht="52.15" customHeight="1">
      <c r="A47" s="743">
        <v>35</v>
      </c>
      <c r="B47" s="924" t="s">
        <v>630</v>
      </c>
      <c r="C47" s="507" t="s">
        <v>636</v>
      </c>
      <c r="D47" s="625" t="s">
        <v>484</v>
      </c>
      <c r="E47" s="547" t="s">
        <v>637</v>
      </c>
      <c r="F47" s="627" t="s">
        <v>639</v>
      </c>
      <c r="G47" s="547" t="s">
        <v>638</v>
      </c>
      <c r="H47" s="547" t="s">
        <v>638</v>
      </c>
      <c r="I47" s="628">
        <v>44487</v>
      </c>
      <c r="J47" s="625"/>
      <c r="K47" s="599" t="s">
        <v>607</v>
      </c>
      <c r="L47" s="599" t="s">
        <v>607</v>
      </c>
      <c r="M47" s="626"/>
      <c r="N47" s="729">
        <v>4</v>
      </c>
    </row>
    <row r="48" spans="1:15" s="791" customFormat="1" ht="52.15" customHeight="1">
      <c r="A48" s="784">
        <v>36</v>
      </c>
      <c r="B48" s="785" t="s">
        <v>655</v>
      </c>
      <c r="C48" s="786">
        <v>32567</v>
      </c>
      <c r="D48" s="787" t="s">
        <v>484</v>
      </c>
      <c r="E48" s="788" t="s">
        <v>664</v>
      </c>
      <c r="F48" s="789" t="s">
        <v>657</v>
      </c>
      <c r="G48" s="783" t="s">
        <v>666</v>
      </c>
      <c r="H48" s="783" t="s">
        <v>665</v>
      </c>
      <c r="I48" s="801">
        <v>44515</v>
      </c>
      <c r="J48" s="790"/>
      <c r="K48" s="754" t="s">
        <v>607</v>
      </c>
      <c r="L48" s="754" t="s">
        <v>607</v>
      </c>
      <c r="M48" s="790"/>
      <c r="N48" s="776"/>
      <c r="O48" s="756"/>
    </row>
    <row r="49" spans="1:15" s="505" customFormat="1" ht="52.15" customHeight="1">
      <c r="A49" s="844">
        <v>37</v>
      </c>
      <c r="B49" s="845" t="s">
        <v>656</v>
      </c>
      <c r="C49" s="846">
        <v>31552</v>
      </c>
      <c r="D49" s="814" t="s">
        <v>477</v>
      </c>
      <c r="E49" s="673" t="s">
        <v>667</v>
      </c>
      <c r="F49" s="721" t="s">
        <v>658</v>
      </c>
      <c r="G49" s="847" t="s">
        <v>668</v>
      </c>
      <c r="H49" s="847" t="s">
        <v>668</v>
      </c>
      <c r="I49" s="848">
        <v>44515</v>
      </c>
      <c r="J49" s="849"/>
      <c r="K49" s="601" t="s">
        <v>607</v>
      </c>
      <c r="L49" s="601" t="s">
        <v>607</v>
      </c>
      <c r="M49" s="850"/>
      <c r="N49" s="803"/>
      <c r="O49" s="611"/>
    </row>
    <row r="50" spans="1:15" ht="39" customHeight="1">
      <c r="A50" s="339">
        <v>38</v>
      </c>
      <c r="B50" s="925" t="s">
        <v>669</v>
      </c>
      <c r="C50" s="811">
        <v>33656</v>
      </c>
      <c r="D50" s="512" t="s">
        <v>477</v>
      </c>
      <c r="E50" s="606" t="s">
        <v>671</v>
      </c>
      <c r="F50" s="726" t="s">
        <v>674</v>
      </c>
      <c r="G50" s="730" t="s">
        <v>672</v>
      </c>
      <c r="H50" s="730" t="s">
        <v>672</v>
      </c>
      <c r="I50" s="796">
        <v>44546</v>
      </c>
      <c r="J50" s="625"/>
      <c r="K50" s="599" t="s">
        <v>607</v>
      </c>
      <c r="L50" s="599" t="s">
        <v>607</v>
      </c>
      <c r="M50" s="626"/>
      <c r="N50" s="729">
        <v>5</v>
      </c>
    </row>
    <row r="51" spans="1:15" ht="39" customHeight="1">
      <c r="A51" s="743">
        <v>39</v>
      </c>
      <c r="B51" s="924" t="s">
        <v>676</v>
      </c>
      <c r="C51" s="819" t="s">
        <v>690</v>
      </c>
      <c r="D51" s="814" t="s">
        <v>484</v>
      </c>
      <c r="E51" s="820" t="s">
        <v>691</v>
      </c>
      <c r="F51" s="815" t="s">
        <v>680</v>
      </c>
      <c r="G51" s="798" t="s">
        <v>619</v>
      </c>
      <c r="H51" s="798" t="s">
        <v>619</v>
      </c>
      <c r="I51" s="669">
        <v>44566</v>
      </c>
      <c r="J51" s="625"/>
      <c r="K51" s="599" t="s">
        <v>607</v>
      </c>
      <c r="L51" s="599" t="s">
        <v>607</v>
      </c>
      <c r="M51" s="626"/>
      <c r="N51" s="729">
        <v>6</v>
      </c>
    </row>
    <row r="52" spans="1:15" ht="20.25" customHeight="1">
      <c r="A52" s="339">
        <v>40</v>
      </c>
      <c r="B52" s="924" t="s">
        <v>677</v>
      </c>
      <c r="C52" s="812">
        <v>32560</v>
      </c>
      <c r="D52" s="512" t="s">
        <v>477</v>
      </c>
      <c r="E52" s="813" t="s">
        <v>686</v>
      </c>
      <c r="F52" s="507" t="s">
        <v>565</v>
      </c>
      <c r="G52" s="813" t="s">
        <v>688</v>
      </c>
      <c r="H52" s="813" t="s">
        <v>687</v>
      </c>
      <c r="I52" s="669">
        <v>44579</v>
      </c>
      <c r="J52" s="625"/>
      <c r="K52" s="599" t="s">
        <v>607</v>
      </c>
      <c r="L52" s="599" t="s">
        <v>607</v>
      </c>
      <c r="M52" s="626"/>
      <c r="N52" s="729">
        <v>7</v>
      </c>
    </row>
    <row r="53" spans="1:15" ht="20.25" customHeight="1">
      <c r="A53" s="360">
        <v>41</v>
      </c>
      <c r="B53" s="926" t="s">
        <v>694</v>
      </c>
      <c r="C53" s="873">
        <v>28764</v>
      </c>
      <c r="D53" s="512" t="s">
        <v>477</v>
      </c>
      <c r="E53" s="640" t="s">
        <v>705</v>
      </c>
      <c r="F53" s="949" t="s">
        <v>700</v>
      </c>
      <c r="G53" s="950" t="s">
        <v>706</v>
      </c>
      <c r="H53" s="950" t="s">
        <v>706</v>
      </c>
      <c r="I53" s="842">
        <v>44593</v>
      </c>
      <c r="J53" s="625"/>
      <c r="K53" s="599" t="s">
        <v>607</v>
      </c>
      <c r="L53" s="599" t="s">
        <v>607</v>
      </c>
      <c r="M53" s="626"/>
      <c r="N53" s="838">
        <v>8</v>
      </c>
    </row>
    <row r="54" spans="1:15" ht="20.25" customHeight="1">
      <c r="A54" s="626">
        <v>42</v>
      </c>
      <c r="B54" s="926" t="s">
        <v>695</v>
      </c>
      <c r="C54" s="873">
        <v>31778</v>
      </c>
      <c r="D54" s="512" t="s">
        <v>477</v>
      </c>
      <c r="E54" s="640" t="s">
        <v>710</v>
      </c>
      <c r="F54" s="949" t="s">
        <v>711</v>
      </c>
      <c r="G54" s="950" t="s">
        <v>714</v>
      </c>
      <c r="H54" s="950" t="s">
        <v>715</v>
      </c>
      <c r="I54" s="842">
        <v>44609</v>
      </c>
      <c r="J54" s="625"/>
      <c r="K54" s="599" t="s">
        <v>607</v>
      </c>
      <c r="L54" s="599" t="s">
        <v>607</v>
      </c>
      <c r="M54" s="626"/>
      <c r="N54" s="838">
        <v>9</v>
      </c>
    </row>
    <row r="55" spans="1:15" ht="20.25" customHeight="1">
      <c r="A55" s="360">
        <v>43</v>
      </c>
      <c r="B55" s="926" t="s">
        <v>696</v>
      </c>
      <c r="C55" s="873">
        <v>34895</v>
      </c>
      <c r="D55" s="462" t="s">
        <v>484</v>
      </c>
      <c r="E55" s="640" t="s">
        <v>719</v>
      </c>
      <c r="F55" s="950" t="s">
        <v>723</v>
      </c>
      <c r="G55" s="950" t="s">
        <v>720</v>
      </c>
      <c r="H55" s="950" t="s">
        <v>720</v>
      </c>
      <c r="I55" s="842">
        <v>44613</v>
      </c>
      <c r="J55" s="507"/>
      <c r="K55" s="599" t="s">
        <v>607</v>
      </c>
      <c r="L55" s="599" t="s">
        <v>607</v>
      </c>
      <c r="M55" s="507"/>
      <c r="N55" s="798">
        <v>10</v>
      </c>
    </row>
    <row r="56" spans="1:15" ht="39" customHeight="1">
      <c r="A56" s="626">
        <v>44</v>
      </c>
      <c r="B56" s="927" t="s">
        <v>725</v>
      </c>
      <c r="C56" s="882">
        <v>34710</v>
      </c>
      <c r="D56" s="877" t="s">
        <v>477</v>
      </c>
      <c r="E56" s="883" t="s">
        <v>734</v>
      </c>
      <c r="F56" s="919" t="s">
        <v>565</v>
      </c>
      <c r="G56" s="951" t="s">
        <v>737</v>
      </c>
      <c r="H56" s="951" t="s">
        <v>738</v>
      </c>
      <c r="I56" s="889">
        <v>44634</v>
      </c>
      <c r="J56" s="877"/>
      <c r="K56" s="599" t="s">
        <v>607</v>
      </c>
      <c r="L56" s="599" t="s">
        <v>607</v>
      </c>
      <c r="M56" s="507"/>
      <c r="N56" s="875">
        <v>11</v>
      </c>
    </row>
    <row r="57" spans="1:15" ht="39" customHeight="1">
      <c r="A57" s="360">
        <v>45</v>
      </c>
      <c r="B57" s="928" t="s">
        <v>726</v>
      </c>
      <c r="C57" s="884">
        <v>33370</v>
      </c>
      <c r="D57" s="877" t="s">
        <v>477</v>
      </c>
      <c r="E57" s="885" t="s">
        <v>742</v>
      </c>
      <c r="F57" s="919" t="s">
        <v>744</v>
      </c>
      <c r="G57" s="919" t="s">
        <v>743</v>
      </c>
      <c r="H57" s="919" t="s">
        <v>743</v>
      </c>
      <c r="I57" s="889">
        <v>44636</v>
      </c>
      <c r="J57" s="877"/>
      <c r="K57" s="599" t="s">
        <v>607</v>
      </c>
      <c r="L57" s="599" t="s">
        <v>607</v>
      </c>
      <c r="M57" s="507"/>
      <c r="N57" s="798">
        <v>12</v>
      </c>
    </row>
    <row r="58" spans="1:15" ht="39" customHeight="1">
      <c r="A58" s="626">
        <v>46</v>
      </c>
      <c r="B58" s="927" t="s">
        <v>727</v>
      </c>
      <c r="C58" s="882">
        <v>31584</v>
      </c>
      <c r="D58" s="877" t="s">
        <v>477</v>
      </c>
      <c r="E58" s="883" t="s">
        <v>748</v>
      </c>
      <c r="F58" s="919" t="s">
        <v>745</v>
      </c>
      <c r="G58" s="919" t="s">
        <v>746</v>
      </c>
      <c r="H58" s="919" t="s">
        <v>747</v>
      </c>
      <c r="I58" s="889">
        <v>44650</v>
      </c>
      <c r="J58" s="877"/>
      <c r="K58" s="599" t="s">
        <v>607</v>
      </c>
      <c r="L58" s="599" t="s">
        <v>607</v>
      </c>
      <c r="M58" s="507"/>
      <c r="N58" s="875">
        <v>13</v>
      </c>
    </row>
    <row r="59" spans="1:15" ht="39" customHeight="1">
      <c r="A59" s="507">
        <v>47</v>
      </c>
      <c r="B59" s="841" t="s">
        <v>751</v>
      </c>
      <c r="C59" s="980">
        <v>31018</v>
      </c>
      <c r="D59" s="877" t="s">
        <v>484</v>
      </c>
      <c r="E59" s="952" t="s">
        <v>761</v>
      </c>
      <c r="F59" s="942" t="s">
        <v>544</v>
      </c>
      <c r="G59" s="979" t="s">
        <v>769</v>
      </c>
      <c r="H59" s="979" t="s">
        <v>770</v>
      </c>
      <c r="I59" s="953">
        <v>44676</v>
      </c>
      <c r="J59" s="877"/>
      <c r="K59" s="599" t="s">
        <v>607</v>
      </c>
      <c r="L59" s="599" t="s">
        <v>607</v>
      </c>
      <c r="M59" s="981"/>
      <c r="N59" s="798">
        <v>14</v>
      </c>
    </row>
    <row r="60" spans="1:15" ht="39" customHeight="1">
      <c r="B60" s="944"/>
      <c r="C60" s="943"/>
      <c r="D60" s="945"/>
      <c r="E60" s="943"/>
      <c r="F60" s="946"/>
      <c r="G60" s="945"/>
      <c r="H60" s="945"/>
      <c r="I60" s="945"/>
      <c r="J60" s="945"/>
      <c r="K60" s="947"/>
      <c r="L60" s="947"/>
      <c r="M60" s="551"/>
      <c r="N60" s="948"/>
    </row>
    <row r="61" spans="1:15" ht="39" customHeight="1">
      <c r="B61" s="944"/>
      <c r="C61" s="943"/>
      <c r="D61" s="945"/>
      <c r="E61" s="943"/>
      <c r="F61" s="946"/>
      <c r="G61" s="945"/>
      <c r="H61" s="945"/>
      <c r="I61" s="945"/>
      <c r="J61" s="945"/>
      <c r="K61" s="947"/>
      <c r="L61" s="947"/>
      <c r="M61" s="551"/>
      <c r="N61" s="948"/>
    </row>
    <row r="62" spans="1:15" ht="39" customHeight="1">
      <c r="B62" s="944"/>
      <c r="C62" s="943"/>
      <c r="D62" s="945"/>
      <c r="E62" s="943"/>
      <c r="F62" s="946"/>
      <c r="G62" s="945"/>
      <c r="H62" s="945"/>
      <c r="I62" s="945"/>
      <c r="J62" s="945"/>
      <c r="K62" s="947"/>
      <c r="L62" s="947"/>
      <c r="M62" s="551"/>
      <c r="N62" s="948"/>
    </row>
    <row r="64" spans="1:15" ht="39" customHeight="1">
      <c r="H64" s="985" t="s">
        <v>38</v>
      </c>
      <c r="I64" s="985"/>
      <c r="J64" s="985"/>
      <c r="K64" s="985"/>
      <c r="L64" s="985"/>
      <c r="M64" s="985"/>
    </row>
  </sheetData>
  <protectedRanges>
    <protectedRange password="CA4D" sqref="A11:M12" name="Range1"/>
    <protectedRange password="CA4D" sqref="A3:M3" name="Range1_6"/>
    <protectedRange password="CA4D" sqref="A5:E6 M7:M10 B4:E4" name="Range1_1"/>
    <protectedRange password="CA4D" sqref="F7:L8 F10:L10 G9:L9" name="Range1_2_1"/>
    <protectedRange password="CA4D" sqref="A4" name="Range1_1_1"/>
    <protectedRange password="CA4D" sqref="F4:M6" name="Range1_2_2"/>
    <protectedRange password="CA4D" sqref="A7:E10" name="Range1_1_2"/>
    <protectedRange password="CA4D" sqref="F9" name="Range1_2_1_1"/>
    <protectedRange password="CA4D" sqref="A1:M2" name="Range1_2"/>
  </protectedRanges>
  <mergeCells count="16">
    <mergeCell ref="H64:M64"/>
    <mergeCell ref="A1:M2"/>
    <mergeCell ref="A3:M3"/>
    <mergeCell ref="F4:M6"/>
    <mergeCell ref="A7:E10"/>
    <mergeCell ref="A11:A12"/>
    <mergeCell ref="B11:B12"/>
    <mergeCell ref="C11:C12"/>
    <mergeCell ref="E11:E12"/>
    <mergeCell ref="F11:F12"/>
    <mergeCell ref="G11:G12"/>
    <mergeCell ref="H11:H12"/>
    <mergeCell ref="I11:I12"/>
    <mergeCell ref="J11:J12"/>
    <mergeCell ref="K11:K12"/>
    <mergeCell ref="M11:M12"/>
  </mergeCells>
  <pageMargins left="0.70866141732283472" right="0.70866141732283472" top="0.74803149606299213" bottom="0.74803149606299213" header="0.31496062992125984" footer="0.31496062992125984"/>
  <pageSetup paperSize="8"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C41"/>
  <sheetViews>
    <sheetView topLeftCell="A23" zoomScale="115" zoomScaleNormal="115" workbookViewId="0">
      <pane xSplit="3" topLeftCell="D1" activePane="topRight" state="frozen"/>
      <selection activeCell="A14" sqref="A14"/>
      <selection pane="topRight" activeCell="F30" sqref="F30"/>
    </sheetView>
  </sheetViews>
  <sheetFormatPr defaultColWidth="9.140625" defaultRowHeight="18.75"/>
  <cols>
    <col min="1" max="1" width="5.42578125" style="731" customWidth="1"/>
    <col min="2" max="2" width="11.5703125" style="731" customWidth="1"/>
    <col min="3" max="3" width="21.140625" style="538" customWidth="1"/>
    <col min="4" max="4" width="11.7109375" style="553" customWidth="1"/>
    <col min="5" max="5" width="9.140625" style="7" customWidth="1"/>
    <col min="6" max="6" width="21" style="7" customWidth="1"/>
    <col min="7" max="7" width="25.140625" style="7" customWidth="1"/>
    <col min="8" max="8" width="24" style="7" customWidth="1"/>
    <col min="9" max="11" width="17.28515625" style="7" customWidth="1"/>
    <col min="12" max="14" width="5.42578125" style="7" customWidth="1"/>
    <col min="15" max="15" width="13.85546875" style="7" customWidth="1"/>
    <col min="16" max="16" width="12.42578125" style="7" customWidth="1"/>
    <col min="17" max="18" width="9.7109375" style="7" customWidth="1"/>
    <col min="19" max="19" width="9.140625" style="7" customWidth="1"/>
    <col min="20" max="20" width="18.5703125" style="7" customWidth="1"/>
    <col min="21" max="21" width="8" style="7" customWidth="1"/>
    <col min="22" max="22" width="20.7109375" style="7" customWidth="1"/>
    <col min="23" max="23" width="5.28515625" style="7" customWidth="1"/>
    <col min="24" max="24" width="8.85546875" style="7" customWidth="1"/>
    <col min="25" max="25" width="6" style="7" customWidth="1"/>
    <col min="26" max="26" width="11" style="511" customWidth="1"/>
    <col min="27" max="27" width="9.85546875" style="7" customWidth="1"/>
    <col min="28" max="28" width="8.7109375" style="7" customWidth="1"/>
    <col min="29" max="29" width="5.5703125" style="7" customWidth="1"/>
    <col min="30" max="30" width="8.140625" style="7" customWidth="1"/>
    <col min="31" max="31" width="12.140625" style="7" customWidth="1"/>
    <col min="32" max="32" width="10" style="7" customWidth="1"/>
    <col min="33" max="33" width="11.7109375" style="7" customWidth="1"/>
    <col min="34" max="34" width="11.28515625" style="7" customWidth="1"/>
    <col min="35" max="35" width="9.28515625" style="7" customWidth="1"/>
    <col min="36" max="36" width="11.42578125" style="7" customWidth="1"/>
    <col min="37" max="37" width="8.140625" style="7" customWidth="1"/>
    <col min="38" max="38" width="10" style="7" customWidth="1"/>
    <col min="39" max="39" width="7.28515625" style="7" customWidth="1"/>
    <col min="40" max="40" width="11.85546875" style="556" customWidth="1"/>
    <col min="41" max="41" width="10.42578125" style="731" hidden="1" customWidth="1"/>
    <col min="42" max="44" width="10.42578125" style="731" customWidth="1"/>
    <col min="45" max="45" width="6.28515625" style="731" customWidth="1"/>
    <col min="46" max="46" width="7.42578125" style="731" customWidth="1"/>
    <col min="47" max="47" width="14.42578125" style="7" customWidth="1"/>
    <col min="48" max="48" width="13.85546875" style="7" customWidth="1"/>
    <col min="49" max="49" width="14" style="7" customWidth="1"/>
    <col min="50" max="50" width="24.85546875" style="7" customWidth="1"/>
    <col min="51" max="51" width="11.7109375" style="7" customWidth="1"/>
    <col min="52" max="54" width="9.140625" style="7" customWidth="1"/>
    <col min="55" max="16384" width="9.140625" style="7"/>
  </cols>
  <sheetData>
    <row r="3" spans="1:55" ht="57.95" customHeight="1">
      <c r="A3" s="7" t="s">
        <v>48</v>
      </c>
      <c r="B3" s="7"/>
      <c r="C3" s="958"/>
      <c r="D3" s="554"/>
      <c r="E3" s="536"/>
      <c r="F3" s="536"/>
      <c r="G3" s="536"/>
      <c r="H3" s="536"/>
      <c r="I3" s="536"/>
      <c r="J3" s="536"/>
      <c r="K3" s="536"/>
      <c r="L3" s="513"/>
      <c r="Z3" s="7"/>
      <c r="AO3" s="7"/>
      <c r="AP3" s="7"/>
      <c r="AQ3" s="7"/>
      <c r="AR3" s="7"/>
      <c r="AS3" s="7"/>
      <c r="AT3" s="7"/>
    </row>
    <row r="4" spans="1:55">
      <c r="C4" s="538" t="s">
        <v>608</v>
      </c>
    </row>
    <row r="5" spans="1:55" ht="43.5" customHeight="1">
      <c r="A5" s="1014" t="s">
        <v>0</v>
      </c>
      <c r="B5" s="1014"/>
      <c r="C5" s="1014"/>
      <c r="D5" s="1014"/>
      <c r="E5" s="728"/>
      <c r="F5" s="728"/>
      <c r="G5" s="537" t="s">
        <v>381</v>
      </c>
      <c r="H5" s="538"/>
      <c r="I5" s="538"/>
      <c r="J5" s="537"/>
      <c r="K5" s="537"/>
      <c r="L5" s="537"/>
      <c r="M5" s="537"/>
      <c r="N5" s="537"/>
      <c r="O5" s="537"/>
      <c r="P5" s="537"/>
      <c r="Q5" s="537"/>
      <c r="R5" s="537"/>
      <c r="S5" s="537"/>
      <c r="T5" s="537"/>
      <c r="U5" s="537"/>
      <c r="V5" s="537"/>
      <c r="W5" s="537"/>
      <c r="AC5" s="1013" t="s">
        <v>1</v>
      </c>
      <c r="AD5" s="1013"/>
      <c r="AE5" s="1013"/>
      <c r="AF5" s="1013"/>
      <c r="AG5" s="1013"/>
      <c r="AH5" s="1013"/>
      <c r="AI5" s="1013"/>
      <c r="AJ5" s="1013"/>
      <c r="AK5" s="1013"/>
      <c r="AL5" s="1013"/>
      <c r="AM5" s="1013"/>
      <c r="AN5" s="1013"/>
      <c r="AO5" s="1013"/>
      <c r="AP5" s="1013"/>
      <c r="AQ5" s="539" t="str">
        <f>G5</f>
        <v>Burgeon IT Services Pvt.Ltd.</v>
      </c>
      <c r="AR5" s="538"/>
      <c r="AS5" s="538"/>
      <c r="AT5" s="538"/>
      <c r="AU5" s="538"/>
      <c r="AV5" s="538"/>
      <c r="AW5" s="538"/>
      <c r="AX5" s="538"/>
      <c r="AY5" s="538"/>
      <c r="AZ5" s="540"/>
      <c r="BA5" s="540"/>
      <c r="BB5" s="540"/>
      <c r="BC5" s="540"/>
    </row>
    <row r="6" spans="1:55" ht="20.45" customHeight="1">
      <c r="A6" s="510"/>
      <c r="B6" s="510"/>
      <c r="G6" s="518" t="s">
        <v>382</v>
      </c>
      <c r="J6" s="518"/>
      <c r="K6" s="518"/>
      <c r="L6" s="518"/>
      <c r="M6" s="518"/>
      <c r="N6" s="518"/>
      <c r="O6" s="518"/>
      <c r="P6" s="518"/>
      <c r="Q6" s="518"/>
      <c r="R6" s="518"/>
      <c r="S6" s="518"/>
      <c r="T6" s="518"/>
      <c r="U6" s="518"/>
      <c r="V6" s="518"/>
      <c r="W6" s="518"/>
      <c r="AD6" s="509"/>
      <c r="AE6" s="509"/>
      <c r="AF6" s="509"/>
      <c r="AG6" s="509"/>
      <c r="AH6" s="509"/>
      <c r="AI6" s="509"/>
      <c r="AJ6" s="509"/>
      <c r="AK6" s="509"/>
      <c r="AL6" s="509"/>
      <c r="AM6" s="509"/>
      <c r="AN6" s="557"/>
      <c r="AQ6" s="518" t="str">
        <f>G6</f>
        <v>Siri Mansion LIGB 436 Dr.A S Rao Nagar,Hyderabad</v>
      </c>
      <c r="AR6" s="7"/>
      <c r="AS6" s="7"/>
      <c r="AT6" s="541"/>
      <c r="AU6" s="541"/>
      <c r="AV6" s="541"/>
      <c r="AW6" s="541"/>
      <c r="AX6" s="541"/>
      <c r="AY6" s="541"/>
      <c r="AZ6" s="541"/>
      <c r="BA6" s="541"/>
      <c r="BB6" s="541"/>
      <c r="BC6" s="541"/>
    </row>
    <row r="7" spans="1:55" ht="1.5" customHeight="1">
      <c r="A7" s="510"/>
      <c r="B7" s="510"/>
      <c r="G7" s="542"/>
      <c r="J7" s="518"/>
      <c r="K7" s="518"/>
      <c r="L7" s="518"/>
      <c r="M7" s="518"/>
      <c r="N7" s="518"/>
      <c r="O7" s="518"/>
      <c r="P7" s="518"/>
      <c r="Q7" s="518"/>
      <c r="R7" s="518"/>
      <c r="S7" s="518"/>
      <c r="T7" s="856"/>
      <c r="U7" s="518"/>
      <c r="V7" s="518"/>
      <c r="W7" s="518"/>
      <c r="AD7" s="509"/>
      <c r="AE7" s="509"/>
      <c r="AF7" s="509"/>
      <c r="AG7" s="509"/>
      <c r="AH7" s="509"/>
      <c r="AI7" s="509"/>
      <c r="AJ7" s="509"/>
      <c r="AK7" s="509"/>
      <c r="AL7" s="509"/>
      <c r="AM7" s="509"/>
      <c r="AN7" s="557"/>
      <c r="AQ7" s="518">
        <f>G7</f>
        <v>0</v>
      </c>
      <c r="AR7" s="7"/>
      <c r="AS7" s="7"/>
      <c r="AT7" s="541"/>
      <c r="AU7" s="541"/>
      <c r="AV7" s="541"/>
      <c r="AW7" s="541"/>
      <c r="AX7" s="541"/>
      <c r="AY7" s="541"/>
      <c r="AZ7" s="541"/>
      <c r="BA7" s="541"/>
      <c r="BB7" s="541"/>
      <c r="BC7" s="541"/>
    </row>
    <row r="8" spans="1:55">
      <c r="A8" s="1014" t="s">
        <v>2</v>
      </c>
      <c r="B8" s="1014"/>
      <c r="C8" s="1014"/>
      <c r="D8" s="1014"/>
      <c r="E8" s="728"/>
      <c r="F8" s="728"/>
      <c r="G8" s="519" t="s">
        <v>601</v>
      </c>
      <c r="H8" s="519"/>
      <c r="I8" s="519"/>
      <c r="J8" s="519"/>
      <c r="K8" s="519"/>
      <c r="L8" s="519"/>
      <c r="M8" s="519"/>
      <c r="N8" s="519"/>
      <c r="O8" s="519"/>
      <c r="P8" s="519"/>
      <c r="Q8" s="519"/>
      <c r="R8" s="519"/>
      <c r="S8" s="519"/>
      <c r="T8" s="519"/>
      <c r="U8" s="519"/>
      <c r="V8" s="519"/>
      <c r="W8" s="519"/>
      <c r="AD8" s="509"/>
      <c r="AE8" s="509"/>
      <c r="AF8" s="509"/>
      <c r="AG8" s="509"/>
      <c r="AH8" s="509"/>
      <c r="AI8" s="509"/>
      <c r="AJ8" s="509"/>
      <c r="AK8" s="509"/>
      <c r="AL8" s="509"/>
      <c r="AM8" s="509"/>
      <c r="AN8" s="557"/>
      <c r="AQ8" s="543"/>
      <c r="AR8" s="543"/>
      <c r="AS8" s="543"/>
      <c r="AT8" s="543"/>
      <c r="AU8" s="543"/>
      <c r="AV8" s="543"/>
      <c r="AW8" s="543"/>
      <c r="AX8" s="543"/>
      <c r="AY8" s="543"/>
      <c r="AZ8" s="543"/>
      <c r="BA8" s="543"/>
      <c r="BB8" s="543"/>
      <c r="BC8" s="543"/>
    </row>
    <row r="9" spans="1:55">
      <c r="A9" s="510"/>
      <c r="B9" s="510"/>
      <c r="AD9" s="509"/>
      <c r="AE9" s="509"/>
      <c r="AF9" s="509"/>
      <c r="AG9" s="509"/>
      <c r="AH9" s="509"/>
      <c r="AI9" s="509"/>
      <c r="AJ9" s="509"/>
      <c r="AK9" s="509"/>
      <c r="AL9" s="509"/>
      <c r="AM9" s="509"/>
      <c r="AN9" s="557"/>
      <c r="AQ9" s="1015"/>
      <c r="AR9" s="1015"/>
      <c r="AS9" s="1015"/>
      <c r="AT9" s="1015"/>
      <c r="AU9" s="1015"/>
      <c r="AV9" s="1015"/>
      <c r="AW9" s="1015"/>
      <c r="AX9" s="1015"/>
      <c r="AY9" s="1015"/>
    </row>
    <row r="10" spans="1:55" ht="15" customHeight="1">
      <c r="A10" s="1014" t="s">
        <v>3</v>
      </c>
      <c r="B10" s="1014"/>
      <c r="C10" s="1014"/>
      <c r="D10" s="1014"/>
      <c r="E10" s="560">
        <v>44652</v>
      </c>
      <c r="F10" s="728"/>
      <c r="H10" s="544"/>
      <c r="I10" s="544"/>
      <c r="J10" s="544"/>
      <c r="K10" s="544"/>
      <c r="L10" s="544"/>
      <c r="M10" s="544"/>
      <c r="N10" s="544"/>
      <c r="O10" s="544"/>
      <c r="P10" s="544"/>
      <c r="Q10" s="544"/>
      <c r="R10" s="544"/>
      <c r="S10" s="544"/>
      <c r="T10" s="544"/>
      <c r="U10" s="544"/>
      <c r="V10" s="544"/>
      <c r="W10" s="544"/>
      <c r="AD10" s="728"/>
      <c r="AE10" s="728"/>
      <c r="AF10" s="728"/>
      <c r="AG10" s="728"/>
      <c r="AH10" s="728"/>
      <c r="AJ10" s="510"/>
      <c r="AK10" s="510"/>
      <c r="AL10" s="728" t="s">
        <v>4</v>
      </c>
      <c r="AM10" s="510"/>
      <c r="AN10" s="558"/>
      <c r="AO10" s="510"/>
      <c r="AP10" s="510"/>
      <c r="AQ10" s="728" t="s">
        <v>471</v>
      </c>
      <c r="AR10" s="538"/>
      <c r="AS10" s="538"/>
      <c r="AT10" s="538"/>
      <c r="AU10" s="538"/>
      <c r="AV10" s="538"/>
      <c r="AW10" s="538"/>
      <c r="AX10" s="540"/>
      <c r="AY10" s="540"/>
      <c r="AZ10" s="540"/>
      <c r="BA10" s="540"/>
    </row>
    <row r="11" spans="1:55" ht="17.25" customHeight="1">
      <c r="AQ11" s="545" t="s">
        <v>472</v>
      </c>
      <c r="AR11" s="732"/>
      <c r="AS11" s="732"/>
      <c r="AT11" s="541"/>
      <c r="AU11" s="541"/>
      <c r="AV11" s="541"/>
      <c r="AW11" s="541"/>
      <c r="AX11" s="541"/>
      <c r="AY11" s="541"/>
      <c r="AZ11" s="541"/>
      <c r="BA11" s="541"/>
    </row>
    <row r="12" spans="1:55" ht="27" customHeight="1"/>
    <row r="13" spans="1:55" ht="27" customHeight="1" thickBot="1"/>
    <row r="14" spans="1:55" s="546" customFormat="1" ht="17.25" customHeight="1">
      <c r="A14" s="1016" t="s">
        <v>7</v>
      </c>
      <c r="B14" s="1012" t="s">
        <v>458</v>
      </c>
      <c r="C14" s="1012" t="s">
        <v>6</v>
      </c>
      <c r="D14" s="555" t="s">
        <v>49</v>
      </c>
      <c r="E14" s="548" t="s">
        <v>39</v>
      </c>
      <c r="F14" s="1022" t="s">
        <v>41</v>
      </c>
      <c r="G14" s="1012" t="s">
        <v>8</v>
      </c>
      <c r="H14" s="727" t="s">
        <v>42</v>
      </c>
      <c r="I14" s="727"/>
      <c r="J14" s="727"/>
      <c r="K14" s="727" t="s">
        <v>43</v>
      </c>
      <c r="L14" s="727"/>
      <c r="M14" s="638"/>
      <c r="N14" s="638"/>
      <c r="O14" s="1025" t="s">
        <v>44</v>
      </c>
      <c r="P14" s="1025" t="s">
        <v>45</v>
      </c>
      <c r="Q14" s="1025" t="s">
        <v>46</v>
      </c>
      <c r="R14" s="1026" t="s">
        <v>47</v>
      </c>
      <c r="S14" s="727" t="s">
        <v>40</v>
      </c>
      <c r="T14" s="727" t="s">
        <v>134</v>
      </c>
      <c r="U14" s="727" t="s">
        <v>135</v>
      </c>
      <c r="V14" s="1012" t="s">
        <v>6</v>
      </c>
      <c r="W14" s="727"/>
      <c r="X14" s="1012" t="s">
        <v>9</v>
      </c>
      <c r="Y14" s="1012" t="s">
        <v>10</v>
      </c>
      <c r="Z14" s="1020" t="s">
        <v>180</v>
      </c>
      <c r="AA14" s="1022" t="s">
        <v>11</v>
      </c>
      <c r="AB14" s="1012" t="s">
        <v>12</v>
      </c>
      <c r="AC14" s="1012" t="s">
        <v>13</v>
      </c>
      <c r="AD14" s="1018" t="s">
        <v>14</v>
      </c>
      <c r="AE14" s="1018" t="s">
        <v>15</v>
      </c>
      <c r="AF14" s="1018" t="s">
        <v>16</v>
      </c>
      <c r="AG14" s="1018" t="s">
        <v>17</v>
      </c>
      <c r="AH14" s="1018" t="s">
        <v>18</v>
      </c>
      <c r="AI14" s="1019" t="s">
        <v>19</v>
      </c>
      <c r="AJ14" s="729" t="s">
        <v>20</v>
      </c>
      <c r="AK14" s="729" t="s">
        <v>21</v>
      </c>
      <c r="AL14" s="729" t="s">
        <v>22</v>
      </c>
      <c r="AM14" s="727" t="s">
        <v>23</v>
      </c>
      <c r="AN14" s="1021" t="s">
        <v>24</v>
      </c>
      <c r="AO14" s="1012" t="s">
        <v>25</v>
      </c>
      <c r="AP14" s="1012"/>
      <c r="AQ14" s="1012"/>
      <c r="AR14" s="1012"/>
      <c r="AS14" s="1012"/>
      <c r="AT14" s="1012"/>
      <c r="AU14" s="1012" t="s">
        <v>26</v>
      </c>
      <c r="AV14" s="1012" t="s">
        <v>27</v>
      </c>
      <c r="AW14" s="727" t="s">
        <v>28</v>
      </c>
      <c r="AX14" s="1012" t="s">
        <v>29</v>
      </c>
      <c r="AY14" s="1012" t="s">
        <v>30</v>
      </c>
    </row>
    <row r="15" spans="1:55" ht="17.25" customHeight="1">
      <c r="A15" s="1017"/>
      <c r="B15" s="1012"/>
      <c r="C15" s="1019"/>
      <c r="D15" s="639"/>
      <c r="E15" s="507"/>
      <c r="F15" s="1024"/>
      <c r="G15" s="1012"/>
      <c r="H15" s="727"/>
      <c r="I15" s="727"/>
      <c r="J15" s="727"/>
      <c r="K15" s="727"/>
      <c r="L15" s="727"/>
      <c r="M15" s="638"/>
      <c r="N15" s="638"/>
      <c r="O15" s="1025"/>
      <c r="P15" s="1025"/>
      <c r="Q15" s="1025"/>
      <c r="R15" s="1026"/>
      <c r="S15" s="727"/>
      <c r="T15" s="727"/>
      <c r="U15" s="727"/>
      <c r="V15" s="1019"/>
      <c r="W15" s="729"/>
      <c r="X15" s="1012"/>
      <c r="Y15" s="1012"/>
      <c r="Z15" s="1020"/>
      <c r="AA15" s="1023"/>
      <c r="AB15" s="1012"/>
      <c r="AC15" s="1012"/>
      <c r="AD15" s="1018"/>
      <c r="AE15" s="1018"/>
      <c r="AF15" s="1018"/>
      <c r="AG15" s="1018"/>
      <c r="AH15" s="1018"/>
      <c r="AI15" s="1019"/>
      <c r="AJ15" s="729"/>
      <c r="AK15" s="729"/>
      <c r="AL15" s="729"/>
      <c r="AM15" s="729"/>
      <c r="AN15" s="1021"/>
      <c r="AO15" s="640" t="s">
        <v>31</v>
      </c>
      <c r="AP15" s="640" t="s">
        <v>32</v>
      </c>
      <c r="AQ15" s="640" t="s">
        <v>33</v>
      </c>
      <c r="AR15" s="640" t="s">
        <v>34</v>
      </c>
      <c r="AS15" s="640" t="s">
        <v>35</v>
      </c>
      <c r="AT15" s="641" t="s">
        <v>36</v>
      </c>
      <c r="AU15" s="1012"/>
      <c r="AV15" s="1012"/>
      <c r="AW15" s="727"/>
      <c r="AX15" s="1012"/>
      <c r="AY15" s="1012"/>
    </row>
    <row r="16" spans="1:55" ht="30.6" customHeight="1">
      <c r="B16" s="462"/>
      <c r="C16" s="959"/>
      <c r="D16" s="639"/>
      <c r="E16" s="507"/>
      <c r="F16" s="507"/>
      <c r="G16" s="507"/>
      <c r="H16" s="507"/>
      <c r="I16" s="507"/>
      <c r="J16" s="507"/>
      <c r="K16" s="507"/>
      <c r="L16" s="507"/>
      <c r="M16" s="507"/>
      <c r="N16" s="507"/>
      <c r="O16" s="507"/>
      <c r="P16" s="507"/>
      <c r="Q16" s="507"/>
      <c r="R16" s="507"/>
      <c r="S16" s="507"/>
      <c r="T16" s="507"/>
      <c r="U16" s="507"/>
      <c r="V16" s="507"/>
      <c r="W16" s="507"/>
      <c r="X16" s="507"/>
      <c r="Y16" s="507"/>
      <c r="Z16" s="514"/>
      <c r="AA16" s="1024"/>
      <c r="AB16" s="1012"/>
      <c r="AC16" s="507"/>
      <c r="AD16" s="639"/>
      <c r="AE16" s="1018"/>
      <c r="AF16" s="1018"/>
      <c r="AG16" s="1018"/>
      <c r="AH16" s="507"/>
      <c r="AI16" s="507"/>
      <c r="AJ16" s="507"/>
      <c r="AK16" s="507"/>
      <c r="AL16" s="507"/>
      <c r="AM16" s="507"/>
      <c r="AN16" s="642"/>
      <c r="AO16" s="462"/>
      <c r="AP16" s="462"/>
      <c r="AQ16" s="462"/>
      <c r="AR16" s="462"/>
      <c r="AS16" s="462"/>
      <c r="AT16" s="462"/>
      <c r="AU16" s="507"/>
      <c r="AV16" s="507"/>
      <c r="AW16" s="507"/>
      <c r="AX16" s="507"/>
      <c r="AY16" s="507"/>
    </row>
    <row r="17" spans="1:53" ht="18" customHeight="1">
      <c r="A17" s="512">
        <v>19</v>
      </c>
      <c r="B17" s="648" t="s">
        <v>557</v>
      </c>
      <c r="C17" s="955" t="s">
        <v>553</v>
      </c>
      <c r="D17" s="649">
        <v>34715</v>
      </c>
      <c r="E17" s="512" t="s">
        <v>477</v>
      </c>
      <c r="F17" s="512" t="s">
        <v>561</v>
      </c>
      <c r="G17" s="691" t="s">
        <v>566</v>
      </c>
      <c r="H17" s="627" t="s">
        <v>571</v>
      </c>
      <c r="I17" s="549"/>
      <c r="J17" s="549"/>
      <c r="K17" s="627" t="s">
        <v>575</v>
      </c>
      <c r="L17" s="549"/>
      <c r="M17" s="549"/>
      <c r="N17" s="549"/>
      <c r="O17" s="651">
        <v>44298</v>
      </c>
      <c r="P17" s="549"/>
      <c r="Q17" s="549"/>
      <c r="R17" s="549"/>
      <c r="S17" s="549"/>
      <c r="T17" s="857">
        <v>100947550505</v>
      </c>
      <c r="U17" s="652" t="s">
        <v>37</v>
      </c>
      <c r="V17" s="653" t="str">
        <f t="shared" ref="V17:V19" si="0">C17</f>
        <v>Haneef</v>
      </c>
      <c r="W17" s="654">
        <v>30</v>
      </c>
      <c r="X17" s="655">
        <f>VLOOKUP(B17,'[1]Pay sheet-APRIL- 2022'!$C$12:$AF$139,10,0)</f>
        <v>30</v>
      </c>
      <c r="Y17" s="656" t="s">
        <v>37</v>
      </c>
      <c r="Z17" s="655">
        <f>VLOOKUP(B17,'[2]Pay sheet-JAN- 2021'!$C$18:$AF$125,6,0)</f>
        <v>61740</v>
      </c>
      <c r="AA17" s="806">
        <f>VLOOKUP(B17,'[1]Pay sheet-APRIL- 2022'!$C$12:$AF$139,11,0)</f>
        <v>37044</v>
      </c>
      <c r="AB17" s="657">
        <v>0</v>
      </c>
      <c r="AC17" s="657">
        <v>0</v>
      </c>
      <c r="AD17" s="724">
        <f>AE17+AF17+AG17+AH17</f>
        <v>24809</v>
      </c>
      <c r="AE17" s="655">
        <f>VLOOKUP(B17,'[1]Pay sheet-APRIL- 2022'!$C$12:$AF$139,12,0)</f>
        <v>14817.6</v>
      </c>
      <c r="AF17" s="655">
        <f>VLOOKUP(B17,'[1]Pay sheet-APRIL- 2022'!$C$12:$AF$139,13,0)</f>
        <v>2083</v>
      </c>
      <c r="AG17" s="655">
        <f>VLOOKUP(B17,'[1]Pay sheet-APRIL- 2022'!$C$12:$AF$139,14,0)</f>
        <v>2083</v>
      </c>
      <c r="AH17" s="655">
        <f>VLOOKUP(B17,'[1]Pay sheet-APRIL- 2022'!$C$12:$AF$139,15,0)</f>
        <v>5825.4000000000015</v>
      </c>
      <c r="AI17" s="807">
        <f t="shared" ref="AI17:AI30" si="1">AA17+AB17+AC17+AE17+AF17+AG17+AH17</f>
        <v>61853</v>
      </c>
      <c r="AJ17" s="655">
        <f>VLOOKUP(B17,'[1]Pay sheet-APRIL- 2022'!$C$12:$AF$139,18,0)</f>
        <v>1554.6089999999999</v>
      </c>
      <c r="AK17" s="655">
        <f>VLOOKUP(B17,'[1]Pay sheet-APRIL- 2022'!$C$12:$AF$139,19,0)</f>
        <v>1781.8163999999999</v>
      </c>
      <c r="AL17" s="655">
        <f>VLOOKUP(B17,'[1]Pay sheet-APRIL- 2022'!$C$12:$AF$139,20,0)</f>
        <v>3087</v>
      </c>
      <c r="AM17" s="968">
        <v>0</v>
      </c>
      <c r="AN17" s="866">
        <f>AI17+AJ17+AK17+AL17+AM17</f>
        <v>68276.425400000007</v>
      </c>
      <c r="AO17" s="724">
        <v>0</v>
      </c>
      <c r="AP17" s="655">
        <f>VLOOKUP(B17,'[1]Pay sheet-APRIL- 2022'!$C$12:$AF$139,26,0)</f>
        <v>1800</v>
      </c>
      <c r="AQ17" s="655">
        <f>VLOOKUP(B17,'[1]Pay sheet-APRIL- 2022'!$C$12:$AF$139,25,0)</f>
        <v>200</v>
      </c>
      <c r="AR17" s="655">
        <f>VLOOKUP(B17,'[1]Pay sheet-APRIL- 2022'!$C$12:$AF$139,24,0)</f>
        <v>0</v>
      </c>
      <c r="AS17" s="655">
        <f>VLOOKUP(B17,'[1]Pay sheet-APRIL- 2022'!$C$12:$AF$139,27,0)</f>
        <v>391.787848</v>
      </c>
      <c r="AT17" s="971">
        <f>AP17+AQ17+AR17+AS17</f>
        <v>2391.7878479999999</v>
      </c>
      <c r="AU17" s="916">
        <f t="shared" ref="AU17:AU30" si="2">AN17-AT17</f>
        <v>65884.637552</v>
      </c>
      <c r="AV17" s="921" t="s">
        <v>750</v>
      </c>
      <c r="AW17" s="658" t="s">
        <v>577</v>
      </c>
      <c r="AX17" s="659" t="s">
        <v>578</v>
      </c>
      <c r="AY17" s="294"/>
      <c r="BA17" s="7">
        <v>1</v>
      </c>
    </row>
    <row r="18" spans="1:53" ht="18" customHeight="1">
      <c r="A18" s="660">
        <v>25</v>
      </c>
      <c r="B18" s="512" t="s">
        <v>660</v>
      </c>
      <c r="C18" s="954" t="s">
        <v>581</v>
      </c>
      <c r="D18" s="649">
        <v>30321</v>
      </c>
      <c r="E18" s="660" t="s">
        <v>477</v>
      </c>
      <c r="F18" s="549" t="s">
        <v>588</v>
      </c>
      <c r="G18" s="692" t="s">
        <v>565</v>
      </c>
      <c r="H18" s="627" t="s">
        <v>593</v>
      </c>
      <c r="I18" s="627"/>
      <c r="J18" s="627"/>
      <c r="K18" s="665" t="s">
        <v>593</v>
      </c>
      <c r="L18" s="549"/>
      <c r="M18" s="549"/>
      <c r="N18" s="549"/>
      <c r="O18" s="549" t="s">
        <v>598</v>
      </c>
      <c r="P18" s="549"/>
      <c r="Q18" s="549"/>
      <c r="R18" s="549"/>
      <c r="S18" s="549"/>
      <c r="T18" s="857">
        <v>100457474727</v>
      </c>
      <c r="U18" s="661" t="s">
        <v>37</v>
      </c>
      <c r="V18" s="662" t="str">
        <f t="shared" si="0"/>
        <v>Ved Prakash</v>
      </c>
      <c r="W18" s="654">
        <v>30</v>
      </c>
      <c r="X18" s="965">
        <f>VLOOKUP(B18,'[1]Pay sheet-APRIL- 2022'!$C$12:$AF$139,10,0)</f>
        <v>20</v>
      </c>
      <c r="Y18" s="663" t="s">
        <v>37</v>
      </c>
      <c r="Z18" s="655">
        <f>VLOOKUP(B18,'[2]Pay sheet-JAN- 2021'!$C$18:$AF$125,6,0)</f>
        <v>71009</v>
      </c>
      <c r="AA18" s="806">
        <f>VLOOKUP(B18,'[1]Pay sheet-APRIL- 2022'!$C$12:$AF$139,11,0)</f>
        <v>28403.599999999999</v>
      </c>
      <c r="AB18" s="664">
        <v>0</v>
      </c>
      <c r="AC18" s="664">
        <v>0</v>
      </c>
      <c r="AD18" s="724">
        <f t="shared" ref="AD18:AD29" si="3">AE18+AF18+AG18+AH18</f>
        <v>19048.733333333337</v>
      </c>
      <c r="AE18" s="655">
        <f>VLOOKUP(B18,'[1]Pay sheet-APRIL- 2022'!$C$12:$AF$139,12,0)</f>
        <v>11361.44</v>
      </c>
      <c r="AF18" s="655">
        <f>VLOOKUP(B18,'[1]Pay sheet-APRIL- 2022'!$C$12:$AF$139,13,0)</f>
        <v>1389</v>
      </c>
      <c r="AG18" s="655">
        <f>VLOOKUP(B18,'[1]Pay sheet-APRIL- 2022'!$C$12:$AF$139,14,0)</f>
        <v>1389</v>
      </c>
      <c r="AH18" s="655">
        <f>VLOOKUP(B18,'[1]Pay sheet-APRIL- 2022'!$C$12:$AF$139,15,0)</f>
        <v>4909.2933333333349</v>
      </c>
      <c r="AI18" s="807">
        <f t="shared" si="1"/>
        <v>47452.333333333336</v>
      </c>
      <c r="AJ18" s="655">
        <f>VLOOKUP(B18,'[1]Pay sheet-APRIL- 2022'!$C$12:$AF$139,18,0)</f>
        <v>1554.6089999999999</v>
      </c>
      <c r="AK18" s="655">
        <f>VLOOKUP(B18,'[1]Pay sheet-APRIL- 2022'!$C$12:$AF$139,19,0)</f>
        <v>1366.21316</v>
      </c>
      <c r="AL18" s="655">
        <f>VLOOKUP(B18,'[1]Pay sheet-APRIL- 2022'!$C$12:$AF$139,20,0)</f>
        <v>2366.9666666666667</v>
      </c>
      <c r="AM18" s="968">
        <v>0</v>
      </c>
      <c r="AN18" s="866">
        <f t="shared" ref="AN18:AN29" si="4">AI18+AJ18+AK18+AL18+AM18</f>
        <v>52740.122159999999</v>
      </c>
      <c r="AO18" s="725">
        <v>0</v>
      </c>
      <c r="AP18" s="655">
        <f>VLOOKUP(B18,'[1]Pay sheet-APRIL- 2022'!$C$12:$AF$139,26,0)</f>
        <v>1800</v>
      </c>
      <c r="AQ18" s="655">
        <f>VLOOKUP(B18,'[1]Pay sheet-APRIL- 2022'!$C$12:$AF$139,25,0)</f>
        <v>200</v>
      </c>
      <c r="AR18" s="655">
        <f>VLOOKUP(B18,'[1]Pay sheet-APRIL- 2022'!$C$12:$AF$139,24,0)</f>
        <v>0</v>
      </c>
      <c r="AS18" s="655">
        <f>VLOOKUP(B18,'[1]Pay sheet-APRIL- 2022'!$C$12:$AF$139,27,0)</f>
        <v>440.76132899999999</v>
      </c>
      <c r="AT18" s="971">
        <f t="shared" ref="AT18:AT30" si="5">AP18+AQ18+AR18+AS18</f>
        <v>2440.7613289999999</v>
      </c>
      <c r="AU18" s="916">
        <f t="shared" si="2"/>
        <v>50299.360830999998</v>
      </c>
      <c r="AV18" s="921" t="s">
        <v>750</v>
      </c>
      <c r="AW18" s="650" t="s">
        <v>545</v>
      </c>
      <c r="AX18" s="549" t="s">
        <v>606</v>
      </c>
      <c r="AY18" s="507"/>
      <c r="BA18" s="7">
        <v>3</v>
      </c>
    </row>
    <row r="19" spans="1:53" ht="18" customHeight="1">
      <c r="A19" s="660">
        <v>27</v>
      </c>
      <c r="B19" s="648" t="s">
        <v>661</v>
      </c>
      <c r="C19" s="955" t="s">
        <v>603</v>
      </c>
      <c r="D19" s="666">
        <v>33721</v>
      </c>
      <c r="E19" s="660" t="s">
        <v>477</v>
      </c>
      <c r="F19" s="549" t="s">
        <v>614</v>
      </c>
      <c r="G19" s="693" t="s">
        <v>626</v>
      </c>
      <c r="H19" s="627" t="s">
        <v>615</v>
      </c>
      <c r="I19" s="627"/>
      <c r="J19" s="627"/>
      <c r="K19" s="665"/>
      <c r="L19" s="549"/>
      <c r="M19" s="549"/>
      <c r="N19" s="549"/>
      <c r="O19" s="549" t="s">
        <v>598</v>
      </c>
      <c r="P19" s="549"/>
      <c r="Q19" s="549"/>
      <c r="R19" s="549"/>
      <c r="S19" s="549"/>
      <c r="T19" s="857">
        <v>101012347201</v>
      </c>
      <c r="U19" s="661" t="s">
        <v>37</v>
      </c>
      <c r="V19" s="662" t="str">
        <f t="shared" si="0"/>
        <v>GauravVispute</v>
      </c>
      <c r="W19" s="654">
        <v>30</v>
      </c>
      <c r="X19" s="965">
        <f>VLOOKUP(B19,'[1]Pay sheet-APRIL- 2022'!$C$12:$AF$139,10,0)</f>
        <v>29</v>
      </c>
      <c r="Y19" s="663" t="s">
        <v>37</v>
      </c>
      <c r="Z19" s="655">
        <f>VLOOKUP(B19,'[2]Pay sheet-JAN- 2021'!$C$18:$AF$125,6,0)</f>
        <v>43202</v>
      </c>
      <c r="AA19" s="806">
        <f>VLOOKUP(B19,'[1]Pay sheet-APRIL- 2022'!$C$12:$AF$139,11,0)</f>
        <v>25057.16</v>
      </c>
      <c r="AB19" s="664">
        <v>0</v>
      </c>
      <c r="AC19" s="664">
        <v>0</v>
      </c>
      <c r="AD19" s="724">
        <f t="shared" si="3"/>
        <v>16817.773333333331</v>
      </c>
      <c r="AE19" s="655">
        <f>VLOOKUP(B19,'[1]Pay sheet-APRIL- 2022'!$C$12:$AF$139,12,0)</f>
        <v>10022.864000000001</v>
      </c>
      <c r="AF19" s="655">
        <f>VLOOKUP(B19,'[1]Pay sheet-APRIL- 2022'!$C$12:$AF$139,13,0)</f>
        <v>2014</v>
      </c>
      <c r="AG19" s="655">
        <f>VLOOKUP(B19,'[1]Pay sheet-APRIL- 2022'!$C$12:$AF$139,14,0)</f>
        <v>2014</v>
      </c>
      <c r="AH19" s="655">
        <f>VLOOKUP(B19,'[1]Pay sheet-APRIL- 2022'!$C$12:$AF$139,15,0)</f>
        <v>2766.9093333333294</v>
      </c>
      <c r="AI19" s="807">
        <f t="shared" si="1"/>
        <v>41874.933333333334</v>
      </c>
      <c r="AJ19" s="655">
        <f>VLOOKUP(B19,'[1]Pay sheet-APRIL- 2022'!$C$12:$AF$139,18,0)</f>
        <v>1554.6089999999999</v>
      </c>
      <c r="AK19" s="655">
        <f>VLOOKUP(B19,'[1]Pay sheet-APRIL- 2022'!$C$12:$AF$139,19,0)</f>
        <v>1205.2493959999999</v>
      </c>
      <c r="AL19" s="655">
        <f>VLOOKUP(B19,'[1]Pay sheet-APRIL- 2022'!$C$12:$AF$139,20,0)</f>
        <v>2088.0966666666668</v>
      </c>
      <c r="AM19" s="968">
        <v>0</v>
      </c>
      <c r="AN19" s="866">
        <f t="shared" si="4"/>
        <v>46722.888395999995</v>
      </c>
      <c r="AO19" s="725">
        <v>0</v>
      </c>
      <c r="AP19" s="655">
        <f>VLOOKUP(B19,'[1]Pay sheet-APRIL- 2022'!$C$12:$AF$139,26,0)</f>
        <v>1800</v>
      </c>
      <c r="AQ19" s="655">
        <f>VLOOKUP(B19,'[1]Pay sheet-APRIL- 2022'!$C$12:$AF$139,25,0)</f>
        <v>200</v>
      </c>
      <c r="AR19" s="655">
        <f>VLOOKUP(B19,'[1]Pay sheet-APRIL- 2022'!$C$12:$AF$139,24,0)</f>
        <v>0</v>
      </c>
      <c r="AS19" s="655">
        <f>VLOOKUP(B19,'[1]Pay sheet-APRIL- 2022'!$C$12:$AF$139,27,0)</f>
        <v>391.787848</v>
      </c>
      <c r="AT19" s="971">
        <f t="shared" si="5"/>
        <v>2391.7878479999999</v>
      </c>
      <c r="AU19" s="916">
        <f t="shared" si="2"/>
        <v>44331.100547999995</v>
      </c>
      <c r="AV19" s="921" t="s">
        <v>750</v>
      </c>
      <c r="AW19" s="650" t="s">
        <v>577</v>
      </c>
      <c r="AX19" s="983" t="s">
        <v>604</v>
      </c>
      <c r="AY19" s="507"/>
      <c r="BA19" s="7">
        <v>4</v>
      </c>
    </row>
    <row r="20" spans="1:53" ht="18" customHeight="1">
      <c r="A20" s="512">
        <v>35</v>
      </c>
      <c r="B20" s="648" t="s">
        <v>652</v>
      </c>
      <c r="C20" s="955" t="s">
        <v>630</v>
      </c>
      <c r="D20" s="549" t="s">
        <v>636</v>
      </c>
      <c r="E20" s="512" t="s">
        <v>484</v>
      </c>
      <c r="F20" s="627" t="s">
        <v>637</v>
      </c>
      <c r="G20" s="673" t="s">
        <v>639</v>
      </c>
      <c r="H20" s="1031" t="s">
        <v>638</v>
      </c>
      <c r="I20" s="1031"/>
      <c r="J20" s="1031"/>
      <c r="K20" s="630" t="s">
        <v>638</v>
      </c>
      <c r="L20" s="512" t="s">
        <v>619</v>
      </c>
      <c r="M20" s="512" t="s">
        <v>619</v>
      </c>
      <c r="N20" s="512" t="s">
        <v>619</v>
      </c>
      <c r="O20" s="669">
        <v>44487</v>
      </c>
      <c r="P20" s="512"/>
      <c r="Q20" s="512"/>
      <c r="R20" s="512"/>
      <c r="S20" s="512"/>
      <c r="T20" s="860" t="s">
        <v>649</v>
      </c>
      <c r="U20" s="652" t="s">
        <v>37</v>
      </c>
      <c r="V20" s="650" t="s">
        <v>630</v>
      </c>
      <c r="W20" s="654">
        <v>30</v>
      </c>
      <c r="X20" s="965">
        <f>VLOOKUP(B20,'[1]Pay sheet-APRIL- 2022'!$C$12:$AF$139,10,0)</f>
        <v>28</v>
      </c>
      <c r="Y20" s="663" t="s">
        <v>37</v>
      </c>
      <c r="Z20" s="655">
        <f>VLOOKUP(B20,'[2]Pay sheet-JAN- 2021'!$C$18:$AF$125,6,0)</f>
        <v>58959</v>
      </c>
      <c r="AA20" s="806">
        <f>VLOOKUP(B20,'[1]Pay sheet-APRIL- 2022'!$C$12:$AF$139,11,0)</f>
        <v>33017.040000000001</v>
      </c>
      <c r="AB20" s="664">
        <v>0</v>
      </c>
      <c r="AC20" s="664">
        <v>0</v>
      </c>
      <c r="AD20" s="724">
        <f t="shared" si="3"/>
        <v>22124.36</v>
      </c>
      <c r="AE20" s="655">
        <f>VLOOKUP(B20,'[1]Pay sheet-APRIL- 2022'!$C$12:$AF$139,12,0)</f>
        <v>13206.816000000001</v>
      </c>
      <c r="AF20" s="655">
        <f>VLOOKUP(B20,'[1]Pay sheet-APRIL- 2022'!$C$12:$AF$139,13,0)</f>
        <v>1944</v>
      </c>
      <c r="AG20" s="655">
        <f>VLOOKUP(B20,'[1]Pay sheet-APRIL- 2022'!$C$12:$AF$139,14,0)</f>
        <v>1944</v>
      </c>
      <c r="AH20" s="655">
        <f>VLOOKUP(B20,'[1]Pay sheet-APRIL- 2022'!$C$12:$AF$139,15,0)</f>
        <v>5029.5440000000017</v>
      </c>
      <c r="AI20" s="807">
        <f t="shared" si="1"/>
        <v>55141.4</v>
      </c>
      <c r="AJ20" s="655">
        <f>VLOOKUP(B20,'[1]Pay sheet-APRIL- 2022'!$C$12:$AF$139,18,0)</f>
        <v>1554.6089999999999</v>
      </c>
      <c r="AK20" s="655">
        <f>VLOOKUP(B20,'[1]Pay sheet-APRIL- 2022'!$C$12:$AF$139,19,0)</f>
        <v>1588.1196239999999</v>
      </c>
      <c r="AL20" s="655">
        <f>VLOOKUP(B20,'[1]Pay sheet-APRIL- 2022'!$C$12:$AF$139,20,0)</f>
        <v>2751.42</v>
      </c>
      <c r="AM20" s="968">
        <v>0</v>
      </c>
      <c r="AN20" s="866">
        <f t="shared" si="4"/>
        <v>61035.548623999995</v>
      </c>
      <c r="AO20" s="725">
        <v>0</v>
      </c>
      <c r="AP20" s="655">
        <f>VLOOKUP(B20,'[1]Pay sheet-APRIL- 2022'!$C$12:$AF$139,26,0)</f>
        <v>1800</v>
      </c>
      <c r="AQ20" s="655">
        <f>VLOOKUP(B20,'[1]Pay sheet-APRIL- 2022'!$C$12:$AF$139,25,0)</f>
        <v>200</v>
      </c>
      <c r="AR20" s="655">
        <f>VLOOKUP(B20,'[1]Pay sheet-APRIL- 2022'!$C$12:$AF$139,24,0)</f>
        <v>0</v>
      </c>
      <c r="AS20" s="655">
        <f>VLOOKUP(B20,'[1]Pay sheet-APRIL- 2022'!$C$12:$AF$139,27,0)</f>
        <v>254</v>
      </c>
      <c r="AT20" s="971">
        <f t="shared" si="5"/>
        <v>2254</v>
      </c>
      <c r="AU20" s="916">
        <f t="shared" si="2"/>
        <v>58781.548623999995</v>
      </c>
      <c r="AV20" s="921" t="s">
        <v>750</v>
      </c>
      <c r="AW20" s="642" t="s">
        <v>643</v>
      </c>
      <c r="AX20" s="646" t="s">
        <v>644</v>
      </c>
      <c r="AY20" s="643"/>
      <c r="AZ20" s="551"/>
      <c r="BA20" s="7">
        <v>7</v>
      </c>
    </row>
    <row r="21" spans="1:53" s="550" customFormat="1" ht="18" customHeight="1">
      <c r="A21" s="512">
        <v>38</v>
      </c>
      <c r="B21" s="800" t="s">
        <v>670</v>
      </c>
      <c r="C21" s="955" t="s">
        <v>669</v>
      </c>
      <c r="D21" s="811">
        <v>33656</v>
      </c>
      <c r="E21" s="660" t="s">
        <v>477</v>
      </c>
      <c r="F21" s="792" t="s">
        <v>671</v>
      </c>
      <c r="G21" s="793" t="s">
        <v>674</v>
      </c>
      <c r="H21" s="794" t="s">
        <v>672</v>
      </c>
      <c r="I21" s="1032" t="s">
        <v>672</v>
      </c>
      <c r="J21" s="1033"/>
      <c r="K21" s="1034"/>
      <c r="L21" s="795" t="s">
        <v>659</v>
      </c>
      <c r="M21" s="795" t="s">
        <v>659</v>
      </c>
      <c r="N21" s="795" t="s">
        <v>659</v>
      </c>
      <c r="O21" s="796">
        <v>44546</v>
      </c>
      <c r="P21" s="795"/>
      <c r="Q21" s="795"/>
      <c r="R21" s="795"/>
      <c r="S21" s="795"/>
      <c r="T21" s="863" t="s">
        <v>673</v>
      </c>
      <c r="U21" s="661" t="s">
        <v>37</v>
      </c>
      <c r="V21" s="864" t="s">
        <v>669</v>
      </c>
      <c r="W21" s="654">
        <v>30</v>
      </c>
      <c r="X21" s="655">
        <f>VLOOKUP(B21,'[1]Pay sheet-APRIL- 2022'!$C$12:$AF$139,10,0)</f>
        <v>30</v>
      </c>
      <c r="Y21" s="663" t="s">
        <v>37</v>
      </c>
      <c r="Z21" s="655">
        <f>VLOOKUP(B21,'[2]Pay sheet-JAN- 2021'!$C$18:$AF$125,6,0)</f>
        <v>77497</v>
      </c>
      <c r="AA21" s="806">
        <f>VLOOKUP(B21,'[1]Pay sheet-APRIL- 2022'!$C$12:$AF$139,11,0)</f>
        <v>46498.2</v>
      </c>
      <c r="AB21" s="664">
        <v>0</v>
      </c>
      <c r="AC21" s="664">
        <v>0</v>
      </c>
      <c r="AD21" s="724">
        <f t="shared" si="3"/>
        <v>31111.800000000003</v>
      </c>
      <c r="AE21" s="655">
        <f>VLOOKUP(B21,'[1]Pay sheet-APRIL- 2022'!$C$12:$AF$139,12,0)</f>
        <v>18599.28</v>
      </c>
      <c r="AF21" s="655">
        <f>VLOOKUP(B21,'[1]Pay sheet-APRIL- 2022'!$C$12:$AF$139,13,0)</f>
        <v>2083</v>
      </c>
      <c r="AG21" s="655">
        <f>VLOOKUP(B21,'[1]Pay sheet-APRIL- 2022'!$C$12:$AF$139,14,0)</f>
        <v>2083</v>
      </c>
      <c r="AH21" s="655">
        <f>VLOOKUP(B21,'[1]Pay sheet-APRIL- 2022'!$C$12:$AF$139,15,0)</f>
        <v>8346.5200000000041</v>
      </c>
      <c r="AI21" s="807">
        <f t="shared" si="1"/>
        <v>77610</v>
      </c>
      <c r="AJ21" s="655">
        <f>VLOOKUP(B21,'[1]Pay sheet-APRIL- 2022'!$C$12:$AF$139,18,0)</f>
        <v>1554.6089999999999</v>
      </c>
      <c r="AK21" s="655">
        <f>VLOOKUP(B21,'[1]Pay sheet-APRIL- 2022'!$C$12:$AF$139,19,0)</f>
        <v>2236.56342</v>
      </c>
      <c r="AL21" s="655">
        <f>VLOOKUP(B21,'[1]Pay sheet-APRIL- 2022'!$C$12:$AF$139,20,0)</f>
        <v>3874.85</v>
      </c>
      <c r="AM21" s="968">
        <v>0</v>
      </c>
      <c r="AN21" s="866">
        <f t="shared" si="4"/>
        <v>85276.022420000008</v>
      </c>
      <c r="AO21" s="725">
        <v>0</v>
      </c>
      <c r="AP21" s="655">
        <f>VLOOKUP(B21,'[1]Pay sheet-APRIL- 2022'!$C$12:$AF$139,26,0)</f>
        <v>1800</v>
      </c>
      <c r="AQ21" s="655">
        <f>VLOOKUP(B21,'[1]Pay sheet-APRIL- 2022'!$C$12:$AF$139,25,0)</f>
        <v>200</v>
      </c>
      <c r="AR21" s="655">
        <f>VLOOKUP(B21,'[1]Pay sheet-APRIL- 2022'!$C$12:$AF$139,24,0)</f>
        <v>0</v>
      </c>
      <c r="AS21" s="655">
        <f>VLOOKUP(B21,'[1]Pay sheet-APRIL- 2022'!$C$12:$AF$139,27,0)</f>
        <v>283</v>
      </c>
      <c r="AT21" s="971">
        <f t="shared" si="5"/>
        <v>2283</v>
      </c>
      <c r="AU21" s="916">
        <f t="shared" si="2"/>
        <v>82993.022420000008</v>
      </c>
      <c r="AV21" s="921" t="s">
        <v>750</v>
      </c>
      <c r="AW21" s="642" t="s">
        <v>662</v>
      </c>
      <c r="AX21" s="797" t="s">
        <v>675</v>
      </c>
      <c r="AY21" s="549"/>
      <c r="BA21" s="7">
        <v>8</v>
      </c>
    </row>
    <row r="22" spans="1:53" ht="18" customHeight="1">
      <c r="A22" s="360">
        <v>39</v>
      </c>
      <c r="B22" s="816" t="s">
        <v>678</v>
      </c>
      <c r="C22" s="960" t="s">
        <v>676</v>
      </c>
      <c r="D22" s="819" t="s">
        <v>690</v>
      </c>
      <c r="E22" s="814" t="s">
        <v>484</v>
      </c>
      <c r="F22" s="820" t="s">
        <v>691</v>
      </c>
      <c r="G22" s="815" t="s">
        <v>680</v>
      </c>
      <c r="H22" s="822" t="s">
        <v>692</v>
      </c>
      <c r="I22" s="640" t="s">
        <v>659</v>
      </c>
      <c r="J22" s="640" t="s">
        <v>659</v>
      </c>
      <c r="K22" s="821" t="s">
        <v>693</v>
      </c>
      <c r="L22" s="799" t="s">
        <v>659</v>
      </c>
      <c r="M22" s="799" t="s">
        <v>659</v>
      </c>
      <c r="N22" s="799" t="s">
        <v>659</v>
      </c>
      <c r="O22" s="808">
        <v>44566</v>
      </c>
      <c r="P22" s="507"/>
      <c r="Q22" s="507"/>
      <c r="R22" s="507"/>
      <c r="S22" s="507"/>
      <c r="T22" s="861" t="s">
        <v>681</v>
      </c>
      <c r="U22" s="661" t="s">
        <v>37</v>
      </c>
      <c r="V22" s="507" t="str">
        <f>C22</f>
        <v>Sneha Hande</v>
      </c>
      <c r="W22" s="654">
        <v>30</v>
      </c>
      <c r="X22" s="655">
        <f>VLOOKUP(B22,'[1]Pay sheet-APRIL- 2022'!$C$12:$AF$139,10,0)</f>
        <v>30</v>
      </c>
      <c r="Y22" s="663" t="s">
        <v>37</v>
      </c>
      <c r="Z22" s="655">
        <f>VLOOKUP(B22,'[2]Pay sheet-JAN- 2021'!$C$18:$AF$125,6,0)</f>
        <v>50617</v>
      </c>
      <c r="AA22" s="806">
        <f>VLOOKUP(B22,'[1]Pay sheet-APRIL- 2022'!$C$12:$AF$139,11,0)</f>
        <v>30370.2</v>
      </c>
      <c r="AB22" s="664">
        <v>0</v>
      </c>
      <c r="AC22" s="664">
        <v>0</v>
      </c>
      <c r="AD22" s="724">
        <f t="shared" si="3"/>
        <v>20359.800000000003</v>
      </c>
      <c r="AE22" s="655">
        <f>VLOOKUP(B22,'[1]Pay sheet-APRIL- 2022'!$C$12:$AF$139,12,0)</f>
        <v>12148.080000000002</v>
      </c>
      <c r="AF22" s="655">
        <f>VLOOKUP(B22,'[1]Pay sheet-APRIL- 2022'!$C$12:$AF$139,13,0)</f>
        <v>2083</v>
      </c>
      <c r="AG22" s="655">
        <f>VLOOKUP(B22,'[1]Pay sheet-APRIL- 2022'!$C$12:$AF$139,14,0)</f>
        <v>2083</v>
      </c>
      <c r="AH22" s="655">
        <f>VLOOKUP(B22,'[1]Pay sheet-APRIL- 2022'!$C$12:$AF$139,15,0)</f>
        <v>4045.7200000000012</v>
      </c>
      <c r="AI22" s="807">
        <f t="shared" si="1"/>
        <v>50730</v>
      </c>
      <c r="AJ22" s="655">
        <f>VLOOKUP(B22,'[1]Pay sheet-APRIL- 2022'!$C$12:$AF$139,18,0)</f>
        <v>1554.6089999999999</v>
      </c>
      <c r="AK22" s="655">
        <f>VLOOKUP(B22,'[1]Pay sheet-APRIL- 2022'!$C$12:$AF$139,19,0)</f>
        <v>1460.8066199999998</v>
      </c>
      <c r="AL22" s="655">
        <f>VLOOKUP(B22,'[1]Pay sheet-APRIL- 2022'!$C$12:$AF$139,20,0)</f>
        <v>2530.85</v>
      </c>
      <c r="AM22" s="968">
        <v>0</v>
      </c>
      <c r="AN22" s="866">
        <f t="shared" si="4"/>
        <v>56276.265619999998</v>
      </c>
      <c r="AO22" s="725">
        <v>0</v>
      </c>
      <c r="AP22" s="655">
        <f>VLOOKUP(B22,'[1]Pay sheet-APRIL- 2022'!$C$12:$AF$139,26,0)</f>
        <v>1800</v>
      </c>
      <c r="AQ22" s="655">
        <f>VLOOKUP(B22,'[1]Pay sheet-APRIL- 2022'!$C$12:$AF$139,25,0)</f>
        <v>200</v>
      </c>
      <c r="AR22" s="655">
        <f>VLOOKUP(B22,'[1]Pay sheet-APRIL- 2022'!$C$12:$AF$139,24,0)</f>
        <v>0</v>
      </c>
      <c r="AS22" s="655">
        <f>VLOOKUP(B22,'[1]Pay sheet-APRIL- 2022'!$C$12:$AF$139,27,0)</f>
        <v>283</v>
      </c>
      <c r="AT22" s="971">
        <f t="shared" si="5"/>
        <v>2283</v>
      </c>
      <c r="AU22" s="916">
        <f t="shared" si="2"/>
        <v>53993.265619999998</v>
      </c>
      <c r="AV22" s="921" t="s">
        <v>750</v>
      </c>
      <c r="AW22" s="642" t="s">
        <v>662</v>
      </c>
      <c r="AX22" s="797" t="s">
        <v>682</v>
      </c>
      <c r="AY22" s="507"/>
      <c r="BA22" s="7">
        <v>9</v>
      </c>
    </row>
    <row r="23" spans="1:53" ht="18" customHeight="1">
      <c r="A23" s="626">
        <v>40</v>
      </c>
      <c r="B23" s="722" t="s">
        <v>679</v>
      </c>
      <c r="C23" s="961" t="s">
        <v>677</v>
      </c>
      <c r="D23" s="818" t="s">
        <v>689</v>
      </c>
      <c r="E23" s="512" t="s">
        <v>477</v>
      </c>
      <c r="F23" s="813" t="s">
        <v>686</v>
      </c>
      <c r="G23" s="629" t="s">
        <v>565</v>
      </c>
      <c r="H23" s="817" t="s">
        <v>688</v>
      </c>
      <c r="I23" s="640" t="s">
        <v>659</v>
      </c>
      <c r="J23" s="640" t="s">
        <v>659</v>
      </c>
      <c r="K23" s="854" t="s">
        <v>687</v>
      </c>
      <c r="L23" s="640" t="s">
        <v>659</v>
      </c>
      <c r="M23" s="640" t="s">
        <v>659</v>
      </c>
      <c r="N23" s="640" t="s">
        <v>659</v>
      </c>
      <c r="O23" s="808">
        <v>44579</v>
      </c>
      <c r="P23" s="507"/>
      <c r="Q23" s="507"/>
      <c r="R23" s="507"/>
      <c r="S23" s="507"/>
      <c r="T23" s="861" t="s">
        <v>683</v>
      </c>
      <c r="U23" s="652" t="s">
        <v>37</v>
      </c>
      <c r="V23" s="507" t="str">
        <f>C23</f>
        <v xml:space="preserve">Amol Gole </v>
      </c>
      <c r="W23" s="654">
        <v>30</v>
      </c>
      <c r="X23" s="655">
        <f>VLOOKUP(B23,'[1]Pay sheet-APRIL- 2022'!$C$12:$AF$139,10,0)</f>
        <v>30</v>
      </c>
      <c r="Y23" s="663" t="s">
        <v>37</v>
      </c>
      <c r="Z23" s="655">
        <f>VLOOKUP(B23,'[2]Pay sheet-JAN- 2021'!$C$18:$AF$125,6,0)</f>
        <v>66374</v>
      </c>
      <c r="AA23" s="806">
        <f>VLOOKUP(B23,'[1]Pay sheet-APRIL- 2022'!$C$12:$AF$139,11,0)</f>
        <v>39824.400000000001</v>
      </c>
      <c r="AB23" s="657">
        <v>0</v>
      </c>
      <c r="AC23" s="657">
        <v>0</v>
      </c>
      <c r="AD23" s="724">
        <f t="shared" si="3"/>
        <v>26662.6</v>
      </c>
      <c r="AE23" s="655">
        <f>VLOOKUP(B23,'[1]Pay sheet-APRIL- 2022'!$C$12:$AF$139,12,0)</f>
        <v>15929.760000000002</v>
      </c>
      <c r="AF23" s="655">
        <f>VLOOKUP(B23,'[1]Pay sheet-APRIL- 2022'!$C$12:$AF$139,13,0)</f>
        <v>2083</v>
      </c>
      <c r="AG23" s="655">
        <f>VLOOKUP(B23,'[1]Pay sheet-APRIL- 2022'!$C$12:$AF$139,14,0)</f>
        <v>2083</v>
      </c>
      <c r="AH23" s="655">
        <f>VLOOKUP(B23,'[1]Pay sheet-APRIL- 2022'!$C$12:$AF$139,15,0)</f>
        <v>6566.8399999999965</v>
      </c>
      <c r="AI23" s="807">
        <f t="shared" si="1"/>
        <v>66487</v>
      </c>
      <c r="AJ23" s="655">
        <f>VLOOKUP(B23,'[1]Pay sheet-APRIL- 2022'!$C$12:$AF$139,18,0)</f>
        <v>1554.6089999999999</v>
      </c>
      <c r="AK23" s="655">
        <f>VLOOKUP(B23,'[1]Pay sheet-APRIL- 2022'!$C$12:$AF$139,19,0)</f>
        <v>1915.5536400000001</v>
      </c>
      <c r="AL23" s="655">
        <f>VLOOKUP(B23,'[1]Pay sheet-APRIL- 2022'!$C$12:$AF$139,20,0)</f>
        <v>3318.7000000000003</v>
      </c>
      <c r="AM23" s="968">
        <v>0</v>
      </c>
      <c r="AN23" s="866">
        <f t="shared" si="4"/>
        <v>73275.862639999992</v>
      </c>
      <c r="AO23" s="724">
        <v>0</v>
      </c>
      <c r="AP23" s="655">
        <f>VLOOKUP(B23,'[1]Pay sheet-APRIL- 2022'!$C$12:$AF$139,26,0)</f>
        <v>1800</v>
      </c>
      <c r="AQ23" s="655">
        <f>VLOOKUP(B23,'[1]Pay sheet-APRIL- 2022'!$C$12:$AF$139,25,0)</f>
        <v>200</v>
      </c>
      <c r="AR23" s="655">
        <f>VLOOKUP(B23,'[1]Pay sheet-APRIL- 2022'!$C$12:$AF$139,24,0)</f>
        <v>0</v>
      </c>
      <c r="AS23" s="655">
        <f>VLOOKUP(B23,'[1]Pay sheet-APRIL- 2022'!$C$12:$AF$139,27,0)</f>
        <v>283</v>
      </c>
      <c r="AT23" s="971">
        <f t="shared" si="5"/>
        <v>2283</v>
      </c>
      <c r="AU23" s="916">
        <f t="shared" si="2"/>
        <v>70992.862639999992</v>
      </c>
      <c r="AV23" s="921" t="s">
        <v>750</v>
      </c>
      <c r="AW23" s="507" t="s">
        <v>662</v>
      </c>
      <c r="AX23" s="720" t="s">
        <v>684</v>
      </c>
      <c r="AY23" s="507"/>
      <c r="BA23" s="7">
        <v>10</v>
      </c>
    </row>
    <row r="24" spans="1:53" ht="18" customHeight="1">
      <c r="A24" s="360">
        <v>41</v>
      </c>
      <c r="B24" s="843" t="s">
        <v>697</v>
      </c>
      <c r="C24" s="960" t="s">
        <v>694</v>
      </c>
      <c r="D24" s="873">
        <v>28764</v>
      </c>
      <c r="E24" s="512" t="s">
        <v>477</v>
      </c>
      <c r="F24" s="640" t="s">
        <v>705</v>
      </c>
      <c r="G24" s="855" t="s">
        <v>700</v>
      </c>
      <c r="H24" s="640" t="s">
        <v>707</v>
      </c>
      <c r="I24" s="640" t="s">
        <v>708</v>
      </c>
      <c r="J24" s="640" t="s">
        <v>709</v>
      </c>
      <c r="K24" s="640" t="s">
        <v>706</v>
      </c>
      <c r="L24" s="640" t="s">
        <v>659</v>
      </c>
      <c r="M24" s="640" t="s">
        <v>659</v>
      </c>
      <c r="N24" s="640" t="s">
        <v>659</v>
      </c>
      <c r="O24" s="842">
        <v>44593</v>
      </c>
      <c r="P24" s="507"/>
      <c r="Q24" s="507"/>
      <c r="R24" s="507"/>
      <c r="S24" s="507"/>
      <c r="T24" s="862" t="s">
        <v>701</v>
      </c>
      <c r="U24" s="652" t="s">
        <v>37</v>
      </c>
      <c r="V24" s="841" t="s">
        <v>694</v>
      </c>
      <c r="W24" s="654">
        <v>30</v>
      </c>
      <c r="X24" s="655">
        <f>VLOOKUP(B24,'[1]Pay sheet-APRIL- 2022'!$C$12:$AF$139,10,0)</f>
        <v>30</v>
      </c>
      <c r="Y24" s="663" t="s">
        <v>37</v>
      </c>
      <c r="Z24" s="865">
        <v>172968</v>
      </c>
      <c r="AA24" s="806">
        <f>VLOOKUP(B24,'[1]Pay sheet-APRIL- 2022'!$C$12:$AF$139,11,0)</f>
        <v>103780.8</v>
      </c>
      <c r="AB24" s="657">
        <v>0</v>
      </c>
      <c r="AC24" s="657">
        <v>0</v>
      </c>
      <c r="AD24" s="724">
        <f t="shared" si="3"/>
        <v>69300.200000000012</v>
      </c>
      <c r="AE24" s="655">
        <f>VLOOKUP(B24,'[1]Pay sheet-APRIL- 2022'!$C$12:$AF$139,12,0)</f>
        <v>41512.320000000007</v>
      </c>
      <c r="AF24" s="655">
        <f>VLOOKUP(B24,'[1]Pay sheet-APRIL- 2022'!$C$12:$AF$139,13,0)</f>
        <v>2083</v>
      </c>
      <c r="AG24" s="655">
        <f>VLOOKUP(B24,'[1]Pay sheet-APRIL- 2022'!$C$12:$AF$139,14,0)</f>
        <v>2083</v>
      </c>
      <c r="AH24" s="655">
        <f>VLOOKUP(B24,'[1]Pay sheet-APRIL- 2022'!$C$12:$AF$139,15,0)</f>
        <v>23621.880000000005</v>
      </c>
      <c r="AI24" s="807">
        <f t="shared" si="1"/>
        <v>173081</v>
      </c>
      <c r="AJ24" s="655">
        <f>VLOOKUP(B24,'[1]Pay sheet-APRIL- 2022'!$C$12:$AF$139,18,0)</f>
        <v>1554.6089999999999</v>
      </c>
      <c r="AK24" s="655">
        <f>VLOOKUP(B24,'[1]Pay sheet-APRIL- 2022'!$C$12:$AF$139,19,0)</f>
        <v>4991.8564799999995</v>
      </c>
      <c r="AL24" s="655">
        <f>VLOOKUP(B24,'[1]Pay sheet-APRIL- 2022'!$C$12:$AF$139,20,0)</f>
        <v>8648.4</v>
      </c>
      <c r="AM24" s="968">
        <v>0</v>
      </c>
      <c r="AN24" s="866">
        <f t="shared" si="4"/>
        <v>188275.86547999998</v>
      </c>
      <c r="AO24" s="969"/>
      <c r="AP24" s="655">
        <f>VLOOKUP(B24,'[1]Pay sheet-APRIL- 2022'!$C$12:$AF$139,26,0)</f>
        <v>1800</v>
      </c>
      <c r="AQ24" s="655">
        <f>VLOOKUP(B24,'[1]Pay sheet-APRIL- 2022'!$C$12:$AF$139,25,0)</f>
        <v>200</v>
      </c>
      <c r="AR24" s="655">
        <f>VLOOKUP(B24,'[1]Pay sheet-APRIL- 2022'!$C$12:$AF$139,24,0)</f>
        <v>0</v>
      </c>
      <c r="AS24" s="655">
        <f>VLOOKUP(B24,'[1]Pay sheet-APRIL- 2022'!$C$12:$AF$139,27,0)</f>
        <v>283</v>
      </c>
      <c r="AT24" s="971">
        <f t="shared" si="5"/>
        <v>2283</v>
      </c>
      <c r="AU24" s="916">
        <f t="shared" si="2"/>
        <v>185992.86547999998</v>
      </c>
      <c r="AV24" s="921" t="s">
        <v>750</v>
      </c>
      <c r="AW24" s="507" t="s">
        <v>703</v>
      </c>
      <c r="AX24" s="720" t="s">
        <v>704</v>
      </c>
      <c r="AY24" s="507"/>
      <c r="BA24" s="7">
        <v>11</v>
      </c>
    </row>
    <row r="25" spans="1:53" ht="18" customHeight="1">
      <c r="A25" s="626">
        <v>42</v>
      </c>
      <c r="B25" s="843" t="s">
        <v>698</v>
      </c>
      <c r="C25" s="960" t="s">
        <v>695</v>
      </c>
      <c r="D25" s="873">
        <v>31778</v>
      </c>
      <c r="E25" s="512" t="s">
        <v>477</v>
      </c>
      <c r="F25" s="640" t="s">
        <v>710</v>
      </c>
      <c r="G25" s="855" t="s">
        <v>711</v>
      </c>
      <c r="H25" s="7" t="s">
        <v>716</v>
      </c>
      <c r="I25" s="640" t="s">
        <v>717</v>
      </c>
      <c r="J25" s="640" t="s">
        <v>718</v>
      </c>
      <c r="K25" s="640" t="s">
        <v>715</v>
      </c>
      <c r="L25" s="640" t="s">
        <v>659</v>
      </c>
      <c r="M25" s="640" t="s">
        <v>659</v>
      </c>
      <c r="N25" s="640" t="s">
        <v>659</v>
      </c>
      <c r="O25" s="842">
        <v>44609</v>
      </c>
      <c r="P25" s="507"/>
      <c r="Q25" s="507"/>
      <c r="R25" s="507"/>
      <c r="S25" s="507"/>
      <c r="T25" s="874" t="s">
        <v>712</v>
      </c>
      <c r="U25" s="652" t="s">
        <v>37</v>
      </c>
      <c r="V25" s="841" t="s">
        <v>695</v>
      </c>
      <c r="W25" s="654">
        <v>30</v>
      </c>
      <c r="X25" s="655">
        <f>VLOOKUP(B25,'[1]Pay sheet-APRIL- 2022'!$C$12:$AF$139,10,0)</f>
        <v>30</v>
      </c>
      <c r="Y25" s="663" t="s">
        <v>37</v>
      </c>
      <c r="Z25" s="868">
        <v>112719</v>
      </c>
      <c r="AA25" s="806">
        <f>VLOOKUP(B25,'[1]Pay sheet-APRIL- 2022'!$C$12:$AF$139,11,0)</f>
        <v>67631.399999999994</v>
      </c>
      <c r="AB25" s="657">
        <v>0</v>
      </c>
      <c r="AC25" s="657">
        <v>0</v>
      </c>
      <c r="AD25" s="724">
        <f t="shared" si="3"/>
        <v>45200.600000000006</v>
      </c>
      <c r="AE25" s="655">
        <f>VLOOKUP(B25,'[1]Pay sheet-APRIL- 2022'!$C$12:$AF$139,12,0)</f>
        <v>27052.559999999998</v>
      </c>
      <c r="AF25" s="655">
        <f>VLOOKUP(B25,'[1]Pay sheet-APRIL- 2022'!$C$12:$AF$139,13,0)</f>
        <v>2083</v>
      </c>
      <c r="AG25" s="655">
        <f>VLOOKUP(B25,'[1]Pay sheet-APRIL- 2022'!$C$12:$AF$139,14,0)</f>
        <v>2083</v>
      </c>
      <c r="AH25" s="655">
        <f>VLOOKUP(B25,'[1]Pay sheet-APRIL- 2022'!$C$12:$AF$139,15,0)</f>
        <v>13982.040000000008</v>
      </c>
      <c r="AI25" s="807">
        <f t="shared" si="1"/>
        <v>112832</v>
      </c>
      <c r="AJ25" s="655">
        <f>VLOOKUP(B25,'[1]Pay sheet-APRIL- 2022'!$C$12:$AF$139,18,0)</f>
        <v>1554.6089999999999</v>
      </c>
      <c r="AK25" s="655">
        <f>VLOOKUP(B25,'[1]Pay sheet-APRIL- 2022'!$C$12:$AF$139,19,0)</f>
        <v>3253.0703399999993</v>
      </c>
      <c r="AL25" s="655">
        <f>VLOOKUP(B25,'[1]Pay sheet-APRIL- 2022'!$C$12:$AF$139,20,0)</f>
        <v>5635.95</v>
      </c>
      <c r="AM25" s="968">
        <v>0</v>
      </c>
      <c r="AN25" s="866">
        <f t="shared" si="4"/>
        <v>123275.62934</v>
      </c>
      <c r="AO25" s="969"/>
      <c r="AP25" s="655">
        <f>VLOOKUP(B25,'[1]Pay sheet-APRIL- 2022'!$C$12:$AF$139,26,0)</f>
        <v>1800</v>
      </c>
      <c r="AQ25" s="655">
        <f>VLOOKUP(B25,'[1]Pay sheet-APRIL- 2022'!$C$12:$AF$139,25,0)</f>
        <v>200</v>
      </c>
      <c r="AR25" s="655">
        <f>VLOOKUP(B25,'[1]Pay sheet-APRIL- 2022'!$C$12:$AF$139,24,0)</f>
        <v>0</v>
      </c>
      <c r="AS25" s="655">
        <f>VLOOKUP(B25,'[1]Pay sheet-APRIL- 2022'!$C$12:$AF$139,27,0)</f>
        <v>283</v>
      </c>
      <c r="AT25" s="971">
        <f t="shared" si="5"/>
        <v>2283</v>
      </c>
      <c r="AU25" s="916">
        <f t="shared" si="2"/>
        <v>120992.62934</v>
      </c>
      <c r="AV25" s="921" t="s">
        <v>750</v>
      </c>
      <c r="AW25" s="507" t="s">
        <v>662</v>
      </c>
      <c r="AX25" s="720" t="s">
        <v>713</v>
      </c>
      <c r="AY25" s="507"/>
      <c r="BA25" s="7">
        <v>12</v>
      </c>
    </row>
    <row r="26" spans="1:53" ht="18" customHeight="1">
      <c r="A26" s="360">
        <v>43</v>
      </c>
      <c r="B26" s="843" t="s">
        <v>699</v>
      </c>
      <c r="C26" s="960" t="s">
        <v>696</v>
      </c>
      <c r="D26" s="873">
        <v>34895</v>
      </c>
      <c r="E26" s="462" t="s">
        <v>484</v>
      </c>
      <c r="F26" s="640" t="s">
        <v>719</v>
      </c>
      <c r="G26" s="640" t="s">
        <v>723</v>
      </c>
      <c r="H26" s="640" t="s">
        <v>720</v>
      </c>
      <c r="I26" s="640" t="s">
        <v>721</v>
      </c>
      <c r="J26" s="640" t="s">
        <v>722</v>
      </c>
      <c r="K26" s="640" t="s">
        <v>720</v>
      </c>
      <c r="L26" s="640" t="s">
        <v>659</v>
      </c>
      <c r="M26" s="640" t="s">
        <v>659</v>
      </c>
      <c r="N26" s="640" t="s">
        <v>659</v>
      </c>
      <c r="O26" s="842">
        <v>44613</v>
      </c>
      <c r="P26" s="507"/>
      <c r="Q26" s="507"/>
      <c r="R26" s="507"/>
      <c r="S26" s="507"/>
      <c r="T26" s="867" t="s">
        <v>659</v>
      </c>
      <c r="U26" s="652" t="s">
        <v>37</v>
      </c>
      <c r="V26" s="841" t="s">
        <v>696</v>
      </c>
      <c r="W26" s="654">
        <v>30</v>
      </c>
      <c r="X26" s="655">
        <f>VLOOKUP(B26,'[1]Pay sheet-APRIL- 2022'!$C$12:$AF$139,10,0)</f>
        <v>30</v>
      </c>
      <c r="Y26" s="656" t="s">
        <v>37</v>
      </c>
      <c r="Z26" s="865">
        <v>103450</v>
      </c>
      <c r="AA26" s="806">
        <f>VLOOKUP(B26,'[1]Pay sheet-APRIL- 2022'!$C$12:$AF$139,11,0)</f>
        <v>62070</v>
      </c>
      <c r="AB26" s="657">
        <v>0</v>
      </c>
      <c r="AC26" s="657">
        <v>0</v>
      </c>
      <c r="AD26" s="724">
        <f t="shared" si="3"/>
        <v>41493</v>
      </c>
      <c r="AE26" s="655">
        <f>VLOOKUP(B26,'[1]Pay sheet-APRIL- 2022'!$C$12:$AF$139,12,0)</f>
        <v>24828</v>
      </c>
      <c r="AF26" s="655">
        <f>VLOOKUP(B26,'[1]Pay sheet-APRIL- 2022'!$C$12:$AF$139,13,0)</f>
        <v>2083</v>
      </c>
      <c r="AG26" s="655">
        <f>VLOOKUP(B26,'[1]Pay sheet-APRIL- 2022'!$C$12:$AF$139,14,0)</f>
        <v>2083</v>
      </c>
      <c r="AH26" s="655">
        <f>VLOOKUP(B26,'[1]Pay sheet-APRIL- 2022'!$C$12:$AF$139,15,0)</f>
        <v>12499</v>
      </c>
      <c r="AI26" s="807">
        <f t="shared" si="1"/>
        <v>103563</v>
      </c>
      <c r="AJ26" s="655">
        <f>VLOOKUP(B26,'[1]Pay sheet-APRIL- 2022'!$C$12:$AF$139,18,0)</f>
        <v>1554.6089999999999</v>
      </c>
      <c r="AK26" s="655">
        <f>VLOOKUP(B26,'[1]Pay sheet-APRIL- 2022'!$C$12:$AF$139,19,0)</f>
        <v>2985.5669999999996</v>
      </c>
      <c r="AL26" s="655">
        <f>VLOOKUP(B26,'[1]Pay sheet-APRIL- 2022'!$C$12:$AF$139,20,0)</f>
        <v>5172.5</v>
      </c>
      <c r="AM26" s="968">
        <v>0</v>
      </c>
      <c r="AN26" s="866">
        <f t="shared" si="4"/>
        <v>113275.67599999999</v>
      </c>
      <c r="AO26" s="969"/>
      <c r="AP26" s="655">
        <f>VLOOKUP(B26,'[1]Pay sheet-APRIL- 2022'!$C$12:$AF$139,26,0)</f>
        <v>0</v>
      </c>
      <c r="AQ26" s="655">
        <f>VLOOKUP(B26,'[1]Pay sheet-APRIL- 2022'!$C$12:$AF$139,25,0)</f>
        <v>200</v>
      </c>
      <c r="AR26" s="655">
        <f>VLOOKUP(B26,'[1]Pay sheet-APRIL- 2022'!$C$12:$AF$139,24,0)</f>
        <v>0</v>
      </c>
      <c r="AS26" s="655">
        <f>VLOOKUP(B26,'[1]Pay sheet-APRIL- 2022'!$C$12:$AF$139,27,0)</f>
        <v>283</v>
      </c>
      <c r="AT26" s="971">
        <f t="shared" si="5"/>
        <v>483</v>
      </c>
      <c r="AU26" s="916">
        <f t="shared" si="2"/>
        <v>112792.67599999999</v>
      </c>
      <c r="AV26" s="921" t="s">
        <v>750</v>
      </c>
      <c r="AW26" s="507" t="s">
        <v>662</v>
      </c>
      <c r="AX26" s="720" t="s">
        <v>724</v>
      </c>
      <c r="AY26" s="507"/>
      <c r="BA26" s="7">
        <v>13</v>
      </c>
    </row>
    <row r="27" spans="1:53" ht="18" customHeight="1">
      <c r="A27" s="626">
        <v>44</v>
      </c>
      <c r="B27" s="843" t="s">
        <v>728</v>
      </c>
      <c r="C27" s="960" t="s">
        <v>725</v>
      </c>
      <c r="D27" s="882">
        <v>34710</v>
      </c>
      <c r="E27" s="877" t="s">
        <v>477</v>
      </c>
      <c r="F27" s="883" t="s">
        <v>734</v>
      </c>
      <c r="G27" s="888" t="s">
        <v>565</v>
      </c>
      <c r="H27" s="877" t="s">
        <v>737</v>
      </c>
      <c r="I27" s="877" t="s">
        <v>738</v>
      </c>
      <c r="J27" s="888" t="s">
        <v>735</v>
      </c>
      <c r="K27" s="888" t="s">
        <v>735</v>
      </c>
      <c r="L27" s="888" t="s">
        <v>735</v>
      </c>
      <c r="M27" s="888" t="s">
        <v>735</v>
      </c>
      <c r="N27" s="888" t="s">
        <v>735</v>
      </c>
      <c r="O27" s="881">
        <v>44634</v>
      </c>
      <c r="P27" s="507"/>
      <c r="Q27" s="507"/>
      <c r="R27" s="507"/>
      <c r="S27" s="507"/>
      <c r="T27" s="874" t="s">
        <v>739</v>
      </c>
      <c r="U27" s="652" t="s">
        <v>37</v>
      </c>
      <c r="V27" s="645" t="s">
        <v>725</v>
      </c>
      <c r="W27" s="654">
        <v>30</v>
      </c>
      <c r="X27" s="965">
        <f>VLOOKUP(B27,'[1]Pay sheet-APRIL- 2022'!$C$12:$AF$139,10,0)</f>
        <v>27</v>
      </c>
      <c r="Y27" s="656" t="s">
        <v>37</v>
      </c>
      <c r="Z27" s="514">
        <v>73789</v>
      </c>
      <c r="AA27" s="806">
        <f>VLOOKUP(B27,'[1]Pay sheet-APRIL- 2022'!$C$12:$AF$139,11,0)</f>
        <v>39846.060000000005</v>
      </c>
      <c r="AB27" s="657">
        <v>0</v>
      </c>
      <c r="AC27" s="657">
        <v>0</v>
      </c>
      <c r="AD27" s="724">
        <f t="shared" si="3"/>
        <v>26677.039999999997</v>
      </c>
      <c r="AE27" s="655">
        <f>VLOOKUP(B27,'[1]Pay sheet-APRIL- 2022'!$C$12:$AF$139,12,0)</f>
        <v>15938.424000000003</v>
      </c>
      <c r="AF27" s="655">
        <f>VLOOKUP(B27,'[1]Pay sheet-APRIL- 2022'!$C$12:$AF$139,13,0)</f>
        <v>1875</v>
      </c>
      <c r="AG27" s="655">
        <f>VLOOKUP(B27,'[1]Pay sheet-APRIL- 2022'!$C$12:$AF$139,14,0)</f>
        <v>1875</v>
      </c>
      <c r="AH27" s="655">
        <f>VLOOKUP(B27,'[1]Pay sheet-APRIL- 2022'!$C$12:$AF$139,15,0)</f>
        <v>6988.6159999999945</v>
      </c>
      <c r="AI27" s="807">
        <f t="shared" si="1"/>
        <v>66523.100000000006</v>
      </c>
      <c r="AJ27" s="655">
        <f>VLOOKUP(B27,'[1]Pay sheet-APRIL- 2022'!$C$12:$AF$139,18,0)</f>
        <v>1554.6089999999999</v>
      </c>
      <c r="AK27" s="655">
        <f>VLOOKUP(B27,'[1]Pay sheet-APRIL- 2022'!$C$12:$AF$139,19,0)</f>
        <v>1916.5954860000002</v>
      </c>
      <c r="AL27" s="655">
        <f>VLOOKUP(B27,'[1]Pay sheet-APRIL- 2022'!$C$12:$AF$139,20,0)</f>
        <v>3320.5050000000006</v>
      </c>
      <c r="AM27" s="968">
        <v>0</v>
      </c>
      <c r="AN27" s="866">
        <f t="shared" si="4"/>
        <v>73314.809486000013</v>
      </c>
      <c r="AO27" s="969"/>
      <c r="AP27" s="655">
        <f>VLOOKUP(B27,'[1]Pay sheet-APRIL- 2022'!$C$12:$AF$139,26,0)</f>
        <v>1800</v>
      </c>
      <c r="AQ27" s="655">
        <f>VLOOKUP(B27,'[1]Pay sheet-APRIL- 2022'!$C$12:$AF$139,25,0)</f>
        <v>200</v>
      </c>
      <c r="AR27" s="655">
        <f>VLOOKUP(B27,'[1]Pay sheet-APRIL- 2022'!$C$12:$AF$139,24,0)</f>
        <v>0</v>
      </c>
      <c r="AS27" s="655">
        <f>VLOOKUP(B27,'[1]Pay sheet-APRIL- 2022'!$C$12:$AF$139,27,0)</f>
        <v>283</v>
      </c>
      <c r="AT27" s="971">
        <f t="shared" si="5"/>
        <v>2283</v>
      </c>
      <c r="AU27" s="916">
        <f t="shared" si="2"/>
        <v>71031.809486000013</v>
      </c>
      <c r="AV27" s="921" t="s">
        <v>750</v>
      </c>
      <c r="AW27" s="507" t="s">
        <v>545</v>
      </c>
      <c r="AX27" s="982" t="s">
        <v>739</v>
      </c>
      <c r="AY27" s="507"/>
      <c r="BA27" s="7">
        <v>14</v>
      </c>
    </row>
    <row r="28" spans="1:53" ht="18" customHeight="1">
      <c r="A28" s="360">
        <v>45</v>
      </c>
      <c r="B28" s="876" t="s">
        <v>729</v>
      </c>
      <c r="C28" s="962" t="s">
        <v>726</v>
      </c>
      <c r="D28" s="884">
        <v>33370</v>
      </c>
      <c r="E28" s="877" t="s">
        <v>477</v>
      </c>
      <c r="F28" s="885" t="s">
        <v>742</v>
      </c>
      <c r="G28" s="888" t="s">
        <v>744</v>
      </c>
      <c r="H28" s="888" t="s">
        <v>743</v>
      </c>
      <c r="I28" s="917" t="s">
        <v>743</v>
      </c>
      <c r="J28" s="888" t="s">
        <v>735</v>
      </c>
      <c r="K28" s="888" t="s">
        <v>735</v>
      </c>
      <c r="L28" s="888" t="s">
        <v>735</v>
      </c>
      <c r="M28" s="888" t="s">
        <v>735</v>
      </c>
      <c r="N28" s="888" t="s">
        <v>735</v>
      </c>
      <c r="O28" s="881">
        <v>44636</v>
      </c>
      <c r="P28" s="507"/>
      <c r="Q28" s="507"/>
      <c r="R28" s="507"/>
      <c r="S28" s="507"/>
      <c r="T28" s="874" t="s">
        <v>740</v>
      </c>
      <c r="U28" s="652" t="s">
        <v>37</v>
      </c>
      <c r="V28" s="886" t="s">
        <v>726</v>
      </c>
      <c r="W28" s="654">
        <v>30</v>
      </c>
      <c r="X28" s="655">
        <f>VLOOKUP(B28,'[1]Pay sheet-APRIL- 2022'!$C$12:$AF$139,10,0)</f>
        <v>30</v>
      </c>
      <c r="Y28" s="656" t="s">
        <v>37</v>
      </c>
      <c r="Z28" s="514">
        <v>103450</v>
      </c>
      <c r="AA28" s="806">
        <f>VLOOKUP(B28,'[1]Pay sheet-APRIL- 2022'!$C$12:$AF$139,11,0)</f>
        <v>62070</v>
      </c>
      <c r="AB28" s="657">
        <v>0</v>
      </c>
      <c r="AC28" s="657">
        <v>0</v>
      </c>
      <c r="AD28" s="724">
        <f t="shared" si="3"/>
        <v>41493</v>
      </c>
      <c r="AE28" s="655">
        <f>VLOOKUP(B28,'[1]Pay sheet-APRIL- 2022'!$C$12:$AF$139,12,0)</f>
        <v>24828</v>
      </c>
      <c r="AF28" s="655">
        <f>VLOOKUP(B28,'[1]Pay sheet-APRIL- 2022'!$C$12:$AF$139,13,0)</f>
        <v>2083</v>
      </c>
      <c r="AG28" s="655">
        <f>VLOOKUP(B28,'[1]Pay sheet-APRIL- 2022'!$C$12:$AF$139,14,0)</f>
        <v>2083</v>
      </c>
      <c r="AH28" s="655">
        <f>VLOOKUP(B28,'[1]Pay sheet-APRIL- 2022'!$C$12:$AF$139,15,0)</f>
        <v>12499</v>
      </c>
      <c r="AI28" s="807">
        <f t="shared" si="1"/>
        <v>103563</v>
      </c>
      <c r="AJ28" s="655">
        <f>VLOOKUP(B28,'[1]Pay sheet-APRIL- 2022'!$C$12:$AF$139,18,0)</f>
        <v>1554.6089999999999</v>
      </c>
      <c r="AK28" s="655">
        <f>VLOOKUP(B28,'[1]Pay sheet-APRIL- 2022'!$C$12:$AF$139,19,0)</f>
        <v>2985.5669999999996</v>
      </c>
      <c r="AL28" s="655">
        <f>VLOOKUP(B28,'[1]Pay sheet-APRIL- 2022'!$C$12:$AF$139,20,0)</f>
        <v>5172.5</v>
      </c>
      <c r="AM28" s="968">
        <v>0</v>
      </c>
      <c r="AN28" s="866">
        <f t="shared" si="4"/>
        <v>113275.67599999999</v>
      </c>
      <c r="AO28" s="969"/>
      <c r="AP28" s="655">
        <f>VLOOKUP(B28,'[1]Pay sheet-APRIL- 2022'!$C$12:$AF$139,26,0)</f>
        <v>1800</v>
      </c>
      <c r="AQ28" s="655">
        <f>VLOOKUP(B28,'[1]Pay sheet-APRIL- 2022'!$C$12:$AF$139,25,0)</f>
        <v>200</v>
      </c>
      <c r="AR28" s="655">
        <f>VLOOKUP(B28,'[1]Pay sheet-APRIL- 2022'!$C$12:$AF$139,24,0)</f>
        <v>7419</v>
      </c>
      <c r="AS28" s="655">
        <f>VLOOKUP(B28,'[1]Pay sheet-APRIL- 2022'!$C$12:$AF$139,27,0)</f>
        <v>283</v>
      </c>
      <c r="AT28" s="971">
        <f t="shared" si="5"/>
        <v>9702</v>
      </c>
      <c r="AU28" s="916">
        <f t="shared" si="2"/>
        <v>103573.67599999999</v>
      </c>
      <c r="AV28" s="921" t="s">
        <v>750</v>
      </c>
      <c r="AW28" s="507" t="s">
        <v>545</v>
      </c>
      <c r="AX28" s="720" t="s">
        <v>733</v>
      </c>
      <c r="AY28" s="507"/>
      <c r="BA28" s="7">
        <v>15</v>
      </c>
    </row>
    <row r="29" spans="1:53" ht="18" customHeight="1">
      <c r="A29" s="626">
        <v>46</v>
      </c>
      <c r="B29" s="843" t="s">
        <v>730</v>
      </c>
      <c r="C29" s="957" t="s">
        <v>727</v>
      </c>
      <c r="D29" s="882">
        <v>31584</v>
      </c>
      <c r="E29" s="877" t="s">
        <v>477</v>
      </c>
      <c r="F29" s="956" t="s">
        <v>748</v>
      </c>
      <c r="G29" s="888" t="s">
        <v>745</v>
      </c>
      <c r="H29" s="888" t="s">
        <v>746</v>
      </c>
      <c r="I29" s="888" t="s">
        <v>747</v>
      </c>
      <c r="J29" s="888" t="s">
        <v>735</v>
      </c>
      <c r="K29" s="888" t="s">
        <v>735</v>
      </c>
      <c r="L29" s="888" t="s">
        <v>735</v>
      </c>
      <c r="M29" s="888" t="s">
        <v>735</v>
      </c>
      <c r="N29" s="888" t="s">
        <v>735</v>
      </c>
      <c r="O29" s="881">
        <v>44650</v>
      </c>
      <c r="P29" s="507"/>
      <c r="Q29" s="507"/>
      <c r="R29" s="507"/>
      <c r="S29" s="507"/>
      <c r="T29" s="874" t="s">
        <v>741</v>
      </c>
      <c r="U29" s="652" t="s">
        <v>37</v>
      </c>
      <c r="V29" s="887" t="s">
        <v>727</v>
      </c>
      <c r="W29" s="654">
        <v>30</v>
      </c>
      <c r="X29" s="655">
        <f>VLOOKUP(B29,'[1]Pay sheet-APRIL- 2022'!$C$12:$AF$139,10,0)</f>
        <v>30</v>
      </c>
      <c r="Y29" s="656" t="s">
        <v>37</v>
      </c>
      <c r="Z29" s="514">
        <v>121988</v>
      </c>
      <c r="AA29" s="806">
        <f>VLOOKUP(B29,'[1]Pay sheet-APRIL- 2022'!$C$12:$AF$139,11,0)</f>
        <v>73192.800000000003</v>
      </c>
      <c r="AB29" s="657">
        <v>0</v>
      </c>
      <c r="AC29" s="657">
        <v>0</v>
      </c>
      <c r="AD29" s="724">
        <f t="shared" si="3"/>
        <v>48908.19999999999</v>
      </c>
      <c r="AE29" s="655">
        <f>VLOOKUP(B29,'[1]Pay sheet-APRIL- 2022'!$C$12:$AF$139,12,0)</f>
        <v>29277.120000000003</v>
      </c>
      <c r="AF29" s="655">
        <f>VLOOKUP(B29,'[1]Pay sheet-APRIL- 2022'!$C$12:$AF$139,13,0)</f>
        <v>2083</v>
      </c>
      <c r="AG29" s="655">
        <f>VLOOKUP(B29,'[1]Pay sheet-APRIL- 2022'!$C$12:$AF$139,14,0)</f>
        <v>2083</v>
      </c>
      <c r="AH29" s="655">
        <f>VLOOKUP(B29,'[1]Pay sheet-APRIL- 2022'!$C$12:$AF$139,15,0)</f>
        <v>15465.079999999987</v>
      </c>
      <c r="AI29" s="807">
        <f t="shared" si="1"/>
        <v>122101</v>
      </c>
      <c r="AJ29" s="655">
        <f>VLOOKUP(B29,'[1]Pay sheet-APRIL- 2022'!$C$12:$AF$139,18,0)</f>
        <v>1554.6089999999999</v>
      </c>
      <c r="AK29" s="655">
        <f>VLOOKUP(B29,'[1]Pay sheet-APRIL- 2022'!$C$12:$AF$139,19,0)</f>
        <v>3520.5736799999995</v>
      </c>
      <c r="AL29" s="655">
        <f>VLOOKUP(B29,'[1]Pay sheet-APRIL- 2022'!$C$12:$AF$139,20,0)</f>
        <v>6099.4000000000005</v>
      </c>
      <c r="AM29" s="968">
        <v>0</v>
      </c>
      <c r="AN29" s="866">
        <f t="shared" si="4"/>
        <v>133275.58267999999</v>
      </c>
      <c r="AO29" s="969"/>
      <c r="AP29" s="655">
        <f>VLOOKUP(B29,'[1]Pay sheet-APRIL- 2022'!$C$12:$AF$139,26,0)</f>
        <v>1800</v>
      </c>
      <c r="AQ29" s="655">
        <f>VLOOKUP(B29,'[1]Pay sheet-APRIL- 2022'!$C$12:$AF$139,25,0)</f>
        <v>200</v>
      </c>
      <c r="AR29" s="655">
        <f>VLOOKUP(B29,'[1]Pay sheet-APRIL- 2022'!$C$12:$AF$139,24,0)</f>
        <v>0</v>
      </c>
      <c r="AS29" s="655">
        <f>VLOOKUP(B29,'[1]Pay sheet-APRIL- 2022'!$C$12:$AF$139,27,0)</f>
        <v>283</v>
      </c>
      <c r="AT29" s="971">
        <f t="shared" si="5"/>
        <v>2283</v>
      </c>
      <c r="AU29" s="916">
        <f t="shared" si="2"/>
        <v>130992.58267999999</v>
      </c>
      <c r="AV29" s="921" t="s">
        <v>750</v>
      </c>
      <c r="AW29" s="507" t="s">
        <v>732</v>
      </c>
      <c r="AX29" s="720" t="s">
        <v>731</v>
      </c>
      <c r="AY29" s="507"/>
      <c r="BA29" s="7">
        <v>16</v>
      </c>
    </row>
    <row r="30" spans="1:53" ht="18" customHeight="1">
      <c r="A30" s="731">
        <v>47</v>
      </c>
      <c r="B30" s="843" t="s">
        <v>752</v>
      </c>
      <c r="C30" s="963" t="s">
        <v>759</v>
      </c>
      <c r="D30" s="980">
        <v>31018</v>
      </c>
      <c r="E30" s="877" t="s">
        <v>484</v>
      </c>
      <c r="F30" s="952" t="s">
        <v>761</v>
      </c>
      <c r="G30" s="942" t="s">
        <v>544</v>
      </c>
      <c r="H30" s="918" t="s">
        <v>768</v>
      </c>
      <c r="I30" s="979" t="s">
        <v>762</v>
      </c>
      <c r="J30" s="918" t="s">
        <v>763</v>
      </c>
      <c r="K30" s="918" t="s">
        <v>764</v>
      </c>
      <c r="L30" s="918" t="s">
        <v>765</v>
      </c>
      <c r="M30" s="918" t="s">
        <v>766</v>
      </c>
      <c r="N30" s="981" t="s">
        <v>767</v>
      </c>
      <c r="O30" s="953">
        <v>44676</v>
      </c>
      <c r="P30" s="507"/>
      <c r="Q30" s="507"/>
      <c r="R30" s="507"/>
      <c r="S30" s="507"/>
      <c r="T30" s="874" t="s">
        <v>755</v>
      </c>
      <c r="U30" s="652" t="s">
        <v>37</v>
      </c>
      <c r="V30" s="963" t="s">
        <v>751</v>
      </c>
      <c r="W30" s="654">
        <v>30</v>
      </c>
      <c r="X30" s="655">
        <f>VLOOKUP(B30,'[1]Pay sheet-APRIL- 2022'!$C$12:$AF$139,10,0)</f>
        <v>6</v>
      </c>
      <c r="Y30" s="507"/>
      <c r="Z30" s="514">
        <v>54324</v>
      </c>
      <c r="AA30" s="806">
        <f>VLOOKUP(B30,'[1]Pay sheet-APRIL- 2022'!$C$12:$AF$139,11,0)</f>
        <v>6518.88</v>
      </c>
      <c r="AB30" s="657">
        <v>0</v>
      </c>
      <c r="AC30" s="657">
        <v>0</v>
      </c>
      <c r="AD30" s="967"/>
      <c r="AE30" s="655">
        <f>VLOOKUP(B30,'[1]Pay sheet-APRIL- 2022'!$C$12:$AF$139,12,0)</f>
        <v>2607.5520000000001</v>
      </c>
      <c r="AF30" s="655">
        <f>VLOOKUP(B30,'[1]Pay sheet-APRIL- 2022'!$C$12:$AF$139,13,0)</f>
        <v>417</v>
      </c>
      <c r="AG30" s="655">
        <f>VLOOKUP(B30,'[1]Pay sheet-APRIL- 2022'!$C$12:$AF$139,14,0)</f>
        <v>417</v>
      </c>
      <c r="AH30" s="655">
        <f>VLOOKUP(B30,'[1]Pay sheet-APRIL- 2022'!$C$12:$AF$139,15,0)</f>
        <v>1017.3679999999986</v>
      </c>
      <c r="AI30" s="807">
        <f t="shared" si="1"/>
        <v>10977.8</v>
      </c>
      <c r="AJ30" s="655">
        <f>VLOOKUP(B30,'[1]Pay sheet-APRIL- 2022'!$C$12:$AF$139,18,0)</f>
        <v>1554.6089999999999</v>
      </c>
      <c r="AK30" s="655">
        <f>VLOOKUP(B30,'[1]Pay sheet-APRIL- 2022'!$C$12:$AF$139,19,0)</f>
        <v>313.55812800000001</v>
      </c>
      <c r="AL30" s="655">
        <f>VLOOKUP(B30,'[1]Pay sheet-APRIL- 2022'!$C$12:$AF$139,20,0)</f>
        <v>543.24</v>
      </c>
      <c r="AM30" s="968">
        <v>0</v>
      </c>
      <c r="AN30" s="866">
        <f t="shared" ref="AN30" si="6">AI30+AJ30+AK30+AL30+AM30</f>
        <v>13389.207128</v>
      </c>
      <c r="AO30" s="967"/>
      <c r="AP30" s="655">
        <f>VLOOKUP(B30,'[1]Pay sheet-APRIL- 2022'!$C$12:$AF$139,26,0)</f>
        <v>782</v>
      </c>
      <c r="AQ30" s="655">
        <f>VLOOKUP(B30,'[1]Pay sheet-APRIL- 2022'!$C$12:$AF$139,25,0)</f>
        <v>0</v>
      </c>
      <c r="AR30" s="655">
        <f>VLOOKUP(B30,'[1]Pay sheet-APRIL- 2022'!$C$12:$AF$139,24,0)</f>
        <v>0</v>
      </c>
      <c r="AS30" s="655">
        <f>VLOOKUP(B30,'[1]Pay sheet-APRIL- 2022'!$C$12:$AF$139,27,0)</f>
        <v>0</v>
      </c>
      <c r="AT30" s="971">
        <f t="shared" si="5"/>
        <v>782</v>
      </c>
      <c r="AU30" s="916">
        <f t="shared" si="2"/>
        <v>12607.207128</v>
      </c>
      <c r="AV30" s="921" t="s">
        <v>750</v>
      </c>
      <c r="AW30" s="942" t="s">
        <v>753</v>
      </c>
      <c r="AX30" s="964" t="s">
        <v>754</v>
      </c>
    </row>
    <row r="31" spans="1:53">
      <c r="X31" s="898">
        <f>SUM(X17:X30)</f>
        <v>380</v>
      </c>
      <c r="AA31" s="966">
        <f>SUM(AA17:AA30)</f>
        <v>655324.54000000015</v>
      </c>
      <c r="AE31" s="880">
        <f t="shared" ref="AE31:AL31" si="7">SUM(AE17:AE30)</f>
        <v>262129.81599999999</v>
      </c>
      <c r="AF31" s="880">
        <f t="shared" si="7"/>
        <v>26386</v>
      </c>
      <c r="AG31" s="880">
        <f t="shared" si="7"/>
        <v>26386</v>
      </c>
      <c r="AH31" s="880">
        <f t="shared" si="7"/>
        <v>123563.21066666667</v>
      </c>
      <c r="AI31" s="898">
        <f t="shared" si="7"/>
        <v>1093789.5666666667</v>
      </c>
      <c r="AJ31" s="880">
        <f t="shared" si="7"/>
        <v>21764.526000000002</v>
      </c>
      <c r="AK31" s="880">
        <f t="shared" si="7"/>
        <v>31521.110373999993</v>
      </c>
      <c r="AL31" s="880">
        <f t="shared" si="7"/>
        <v>54610.378333333327</v>
      </c>
      <c r="AP31" s="970">
        <f t="shared" ref="AP31:AU31" si="8">SUM(AP17:AP30)</f>
        <v>22382</v>
      </c>
      <c r="AQ31" s="970">
        <f t="shared" si="8"/>
        <v>2600</v>
      </c>
      <c r="AR31" s="970">
        <f t="shared" si="8"/>
        <v>7419</v>
      </c>
      <c r="AS31" s="970">
        <f t="shared" si="8"/>
        <v>4025.3370249999998</v>
      </c>
      <c r="AT31" s="970">
        <f t="shared" si="8"/>
        <v>36426.337025000001</v>
      </c>
      <c r="AU31" s="972">
        <f t="shared" si="8"/>
        <v>1165259.244349</v>
      </c>
    </row>
    <row r="39" spans="1:53" ht="67.5" customHeight="1">
      <c r="A39" s="660">
        <v>24</v>
      </c>
      <c r="B39" s="512" t="s">
        <v>602</v>
      </c>
      <c r="C39" s="878"/>
      <c r="D39" s="649">
        <v>33030</v>
      </c>
      <c r="E39" s="660" t="s">
        <v>477</v>
      </c>
      <c r="F39" s="549" t="s">
        <v>587</v>
      </c>
      <c r="G39" s="692"/>
      <c r="H39" s="627" t="s">
        <v>592</v>
      </c>
      <c r="I39" s="549"/>
      <c r="J39" s="549"/>
      <c r="K39" s="627" t="s">
        <v>592</v>
      </c>
      <c r="L39" s="549"/>
      <c r="M39" s="549"/>
      <c r="N39" s="549"/>
      <c r="O39" s="549" t="s">
        <v>598</v>
      </c>
      <c r="P39" s="549"/>
      <c r="Q39" s="549"/>
      <c r="R39" s="549"/>
      <c r="S39" s="549"/>
      <c r="T39" s="857">
        <v>100973367737</v>
      </c>
      <c r="U39" s="661" t="s">
        <v>37</v>
      </c>
      <c r="V39" s="662">
        <f>C39</f>
        <v>0</v>
      </c>
      <c r="W39" s="654">
        <v>31</v>
      </c>
      <c r="X39" s="655">
        <f>VLOOKUP(B39,'[3]Pay sheet-MARCH- 2022'!$C$13:$AF$146,10,0)</f>
        <v>16</v>
      </c>
      <c r="Y39" s="663" t="s">
        <v>37</v>
      </c>
      <c r="Z39" s="655">
        <f>VLOOKUP(B39,'[2]Pay sheet-JAN- 2021'!$C$18:$AF$125,6,0)</f>
        <v>68228</v>
      </c>
      <c r="AA39" s="655">
        <f>VLOOKUP(B39,'[3]Pay sheet-MARCH- 2022'!$C$13:$AF$146,11,0)</f>
        <v>21128.670967741935</v>
      </c>
      <c r="AB39" s="664">
        <v>0</v>
      </c>
      <c r="AC39" s="664">
        <v>0</v>
      </c>
      <c r="AD39" s="724">
        <f>AE39+AF39+AG39+AH39</f>
        <v>14085.780645161292</v>
      </c>
      <c r="AE39" s="655">
        <f>VLOOKUP(B39,'[3]Pay sheet-MARCH- 2022'!$C$13:$AF$146,12,0)</f>
        <v>8451.4683870967747</v>
      </c>
      <c r="AF39" s="655">
        <f>VLOOKUP(B39,'[3]Pay sheet-MARCH- 2022'!$C$13:$AF$146,13,0)</f>
        <v>1075</v>
      </c>
      <c r="AG39" s="655">
        <f>VLOOKUP(B39,'[3]Pay sheet-MARCH- 2022'!$C$13:$AF$146,14,0)</f>
        <v>1075</v>
      </c>
      <c r="AH39" s="655">
        <f>VLOOKUP(B39,'[3]Pay sheet-MARCH- 2022'!$C$13:$AF$146,15,0)</f>
        <v>3484.3122580645177</v>
      </c>
      <c r="AI39" s="807">
        <f>AA39+AB39+AC39+AE39+AF39+AG39+AH39</f>
        <v>35214.451612903227</v>
      </c>
      <c r="AJ39" s="655">
        <f>VLOOKUP(B39,'[3]Pay sheet-MARCH- 2022'!$C$13:$AF$146,18,0)</f>
        <v>1441.6089999999999</v>
      </c>
      <c r="AK39" s="655">
        <f>VLOOKUP(B39,'[3]Pay sheet-MARCH- 2022'!$C$13:$AF$146,19,0)</f>
        <v>1016.2890735483869</v>
      </c>
      <c r="AL39" s="655">
        <f>VLOOKUP(B39,'[3]Pay sheet-MARCH- 2022'!$C$13:$AF$146,20,0)</f>
        <v>1760.7225806451613</v>
      </c>
      <c r="AM39" s="655" t="e">
        <f>VLOOKUP(B39,'[3]Pay sheet-MARCH- 2022'!$C$13:$AF$146,22,0)</f>
        <v>#REF!</v>
      </c>
      <c r="AN39" s="866"/>
      <c r="AO39" s="725">
        <v>0</v>
      </c>
      <c r="AP39" s="655">
        <f>VLOOKUP(B39,'[3]Pay sheet-MARCH- 2022'!$C$13:$AF$146,26,0)</f>
        <v>1800</v>
      </c>
      <c r="AQ39" s="655">
        <f>VLOOKUP(B39,'[3]Pay sheet-MARCH- 2022'!$C$13:$AF$146,25,0)</f>
        <v>200</v>
      </c>
      <c r="AR39" s="655">
        <f>VLOOKUP(B39,'[3]Pay sheet-MARCH- 2022'!$C$13:$AF$146,24,0)</f>
        <v>3232</v>
      </c>
      <c r="AS39" s="655">
        <f>VLOOKUP(B39,'[3]Pay sheet-MARCH- 2022'!$C$13:$AF$146,27,0)</f>
        <v>391.787848</v>
      </c>
      <c r="AT39" s="723">
        <f>AP39+AQ39+AR39+AS39</f>
        <v>5623.7878479999999</v>
      </c>
      <c r="AU39" s="916">
        <f>AN39-AT39</f>
        <v>-5623.7878479999999</v>
      </c>
      <c r="AV39" s="921" t="s">
        <v>750</v>
      </c>
      <c r="AW39" s="549" t="s">
        <v>577</v>
      </c>
      <c r="AX39" s="549" t="s">
        <v>605</v>
      </c>
      <c r="AY39" s="507"/>
      <c r="BA39" s="7">
        <v>2</v>
      </c>
    </row>
    <row r="40" spans="1:53" ht="67.5" customHeight="1">
      <c r="A40" s="512">
        <v>33</v>
      </c>
      <c r="B40" s="648" t="s">
        <v>650</v>
      </c>
      <c r="C40" s="878"/>
      <c r="D40" s="668">
        <v>32523</v>
      </c>
      <c r="E40" s="512" t="s">
        <v>484</v>
      </c>
      <c r="F40" s="549" t="s">
        <v>631</v>
      </c>
      <c r="G40" s="673"/>
      <c r="H40" s="1027" t="s">
        <v>633</v>
      </c>
      <c r="I40" s="1028"/>
      <c r="J40" s="1029"/>
      <c r="K40" s="630" t="s">
        <v>632</v>
      </c>
      <c r="L40" s="512" t="s">
        <v>619</v>
      </c>
      <c r="M40" s="512" t="s">
        <v>619</v>
      </c>
      <c r="N40" s="512" t="s">
        <v>619</v>
      </c>
      <c r="O40" s="669">
        <v>44481</v>
      </c>
      <c r="P40" s="512"/>
      <c r="Q40" s="512"/>
      <c r="R40" s="512"/>
      <c r="S40" s="512"/>
      <c r="T40" s="858" t="s">
        <v>647</v>
      </c>
      <c r="U40" s="652" t="s">
        <v>37</v>
      </c>
      <c r="V40" s="667" t="s">
        <v>628</v>
      </c>
      <c r="W40" s="654">
        <v>31</v>
      </c>
      <c r="X40" s="655">
        <f>VLOOKUP(B40,'[3]Pay sheet-MARCH- 2022'!$C$13:$AF$146,10,0)</f>
        <v>31</v>
      </c>
      <c r="Y40" s="663" t="s">
        <v>37</v>
      </c>
      <c r="Z40" s="655">
        <f>VLOOKUP(B40,'[2]Pay sheet-JAN- 2021'!$C$18:$AF$125,6,0)</f>
        <v>58959</v>
      </c>
      <c r="AA40" s="655">
        <f>VLOOKUP(B40,'[3]Pay sheet-MARCH- 2022'!$C$13:$AF$146,11,0)</f>
        <v>35375.4</v>
      </c>
      <c r="AB40" s="664">
        <v>0</v>
      </c>
      <c r="AC40" s="664">
        <v>0</v>
      </c>
      <c r="AD40" s="724">
        <f>AE40+AF40+AG40+AH40</f>
        <v>23583.599999999999</v>
      </c>
      <c r="AE40" s="655">
        <f>VLOOKUP(B40,'[3]Pay sheet-MARCH- 2022'!$C$13:$AF$146,12,0)</f>
        <v>14150.160000000002</v>
      </c>
      <c r="AF40" s="655">
        <f>VLOOKUP(B40,'[3]Pay sheet-MARCH- 2022'!$C$13:$AF$146,13,0)</f>
        <v>2083</v>
      </c>
      <c r="AG40" s="655">
        <f>VLOOKUP(B40,'[3]Pay sheet-MARCH- 2022'!$C$13:$AF$146,14,0)</f>
        <v>2083</v>
      </c>
      <c r="AH40" s="655">
        <f>VLOOKUP(B40,'[3]Pay sheet-MARCH- 2022'!$C$13:$AF$146,15,0)</f>
        <v>5267.4399999999951</v>
      </c>
      <c r="AI40" s="807">
        <f>AA40+AB40+AC40+AE40+AF40+AG40+AH40</f>
        <v>58959</v>
      </c>
      <c r="AJ40" s="655">
        <f>VLOOKUP(B40,'[3]Pay sheet-MARCH- 2022'!$C$13:$AF$146,18,0)</f>
        <v>1441.6089999999999</v>
      </c>
      <c r="AK40" s="655">
        <f>VLOOKUP(B40,'[3]Pay sheet-MARCH- 2022'!$C$13:$AF$146,19,0)</f>
        <v>1701.55674</v>
      </c>
      <c r="AL40" s="655">
        <f>VLOOKUP(B40,'[3]Pay sheet-MARCH- 2022'!$C$13:$AF$146,20,0)</f>
        <v>2947.9500000000003</v>
      </c>
      <c r="AM40" s="655" t="e">
        <f>VLOOKUP(B40,'[3]Pay sheet-MARCH- 2022'!$C$13:$AF$146,22,0)</f>
        <v>#REF!</v>
      </c>
      <c r="AN40" s="866"/>
      <c r="AO40" s="725">
        <v>0</v>
      </c>
      <c r="AP40" s="655">
        <f>VLOOKUP(B40,'[3]Pay sheet-MARCH- 2022'!$C$13:$AF$146,26,0)</f>
        <v>1800</v>
      </c>
      <c r="AQ40" s="655">
        <f>VLOOKUP(B40,'[3]Pay sheet-MARCH- 2022'!$C$13:$AF$146,25,0)</f>
        <v>200</v>
      </c>
      <c r="AR40" s="655" t="e">
        <f>VLOOKUP(B40,'[3]Pay sheet-MARCH- 2022'!$C$13:$AF$146,24,0)</f>
        <v>#REF!</v>
      </c>
      <c r="AS40" s="655">
        <f>VLOOKUP(B40,'[3]Pay sheet-MARCH- 2022'!$C$13:$AF$146,27,0)</f>
        <v>254</v>
      </c>
      <c r="AT40" s="723" t="e">
        <f>AP40+AQ40+AR40+AS40</f>
        <v>#REF!</v>
      </c>
      <c r="AU40" s="916" t="e">
        <f>AN40-AT40</f>
        <v>#REF!</v>
      </c>
      <c r="AV40" s="921" t="s">
        <v>750</v>
      </c>
      <c r="AW40" s="642" t="s">
        <v>641</v>
      </c>
      <c r="AX40" s="646" t="s">
        <v>642</v>
      </c>
      <c r="AY40" s="507"/>
      <c r="BA40" s="7">
        <v>5</v>
      </c>
    </row>
    <row r="41" spans="1:53" ht="67.5" customHeight="1">
      <c r="A41" s="512">
        <v>34</v>
      </c>
      <c r="B41" s="648" t="s">
        <v>651</v>
      </c>
      <c r="C41" s="879"/>
      <c r="D41" s="670">
        <v>33253</v>
      </c>
      <c r="E41" s="512" t="s">
        <v>484</v>
      </c>
      <c r="F41" s="671" t="s">
        <v>634</v>
      </c>
      <c r="G41" s="673"/>
      <c r="H41" s="1030" t="s">
        <v>635</v>
      </c>
      <c r="I41" s="1030"/>
      <c r="J41" s="1030"/>
      <c r="K41" s="631" t="s">
        <v>635</v>
      </c>
      <c r="L41" s="512" t="s">
        <v>619</v>
      </c>
      <c r="M41" s="512" t="s">
        <v>619</v>
      </c>
      <c r="N41" s="512" t="s">
        <v>619</v>
      </c>
      <c r="O41" s="669">
        <v>44481</v>
      </c>
      <c r="P41" s="512"/>
      <c r="Q41" s="512"/>
      <c r="R41" s="512"/>
      <c r="S41" s="512"/>
      <c r="T41" s="859" t="s">
        <v>648</v>
      </c>
      <c r="U41" s="652" t="s">
        <v>37</v>
      </c>
      <c r="V41" s="650" t="s">
        <v>629</v>
      </c>
      <c r="W41" s="654">
        <v>31</v>
      </c>
      <c r="X41" s="655">
        <f>VLOOKUP(B41,'[3]Pay sheet-MARCH- 2022'!$C$13:$AF$146,10,0)</f>
        <v>15</v>
      </c>
      <c r="Y41" s="663" t="s">
        <v>37</v>
      </c>
      <c r="Z41" s="655">
        <f>VLOOKUP(B41,'[2]Pay sheet-JAN- 2021'!$C$18:$AF$125,6,0)</f>
        <v>47836</v>
      </c>
      <c r="AA41" s="655">
        <f>VLOOKUP(B41,'[3]Pay sheet-MARCH- 2022'!$C$13:$AF$146,11,0)</f>
        <v>13887.870967741937</v>
      </c>
      <c r="AB41" s="664">
        <v>0</v>
      </c>
      <c r="AC41" s="664">
        <v>0</v>
      </c>
      <c r="AD41" s="724">
        <f>AE41+AF41+AG41+AH41</f>
        <v>9258.5806451612916</v>
      </c>
      <c r="AE41" s="655">
        <f>VLOOKUP(B41,'[3]Pay sheet-MARCH- 2022'!$C$13:$AF$146,12,0)</f>
        <v>5555.148387096775</v>
      </c>
      <c r="AF41" s="655">
        <f>VLOOKUP(B41,'[3]Pay sheet-MARCH- 2022'!$C$13:$AF$146,13,0)</f>
        <v>1008</v>
      </c>
      <c r="AG41" s="655">
        <f>VLOOKUP(B41,'[3]Pay sheet-MARCH- 2022'!$C$13:$AF$146,14,0)</f>
        <v>1008</v>
      </c>
      <c r="AH41" s="655">
        <f>VLOOKUP(B41,'[3]Pay sheet-MARCH- 2022'!$C$13:$AF$146,15,0)</f>
        <v>1687.4322580645166</v>
      </c>
      <c r="AI41" s="807">
        <f>AA41+AB41+AC41+AE41+AF41+AG41+AH41</f>
        <v>23146.451612903227</v>
      </c>
      <c r="AJ41" s="655">
        <f>VLOOKUP(B41,'[3]Pay sheet-MARCH- 2022'!$C$13:$AF$146,18,0)</f>
        <v>1441.6089999999999</v>
      </c>
      <c r="AK41" s="655">
        <f>VLOOKUP(B41,'[3]Pay sheet-MARCH- 2022'!$C$13:$AF$146,19,0)</f>
        <v>668.00659354838717</v>
      </c>
      <c r="AL41" s="655">
        <f>VLOOKUP(B41,'[3]Pay sheet-MARCH- 2022'!$C$13:$AF$146,20,0)</f>
        <v>1157.3225806451615</v>
      </c>
      <c r="AM41" s="655" t="e">
        <f>VLOOKUP(B41,'[3]Pay sheet-MARCH- 2022'!$C$13:$AF$146,22,0)</f>
        <v>#REF!</v>
      </c>
      <c r="AN41" s="866"/>
      <c r="AO41" s="725">
        <v>0</v>
      </c>
      <c r="AP41" s="655">
        <f>VLOOKUP(B41,'[3]Pay sheet-MARCH- 2022'!$C$13:$AF$146,26,0)</f>
        <v>1667</v>
      </c>
      <c r="AQ41" s="655">
        <f>VLOOKUP(B41,'[3]Pay sheet-MARCH- 2022'!$C$13:$AF$146,25,0)</f>
        <v>200</v>
      </c>
      <c r="AR41" s="655" t="e">
        <f>VLOOKUP(B41,'[3]Pay sheet-MARCH- 2022'!$C$13:$AF$146,24,0)</f>
        <v>#REF!</v>
      </c>
      <c r="AS41" s="655">
        <f>VLOOKUP(B41,'[3]Pay sheet-MARCH- 2022'!$C$13:$AF$146,27,0)</f>
        <v>254</v>
      </c>
      <c r="AT41" s="723" t="e">
        <f>AP41+AQ41+AR41+AS41</f>
        <v>#REF!</v>
      </c>
      <c r="AU41" s="916" t="e">
        <f>AN41-AT41</f>
        <v>#REF!</v>
      </c>
      <c r="AV41" s="921" t="s">
        <v>750</v>
      </c>
      <c r="AW41" s="549" t="s">
        <v>645</v>
      </c>
      <c r="AX41" s="672" t="s">
        <v>646</v>
      </c>
      <c r="AY41" s="507"/>
      <c r="AZ41" s="551"/>
      <c r="BA41" s="7">
        <v>6</v>
      </c>
    </row>
  </sheetData>
  <mergeCells count="37">
    <mergeCell ref="H40:J40"/>
    <mergeCell ref="H41:J41"/>
    <mergeCell ref="H20:J20"/>
    <mergeCell ref="I21:K21"/>
    <mergeCell ref="P14:P15"/>
    <mergeCell ref="Q14:Q15"/>
    <mergeCell ref="R14:R15"/>
    <mergeCell ref="O14:O15"/>
    <mergeCell ref="F14:F15"/>
    <mergeCell ref="AO14:AT14"/>
    <mergeCell ref="AU14:AU15"/>
    <mergeCell ref="V14:V15"/>
    <mergeCell ref="Z14:Z15"/>
    <mergeCell ref="AC14:AC15"/>
    <mergeCell ref="AN14:AN15"/>
    <mergeCell ref="AH14:AH15"/>
    <mergeCell ref="AA14:AA16"/>
    <mergeCell ref="AB14:AB16"/>
    <mergeCell ref="AE14:AE16"/>
    <mergeCell ref="AF14:AF16"/>
    <mergeCell ref="AG14:AG16"/>
    <mergeCell ref="AV14:AV15"/>
    <mergeCell ref="AX14:AX15"/>
    <mergeCell ref="AC5:AP5"/>
    <mergeCell ref="A8:D8"/>
    <mergeCell ref="AQ9:AY9"/>
    <mergeCell ref="A10:D10"/>
    <mergeCell ref="A14:A15"/>
    <mergeCell ref="G14:G15"/>
    <mergeCell ref="X14:X15"/>
    <mergeCell ref="Y14:Y15"/>
    <mergeCell ref="A5:D5"/>
    <mergeCell ref="AY14:AY15"/>
    <mergeCell ref="B14:B15"/>
    <mergeCell ref="AD14:AD15"/>
    <mergeCell ref="AI14:AI15"/>
    <mergeCell ref="C14:C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8"/>
  <sheetViews>
    <sheetView topLeftCell="A20" workbookViewId="0">
      <selection activeCell="E33" sqref="E33"/>
    </sheetView>
  </sheetViews>
  <sheetFormatPr defaultRowHeight="15"/>
  <cols>
    <col min="1" max="1" width="25.5703125" customWidth="1"/>
    <col min="2" max="2" width="26.85546875" customWidth="1"/>
    <col min="3" max="4" width="7.42578125" customWidth="1"/>
    <col min="5" max="5" width="14" customWidth="1"/>
    <col min="11" max="11" width="15" customWidth="1"/>
    <col min="12" max="12" width="20.85546875" customWidth="1"/>
  </cols>
  <sheetData>
    <row r="1" spans="1:12">
      <c r="A1" s="1037" t="s">
        <v>160</v>
      </c>
      <c r="B1" s="1038"/>
      <c r="C1" s="1038"/>
      <c r="D1" s="1038"/>
      <c r="E1" s="1038"/>
      <c r="F1" s="1038"/>
      <c r="G1" s="1038"/>
      <c r="H1" s="1038"/>
      <c r="I1" s="1038"/>
      <c r="J1" s="1038"/>
      <c r="K1" s="110"/>
      <c r="L1" s="111"/>
    </row>
    <row r="2" spans="1:12">
      <c r="A2" s="1039" t="s">
        <v>161</v>
      </c>
      <c r="B2" s="1040"/>
      <c r="C2" s="1040"/>
      <c r="D2" s="1040"/>
      <c r="E2" s="1040"/>
      <c r="F2" s="1040"/>
      <c r="G2" s="1040"/>
      <c r="H2" s="1040"/>
      <c r="I2" s="1040"/>
      <c r="J2" s="1040"/>
      <c r="K2" s="112"/>
      <c r="L2" s="113"/>
    </row>
    <row r="3" spans="1:12">
      <c r="A3" s="1041"/>
      <c r="B3" s="1042"/>
      <c r="C3" s="1042"/>
      <c r="D3" s="1042"/>
      <c r="E3" s="1042"/>
      <c r="F3" s="1042"/>
      <c r="G3" s="1042"/>
      <c r="H3" s="1042"/>
      <c r="I3" s="1042"/>
      <c r="J3" s="1042"/>
      <c r="K3" s="114"/>
      <c r="L3" s="115"/>
    </row>
    <row r="4" spans="1:12">
      <c r="A4" s="1043" t="s">
        <v>162</v>
      </c>
      <c r="B4" s="1044"/>
      <c r="C4" s="1044"/>
      <c r="D4" s="1044"/>
      <c r="E4" s="1044"/>
      <c r="F4" s="1044"/>
      <c r="G4" s="1044"/>
      <c r="H4" s="1044"/>
      <c r="I4" s="1044"/>
      <c r="J4" s="1044"/>
      <c r="K4" s="116"/>
      <c r="L4" s="117"/>
    </row>
    <row r="5" spans="1:12">
      <c r="A5" s="118"/>
      <c r="B5" s="116"/>
      <c r="C5" s="362"/>
      <c r="D5" s="116"/>
      <c r="E5" s="116"/>
      <c r="F5" s="116"/>
      <c r="G5" s="116"/>
      <c r="H5" s="116"/>
      <c r="I5" s="116"/>
      <c r="J5" s="116"/>
      <c r="K5" s="116"/>
      <c r="L5" s="117"/>
    </row>
    <row r="6" spans="1:12" ht="18.75">
      <c r="A6" s="119"/>
      <c r="B6" s="120"/>
      <c r="C6" s="120"/>
      <c r="D6" s="120"/>
      <c r="E6" s="1045">
        <f>'4-22MASTER'!E10</f>
        <v>44652</v>
      </c>
      <c r="F6" s="1045"/>
      <c r="G6" s="120"/>
      <c r="H6" s="120"/>
      <c r="I6" s="120"/>
      <c r="J6" s="120"/>
      <c r="K6" s="120"/>
      <c r="L6" s="121"/>
    </row>
    <row r="7" spans="1:12">
      <c r="A7" s="118"/>
      <c r="B7" s="116"/>
      <c r="C7" s="362"/>
      <c r="D7" s="116"/>
      <c r="E7" s="116"/>
      <c r="F7" s="116"/>
      <c r="G7" s="116"/>
      <c r="H7" s="116"/>
      <c r="I7" s="116"/>
      <c r="J7" s="116"/>
      <c r="K7" s="116"/>
      <c r="L7" s="117"/>
    </row>
    <row r="8" spans="1:12">
      <c r="A8" s="122" t="s">
        <v>163</v>
      </c>
      <c r="B8" s="123"/>
      <c r="C8" s="123"/>
      <c r="D8" s="123"/>
      <c r="E8" s="123"/>
      <c r="F8" s="124"/>
      <c r="G8" s="1035" t="str">
        <f>'4-22MASTER'!G5</f>
        <v>Burgeon IT Services Pvt.Ltd.</v>
      </c>
      <c r="H8" s="1035"/>
      <c r="I8" s="1035"/>
      <c r="J8" s="1035"/>
      <c r="K8" s="1035"/>
      <c r="L8" s="1036"/>
    </row>
    <row r="9" spans="1:12">
      <c r="A9" s="125"/>
      <c r="B9" s="126"/>
      <c r="C9" s="126"/>
      <c r="D9" s="127"/>
      <c r="E9" s="128"/>
      <c r="F9" s="128"/>
      <c r="G9" s="129"/>
      <c r="H9" s="126"/>
      <c r="I9" s="126"/>
      <c r="J9" s="126"/>
      <c r="K9" s="130"/>
      <c r="L9" s="131"/>
    </row>
    <row r="10" spans="1:12">
      <c r="A10" s="122" t="s">
        <v>164</v>
      </c>
      <c r="B10" s="123"/>
      <c r="C10" s="123"/>
      <c r="D10" s="123"/>
      <c r="E10" s="123"/>
      <c r="F10" s="124"/>
      <c r="G10" s="1035" t="str">
        <f>'4-22MASTER'!AQ5</f>
        <v>Burgeon IT Services Pvt.Ltd.</v>
      </c>
      <c r="H10" s="1035"/>
      <c r="I10" s="1035"/>
      <c r="J10" s="1035"/>
      <c r="K10" s="1035"/>
      <c r="L10" s="1036"/>
    </row>
    <row r="11" spans="1:12">
      <c r="A11" s="125"/>
      <c r="B11" s="126"/>
      <c r="C11" s="126"/>
      <c r="D11" s="126"/>
      <c r="E11" s="126"/>
      <c r="F11" s="130"/>
      <c r="G11" s="130" t="str">
        <f>'4-22MASTER'!AQ6</f>
        <v>Siri Mansion LIGB 436 Dr.A S Rao Nagar,Hyderabad</v>
      </c>
      <c r="H11" s="126"/>
      <c r="I11" s="126"/>
      <c r="J11" s="126"/>
      <c r="K11" s="130"/>
      <c r="L11" s="131"/>
    </row>
    <row r="12" spans="1:12">
      <c r="A12" s="122" t="s">
        <v>165</v>
      </c>
      <c r="B12" s="123"/>
      <c r="C12" s="123"/>
      <c r="D12" s="123"/>
      <c r="E12" s="123"/>
      <c r="F12" s="124"/>
      <c r="G12" s="1035" t="str">
        <f>'4-22MASTER'!AQ10</f>
        <v>INFOSYS  LTD.IL Ascendas SEZ Unit,Building Juniper</v>
      </c>
      <c r="H12" s="1035"/>
      <c r="I12" s="1035"/>
      <c r="J12" s="1035"/>
      <c r="K12" s="1035"/>
      <c r="L12" s="1036"/>
    </row>
    <row r="13" spans="1:12" ht="21">
      <c r="A13" s="132"/>
      <c r="B13" s="133"/>
      <c r="C13" s="133"/>
      <c r="D13" s="133"/>
      <c r="E13" s="133"/>
      <c r="F13" s="134"/>
      <c r="G13" s="6" t="str">
        <f>'4-22MASTER'!AQ11</f>
        <v>International Tech Park,Rajiv Gandhi Infotech Park,Hinjawadi,Pune,Maharashtra</v>
      </c>
      <c r="H13" s="133"/>
      <c r="I13" s="133"/>
      <c r="J13" s="133"/>
      <c r="K13" s="135"/>
      <c r="L13" s="136"/>
    </row>
    <row r="14" spans="1:12">
      <c r="A14" s="1048" t="s">
        <v>166</v>
      </c>
      <c r="B14" s="1049"/>
      <c r="C14" s="364"/>
      <c r="D14" s="366">
        <f>E34</f>
        <v>10</v>
      </c>
      <c r="E14" s="137"/>
      <c r="F14" s="137"/>
      <c r="G14" s="137"/>
      <c r="H14" s="137"/>
      <c r="I14" s="137"/>
      <c r="J14" s="137"/>
      <c r="K14" s="138"/>
      <c r="L14" s="139"/>
    </row>
    <row r="15" spans="1:12">
      <c r="A15" s="140"/>
      <c r="B15" s="141"/>
      <c r="C15" s="364"/>
      <c r="D15" s="137"/>
      <c r="E15" s="137"/>
      <c r="F15" s="137"/>
      <c r="G15" s="137"/>
      <c r="H15" s="137"/>
      <c r="I15" s="137"/>
      <c r="J15" s="137"/>
      <c r="K15" s="138"/>
      <c r="L15" s="139"/>
    </row>
    <row r="16" spans="1:12">
      <c r="A16" s="1048" t="s">
        <v>167</v>
      </c>
      <c r="B16" s="1049"/>
      <c r="C16" s="364"/>
      <c r="D16" s="366">
        <f>D34</f>
        <v>4</v>
      </c>
      <c r="E16" s="137"/>
      <c r="F16" s="137"/>
      <c r="G16" s="137"/>
      <c r="H16" s="137"/>
      <c r="I16" s="137"/>
      <c r="J16" s="137"/>
      <c r="K16" s="138"/>
      <c r="L16" s="139"/>
    </row>
    <row r="17" spans="1:12">
      <c r="A17" s="1050"/>
      <c r="B17" s="1051"/>
      <c r="C17" s="1051"/>
      <c r="D17" s="1051"/>
      <c r="E17" s="1051"/>
      <c r="F17" s="1051"/>
      <c r="G17" s="1051"/>
      <c r="H17" s="1051"/>
      <c r="I17" s="1051"/>
      <c r="J17" s="1051"/>
      <c r="K17" s="142"/>
      <c r="L17" s="143"/>
    </row>
    <row r="18" spans="1:12">
      <c r="A18" s="144"/>
      <c r="B18" s="145"/>
      <c r="C18" s="363"/>
      <c r="D18" s="1046" t="s">
        <v>168</v>
      </c>
      <c r="E18" s="1046"/>
      <c r="F18" s="1046"/>
      <c r="G18" s="1046"/>
      <c r="H18" s="1046"/>
      <c r="I18" s="1046"/>
      <c r="J18" s="1047"/>
      <c r="K18" s="145"/>
      <c r="L18" s="146"/>
    </row>
    <row r="19" spans="1:12" ht="105">
      <c r="A19" s="147" t="s">
        <v>169</v>
      </c>
      <c r="B19" s="148" t="s">
        <v>170</v>
      </c>
      <c r="C19" s="365"/>
      <c r="D19" s="148" t="s">
        <v>171</v>
      </c>
      <c r="E19" s="148" t="s">
        <v>172</v>
      </c>
      <c r="F19" s="148" t="s">
        <v>173</v>
      </c>
      <c r="G19" s="148" t="s">
        <v>174</v>
      </c>
      <c r="H19" s="148" t="s">
        <v>175</v>
      </c>
      <c r="I19" s="148" t="s">
        <v>176</v>
      </c>
      <c r="J19" s="148" t="s">
        <v>177</v>
      </c>
      <c r="K19" s="148" t="s">
        <v>178</v>
      </c>
      <c r="L19" s="149" t="s">
        <v>179</v>
      </c>
    </row>
    <row r="20" spans="1:12">
      <c r="A20" s="694" t="str">
        <f>'4-22MASTER'!G17</f>
        <v>System Administrator</v>
      </c>
      <c r="B20" s="380" t="s">
        <v>373</v>
      </c>
      <c r="C20" s="899"/>
      <c r="D20" s="973">
        <v>0</v>
      </c>
      <c r="E20" s="920">
        <v>1</v>
      </c>
      <c r="F20" s="900">
        <f>'4-22MASTER'!Z17</f>
        <v>61740</v>
      </c>
      <c r="G20" s="385">
        <f>'4-22MASTER'!AA17</f>
        <v>37044</v>
      </c>
      <c r="H20" s="385">
        <f>'4-22MASTER'!AE17</f>
        <v>14817.6</v>
      </c>
      <c r="I20" s="384">
        <f t="shared" ref="I20" si="0">F20-(G20+H20)</f>
        <v>9878.4000000000015</v>
      </c>
      <c r="J20" s="379">
        <v>0</v>
      </c>
      <c r="K20" s="348"/>
      <c r="L20" s="348"/>
    </row>
    <row r="21" spans="1:12">
      <c r="A21" s="694" t="str">
        <f>'4-22MASTER'!G18</f>
        <v>Project Manager</v>
      </c>
      <c r="B21" s="380" t="s">
        <v>373</v>
      </c>
      <c r="C21" s="899"/>
      <c r="D21" s="973">
        <v>0</v>
      </c>
      <c r="E21" s="920">
        <v>1</v>
      </c>
      <c r="F21" s="900">
        <f>'4-22MASTER'!Z18</f>
        <v>71009</v>
      </c>
      <c r="G21" s="385">
        <f>'4-22MASTER'!AA18</f>
        <v>28403.599999999999</v>
      </c>
      <c r="H21" s="385">
        <f>'4-22MASTER'!AE18</f>
        <v>11361.44</v>
      </c>
      <c r="I21" s="384">
        <f t="shared" ref="I21:I32" si="1">F21-(G21+H21)</f>
        <v>31243.96</v>
      </c>
      <c r="J21" s="379">
        <v>0</v>
      </c>
      <c r="K21" s="348"/>
      <c r="L21" s="348"/>
    </row>
    <row r="22" spans="1:12">
      <c r="A22" s="694" t="str">
        <f>'4-22MASTER'!G19</f>
        <v>Project Coordinator</v>
      </c>
      <c r="B22" s="380" t="s">
        <v>373</v>
      </c>
      <c r="C22" s="899"/>
      <c r="D22" s="973">
        <v>0</v>
      </c>
      <c r="E22" s="920">
        <v>1</v>
      </c>
      <c r="F22" s="900">
        <f>'4-22MASTER'!Z19</f>
        <v>43202</v>
      </c>
      <c r="G22" s="385">
        <f>'4-22MASTER'!AA19</f>
        <v>25057.16</v>
      </c>
      <c r="H22" s="385">
        <f>'4-22MASTER'!AE19</f>
        <v>10022.864000000001</v>
      </c>
      <c r="I22" s="384">
        <f t="shared" si="1"/>
        <v>8121.9759999999951</v>
      </c>
      <c r="J22" s="379">
        <v>0</v>
      </c>
      <c r="K22" s="348"/>
      <c r="L22" s="348"/>
    </row>
    <row r="23" spans="1:12">
      <c r="A23" s="694" t="str">
        <f>'4-22MASTER'!G20</f>
        <v>Project Engineer</v>
      </c>
      <c r="B23" s="380" t="s">
        <v>373</v>
      </c>
      <c r="C23" s="899"/>
      <c r="D23" s="973">
        <v>1</v>
      </c>
      <c r="E23" s="920">
        <v>0</v>
      </c>
      <c r="F23" s="900">
        <f>'4-22MASTER'!Z20</f>
        <v>58959</v>
      </c>
      <c r="G23" s="385">
        <f>'4-22MASTER'!AA20</f>
        <v>33017.040000000001</v>
      </c>
      <c r="H23" s="385">
        <f>'4-22MASTER'!AE20</f>
        <v>13206.816000000001</v>
      </c>
      <c r="I23" s="384">
        <f t="shared" si="1"/>
        <v>12735.144</v>
      </c>
      <c r="J23" s="379">
        <v>0</v>
      </c>
      <c r="K23" s="348"/>
      <c r="L23" s="348"/>
    </row>
    <row r="24" spans="1:12">
      <c r="A24" s="694" t="str">
        <f>'4-22MASTER'!G21</f>
        <v>Network Engineer</v>
      </c>
      <c r="B24" s="380" t="s">
        <v>373</v>
      </c>
      <c r="C24" s="899"/>
      <c r="D24" s="973">
        <v>0</v>
      </c>
      <c r="E24" s="920">
        <v>1</v>
      </c>
      <c r="F24" s="900">
        <f>'4-22MASTER'!Z21</f>
        <v>77497</v>
      </c>
      <c r="G24" s="385">
        <f>'4-22MASTER'!AA21</f>
        <v>46498.2</v>
      </c>
      <c r="H24" s="385">
        <f>'4-22MASTER'!AE21</f>
        <v>18599.28</v>
      </c>
      <c r="I24" s="384">
        <f t="shared" si="1"/>
        <v>12399.520000000004</v>
      </c>
      <c r="J24" s="379">
        <v>0</v>
      </c>
      <c r="K24" s="348"/>
      <c r="L24" s="348"/>
    </row>
    <row r="25" spans="1:12">
      <c r="A25" s="694" t="str">
        <f>'4-22MASTER'!G22</f>
        <v>Project manager</v>
      </c>
      <c r="B25" s="380" t="s">
        <v>373</v>
      </c>
      <c r="C25" s="899"/>
      <c r="D25" s="973">
        <v>1</v>
      </c>
      <c r="E25" s="920">
        <v>0</v>
      </c>
      <c r="F25" s="900">
        <f>'4-22MASTER'!Z22</f>
        <v>50617</v>
      </c>
      <c r="G25" s="385">
        <f>'4-22MASTER'!AA22</f>
        <v>30370.2</v>
      </c>
      <c r="H25" s="385">
        <f>'4-22MASTER'!AE22</f>
        <v>12148.080000000002</v>
      </c>
      <c r="I25" s="384">
        <f t="shared" si="1"/>
        <v>8098.7200000000012</v>
      </c>
      <c r="J25" s="379">
        <v>0</v>
      </c>
      <c r="K25" s="348"/>
      <c r="L25" s="348"/>
    </row>
    <row r="26" spans="1:12">
      <c r="A26" s="694" t="str">
        <f>'4-22MASTER'!G23</f>
        <v>Project Manager</v>
      </c>
      <c r="B26" s="380" t="s">
        <v>373</v>
      </c>
      <c r="C26" s="899"/>
      <c r="D26" s="973">
        <v>0</v>
      </c>
      <c r="E26" s="920">
        <v>1</v>
      </c>
      <c r="F26" s="900">
        <f>'4-22MASTER'!Z23</f>
        <v>66374</v>
      </c>
      <c r="G26" s="385">
        <f>'4-22MASTER'!AA23</f>
        <v>39824.400000000001</v>
      </c>
      <c r="H26" s="385">
        <f>'4-22MASTER'!AE23</f>
        <v>15929.760000000002</v>
      </c>
      <c r="I26" s="384">
        <f t="shared" si="1"/>
        <v>10619.839999999997</v>
      </c>
      <c r="J26" s="379">
        <v>0</v>
      </c>
      <c r="K26" s="348"/>
      <c r="L26" s="348"/>
    </row>
    <row r="27" spans="1:12">
      <c r="A27" s="694" t="str">
        <f>'4-22MASTER'!G24</f>
        <v>Sr. Project Manager</v>
      </c>
      <c r="B27" s="380" t="s">
        <v>373</v>
      </c>
      <c r="C27" s="899"/>
      <c r="D27" s="973">
        <v>0</v>
      </c>
      <c r="E27" s="920">
        <v>1</v>
      </c>
      <c r="F27" s="900">
        <f>'4-22MASTER'!Z24</f>
        <v>172968</v>
      </c>
      <c r="G27" s="385">
        <f>'4-22MASTER'!AA24</f>
        <v>103780.8</v>
      </c>
      <c r="H27" s="385">
        <f>'4-22MASTER'!AE24</f>
        <v>41512.320000000007</v>
      </c>
      <c r="I27" s="384">
        <f t="shared" si="1"/>
        <v>27674.880000000005</v>
      </c>
      <c r="J27" s="379">
        <v>0</v>
      </c>
      <c r="K27" s="348"/>
      <c r="L27" s="348"/>
    </row>
    <row r="28" spans="1:12">
      <c r="A28" s="694" t="str">
        <f>'4-22MASTER'!G25</f>
        <v>Sr. Project Coordinator</v>
      </c>
      <c r="B28" s="380" t="s">
        <v>373</v>
      </c>
      <c r="C28" s="899"/>
      <c r="D28" s="973">
        <v>0</v>
      </c>
      <c r="E28" s="920">
        <v>1</v>
      </c>
      <c r="F28" s="900">
        <f>'4-22MASTER'!Z25</f>
        <v>112719</v>
      </c>
      <c r="G28" s="385">
        <f>'4-22MASTER'!AA25</f>
        <v>67631.399999999994</v>
      </c>
      <c r="H28" s="385">
        <f>'4-22MASTER'!AE25</f>
        <v>27052.559999999998</v>
      </c>
      <c r="I28" s="384">
        <f t="shared" si="1"/>
        <v>18035.040000000008</v>
      </c>
      <c r="J28" s="379">
        <v>0</v>
      </c>
      <c r="K28" s="348"/>
      <c r="L28" s="348"/>
    </row>
    <row r="29" spans="1:12">
      <c r="A29" s="694" t="str">
        <f>'4-22MASTER'!G26</f>
        <v>Sr.Security analyst</v>
      </c>
      <c r="B29" s="380" t="s">
        <v>373</v>
      </c>
      <c r="C29" s="899"/>
      <c r="D29" s="973">
        <v>1</v>
      </c>
      <c r="E29" s="920">
        <v>0</v>
      </c>
      <c r="F29" s="900">
        <f>'4-22MASTER'!Z26</f>
        <v>103450</v>
      </c>
      <c r="G29" s="385">
        <f>'4-22MASTER'!AA26</f>
        <v>62070</v>
      </c>
      <c r="H29" s="385">
        <f>'4-22MASTER'!AE26</f>
        <v>24828</v>
      </c>
      <c r="I29" s="384">
        <f t="shared" si="1"/>
        <v>16552</v>
      </c>
      <c r="J29" s="379">
        <v>0</v>
      </c>
      <c r="K29" s="348"/>
      <c r="L29" s="348"/>
    </row>
    <row r="30" spans="1:12">
      <c r="A30" s="694" t="str">
        <f>'4-22MASTER'!G27</f>
        <v>Project Manager</v>
      </c>
      <c r="B30" s="380" t="s">
        <v>373</v>
      </c>
      <c r="C30" s="899"/>
      <c r="D30" s="973">
        <v>0</v>
      </c>
      <c r="E30" s="920">
        <v>1</v>
      </c>
      <c r="F30" s="900">
        <f>'4-22MASTER'!Z27</f>
        <v>73789</v>
      </c>
      <c r="G30" s="385">
        <f>'4-22MASTER'!AA27</f>
        <v>39846.060000000005</v>
      </c>
      <c r="H30" s="385">
        <f>'4-22MASTER'!AE27</f>
        <v>15938.424000000003</v>
      </c>
      <c r="I30" s="384">
        <f t="shared" si="1"/>
        <v>18004.515999999989</v>
      </c>
      <c r="J30" s="379">
        <v>0</v>
      </c>
      <c r="K30" s="348"/>
      <c r="L30" s="348"/>
    </row>
    <row r="31" spans="1:12">
      <c r="A31" s="694" t="str">
        <f>'4-22MASTER'!G28</f>
        <v>Software Engineer</v>
      </c>
      <c r="B31" s="380" t="s">
        <v>373</v>
      </c>
      <c r="C31" s="899"/>
      <c r="D31" s="973">
        <v>0</v>
      </c>
      <c r="E31" s="920">
        <v>1</v>
      </c>
      <c r="F31" s="900">
        <f>'4-22MASTER'!Z28</f>
        <v>103450</v>
      </c>
      <c r="G31" s="385">
        <f>'4-22MASTER'!AA28</f>
        <v>62070</v>
      </c>
      <c r="H31" s="385">
        <f>'4-22MASTER'!AE28</f>
        <v>24828</v>
      </c>
      <c r="I31" s="384">
        <f t="shared" si="1"/>
        <v>16552</v>
      </c>
      <c r="J31" s="379">
        <v>0</v>
      </c>
      <c r="K31" s="348"/>
      <c r="L31" s="348"/>
    </row>
    <row r="32" spans="1:12">
      <c r="A32" s="694" t="str">
        <f>'4-22MASTER'!G29</f>
        <v>VM ware consultant</v>
      </c>
      <c r="B32" s="380" t="s">
        <v>373</v>
      </c>
      <c r="C32" s="899"/>
      <c r="D32" s="973">
        <v>0</v>
      </c>
      <c r="E32" s="920">
        <v>1</v>
      </c>
      <c r="F32" s="900">
        <f>'4-22MASTER'!Z29</f>
        <v>121988</v>
      </c>
      <c r="G32" s="385">
        <f>'4-22MASTER'!AA29</f>
        <v>73192.800000000003</v>
      </c>
      <c r="H32" s="385">
        <f>'4-22MASTER'!AE29</f>
        <v>29277.120000000003</v>
      </c>
      <c r="I32" s="384">
        <f t="shared" si="1"/>
        <v>19518.079999999987</v>
      </c>
      <c r="J32" s="379">
        <v>0</v>
      </c>
      <c r="K32" s="348"/>
      <c r="L32" s="348"/>
    </row>
    <row r="33" spans="1:12">
      <c r="A33" s="694" t="str">
        <f>'4-22MASTER'!G30</f>
        <v>Program Manager</v>
      </c>
      <c r="B33" s="380" t="s">
        <v>373</v>
      </c>
      <c r="C33" s="899"/>
      <c r="D33" s="973">
        <v>1</v>
      </c>
      <c r="E33" s="920">
        <v>0</v>
      </c>
      <c r="F33" s="900">
        <f>'4-22MASTER'!Z30</f>
        <v>54324</v>
      </c>
      <c r="G33" s="385">
        <f>'4-22MASTER'!AA30</f>
        <v>6518.88</v>
      </c>
      <c r="H33" s="385">
        <f>'4-22MASTER'!AE30</f>
        <v>2607.5520000000001</v>
      </c>
      <c r="I33" s="384">
        <f t="shared" ref="I33" si="2">F33-(G33+H33)</f>
        <v>45197.567999999999</v>
      </c>
      <c r="J33" s="379">
        <v>0</v>
      </c>
      <c r="K33" s="348"/>
      <c r="L33" s="348"/>
    </row>
    <row r="34" spans="1:12">
      <c r="A34" s="11"/>
      <c r="D34" s="385">
        <f>SUM(D20:D33)</f>
        <v>4</v>
      </c>
      <c r="E34" s="347">
        <f>SUM(E20:E33)</f>
        <v>10</v>
      </c>
      <c r="L34" s="12"/>
    </row>
    <row r="35" spans="1:12">
      <c r="A35" s="11"/>
      <c r="L35" s="12"/>
    </row>
    <row r="36" spans="1:12">
      <c r="A36" s="11"/>
      <c r="L36" s="12"/>
    </row>
    <row r="37" spans="1:12">
      <c r="A37" s="11"/>
      <c r="L37" s="12"/>
    </row>
    <row r="38" spans="1:12" ht="15.75" thickBot="1">
      <c r="A38" s="16"/>
      <c r="B38" s="14"/>
      <c r="C38" s="14"/>
      <c r="D38" s="14"/>
      <c r="E38" s="14"/>
      <c r="F38" s="14"/>
      <c r="G38" s="14"/>
      <c r="H38" s="14"/>
      <c r="I38" s="14"/>
      <c r="J38" s="14"/>
      <c r="K38" s="14"/>
      <c r="L38" s="15"/>
    </row>
    <row r="48" spans="1:12">
      <c r="F48" s="2" t="s">
        <v>38</v>
      </c>
    </row>
  </sheetData>
  <mergeCells count="12">
    <mergeCell ref="D18:J18"/>
    <mergeCell ref="G10:L10"/>
    <mergeCell ref="G12:L12"/>
    <mergeCell ref="A14:B14"/>
    <mergeCell ref="A16:B16"/>
    <mergeCell ref="A17:J17"/>
    <mergeCell ref="G8:L8"/>
    <mergeCell ref="A1:J1"/>
    <mergeCell ref="A2:J2"/>
    <mergeCell ref="A3:J3"/>
    <mergeCell ref="A4:J4"/>
    <mergeCell ref="E6:F6"/>
  </mergeCells>
  <pageMargins left="0.86614173228346458" right="0.70866141732283472" top="0.74803149606299213" bottom="0.74803149606299213" header="0.31496062992125984" footer="0.31496062992125984"/>
  <pageSetup scale="65"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165"/>
  <sheetViews>
    <sheetView topLeftCell="Y4" workbookViewId="0">
      <selection activeCell="AF7" sqref="AF7"/>
    </sheetView>
  </sheetViews>
  <sheetFormatPr defaultColWidth="8.85546875" defaultRowHeight="15"/>
  <cols>
    <col min="1" max="1" width="8.7109375" style="545" customWidth="1"/>
    <col min="2" max="2" width="11.42578125" style="545" customWidth="1"/>
    <col min="3" max="3" width="22.28515625" style="545" customWidth="1"/>
    <col min="4" max="5" width="8.85546875" style="545" hidden="1" customWidth="1"/>
    <col min="6" max="6" width="14.5703125" style="545" hidden="1" customWidth="1"/>
    <col min="7" max="7" width="12.140625" style="545" hidden="1" customWidth="1"/>
    <col min="8" max="11" width="8.85546875" style="545" hidden="1" customWidth="1"/>
    <col min="12" max="41" width="4.85546875" style="545" customWidth="1"/>
    <col min="42" max="42" width="8.85546875" style="545" customWidth="1"/>
    <col min="43" max="16384" width="8.85546875" style="545"/>
  </cols>
  <sheetData>
    <row r="1" spans="1:43">
      <c r="A1" s="1052" t="s">
        <v>384</v>
      </c>
      <c r="B1" s="1052"/>
      <c r="C1" s="1052"/>
      <c r="D1" s="1052"/>
      <c r="E1" s="1052"/>
      <c r="F1" s="1052"/>
      <c r="G1" s="1052"/>
      <c r="H1" s="1052"/>
      <c r="I1" s="1052"/>
      <c r="J1" s="1052"/>
      <c r="K1" s="1052"/>
      <c r="L1" s="1052"/>
      <c r="M1" s="1052"/>
      <c r="N1" s="1052"/>
      <c r="O1" s="1052"/>
      <c r="P1" s="1052"/>
      <c r="Q1" s="1052"/>
      <c r="R1" s="1052"/>
      <c r="S1" s="1052"/>
      <c r="T1" s="1052"/>
      <c r="U1" s="1052"/>
      <c r="V1" s="1052"/>
      <c r="W1" s="1052"/>
      <c r="X1" s="1052"/>
      <c r="Y1" s="1052"/>
      <c r="Z1" s="1052"/>
      <c r="AA1" s="1052"/>
      <c r="AB1" s="1052"/>
      <c r="AC1" s="1052"/>
      <c r="AD1" s="1052"/>
      <c r="AE1" s="1052"/>
      <c r="AF1" s="1052"/>
      <c r="AG1" s="1052"/>
      <c r="AH1" s="1052"/>
      <c r="AI1" s="1052"/>
      <c r="AJ1" s="1052"/>
      <c r="AK1" s="1052"/>
      <c r="AL1" s="1052"/>
      <c r="AM1" s="1052"/>
      <c r="AN1" s="1053"/>
      <c r="AO1" s="1053"/>
      <c r="AP1" s="1052"/>
    </row>
    <row r="2" spans="1:43">
      <c r="A2" s="1054" t="s">
        <v>385</v>
      </c>
      <c r="B2" s="1054"/>
      <c r="C2" s="1054"/>
      <c r="D2" s="1054"/>
      <c r="E2" s="1054"/>
      <c r="F2" s="1054"/>
      <c r="G2" s="1054"/>
      <c r="H2" s="1054"/>
      <c r="I2" s="1054"/>
      <c r="J2" s="1054"/>
      <c r="K2" s="1054"/>
      <c r="L2" s="1054"/>
      <c r="M2" s="1054"/>
      <c r="N2" s="1054"/>
      <c r="O2" s="1054"/>
      <c r="P2" s="1054"/>
      <c r="Q2" s="1054"/>
      <c r="R2" s="1054"/>
      <c r="S2" s="1054"/>
      <c r="T2" s="1054"/>
      <c r="U2" s="1054"/>
      <c r="V2" s="1054"/>
      <c r="W2" s="1054"/>
      <c r="X2" s="1054"/>
      <c r="Y2" s="1054"/>
      <c r="Z2" s="1054"/>
      <c r="AA2" s="1054"/>
      <c r="AB2" s="1054"/>
      <c r="AC2" s="1054"/>
      <c r="AD2" s="1054"/>
      <c r="AE2" s="1054"/>
      <c r="AF2" s="1054"/>
      <c r="AG2" s="1054"/>
      <c r="AH2" s="1054"/>
      <c r="AI2" s="1054"/>
      <c r="AJ2" s="1054"/>
      <c r="AK2" s="1054"/>
      <c r="AL2" s="1054"/>
      <c r="AM2" s="1054"/>
      <c r="AN2" s="1055"/>
      <c r="AO2" s="1055"/>
      <c r="AP2" s="1054"/>
    </row>
    <row r="3" spans="1:43" ht="47.25" customHeight="1">
      <c r="A3" s="1056" t="s">
        <v>756</v>
      </c>
      <c r="B3" s="1056"/>
      <c r="C3" s="1056"/>
      <c r="D3" s="1056"/>
      <c r="E3" s="1056"/>
      <c r="F3" s="1056"/>
      <c r="G3" s="1056"/>
      <c r="H3" s="1056"/>
      <c r="I3" s="1056"/>
      <c r="J3" s="1056"/>
      <c r="K3" s="1056"/>
      <c r="L3" s="1056"/>
      <c r="M3" s="1056"/>
      <c r="N3" s="1056"/>
      <c r="O3" s="1056"/>
      <c r="P3" s="1056"/>
      <c r="Q3" s="1056"/>
      <c r="R3" s="1056"/>
      <c r="S3" s="1056"/>
      <c r="T3" s="1056"/>
      <c r="U3" s="1056"/>
      <c r="V3" s="1056"/>
      <c r="W3" s="1056"/>
      <c r="X3" s="1056"/>
      <c r="Y3" s="1056"/>
      <c r="Z3" s="1056"/>
      <c r="AA3" s="1056"/>
      <c r="AB3" s="1056"/>
      <c r="AC3" s="1056"/>
      <c r="AD3" s="1056"/>
      <c r="AE3" s="1056"/>
      <c r="AF3" s="1056"/>
      <c r="AG3" s="1056"/>
      <c r="AH3" s="1056"/>
      <c r="AI3" s="1056"/>
      <c r="AJ3" s="1056"/>
      <c r="AK3" s="1056"/>
      <c r="AL3" s="1056"/>
      <c r="AM3" s="1056"/>
      <c r="AN3" s="1057"/>
      <c r="AO3" s="1057"/>
      <c r="AP3" s="1056"/>
    </row>
    <row r="4" spans="1:43" ht="14.45" customHeight="1">
      <c r="A4" s="1059" t="s">
        <v>386</v>
      </c>
      <c r="B4" s="1060"/>
      <c r="C4" s="1060"/>
      <c r="D4" s="1060"/>
      <c r="E4" s="1060"/>
      <c r="F4" s="1060"/>
      <c r="G4" s="1060"/>
      <c r="H4" s="1060"/>
      <c r="I4" s="1060"/>
      <c r="J4" s="1060"/>
      <c r="K4" s="1060"/>
      <c r="L4" s="1060"/>
      <c r="M4" s="1060"/>
      <c r="N4" s="1060"/>
      <c r="O4" s="1060"/>
      <c r="P4" s="1060"/>
      <c r="Q4" s="1060"/>
      <c r="R4" s="1060"/>
      <c r="S4" s="1060"/>
      <c r="T4" s="1060"/>
      <c r="U4" s="1060"/>
      <c r="V4" s="1060"/>
      <c r="W4" s="1060"/>
      <c r="X4" s="1060"/>
      <c r="Y4" s="1060"/>
      <c r="Z4" s="1060"/>
      <c r="AA4" s="1060"/>
      <c r="AB4" s="1060"/>
      <c r="AC4" s="1060"/>
      <c r="AD4" s="1060"/>
      <c r="AE4" s="1060"/>
      <c r="AF4" s="1060"/>
      <c r="AG4" s="1060"/>
      <c r="AH4" s="1060"/>
      <c r="AI4" s="1060"/>
      <c r="AJ4" s="1060"/>
      <c r="AK4" s="1060"/>
      <c r="AL4" s="1060"/>
      <c r="AM4" s="1060"/>
      <c r="AN4" s="1060"/>
      <c r="AO4" s="1060"/>
      <c r="AP4" s="1061"/>
    </row>
    <row r="5" spans="1:43">
      <c r="A5" s="903"/>
      <c r="B5" s="903"/>
      <c r="C5" s="903"/>
      <c r="D5" s="903"/>
      <c r="E5" s="903"/>
      <c r="F5" s="903"/>
      <c r="G5" s="903"/>
      <c r="H5" s="1052" t="s">
        <v>387</v>
      </c>
      <c r="I5" s="1052"/>
      <c r="J5" s="1052" t="s">
        <v>388</v>
      </c>
      <c r="K5" s="1052"/>
      <c r="L5" s="1058" t="s">
        <v>389</v>
      </c>
      <c r="M5" s="1058"/>
      <c r="N5" s="1058"/>
      <c r="O5" s="1058"/>
      <c r="P5" s="1058"/>
      <c r="Q5" s="1058"/>
      <c r="R5" s="1058"/>
      <c r="S5" s="1058"/>
      <c r="T5" s="1058"/>
      <c r="U5" s="1058"/>
      <c r="V5" s="1058"/>
      <c r="W5" s="1058"/>
      <c r="X5" s="1058"/>
      <c r="Y5" s="1058"/>
      <c r="Z5" s="1058"/>
      <c r="AA5" s="1058"/>
      <c r="AB5" s="1058"/>
      <c r="AC5" s="1058"/>
      <c r="AD5" s="1058"/>
      <c r="AE5" s="1058"/>
      <c r="AF5" s="1058"/>
      <c r="AG5" s="1058"/>
      <c r="AH5" s="1058"/>
      <c r="AI5" s="1058"/>
      <c r="AJ5" s="1058"/>
      <c r="AK5" s="1058"/>
      <c r="AL5" s="1058"/>
      <c r="AM5" s="1058"/>
      <c r="AN5" s="904"/>
      <c r="AO5" s="904"/>
      <c r="AP5" s="296"/>
    </row>
    <row r="6" spans="1:43" ht="21" customHeight="1">
      <c r="A6" s="905" t="s">
        <v>355</v>
      </c>
      <c r="B6" s="906" t="s">
        <v>390</v>
      </c>
      <c r="C6" s="906" t="s">
        <v>391</v>
      </c>
      <c r="D6" s="906" t="s">
        <v>201</v>
      </c>
      <c r="E6" s="906" t="s">
        <v>392</v>
      </c>
      <c r="F6" s="906" t="s">
        <v>393</v>
      </c>
      <c r="G6" s="906" t="s">
        <v>394</v>
      </c>
      <c r="H6" s="906" t="s">
        <v>359</v>
      </c>
      <c r="I6" s="906" t="s">
        <v>136</v>
      </c>
      <c r="J6" s="906" t="s">
        <v>359</v>
      </c>
      <c r="K6" s="906" t="s">
        <v>136</v>
      </c>
      <c r="L6" s="907">
        <v>1</v>
      </c>
      <c r="M6" s="907">
        <v>2</v>
      </c>
      <c r="N6" s="907">
        <v>3</v>
      </c>
      <c r="O6" s="907">
        <v>4</v>
      </c>
      <c r="P6" s="907">
        <v>5</v>
      </c>
      <c r="Q6" s="907">
        <v>6</v>
      </c>
      <c r="R6" s="907">
        <v>7</v>
      </c>
      <c r="S6" s="907">
        <v>8</v>
      </c>
      <c r="T6" s="907">
        <v>9</v>
      </c>
      <c r="U6" s="907">
        <v>10</v>
      </c>
      <c r="V6" s="907">
        <v>11</v>
      </c>
      <c r="W6" s="907">
        <v>12</v>
      </c>
      <c r="X6" s="907">
        <v>13</v>
      </c>
      <c r="Y6" s="907">
        <v>14</v>
      </c>
      <c r="Z6" s="907">
        <v>15</v>
      </c>
      <c r="AA6" s="907">
        <v>16</v>
      </c>
      <c r="AB6" s="907">
        <v>17</v>
      </c>
      <c r="AC6" s="907">
        <v>18</v>
      </c>
      <c r="AD6" s="907">
        <v>19</v>
      </c>
      <c r="AE6" s="907">
        <v>20</v>
      </c>
      <c r="AF6" s="907">
        <v>21</v>
      </c>
      <c r="AG6" s="907">
        <v>22</v>
      </c>
      <c r="AH6" s="907">
        <v>23</v>
      </c>
      <c r="AI6" s="907">
        <v>24</v>
      </c>
      <c r="AJ6" s="907">
        <v>25</v>
      </c>
      <c r="AK6" s="907">
        <v>26</v>
      </c>
      <c r="AL6" s="907">
        <v>27</v>
      </c>
      <c r="AM6" s="907">
        <v>28</v>
      </c>
      <c r="AN6" s="907">
        <v>29</v>
      </c>
      <c r="AO6" s="907">
        <v>30</v>
      </c>
      <c r="AP6" s="506" t="s">
        <v>395</v>
      </c>
    </row>
    <row r="7" spans="1:43" s="909" customFormat="1" ht="19.149999999999999" customHeight="1">
      <c r="A7" s="352">
        <v>1</v>
      </c>
      <c r="B7" s="333" t="str">
        <f>'4-22MASTER'!B17</f>
        <v>BITS-542</v>
      </c>
      <c r="C7" s="915" t="str">
        <f>'4-22MASTER'!C17</f>
        <v>Haneef</v>
      </c>
      <c r="D7" s="382">
        <f>'4-22MASTER'!D17</f>
        <v>34715</v>
      </c>
      <c r="E7" s="383" t="str">
        <f>'4-22MASTER'!E17</f>
        <v>MALE</v>
      </c>
      <c r="F7" s="333">
        <f>'4-22MASTER'!O17</f>
        <v>44298</v>
      </c>
      <c r="G7" s="342" t="str">
        <f>'4-22MASTER'!G17</f>
        <v>System Administrator</v>
      </c>
      <c r="H7" s="342"/>
      <c r="I7" s="349"/>
      <c r="J7" s="349"/>
      <c r="K7" s="349"/>
      <c r="L7" s="912" t="s">
        <v>380</v>
      </c>
      <c r="M7" s="912" t="s">
        <v>520</v>
      </c>
      <c r="N7" s="912" t="s">
        <v>520</v>
      </c>
      <c r="O7" s="912" t="s">
        <v>380</v>
      </c>
      <c r="P7" s="912" t="s">
        <v>380</v>
      </c>
      <c r="Q7" s="912" t="s">
        <v>380</v>
      </c>
      <c r="R7" s="912" t="s">
        <v>380</v>
      </c>
      <c r="S7" s="912" t="s">
        <v>380</v>
      </c>
      <c r="T7" s="912" t="s">
        <v>520</v>
      </c>
      <c r="U7" s="912" t="s">
        <v>520</v>
      </c>
      <c r="V7" s="912" t="s">
        <v>380</v>
      </c>
      <c r="W7" s="912" t="s">
        <v>380</v>
      </c>
      <c r="X7" s="912" t="s">
        <v>380</v>
      </c>
      <c r="Y7" s="912" t="s">
        <v>380</v>
      </c>
      <c r="Z7" s="912" t="s">
        <v>771</v>
      </c>
      <c r="AA7" s="912" t="s">
        <v>520</v>
      </c>
      <c r="AB7" s="912" t="s">
        <v>520</v>
      </c>
      <c r="AC7" s="912" t="s">
        <v>380</v>
      </c>
      <c r="AD7" s="912" t="s">
        <v>380</v>
      </c>
      <c r="AE7" s="912" t="s">
        <v>380</v>
      </c>
      <c r="AF7" s="912" t="s">
        <v>380</v>
      </c>
      <c r="AG7" s="912" t="s">
        <v>380</v>
      </c>
      <c r="AH7" s="912" t="s">
        <v>520</v>
      </c>
      <c r="AI7" s="912" t="s">
        <v>520</v>
      </c>
      <c r="AJ7" s="912" t="s">
        <v>380</v>
      </c>
      <c r="AK7" s="912" t="s">
        <v>380</v>
      </c>
      <c r="AL7" s="912" t="s">
        <v>380</v>
      </c>
      <c r="AM7" s="912" t="s">
        <v>380</v>
      </c>
      <c r="AN7" s="912" t="s">
        <v>380</v>
      </c>
      <c r="AO7" s="912" t="s">
        <v>520</v>
      </c>
      <c r="AP7" s="501">
        <f>'4-22MASTER'!X17</f>
        <v>30</v>
      </c>
      <c r="AQ7" s="908"/>
    </row>
    <row r="8" spans="1:43" s="909" customFormat="1" ht="19.149999999999999" customHeight="1">
      <c r="A8" s="352">
        <v>2</v>
      </c>
      <c r="B8" s="333" t="str">
        <f>'4-22MASTER'!B18</f>
        <v>BITS-557</v>
      </c>
      <c r="C8" s="915" t="str">
        <f>'4-22MASTER'!C18</f>
        <v>Ved Prakash</v>
      </c>
      <c r="D8" s="382">
        <f>'4-22MASTER'!D18</f>
        <v>30321</v>
      </c>
      <c r="E8" s="383" t="str">
        <f>'4-22MASTER'!E18</f>
        <v>MALE</v>
      </c>
      <c r="F8" s="333" t="str">
        <f>'4-22MASTER'!O18</f>
        <v>4th May 2021</v>
      </c>
      <c r="G8" s="342" t="str">
        <f>'4-22MASTER'!G18</f>
        <v>Project Manager</v>
      </c>
      <c r="H8" s="342"/>
      <c r="I8" s="349"/>
      <c r="J8" s="349"/>
      <c r="K8" s="349"/>
      <c r="L8" s="912" t="s">
        <v>380</v>
      </c>
      <c r="M8" s="912" t="s">
        <v>520</v>
      </c>
      <c r="N8" s="912" t="s">
        <v>520</v>
      </c>
      <c r="O8" s="912" t="s">
        <v>380</v>
      </c>
      <c r="P8" s="912" t="s">
        <v>380</v>
      </c>
      <c r="Q8" s="912" t="s">
        <v>380</v>
      </c>
      <c r="R8" s="912" t="s">
        <v>380</v>
      </c>
      <c r="S8" s="912" t="s">
        <v>380</v>
      </c>
      <c r="T8" s="912" t="s">
        <v>520</v>
      </c>
      <c r="U8" s="912" t="s">
        <v>520</v>
      </c>
      <c r="V8" s="912" t="s">
        <v>380</v>
      </c>
      <c r="W8" s="912" t="s">
        <v>380</v>
      </c>
      <c r="X8" s="912" t="s">
        <v>380</v>
      </c>
      <c r="Y8" s="912" t="s">
        <v>380</v>
      </c>
      <c r="Z8" s="912" t="s">
        <v>771</v>
      </c>
      <c r="AA8" s="912" t="s">
        <v>520</v>
      </c>
      <c r="AB8" s="912" t="s">
        <v>520</v>
      </c>
      <c r="AC8" s="912" t="s">
        <v>380</v>
      </c>
      <c r="AD8" s="912" t="s">
        <v>380</v>
      </c>
      <c r="AE8" s="912" t="s">
        <v>380</v>
      </c>
      <c r="AF8" s="977"/>
      <c r="AG8" s="977"/>
      <c r="AH8" s="977"/>
      <c r="AI8" s="977"/>
      <c r="AJ8" s="977"/>
      <c r="AK8" s="977"/>
      <c r="AL8" s="977"/>
      <c r="AM8" s="977"/>
      <c r="AN8" s="977"/>
      <c r="AO8" s="977"/>
      <c r="AP8" s="501">
        <f>'4-22MASTER'!X18</f>
        <v>20</v>
      </c>
      <c r="AQ8" s="908"/>
    </row>
    <row r="9" spans="1:43" s="909" customFormat="1" ht="19.149999999999999" customHeight="1">
      <c r="A9" s="352">
        <v>3</v>
      </c>
      <c r="B9" s="333" t="str">
        <f>'4-22MASTER'!B19</f>
        <v>BITS-559</v>
      </c>
      <c r="C9" s="915" t="str">
        <f>'4-22MASTER'!C19</f>
        <v>GauravVispute</v>
      </c>
      <c r="D9" s="382">
        <f>'4-22MASTER'!D19</f>
        <v>33721</v>
      </c>
      <c r="E9" s="383" t="str">
        <f>'4-22MASTER'!E19</f>
        <v>MALE</v>
      </c>
      <c r="F9" s="333" t="str">
        <f>'4-22MASTER'!O19</f>
        <v>4th May 2021</v>
      </c>
      <c r="G9" s="342" t="str">
        <f>'4-22MASTER'!G19</f>
        <v>Project Coordinator</v>
      </c>
      <c r="H9" s="342"/>
      <c r="I9" s="349"/>
      <c r="J9" s="349"/>
      <c r="K9" s="349"/>
      <c r="L9" s="912" t="s">
        <v>380</v>
      </c>
      <c r="M9" s="912" t="s">
        <v>520</v>
      </c>
      <c r="N9" s="912" t="s">
        <v>520</v>
      </c>
      <c r="O9" s="912" t="s">
        <v>380</v>
      </c>
      <c r="P9" s="912" t="s">
        <v>380</v>
      </c>
      <c r="Q9" s="912" t="s">
        <v>380</v>
      </c>
      <c r="R9" s="912" t="s">
        <v>380</v>
      </c>
      <c r="S9" s="912" t="s">
        <v>380</v>
      </c>
      <c r="T9" s="912" t="s">
        <v>520</v>
      </c>
      <c r="U9" s="912" t="s">
        <v>520</v>
      </c>
      <c r="V9" s="912" t="s">
        <v>380</v>
      </c>
      <c r="W9" s="912" t="s">
        <v>380</v>
      </c>
      <c r="X9" s="912" t="s">
        <v>380</v>
      </c>
      <c r="Y9" s="912" t="s">
        <v>380</v>
      </c>
      <c r="Z9" s="912" t="s">
        <v>771</v>
      </c>
      <c r="AA9" s="912" t="s">
        <v>520</v>
      </c>
      <c r="AB9" s="912" t="s">
        <v>520</v>
      </c>
      <c r="AC9" s="978" t="s">
        <v>551</v>
      </c>
      <c r="AD9" s="978" t="s">
        <v>757</v>
      </c>
      <c r="AE9" s="912" t="s">
        <v>380</v>
      </c>
      <c r="AF9" s="912" t="s">
        <v>380</v>
      </c>
      <c r="AG9" s="912" t="s">
        <v>380</v>
      </c>
      <c r="AH9" s="912" t="s">
        <v>520</v>
      </c>
      <c r="AI9" s="912" t="s">
        <v>520</v>
      </c>
      <c r="AJ9" s="912" t="s">
        <v>380</v>
      </c>
      <c r="AK9" s="912" t="s">
        <v>380</v>
      </c>
      <c r="AL9" s="912" t="s">
        <v>380</v>
      </c>
      <c r="AM9" s="912" t="s">
        <v>380</v>
      </c>
      <c r="AN9" s="912" t="s">
        <v>380</v>
      </c>
      <c r="AO9" s="912" t="s">
        <v>520</v>
      </c>
      <c r="AP9" s="501">
        <f>'4-22MASTER'!X19</f>
        <v>29</v>
      </c>
      <c r="AQ9" s="908"/>
    </row>
    <row r="10" spans="1:43" s="909" customFormat="1" ht="19.149999999999999" customHeight="1">
      <c r="A10" s="352">
        <v>4</v>
      </c>
      <c r="B10" s="333" t="str">
        <f>'4-22MASTER'!B20</f>
        <v>BITS-658</v>
      </c>
      <c r="C10" s="915" t="str">
        <f>'4-22MASTER'!C20</f>
        <v>Anjali Dubey</v>
      </c>
      <c r="D10" s="382" t="str">
        <f>'4-22MASTER'!D20</f>
        <v>27-12-1990</v>
      </c>
      <c r="E10" s="383" t="str">
        <f>'4-22MASTER'!E20</f>
        <v>FEMALE</v>
      </c>
      <c r="F10" s="333">
        <f>'4-22MASTER'!O20</f>
        <v>44487</v>
      </c>
      <c r="G10" s="342" t="str">
        <f>'4-22MASTER'!G20</f>
        <v>Project Engineer</v>
      </c>
      <c r="H10" s="342"/>
      <c r="I10" s="349"/>
      <c r="J10" s="349"/>
      <c r="K10" s="349"/>
      <c r="L10" s="912" t="s">
        <v>380</v>
      </c>
      <c r="M10" s="912" t="s">
        <v>520</v>
      </c>
      <c r="N10" s="912" t="s">
        <v>520</v>
      </c>
      <c r="O10" s="912" t="s">
        <v>380</v>
      </c>
      <c r="P10" s="912" t="s">
        <v>380</v>
      </c>
      <c r="Q10" s="912" t="s">
        <v>380</v>
      </c>
      <c r="R10" s="912" t="s">
        <v>380</v>
      </c>
      <c r="S10" s="912" t="s">
        <v>380</v>
      </c>
      <c r="T10" s="912" t="s">
        <v>520</v>
      </c>
      <c r="U10" s="912" t="s">
        <v>520</v>
      </c>
      <c r="V10" s="912" t="s">
        <v>380</v>
      </c>
      <c r="W10" s="912" t="s">
        <v>380</v>
      </c>
      <c r="X10" s="912" t="s">
        <v>380</v>
      </c>
      <c r="Y10" s="912" t="s">
        <v>380</v>
      </c>
      <c r="Z10" s="912" t="s">
        <v>771</v>
      </c>
      <c r="AA10" s="912" t="s">
        <v>520</v>
      </c>
      <c r="AB10" s="912" t="s">
        <v>520</v>
      </c>
      <c r="AC10" s="912" t="s">
        <v>380</v>
      </c>
      <c r="AD10" s="912" t="s">
        <v>380</v>
      </c>
      <c r="AE10" s="912" t="s">
        <v>380</v>
      </c>
      <c r="AF10" s="912" t="s">
        <v>380</v>
      </c>
      <c r="AG10" s="912" t="s">
        <v>380</v>
      </c>
      <c r="AH10" s="912" t="s">
        <v>520</v>
      </c>
      <c r="AI10" s="912" t="s">
        <v>520</v>
      </c>
      <c r="AJ10" s="978" t="s">
        <v>551</v>
      </c>
      <c r="AK10" s="978" t="s">
        <v>757</v>
      </c>
      <c r="AL10" s="978" t="s">
        <v>757</v>
      </c>
      <c r="AM10" s="912" t="s">
        <v>380</v>
      </c>
      <c r="AN10" s="912" t="s">
        <v>380</v>
      </c>
      <c r="AO10" s="912" t="s">
        <v>520</v>
      </c>
      <c r="AP10" s="501">
        <f>'4-22MASTER'!X20</f>
        <v>28</v>
      </c>
      <c r="AQ10" s="908"/>
    </row>
    <row r="11" spans="1:43" s="909" customFormat="1" ht="19.149999999999999" customHeight="1">
      <c r="A11" s="352">
        <v>5</v>
      </c>
      <c r="B11" s="333" t="str">
        <f>'4-22MASTER'!B21</f>
        <v>BITS-683</v>
      </c>
      <c r="C11" s="915" t="str">
        <f>'4-22MASTER'!C21</f>
        <v>TUSHAR UCHAGAONKAR</v>
      </c>
      <c r="D11" s="382">
        <f>'4-22MASTER'!D21</f>
        <v>33656</v>
      </c>
      <c r="E11" s="383" t="str">
        <f>'4-22MASTER'!E21</f>
        <v>MALE</v>
      </c>
      <c r="F11" s="333">
        <f>'4-22MASTER'!O21</f>
        <v>44546</v>
      </c>
      <c r="G11" s="342" t="str">
        <f>'4-22MASTER'!G21</f>
        <v>Network Engineer</v>
      </c>
      <c r="H11" s="342"/>
      <c r="I11" s="349"/>
      <c r="J11" s="349"/>
      <c r="K11" s="349"/>
      <c r="L11" s="912" t="s">
        <v>380</v>
      </c>
      <c r="M11" s="912" t="s">
        <v>520</v>
      </c>
      <c r="N11" s="912" t="s">
        <v>520</v>
      </c>
      <c r="O11" s="912" t="s">
        <v>380</v>
      </c>
      <c r="P11" s="912" t="s">
        <v>380</v>
      </c>
      <c r="Q11" s="912" t="s">
        <v>380</v>
      </c>
      <c r="R11" s="912" t="s">
        <v>380</v>
      </c>
      <c r="S11" s="978" t="s">
        <v>551</v>
      </c>
      <c r="T11" s="912" t="s">
        <v>520</v>
      </c>
      <c r="U11" s="912" t="s">
        <v>520</v>
      </c>
      <c r="V11" s="912" t="s">
        <v>380</v>
      </c>
      <c r="W11" s="912" t="s">
        <v>380</v>
      </c>
      <c r="X11" s="912" t="s">
        <v>380</v>
      </c>
      <c r="Y11" s="912" t="s">
        <v>380</v>
      </c>
      <c r="Z11" s="912" t="s">
        <v>771</v>
      </c>
      <c r="AA11" s="912" t="s">
        <v>520</v>
      </c>
      <c r="AB11" s="912" t="s">
        <v>520</v>
      </c>
      <c r="AC11" s="912" t="s">
        <v>380</v>
      </c>
      <c r="AD11" s="912" t="s">
        <v>380</v>
      </c>
      <c r="AE11" s="912" t="s">
        <v>380</v>
      </c>
      <c r="AF11" s="912" t="s">
        <v>380</v>
      </c>
      <c r="AG11" s="912" t="s">
        <v>380</v>
      </c>
      <c r="AH11" s="912" t="s">
        <v>520</v>
      </c>
      <c r="AI11" s="912" t="s">
        <v>520</v>
      </c>
      <c r="AJ11" s="912" t="s">
        <v>380</v>
      </c>
      <c r="AK11" s="912" t="s">
        <v>380</v>
      </c>
      <c r="AL11" s="912" t="s">
        <v>380</v>
      </c>
      <c r="AM11" s="912" t="s">
        <v>380</v>
      </c>
      <c r="AN11" s="912" t="s">
        <v>380</v>
      </c>
      <c r="AO11" s="912" t="s">
        <v>520</v>
      </c>
      <c r="AP11" s="501">
        <f>'4-22MASTER'!X21</f>
        <v>30</v>
      </c>
      <c r="AQ11" s="908"/>
    </row>
    <row r="12" spans="1:43" s="909" customFormat="1" ht="19.149999999999999" customHeight="1">
      <c r="A12" s="352">
        <v>6</v>
      </c>
      <c r="B12" s="333" t="str">
        <f>'4-22MASTER'!B22</f>
        <v>BITS-692</v>
      </c>
      <c r="C12" s="915" t="str">
        <f>'4-22MASTER'!C22</f>
        <v>Sneha Hande</v>
      </c>
      <c r="D12" s="382" t="str">
        <f>'4-22MASTER'!D22</f>
        <v>09/11/1994</v>
      </c>
      <c r="E12" s="383" t="str">
        <f>'4-22MASTER'!E22</f>
        <v>FEMALE</v>
      </c>
      <c r="F12" s="333">
        <f>'4-22MASTER'!O22</f>
        <v>44566</v>
      </c>
      <c r="G12" s="342" t="str">
        <f>'4-22MASTER'!G22</f>
        <v>Project manager</v>
      </c>
      <c r="H12" s="342"/>
      <c r="I12" s="349"/>
      <c r="J12" s="349"/>
      <c r="K12" s="349"/>
      <c r="L12" s="912" t="s">
        <v>380</v>
      </c>
      <c r="M12" s="912" t="s">
        <v>520</v>
      </c>
      <c r="N12" s="912" t="s">
        <v>520</v>
      </c>
      <c r="O12" s="912" t="s">
        <v>380</v>
      </c>
      <c r="P12" s="912" t="s">
        <v>380</v>
      </c>
      <c r="Q12" s="912" t="s">
        <v>380</v>
      </c>
      <c r="R12" s="912" t="s">
        <v>380</v>
      </c>
      <c r="S12" s="912" t="s">
        <v>380</v>
      </c>
      <c r="T12" s="912" t="s">
        <v>520</v>
      </c>
      <c r="U12" s="912" t="s">
        <v>520</v>
      </c>
      <c r="V12" s="912" t="s">
        <v>380</v>
      </c>
      <c r="W12" s="912" t="s">
        <v>380</v>
      </c>
      <c r="X12" s="912" t="s">
        <v>380</v>
      </c>
      <c r="Y12" s="912" t="s">
        <v>380</v>
      </c>
      <c r="Z12" s="912" t="s">
        <v>771</v>
      </c>
      <c r="AA12" s="912" t="s">
        <v>520</v>
      </c>
      <c r="AB12" s="912" t="s">
        <v>520</v>
      </c>
      <c r="AC12" s="912" t="s">
        <v>380</v>
      </c>
      <c r="AD12" s="912" t="s">
        <v>380</v>
      </c>
      <c r="AE12" s="912" t="s">
        <v>380</v>
      </c>
      <c r="AF12" s="912" t="s">
        <v>380</v>
      </c>
      <c r="AG12" s="912" t="s">
        <v>380</v>
      </c>
      <c r="AH12" s="912" t="s">
        <v>520</v>
      </c>
      <c r="AI12" s="912" t="s">
        <v>520</v>
      </c>
      <c r="AJ12" s="912" t="s">
        <v>380</v>
      </c>
      <c r="AK12" s="912" t="s">
        <v>380</v>
      </c>
      <c r="AL12" s="912" t="s">
        <v>380</v>
      </c>
      <c r="AM12" s="912" t="s">
        <v>380</v>
      </c>
      <c r="AN12" s="912" t="s">
        <v>380</v>
      </c>
      <c r="AO12" s="912" t="s">
        <v>520</v>
      </c>
      <c r="AP12" s="501">
        <f>'4-22MASTER'!X22</f>
        <v>30</v>
      </c>
      <c r="AQ12" s="908"/>
    </row>
    <row r="13" spans="1:43" s="909" customFormat="1" ht="19.149999999999999" customHeight="1">
      <c r="A13" s="352">
        <v>7</v>
      </c>
      <c r="B13" s="333" t="str">
        <f>'4-22MASTER'!B23</f>
        <v>BITS-698</v>
      </c>
      <c r="C13" s="915" t="str">
        <f>'4-22MASTER'!C23</f>
        <v xml:space="preserve">Amol Gole </v>
      </c>
      <c r="D13" s="382" t="str">
        <f>'4-22MASTER'!D23</f>
        <v>01/06/1991</v>
      </c>
      <c r="E13" s="383" t="str">
        <f>'4-22MASTER'!E23</f>
        <v>MALE</v>
      </c>
      <c r="F13" s="333">
        <f>'4-22MASTER'!O23</f>
        <v>44579</v>
      </c>
      <c r="G13" s="342" t="str">
        <f>'4-22MASTER'!G23</f>
        <v>Project Manager</v>
      </c>
      <c r="H13" s="342"/>
      <c r="I13" s="349"/>
      <c r="J13" s="349"/>
      <c r="K13" s="349"/>
      <c r="L13" s="912" t="s">
        <v>380</v>
      </c>
      <c r="M13" s="912" t="s">
        <v>520</v>
      </c>
      <c r="N13" s="912" t="s">
        <v>520</v>
      </c>
      <c r="O13" s="912" t="s">
        <v>380</v>
      </c>
      <c r="P13" s="912" t="s">
        <v>380</v>
      </c>
      <c r="Q13" s="912" t="s">
        <v>380</v>
      </c>
      <c r="R13" s="912" t="s">
        <v>380</v>
      </c>
      <c r="S13" s="912" t="s">
        <v>380</v>
      </c>
      <c r="T13" s="912" t="s">
        <v>520</v>
      </c>
      <c r="U13" s="912" t="s">
        <v>520</v>
      </c>
      <c r="V13" s="912" t="s">
        <v>380</v>
      </c>
      <c r="W13" s="912" t="s">
        <v>380</v>
      </c>
      <c r="X13" s="912" t="s">
        <v>380</v>
      </c>
      <c r="Y13" s="978" t="s">
        <v>551</v>
      </c>
      <c r="Z13" s="912" t="s">
        <v>771</v>
      </c>
      <c r="AA13" s="912" t="s">
        <v>520</v>
      </c>
      <c r="AB13" s="912" t="s">
        <v>520</v>
      </c>
      <c r="AC13" s="912" t="s">
        <v>380</v>
      </c>
      <c r="AD13" s="912" t="s">
        <v>380</v>
      </c>
      <c r="AE13" s="912" t="s">
        <v>380</v>
      </c>
      <c r="AF13" s="912" t="s">
        <v>380</v>
      </c>
      <c r="AG13" s="912" t="s">
        <v>380</v>
      </c>
      <c r="AH13" s="912" t="s">
        <v>520</v>
      </c>
      <c r="AI13" s="912" t="s">
        <v>520</v>
      </c>
      <c r="AJ13" s="912" t="s">
        <v>380</v>
      </c>
      <c r="AK13" s="912" t="s">
        <v>380</v>
      </c>
      <c r="AL13" s="912" t="s">
        <v>380</v>
      </c>
      <c r="AM13" s="912" t="s">
        <v>380</v>
      </c>
      <c r="AN13" s="912" t="s">
        <v>380</v>
      </c>
      <c r="AO13" s="912" t="s">
        <v>520</v>
      </c>
      <c r="AP13" s="501">
        <f>'4-22MASTER'!X23</f>
        <v>30</v>
      </c>
      <c r="AQ13" s="908"/>
    </row>
    <row r="14" spans="1:43" s="909" customFormat="1" ht="19.149999999999999" customHeight="1">
      <c r="A14" s="352">
        <v>8</v>
      </c>
      <c r="B14" s="333" t="str">
        <f>'4-22MASTER'!B24</f>
        <v>BITS-700</v>
      </c>
      <c r="C14" s="915" t="str">
        <f>'4-22MASTER'!C24</f>
        <v>Sandeep Dixit</v>
      </c>
      <c r="D14" s="382">
        <f>'4-22MASTER'!D24</f>
        <v>28764</v>
      </c>
      <c r="E14" s="383" t="str">
        <f>'4-22MASTER'!E24</f>
        <v>MALE</v>
      </c>
      <c r="F14" s="333">
        <f>'4-22MASTER'!O24</f>
        <v>44593</v>
      </c>
      <c r="G14" s="342" t="str">
        <f>'4-22MASTER'!G24</f>
        <v>Sr. Project Manager</v>
      </c>
      <c r="H14" s="342"/>
      <c r="I14" s="349"/>
      <c r="J14" s="349"/>
      <c r="K14" s="349"/>
      <c r="L14" s="912" t="s">
        <v>380</v>
      </c>
      <c r="M14" s="912" t="s">
        <v>520</v>
      </c>
      <c r="N14" s="912" t="s">
        <v>520</v>
      </c>
      <c r="O14" s="912" t="s">
        <v>380</v>
      </c>
      <c r="P14" s="912" t="s">
        <v>380</v>
      </c>
      <c r="Q14" s="912" t="s">
        <v>380</v>
      </c>
      <c r="R14" s="912" t="s">
        <v>380</v>
      </c>
      <c r="S14" s="912" t="s">
        <v>380</v>
      </c>
      <c r="T14" s="912" t="s">
        <v>520</v>
      </c>
      <c r="U14" s="912" t="s">
        <v>520</v>
      </c>
      <c r="V14" s="912" t="s">
        <v>380</v>
      </c>
      <c r="W14" s="912" t="s">
        <v>380</v>
      </c>
      <c r="X14" s="912" t="s">
        <v>380</v>
      </c>
      <c r="Y14" s="912" t="s">
        <v>380</v>
      </c>
      <c r="Z14" s="912" t="s">
        <v>771</v>
      </c>
      <c r="AA14" s="912" t="s">
        <v>520</v>
      </c>
      <c r="AB14" s="912" t="s">
        <v>520</v>
      </c>
      <c r="AC14" s="912" t="s">
        <v>380</v>
      </c>
      <c r="AD14" s="912" t="s">
        <v>380</v>
      </c>
      <c r="AE14" s="912" t="s">
        <v>380</v>
      </c>
      <c r="AF14" s="912" t="s">
        <v>380</v>
      </c>
      <c r="AG14" s="912" t="s">
        <v>380</v>
      </c>
      <c r="AH14" s="912" t="s">
        <v>520</v>
      </c>
      <c r="AI14" s="912" t="s">
        <v>520</v>
      </c>
      <c r="AJ14" s="912" t="s">
        <v>380</v>
      </c>
      <c r="AK14" s="912" t="s">
        <v>380</v>
      </c>
      <c r="AL14" s="912" t="s">
        <v>380</v>
      </c>
      <c r="AM14" s="912" t="s">
        <v>380</v>
      </c>
      <c r="AN14" s="912" t="s">
        <v>380</v>
      </c>
      <c r="AO14" s="912" t="s">
        <v>520</v>
      </c>
      <c r="AP14" s="501">
        <f>'4-22MASTER'!X24</f>
        <v>30</v>
      </c>
      <c r="AQ14" s="908"/>
    </row>
    <row r="15" spans="1:43" s="909" customFormat="1" ht="19.149999999999999" customHeight="1">
      <c r="A15" s="352">
        <v>9</v>
      </c>
      <c r="B15" s="333" t="str">
        <f>'4-22MASTER'!B25</f>
        <v>BITS-717</v>
      </c>
      <c r="C15" s="915" t="str">
        <f>'4-22MASTER'!C25</f>
        <v>Jaikesh Upadhyay  </v>
      </c>
      <c r="D15" s="382">
        <f>'4-22MASTER'!D25</f>
        <v>31778</v>
      </c>
      <c r="E15" s="383" t="str">
        <f>'4-22MASTER'!E25</f>
        <v>MALE</v>
      </c>
      <c r="F15" s="333">
        <f>'4-22MASTER'!O25</f>
        <v>44609</v>
      </c>
      <c r="G15" s="342" t="str">
        <f>'4-22MASTER'!G25</f>
        <v>Sr. Project Coordinator</v>
      </c>
      <c r="H15" s="342"/>
      <c r="I15" s="349"/>
      <c r="J15" s="349"/>
      <c r="K15" s="349"/>
      <c r="L15" s="912" t="s">
        <v>380</v>
      </c>
      <c r="M15" s="912" t="s">
        <v>520</v>
      </c>
      <c r="N15" s="912" t="s">
        <v>520</v>
      </c>
      <c r="O15" s="912" t="s">
        <v>380</v>
      </c>
      <c r="P15" s="912" t="s">
        <v>380</v>
      </c>
      <c r="Q15" s="912" t="s">
        <v>380</v>
      </c>
      <c r="R15" s="912" t="s">
        <v>380</v>
      </c>
      <c r="S15" s="912" t="s">
        <v>380</v>
      </c>
      <c r="T15" s="912" t="s">
        <v>520</v>
      </c>
      <c r="U15" s="912" t="s">
        <v>520</v>
      </c>
      <c r="V15" s="912" t="s">
        <v>380</v>
      </c>
      <c r="W15" s="912" t="s">
        <v>380</v>
      </c>
      <c r="X15" s="912" t="s">
        <v>380</v>
      </c>
      <c r="Y15" s="912" t="s">
        <v>380</v>
      </c>
      <c r="Z15" s="912" t="s">
        <v>771</v>
      </c>
      <c r="AA15" s="912" t="s">
        <v>520</v>
      </c>
      <c r="AB15" s="912" t="s">
        <v>520</v>
      </c>
      <c r="AC15" s="978" t="s">
        <v>551</v>
      </c>
      <c r="AD15" s="912" t="s">
        <v>380</v>
      </c>
      <c r="AE15" s="912" t="s">
        <v>380</v>
      </c>
      <c r="AF15" s="912" t="s">
        <v>380</v>
      </c>
      <c r="AG15" s="912" t="s">
        <v>380</v>
      </c>
      <c r="AH15" s="912" t="s">
        <v>520</v>
      </c>
      <c r="AI15" s="912" t="s">
        <v>520</v>
      </c>
      <c r="AJ15" s="912" t="s">
        <v>380</v>
      </c>
      <c r="AK15" s="912" t="s">
        <v>380</v>
      </c>
      <c r="AL15" s="912" t="s">
        <v>380</v>
      </c>
      <c r="AM15" s="912" t="s">
        <v>380</v>
      </c>
      <c r="AN15" s="912" t="s">
        <v>380</v>
      </c>
      <c r="AO15" s="912" t="s">
        <v>520</v>
      </c>
      <c r="AP15" s="501">
        <f>'4-22MASTER'!X25</f>
        <v>30</v>
      </c>
      <c r="AQ15" s="908"/>
    </row>
    <row r="16" spans="1:43" s="909" customFormat="1" ht="19.149999999999999" customHeight="1">
      <c r="A16" s="352">
        <v>10</v>
      </c>
      <c r="B16" s="333" t="str">
        <f>'4-22MASTER'!B26</f>
        <v>BITS-720</v>
      </c>
      <c r="C16" s="915" t="str">
        <f>'4-22MASTER'!C26</f>
        <v>Jyoti Singh</v>
      </c>
      <c r="D16" s="382">
        <f>'4-22MASTER'!D26</f>
        <v>34895</v>
      </c>
      <c r="E16" s="383" t="str">
        <f>'4-22MASTER'!E26</f>
        <v>FEMALE</v>
      </c>
      <c r="F16" s="333">
        <f>'4-22MASTER'!O26</f>
        <v>44613</v>
      </c>
      <c r="G16" s="342" t="str">
        <f>'4-22MASTER'!G26</f>
        <v>Sr.Security analyst</v>
      </c>
      <c r="H16" s="342"/>
      <c r="I16" s="349"/>
      <c r="J16" s="349"/>
      <c r="K16" s="349"/>
      <c r="L16" s="912" t="s">
        <v>380</v>
      </c>
      <c r="M16" s="912" t="s">
        <v>520</v>
      </c>
      <c r="N16" s="912" t="s">
        <v>520</v>
      </c>
      <c r="O16" s="912" t="s">
        <v>380</v>
      </c>
      <c r="P16" s="912" t="s">
        <v>380</v>
      </c>
      <c r="Q16" s="912" t="s">
        <v>380</v>
      </c>
      <c r="R16" s="912" t="s">
        <v>380</v>
      </c>
      <c r="S16" s="912" t="s">
        <v>380</v>
      </c>
      <c r="T16" s="912" t="s">
        <v>520</v>
      </c>
      <c r="U16" s="912" t="s">
        <v>520</v>
      </c>
      <c r="V16" s="912" t="s">
        <v>380</v>
      </c>
      <c r="W16" s="912" t="s">
        <v>380</v>
      </c>
      <c r="X16" s="912" t="s">
        <v>380</v>
      </c>
      <c r="Y16" s="912" t="s">
        <v>380</v>
      </c>
      <c r="Z16" s="912" t="s">
        <v>771</v>
      </c>
      <c r="AA16" s="912" t="s">
        <v>520</v>
      </c>
      <c r="AB16" s="912" t="s">
        <v>520</v>
      </c>
      <c r="AC16" s="912" t="s">
        <v>380</v>
      </c>
      <c r="AD16" s="912" t="s">
        <v>380</v>
      </c>
      <c r="AE16" s="912" t="s">
        <v>380</v>
      </c>
      <c r="AF16" s="912" t="s">
        <v>380</v>
      </c>
      <c r="AG16" s="912" t="s">
        <v>380</v>
      </c>
      <c r="AH16" s="912" t="s">
        <v>520</v>
      </c>
      <c r="AI16" s="912" t="s">
        <v>520</v>
      </c>
      <c r="AJ16" s="912" t="s">
        <v>380</v>
      </c>
      <c r="AK16" s="912" t="s">
        <v>380</v>
      </c>
      <c r="AL16" s="912" t="s">
        <v>380</v>
      </c>
      <c r="AM16" s="912" t="s">
        <v>380</v>
      </c>
      <c r="AN16" s="912" t="s">
        <v>380</v>
      </c>
      <c r="AO16" s="912" t="s">
        <v>520</v>
      </c>
      <c r="AP16" s="501">
        <f>'4-22MASTER'!X26</f>
        <v>30</v>
      </c>
      <c r="AQ16" s="908"/>
    </row>
    <row r="17" spans="1:69" s="909" customFormat="1" ht="19.149999999999999" customHeight="1">
      <c r="A17" s="352">
        <v>11</v>
      </c>
      <c r="B17" s="333" t="str">
        <f>'4-22MASTER'!B27</f>
        <v>BITS-733</v>
      </c>
      <c r="C17" s="915" t="str">
        <f>'4-22MASTER'!C27</f>
        <v>Chandrashekar Patil</v>
      </c>
      <c r="D17" s="382">
        <f>'4-22MASTER'!D27</f>
        <v>34710</v>
      </c>
      <c r="E17" s="383" t="str">
        <f>'4-22MASTER'!E27</f>
        <v>MALE</v>
      </c>
      <c r="F17" s="333">
        <f>'4-22MASTER'!O27</f>
        <v>44634</v>
      </c>
      <c r="G17" s="342" t="str">
        <f>'4-22MASTER'!G27</f>
        <v>Project Manager</v>
      </c>
      <c r="H17" s="342"/>
      <c r="I17" s="349"/>
      <c r="J17" s="349"/>
      <c r="K17" s="349"/>
      <c r="L17" s="912" t="s">
        <v>380</v>
      </c>
      <c r="M17" s="912" t="s">
        <v>520</v>
      </c>
      <c r="N17" s="912" t="s">
        <v>520</v>
      </c>
      <c r="O17" s="912" t="s">
        <v>380</v>
      </c>
      <c r="P17" s="912" t="s">
        <v>380</v>
      </c>
      <c r="Q17" s="912" t="s">
        <v>380</v>
      </c>
      <c r="R17" s="912" t="s">
        <v>380</v>
      </c>
      <c r="S17" s="912" t="s">
        <v>380</v>
      </c>
      <c r="T17" s="912" t="s">
        <v>520</v>
      </c>
      <c r="U17" s="912" t="s">
        <v>520</v>
      </c>
      <c r="V17" s="912" t="s">
        <v>380</v>
      </c>
      <c r="W17" s="912" t="s">
        <v>380</v>
      </c>
      <c r="X17" s="912" t="s">
        <v>380</v>
      </c>
      <c r="Y17" s="912" t="s">
        <v>380</v>
      </c>
      <c r="Z17" s="912" t="s">
        <v>771</v>
      </c>
      <c r="AA17" s="912" t="s">
        <v>520</v>
      </c>
      <c r="AB17" s="912" t="s">
        <v>520</v>
      </c>
      <c r="AC17" s="912" t="s">
        <v>380</v>
      </c>
      <c r="AD17" s="912" t="s">
        <v>380</v>
      </c>
      <c r="AE17" s="912" t="s">
        <v>380</v>
      </c>
      <c r="AF17" s="912" t="s">
        <v>380</v>
      </c>
      <c r="AG17" s="978" t="s">
        <v>551</v>
      </c>
      <c r="AH17" s="912" t="s">
        <v>520</v>
      </c>
      <c r="AI17" s="912" t="s">
        <v>520</v>
      </c>
      <c r="AJ17" s="978" t="s">
        <v>757</v>
      </c>
      <c r="AK17" s="978" t="s">
        <v>757</v>
      </c>
      <c r="AL17" s="978" t="s">
        <v>757</v>
      </c>
      <c r="AM17" s="912" t="s">
        <v>380</v>
      </c>
      <c r="AN17" s="912" t="s">
        <v>380</v>
      </c>
      <c r="AO17" s="912" t="s">
        <v>520</v>
      </c>
      <c r="AP17" s="501">
        <f>'4-22MASTER'!X27</f>
        <v>27</v>
      </c>
      <c r="AQ17" s="908"/>
    </row>
    <row r="18" spans="1:69" s="910" customFormat="1" ht="16.149999999999999" customHeight="1">
      <c r="A18" s="352">
        <v>12</v>
      </c>
      <c r="B18" s="333" t="str">
        <f>'4-22MASTER'!B28</f>
        <v>BITS-734</v>
      </c>
      <c r="C18" s="915" t="str">
        <f>'4-22MASTER'!C28</f>
        <v xml:space="preserve">ShaikFarooq Basha </v>
      </c>
      <c r="D18" s="382">
        <f>'4-22MASTER'!D28</f>
        <v>33370</v>
      </c>
      <c r="E18" s="383" t="str">
        <f>'4-22MASTER'!E28</f>
        <v>MALE</v>
      </c>
      <c r="F18" s="333">
        <f>'4-22MASTER'!O28</f>
        <v>44636</v>
      </c>
      <c r="G18" s="342" t="str">
        <f>'4-22MASTER'!G28</f>
        <v>Software Engineer</v>
      </c>
      <c r="H18" s="342"/>
      <c r="I18" s="349"/>
      <c r="J18" s="349"/>
      <c r="K18" s="349"/>
      <c r="L18" s="912" t="s">
        <v>380</v>
      </c>
      <c r="M18" s="912" t="s">
        <v>520</v>
      </c>
      <c r="N18" s="912" t="s">
        <v>520</v>
      </c>
      <c r="O18" s="912" t="s">
        <v>380</v>
      </c>
      <c r="P18" s="912" t="s">
        <v>380</v>
      </c>
      <c r="Q18" s="912" t="s">
        <v>380</v>
      </c>
      <c r="R18" s="912" t="s">
        <v>380</v>
      </c>
      <c r="S18" s="912" t="s">
        <v>380</v>
      </c>
      <c r="T18" s="912" t="s">
        <v>520</v>
      </c>
      <c r="U18" s="912" t="s">
        <v>520</v>
      </c>
      <c r="V18" s="912" t="s">
        <v>380</v>
      </c>
      <c r="W18" s="912" t="s">
        <v>380</v>
      </c>
      <c r="X18" s="912" t="s">
        <v>380</v>
      </c>
      <c r="Y18" s="912" t="s">
        <v>380</v>
      </c>
      <c r="Z18" s="912" t="s">
        <v>771</v>
      </c>
      <c r="AA18" s="912" t="s">
        <v>520</v>
      </c>
      <c r="AB18" s="912" t="s">
        <v>520</v>
      </c>
      <c r="AC18" s="912" t="s">
        <v>380</v>
      </c>
      <c r="AD18" s="912" t="s">
        <v>380</v>
      </c>
      <c r="AE18" s="912" t="s">
        <v>380</v>
      </c>
      <c r="AF18" s="912" t="s">
        <v>380</v>
      </c>
      <c r="AG18" s="912" t="s">
        <v>380</v>
      </c>
      <c r="AH18" s="912" t="s">
        <v>520</v>
      </c>
      <c r="AI18" s="912" t="s">
        <v>520</v>
      </c>
      <c r="AJ18" s="912" t="s">
        <v>380</v>
      </c>
      <c r="AK18" s="912" t="s">
        <v>380</v>
      </c>
      <c r="AL18" s="912" t="s">
        <v>380</v>
      </c>
      <c r="AM18" s="912" t="s">
        <v>380</v>
      </c>
      <c r="AN18" s="912" t="s">
        <v>380</v>
      </c>
      <c r="AO18" s="912" t="s">
        <v>520</v>
      </c>
      <c r="AP18" s="501">
        <f>'4-22MASTER'!X28</f>
        <v>30</v>
      </c>
      <c r="AQ18" s="908"/>
      <c r="AR18" s="909"/>
      <c r="AS18" s="909"/>
      <c r="AT18" s="909"/>
      <c r="AU18" s="909"/>
      <c r="AV18" s="909"/>
      <c r="AW18" s="909"/>
      <c r="AX18" s="909"/>
      <c r="AY18" s="909"/>
      <c r="AZ18" s="909"/>
      <c r="BA18" s="909"/>
      <c r="BB18" s="909"/>
      <c r="BC18" s="909"/>
      <c r="BD18" s="909"/>
      <c r="BE18" s="909"/>
      <c r="BF18" s="909"/>
      <c r="BG18" s="909"/>
      <c r="BH18" s="909"/>
      <c r="BI18" s="909"/>
      <c r="BJ18" s="909"/>
      <c r="BK18" s="909"/>
      <c r="BL18" s="909"/>
      <c r="BM18" s="909"/>
      <c r="BN18" s="909"/>
      <c r="BO18" s="909"/>
      <c r="BP18" s="909"/>
      <c r="BQ18" s="909"/>
    </row>
    <row r="19" spans="1:69" ht="16.149999999999999" customHeight="1">
      <c r="A19" s="352">
        <v>13</v>
      </c>
      <c r="B19" s="333" t="str">
        <f>'4-22MASTER'!B29</f>
        <v>BITS-738</v>
      </c>
      <c r="C19" s="915" t="str">
        <f>'4-22MASTER'!C29</f>
        <v>NILOTPAL BHOWAL</v>
      </c>
      <c r="D19" s="382">
        <f>'4-22MASTER'!D29</f>
        <v>31584</v>
      </c>
      <c r="E19" s="383" t="str">
        <f>'4-22MASTER'!E29</f>
        <v>MALE</v>
      </c>
      <c r="F19" s="333">
        <f>'4-22MASTER'!O29</f>
        <v>44650</v>
      </c>
      <c r="G19" s="342" t="str">
        <f>'4-22MASTER'!G29</f>
        <v>VM ware consultant</v>
      </c>
      <c r="H19" s="342"/>
      <c r="I19" s="349"/>
      <c r="J19" s="349"/>
      <c r="K19" s="349"/>
      <c r="L19" s="912" t="s">
        <v>380</v>
      </c>
      <c r="M19" s="912" t="s">
        <v>520</v>
      </c>
      <c r="N19" s="912" t="s">
        <v>520</v>
      </c>
      <c r="O19" s="912" t="s">
        <v>380</v>
      </c>
      <c r="P19" s="912" t="s">
        <v>380</v>
      </c>
      <c r="Q19" s="912" t="s">
        <v>380</v>
      </c>
      <c r="R19" s="912" t="s">
        <v>380</v>
      </c>
      <c r="S19" s="912" t="s">
        <v>380</v>
      </c>
      <c r="T19" s="912" t="s">
        <v>520</v>
      </c>
      <c r="U19" s="912" t="s">
        <v>520</v>
      </c>
      <c r="V19" s="912" t="s">
        <v>380</v>
      </c>
      <c r="W19" s="912" t="s">
        <v>380</v>
      </c>
      <c r="X19" s="912" t="s">
        <v>380</v>
      </c>
      <c r="Y19" s="912" t="s">
        <v>380</v>
      </c>
      <c r="Z19" s="912" t="s">
        <v>771</v>
      </c>
      <c r="AA19" s="912" t="s">
        <v>520</v>
      </c>
      <c r="AB19" s="912" t="s">
        <v>520</v>
      </c>
      <c r="AC19" s="912" t="s">
        <v>380</v>
      </c>
      <c r="AD19" s="912" t="s">
        <v>380</v>
      </c>
      <c r="AE19" s="912" t="s">
        <v>380</v>
      </c>
      <c r="AF19" s="912" t="s">
        <v>380</v>
      </c>
      <c r="AG19" s="912" t="s">
        <v>380</v>
      </c>
      <c r="AH19" s="912" t="s">
        <v>520</v>
      </c>
      <c r="AI19" s="912" t="s">
        <v>520</v>
      </c>
      <c r="AJ19" s="912" t="s">
        <v>380</v>
      </c>
      <c r="AK19" s="912" t="s">
        <v>380</v>
      </c>
      <c r="AL19" s="912" t="s">
        <v>380</v>
      </c>
      <c r="AM19" s="912" t="s">
        <v>380</v>
      </c>
      <c r="AN19" s="912" t="s">
        <v>380</v>
      </c>
      <c r="AO19" s="912" t="s">
        <v>520</v>
      </c>
      <c r="AP19" s="501">
        <f>'4-22MASTER'!X29</f>
        <v>30</v>
      </c>
    </row>
    <row r="20" spans="1:69" ht="28.5" customHeight="1">
      <c r="A20" s="352">
        <v>14</v>
      </c>
      <c r="B20" s="333" t="str">
        <f>'4-22MASTER'!B30</f>
        <v>BITS-751</v>
      </c>
      <c r="C20" s="915" t="str">
        <f>'4-22MASTER'!C30</f>
        <v>Varsha Amit Kadam</v>
      </c>
      <c r="D20" s="382">
        <f>'4-22MASTER'!D30</f>
        <v>31018</v>
      </c>
      <c r="E20" s="383" t="str">
        <f>'4-22MASTER'!E30</f>
        <v>FEMALE</v>
      </c>
      <c r="F20" s="333">
        <f>'4-22MASTER'!O30</f>
        <v>44676</v>
      </c>
      <c r="G20" s="342" t="str">
        <f>'4-22MASTER'!G30</f>
        <v>Program Manager</v>
      </c>
      <c r="H20" s="909"/>
      <c r="I20" s="909"/>
      <c r="J20" s="909"/>
      <c r="K20" s="909"/>
      <c r="L20" s="977"/>
      <c r="M20" s="977"/>
      <c r="N20" s="977"/>
      <c r="O20" s="977"/>
      <c r="P20" s="977"/>
      <c r="Q20" s="977"/>
      <c r="R20" s="977"/>
      <c r="S20" s="977"/>
      <c r="T20" s="977"/>
      <c r="U20" s="977"/>
      <c r="V20" s="977"/>
      <c r="W20" s="977"/>
      <c r="X20" s="977"/>
      <c r="Y20" s="977"/>
      <c r="Z20" s="977"/>
      <c r="AA20" s="977"/>
      <c r="AB20" s="977"/>
      <c r="AC20" s="977"/>
      <c r="AD20" s="977"/>
      <c r="AE20" s="977"/>
      <c r="AF20" s="977"/>
      <c r="AG20" s="977"/>
      <c r="AH20" s="977"/>
      <c r="AI20" s="977"/>
      <c r="AJ20" s="912" t="s">
        <v>380</v>
      </c>
      <c r="AK20" s="912" t="s">
        <v>380</v>
      </c>
      <c r="AL20" s="912" t="s">
        <v>380</v>
      </c>
      <c r="AM20" s="912" t="s">
        <v>380</v>
      </c>
      <c r="AN20" s="912" t="s">
        <v>380</v>
      </c>
      <c r="AO20" s="912" t="s">
        <v>520</v>
      </c>
      <c r="AP20" s="501">
        <f>'4-22MASTER'!X30</f>
        <v>6</v>
      </c>
    </row>
    <row r="21" spans="1:69" ht="16.149999999999999" customHeight="1">
      <c r="A21" s="352"/>
      <c r="B21" s="333"/>
      <c r="C21" s="902"/>
      <c r="D21" s="382"/>
      <c r="E21" s="383"/>
      <c r="F21" s="333"/>
      <c r="G21" s="342"/>
      <c r="H21" s="901"/>
      <c r="I21" s="901"/>
      <c r="J21" s="901"/>
      <c r="K21" s="901"/>
      <c r="L21" s="912"/>
      <c r="M21" s="901"/>
      <c r="N21" s="901"/>
      <c r="O21" s="901"/>
      <c r="P21" s="912"/>
      <c r="Q21" s="912"/>
      <c r="R21" s="913"/>
      <c r="S21" s="913"/>
      <c r="T21" s="913"/>
      <c r="U21" s="913"/>
      <c r="V21" s="913"/>
      <c r="W21" s="912"/>
      <c r="X21" s="912"/>
      <c r="Y21" s="913"/>
      <c r="Z21" s="913"/>
      <c r="AA21" s="913"/>
      <c r="AB21" s="913"/>
      <c r="AC21" s="912"/>
      <c r="AD21" s="912"/>
      <c r="AE21" s="912"/>
      <c r="AF21" s="913"/>
      <c r="AG21" s="913"/>
      <c r="AH21" s="913"/>
      <c r="AI21" s="913"/>
      <c r="AJ21" s="913"/>
      <c r="AK21" s="912"/>
      <c r="AL21" s="912"/>
      <c r="AM21" s="913"/>
      <c r="AN21" s="913"/>
      <c r="AO21" s="913"/>
      <c r="AP21" s="501">
        <f>SUM(AP7:AP20)</f>
        <v>380</v>
      </c>
    </row>
    <row r="22" spans="1:69" ht="16.149999999999999" customHeight="1">
      <c r="A22" s="352"/>
      <c r="B22" s="333"/>
      <c r="C22" s="902"/>
      <c r="D22" s="382"/>
      <c r="E22" s="383"/>
      <c r="F22" s="333"/>
      <c r="G22" s="342"/>
      <c r="H22" s="901"/>
      <c r="I22" s="901"/>
      <c r="J22" s="901"/>
      <c r="K22" s="901"/>
      <c r="L22" s="974"/>
      <c r="M22" s="974"/>
      <c r="N22" s="974"/>
      <c r="O22" s="974"/>
      <c r="P22" s="975"/>
      <c r="Q22" s="975"/>
      <c r="R22" s="976"/>
      <c r="S22" s="976"/>
      <c r="T22" s="976"/>
      <c r="U22" s="976"/>
      <c r="V22" s="976"/>
      <c r="W22" s="975"/>
      <c r="X22" s="975"/>
      <c r="Y22" s="976"/>
      <c r="Z22" s="976"/>
      <c r="AA22" s="976"/>
      <c r="AB22" s="976"/>
      <c r="AC22" s="976"/>
      <c r="AD22" s="975"/>
      <c r="AE22" s="975"/>
      <c r="AF22" s="976"/>
      <c r="AG22" s="976"/>
      <c r="AH22" s="976"/>
      <c r="AI22" s="976"/>
      <c r="AJ22" s="976"/>
      <c r="AK22" s="975"/>
      <c r="AL22" s="975"/>
      <c r="AM22" s="976"/>
      <c r="AN22" s="976"/>
      <c r="AO22" s="913"/>
      <c r="AP22" s="501"/>
    </row>
    <row r="23" spans="1:69" ht="15.75">
      <c r="B23" s="333"/>
      <c r="C23" s="902"/>
      <c r="AP23" s="914"/>
    </row>
    <row r="32" spans="1:69">
      <c r="AL32" s="985" t="s">
        <v>38</v>
      </c>
      <c r="AM32" s="985"/>
      <c r="AN32" s="985"/>
      <c r="AO32" s="985"/>
      <c r="AP32" s="985"/>
      <c r="AQ32" s="985"/>
      <c r="AR32" s="985"/>
    </row>
    <row r="160" spans="1:1">
      <c r="A160" s="911"/>
    </row>
    <row r="161" spans="1:1">
      <c r="A161" s="911"/>
    </row>
    <row r="162" spans="1:1">
      <c r="A162" s="911"/>
    </row>
    <row r="163" spans="1:1">
      <c r="A163" s="911"/>
    </row>
    <row r="164" spans="1:1">
      <c r="A164" s="911"/>
    </row>
    <row r="165" spans="1:1">
      <c r="A165" s="911"/>
    </row>
  </sheetData>
  <mergeCells count="8">
    <mergeCell ref="AL32:AR32"/>
    <mergeCell ref="A1:AP1"/>
    <mergeCell ref="A2:AP2"/>
    <mergeCell ref="A3:AP3"/>
    <mergeCell ref="H5:I5"/>
    <mergeCell ref="J5:K5"/>
    <mergeCell ref="L5:AM5"/>
    <mergeCell ref="A4:AP4"/>
  </mergeCells>
  <phoneticPr fontId="71" type="noConversion"/>
  <pageMargins left="0.70866141732283472" right="0.70866141732283472" top="0.74803149606299213" bottom="0.74803149606299213" header="0.31496062992125984" footer="0.31496062992125984"/>
  <pageSetup paperSize="8" scale="65"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84"/>
  <sheetViews>
    <sheetView topLeftCell="A610" zoomScale="90" zoomScaleNormal="90" zoomScaleSheetLayoutView="100" workbookViewId="0">
      <selection activeCell="F18" sqref="F18"/>
    </sheetView>
  </sheetViews>
  <sheetFormatPr defaultRowHeight="15"/>
  <cols>
    <col min="1" max="1" width="11" bestFit="1" customWidth="1"/>
    <col min="2" max="2" width="11.140625" customWidth="1"/>
    <col min="3" max="3" width="11.28515625" bestFit="1" customWidth="1"/>
    <col min="4" max="4" width="18.42578125" customWidth="1"/>
    <col min="5" max="5" width="17.28515625" customWidth="1"/>
    <col min="6" max="6" width="11" customWidth="1"/>
    <col min="7" max="7" width="11.140625" customWidth="1"/>
    <col min="8" max="8" width="11" bestFit="1" customWidth="1"/>
    <col min="9" max="9" width="16.7109375" bestFit="1" customWidth="1"/>
    <col min="10" max="10" width="11.140625" customWidth="1"/>
    <col min="15" max="15" width="20.7109375" customWidth="1"/>
    <col min="16" max="16" width="0.28515625" customWidth="1"/>
  </cols>
  <sheetData>
    <row r="1" spans="1:16" ht="23.25">
      <c r="A1" s="1062" t="s">
        <v>428</v>
      </c>
      <c r="B1" s="1063"/>
      <c r="C1" s="1063"/>
      <c r="D1" s="1063"/>
      <c r="E1" s="1063"/>
      <c r="F1" s="1063"/>
      <c r="G1" s="1063"/>
      <c r="H1" s="1063"/>
      <c r="I1" s="1063"/>
      <c r="J1" s="1063"/>
      <c r="K1" s="1063"/>
      <c r="L1" s="1063"/>
      <c r="M1" s="1063"/>
      <c r="N1" s="1063"/>
      <c r="O1" s="344"/>
      <c r="P1" s="297"/>
    </row>
    <row r="2" spans="1:16" ht="24" thickBot="1">
      <c r="A2" s="1064"/>
      <c r="B2" s="1065"/>
      <c r="C2" s="1065"/>
      <c r="D2" s="1065"/>
      <c r="E2" s="1065"/>
      <c r="F2" s="1065"/>
      <c r="G2" s="1065"/>
      <c r="H2" s="1065"/>
      <c r="I2" s="1065"/>
      <c r="J2" s="1065"/>
      <c r="K2" s="1065"/>
      <c r="L2" s="1065"/>
      <c r="M2" s="1065"/>
      <c r="N2" s="1065"/>
      <c r="O2" s="345"/>
      <c r="P2" s="298"/>
    </row>
    <row r="3" spans="1:16" ht="15.75" thickBot="1">
      <c r="A3" s="1066" t="s">
        <v>429</v>
      </c>
      <c r="B3" s="1067"/>
      <c r="C3" s="1067"/>
      <c r="D3" s="1067"/>
      <c r="E3" s="1067"/>
      <c r="F3" s="1067"/>
      <c r="G3" s="1067"/>
      <c r="H3" s="1067"/>
      <c r="I3" s="1067"/>
      <c r="J3" s="1067"/>
      <c r="K3" s="1067"/>
      <c r="L3" s="1067"/>
      <c r="M3" s="1067"/>
      <c r="N3" s="1067"/>
      <c r="O3" s="346"/>
      <c r="P3" s="299"/>
    </row>
    <row r="4" spans="1:16">
      <c r="A4" s="300" t="s">
        <v>460</v>
      </c>
      <c r="B4" s="301"/>
      <c r="C4" s="301"/>
      <c r="D4" s="302"/>
      <c r="E4" s="1068" t="s">
        <v>461</v>
      </c>
      <c r="F4" s="1069"/>
      <c r="G4" s="1069"/>
      <c r="H4" s="328"/>
      <c r="I4" s="328"/>
      <c r="J4" s="328"/>
      <c r="K4" s="328"/>
      <c r="L4" s="328"/>
      <c r="M4" s="328"/>
      <c r="N4" s="328"/>
      <c r="O4" s="303"/>
      <c r="P4" s="304"/>
    </row>
    <row r="5" spans="1:16">
      <c r="A5" s="305"/>
      <c r="B5" s="306" t="str">
        <f>'4-22MASTER'!G5</f>
        <v>Burgeon IT Services Pvt.Ltd.</v>
      </c>
      <c r="C5" s="306"/>
      <c r="D5" s="307"/>
      <c r="E5" s="329"/>
      <c r="F5" s="330"/>
      <c r="G5" s="1088" t="str">
        <f>'4-22MASTER'!C17</f>
        <v>Haneef</v>
      </c>
      <c r="H5" s="1088"/>
      <c r="I5" s="1088"/>
      <c r="J5" s="330"/>
      <c r="K5" s="330"/>
      <c r="L5" s="330"/>
      <c r="M5" s="330"/>
      <c r="N5" s="330"/>
      <c r="O5" s="308"/>
      <c r="P5" s="309"/>
    </row>
    <row r="6" spans="1:16" ht="15.75" thickBot="1">
      <c r="A6" s="310"/>
      <c r="B6" s="311" t="str">
        <f>'4-22MASTER'!G6</f>
        <v>Siri Mansion LIGB 436 Dr.A S Rao Nagar,Hyderabad</v>
      </c>
      <c r="C6" s="311"/>
      <c r="D6" s="312"/>
      <c r="E6" s="329"/>
      <c r="F6" s="330"/>
      <c r="G6" s="330"/>
      <c r="H6" s="330"/>
      <c r="I6" s="330"/>
      <c r="J6" s="330"/>
      <c r="K6" s="330"/>
      <c r="L6" s="330"/>
      <c r="M6" s="330"/>
      <c r="N6" s="330"/>
      <c r="O6" s="308"/>
      <c r="P6" s="309"/>
    </row>
    <row r="7" spans="1:16">
      <c r="A7" s="331" t="s">
        <v>462</v>
      </c>
      <c r="B7" s="301"/>
      <c r="C7" s="301"/>
      <c r="D7" s="302"/>
      <c r="E7" s="313" t="s">
        <v>430</v>
      </c>
      <c r="F7" s="301"/>
      <c r="G7" s="314">
        <f>'4-22MASTER'!O17</f>
        <v>44298</v>
      </c>
      <c r="H7" s="301"/>
      <c r="I7" s="301"/>
      <c r="J7" s="301"/>
      <c r="K7" s="301"/>
      <c r="L7" s="301"/>
      <c r="M7" s="301"/>
      <c r="N7" s="301"/>
      <c r="O7" s="301"/>
      <c r="P7" s="302"/>
    </row>
    <row r="8" spans="1:16">
      <c r="A8" s="325"/>
      <c r="B8" s="306"/>
      <c r="C8" s="306" t="str">
        <f>'4-22MASTER'!G8</f>
        <v>IT SUPPORTIVE SERVICES &amp; PUNE ASC SEZ</v>
      </c>
      <c r="D8" s="307"/>
      <c r="E8" s="315"/>
      <c r="F8" s="306"/>
      <c r="G8" s="306"/>
      <c r="H8" s="306"/>
      <c r="I8" s="306"/>
      <c r="J8" s="306"/>
      <c r="K8" s="306"/>
      <c r="L8" s="306"/>
      <c r="M8" s="306"/>
      <c r="N8" s="306"/>
      <c r="O8" s="306"/>
      <c r="P8" s="307"/>
    </row>
    <row r="9" spans="1:16">
      <c r="A9" s="325"/>
      <c r="B9" s="306"/>
      <c r="C9" s="306"/>
      <c r="D9" s="307"/>
      <c r="E9" s="316"/>
      <c r="F9" s="306"/>
      <c r="G9" s="306"/>
      <c r="H9" s="306"/>
      <c r="I9" s="306"/>
      <c r="J9" s="306"/>
      <c r="K9" s="306"/>
      <c r="L9" s="306"/>
      <c r="M9" s="306"/>
      <c r="N9" s="306"/>
      <c r="O9" s="306"/>
      <c r="P9" s="307"/>
    </row>
    <row r="10" spans="1:16" ht="15.75" thickBot="1">
      <c r="A10" s="326"/>
      <c r="B10" s="327"/>
      <c r="C10" s="327"/>
      <c r="D10" s="332"/>
      <c r="E10" s="310"/>
      <c r="F10" s="311"/>
      <c r="G10" s="311"/>
      <c r="H10" s="311"/>
      <c r="I10" s="311"/>
      <c r="J10" s="311"/>
      <c r="K10" s="311"/>
      <c r="L10" s="311"/>
      <c r="M10" s="311"/>
      <c r="N10" s="311"/>
      <c r="O10" s="311"/>
      <c r="P10" s="312"/>
    </row>
    <row r="11" spans="1:16">
      <c r="A11" s="1071" t="s">
        <v>5</v>
      </c>
      <c r="B11" s="1073" t="s">
        <v>431</v>
      </c>
      <c r="C11" s="1074"/>
      <c r="D11" s="1073" t="s">
        <v>432</v>
      </c>
      <c r="E11" s="1076"/>
      <c r="F11" s="1079" t="s">
        <v>433</v>
      </c>
      <c r="G11" s="1075" t="s">
        <v>434</v>
      </c>
      <c r="H11" s="1080"/>
      <c r="I11" s="1081" t="s">
        <v>435</v>
      </c>
      <c r="J11" s="1080"/>
      <c r="K11" s="1082"/>
      <c r="L11" s="1081" t="s">
        <v>436</v>
      </c>
      <c r="M11" s="1080"/>
      <c r="N11" s="1080"/>
      <c r="O11" s="1086"/>
      <c r="P11" s="1086" t="s">
        <v>40</v>
      </c>
    </row>
    <row r="12" spans="1:16" ht="15.75" thickBot="1">
      <c r="A12" s="1072"/>
      <c r="B12" s="1075"/>
      <c r="C12" s="1076"/>
      <c r="D12" s="1075"/>
      <c r="E12" s="1076"/>
      <c r="F12" s="1071"/>
      <c r="G12" s="1075"/>
      <c r="H12" s="1080"/>
      <c r="I12" s="1083"/>
      <c r="J12" s="1084"/>
      <c r="K12" s="1085"/>
      <c r="L12" s="1083"/>
      <c r="M12" s="1084"/>
      <c r="N12" s="1084"/>
      <c r="O12" s="1087"/>
      <c r="P12" s="1087"/>
    </row>
    <row r="13" spans="1:16">
      <c r="A13" s="317">
        <v>1</v>
      </c>
      <c r="B13" s="1077"/>
      <c r="C13" s="1078"/>
      <c r="D13" s="1077"/>
      <c r="E13" s="1078"/>
      <c r="F13" s="317">
        <v>6</v>
      </c>
      <c r="G13" s="1077"/>
      <c r="H13" s="1078"/>
      <c r="I13" s="318">
        <v>9</v>
      </c>
      <c r="J13" s="318"/>
      <c r="K13" s="318"/>
      <c r="L13" s="318">
        <v>9</v>
      </c>
      <c r="M13" s="318"/>
      <c r="N13" s="318"/>
      <c r="O13" s="319"/>
      <c r="P13" s="319"/>
    </row>
    <row r="14" spans="1:16" ht="89.25">
      <c r="A14" s="320"/>
      <c r="B14" s="320" t="s">
        <v>437</v>
      </c>
      <c r="C14" s="320" t="s">
        <v>438</v>
      </c>
      <c r="D14" s="320" t="s">
        <v>439</v>
      </c>
      <c r="E14" s="320" t="s">
        <v>136</v>
      </c>
      <c r="F14" s="320"/>
      <c r="G14" s="320" t="s">
        <v>440</v>
      </c>
      <c r="H14" s="320" t="s">
        <v>441</v>
      </c>
      <c r="I14" s="320" t="s">
        <v>442</v>
      </c>
      <c r="J14" s="320" t="s">
        <v>443</v>
      </c>
      <c r="K14" s="320" t="s">
        <v>444</v>
      </c>
      <c r="L14" s="320" t="s">
        <v>445</v>
      </c>
      <c r="M14" s="320" t="s">
        <v>446</v>
      </c>
      <c r="N14" s="321" t="s">
        <v>447</v>
      </c>
      <c r="O14" s="321"/>
      <c r="P14" s="321"/>
    </row>
    <row r="15" spans="1:16">
      <c r="A15" s="322" t="s">
        <v>685</v>
      </c>
      <c r="B15" s="348">
        <v>1.5</v>
      </c>
      <c r="C15" s="348">
        <v>1</v>
      </c>
      <c r="D15" s="467">
        <v>44589</v>
      </c>
      <c r="E15" s="467">
        <v>44589</v>
      </c>
      <c r="F15" s="839">
        <v>8.5</v>
      </c>
      <c r="G15" s="320"/>
      <c r="H15" s="320"/>
      <c r="I15" s="320"/>
      <c r="J15" s="320" t="s">
        <v>508</v>
      </c>
      <c r="K15" s="351" t="s">
        <v>508</v>
      </c>
      <c r="L15" s="351" t="s">
        <v>508</v>
      </c>
      <c r="M15" s="351" t="s">
        <v>508</v>
      </c>
      <c r="N15" s="320"/>
      <c r="O15" s="320"/>
      <c r="P15" s="320"/>
    </row>
    <row r="16" spans="1:16">
      <c r="A16" s="322" t="s">
        <v>702</v>
      </c>
      <c r="B16" s="348">
        <v>1.5</v>
      </c>
      <c r="C16" s="348">
        <v>0</v>
      </c>
      <c r="D16" s="348">
        <v>0</v>
      </c>
      <c r="E16" s="348">
        <v>0</v>
      </c>
      <c r="F16" s="839">
        <f>F15+B16-C16</f>
        <v>10</v>
      </c>
      <c r="G16" s="320"/>
      <c r="H16" s="320"/>
      <c r="I16" s="320"/>
      <c r="J16" s="320" t="s">
        <v>508</v>
      </c>
      <c r="K16" s="351" t="s">
        <v>508</v>
      </c>
      <c r="L16" s="351" t="s">
        <v>508</v>
      </c>
      <c r="M16" s="351" t="s">
        <v>508</v>
      </c>
      <c r="N16" s="320"/>
      <c r="O16" s="320"/>
      <c r="P16" s="320"/>
    </row>
    <row r="17" spans="1:16">
      <c r="A17" s="322" t="s">
        <v>736</v>
      </c>
      <c r="B17" s="348">
        <v>0</v>
      </c>
      <c r="C17" s="348">
        <v>0</v>
      </c>
      <c r="D17" s="348">
        <v>0</v>
      </c>
      <c r="E17" s="348">
        <v>0</v>
      </c>
      <c r="F17" s="839">
        <f>F16+B17-C17</f>
        <v>10</v>
      </c>
      <c r="G17" s="320"/>
      <c r="H17" s="320"/>
      <c r="I17" s="320"/>
      <c r="J17" s="320" t="s">
        <v>508</v>
      </c>
      <c r="K17" s="351" t="s">
        <v>558</v>
      </c>
      <c r="L17" s="351" t="s">
        <v>508</v>
      </c>
      <c r="M17" s="351" t="s">
        <v>508</v>
      </c>
      <c r="N17" s="320"/>
      <c r="O17" s="320"/>
      <c r="P17" s="320"/>
    </row>
    <row r="18" spans="1:16">
      <c r="A18" s="508" t="s">
        <v>758</v>
      </c>
      <c r="B18" s="348">
        <v>1.5</v>
      </c>
      <c r="C18" s="348">
        <v>0</v>
      </c>
      <c r="D18" s="348">
        <v>0</v>
      </c>
      <c r="E18" s="348">
        <v>0</v>
      </c>
      <c r="F18" s="839">
        <f>F17+B18-C18</f>
        <v>11.5</v>
      </c>
      <c r="G18" s="320"/>
      <c r="H18" s="320"/>
      <c r="I18" s="320"/>
      <c r="J18" s="320" t="s">
        <v>508</v>
      </c>
      <c r="K18" s="320" t="s">
        <v>508</v>
      </c>
      <c r="L18" s="351" t="s">
        <v>508</v>
      </c>
      <c r="M18" s="351" t="s">
        <v>508</v>
      </c>
      <c r="N18" s="320"/>
      <c r="O18" s="320"/>
      <c r="P18" s="320"/>
    </row>
    <row r="19" spans="1:16">
      <c r="A19" s="508"/>
      <c r="B19" s="361"/>
      <c r="C19" s="361"/>
      <c r="D19" s="320"/>
      <c r="E19" s="320"/>
      <c r="F19" s="340"/>
      <c r="G19" s="348"/>
      <c r="H19" s="320"/>
      <c r="I19" s="320"/>
      <c r="J19" s="351"/>
      <c r="K19" s="351"/>
      <c r="L19" s="351"/>
      <c r="M19" s="351"/>
      <c r="N19" s="320"/>
      <c r="O19" s="320"/>
      <c r="P19" s="320"/>
    </row>
    <row r="20" spans="1:16">
      <c r="A20" s="508"/>
      <c r="B20" s="361"/>
      <c r="C20" s="361"/>
      <c r="D20" s="320"/>
      <c r="E20" s="320"/>
      <c r="F20" s="340"/>
      <c r="G20" s="348"/>
      <c r="H20" s="320"/>
      <c r="I20" s="320"/>
      <c r="J20" s="351"/>
      <c r="K20" s="351"/>
      <c r="L20" s="351"/>
      <c r="M20" s="351"/>
      <c r="N20" s="320"/>
      <c r="O20" s="320"/>
      <c r="P20" s="320"/>
    </row>
    <row r="21" spans="1:16">
      <c r="A21" s="508"/>
      <c r="B21" s="361"/>
      <c r="C21" s="320"/>
      <c r="D21" s="467"/>
      <c r="E21" s="467"/>
      <c r="F21" s="340"/>
      <c r="G21" s="320"/>
      <c r="H21" s="320"/>
      <c r="I21" s="320"/>
      <c r="J21" s="351"/>
      <c r="K21" s="351"/>
      <c r="L21" s="351"/>
      <c r="M21" s="351"/>
      <c r="N21" s="320"/>
      <c r="O21" s="320"/>
      <c r="P21" s="320"/>
    </row>
    <row r="22" spans="1:16">
      <c r="A22" s="508"/>
      <c r="B22" s="361"/>
      <c r="C22" s="320"/>
      <c r="D22" s="467"/>
      <c r="E22" s="467"/>
      <c r="F22" s="340"/>
      <c r="G22" s="320"/>
      <c r="H22" s="320"/>
      <c r="I22" s="320"/>
      <c r="J22" s="351"/>
      <c r="K22" s="351"/>
      <c r="L22" s="351"/>
      <c r="M22" s="351"/>
      <c r="N22" s="320"/>
      <c r="O22" s="320"/>
      <c r="P22" s="320"/>
    </row>
    <row r="23" spans="1:16">
      <c r="A23" s="320"/>
      <c r="B23" s="361"/>
      <c r="C23" s="320"/>
      <c r="D23" s="320"/>
      <c r="E23" s="320"/>
      <c r="F23" s="340"/>
      <c r="G23" s="320"/>
      <c r="H23" s="320"/>
      <c r="I23" s="320"/>
      <c r="J23" s="351"/>
      <c r="K23" s="351"/>
      <c r="L23" s="351"/>
      <c r="M23" s="351"/>
      <c r="N23" s="320"/>
      <c r="O23" s="320"/>
      <c r="P23" s="320"/>
    </row>
    <row r="24" spans="1:16">
      <c r="A24" s="320"/>
      <c r="B24" s="361"/>
      <c r="C24" s="320"/>
      <c r="D24" s="467"/>
      <c r="E24" s="467"/>
      <c r="F24" s="340"/>
      <c r="G24" s="320"/>
      <c r="H24" s="320"/>
      <c r="I24" s="320"/>
      <c r="J24" s="351"/>
      <c r="K24" s="351"/>
      <c r="L24" s="351"/>
      <c r="M24" s="351"/>
      <c r="N24" s="320"/>
      <c r="O24" s="320"/>
      <c r="P24" s="320"/>
    </row>
    <row r="25" spans="1:16">
      <c r="A25" s="320"/>
      <c r="B25" s="320"/>
      <c r="C25" s="320"/>
      <c r="D25" s="320"/>
      <c r="E25" s="320"/>
      <c r="F25" s="320"/>
      <c r="G25" s="320"/>
      <c r="H25" s="320"/>
      <c r="I25" s="320"/>
      <c r="J25" s="320"/>
      <c r="K25" s="320"/>
      <c r="L25" s="320"/>
      <c r="M25" s="320"/>
      <c r="N25" s="320"/>
      <c r="O25" s="320"/>
      <c r="P25" s="320"/>
    </row>
    <row r="26" spans="1:16">
      <c r="A26" s="320"/>
      <c r="B26" s="320"/>
      <c r="C26" s="320"/>
      <c r="D26" s="320"/>
      <c r="E26" s="320"/>
      <c r="F26" s="320"/>
      <c r="G26" s="320"/>
      <c r="H26" s="320"/>
      <c r="I26" s="320"/>
      <c r="J26" s="320"/>
      <c r="K26" s="320"/>
      <c r="L26" s="320"/>
      <c r="M26" s="320"/>
      <c r="N26" s="320"/>
      <c r="O26" s="320"/>
      <c r="P26" s="320"/>
    </row>
    <row r="27" spans="1:16">
      <c r="A27" s="320"/>
      <c r="B27" s="320"/>
      <c r="C27" s="320"/>
      <c r="D27" s="320"/>
      <c r="E27" s="320"/>
      <c r="F27" s="320"/>
      <c r="G27" s="320"/>
      <c r="H27" s="320"/>
      <c r="I27" s="320"/>
      <c r="J27" s="320"/>
      <c r="K27" s="320"/>
      <c r="L27" s="320"/>
      <c r="M27" s="320"/>
      <c r="N27" s="320"/>
      <c r="O27" s="320"/>
      <c r="P27" s="320"/>
    </row>
    <row r="28" spans="1:16">
      <c r="A28" s="320"/>
      <c r="B28" s="320"/>
      <c r="C28" s="320"/>
      <c r="D28" s="320"/>
      <c r="E28" s="320"/>
      <c r="F28" s="320"/>
      <c r="G28" s="320"/>
      <c r="H28" s="320"/>
      <c r="I28" s="320"/>
      <c r="J28" s="320"/>
      <c r="K28" s="320"/>
      <c r="L28" s="320"/>
      <c r="M28" s="320"/>
      <c r="N28" s="320"/>
      <c r="O28" s="320"/>
      <c r="P28" s="320"/>
    </row>
    <row r="29" spans="1:16">
      <c r="A29" s="320"/>
      <c r="B29" s="320"/>
      <c r="C29" s="320"/>
      <c r="D29" s="320"/>
      <c r="E29" s="320"/>
      <c r="F29" s="320"/>
      <c r="G29" s="320"/>
      <c r="H29" s="320"/>
      <c r="I29" s="320"/>
      <c r="J29" s="320"/>
      <c r="K29" s="320"/>
      <c r="L29" s="320"/>
      <c r="M29" s="320"/>
      <c r="N29" s="320"/>
      <c r="O29" s="320"/>
      <c r="P29" s="320"/>
    </row>
    <row r="30" spans="1:16">
      <c r="A30" s="320"/>
      <c r="B30" s="324"/>
      <c r="C30" s="320"/>
      <c r="D30" s="320"/>
      <c r="E30" s="320"/>
      <c r="F30" s="320"/>
      <c r="G30" s="320"/>
      <c r="H30" s="320"/>
      <c r="I30" s="320"/>
      <c r="J30" s="320"/>
      <c r="K30" s="320"/>
      <c r="L30" s="320"/>
      <c r="M30" s="320"/>
      <c r="N30" s="320"/>
      <c r="O30" s="320"/>
      <c r="P30" s="320"/>
    </row>
    <row r="31" spans="1:16">
      <c r="A31" s="320"/>
      <c r="B31" s="320"/>
      <c r="C31" s="320"/>
      <c r="D31" s="320"/>
      <c r="E31" s="320"/>
      <c r="F31" s="320"/>
      <c r="G31" s="320"/>
      <c r="H31" s="320"/>
      <c r="I31" s="320"/>
      <c r="J31" s="320"/>
      <c r="K31" s="320"/>
      <c r="L31" s="320"/>
      <c r="M31" s="320"/>
      <c r="N31" s="320"/>
      <c r="O31" s="320"/>
      <c r="P31" s="320"/>
    </row>
    <row r="32" spans="1:16">
      <c r="A32" s="320"/>
      <c r="B32" s="320"/>
      <c r="C32" s="320"/>
      <c r="D32" s="320"/>
      <c r="E32" s="320"/>
      <c r="F32" s="320"/>
      <c r="G32" s="320"/>
      <c r="H32" s="320"/>
      <c r="I32" s="320"/>
      <c r="J32" s="320"/>
      <c r="K32" s="320"/>
      <c r="L32" s="320"/>
      <c r="M32" s="320"/>
      <c r="N32" s="320"/>
      <c r="O32" s="320"/>
      <c r="P32" s="320"/>
    </row>
    <row r="33" spans="1:17">
      <c r="A33" s="320"/>
      <c r="B33" s="320"/>
      <c r="C33" s="320"/>
      <c r="D33" s="320"/>
      <c r="E33" s="320"/>
      <c r="F33" s="320"/>
      <c r="G33" s="320"/>
      <c r="H33" s="320"/>
      <c r="I33" s="320"/>
      <c r="J33" s="320"/>
      <c r="K33" s="320"/>
      <c r="L33" s="320"/>
      <c r="M33" s="320"/>
      <c r="N33" s="320"/>
      <c r="O33" s="320"/>
      <c r="P33" s="320"/>
    </row>
    <row r="34" spans="1:17">
      <c r="A34" s="351"/>
      <c r="B34" s="351"/>
      <c r="C34" s="351"/>
      <c r="D34" s="351"/>
      <c r="E34" s="351"/>
      <c r="F34" s="351"/>
      <c r="G34" s="351"/>
      <c r="H34" s="351"/>
      <c r="I34" s="351"/>
      <c r="J34" s="351"/>
      <c r="K34" s="351"/>
      <c r="L34" s="351"/>
      <c r="M34" s="351"/>
      <c r="N34" s="351"/>
      <c r="O34" s="351"/>
      <c r="P34" s="320"/>
    </row>
    <row r="35" spans="1:17">
      <c r="A35" s="306"/>
      <c r="B35" s="306"/>
      <c r="C35" s="306"/>
      <c r="D35" s="306"/>
      <c r="E35" s="306"/>
      <c r="F35" s="306"/>
      <c r="G35" s="306"/>
      <c r="H35" s="306"/>
      <c r="I35" s="306"/>
      <c r="J35" s="306"/>
      <c r="K35" s="306"/>
      <c r="L35" s="306"/>
      <c r="M35" s="306"/>
      <c r="N35" s="306"/>
      <c r="O35" s="306"/>
      <c r="P35" s="502"/>
      <c r="Q35" s="392"/>
    </row>
    <row r="36" spans="1:17">
      <c r="A36" s="306"/>
      <c r="B36" s="306"/>
      <c r="C36" s="306"/>
      <c r="D36" s="306"/>
      <c r="E36" s="306"/>
      <c r="F36" s="306"/>
      <c r="G36" s="306"/>
      <c r="H36" s="306"/>
      <c r="I36" s="306"/>
      <c r="J36" s="306"/>
      <c r="K36" s="306"/>
      <c r="L36" s="306"/>
      <c r="M36" s="306"/>
      <c r="N36" s="306"/>
      <c r="O36" s="306"/>
      <c r="P36" s="502"/>
      <c r="Q36" s="392"/>
    </row>
    <row r="37" spans="1:17">
      <c r="A37" s="306"/>
      <c r="B37" s="306"/>
      <c r="C37" s="306"/>
      <c r="D37" s="306"/>
      <c r="E37" s="306"/>
      <c r="F37" s="306"/>
      <c r="G37" s="306"/>
      <c r="H37" s="306"/>
      <c r="I37" s="306"/>
      <c r="J37" s="306"/>
      <c r="K37" s="306"/>
      <c r="L37" s="306"/>
      <c r="M37" s="306"/>
      <c r="N37" s="306"/>
      <c r="O37" s="306"/>
      <c r="P37" s="502"/>
      <c r="Q37" s="392"/>
    </row>
    <row r="38" spans="1:17">
      <c r="A38" s="306"/>
      <c r="B38" s="306"/>
      <c r="C38" s="306"/>
      <c r="D38" s="306"/>
      <c r="E38" s="306"/>
      <c r="F38" s="306"/>
      <c r="G38" s="306"/>
      <c r="H38" s="306"/>
      <c r="I38" s="306"/>
      <c r="J38" s="306"/>
      <c r="K38" s="306"/>
      <c r="L38" s="306"/>
      <c r="M38" s="306"/>
      <c r="N38" s="306"/>
      <c r="O38" s="306"/>
      <c r="P38" s="502"/>
      <c r="Q38" s="392"/>
    </row>
    <row r="39" spans="1:17">
      <c r="A39" s="306"/>
      <c r="B39" s="306"/>
      <c r="C39" s="306"/>
      <c r="D39" s="306"/>
      <c r="E39" s="306"/>
      <c r="F39" s="306"/>
      <c r="G39" s="306"/>
      <c r="H39" s="306"/>
      <c r="I39" s="306"/>
      <c r="J39" s="306"/>
      <c r="K39" s="306"/>
      <c r="L39" s="306"/>
      <c r="M39" s="306"/>
      <c r="N39" s="306"/>
      <c r="O39" s="306"/>
      <c r="P39" s="502"/>
      <c r="Q39" s="392"/>
    </row>
    <row r="40" spans="1:17">
      <c r="A40" s="306"/>
      <c r="B40" s="306"/>
      <c r="C40" s="306"/>
      <c r="D40" s="306"/>
      <c r="E40" s="306"/>
      <c r="F40" s="306"/>
      <c r="G40" s="306"/>
      <c r="H40" s="306"/>
      <c r="I40" s="306"/>
      <c r="J40" s="306"/>
      <c r="K40" s="306"/>
      <c r="L40" s="306"/>
      <c r="M40" s="306"/>
      <c r="N40" s="306"/>
      <c r="O40" s="306"/>
      <c r="P40" s="502"/>
      <c r="Q40" s="392"/>
    </row>
    <row r="41" spans="1:17">
      <c r="A41" s="324"/>
      <c r="B41" s="324"/>
      <c r="C41" s="324"/>
      <c r="D41" s="324"/>
      <c r="E41" s="324"/>
      <c r="F41" s="324"/>
      <c r="G41" s="324"/>
      <c r="H41" s="324"/>
      <c r="I41" s="324"/>
      <c r="J41" s="324"/>
      <c r="K41" s="324"/>
      <c r="L41" s="324"/>
      <c r="M41" s="324"/>
      <c r="N41" s="324"/>
      <c r="O41" s="324"/>
      <c r="P41" s="324"/>
    </row>
    <row r="42" spans="1:17">
      <c r="A42" s="324"/>
      <c r="B42" s="324"/>
      <c r="C42" s="324"/>
      <c r="D42" s="324"/>
      <c r="E42" s="324"/>
      <c r="F42" s="324"/>
      <c r="G42" s="1089" t="s">
        <v>38</v>
      </c>
      <c r="H42" s="1089"/>
      <c r="I42" s="1089"/>
      <c r="J42" s="1089"/>
      <c r="K42" s="1089"/>
      <c r="L42" s="1089"/>
      <c r="M42" s="1089"/>
      <c r="N42" s="1089"/>
      <c r="O42" s="343"/>
      <c r="P42" s="343"/>
    </row>
    <row r="47" spans="1:17" ht="15.75" thickBot="1"/>
    <row r="48" spans="1:17" ht="23.25">
      <c r="A48" s="1062" t="s">
        <v>428</v>
      </c>
      <c r="B48" s="1063"/>
      <c r="C48" s="1063"/>
      <c r="D48" s="1063"/>
      <c r="E48" s="1063"/>
      <c r="F48" s="1063"/>
      <c r="G48" s="1063"/>
      <c r="H48" s="1063"/>
      <c r="I48" s="1063"/>
      <c r="J48" s="1063"/>
      <c r="K48" s="1063"/>
      <c r="L48" s="1063"/>
      <c r="M48" s="1063"/>
      <c r="N48" s="1063"/>
      <c r="O48" s="493"/>
      <c r="P48" s="297"/>
    </row>
    <row r="49" spans="1:16" ht="24" thickBot="1">
      <c r="A49" s="1064"/>
      <c r="B49" s="1065"/>
      <c r="C49" s="1065"/>
      <c r="D49" s="1065"/>
      <c r="E49" s="1065"/>
      <c r="F49" s="1065"/>
      <c r="G49" s="1065"/>
      <c r="H49" s="1065"/>
      <c r="I49" s="1065"/>
      <c r="J49" s="1065"/>
      <c r="K49" s="1065"/>
      <c r="L49" s="1065"/>
      <c r="M49" s="1065"/>
      <c r="N49" s="1065"/>
      <c r="O49" s="494"/>
      <c r="P49" s="298"/>
    </row>
    <row r="50" spans="1:16" ht="15.75" thickBot="1">
      <c r="A50" s="1066" t="s">
        <v>429</v>
      </c>
      <c r="B50" s="1067"/>
      <c r="C50" s="1067"/>
      <c r="D50" s="1067"/>
      <c r="E50" s="1067"/>
      <c r="F50" s="1067"/>
      <c r="G50" s="1067"/>
      <c r="H50" s="1067"/>
      <c r="I50" s="1067"/>
      <c r="J50" s="1067"/>
      <c r="K50" s="1067"/>
      <c r="L50" s="1067"/>
      <c r="M50" s="1067"/>
      <c r="N50" s="1067"/>
      <c r="O50" s="492"/>
      <c r="P50" s="299"/>
    </row>
    <row r="51" spans="1:16">
      <c r="A51" s="300" t="s">
        <v>460</v>
      </c>
      <c r="B51" s="301"/>
      <c r="C51" s="301"/>
      <c r="D51" s="302"/>
      <c r="E51" s="1068" t="s">
        <v>461</v>
      </c>
      <c r="F51" s="1069"/>
      <c r="G51" s="1069"/>
      <c r="H51" s="328"/>
      <c r="I51" s="328"/>
      <c r="J51" s="328"/>
      <c r="K51" s="328"/>
      <c r="L51" s="328"/>
      <c r="M51" s="328"/>
      <c r="N51" s="328"/>
      <c r="O51" s="303"/>
      <c r="P51" s="304"/>
    </row>
    <row r="52" spans="1:16">
      <c r="A52" s="305"/>
      <c r="B52" s="306" t="str">
        <f>'4-22MASTER'!G5</f>
        <v>Burgeon IT Services Pvt.Ltd.</v>
      </c>
      <c r="C52" s="306"/>
      <c r="D52" s="307"/>
      <c r="E52" s="329"/>
      <c r="F52" s="330"/>
      <c r="G52" s="1088" t="str">
        <f>'PUNE ASC-APRIL 22WM REG'!B37</f>
        <v>Ved Prakash</v>
      </c>
      <c r="H52" s="1088"/>
      <c r="I52" s="1088"/>
      <c r="J52" s="330"/>
      <c r="K52" s="330"/>
      <c r="L52" s="330"/>
      <c r="M52" s="330"/>
      <c r="N52" s="330"/>
      <c r="O52" s="308"/>
      <c r="P52" s="309"/>
    </row>
    <row r="53" spans="1:16" ht="15.75" thickBot="1">
      <c r="A53" s="310"/>
      <c r="B53" s="311" t="str">
        <f>'4-22MASTER'!G6</f>
        <v>Siri Mansion LIGB 436 Dr.A S Rao Nagar,Hyderabad</v>
      </c>
      <c r="C53" s="311"/>
      <c r="D53" s="312"/>
      <c r="E53" s="329"/>
      <c r="F53" s="330"/>
      <c r="G53" s="330"/>
      <c r="H53" s="330"/>
      <c r="I53" s="330"/>
      <c r="J53" s="330"/>
      <c r="K53" s="330"/>
      <c r="L53" s="330"/>
      <c r="M53" s="330"/>
      <c r="N53" s="330"/>
      <c r="O53" s="308"/>
      <c r="P53" s="309"/>
    </row>
    <row r="54" spans="1:16">
      <c r="A54" s="331" t="s">
        <v>462</v>
      </c>
      <c r="B54" s="301"/>
      <c r="C54" s="301"/>
      <c r="D54" s="302"/>
      <c r="E54" s="313" t="s">
        <v>430</v>
      </c>
      <c r="F54" s="301"/>
      <c r="G54" s="314" t="str">
        <f>'PUNE ASC-APRIL 22WM REG'!I37</f>
        <v>4th May 2021</v>
      </c>
      <c r="H54" s="301"/>
      <c r="I54" s="301"/>
      <c r="J54" s="301"/>
      <c r="K54" s="301"/>
      <c r="L54" s="301"/>
      <c r="M54" s="301"/>
      <c r="N54" s="301"/>
      <c r="O54" s="301"/>
      <c r="P54" s="302"/>
    </row>
    <row r="55" spans="1:16">
      <c r="A55" s="325"/>
      <c r="B55" s="306"/>
      <c r="C55" s="306" t="str">
        <f>'4-22MASTER'!G8</f>
        <v>IT SUPPORTIVE SERVICES &amp; PUNE ASC SEZ</v>
      </c>
      <c r="D55" s="307"/>
      <c r="E55" s="315"/>
      <c r="F55" s="306"/>
      <c r="G55" s="306"/>
      <c r="H55" s="306"/>
      <c r="I55" s="306"/>
      <c r="J55" s="306"/>
      <c r="K55" s="306"/>
      <c r="L55" s="306"/>
      <c r="M55" s="306"/>
      <c r="N55" s="306"/>
      <c r="O55" s="306"/>
      <c r="P55" s="307"/>
    </row>
    <row r="56" spans="1:16">
      <c r="A56" s="325"/>
      <c r="B56" s="306"/>
      <c r="C56" s="306"/>
      <c r="D56" s="307"/>
      <c r="E56" s="316"/>
      <c r="F56" s="306"/>
      <c r="G56" s="306"/>
      <c r="H56" s="306"/>
      <c r="I56" s="306"/>
      <c r="J56" s="306"/>
      <c r="K56" s="306"/>
      <c r="L56" s="306"/>
      <c r="M56" s="306"/>
      <c r="N56" s="306"/>
      <c r="O56" s="306"/>
      <c r="P56" s="307"/>
    </row>
    <row r="57" spans="1:16" ht="15.75" thickBot="1">
      <c r="A57" s="326"/>
      <c r="B57" s="327"/>
      <c r="C57" s="327"/>
      <c r="D57" s="332"/>
      <c r="E57" s="310"/>
      <c r="F57" s="311"/>
      <c r="G57" s="311"/>
      <c r="H57" s="311"/>
      <c r="I57" s="311"/>
      <c r="J57" s="311"/>
      <c r="K57" s="311"/>
      <c r="L57" s="311"/>
      <c r="M57" s="311"/>
      <c r="N57" s="311"/>
      <c r="O57" s="311"/>
      <c r="P57" s="312"/>
    </row>
    <row r="58" spans="1:16">
      <c r="A58" s="1071" t="s">
        <v>5</v>
      </c>
      <c r="B58" s="1073" t="s">
        <v>431</v>
      </c>
      <c r="C58" s="1074"/>
      <c r="D58" s="1073" t="s">
        <v>432</v>
      </c>
      <c r="E58" s="1076"/>
      <c r="F58" s="1079" t="s">
        <v>433</v>
      </c>
      <c r="G58" s="1075" t="s">
        <v>434</v>
      </c>
      <c r="H58" s="1080"/>
      <c r="I58" s="1081" t="s">
        <v>435</v>
      </c>
      <c r="J58" s="1080"/>
      <c r="K58" s="1082"/>
      <c r="L58" s="1081" t="s">
        <v>436</v>
      </c>
      <c r="M58" s="1080"/>
      <c r="N58" s="1080"/>
      <c r="O58" s="1086"/>
      <c r="P58" s="1086" t="s">
        <v>40</v>
      </c>
    </row>
    <row r="59" spans="1:16" ht="15.75" thickBot="1">
      <c r="A59" s="1072"/>
      <c r="B59" s="1075"/>
      <c r="C59" s="1076"/>
      <c r="D59" s="1075"/>
      <c r="E59" s="1076"/>
      <c r="F59" s="1071"/>
      <c r="G59" s="1075"/>
      <c r="H59" s="1080"/>
      <c r="I59" s="1083"/>
      <c r="J59" s="1084"/>
      <c r="K59" s="1085"/>
      <c r="L59" s="1083"/>
      <c r="M59" s="1084"/>
      <c r="N59" s="1084"/>
      <c r="O59" s="1087"/>
      <c r="P59" s="1087"/>
    </row>
    <row r="60" spans="1:16">
      <c r="A60" s="317">
        <v>1</v>
      </c>
      <c r="B60" s="1077"/>
      <c r="C60" s="1078"/>
      <c r="D60" s="1077"/>
      <c r="E60" s="1078"/>
      <c r="F60" s="317">
        <v>6</v>
      </c>
      <c r="G60" s="1077"/>
      <c r="H60" s="1078"/>
      <c r="I60" s="318">
        <v>9</v>
      </c>
      <c r="J60" s="318"/>
      <c r="K60" s="318"/>
      <c r="L60" s="318">
        <v>9</v>
      </c>
      <c r="M60" s="318"/>
      <c r="N60" s="318"/>
      <c r="O60" s="319"/>
      <c r="P60" s="319"/>
    </row>
    <row r="61" spans="1:16" ht="42" customHeight="1">
      <c r="A61" s="320"/>
      <c r="B61" s="320" t="s">
        <v>437</v>
      </c>
      <c r="C61" s="320" t="s">
        <v>438</v>
      </c>
      <c r="D61" s="320" t="s">
        <v>439</v>
      </c>
      <c r="E61" s="320" t="s">
        <v>136</v>
      </c>
      <c r="F61" s="320"/>
      <c r="G61" s="320" t="s">
        <v>440</v>
      </c>
      <c r="H61" s="320" t="s">
        <v>441</v>
      </c>
      <c r="I61" s="320" t="s">
        <v>442</v>
      </c>
      <c r="J61" s="320" t="s">
        <v>443</v>
      </c>
      <c r="K61" s="320" t="s">
        <v>444</v>
      </c>
      <c r="L61" s="320" t="s">
        <v>445</v>
      </c>
      <c r="M61" s="320" t="s">
        <v>446</v>
      </c>
      <c r="N61" s="321" t="s">
        <v>447</v>
      </c>
      <c r="O61" s="321"/>
      <c r="P61" s="321"/>
    </row>
    <row r="62" spans="1:16">
      <c r="A62" s="322" t="s">
        <v>685</v>
      </c>
      <c r="B62" s="348">
        <v>1.5</v>
      </c>
      <c r="C62" s="320"/>
      <c r="D62" s="320"/>
      <c r="E62" s="320"/>
      <c r="F62" s="320">
        <v>9.5</v>
      </c>
      <c r="G62" s="320"/>
      <c r="H62" s="320"/>
      <c r="I62" s="320"/>
      <c r="J62" s="320" t="s">
        <v>508</v>
      </c>
      <c r="K62" s="351" t="s">
        <v>508</v>
      </c>
      <c r="L62" s="351" t="s">
        <v>508</v>
      </c>
      <c r="M62" s="351" t="s">
        <v>508</v>
      </c>
      <c r="N62" s="320"/>
      <c r="O62" s="320"/>
      <c r="P62" s="320"/>
    </row>
    <row r="63" spans="1:16">
      <c r="A63" s="322" t="s">
        <v>702</v>
      </c>
      <c r="B63" s="348">
        <v>1.5</v>
      </c>
      <c r="C63" s="348">
        <v>1</v>
      </c>
      <c r="D63" s="467">
        <v>44603</v>
      </c>
      <c r="E63" s="467">
        <v>44603</v>
      </c>
      <c r="F63" s="839">
        <f>F62+B63-C63</f>
        <v>10</v>
      </c>
      <c r="G63" s="320"/>
      <c r="H63" s="320"/>
      <c r="I63" s="320"/>
      <c r="J63" s="320" t="s">
        <v>508</v>
      </c>
      <c r="K63" s="351" t="s">
        <v>508</v>
      </c>
      <c r="L63" s="351" t="s">
        <v>508</v>
      </c>
      <c r="M63" s="351" t="s">
        <v>508</v>
      </c>
      <c r="N63" s="320"/>
      <c r="O63" s="320"/>
      <c r="P63" s="320"/>
    </row>
    <row r="64" spans="1:16">
      <c r="A64" s="322" t="s">
        <v>736</v>
      </c>
      <c r="B64" s="348">
        <v>1.5</v>
      </c>
      <c r="C64" s="348">
        <v>1</v>
      </c>
      <c r="D64" s="869">
        <v>44648</v>
      </c>
      <c r="E64" s="869">
        <v>44620</v>
      </c>
      <c r="F64" s="839">
        <f>F63+B64-C64</f>
        <v>10.5</v>
      </c>
      <c r="G64" s="320"/>
      <c r="H64" s="320"/>
      <c r="I64" s="320"/>
      <c r="J64" s="320" t="s">
        <v>508</v>
      </c>
      <c r="K64" s="351" t="s">
        <v>508</v>
      </c>
      <c r="L64" s="351" t="s">
        <v>508</v>
      </c>
      <c r="M64" s="351" t="s">
        <v>508</v>
      </c>
      <c r="N64" s="320"/>
      <c r="O64" s="320"/>
      <c r="P64" s="320"/>
    </row>
    <row r="65" spans="1:16">
      <c r="A65" s="508" t="s">
        <v>758</v>
      </c>
      <c r="B65" s="348">
        <v>1.5</v>
      </c>
      <c r="C65" s="348">
        <v>0</v>
      </c>
      <c r="D65" s="348">
        <v>0</v>
      </c>
      <c r="E65" s="348">
        <v>0</v>
      </c>
      <c r="F65" s="839">
        <f>F64+B65-C65</f>
        <v>12</v>
      </c>
      <c r="G65" s="320"/>
      <c r="H65" s="320"/>
      <c r="I65" s="320"/>
      <c r="J65" s="320" t="s">
        <v>508</v>
      </c>
      <c r="K65" s="320" t="s">
        <v>508</v>
      </c>
      <c r="L65" s="351" t="s">
        <v>508</v>
      </c>
      <c r="M65" s="351" t="s">
        <v>508</v>
      </c>
      <c r="N65" s="320"/>
      <c r="O65" s="320"/>
      <c r="P65" s="320"/>
    </row>
    <row r="66" spans="1:16">
      <c r="A66" s="508"/>
      <c r="B66" s="361"/>
      <c r="C66" s="361"/>
      <c r="D66" s="467"/>
      <c r="E66" s="467"/>
      <c r="F66" s="340"/>
      <c r="G66" s="348"/>
      <c r="H66" s="320"/>
      <c r="I66" s="320"/>
      <c r="J66" s="351"/>
      <c r="K66" s="351"/>
      <c r="L66" s="351"/>
      <c r="M66" s="351"/>
      <c r="N66" s="320"/>
      <c r="O66" s="320"/>
      <c r="P66" s="320"/>
    </row>
    <row r="67" spans="1:16">
      <c r="A67" s="508"/>
      <c r="B67" s="361"/>
      <c r="C67" s="320"/>
      <c r="D67" s="320"/>
      <c r="E67" s="320"/>
      <c r="F67" s="340"/>
      <c r="G67" s="320"/>
      <c r="H67" s="320"/>
      <c r="I67" s="320"/>
      <c r="J67" s="351"/>
      <c r="K67" s="351"/>
      <c r="L67" s="351"/>
      <c r="M67" s="351"/>
      <c r="N67" s="320"/>
      <c r="O67" s="320"/>
      <c r="P67" s="320"/>
    </row>
    <row r="68" spans="1:16" ht="16.899999999999999" customHeight="1">
      <c r="A68" s="508"/>
      <c r="B68" s="361"/>
      <c r="C68" s="320"/>
      <c r="D68" s="320"/>
      <c r="E68" s="320"/>
      <c r="F68" s="340"/>
      <c r="G68" s="320"/>
      <c r="H68" s="320"/>
      <c r="I68" s="320"/>
      <c r="J68" s="351"/>
      <c r="K68" s="351"/>
      <c r="L68" s="351"/>
      <c r="M68" s="351"/>
      <c r="N68" s="320"/>
      <c r="O68" s="320"/>
      <c r="P68" s="320"/>
    </row>
    <row r="69" spans="1:16">
      <c r="A69" s="320"/>
      <c r="B69" s="361"/>
      <c r="C69" s="320"/>
      <c r="D69" s="467"/>
      <c r="E69" s="467"/>
      <c r="F69" s="340"/>
      <c r="G69" s="320"/>
      <c r="H69" s="320"/>
      <c r="I69" s="320"/>
      <c r="J69" s="351"/>
      <c r="K69" s="351"/>
      <c r="L69" s="351"/>
      <c r="M69" s="351"/>
      <c r="N69" s="320"/>
      <c r="O69" s="320"/>
      <c r="P69" s="320"/>
    </row>
    <row r="70" spans="1:16">
      <c r="A70" s="320"/>
      <c r="B70" s="361"/>
      <c r="C70" s="320"/>
      <c r="D70" s="320"/>
      <c r="E70" s="320"/>
      <c r="F70" s="340"/>
      <c r="G70" s="320"/>
      <c r="H70" s="320"/>
      <c r="I70" s="320"/>
      <c r="J70" s="351"/>
      <c r="K70" s="351"/>
      <c r="L70" s="351"/>
      <c r="M70" s="351"/>
      <c r="N70" s="320"/>
      <c r="O70" s="320"/>
      <c r="P70" s="320"/>
    </row>
    <row r="71" spans="1:16">
      <c r="A71" s="320"/>
      <c r="B71" s="320"/>
      <c r="C71" s="320"/>
      <c r="D71" s="320"/>
      <c r="E71" s="320"/>
      <c r="F71" s="320"/>
      <c r="G71" s="320"/>
      <c r="H71" s="320"/>
      <c r="I71" s="320"/>
      <c r="J71" s="320"/>
      <c r="K71" s="320"/>
      <c r="L71" s="320"/>
      <c r="M71" s="320"/>
      <c r="N71" s="320"/>
      <c r="O71" s="320"/>
      <c r="P71" s="320"/>
    </row>
    <row r="72" spans="1:16">
      <c r="A72" s="320"/>
      <c r="B72" s="320"/>
      <c r="C72" s="320"/>
      <c r="D72" s="320"/>
      <c r="E72" s="320"/>
      <c r="F72" s="320"/>
      <c r="G72" s="320"/>
      <c r="H72" s="320"/>
      <c r="I72" s="320"/>
      <c r="J72" s="320"/>
      <c r="K72" s="320"/>
      <c r="L72" s="320"/>
      <c r="M72" s="320"/>
      <c r="N72" s="320"/>
      <c r="O72" s="320"/>
      <c r="P72" s="320"/>
    </row>
    <row r="73" spans="1:16">
      <c r="A73" s="320"/>
      <c r="B73" s="320"/>
      <c r="C73" s="320"/>
      <c r="D73" s="320"/>
      <c r="E73" s="320"/>
      <c r="F73" s="320"/>
      <c r="G73" s="320"/>
      <c r="H73" s="320"/>
      <c r="I73" s="320"/>
      <c r="J73" s="320"/>
      <c r="K73" s="320"/>
      <c r="L73" s="320"/>
      <c r="M73" s="320"/>
      <c r="N73" s="320"/>
      <c r="O73" s="320"/>
      <c r="P73" s="320"/>
    </row>
    <row r="74" spans="1:16">
      <c r="A74" s="320"/>
      <c r="B74" s="320"/>
      <c r="C74" s="320"/>
      <c r="D74" s="320"/>
      <c r="E74" s="320"/>
      <c r="F74" s="320"/>
      <c r="G74" s="320"/>
      <c r="H74" s="320"/>
      <c r="I74" s="320"/>
      <c r="J74" s="320"/>
      <c r="K74" s="320"/>
      <c r="L74" s="320"/>
      <c r="M74" s="320"/>
      <c r="N74" s="320"/>
      <c r="O74" s="320"/>
      <c r="P74" s="320"/>
    </row>
    <row r="75" spans="1:16">
      <c r="A75" s="320"/>
      <c r="B75" s="320"/>
      <c r="C75" s="320"/>
      <c r="D75" s="320"/>
      <c r="E75" s="320"/>
      <c r="F75" s="320"/>
      <c r="G75" s="320"/>
      <c r="H75" s="320"/>
      <c r="I75" s="320"/>
      <c r="J75" s="320"/>
      <c r="K75" s="320"/>
      <c r="L75" s="320"/>
      <c r="M75" s="320"/>
      <c r="N75" s="320"/>
      <c r="O75" s="320"/>
      <c r="P75" s="320"/>
    </row>
    <row r="76" spans="1:16">
      <c r="A76" s="320"/>
      <c r="B76" s="320"/>
      <c r="C76" s="320"/>
      <c r="D76" s="320"/>
      <c r="E76" s="320"/>
      <c r="F76" s="320"/>
      <c r="G76" s="320"/>
      <c r="H76" s="320"/>
      <c r="I76" s="320"/>
      <c r="J76" s="320"/>
      <c r="K76" s="320"/>
      <c r="L76" s="320"/>
      <c r="M76" s="320"/>
      <c r="N76" s="320"/>
      <c r="O76" s="320"/>
      <c r="P76" s="320"/>
    </row>
    <row r="77" spans="1:16">
      <c r="A77" s="320"/>
      <c r="B77" s="324"/>
      <c r="C77" s="320"/>
      <c r="D77" s="320"/>
      <c r="E77" s="320"/>
      <c r="F77" s="320"/>
      <c r="G77" s="320"/>
      <c r="H77" s="320"/>
      <c r="I77" s="320"/>
      <c r="J77" s="320"/>
      <c r="K77" s="320"/>
      <c r="L77" s="320"/>
      <c r="M77" s="320"/>
      <c r="N77" s="320"/>
      <c r="O77" s="320"/>
      <c r="P77" s="320"/>
    </row>
    <row r="78" spans="1:16">
      <c r="A78" s="320"/>
      <c r="B78" s="320"/>
      <c r="C78" s="320"/>
      <c r="D78" s="320"/>
      <c r="E78" s="320"/>
      <c r="F78" s="320"/>
      <c r="G78" s="320"/>
      <c r="H78" s="320"/>
      <c r="I78" s="320"/>
      <c r="J78" s="320"/>
      <c r="K78" s="320"/>
      <c r="L78" s="320"/>
      <c r="M78" s="320"/>
      <c r="N78" s="320"/>
      <c r="O78" s="320"/>
      <c r="P78" s="320"/>
    </row>
    <row r="79" spans="1:16">
      <c r="A79" s="320"/>
      <c r="B79" s="320"/>
      <c r="C79" s="320"/>
      <c r="D79" s="320"/>
      <c r="E79" s="320"/>
      <c r="F79" s="320"/>
      <c r="G79" s="320"/>
      <c r="H79" s="320"/>
      <c r="I79" s="320"/>
      <c r="J79" s="320"/>
      <c r="K79" s="320"/>
      <c r="L79" s="320"/>
      <c r="M79" s="320"/>
      <c r="N79" s="320"/>
      <c r="O79" s="320"/>
      <c r="P79" s="320"/>
    </row>
    <row r="80" spans="1:16">
      <c r="A80" s="320"/>
      <c r="B80" s="320"/>
      <c r="C80" s="320"/>
      <c r="D80" s="320"/>
      <c r="E80" s="320"/>
      <c r="F80" s="320"/>
      <c r="G80" s="320"/>
      <c r="H80" s="320"/>
      <c r="I80" s="320"/>
      <c r="J80" s="320"/>
      <c r="K80" s="320"/>
      <c r="L80" s="320"/>
      <c r="M80" s="320"/>
      <c r="N80" s="320"/>
      <c r="O80" s="320"/>
      <c r="P80" s="320"/>
    </row>
    <row r="81" spans="1:17">
      <c r="A81" s="351"/>
      <c r="B81" s="351"/>
      <c r="C81" s="351"/>
      <c r="D81" s="351"/>
      <c r="E81" s="351"/>
      <c r="F81" s="351"/>
      <c r="G81" s="351"/>
      <c r="H81" s="351"/>
      <c r="I81" s="351"/>
      <c r="J81" s="351"/>
      <c r="K81" s="351"/>
      <c r="L81" s="351"/>
      <c r="M81" s="351"/>
      <c r="N81" s="351"/>
      <c r="O81" s="351"/>
      <c r="P81" s="320"/>
    </row>
    <row r="82" spans="1:17">
      <c r="A82" s="306"/>
      <c r="B82" s="306"/>
      <c r="C82" s="306"/>
      <c r="D82" s="306"/>
      <c r="E82" s="306"/>
      <c r="F82" s="306"/>
      <c r="G82" s="306"/>
      <c r="H82" s="306"/>
      <c r="I82" s="306"/>
      <c r="J82" s="306"/>
      <c r="K82" s="306"/>
      <c r="L82" s="306"/>
      <c r="M82" s="306"/>
      <c r="N82" s="306"/>
      <c r="O82" s="306"/>
      <c r="P82" s="502"/>
      <c r="Q82" s="392"/>
    </row>
    <row r="83" spans="1:17">
      <c r="A83" s="306"/>
      <c r="B83" s="306"/>
      <c r="C83" s="306"/>
      <c r="D83" s="306"/>
      <c r="E83" s="306"/>
      <c r="F83" s="306"/>
      <c r="G83" s="306"/>
      <c r="H83" s="306"/>
      <c r="I83" s="306"/>
      <c r="J83" s="306"/>
      <c r="K83" s="306"/>
      <c r="L83" s="306"/>
      <c r="M83" s="306"/>
      <c r="N83" s="306"/>
      <c r="O83" s="306"/>
      <c r="P83" s="502"/>
      <c r="Q83" s="392"/>
    </row>
    <row r="84" spans="1:17">
      <c r="A84" s="306"/>
      <c r="B84" s="306"/>
      <c r="C84" s="306"/>
      <c r="D84" s="306"/>
      <c r="E84" s="306"/>
      <c r="F84" s="306"/>
      <c r="G84" s="306"/>
      <c r="H84" s="306"/>
      <c r="I84" s="306"/>
      <c r="J84" s="306"/>
      <c r="K84" s="306"/>
      <c r="L84" s="306"/>
      <c r="M84" s="306"/>
      <c r="N84" s="306"/>
      <c r="O84" s="306"/>
      <c r="P84" s="502"/>
      <c r="Q84" s="392"/>
    </row>
    <row r="85" spans="1:17">
      <c r="A85" s="306"/>
      <c r="B85" s="306"/>
      <c r="C85" s="306"/>
      <c r="D85" s="306"/>
      <c r="E85" s="306"/>
      <c r="F85" s="306"/>
      <c r="G85" s="306"/>
      <c r="H85" s="306"/>
      <c r="I85" s="306"/>
      <c r="J85" s="306"/>
      <c r="K85" s="306"/>
      <c r="L85" s="306"/>
      <c r="M85" s="306"/>
      <c r="N85" s="306"/>
      <c r="O85" s="306"/>
      <c r="P85" s="502"/>
      <c r="Q85" s="392"/>
    </row>
    <row r="86" spans="1:17">
      <c r="A86" s="306"/>
      <c r="B86" s="306"/>
      <c r="C86" s="306"/>
      <c r="D86" s="306"/>
      <c r="E86" s="306"/>
      <c r="F86" s="306"/>
      <c r="G86" s="306"/>
      <c r="H86" s="306"/>
      <c r="I86" s="306"/>
      <c r="J86" s="306"/>
      <c r="K86" s="306"/>
      <c r="L86" s="306"/>
      <c r="M86" s="306"/>
      <c r="N86" s="306"/>
      <c r="O86" s="306"/>
      <c r="P86" s="502"/>
      <c r="Q86" s="392"/>
    </row>
    <row r="87" spans="1:17">
      <c r="A87" s="306"/>
      <c r="B87" s="306"/>
      <c r="C87" s="306"/>
      <c r="D87" s="306"/>
      <c r="E87" s="306"/>
      <c r="F87" s="306"/>
      <c r="G87" s="306"/>
      <c r="H87" s="306"/>
      <c r="I87" s="306"/>
      <c r="J87" s="306"/>
      <c r="K87" s="306"/>
      <c r="L87" s="306"/>
      <c r="M87" s="306"/>
      <c r="N87" s="306"/>
      <c r="O87" s="306"/>
      <c r="P87" s="502"/>
      <c r="Q87" s="392"/>
    </row>
    <row r="88" spans="1:17">
      <c r="A88" s="324"/>
      <c r="B88" s="324"/>
      <c r="C88" s="324"/>
      <c r="D88" s="324"/>
      <c r="E88" s="324"/>
      <c r="F88" s="324"/>
      <c r="G88" s="324"/>
      <c r="H88" s="324"/>
      <c r="I88" s="324"/>
      <c r="J88" s="324"/>
      <c r="K88" s="324"/>
      <c r="L88" s="324"/>
      <c r="M88" s="324"/>
      <c r="N88" s="324"/>
      <c r="O88" s="324"/>
      <c r="P88" s="324"/>
    </row>
    <row r="89" spans="1:17">
      <c r="A89" s="324"/>
      <c r="B89" s="324"/>
      <c r="C89" s="324"/>
      <c r="D89" s="324"/>
      <c r="E89" s="324"/>
      <c r="F89" s="324"/>
      <c r="G89" s="1089" t="s">
        <v>38</v>
      </c>
      <c r="H89" s="1089"/>
      <c r="I89" s="1089"/>
      <c r="J89" s="1089"/>
      <c r="K89" s="1089"/>
      <c r="L89" s="1089"/>
      <c r="M89" s="1089"/>
      <c r="N89" s="1089"/>
      <c r="O89" s="491"/>
      <c r="P89" s="491"/>
    </row>
    <row r="94" spans="1:17" ht="15.75" thickBot="1"/>
    <row r="95" spans="1:17" ht="23.25">
      <c r="A95" s="1062" t="s">
        <v>428</v>
      </c>
      <c r="B95" s="1063"/>
      <c r="C95" s="1063"/>
      <c r="D95" s="1063"/>
      <c r="E95" s="1063"/>
      <c r="F95" s="1063"/>
      <c r="G95" s="1063"/>
      <c r="H95" s="1063"/>
      <c r="I95" s="1063"/>
      <c r="J95" s="1063"/>
      <c r="K95" s="1063"/>
      <c r="L95" s="1063"/>
      <c r="M95" s="1063"/>
      <c r="N95" s="1063"/>
      <c r="O95" s="493"/>
      <c r="P95" s="297"/>
    </row>
    <row r="96" spans="1:17" ht="24" thickBot="1">
      <c r="A96" s="1064"/>
      <c r="B96" s="1065"/>
      <c r="C96" s="1065"/>
      <c r="D96" s="1065"/>
      <c r="E96" s="1065"/>
      <c r="F96" s="1065"/>
      <c r="G96" s="1065"/>
      <c r="H96" s="1065"/>
      <c r="I96" s="1065"/>
      <c r="J96" s="1065"/>
      <c r="K96" s="1065"/>
      <c r="L96" s="1065"/>
      <c r="M96" s="1065"/>
      <c r="N96" s="1065"/>
      <c r="O96" s="494"/>
      <c r="P96" s="298"/>
    </row>
    <row r="97" spans="1:16" ht="15.75" thickBot="1">
      <c r="A97" s="1066" t="s">
        <v>429</v>
      </c>
      <c r="B97" s="1067"/>
      <c r="C97" s="1067"/>
      <c r="D97" s="1067"/>
      <c r="E97" s="1067"/>
      <c r="F97" s="1067"/>
      <c r="G97" s="1067"/>
      <c r="H97" s="1067"/>
      <c r="I97" s="1067"/>
      <c r="J97" s="1067"/>
      <c r="K97" s="1067"/>
      <c r="L97" s="1067"/>
      <c r="M97" s="1067"/>
      <c r="N97" s="1067"/>
      <c r="O97" s="492"/>
      <c r="P97" s="299"/>
    </row>
    <row r="98" spans="1:16">
      <c r="A98" s="300" t="s">
        <v>460</v>
      </c>
      <c r="B98" s="301"/>
      <c r="C98" s="301"/>
      <c r="D98" s="302"/>
      <c r="E98" s="1068" t="s">
        <v>461</v>
      </c>
      <c r="F98" s="1069"/>
      <c r="G98" s="1069"/>
      <c r="H98" s="328"/>
      <c r="I98" s="328"/>
      <c r="J98" s="328"/>
      <c r="K98" s="328"/>
      <c r="L98" s="328"/>
      <c r="M98" s="328"/>
      <c r="N98" s="328"/>
      <c r="O98" s="303"/>
      <c r="P98" s="304"/>
    </row>
    <row r="99" spans="1:16">
      <c r="A99" s="305"/>
      <c r="B99" s="306" t="str">
        <f>'4-22MASTER'!G5</f>
        <v>Burgeon IT Services Pvt.Ltd.</v>
      </c>
      <c r="C99" s="306"/>
      <c r="D99" s="307"/>
      <c r="E99" s="329"/>
      <c r="F99" s="330"/>
      <c r="G99" s="1088" t="str">
        <f>'PUNE ASC-APRIL 22WM REG'!B39</f>
        <v>GauravVispute</v>
      </c>
      <c r="H99" s="1088"/>
      <c r="I99" s="1088"/>
      <c r="J99" s="330"/>
      <c r="K99" s="330"/>
      <c r="L99" s="330"/>
      <c r="M99" s="330"/>
      <c r="N99" s="330"/>
      <c r="O99" s="308"/>
      <c r="P99" s="309"/>
    </row>
    <row r="100" spans="1:16" ht="15.75" thickBot="1">
      <c r="A100" s="310"/>
      <c r="B100" s="311" t="str">
        <f>'4-22MASTER'!G6</f>
        <v>Siri Mansion LIGB 436 Dr.A S Rao Nagar,Hyderabad</v>
      </c>
      <c r="C100" s="311"/>
      <c r="D100" s="312"/>
      <c r="E100" s="329"/>
      <c r="F100" s="330"/>
      <c r="G100" s="330"/>
      <c r="H100" s="330"/>
      <c r="I100" s="330"/>
      <c r="J100" s="330"/>
      <c r="K100" s="330"/>
      <c r="L100" s="330"/>
      <c r="M100" s="330"/>
      <c r="N100" s="330"/>
      <c r="O100" s="308"/>
      <c r="P100" s="309"/>
    </row>
    <row r="101" spans="1:16">
      <c r="A101" s="331" t="s">
        <v>462</v>
      </c>
      <c r="B101" s="301"/>
      <c r="C101" s="301"/>
      <c r="D101" s="302"/>
      <c r="E101" s="313" t="s">
        <v>430</v>
      </c>
      <c r="F101" s="301"/>
      <c r="G101" s="314" t="str">
        <f>'PUNE ASC-APRIL 22WM REG'!I39</f>
        <v>4th May 2021</v>
      </c>
      <c r="H101" s="301"/>
      <c r="I101" s="301"/>
      <c r="J101" s="301"/>
      <c r="K101" s="301"/>
      <c r="L101" s="301"/>
      <c r="M101" s="301"/>
      <c r="N101" s="301"/>
      <c r="O101" s="301"/>
      <c r="P101" s="302"/>
    </row>
    <row r="102" spans="1:16">
      <c r="A102" s="325"/>
      <c r="B102" s="306"/>
      <c r="C102" s="306" t="str">
        <f>'4-22MASTER'!G8</f>
        <v>IT SUPPORTIVE SERVICES &amp; PUNE ASC SEZ</v>
      </c>
      <c r="D102" s="307"/>
      <c r="E102" s="315"/>
      <c r="F102" s="306"/>
      <c r="G102" s="306"/>
      <c r="H102" s="306"/>
      <c r="I102" s="306"/>
      <c r="J102" s="306"/>
      <c r="K102" s="306"/>
      <c r="L102" s="306"/>
      <c r="M102" s="306"/>
      <c r="N102" s="306"/>
      <c r="O102" s="306"/>
      <c r="P102" s="307"/>
    </row>
    <row r="103" spans="1:16">
      <c r="A103" s="325"/>
      <c r="B103" s="306"/>
      <c r="C103" s="306"/>
      <c r="D103" s="307"/>
      <c r="E103" s="316"/>
      <c r="F103" s="306"/>
      <c r="G103" s="306"/>
      <c r="H103" s="306"/>
      <c r="I103" s="306"/>
      <c r="J103" s="306"/>
      <c r="K103" s="306"/>
      <c r="L103" s="306"/>
      <c r="M103" s="306"/>
      <c r="N103" s="306"/>
      <c r="O103" s="306"/>
      <c r="P103" s="307"/>
    </row>
    <row r="104" spans="1:16" ht="15.75" thickBot="1">
      <c r="A104" s="326"/>
      <c r="B104" s="327"/>
      <c r="C104" s="327"/>
      <c r="D104" s="332"/>
      <c r="E104" s="310"/>
      <c r="F104" s="311"/>
      <c r="G104" s="311"/>
      <c r="H104" s="311"/>
      <c r="I104" s="311"/>
      <c r="J104" s="311"/>
      <c r="K104" s="311"/>
      <c r="L104" s="311"/>
      <c r="M104" s="311"/>
      <c r="N104" s="311"/>
      <c r="O104" s="311"/>
      <c r="P104" s="312"/>
    </row>
    <row r="105" spans="1:16">
      <c r="A105" s="1071" t="s">
        <v>5</v>
      </c>
      <c r="B105" s="1073" t="s">
        <v>431</v>
      </c>
      <c r="C105" s="1074"/>
      <c r="D105" s="1073" t="s">
        <v>432</v>
      </c>
      <c r="E105" s="1076"/>
      <c r="F105" s="1079" t="s">
        <v>433</v>
      </c>
      <c r="G105" s="1075" t="s">
        <v>434</v>
      </c>
      <c r="H105" s="1080"/>
      <c r="I105" s="1081" t="s">
        <v>435</v>
      </c>
      <c r="J105" s="1080"/>
      <c r="K105" s="1082"/>
      <c r="L105" s="1081" t="s">
        <v>436</v>
      </c>
      <c r="M105" s="1080"/>
      <c r="N105" s="1080"/>
      <c r="O105" s="1086"/>
      <c r="P105" s="1086" t="s">
        <v>40</v>
      </c>
    </row>
    <row r="106" spans="1:16" ht="15.75" thickBot="1">
      <c r="A106" s="1072"/>
      <c r="B106" s="1075"/>
      <c r="C106" s="1076"/>
      <c r="D106" s="1075"/>
      <c r="E106" s="1076"/>
      <c r="F106" s="1071"/>
      <c r="G106" s="1075"/>
      <c r="H106" s="1080"/>
      <c r="I106" s="1083"/>
      <c r="J106" s="1084"/>
      <c r="K106" s="1085"/>
      <c r="L106" s="1083"/>
      <c r="M106" s="1084"/>
      <c r="N106" s="1084"/>
      <c r="O106" s="1087"/>
      <c r="P106" s="1087"/>
    </row>
    <row r="107" spans="1:16">
      <c r="A107" s="317">
        <v>1</v>
      </c>
      <c r="B107" s="1077"/>
      <c r="C107" s="1078"/>
      <c r="D107" s="1077"/>
      <c r="E107" s="1078"/>
      <c r="F107" s="317">
        <v>6</v>
      </c>
      <c r="G107" s="1077"/>
      <c r="H107" s="1078"/>
      <c r="I107" s="318">
        <v>9</v>
      </c>
      <c r="J107" s="318"/>
      <c r="K107" s="318"/>
      <c r="L107" s="318">
        <v>9</v>
      </c>
      <c r="M107" s="318"/>
      <c r="N107" s="318"/>
      <c r="O107" s="319"/>
      <c r="P107" s="319"/>
    </row>
    <row r="108" spans="1:16" ht="89.25">
      <c r="A108" s="320"/>
      <c r="B108" s="320" t="s">
        <v>437</v>
      </c>
      <c r="C108" s="320" t="s">
        <v>438</v>
      </c>
      <c r="D108" s="320" t="s">
        <v>439</v>
      </c>
      <c r="E108" s="320" t="s">
        <v>136</v>
      </c>
      <c r="F108" s="320"/>
      <c r="G108" s="320" t="s">
        <v>440</v>
      </c>
      <c r="H108" s="320" t="s">
        <v>441</v>
      </c>
      <c r="I108" s="320" t="s">
        <v>442</v>
      </c>
      <c r="J108" s="320" t="s">
        <v>443</v>
      </c>
      <c r="K108" s="320" t="s">
        <v>444</v>
      </c>
      <c r="L108" s="320" t="s">
        <v>445</v>
      </c>
      <c r="M108" s="320" t="s">
        <v>446</v>
      </c>
      <c r="N108" s="321" t="s">
        <v>447</v>
      </c>
      <c r="O108" s="321"/>
      <c r="P108" s="321"/>
    </row>
    <row r="109" spans="1:16">
      <c r="A109" s="322" t="s">
        <v>685</v>
      </c>
      <c r="B109" s="347">
        <v>1.5</v>
      </c>
      <c r="C109" s="361"/>
      <c r="D109" s="552"/>
      <c r="E109" s="552"/>
      <c r="F109" s="552">
        <v>9.5</v>
      </c>
      <c r="G109" s="552"/>
      <c r="H109" s="320"/>
      <c r="I109" s="320"/>
      <c r="J109" s="320" t="s">
        <v>508</v>
      </c>
      <c r="K109" s="351" t="s">
        <v>508</v>
      </c>
      <c r="L109" s="351" t="s">
        <v>508</v>
      </c>
      <c r="M109" s="351" t="s">
        <v>508</v>
      </c>
      <c r="N109" s="320"/>
      <c r="O109" s="320"/>
      <c r="P109" s="320"/>
    </row>
    <row r="110" spans="1:16">
      <c r="A110" s="322" t="s">
        <v>702</v>
      </c>
      <c r="B110" s="348">
        <v>1.5</v>
      </c>
      <c r="C110" s="348">
        <v>1</v>
      </c>
      <c r="D110" s="869">
        <v>44610</v>
      </c>
      <c r="E110" s="869">
        <v>44610</v>
      </c>
      <c r="F110" s="839">
        <f>F109+B110-C110</f>
        <v>10</v>
      </c>
      <c r="G110" s="320"/>
      <c r="H110" s="320"/>
      <c r="I110" s="320"/>
      <c r="J110" s="320" t="s">
        <v>508</v>
      </c>
      <c r="K110" s="351" t="s">
        <v>508</v>
      </c>
      <c r="L110" s="351" t="s">
        <v>508</v>
      </c>
      <c r="M110" s="351" t="s">
        <v>508</v>
      </c>
      <c r="N110" s="320"/>
      <c r="O110" s="320"/>
      <c r="P110" s="320"/>
    </row>
    <row r="111" spans="1:16">
      <c r="A111" s="322" t="s">
        <v>736</v>
      </c>
      <c r="B111" s="348">
        <v>1.5</v>
      </c>
      <c r="C111" s="348">
        <v>0</v>
      </c>
      <c r="D111" s="348">
        <v>0</v>
      </c>
      <c r="E111" s="348">
        <v>0</v>
      </c>
      <c r="F111" s="839">
        <f>F110+B111-C111</f>
        <v>11.5</v>
      </c>
      <c r="G111" s="320"/>
      <c r="H111" s="320"/>
      <c r="I111" s="320"/>
      <c r="J111" s="320" t="s">
        <v>508</v>
      </c>
      <c r="K111" s="351" t="s">
        <v>508</v>
      </c>
      <c r="L111" s="351" t="s">
        <v>508</v>
      </c>
      <c r="M111" s="351" t="s">
        <v>508</v>
      </c>
      <c r="N111" s="320"/>
      <c r="O111" s="320"/>
      <c r="P111" s="320"/>
    </row>
    <row r="112" spans="1:16">
      <c r="A112" s="508" t="s">
        <v>758</v>
      </c>
      <c r="B112" s="348">
        <v>1.5</v>
      </c>
      <c r="C112" s="348">
        <v>1</v>
      </c>
      <c r="D112" s="869">
        <v>44669</v>
      </c>
      <c r="E112" s="869">
        <v>44669</v>
      </c>
      <c r="F112" s="839">
        <f>F111+B112-C112</f>
        <v>12</v>
      </c>
      <c r="G112" s="320"/>
      <c r="H112" s="320"/>
      <c r="I112" s="320"/>
      <c r="J112" s="320" t="s">
        <v>508</v>
      </c>
      <c r="K112" s="320" t="s">
        <v>508</v>
      </c>
      <c r="L112" s="351" t="s">
        <v>508</v>
      </c>
      <c r="M112" s="351" t="s">
        <v>508</v>
      </c>
      <c r="N112" s="320"/>
      <c r="O112" s="320"/>
      <c r="P112" s="320"/>
    </row>
    <row r="113" spans="1:16">
      <c r="A113" s="508"/>
      <c r="B113" s="361"/>
      <c r="C113" s="361"/>
      <c r="D113" s="320"/>
      <c r="E113" s="320"/>
      <c r="F113" s="340"/>
      <c r="G113" s="348"/>
      <c r="H113" s="320"/>
      <c r="I113" s="320"/>
      <c r="J113" s="351"/>
      <c r="K113" s="351"/>
      <c r="L113" s="351"/>
      <c r="M113" s="351"/>
      <c r="N113" s="320"/>
      <c r="O113" s="320"/>
      <c r="P113" s="320"/>
    </row>
    <row r="114" spans="1:16">
      <c r="A114" s="508"/>
      <c r="B114" s="361"/>
      <c r="C114" s="647"/>
      <c r="D114" s="467"/>
      <c r="E114" s="467"/>
      <c r="F114" s="340"/>
      <c r="G114" s="320"/>
      <c r="H114" s="320"/>
      <c r="I114" s="320"/>
      <c r="J114" s="351"/>
      <c r="K114" s="351"/>
      <c r="L114" s="351"/>
      <c r="M114" s="351"/>
      <c r="N114" s="320"/>
      <c r="O114" s="320"/>
      <c r="P114" s="320"/>
    </row>
    <row r="115" spans="1:16" ht="16.899999999999999" customHeight="1">
      <c r="A115" s="508"/>
      <c r="B115" s="361"/>
      <c r="C115" s="320"/>
      <c r="D115" s="467"/>
      <c r="E115" s="467"/>
      <c r="F115" s="340"/>
      <c r="G115" s="320"/>
      <c r="H115" s="320"/>
      <c r="I115" s="320"/>
      <c r="J115" s="351"/>
      <c r="K115" s="351"/>
      <c r="L115" s="351"/>
      <c r="M115" s="351"/>
      <c r="N115" s="320"/>
      <c r="O115" s="320"/>
      <c r="P115" s="320"/>
    </row>
    <row r="116" spans="1:16">
      <c r="A116" s="320"/>
      <c r="B116" s="361"/>
      <c r="C116" s="320"/>
      <c r="D116" s="467"/>
      <c r="E116" s="467"/>
      <c r="F116" s="340"/>
      <c r="G116" s="320"/>
      <c r="H116" s="320"/>
      <c r="I116" s="320"/>
      <c r="J116" s="351"/>
      <c r="K116" s="351"/>
      <c r="L116" s="351"/>
      <c r="M116" s="351"/>
      <c r="N116" s="320"/>
      <c r="O116" s="320"/>
      <c r="P116" s="320"/>
    </row>
    <row r="117" spans="1:16">
      <c r="A117" s="320"/>
      <c r="B117" s="361"/>
      <c r="C117" s="320"/>
      <c r="D117" s="320"/>
      <c r="E117" s="320"/>
      <c r="F117" s="340"/>
      <c r="G117" s="320"/>
      <c r="H117" s="320"/>
      <c r="I117" s="320"/>
      <c r="J117" s="351"/>
      <c r="K117" s="351"/>
      <c r="L117" s="351"/>
      <c r="M117" s="351"/>
      <c r="N117" s="320"/>
      <c r="O117" s="320"/>
      <c r="P117" s="320"/>
    </row>
    <row r="118" spans="1:16">
      <c r="A118" s="320"/>
      <c r="B118" s="320"/>
      <c r="C118" s="320"/>
      <c r="D118" s="320"/>
      <c r="E118" s="320"/>
      <c r="F118" s="320"/>
      <c r="G118" s="320"/>
      <c r="H118" s="320"/>
      <c r="I118" s="320"/>
      <c r="J118" s="320"/>
      <c r="K118" s="320"/>
      <c r="L118" s="320"/>
      <c r="M118" s="320"/>
      <c r="N118" s="320"/>
      <c r="O118" s="320"/>
      <c r="P118" s="320"/>
    </row>
    <row r="119" spans="1:16">
      <c r="A119" s="320"/>
      <c r="B119" s="320"/>
      <c r="C119" s="320"/>
      <c r="D119" s="320"/>
      <c r="E119" s="320"/>
      <c r="F119" s="320"/>
      <c r="G119" s="320"/>
      <c r="H119" s="320"/>
      <c r="I119" s="320"/>
      <c r="J119" s="320"/>
      <c r="K119" s="320"/>
      <c r="L119" s="320"/>
      <c r="M119" s="320"/>
      <c r="N119" s="320"/>
      <c r="O119" s="320"/>
      <c r="P119" s="320"/>
    </row>
    <row r="120" spans="1:16">
      <c r="A120" s="320"/>
      <c r="B120" s="320"/>
      <c r="C120" s="320"/>
      <c r="D120" s="320"/>
      <c r="E120" s="320"/>
      <c r="F120" s="320"/>
      <c r="G120" s="320"/>
      <c r="H120" s="320"/>
      <c r="I120" s="320"/>
      <c r="J120" s="320"/>
      <c r="K120" s="320"/>
      <c r="L120" s="320"/>
      <c r="M120" s="320"/>
      <c r="N120" s="320"/>
      <c r="O120" s="320"/>
      <c r="P120" s="320"/>
    </row>
    <row r="121" spans="1:16">
      <c r="A121" s="320"/>
      <c r="B121" s="320"/>
      <c r="C121" s="320"/>
      <c r="D121" s="320"/>
      <c r="E121" s="320"/>
      <c r="F121" s="320"/>
      <c r="G121" s="320"/>
      <c r="H121" s="320"/>
      <c r="I121" s="320"/>
      <c r="J121" s="320"/>
      <c r="K121" s="320"/>
      <c r="L121" s="320"/>
      <c r="M121" s="320"/>
      <c r="N121" s="320"/>
      <c r="O121" s="320"/>
      <c r="P121" s="320"/>
    </row>
    <row r="122" spans="1:16">
      <c r="A122" s="320"/>
      <c r="B122" s="320"/>
      <c r="C122" s="320"/>
      <c r="D122" s="320"/>
      <c r="E122" s="320"/>
      <c r="F122" s="320"/>
      <c r="G122" s="320"/>
      <c r="H122" s="320"/>
      <c r="I122" s="320"/>
      <c r="J122" s="320"/>
      <c r="K122" s="320"/>
      <c r="L122" s="320"/>
      <c r="M122" s="320"/>
      <c r="N122" s="320"/>
      <c r="O122" s="320"/>
      <c r="P122" s="320"/>
    </row>
    <row r="123" spans="1:16">
      <c r="A123" s="320"/>
      <c r="B123" s="320"/>
      <c r="C123" s="320"/>
      <c r="D123" s="320"/>
      <c r="E123" s="320"/>
      <c r="F123" s="320"/>
      <c r="G123" s="320"/>
      <c r="H123" s="320"/>
      <c r="I123" s="320"/>
      <c r="J123" s="320"/>
      <c r="K123" s="320"/>
      <c r="L123" s="320"/>
      <c r="M123" s="320"/>
      <c r="N123" s="320"/>
      <c r="O123" s="320"/>
      <c r="P123" s="320"/>
    </row>
    <row r="124" spans="1:16">
      <c r="A124" s="320"/>
      <c r="B124" s="324"/>
      <c r="C124" s="320"/>
      <c r="D124" s="320"/>
      <c r="E124" s="320"/>
      <c r="F124" s="320"/>
      <c r="G124" s="320"/>
      <c r="H124" s="320"/>
      <c r="I124" s="320"/>
      <c r="J124" s="320"/>
      <c r="K124" s="320"/>
      <c r="L124" s="320"/>
      <c r="M124" s="320"/>
      <c r="N124" s="320"/>
      <c r="O124" s="320"/>
      <c r="P124" s="320"/>
    </row>
    <row r="125" spans="1:16">
      <c r="A125" s="320"/>
      <c r="B125" s="320"/>
      <c r="C125" s="320"/>
      <c r="D125" s="320"/>
      <c r="E125" s="320"/>
      <c r="F125" s="320"/>
      <c r="G125" s="320"/>
      <c r="H125" s="320"/>
      <c r="I125" s="320"/>
      <c r="J125" s="320"/>
      <c r="K125" s="320"/>
      <c r="L125" s="320"/>
      <c r="M125" s="320"/>
      <c r="N125" s="320"/>
      <c r="O125" s="320"/>
      <c r="P125" s="320"/>
    </row>
    <row r="126" spans="1:16">
      <c r="A126" s="320"/>
      <c r="B126" s="320"/>
      <c r="C126" s="320"/>
      <c r="D126" s="320"/>
      <c r="E126" s="320"/>
      <c r="F126" s="320"/>
      <c r="G126" s="320"/>
      <c r="H126" s="320"/>
      <c r="I126" s="320"/>
      <c r="J126" s="320"/>
      <c r="K126" s="320"/>
      <c r="L126" s="320"/>
      <c r="M126" s="320"/>
      <c r="N126" s="320"/>
      <c r="O126" s="320"/>
      <c r="P126" s="320"/>
    </row>
    <row r="127" spans="1:16">
      <c r="A127" s="320"/>
      <c r="B127" s="320"/>
      <c r="C127" s="320"/>
      <c r="D127" s="320"/>
      <c r="E127" s="320"/>
      <c r="F127" s="320"/>
      <c r="G127" s="320"/>
      <c r="H127" s="320"/>
      <c r="I127" s="320"/>
      <c r="J127" s="320"/>
      <c r="K127" s="320"/>
      <c r="L127" s="320"/>
      <c r="M127" s="320"/>
      <c r="N127" s="320"/>
      <c r="O127" s="320"/>
      <c r="P127" s="320"/>
    </row>
    <row r="128" spans="1:16">
      <c r="A128" s="351"/>
      <c r="B128" s="351"/>
      <c r="C128" s="351"/>
      <c r="D128" s="351"/>
      <c r="E128" s="351"/>
      <c r="F128" s="351"/>
      <c r="G128" s="351"/>
      <c r="H128" s="351"/>
      <c r="I128" s="351"/>
      <c r="J128" s="351"/>
      <c r="K128" s="351"/>
      <c r="L128" s="351"/>
      <c r="M128" s="351"/>
      <c r="N128" s="351"/>
      <c r="O128" s="351"/>
      <c r="P128" s="320"/>
    </row>
    <row r="129" spans="1:17">
      <c r="A129" s="306"/>
      <c r="B129" s="306"/>
      <c r="C129" s="306"/>
      <c r="D129" s="306"/>
      <c r="E129" s="306"/>
      <c r="F129" s="306"/>
      <c r="G129" s="306"/>
      <c r="H129" s="306"/>
      <c r="I129" s="306"/>
      <c r="J129" s="306"/>
      <c r="K129" s="306"/>
      <c r="L129" s="306"/>
      <c r="M129" s="306"/>
      <c r="N129" s="306"/>
      <c r="O129" s="306"/>
      <c r="P129" s="502"/>
      <c r="Q129" s="392"/>
    </row>
    <row r="130" spans="1:17">
      <c r="A130" s="306"/>
      <c r="B130" s="306"/>
      <c r="C130" s="306"/>
      <c r="D130" s="306"/>
      <c r="E130" s="306"/>
      <c r="F130" s="306"/>
      <c r="G130" s="306"/>
      <c r="H130" s="306"/>
      <c r="I130" s="306"/>
      <c r="J130" s="306"/>
      <c r="K130" s="306"/>
      <c r="L130" s="306"/>
      <c r="M130" s="306"/>
      <c r="N130" s="306"/>
      <c r="O130" s="306"/>
      <c r="P130" s="502"/>
      <c r="Q130" s="392"/>
    </row>
    <row r="131" spans="1:17">
      <c r="A131" s="306"/>
      <c r="B131" s="306"/>
      <c r="C131" s="306"/>
      <c r="D131" s="306"/>
      <c r="E131" s="306"/>
      <c r="F131" s="306"/>
      <c r="G131" s="306"/>
      <c r="H131" s="306"/>
      <c r="I131" s="306"/>
      <c r="J131" s="306"/>
      <c r="K131" s="306"/>
      <c r="L131" s="306"/>
      <c r="M131" s="306"/>
      <c r="N131" s="306"/>
      <c r="O131" s="306"/>
      <c r="P131" s="502"/>
      <c r="Q131" s="392"/>
    </row>
    <row r="132" spans="1:17">
      <c r="A132" s="306"/>
      <c r="B132" s="306"/>
      <c r="C132" s="306"/>
      <c r="D132" s="306"/>
      <c r="E132" s="306"/>
      <c r="F132" s="306"/>
      <c r="G132" s="306"/>
      <c r="H132" s="306"/>
      <c r="I132" s="306"/>
      <c r="J132" s="306"/>
      <c r="K132" s="306"/>
      <c r="L132" s="306"/>
      <c r="M132" s="306"/>
      <c r="N132" s="306"/>
      <c r="O132" s="306"/>
      <c r="P132" s="502"/>
      <c r="Q132" s="392"/>
    </row>
    <row r="133" spans="1:17">
      <c r="A133" s="306"/>
      <c r="B133" s="306"/>
      <c r="C133" s="306"/>
      <c r="D133" s="306"/>
      <c r="E133" s="306"/>
      <c r="F133" s="306"/>
      <c r="G133" s="306"/>
      <c r="H133" s="306"/>
      <c r="I133" s="306"/>
      <c r="J133" s="306"/>
      <c r="K133" s="306"/>
      <c r="L133" s="306"/>
      <c r="M133" s="306"/>
      <c r="N133" s="306"/>
      <c r="O133" s="306"/>
      <c r="P133" s="502"/>
      <c r="Q133" s="392"/>
    </row>
    <row r="134" spans="1:17">
      <c r="A134" s="306"/>
      <c r="B134" s="306"/>
      <c r="C134" s="306"/>
      <c r="D134" s="306"/>
      <c r="E134" s="306"/>
      <c r="F134" s="306"/>
      <c r="G134" s="306"/>
      <c r="H134" s="306"/>
      <c r="I134" s="306"/>
      <c r="J134" s="306"/>
      <c r="K134" s="306"/>
      <c r="L134" s="306"/>
      <c r="M134" s="306"/>
      <c r="N134" s="306"/>
      <c r="O134" s="306"/>
      <c r="P134" s="502"/>
      <c r="Q134" s="392"/>
    </row>
    <row r="135" spans="1:17">
      <c r="A135" s="324"/>
      <c r="B135" s="324"/>
      <c r="C135" s="324"/>
      <c r="D135" s="324"/>
      <c r="E135" s="324"/>
      <c r="F135" s="324"/>
      <c r="G135" s="324"/>
      <c r="H135" s="324"/>
      <c r="I135" s="324"/>
      <c r="J135" s="324"/>
      <c r="K135" s="324"/>
      <c r="L135" s="324"/>
      <c r="M135" s="324"/>
      <c r="N135" s="324"/>
      <c r="O135" s="324"/>
      <c r="P135" s="324"/>
    </row>
    <row r="136" spans="1:17">
      <c r="A136" s="324"/>
      <c r="B136" s="324"/>
      <c r="C136" s="324"/>
      <c r="D136" s="324"/>
      <c r="E136" s="324"/>
      <c r="F136" s="324"/>
      <c r="G136" s="1089" t="s">
        <v>38</v>
      </c>
      <c r="H136" s="1089"/>
      <c r="I136" s="1089"/>
      <c r="J136" s="1089"/>
      <c r="K136" s="1089"/>
      <c r="L136" s="1089"/>
      <c r="M136" s="1089"/>
      <c r="N136" s="1089"/>
      <c r="O136" s="491"/>
      <c r="P136" s="491"/>
    </row>
    <row r="140" spans="1:17" ht="15.75" thickBot="1"/>
    <row r="141" spans="1:17" ht="23.25">
      <c r="A141" s="1062" t="s">
        <v>428</v>
      </c>
      <c r="B141" s="1063"/>
      <c r="C141" s="1063"/>
      <c r="D141" s="1063"/>
      <c r="E141" s="1063"/>
      <c r="F141" s="1063"/>
      <c r="G141" s="1063"/>
      <c r="H141" s="1063"/>
      <c r="I141" s="1063"/>
      <c r="J141" s="1063"/>
      <c r="K141" s="1063"/>
      <c r="L141" s="1063"/>
      <c r="M141" s="1063"/>
      <c r="N141" s="1063"/>
      <c r="O141" s="614"/>
    </row>
    <row r="142" spans="1:17" ht="24" thickBot="1">
      <c r="A142" s="1064"/>
      <c r="B142" s="1065"/>
      <c r="C142" s="1065"/>
      <c r="D142" s="1065"/>
      <c r="E142" s="1065"/>
      <c r="F142" s="1065"/>
      <c r="G142" s="1065"/>
      <c r="H142" s="1065"/>
      <c r="I142" s="1065"/>
      <c r="J142" s="1065"/>
      <c r="K142" s="1065"/>
      <c r="L142" s="1065"/>
      <c r="M142" s="1065"/>
      <c r="N142" s="1065"/>
      <c r="O142" s="615"/>
    </row>
    <row r="143" spans="1:17" ht="15.75" thickBot="1">
      <c r="A143" s="1066" t="s">
        <v>429</v>
      </c>
      <c r="B143" s="1067"/>
      <c r="C143" s="1067"/>
      <c r="D143" s="1067"/>
      <c r="E143" s="1067"/>
      <c r="F143" s="1067"/>
      <c r="G143" s="1067"/>
      <c r="H143" s="1067"/>
      <c r="I143" s="1067"/>
      <c r="J143" s="1067"/>
      <c r="K143" s="1067"/>
      <c r="L143" s="1067"/>
      <c r="M143" s="1067"/>
      <c r="N143" s="1067"/>
      <c r="O143" s="616"/>
    </row>
    <row r="144" spans="1:17">
      <c r="A144" s="300" t="s">
        <v>460</v>
      </c>
      <c r="B144" s="301"/>
      <c r="C144" s="301"/>
      <c r="D144" s="302"/>
      <c r="E144" s="1068" t="s">
        <v>461</v>
      </c>
      <c r="F144" s="1069"/>
      <c r="G144" s="1069"/>
      <c r="H144" s="328"/>
      <c r="I144" s="328"/>
      <c r="J144" s="328"/>
      <c r="K144" s="328"/>
      <c r="L144" s="328"/>
      <c r="M144" s="328"/>
      <c r="N144" s="328"/>
      <c r="O144" s="303"/>
    </row>
    <row r="145" spans="1:16" ht="25.5" customHeight="1">
      <c r="A145" s="305"/>
      <c r="B145" s="306" t="s">
        <v>381</v>
      </c>
      <c r="C145" s="306"/>
      <c r="D145" s="307"/>
      <c r="E145" s="329"/>
      <c r="F145" s="1088" t="str">
        <f>'4-22MASTER'!C20</f>
        <v>Anjali Dubey</v>
      </c>
      <c r="G145" s="1088"/>
      <c r="H145" s="1088"/>
      <c r="J145" s="330"/>
      <c r="K145" s="330"/>
      <c r="L145" s="330"/>
      <c r="M145" s="330"/>
      <c r="N145" s="330"/>
      <c r="O145" s="308"/>
    </row>
    <row r="146" spans="1:16" ht="15.75" thickBot="1">
      <c r="A146" s="310"/>
      <c r="B146" s="311" t="s">
        <v>382</v>
      </c>
      <c r="C146" s="311"/>
      <c r="D146" s="312"/>
      <c r="E146" s="329"/>
      <c r="F146" s="330"/>
      <c r="G146" s="330"/>
      <c r="H146" s="330"/>
      <c r="I146" s="330"/>
      <c r="J146" s="330"/>
      <c r="K146" s="330"/>
      <c r="L146" s="330"/>
      <c r="M146" s="330"/>
      <c r="N146" s="330"/>
      <c r="O146" s="308"/>
    </row>
    <row r="147" spans="1:16">
      <c r="A147" s="331" t="s">
        <v>462</v>
      </c>
      <c r="B147" s="301"/>
      <c r="C147" s="301"/>
      <c r="D147" s="302"/>
      <c r="E147" s="313" t="s">
        <v>430</v>
      </c>
      <c r="F147" s="301"/>
      <c r="H147" s="301"/>
      <c r="I147" s="301"/>
      <c r="J147" s="301"/>
      <c r="K147" s="301"/>
      <c r="L147" s="301"/>
      <c r="M147" s="301"/>
      <c r="N147" s="301"/>
      <c r="O147" s="301"/>
    </row>
    <row r="148" spans="1:16">
      <c r="A148" s="325"/>
      <c r="B148" s="306"/>
      <c r="C148" s="306">
        <f>'4-22MASTER'!G178</f>
        <v>0</v>
      </c>
      <c r="D148" s="307"/>
      <c r="E148" s="315"/>
      <c r="F148" s="632">
        <f>'4-22MASTER'!O20</f>
        <v>44487</v>
      </c>
      <c r="G148" s="306"/>
      <c r="H148" s="306"/>
      <c r="I148" s="306"/>
      <c r="J148" s="306"/>
      <c r="K148" s="306"/>
      <c r="L148" s="306"/>
      <c r="M148" s="306"/>
      <c r="N148" s="306"/>
      <c r="O148" s="306"/>
    </row>
    <row r="149" spans="1:16">
      <c r="A149" s="325"/>
      <c r="B149" s="306"/>
      <c r="C149" s="306"/>
      <c r="D149" s="307"/>
      <c r="E149" s="316"/>
      <c r="F149" s="306"/>
      <c r="G149" s="306"/>
      <c r="H149" s="306"/>
      <c r="I149" s="306"/>
      <c r="J149" s="306"/>
      <c r="K149" s="306"/>
      <c r="L149" s="306"/>
      <c r="M149" s="306"/>
      <c r="N149" s="306"/>
      <c r="O149" s="306"/>
    </row>
    <row r="150" spans="1:16" ht="15.75" thickBot="1">
      <c r="A150" s="326"/>
      <c r="B150" s="327"/>
      <c r="C150" s="327"/>
      <c r="D150" s="332"/>
      <c r="E150" s="310"/>
      <c r="F150" s="311"/>
      <c r="G150" s="311"/>
      <c r="H150" s="311"/>
      <c r="I150" s="311"/>
      <c r="J150" s="311"/>
      <c r="K150" s="311"/>
      <c r="L150" s="311"/>
      <c r="M150" s="311"/>
      <c r="N150" s="311"/>
      <c r="O150" s="311"/>
    </row>
    <row r="151" spans="1:16">
      <c r="A151" s="1071" t="s">
        <v>5</v>
      </c>
      <c r="B151" s="1073" t="s">
        <v>431</v>
      </c>
      <c r="C151" s="1074"/>
      <c r="D151" s="1073" t="s">
        <v>432</v>
      </c>
      <c r="E151" s="1076"/>
      <c r="F151" s="1079" t="s">
        <v>433</v>
      </c>
      <c r="G151" s="1075" t="s">
        <v>434</v>
      </c>
      <c r="H151" s="1080"/>
      <c r="I151" s="1081" t="s">
        <v>435</v>
      </c>
      <c r="J151" s="1080"/>
      <c r="K151" s="1082"/>
      <c r="L151" s="1081" t="s">
        <v>436</v>
      </c>
      <c r="M151" s="1080"/>
      <c r="N151" s="1080"/>
      <c r="O151" s="1086"/>
    </row>
    <row r="152" spans="1:16" ht="15.75" thickBot="1">
      <c r="A152" s="1072"/>
      <c r="B152" s="1075"/>
      <c r="C152" s="1076"/>
      <c r="D152" s="1075"/>
      <c r="E152" s="1076"/>
      <c r="F152" s="1071"/>
      <c r="G152" s="1075"/>
      <c r="H152" s="1080"/>
      <c r="I152" s="1083"/>
      <c r="J152" s="1084"/>
      <c r="K152" s="1085"/>
      <c r="L152" s="1083"/>
      <c r="M152" s="1084"/>
      <c r="N152" s="1084"/>
      <c r="O152" s="1087"/>
    </row>
    <row r="153" spans="1:16">
      <c r="A153" s="317">
        <v>1</v>
      </c>
      <c r="B153" s="1077"/>
      <c r="C153" s="1078"/>
      <c r="D153" s="1077"/>
      <c r="E153" s="1078"/>
      <c r="F153" s="317">
        <v>6</v>
      </c>
      <c r="G153" s="1077"/>
      <c r="H153" s="1078"/>
      <c r="I153" s="318">
        <v>9</v>
      </c>
      <c r="J153" s="318"/>
      <c r="K153" s="318"/>
      <c r="L153" s="318">
        <v>9</v>
      </c>
      <c r="M153" s="318"/>
      <c r="N153" s="318"/>
      <c r="O153" s="319"/>
    </row>
    <row r="154" spans="1:16" ht="89.25">
      <c r="A154" s="320"/>
      <c r="B154" s="320" t="s">
        <v>437</v>
      </c>
      <c r="C154" s="320" t="s">
        <v>438</v>
      </c>
      <c r="D154" s="320" t="s">
        <v>439</v>
      </c>
      <c r="E154" s="320" t="s">
        <v>136</v>
      </c>
      <c r="F154" s="320"/>
      <c r="G154" s="320" t="s">
        <v>440</v>
      </c>
      <c r="H154" s="320" t="s">
        <v>441</v>
      </c>
      <c r="I154" s="320" t="s">
        <v>442</v>
      </c>
      <c r="J154" s="320" t="s">
        <v>443</v>
      </c>
      <c r="K154" s="320" t="s">
        <v>444</v>
      </c>
      <c r="L154" s="320" t="s">
        <v>445</v>
      </c>
      <c r="M154" s="320" t="s">
        <v>446</v>
      </c>
      <c r="N154" s="321" t="s">
        <v>447</v>
      </c>
      <c r="O154" s="321"/>
    </row>
    <row r="155" spans="1:16">
      <c r="A155" s="320"/>
      <c r="B155" s="322"/>
      <c r="C155" s="320"/>
      <c r="D155" s="320"/>
      <c r="E155" s="320"/>
      <c r="F155" s="320"/>
      <c r="G155" s="320"/>
      <c r="H155" s="320"/>
      <c r="I155" s="320"/>
      <c r="J155" s="320"/>
      <c r="K155" s="351"/>
      <c r="L155" s="351"/>
      <c r="M155" s="351"/>
      <c r="N155" s="320"/>
      <c r="O155" s="320"/>
    </row>
    <row r="156" spans="1:16">
      <c r="A156" s="508" t="s">
        <v>685</v>
      </c>
      <c r="B156" s="361">
        <v>1.5</v>
      </c>
      <c r="C156" s="320"/>
      <c r="D156" s="320"/>
      <c r="E156" s="320"/>
      <c r="F156" s="340">
        <v>3.5</v>
      </c>
      <c r="G156" s="320"/>
      <c r="H156" s="320"/>
      <c r="I156" s="320"/>
      <c r="J156" s="351" t="s">
        <v>508</v>
      </c>
      <c r="K156" s="351" t="s">
        <v>508</v>
      </c>
      <c r="L156" s="351" t="s">
        <v>508</v>
      </c>
      <c r="M156" s="351" t="s">
        <v>508</v>
      </c>
      <c r="N156" s="320"/>
      <c r="O156" s="320"/>
      <c r="P156" s="320"/>
    </row>
    <row r="157" spans="1:16">
      <c r="A157" s="322" t="s">
        <v>702</v>
      </c>
      <c r="B157" s="348">
        <v>1.5</v>
      </c>
      <c r="C157" s="348">
        <v>1</v>
      </c>
      <c r="D157" s="869">
        <v>44617</v>
      </c>
      <c r="E157" s="869">
        <v>44617</v>
      </c>
      <c r="F157" s="839">
        <f>F156+B157-C157</f>
        <v>4</v>
      </c>
      <c r="G157" s="320"/>
      <c r="H157" s="320"/>
      <c r="I157" s="320"/>
      <c r="J157" s="320" t="s">
        <v>508</v>
      </c>
      <c r="K157" s="351" t="s">
        <v>508</v>
      </c>
      <c r="L157" s="351" t="s">
        <v>508</v>
      </c>
      <c r="M157" s="351" t="s">
        <v>508</v>
      </c>
      <c r="N157" s="320"/>
      <c r="O157" s="320"/>
      <c r="P157" s="320"/>
    </row>
    <row r="158" spans="1:16">
      <c r="A158" s="322" t="s">
        <v>736</v>
      </c>
      <c r="B158" s="348">
        <v>1.5</v>
      </c>
      <c r="C158" s="348">
        <v>1</v>
      </c>
      <c r="D158" s="869">
        <v>44624</v>
      </c>
      <c r="E158" s="869">
        <v>44624</v>
      </c>
      <c r="F158" s="839">
        <f>F157+B158-C158</f>
        <v>4.5</v>
      </c>
      <c r="G158" s="320"/>
      <c r="H158" s="320"/>
      <c r="I158" s="320"/>
      <c r="J158" s="320" t="s">
        <v>508</v>
      </c>
      <c r="K158" s="351" t="s">
        <v>508</v>
      </c>
      <c r="L158" s="351" t="s">
        <v>508</v>
      </c>
      <c r="M158" s="351" t="s">
        <v>508</v>
      </c>
      <c r="N158" s="320"/>
      <c r="O158" s="320"/>
      <c r="P158" s="320"/>
    </row>
    <row r="159" spans="1:16">
      <c r="A159" s="508" t="s">
        <v>758</v>
      </c>
      <c r="B159" s="348">
        <v>1.5</v>
      </c>
      <c r="C159" s="348">
        <v>1</v>
      </c>
      <c r="D159" s="869">
        <v>44676</v>
      </c>
      <c r="E159" s="869">
        <v>44676</v>
      </c>
      <c r="F159" s="839">
        <f>F158+B159-C159</f>
        <v>5</v>
      </c>
      <c r="G159" s="320"/>
      <c r="H159" s="320"/>
      <c r="I159" s="320"/>
      <c r="J159" s="320" t="s">
        <v>508</v>
      </c>
      <c r="K159" s="320" t="s">
        <v>508</v>
      </c>
      <c r="L159" s="351" t="s">
        <v>508</v>
      </c>
      <c r="M159" s="351" t="s">
        <v>508</v>
      </c>
      <c r="N159" s="320"/>
      <c r="O159" s="320"/>
      <c r="P159" s="320"/>
    </row>
    <row r="160" spans="1:16">
      <c r="A160" s="320"/>
      <c r="B160" s="320"/>
      <c r="C160" s="320"/>
      <c r="D160" s="320"/>
      <c r="E160" s="320"/>
      <c r="F160" s="320"/>
      <c r="G160" s="320"/>
      <c r="H160" s="320"/>
      <c r="I160" s="320"/>
      <c r="J160" s="320"/>
      <c r="K160" s="320"/>
      <c r="L160" s="320"/>
      <c r="M160" s="320"/>
      <c r="N160" s="320"/>
      <c r="O160" s="320"/>
    </row>
    <row r="161" spans="1:15">
      <c r="A161" s="320"/>
      <c r="B161" s="320"/>
      <c r="C161" s="320"/>
      <c r="D161" s="320"/>
      <c r="E161" s="320"/>
      <c r="F161" s="320"/>
      <c r="G161" s="320"/>
      <c r="H161" s="320"/>
      <c r="I161" s="320"/>
      <c r="J161" s="320"/>
      <c r="K161" s="320"/>
      <c r="L161" s="320"/>
      <c r="M161" s="320"/>
      <c r="N161" s="320"/>
      <c r="O161" s="320"/>
    </row>
    <row r="162" spans="1:15">
      <c r="A162" s="320"/>
      <c r="B162" s="323"/>
      <c r="C162" s="320"/>
      <c r="D162" s="320"/>
      <c r="E162" s="320"/>
      <c r="F162" s="320"/>
      <c r="G162" s="320"/>
      <c r="H162" s="320"/>
      <c r="I162" s="320"/>
      <c r="J162" s="320"/>
      <c r="K162" s="320"/>
      <c r="L162" s="320"/>
      <c r="M162" s="320"/>
      <c r="N162" s="320"/>
      <c r="O162" s="320"/>
    </row>
    <row r="163" spans="1:15">
      <c r="A163" s="320"/>
      <c r="B163" s="320"/>
      <c r="C163" s="320"/>
      <c r="D163" s="320"/>
      <c r="E163" s="320"/>
      <c r="F163" s="320"/>
      <c r="G163" s="320"/>
      <c r="H163" s="320"/>
      <c r="I163" s="320"/>
      <c r="J163" s="320"/>
      <c r="K163" s="320"/>
      <c r="L163" s="320"/>
      <c r="M163" s="320"/>
      <c r="N163" s="320"/>
      <c r="O163" s="320"/>
    </row>
    <row r="164" spans="1:15">
      <c r="A164" s="320"/>
      <c r="B164" s="320"/>
      <c r="C164" s="320"/>
      <c r="D164" s="320"/>
      <c r="E164" s="320"/>
      <c r="F164" s="320"/>
      <c r="G164" s="320"/>
      <c r="H164" s="320"/>
      <c r="I164" s="320"/>
      <c r="J164" s="320"/>
      <c r="K164" s="320"/>
      <c r="L164" s="320"/>
      <c r="M164" s="320"/>
      <c r="N164" s="320"/>
      <c r="O164" s="320"/>
    </row>
    <row r="165" spans="1:15">
      <c r="A165" s="320"/>
      <c r="B165" s="320"/>
      <c r="C165" s="320"/>
      <c r="D165" s="320"/>
      <c r="E165" s="320"/>
      <c r="F165" s="320"/>
      <c r="G165" s="320"/>
      <c r="H165" s="320"/>
      <c r="I165" s="320"/>
      <c r="J165" s="320"/>
      <c r="K165" s="320"/>
      <c r="L165" s="320"/>
      <c r="M165" s="320"/>
      <c r="N165" s="320"/>
      <c r="O165" s="320"/>
    </row>
    <row r="166" spans="1:15">
      <c r="A166" s="320"/>
      <c r="B166" s="320"/>
      <c r="C166" s="320"/>
      <c r="D166" s="320"/>
      <c r="E166" s="320"/>
      <c r="F166" s="320"/>
      <c r="G166" s="320"/>
      <c r="H166" s="320"/>
      <c r="I166" s="320"/>
      <c r="J166" s="320"/>
      <c r="K166" s="320"/>
      <c r="L166" s="320"/>
      <c r="M166" s="320"/>
      <c r="N166" s="320"/>
      <c r="O166" s="320"/>
    </row>
    <row r="167" spans="1:15">
      <c r="A167" s="320"/>
      <c r="B167" s="320"/>
      <c r="C167" s="320"/>
      <c r="D167" s="320"/>
      <c r="E167" s="320"/>
      <c r="F167" s="320"/>
      <c r="G167" s="320"/>
      <c r="H167" s="320"/>
      <c r="I167" s="320"/>
      <c r="J167" s="320"/>
      <c r="K167" s="320"/>
      <c r="L167" s="320"/>
      <c r="M167" s="320"/>
      <c r="N167" s="320"/>
      <c r="O167" s="320"/>
    </row>
    <row r="168" spans="1:15">
      <c r="A168" s="320"/>
      <c r="B168" s="320"/>
      <c r="C168" s="320"/>
      <c r="D168" s="320"/>
      <c r="E168" s="320"/>
      <c r="F168" s="320"/>
      <c r="G168" s="320"/>
      <c r="H168" s="320"/>
      <c r="I168" s="320"/>
      <c r="J168" s="320"/>
      <c r="K168" s="320"/>
      <c r="L168" s="320"/>
      <c r="M168" s="320"/>
      <c r="N168" s="320"/>
      <c r="O168" s="320"/>
    </row>
    <row r="169" spans="1:15">
      <c r="A169" s="320"/>
      <c r="B169" s="320"/>
      <c r="C169" s="320"/>
      <c r="D169" s="320"/>
      <c r="E169" s="320"/>
      <c r="F169" s="320"/>
      <c r="G169" s="320"/>
      <c r="H169" s="320"/>
      <c r="I169" s="320"/>
      <c r="J169" s="320"/>
      <c r="K169" s="320"/>
      <c r="L169" s="320"/>
      <c r="M169" s="320"/>
      <c r="N169" s="320"/>
      <c r="O169" s="320"/>
    </row>
    <row r="170" spans="1:15">
      <c r="A170" s="320"/>
      <c r="B170" s="324"/>
      <c r="C170" s="320"/>
      <c r="D170" s="320"/>
      <c r="E170" s="320"/>
      <c r="F170" s="320"/>
      <c r="G170" s="320"/>
      <c r="H170" s="320"/>
      <c r="I170" s="320"/>
      <c r="J170" s="320"/>
      <c r="K170" s="320"/>
      <c r="L170" s="320"/>
      <c r="M170" s="320"/>
      <c r="N170" s="320"/>
      <c r="O170" s="320"/>
    </row>
    <row r="171" spans="1:15">
      <c r="A171" s="320"/>
      <c r="B171" s="320"/>
      <c r="C171" s="320"/>
      <c r="D171" s="320"/>
      <c r="E171" s="320"/>
      <c r="F171" s="320"/>
      <c r="G171" s="320"/>
      <c r="H171" s="320"/>
      <c r="I171" s="320"/>
      <c r="J171" s="320"/>
      <c r="K171" s="320"/>
      <c r="L171" s="320"/>
      <c r="M171" s="320"/>
      <c r="N171" s="320"/>
      <c r="O171" s="320"/>
    </row>
    <row r="172" spans="1:15">
      <c r="A172" s="320"/>
      <c r="B172" s="320"/>
      <c r="C172" s="320"/>
      <c r="D172" s="320"/>
      <c r="E172" s="320"/>
      <c r="F172" s="320"/>
      <c r="G172" s="320"/>
      <c r="H172" s="320"/>
      <c r="I172" s="320"/>
      <c r="J172" s="320"/>
      <c r="K172" s="320"/>
      <c r="L172" s="320"/>
      <c r="M172" s="320"/>
      <c r="N172" s="320"/>
      <c r="O172" s="320"/>
    </row>
    <row r="173" spans="1:15">
      <c r="A173" s="320"/>
      <c r="B173" s="320"/>
      <c r="C173" s="320"/>
      <c r="D173" s="320"/>
      <c r="E173" s="320"/>
      <c r="F173" s="320"/>
      <c r="G173" s="320"/>
      <c r="H173" s="320"/>
      <c r="I173" s="320"/>
      <c r="J173" s="320"/>
      <c r="K173" s="320"/>
      <c r="L173" s="320"/>
      <c r="M173" s="320"/>
      <c r="N173" s="320"/>
      <c r="O173" s="320"/>
    </row>
    <row r="174" spans="1:15">
      <c r="A174" s="351"/>
      <c r="B174" s="351"/>
      <c r="C174" s="351"/>
      <c r="D174" s="351"/>
      <c r="E174" s="351"/>
      <c r="F174" s="351"/>
      <c r="G174" s="351"/>
      <c r="H174" s="351"/>
      <c r="I174" s="351"/>
      <c r="J174" s="351"/>
      <c r="K174" s="351"/>
      <c r="L174" s="351"/>
      <c r="M174" s="351"/>
      <c r="N174" s="351"/>
      <c r="O174" s="351"/>
    </row>
    <row r="175" spans="1:15">
      <c r="A175" s="306"/>
      <c r="B175" s="306"/>
      <c r="C175" s="306"/>
      <c r="D175" s="306"/>
      <c r="E175" s="306"/>
      <c r="F175" s="306"/>
      <c r="G175" s="306"/>
      <c r="H175" s="306"/>
      <c r="I175" s="306"/>
      <c r="J175" s="306"/>
      <c r="K175" s="306"/>
      <c r="L175" s="306"/>
      <c r="M175" s="306"/>
      <c r="N175" s="306"/>
      <c r="O175" s="306"/>
    </row>
    <row r="176" spans="1:15">
      <c r="A176" s="306"/>
      <c r="B176" s="306"/>
      <c r="C176" s="306"/>
      <c r="D176" s="306"/>
      <c r="E176" s="306"/>
      <c r="F176" s="306"/>
      <c r="G176" s="306"/>
      <c r="H176" s="306"/>
      <c r="I176" s="306"/>
      <c r="J176" s="306"/>
      <c r="K176" s="306"/>
      <c r="L176" s="306"/>
      <c r="M176" s="306"/>
      <c r="N176" s="306"/>
      <c r="O176" s="306"/>
    </row>
    <row r="177" spans="1:15">
      <c r="A177" s="306"/>
      <c r="B177" s="306"/>
      <c r="C177" s="306"/>
      <c r="D177" s="306"/>
      <c r="E177" s="306"/>
      <c r="F177" s="306"/>
      <c r="G177" s="306"/>
      <c r="H177" s="306"/>
      <c r="I177" s="306"/>
      <c r="J177" s="306"/>
      <c r="K177" s="306"/>
      <c r="L177" s="306"/>
      <c r="M177" s="306"/>
      <c r="N177" s="306"/>
      <c r="O177" s="306"/>
    </row>
    <row r="178" spans="1:15">
      <c r="A178" s="306"/>
      <c r="B178" s="306"/>
      <c r="C178" s="306"/>
      <c r="D178" s="306"/>
      <c r="E178" s="306"/>
      <c r="F178" s="306"/>
      <c r="G178" s="306"/>
      <c r="H178" s="306"/>
      <c r="I178" s="306"/>
      <c r="J178" s="306"/>
      <c r="K178" s="306"/>
      <c r="L178" s="306"/>
      <c r="M178" s="306"/>
      <c r="N178" s="306"/>
      <c r="O178" s="306"/>
    </row>
    <row r="179" spans="1:15">
      <c r="A179" s="306"/>
      <c r="B179" s="306"/>
      <c r="C179" s="306"/>
      <c r="D179" s="306"/>
      <c r="E179" s="306"/>
      <c r="F179" s="306"/>
      <c r="G179" s="306"/>
      <c r="H179" s="306"/>
      <c r="I179" s="306"/>
      <c r="J179" s="306"/>
      <c r="K179" s="306"/>
      <c r="L179" s="306"/>
      <c r="M179" s="306"/>
      <c r="N179" s="306"/>
      <c r="O179" s="306"/>
    </row>
    <row r="180" spans="1:15">
      <c r="A180" s="306"/>
      <c r="B180" s="306"/>
      <c r="C180" s="306"/>
      <c r="D180" s="306"/>
      <c r="E180" s="306"/>
      <c r="F180" s="306"/>
      <c r="G180" s="306"/>
      <c r="H180" s="306"/>
      <c r="I180" s="306"/>
      <c r="J180" s="306"/>
      <c r="K180" s="306"/>
      <c r="L180" s="306"/>
      <c r="M180" s="306"/>
      <c r="N180" s="306"/>
      <c r="O180" s="306"/>
    </row>
    <row r="185" spans="1:15" ht="15.75" thickBot="1"/>
    <row r="186" spans="1:15" ht="23.25">
      <c r="A186" s="1062" t="s">
        <v>428</v>
      </c>
      <c r="B186" s="1063"/>
      <c r="C186" s="1063"/>
      <c r="D186" s="1063"/>
      <c r="E186" s="1063"/>
      <c r="F186" s="1063"/>
      <c r="G186" s="1063"/>
      <c r="H186" s="1063"/>
      <c r="I186" s="1063"/>
      <c r="J186" s="1063"/>
      <c r="K186" s="1063"/>
      <c r="L186" s="1063"/>
      <c r="M186" s="1063"/>
      <c r="N186" s="1063"/>
      <c r="O186" s="614"/>
    </row>
    <row r="187" spans="1:15" ht="24" thickBot="1">
      <c r="A187" s="1064"/>
      <c r="B187" s="1065"/>
      <c r="C187" s="1065"/>
      <c r="D187" s="1065"/>
      <c r="E187" s="1065"/>
      <c r="F187" s="1065"/>
      <c r="G187" s="1065"/>
      <c r="H187" s="1065"/>
      <c r="I187" s="1065"/>
      <c r="J187" s="1065"/>
      <c r="K187" s="1065"/>
      <c r="L187" s="1065"/>
      <c r="M187" s="1065"/>
      <c r="N187" s="1065"/>
      <c r="O187" s="615"/>
    </row>
    <row r="188" spans="1:15" ht="15.75" thickBot="1">
      <c r="A188" s="1066" t="s">
        <v>429</v>
      </c>
      <c r="B188" s="1067"/>
      <c r="C188" s="1067"/>
      <c r="D188" s="1067"/>
      <c r="E188" s="1067"/>
      <c r="F188" s="1067"/>
      <c r="G188" s="1067"/>
      <c r="H188" s="1067"/>
      <c r="I188" s="1067"/>
      <c r="J188" s="1067"/>
      <c r="K188" s="1067"/>
      <c r="L188" s="1067"/>
      <c r="M188" s="1067"/>
      <c r="N188" s="1067"/>
      <c r="O188" s="616"/>
    </row>
    <row r="189" spans="1:15">
      <c r="A189" s="300" t="s">
        <v>460</v>
      </c>
      <c r="B189" s="301"/>
      <c r="C189" s="301"/>
      <c r="D189" s="302"/>
      <c r="E189" s="1068" t="s">
        <v>461</v>
      </c>
      <c r="F189" s="1069"/>
      <c r="G189" s="1069"/>
      <c r="H189" s="328"/>
      <c r="I189" s="328"/>
      <c r="J189" s="328"/>
      <c r="K189" s="328"/>
      <c r="L189" s="328"/>
      <c r="M189" s="328"/>
      <c r="N189" s="328"/>
      <c r="O189" s="303"/>
    </row>
    <row r="190" spans="1:15" ht="38.25" customHeight="1">
      <c r="A190" s="305"/>
      <c r="B190" s="306" t="s">
        <v>381</v>
      </c>
      <c r="C190" s="306"/>
      <c r="D190" s="307"/>
      <c r="E190" s="329"/>
      <c r="F190" s="1090" t="str">
        <f>'4-22MASTER'!C21</f>
        <v>TUSHAR UCHAGAONKAR</v>
      </c>
      <c r="G190" s="1090"/>
      <c r="H190" s="1090"/>
      <c r="I190" s="1090"/>
      <c r="J190" s="330"/>
      <c r="K190" s="330"/>
      <c r="L190" s="330"/>
      <c r="M190" s="330"/>
      <c r="N190" s="330"/>
      <c r="O190" s="308"/>
    </row>
    <row r="191" spans="1:15" ht="15.75" thickBot="1">
      <c r="A191" s="310"/>
      <c r="B191" s="311" t="s">
        <v>382</v>
      </c>
      <c r="C191" s="311"/>
      <c r="D191" s="312"/>
      <c r="E191" s="329"/>
      <c r="F191" s="330"/>
      <c r="G191" s="330"/>
      <c r="H191" s="330"/>
      <c r="I191" s="330"/>
      <c r="J191" s="330"/>
      <c r="K191" s="330"/>
      <c r="L191" s="330"/>
      <c r="M191" s="330"/>
      <c r="N191" s="330"/>
      <c r="O191" s="308"/>
    </row>
    <row r="192" spans="1:15">
      <c r="A192" s="331" t="s">
        <v>462</v>
      </c>
      <c r="B192" s="301"/>
      <c r="C192" s="301"/>
      <c r="D192" s="302"/>
      <c r="E192" s="313" t="s">
        <v>430</v>
      </c>
      <c r="F192" s="301"/>
      <c r="H192" s="301"/>
      <c r="I192" s="301"/>
      <c r="J192" s="301"/>
      <c r="K192" s="301"/>
      <c r="L192" s="301"/>
      <c r="M192" s="301"/>
      <c r="N192" s="301"/>
      <c r="O192" s="301"/>
    </row>
    <row r="193" spans="1:16">
      <c r="A193" s="325"/>
      <c r="B193" s="306"/>
      <c r="C193" s="306">
        <f>'4-22MASTER'!G314</f>
        <v>0</v>
      </c>
      <c r="D193" s="307"/>
      <c r="E193" s="315"/>
      <c r="F193" s="632">
        <f>'4-22MASTER'!D21</f>
        <v>33656</v>
      </c>
      <c r="G193" s="306"/>
      <c r="H193" s="306"/>
      <c r="I193" s="306"/>
      <c r="J193" s="306"/>
      <c r="K193" s="306"/>
      <c r="L193" s="306"/>
      <c r="M193" s="306"/>
      <c r="N193" s="306"/>
      <c r="O193" s="306"/>
    </row>
    <row r="194" spans="1:16">
      <c r="A194" s="325"/>
      <c r="B194" s="306"/>
      <c r="C194" s="306"/>
      <c r="D194" s="307"/>
      <c r="E194" s="316"/>
      <c r="F194" s="306"/>
      <c r="G194" s="306"/>
      <c r="H194" s="306"/>
      <c r="I194" s="306"/>
      <c r="J194" s="306"/>
      <c r="K194" s="306"/>
      <c r="L194" s="306"/>
      <c r="M194" s="306"/>
      <c r="N194" s="306"/>
      <c r="O194" s="306"/>
    </row>
    <row r="195" spans="1:16" ht="15.75" thickBot="1">
      <c r="A195" s="326"/>
      <c r="B195" s="327"/>
      <c r="C195" s="327"/>
      <c r="D195" s="332"/>
      <c r="E195" s="310"/>
      <c r="F195" s="311"/>
      <c r="G195" s="311"/>
      <c r="H195" s="311"/>
      <c r="I195" s="311"/>
      <c r="J195" s="311"/>
      <c r="K195" s="311"/>
      <c r="L195" s="311"/>
      <c r="M195" s="311"/>
      <c r="N195" s="311"/>
      <c r="O195" s="311"/>
    </row>
    <row r="196" spans="1:16">
      <c r="A196" s="1071" t="s">
        <v>5</v>
      </c>
      <c r="B196" s="1073" t="s">
        <v>431</v>
      </c>
      <c r="C196" s="1074"/>
      <c r="D196" s="1073" t="s">
        <v>432</v>
      </c>
      <c r="E196" s="1076"/>
      <c r="F196" s="1079" t="s">
        <v>433</v>
      </c>
      <c r="G196" s="1075" t="s">
        <v>434</v>
      </c>
      <c r="H196" s="1080"/>
      <c r="I196" s="1081" t="s">
        <v>435</v>
      </c>
      <c r="J196" s="1080"/>
      <c r="K196" s="1082"/>
      <c r="L196" s="1081" t="s">
        <v>436</v>
      </c>
      <c r="M196" s="1080"/>
      <c r="N196" s="1080"/>
      <c r="O196" s="1086"/>
    </row>
    <row r="197" spans="1:16" ht="15.75" thickBot="1">
      <c r="A197" s="1072"/>
      <c r="B197" s="1075"/>
      <c r="C197" s="1076"/>
      <c r="D197" s="1075"/>
      <c r="E197" s="1076"/>
      <c r="F197" s="1071"/>
      <c r="G197" s="1075"/>
      <c r="H197" s="1080"/>
      <c r="I197" s="1083"/>
      <c r="J197" s="1084"/>
      <c r="K197" s="1085"/>
      <c r="L197" s="1083"/>
      <c r="M197" s="1084"/>
      <c r="N197" s="1084"/>
      <c r="O197" s="1087"/>
    </row>
    <row r="198" spans="1:16">
      <c r="A198" s="317">
        <v>1</v>
      </c>
      <c r="B198" s="1077"/>
      <c r="C198" s="1078"/>
      <c r="D198" s="1077"/>
      <c r="E198" s="1078"/>
      <c r="F198" s="317">
        <v>6</v>
      </c>
      <c r="G198" s="1077"/>
      <c r="H198" s="1078"/>
      <c r="I198" s="318">
        <v>9</v>
      </c>
      <c r="J198" s="318"/>
      <c r="K198" s="318"/>
      <c r="L198" s="318">
        <v>9</v>
      </c>
      <c r="M198" s="318"/>
      <c r="N198" s="318"/>
      <c r="O198" s="319"/>
    </row>
    <row r="199" spans="1:16" ht="89.25">
      <c r="A199" s="320"/>
      <c r="B199" s="320" t="s">
        <v>437</v>
      </c>
      <c r="C199" s="320" t="s">
        <v>438</v>
      </c>
      <c r="D199" s="320" t="s">
        <v>439</v>
      </c>
      <c r="E199" s="320" t="s">
        <v>136</v>
      </c>
      <c r="F199" s="320"/>
      <c r="G199" s="320" t="s">
        <v>440</v>
      </c>
      <c r="H199" s="320" t="s">
        <v>441</v>
      </c>
      <c r="I199" s="320" t="s">
        <v>442</v>
      </c>
      <c r="J199" s="320" t="s">
        <v>443</v>
      </c>
      <c r="K199" s="320" t="s">
        <v>444</v>
      </c>
      <c r="L199" s="320" t="s">
        <v>445</v>
      </c>
      <c r="M199" s="320" t="s">
        <v>446</v>
      </c>
      <c r="N199" s="321" t="s">
        <v>447</v>
      </c>
      <c r="O199" s="321"/>
    </row>
    <row r="200" spans="1:16">
      <c r="A200" s="320"/>
      <c r="B200" s="322"/>
      <c r="C200" s="320"/>
      <c r="D200" s="320"/>
      <c r="E200" s="320"/>
      <c r="F200" s="320"/>
      <c r="G200" s="320"/>
      <c r="H200" s="320"/>
      <c r="I200" s="320"/>
      <c r="J200" s="320"/>
      <c r="K200" s="351"/>
      <c r="L200" s="351"/>
      <c r="M200" s="351"/>
      <c r="N200" s="320"/>
      <c r="O200" s="320"/>
    </row>
    <row r="201" spans="1:16">
      <c r="A201" s="320"/>
      <c r="B201" s="361"/>
      <c r="C201" s="320"/>
      <c r="D201" s="320"/>
      <c r="E201" s="320"/>
      <c r="F201" s="340"/>
      <c r="G201" s="320"/>
      <c r="H201" s="320"/>
      <c r="I201" s="320"/>
      <c r="J201" s="351"/>
      <c r="K201" s="351"/>
      <c r="L201" s="351"/>
      <c r="M201" s="351"/>
      <c r="N201" s="320"/>
      <c r="O201" s="320"/>
      <c r="P201" s="320"/>
    </row>
    <row r="202" spans="1:16">
      <c r="A202" s="320" t="s">
        <v>685</v>
      </c>
      <c r="B202" s="361">
        <v>1.5</v>
      </c>
      <c r="C202" s="320">
        <v>1</v>
      </c>
      <c r="D202" s="467">
        <v>44575</v>
      </c>
      <c r="E202" s="467">
        <v>44575</v>
      </c>
      <c r="F202" s="340">
        <f t="shared" ref="F202" si="0">(F201+B202)-C202</f>
        <v>0.5</v>
      </c>
      <c r="G202" s="320"/>
      <c r="H202" s="320"/>
      <c r="I202" s="320"/>
      <c r="J202" s="351" t="s">
        <v>508</v>
      </c>
      <c r="K202" s="351" t="s">
        <v>508</v>
      </c>
      <c r="L202" s="351" t="s">
        <v>508</v>
      </c>
      <c r="M202" s="351" t="s">
        <v>508</v>
      </c>
      <c r="N202" s="320"/>
      <c r="O202" s="320"/>
      <c r="P202" s="320"/>
    </row>
    <row r="203" spans="1:16">
      <c r="A203" s="322" t="s">
        <v>702</v>
      </c>
      <c r="B203" s="348">
        <v>1.5</v>
      </c>
      <c r="C203" s="348">
        <v>1</v>
      </c>
      <c r="D203" s="869">
        <v>44596</v>
      </c>
      <c r="E203" s="869">
        <v>44596</v>
      </c>
      <c r="F203" s="839">
        <f>F202+B203-C203</f>
        <v>1</v>
      </c>
      <c r="G203" s="320"/>
      <c r="H203" s="320"/>
      <c r="I203" s="320"/>
      <c r="J203" s="320" t="s">
        <v>508</v>
      </c>
      <c r="K203" s="351" t="s">
        <v>508</v>
      </c>
      <c r="L203" s="351" t="s">
        <v>508</v>
      </c>
      <c r="M203" s="351" t="s">
        <v>508</v>
      </c>
      <c r="N203" s="320"/>
      <c r="O203" s="320"/>
      <c r="P203" s="320"/>
    </row>
    <row r="204" spans="1:16">
      <c r="A204" s="322" t="s">
        <v>736</v>
      </c>
      <c r="B204" s="348">
        <v>1.5</v>
      </c>
      <c r="C204" s="348">
        <v>1</v>
      </c>
      <c r="D204" s="869">
        <v>44641</v>
      </c>
      <c r="E204" s="869">
        <v>44641</v>
      </c>
      <c r="F204" s="839">
        <f>F203+B204-C204</f>
        <v>1.5</v>
      </c>
      <c r="G204" s="320"/>
      <c r="H204" s="320"/>
      <c r="I204" s="320"/>
      <c r="J204" s="320" t="s">
        <v>508</v>
      </c>
      <c r="K204" s="351" t="s">
        <v>508</v>
      </c>
      <c r="L204" s="351" t="s">
        <v>508</v>
      </c>
      <c r="M204" s="351" t="s">
        <v>508</v>
      </c>
      <c r="N204" s="320"/>
      <c r="O204" s="320"/>
      <c r="P204" s="320"/>
    </row>
    <row r="205" spans="1:16">
      <c r="A205" s="508" t="s">
        <v>758</v>
      </c>
      <c r="B205" s="348">
        <v>1.5</v>
      </c>
      <c r="C205" s="348">
        <v>1</v>
      </c>
      <c r="D205" s="869">
        <v>44659</v>
      </c>
      <c r="E205" s="869">
        <v>44659</v>
      </c>
      <c r="F205" s="839">
        <f>F204+B205-C205</f>
        <v>2</v>
      </c>
      <c r="G205" s="320"/>
      <c r="H205" s="320"/>
      <c r="I205" s="320"/>
      <c r="J205" s="320" t="s">
        <v>508</v>
      </c>
      <c r="K205" s="320" t="s">
        <v>508</v>
      </c>
      <c r="L205" s="351" t="s">
        <v>508</v>
      </c>
      <c r="M205" s="351" t="s">
        <v>508</v>
      </c>
      <c r="N205" s="320"/>
      <c r="O205" s="320"/>
      <c r="P205" s="320"/>
    </row>
    <row r="206" spans="1:16">
      <c r="A206" s="320"/>
      <c r="B206" s="320"/>
      <c r="C206" s="320"/>
      <c r="D206" s="320"/>
      <c r="E206" s="320"/>
      <c r="F206" s="320"/>
      <c r="G206" s="320"/>
      <c r="H206" s="320"/>
      <c r="I206" s="320"/>
      <c r="J206" s="320"/>
      <c r="K206" s="320"/>
      <c r="L206" s="320"/>
      <c r="M206" s="320"/>
      <c r="N206" s="320"/>
      <c r="O206" s="320"/>
    </row>
    <row r="207" spans="1:16">
      <c r="A207" s="320"/>
      <c r="B207" s="323"/>
      <c r="C207" s="320"/>
      <c r="D207" s="320"/>
      <c r="E207" s="320"/>
      <c r="F207" s="320"/>
      <c r="G207" s="320"/>
      <c r="H207" s="320"/>
      <c r="I207" s="320"/>
      <c r="J207" s="320"/>
      <c r="K207" s="320"/>
      <c r="L207" s="320"/>
      <c r="M207" s="320"/>
      <c r="N207" s="320"/>
      <c r="O207" s="320"/>
    </row>
    <row r="208" spans="1:16">
      <c r="A208" s="320"/>
      <c r="B208" s="320"/>
      <c r="C208" s="320"/>
      <c r="D208" s="320"/>
      <c r="E208" s="320"/>
      <c r="F208" s="320"/>
      <c r="G208" s="320"/>
      <c r="H208" s="320"/>
      <c r="I208" s="320"/>
      <c r="J208" s="320"/>
      <c r="K208" s="320"/>
      <c r="L208" s="320"/>
      <c r="M208" s="320"/>
      <c r="N208" s="320"/>
      <c r="O208" s="320"/>
    </row>
    <row r="209" spans="1:15">
      <c r="A209" s="320"/>
      <c r="B209" s="320"/>
      <c r="C209" s="320"/>
      <c r="D209" s="320"/>
      <c r="E209" s="320"/>
      <c r="F209" s="320"/>
      <c r="G209" s="320"/>
      <c r="H209" s="320"/>
      <c r="I209" s="320"/>
      <c r="J209" s="320"/>
      <c r="K209" s="320"/>
      <c r="L209" s="320"/>
      <c r="M209" s="320"/>
      <c r="N209" s="320"/>
      <c r="O209" s="320"/>
    </row>
    <row r="210" spans="1:15">
      <c r="A210" s="320"/>
      <c r="B210" s="320"/>
      <c r="C210" s="320"/>
      <c r="D210" s="320"/>
      <c r="E210" s="320"/>
      <c r="F210" s="320"/>
      <c r="G210" s="320"/>
      <c r="H210" s="320"/>
      <c r="I210" s="320"/>
      <c r="J210" s="320"/>
      <c r="K210" s="320"/>
      <c r="L210" s="320"/>
      <c r="M210" s="320"/>
      <c r="N210" s="320"/>
      <c r="O210" s="320"/>
    </row>
    <row r="211" spans="1:15">
      <c r="A211" s="320"/>
      <c r="B211" s="320"/>
      <c r="C211" s="320"/>
      <c r="D211" s="320"/>
      <c r="E211" s="320"/>
      <c r="F211" s="320"/>
      <c r="G211" s="320"/>
      <c r="H211" s="320"/>
      <c r="I211" s="320"/>
      <c r="J211" s="320"/>
      <c r="K211" s="320"/>
      <c r="L211" s="320"/>
      <c r="M211" s="320"/>
      <c r="N211" s="320"/>
      <c r="O211" s="320"/>
    </row>
    <row r="212" spans="1:15">
      <c r="A212" s="320"/>
      <c r="B212" s="320"/>
      <c r="C212" s="320"/>
      <c r="D212" s="320"/>
      <c r="E212" s="320"/>
      <c r="F212" s="320"/>
      <c r="G212" s="320"/>
      <c r="H212" s="320"/>
      <c r="I212" s="320"/>
      <c r="J212" s="320"/>
      <c r="K212" s="320"/>
      <c r="L212" s="320"/>
      <c r="M212" s="320"/>
      <c r="N212" s="320"/>
      <c r="O212" s="320"/>
    </row>
    <row r="213" spans="1:15">
      <c r="A213" s="320"/>
      <c r="B213" s="320"/>
      <c r="C213" s="320"/>
      <c r="D213" s="320"/>
      <c r="E213" s="320"/>
      <c r="F213" s="320"/>
      <c r="G213" s="320"/>
      <c r="H213" s="320"/>
      <c r="I213" s="320"/>
      <c r="J213" s="320"/>
      <c r="K213" s="320"/>
      <c r="L213" s="320"/>
      <c r="M213" s="320"/>
      <c r="N213" s="320"/>
      <c r="O213" s="320"/>
    </row>
    <row r="214" spans="1:15">
      <c r="A214" s="320"/>
      <c r="B214" s="320"/>
      <c r="C214" s="320"/>
      <c r="D214" s="320"/>
      <c r="E214" s="320"/>
      <c r="F214" s="320"/>
      <c r="G214" s="320"/>
      <c r="H214" s="320"/>
      <c r="I214" s="320"/>
      <c r="J214" s="320"/>
      <c r="K214" s="320"/>
      <c r="L214" s="320"/>
      <c r="M214" s="320"/>
      <c r="N214" s="320"/>
      <c r="O214" s="320"/>
    </row>
    <row r="215" spans="1:15">
      <c r="A215" s="320"/>
      <c r="B215" s="324"/>
      <c r="C215" s="320"/>
      <c r="D215" s="320"/>
      <c r="E215" s="320"/>
      <c r="F215" s="320"/>
      <c r="G215" s="320"/>
      <c r="H215" s="320"/>
      <c r="I215" s="320"/>
      <c r="J215" s="320"/>
      <c r="K215" s="320"/>
      <c r="L215" s="320"/>
      <c r="M215" s="320"/>
      <c r="N215" s="320"/>
      <c r="O215" s="320"/>
    </row>
    <row r="216" spans="1:15">
      <c r="A216" s="320"/>
      <c r="B216" s="320"/>
      <c r="C216" s="320"/>
      <c r="D216" s="320"/>
      <c r="E216" s="320"/>
      <c r="F216" s="320"/>
      <c r="G216" s="320"/>
      <c r="H216" s="320"/>
      <c r="I216" s="320"/>
      <c r="J216" s="320"/>
      <c r="K216" s="320"/>
      <c r="L216" s="320"/>
      <c r="M216" s="320"/>
      <c r="N216" s="320"/>
      <c r="O216" s="320"/>
    </row>
    <row r="217" spans="1:15">
      <c r="A217" s="320"/>
      <c r="B217" s="320"/>
      <c r="C217" s="320"/>
      <c r="D217" s="320"/>
      <c r="E217" s="320"/>
      <c r="F217" s="320"/>
      <c r="G217" s="320"/>
      <c r="H217" s="320"/>
      <c r="I217" s="320"/>
      <c r="J217" s="320"/>
      <c r="K217" s="320"/>
      <c r="L217" s="320"/>
      <c r="M217" s="320"/>
      <c r="N217" s="320"/>
      <c r="O217" s="320"/>
    </row>
    <row r="218" spans="1:15">
      <c r="A218" s="320"/>
      <c r="B218" s="320"/>
      <c r="C218" s="320"/>
      <c r="D218" s="320"/>
      <c r="E218" s="320"/>
      <c r="F218" s="320"/>
      <c r="G218" s="320"/>
      <c r="H218" s="320"/>
      <c r="I218" s="320"/>
      <c r="J218" s="320"/>
      <c r="K218" s="320"/>
      <c r="L218" s="320"/>
      <c r="M218" s="320"/>
      <c r="N218" s="320"/>
      <c r="O218" s="320"/>
    </row>
    <row r="219" spans="1:15">
      <c r="A219" s="351"/>
      <c r="B219" s="351"/>
      <c r="C219" s="351"/>
      <c r="D219" s="351"/>
      <c r="E219" s="351"/>
      <c r="F219" s="351"/>
      <c r="G219" s="351"/>
      <c r="H219" s="351"/>
      <c r="I219" s="351"/>
      <c r="J219" s="351"/>
      <c r="K219" s="351"/>
      <c r="L219" s="351"/>
      <c r="M219" s="351"/>
      <c r="N219" s="351"/>
      <c r="O219" s="351"/>
    </row>
    <row r="220" spans="1:15">
      <c r="A220" s="306"/>
      <c r="B220" s="306"/>
      <c r="C220" s="306"/>
      <c r="D220" s="306"/>
      <c r="E220" s="306"/>
      <c r="F220" s="306"/>
      <c r="G220" s="306"/>
      <c r="H220" s="306"/>
      <c r="I220" s="306"/>
      <c r="J220" s="306"/>
      <c r="K220" s="306"/>
      <c r="L220" s="306"/>
      <c r="M220" s="306"/>
      <c r="N220" s="306"/>
      <c r="O220" s="306"/>
    </row>
    <row r="221" spans="1:15">
      <c r="A221" s="306"/>
      <c r="B221" s="306"/>
      <c r="C221" s="306"/>
      <c r="D221" s="306"/>
      <c r="E221" s="306"/>
      <c r="F221" s="306"/>
      <c r="G221" s="306"/>
      <c r="H221" s="306"/>
      <c r="I221" s="306"/>
      <c r="J221" s="306"/>
      <c r="K221" s="306"/>
      <c r="L221" s="306"/>
      <c r="M221" s="306"/>
      <c r="N221" s="306"/>
      <c r="O221" s="306"/>
    </row>
    <row r="222" spans="1:15">
      <c r="A222" s="306"/>
      <c r="B222" s="306"/>
      <c r="C222" s="306"/>
      <c r="D222" s="306"/>
      <c r="E222" s="306"/>
      <c r="F222" s="306"/>
      <c r="G222" s="306"/>
      <c r="H222" s="306"/>
      <c r="I222" s="306"/>
      <c r="J222" s="306"/>
      <c r="K222" s="306"/>
      <c r="L222" s="306"/>
      <c r="M222" s="306"/>
      <c r="N222" s="306"/>
      <c r="O222" s="306"/>
    </row>
    <row r="223" spans="1:15">
      <c r="A223" s="306"/>
      <c r="B223" s="306"/>
      <c r="C223" s="306"/>
      <c r="D223" s="306"/>
      <c r="E223" s="306"/>
      <c r="F223" s="306"/>
      <c r="G223" s="306"/>
      <c r="H223" s="306"/>
      <c r="I223" s="306"/>
      <c r="J223" s="306"/>
      <c r="K223" s="306"/>
      <c r="L223" s="306"/>
      <c r="M223" s="306"/>
      <c r="N223" s="306"/>
      <c r="O223" s="306"/>
    </row>
    <row r="224" spans="1:15">
      <c r="A224" s="306"/>
      <c r="B224" s="306"/>
      <c r="C224" s="306"/>
      <c r="D224" s="306"/>
      <c r="E224" s="306"/>
      <c r="F224" s="306"/>
      <c r="G224" s="306"/>
      <c r="H224" s="306"/>
      <c r="I224" s="306"/>
      <c r="J224" s="306"/>
      <c r="K224" s="306"/>
      <c r="L224" s="306"/>
      <c r="M224" s="306"/>
      <c r="N224" s="306"/>
      <c r="O224" s="306"/>
    </row>
    <row r="225" spans="1:15">
      <c r="A225" s="306"/>
      <c r="B225" s="306"/>
      <c r="C225" s="306"/>
      <c r="D225" s="306"/>
      <c r="E225" s="306"/>
      <c r="F225" s="306"/>
      <c r="G225" s="306"/>
      <c r="H225" s="306"/>
      <c r="I225" s="306"/>
      <c r="J225" s="306"/>
      <c r="K225" s="306"/>
      <c r="L225" s="306"/>
      <c r="M225" s="306"/>
      <c r="N225" s="306"/>
      <c r="O225" s="306"/>
    </row>
    <row r="230" spans="1:15" ht="15.75" thickBot="1"/>
    <row r="231" spans="1:15" ht="23.25">
      <c r="A231" s="1062" t="s">
        <v>428</v>
      </c>
      <c r="B231" s="1063"/>
      <c r="C231" s="1063"/>
      <c r="D231" s="1063"/>
      <c r="E231" s="1063"/>
      <c r="F231" s="1063"/>
      <c r="G231" s="1063"/>
      <c r="H231" s="1063"/>
      <c r="I231" s="1063"/>
      <c r="J231" s="1063"/>
      <c r="K231" s="1063"/>
      <c r="L231" s="1063"/>
      <c r="M231" s="1063"/>
      <c r="N231" s="1063"/>
      <c r="O231" s="614"/>
    </row>
    <row r="232" spans="1:15" ht="24" thickBot="1">
      <c r="A232" s="1064"/>
      <c r="B232" s="1065"/>
      <c r="C232" s="1065"/>
      <c r="D232" s="1065"/>
      <c r="E232" s="1065"/>
      <c r="F232" s="1065"/>
      <c r="G232" s="1065"/>
      <c r="H232" s="1065"/>
      <c r="I232" s="1065"/>
      <c r="J232" s="1065"/>
      <c r="K232" s="1065"/>
      <c r="L232" s="1065"/>
      <c r="M232" s="1065"/>
      <c r="N232" s="1065"/>
      <c r="O232" s="615"/>
    </row>
    <row r="233" spans="1:15" ht="15.75" thickBot="1">
      <c r="A233" s="1066" t="s">
        <v>429</v>
      </c>
      <c r="B233" s="1067"/>
      <c r="C233" s="1067"/>
      <c r="D233" s="1067"/>
      <c r="E233" s="1067"/>
      <c r="F233" s="1067"/>
      <c r="G233" s="1067"/>
      <c r="H233" s="1067"/>
      <c r="I233" s="1067"/>
      <c r="J233" s="1067"/>
      <c r="K233" s="1067"/>
      <c r="L233" s="1067"/>
      <c r="M233" s="1067"/>
      <c r="N233" s="1067"/>
      <c r="O233" s="616"/>
    </row>
    <row r="234" spans="1:15" ht="25.5" customHeight="1">
      <c r="A234" s="300" t="s">
        <v>460</v>
      </c>
      <c r="B234" s="301"/>
      <c r="C234" s="301"/>
      <c r="D234" s="302"/>
      <c r="E234" s="1068" t="s">
        <v>461</v>
      </c>
      <c r="F234" s="1069"/>
      <c r="G234" s="1069"/>
      <c r="H234" s="1091" t="str">
        <f>'4-22MASTER'!C22</f>
        <v>Sneha Hande</v>
      </c>
      <c r="I234" s="1091"/>
      <c r="J234" s="1091"/>
      <c r="K234" s="328"/>
      <c r="L234" s="328"/>
      <c r="M234" s="328"/>
      <c r="N234" s="328"/>
      <c r="O234" s="303"/>
    </row>
    <row r="235" spans="1:15">
      <c r="A235" s="305"/>
      <c r="B235" s="306" t="s">
        <v>381</v>
      </c>
      <c r="C235" s="306"/>
      <c r="D235" s="307"/>
      <c r="E235" s="329"/>
      <c r="F235" s="330"/>
      <c r="J235" s="330"/>
      <c r="K235" s="330"/>
      <c r="L235" s="330"/>
      <c r="M235" s="330"/>
      <c r="N235" s="330"/>
      <c r="O235" s="308"/>
    </row>
    <row r="236" spans="1:15" ht="15.75" thickBot="1">
      <c r="A236" s="310"/>
      <c r="B236" s="311" t="s">
        <v>382</v>
      </c>
      <c r="C236" s="311"/>
      <c r="D236" s="312"/>
      <c r="E236" s="329"/>
      <c r="F236" s="330"/>
      <c r="G236" s="330"/>
      <c r="H236" s="330"/>
      <c r="I236" s="330"/>
      <c r="J236" s="330"/>
      <c r="K236" s="330"/>
      <c r="L236" s="330"/>
      <c r="M236" s="330"/>
      <c r="N236" s="330"/>
      <c r="O236" s="308"/>
    </row>
    <row r="237" spans="1:15">
      <c r="A237" s="331" t="s">
        <v>462</v>
      </c>
      <c r="B237" s="301"/>
      <c r="C237" s="301"/>
      <c r="D237" s="302"/>
      <c r="E237" s="313" t="s">
        <v>430</v>
      </c>
      <c r="F237" s="301"/>
      <c r="H237" s="314">
        <f>'4-22MASTER'!O22</f>
        <v>44566</v>
      </c>
      <c r="I237" s="301"/>
      <c r="J237" s="301"/>
      <c r="K237" s="301"/>
      <c r="L237" s="301"/>
      <c r="M237" s="301"/>
      <c r="N237" s="301"/>
      <c r="O237" s="301"/>
    </row>
    <row r="238" spans="1:15">
      <c r="A238" s="325"/>
      <c r="B238" s="306"/>
      <c r="C238" s="306">
        <f>'4-22MASTER'!G359</f>
        <v>0</v>
      </c>
      <c r="D238" s="307"/>
      <c r="E238" s="315"/>
      <c r="F238" s="306"/>
      <c r="G238" s="306"/>
      <c r="H238" s="306"/>
      <c r="I238" s="306"/>
      <c r="J238" s="306"/>
      <c r="K238" s="306"/>
      <c r="L238" s="306"/>
      <c r="M238" s="306"/>
      <c r="N238" s="306"/>
      <c r="O238" s="306"/>
    </row>
    <row r="239" spans="1:15">
      <c r="A239" s="325"/>
      <c r="B239" s="306"/>
      <c r="C239" s="306"/>
      <c r="D239" s="307"/>
      <c r="E239" s="316"/>
      <c r="F239" s="306"/>
      <c r="G239" s="306"/>
      <c r="H239" s="306"/>
      <c r="I239" s="306"/>
      <c r="J239" s="306"/>
      <c r="K239" s="306"/>
      <c r="L239" s="306"/>
      <c r="M239" s="306"/>
      <c r="N239" s="306"/>
      <c r="O239" s="306"/>
    </row>
    <row r="240" spans="1:15" ht="15.75" thickBot="1">
      <c r="A240" s="326"/>
      <c r="B240" s="327"/>
      <c r="C240" s="327"/>
      <c r="D240" s="332"/>
      <c r="E240" s="310"/>
      <c r="F240" s="311"/>
      <c r="G240" s="311"/>
      <c r="H240" s="311"/>
      <c r="I240" s="311"/>
      <c r="J240" s="311"/>
      <c r="K240" s="311"/>
      <c r="L240" s="311"/>
      <c r="M240" s="311"/>
      <c r="N240" s="311"/>
      <c r="O240" s="311"/>
    </row>
    <row r="241" spans="1:16">
      <c r="A241" s="1071" t="s">
        <v>5</v>
      </c>
      <c r="B241" s="1073" t="s">
        <v>431</v>
      </c>
      <c r="C241" s="1074"/>
      <c r="D241" s="1073" t="s">
        <v>432</v>
      </c>
      <c r="E241" s="1076"/>
      <c r="F241" s="1079" t="s">
        <v>433</v>
      </c>
      <c r="G241" s="1075" t="s">
        <v>434</v>
      </c>
      <c r="H241" s="1080"/>
      <c r="I241" s="1081" t="s">
        <v>435</v>
      </c>
      <c r="J241" s="1080"/>
      <c r="K241" s="1082"/>
      <c r="L241" s="1081" t="s">
        <v>436</v>
      </c>
      <c r="M241" s="1080"/>
      <c r="N241" s="1080"/>
      <c r="O241" s="1086"/>
    </row>
    <row r="242" spans="1:16" ht="15.75" thickBot="1">
      <c r="A242" s="1072"/>
      <c r="B242" s="1075"/>
      <c r="C242" s="1076"/>
      <c r="D242" s="1075"/>
      <c r="E242" s="1076"/>
      <c r="F242" s="1071"/>
      <c r="G242" s="1075"/>
      <c r="H242" s="1080"/>
      <c r="I242" s="1083"/>
      <c r="J242" s="1084"/>
      <c r="K242" s="1085"/>
      <c r="L242" s="1083"/>
      <c r="M242" s="1084"/>
      <c r="N242" s="1084"/>
      <c r="O242" s="1087"/>
    </row>
    <row r="243" spans="1:16">
      <c r="A243" s="317">
        <v>1</v>
      </c>
      <c r="B243" s="1077"/>
      <c r="C243" s="1078"/>
      <c r="D243" s="1077"/>
      <c r="E243" s="1078"/>
      <c r="F243" s="317">
        <v>6</v>
      </c>
      <c r="G243" s="1077"/>
      <c r="H243" s="1078"/>
      <c r="I243" s="318">
        <v>9</v>
      </c>
      <c r="J243" s="318"/>
      <c r="K243" s="318"/>
      <c r="L243" s="318">
        <v>9</v>
      </c>
      <c r="M243" s="318"/>
      <c r="N243" s="318"/>
      <c r="O243" s="319"/>
    </row>
    <row r="244" spans="1:16" ht="89.25">
      <c r="A244" s="320"/>
      <c r="B244" s="320" t="s">
        <v>437</v>
      </c>
      <c r="C244" s="320" t="s">
        <v>438</v>
      </c>
      <c r="D244" s="320" t="s">
        <v>439</v>
      </c>
      <c r="E244" s="320" t="s">
        <v>136</v>
      </c>
      <c r="F244" s="320"/>
      <c r="G244" s="320" t="s">
        <v>440</v>
      </c>
      <c r="H244" s="320" t="s">
        <v>441</v>
      </c>
      <c r="I244" s="320" t="s">
        <v>442</v>
      </c>
      <c r="J244" s="320" t="s">
        <v>443</v>
      </c>
      <c r="K244" s="320" t="s">
        <v>444</v>
      </c>
      <c r="L244" s="320" t="s">
        <v>445</v>
      </c>
      <c r="M244" s="320" t="s">
        <v>446</v>
      </c>
      <c r="N244" s="321" t="s">
        <v>447</v>
      </c>
      <c r="O244" s="321"/>
    </row>
    <row r="245" spans="1:16">
      <c r="A245" s="320"/>
      <c r="B245" s="322"/>
      <c r="C245" s="320"/>
      <c r="D245" s="320"/>
      <c r="E245" s="320"/>
      <c r="F245" s="320"/>
      <c r="G245" s="320"/>
      <c r="H245" s="320"/>
      <c r="I245" s="320"/>
      <c r="J245" s="320"/>
      <c r="K245" s="351"/>
      <c r="L245" s="351"/>
      <c r="M245" s="351"/>
      <c r="N245" s="320"/>
      <c r="O245" s="320"/>
    </row>
    <row r="246" spans="1:16">
      <c r="A246" s="508"/>
      <c r="B246" s="361"/>
      <c r="C246" s="320"/>
      <c r="D246" s="320"/>
      <c r="E246" s="320"/>
      <c r="F246" s="340"/>
      <c r="G246" s="320"/>
      <c r="H246" s="320"/>
      <c r="I246" s="320"/>
      <c r="J246" s="351"/>
      <c r="K246" s="351"/>
      <c r="L246" s="351"/>
      <c r="M246" s="351"/>
      <c r="N246" s="320"/>
      <c r="O246" s="320"/>
      <c r="P246" s="320"/>
    </row>
    <row r="247" spans="1:16">
      <c r="A247" s="320" t="s">
        <v>685</v>
      </c>
      <c r="B247" s="361">
        <v>1.5</v>
      </c>
      <c r="C247" s="320"/>
      <c r="D247" s="320"/>
      <c r="E247" s="320"/>
      <c r="F247" s="340">
        <f t="shared" ref="F247" si="1">(F246+B247)-C247</f>
        <v>1.5</v>
      </c>
      <c r="G247" s="320"/>
      <c r="H247" s="320"/>
      <c r="I247" s="320"/>
      <c r="J247" s="351" t="s">
        <v>508</v>
      </c>
      <c r="K247" s="351" t="s">
        <v>508</v>
      </c>
      <c r="L247" s="351" t="s">
        <v>508</v>
      </c>
      <c r="M247" s="351" t="s">
        <v>508</v>
      </c>
      <c r="N247" s="320"/>
      <c r="O247" s="320"/>
      <c r="P247" s="320"/>
    </row>
    <row r="248" spans="1:16">
      <c r="A248" s="322" t="s">
        <v>702</v>
      </c>
      <c r="B248" s="348">
        <v>1.5</v>
      </c>
      <c r="C248" s="348">
        <v>0</v>
      </c>
      <c r="D248" s="348">
        <v>0</v>
      </c>
      <c r="E248" s="348">
        <v>0</v>
      </c>
      <c r="F248" s="839">
        <f>F247+B248-C248</f>
        <v>3</v>
      </c>
      <c r="G248" s="320"/>
      <c r="H248" s="320"/>
      <c r="I248" s="320"/>
      <c r="J248" s="320" t="s">
        <v>508</v>
      </c>
      <c r="K248" s="351" t="s">
        <v>508</v>
      </c>
      <c r="L248" s="351" t="s">
        <v>508</v>
      </c>
      <c r="M248" s="351" t="s">
        <v>508</v>
      </c>
      <c r="N248" s="320"/>
      <c r="O248" s="320"/>
      <c r="P248" s="320"/>
    </row>
    <row r="249" spans="1:16">
      <c r="A249" s="322" t="s">
        <v>736</v>
      </c>
      <c r="B249" s="348">
        <v>1.5</v>
      </c>
      <c r="C249" s="348">
        <v>0</v>
      </c>
      <c r="D249" s="348">
        <v>0</v>
      </c>
      <c r="E249" s="348">
        <v>0</v>
      </c>
      <c r="F249" s="839">
        <f>F248+B249-C249</f>
        <v>4.5</v>
      </c>
      <c r="G249" s="320"/>
      <c r="H249" s="320"/>
      <c r="I249" s="320"/>
      <c r="J249" s="320" t="s">
        <v>508</v>
      </c>
      <c r="K249" s="351" t="s">
        <v>508</v>
      </c>
      <c r="L249" s="351" t="s">
        <v>508</v>
      </c>
      <c r="M249" s="351" t="s">
        <v>508</v>
      </c>
      <c r="N249" s="320"/>
      <c r="O249" s="320"/>
      <c r="P249" s="320"/>
    </row>
    <row r="250" spans="1:16">
      <c r="A250" s="508" t="s">
        <v>758</v>
      </c>
      <c r="B250" s="348">
        <v>1.5</v>
      </c>
      <c r="C250" s="348">
        <v>0</v>
      </c>
      <c r="D250" s="348">
        <v>0</v>
      </c>
      <c r="E250" s="348">
        <v>0</v>
      </c>
      <c r="F250" s="839">
        <f>F249+B250-C250</f>
        <v>6</v>
      </c>
      <c r="G250" s="320"/>
      <c r="H250" s="320"/>
      <c r="I250" s="320"/>
      <c r="J250" s="320" t="s">
        <v>508</v>
      </c>
      <c r="K250" s="320" t="s">
        <v>508</v>
      </c>
      <c r="L250" s="351" t="s">
        <v>508</v>
      </c>
      <c r="M250" s="351" t="s">
        <v>508</v>
      </c>
      <c r="N250" s="320"/>
      <c r="O250" s="320"/>
      <c r="P250" s="320"/>
    </row>
    <row r="251" spans="1:16">
      <c r="A251" s="320"/>
      <c r="B251" s="320"/>
      <c r="C251" s="320"/>
      <c r="D251" s="320"/>
      <c r="E251" s="320"/>
      <c r="F251" s="320"/>
      <c r="G251" s="320"/>
      <c r="H251" s="320"/>
      <c r="I251" s="320"/>
      <c r="J251" s="320"/>
      <c r="K251" s="320"/>
      <c r="L251" s="320"/>
      <c r="M251" s="320"/>
      <c r="N251" s="320"/>
      <c r="O251" s="320"/>
    </row>
    <row r="252" spans="1:16">
      <c r="A252" s="320"/>
      <c r="B252" s="323"/>
      <c r="C252" s="320"/>
      <c r="D252" s="320"/>
      <c r="E252" s="320"/>
      <c r="F252" s="320"/>
      <c r="G252" s="320"/>
      <c r="H252" s="320"/>
      <c r="I252" s="320"/>
      <c r="J252" s="320"/>
      <c r="K252" s="320"/>
      <c r="L252" s="320"/>
      <c r="M252" s="320"/>
      <c r="N252" s="320"/>
      <c r="O252" s="320"/>
    </row>
    <row r="253" spans="1:16">
      <c r="A253" s="320"/>
      <c r="B253" s="320"/>
      <c r="C253" s="320"/>
      <c r="D253" s="320"/>
      <c r="E253" s="320"/>
      <c r="F253" s="320"/>
      <c r="G253" s="320"/>
      <c r="H253" s="320"/>
      <c r="I253" s="320"/>
      <c r="J253" s="320"/>
      <c r="K253" s="320"/>
      <c r="L253" s="320"/>
      <c r="M253" s="320"/>
      <c r="N253" s="320"/>
      <c r="O253" s="320"/>
    </row>
    <row r="254" spans="1:16">
      <c r="A254" s="320"/>
      <c r="B254" s="320"/>
      <c r="C254" s="320"/>
      <c r="D254" s="320"/>
      <c r="E254" s="320"/>
      <c r="F254" s="320"/>
      <c r="G254" s="320"/>
      <c r="H254" s="320"/>
      <c r="I254" s="320"/>
      <c r="J254" s="320"/>
      <c r="K254" s="320"/>
      <c r="L254" s="320"/>
      <c r="M254" s="320"/>
      <c r="N254" s="320"/>
      <c r="O254" s="320"/>
    </row>
    <row r="255" spans="1:16">
      <c r="A255" s="320"/>
      <c r="B255" s="320"/>
      <c r="C255" s="320"/>
      <c r="D255" s="320"/>
      <c r="E255" s="320"/>
      <c r="F255" s="320"/>
      <c r="G255" s="320"/>
      <c r="H255" s="320"/>
      <c r="I255" s="320"/>
      <c r="J255" s="320"/>
      <c r="K255" s="320"/>
      <c r="L255" s="320"/>
      <c r="M255" s="320"/>
      <c r="N255" s="320"/>
      <c r="O255" s="320"/>
    </row>
    <row r="256" spans="1:16">
      <c r="A256" s="320"/>
      <c r="B256" s="320"/>
      <c r="C256" s="320"/>
      <c r="D256" s="320"/>
      <c r="E256" s="320"/>
      <c r="F256" s="320"/>
      <c r="G256" s="320"/>
      <c r="H256" s="320"/>
      <c r="I256" s="320"/>
      <c r="J256" s="320"/>
      <c r="K256" s="320"/>
      <c r="L256" s="320"/>
      <c r="M256" s="320"/>
      <c r="N256" s="320"/>
      <c r="O256" s="320"/>
    </row>
    <row r="257" spans="1:15">
      <c r="A257" s="320"/>
      <c r="B257" s="320"/>
      <c r="C257" s="320"/>
      <c r="D257" s="320"/>
      <c r="E257" s="320"/>
      <c r="F257" s="320"/>
      <c r="G257" s="320"/>
      <c r="H257" s="320"/>
      <c r="I257" s="320"/>
      <c r="J257" s="320"/>
      <c r="K257" s="320"/>
      <c r="L257" s="320"/>
      <c r="M257" s="320"/>
      <c r="N257" s="320"/>
      <c r="O257" s="320"/>
    </row>
    <row r="258" spans="1:15">
      <c r="A258" s="320"/>
      <c r="B258" s="320"/>
      <c r="C258" s="320"/>
      <c r="D258" s="320"/>
      <c r="E258" s="320"/>
      <c r="F258" s="320"/>
      <c r="G258" s="320"/>
      <c r="H258" s="320"/>
      <c r="I258" s="320"/>
      <c r="J258" s="320"/>
      <c r="K258" s="320"/>
      <c r="L258" s="320"/>
      <c r="M258" s="320"/>
      <c r="N258" s="320"/>
      <c r="O258" s="320"/>
    </row>
    <row r="259" spans="1:15">
      <c r="A259" s="320"/>
      <c r="B259" s="320"/>
      <c r="C259" s="320"/>
      <c r="D259" s="320"/>
      <c r="E259" s="320"/>
      <c r="F259" s="320"/>
      <c r="G259" s="320"/>
      <c r="H259" s="320"/>
      <c r="I259" s="320"/>
      <c r="J259" s="320"/>
      <c r="K259" s="320"/>
      <c r="L259" s="320"/>
      <c r="M259" s="320"/>
      <c r="N259" s="320"/>
      <c r="O259" s="320"/>
    </row>
    <row r="260" spans="1:15">
      <c r="A260" s="320"/>
      <c r="B260" s="324"/>
      <c r="C260" s="320"/>
      <c r="D260" s="320"/>
      <c r="E260" s="320"/>
      <c r="F260" s="320"/>
      <c r="G260" s="320"/>
      <c r="H260" s="320"/>
      <c r="I260" s="320"/>
      <c r="J260" s="320"/>
      <c r="K260" s="320"/>
      <c r="L260" s="320"/>
      <c r="M260" s="320"/>
      <c r="N260" s="320"/>
      <c r="O260" s="320"/>
    </row>
    <row r="261" spans="1:15">
      <c r="A261" s="320"/>
      <c r="B261" s="320"/>
      <c r="C261" s="320"/>
      <c r="D261" s="320"/>
      <c r="E261" s="320"/>
      <c r="F261" s="320"/>
      <c r="G261" s="320"/>
      <c r="H261" s="320"/>
      <c r="I261" s="320"/>
      <c r="J261" s="320"/>
      <c r="K261" s="320"/>
      <c r="L261" s="320"/>
      <c r="M261" s="320"/>
      <c r="N261" s="320"/>
      <c r="O261" s="320"/>
    </row>
    <row r="262" spans="1:15">
      <c r="A262" s="320"/>
      <c r="B262" s="320"/>
      <c r="C262" s="320"/>
      <c r="D262" s="320"/>
      <c r="E262" s="320"/>
      <c r="F262" s="320"/>
      <c r="G262" s="320"/>
      <c r="H262" s="320"/>
      <c r="I262" s="320"/>
      <c r="J262" s="320"/>
      <c r="K262" s="320"/>
      <c r="L262" s="320"/>
      <c r="M262" s="320"/>
      <c r="N262" s="320"/>
      <c r="O262" s="320"/>
    </row>
    <row r="263" spans="1:15">
      <c r="A263" s="320"/>
      <c r="B263" s="320"/>
      <c r="C263" s="320"/>
      <c r="D263" s="320"/>
      <c r="E263" s="320"/>
      <c r="F263" s="320"/>
      <c r="G263" s="320"/>
      <c r="H263" s="320"/>
      <c r="I263" s="320"/>
      <c r="J263" s="320"/>
      <c r="K263" s="320"/>
      <c r="L263" s="320"/>
      <c r="M263" s="320"/>
      <c r="N263" s="320"/>
      <c r="O263" s="320"/>
    </row>
    <row r="264" spans="1:15">
      <c r="A264" s="351"/>
      <c r="B264" s="351"/>
      <c r="C264" s="351"/>
      <c r="D264" s="351"/>
      <c r="E264" s="351"/>
      <c r="F264" s="351"/>
      <c r="G264" s="351"/>
      <c r="H264" s="351"/>
      <c r="I264" s="351"/>
      <c r="J264" s="351"/>
      <c r="K264" s="351"/>
      <c r="L264" s="351"/>
      <c r="M264" s="351"/>
      <c r="N264" s="351"/>
      <c r="O264" s="351"/>
    </row>
    <row r="265" spans="1:15">
      <c r="A265" s="306"/>
      <c r="B265" s="306"/>
      <c r="C265" s="306"/>
      <c r="D265" s="306"/>
      <c r="E265" s="306"/>
      <c r="F265" s="306"/>
      <c r="G265" s="306"/>
      <c r="H265" s="306"/>
      <c r="I265" s="306"/>
      <c r="J265" s="306"/>
      <c r="K265" s="306"/>
      <c r="L265" s="306"/>
      <c r="M265" s="306"/>
      <c r="N265" s="306"/>
      <c r="O265" s="306"/>
    </row>
    <row r="266" spans="1:15">
      <c r="A266" s="306"/>
      <c r="B266" s="306"/>
      <c r="C266" s="306"/>
      <c r="D266" s="306"/>
      <c r="E266" s="306"/>
      <c r="F266" s="306"/>
      <c r="G266" s="306"/>
      <c r="H266" s="306"/>
      <c r="I266" s="306"/>
      <c r="J266" s="306"/>
      <c r="K266" s="306"/>
      <c r="L266" s="306"/>
      <c r="M266" s="306"/>
      <c r="N266" s="306"/>
      <c r="O266" s="306"/>
    </row>
    <row r="267" spans="1:15">
      <c r="A267" s="306"/>
      <c r="B267" s="306"/>
      <c r="C267" s="306"/>
      <c r="D267" s="306"/>
      <c r="E267" s="306"/>
      <c r="F267" s="306"/>
      <c r="G267" s="306"/>
      <c r="H267" s="306"/>
      <c r="I267" s="306"/>
      <c r="J267" s="306"/>
      <c r="K267" s="306"/>
      <c r="L267" s="306"/>
      <c r="M267" s="306"/>
      <c r="N267" s="306"/>
      <c r="O267" s="306"/>
    </row>
    <row r="268" spans="1:15">
      <c r="A268" s="306"/>
      <c r="B268" s="306"/>
      <c r="C268" s="306"/>
      <c r="D268" s="306"/>
      <c r="E268" s="306"/>
      <c r="F268" s="306"/>
      <c r="G268" s="306"/>
      <c r="H268" s="306"/>
      <c r="I268" s="306"/>
      <c r="J268" s="306"/>
      <c r="K268" s="306"/>
      <c r="L268" s="306"/>
      <c r="M268" s="306"/>
      <c r="N268" s="306"/>
      <c r="O268" s="306"/>
    </row>
    <row r="269" spans="1:15">
      <c r="A269" s="306"/>
      <c r="B269" s="306"/>
      <c r="C269" s="306"/>
      <c r="D269" s="306"/>
      <c r="E269" s="306"/>
      <c r="F269" s="306"/>
      <c r="G269" s="306"/>
      <c r="H269" s="306"/>
      <c r="I269" s="306"/>
      <c r="J269" s="306"/>
      <c r="K269" s="306"/>
      <c r="L269" s="306"/>
      <c r="M269" s="306"/>
      <c r="N269" s="306"/>
      <c r="O269" s="306"/>
    </row>
    <row r="270" spans="1:15">
      <c r="A270" s="306"/>
      <c r="B270" s="306"/>
      <c r="C270" s="306"/>
      <c r="D270" s="306"/>
      <c r="E270" s="306"/>
      <c r="F270" s="306"/>
      <c r="G270" s="306"/>
      <c r="H270" s="306"/>
      <c r="I270" s="306"/>
      <c r="J270" s="306"/>
      <c r="K270" s="306"/>
      <c r="L270" s="306"/>
      <c r="M270" s="306"/>
      <c r="N270" s="306"/>
      <c r="O270" s="306"/>
    </row>
    <row r="275" spans="1:15" ht="15.75" thickBot="1"/>
    <row r="276" spans="1:15" ht="23.25">
      <c r="A276" s="1062" t="s">
        <v>428</v>
      </c>
      <c r="B276" s="1063"/>
      <c r="C276" s="1063"/>
      <c r="D276" s="1063"/>
      <c r="E276" s="1063"/>
      <c r="F276" s="1063"/>
      <c r="G276" s="1063"/>
      <c r="H276" s="1063"/>
      <c r="I276" s="1063"/>
      <c r="J276" s="1063"/>
      <c r="K276" s="1063"/>
      <c r="L276" s="1063"/>
      <c r="M276" s="1063"/>
      <c r="N276" s="1063"/>
      <c r="O276" s="614"/>
    </row>
    <row r="277" spans="1:15" ht="24" thickBot="1">
      <c r="A277" s="1064"/>
      <c r="B277" s="1065"/>
      <c r="C277" s="1065"/>
      <c r="D277" s="1065"/>
      <c r="E277" s="1065"/>
      <c r="F277" s="1065"/>
      <c r="G277" s="1065"/>
      <c r="H277" s="1065"/>
      <c r="I277" s="1065"/>
      <c r="J277" s="1065"/>
      <c r="K277" s="1065"/>
      <c r="L277" s="1065"/>
      <c r="M277" s="1065"/>
      <c r="N277" s="1065"/>
      <c r="O277" s="615"/>
    </row>
    <row r="278" spans="1:15" ht="15.75" thickBot="1">
      <c r="A278" s="1066" t="s">
        <v>429</v>
      </c>
      <c r="B278" s="1067"/>
      <c r="C278" s="1067"/>
      <c r="D278" s="1067"/>
      <c r="E278" s="1067"/>
      <c r="F278" s="1067"/>
      <c r="G278" s="1067"/>
      <c r="H278" s="1067"/>
      <c r="I278" s="1067"/>
      <c r="J278" s="1067"/>
      <c r="K278" s="1067"/>
      <c r="L278" s="1067"/>
      <c r="M278" s="1067"/>
      <c r="N278" s="1067"/>
      <c r="O278" s="616"/>
    </row>
    <row r="279" spans="1:15">
      <c r="A279" s="300" t="s">
        <v>460</v>
      </c>
      <c r="B279" s="301"/>
      <c r="C279" s="301"/>
      <c r="D279" s="302"/>
      <c r="E279" s="1068" t="s">
        <v>461</v>
      </c>
      <c r="F279" s="1069"/>
      <c r="G279" s="1069"/>
      <c r="H279" s="809" t="str">
        <f>'4-22MASTER'!C23</f>
        <v xml:space="preserve">Amol Gole </v>
      </c>
      <c r="I279" s="328"/>
      <c r="J279" s="328"/>
      <c r="K279" s="328"/>
      <c r="L279" s="328"/>
      <c r="M279" s="328"/>
      <c r="N279" s="328"/>
      <c r="O279" s="303"/>
    </row>
    <row r="280" spans="1:15">
      <c r="A280" s="305"/>
      <c r="B280" s="306" t="s">
        <v>381</v>
      </c>
      <c r="C280" s="306"/>
      <c r="D280" s="307"/>
      <c r="E280" s="329"/>
      <c r="F280" s="330"/>
      <c r="J280" s="330"/>
      <c r="K280" s="330"/>
      <c r="L280" s="330"/>
      <c r="M280" s="330"/>
      <c r="N280" s="330"/>
      <c r="O280" s="308"/>
    </row>
    <row r="281" spans="1:15" ht="15.75" thickBot="1">
      <c r="A281" s="310"/>
      <c r="B281" s="311" t="s">
        <v>382</v>
      </c>
      <c r="C281" s="311"/>
      <c r="D281" s="312"/>
      <c r="E281" s="329"/>
      <c r="F281" s="330"/>
      <c r="G281" s="330"/>
      <c r="H281" s="330"/>
      <c r="I281" s="330"/>
      <c r="J281" s="330"/>
      <c r="K281" s="330"/>
      <c r="L281" s="330"/>
      <c r="M281" s="330"/>
      <c r="N281" s="330"/>
      <c r="O281" s="308"/>
    </row>
    <row r="282" spans="1:15">
      <c r="A282" s="331" t="s">
        <v>462</v>
      </c>
      <c r="B282" s="301"/>
      <c r="C282" s="301"/>
      <c r="D282" s="302"/>
      <c r="E282" s="313" t="s">
        <v>430</v>
      </c>
      <c r="F282" s="301"/>
      <c r="H282" s="301"/>
      <c r="I282" s="301"/>
      <c r="J282" s="301"/>
      <c r="K282" s="301"/>
      <c r="L282" s="301"/>
      <c r="M282" s="301"/>
      <c r="N282" s="301"/>
      <c r="O282" s="301"/>
    </row>
    <row r="283" spans="1:15">
      <c r="A283" s="325"/>
      <c r="B283" s="306"/>
      <c r="C283" s="306">
        <f>'4-22MASTER'!G404</f>
        <v>0</v>
      </c>
      <c r="D283" s="307"/>
      <c r="E283" s="315"/>
      <c r="F283" s="306"/>
      <c r="G283" s="632">
        <f>'4-22MASTER'!O23</f>
        <v>44579</v>
      </c>
      <c r="H283" s="306"/>
      <c r="I283" s="306"/>
      <c r="J283" s="306"/>
      <c r="K283" s="306"/>
      <c r="L283" s="306"/>
      <c r="M283" s="306"/>
      <c r="N283" s="306"/>
      <c r="O283" s="306"/>
    </row>
    <row r="284" spans="1:15">
      <c r="A284" s="325"/>
      <c r="B284" s="306"/>
      <c r="C284" s="306"/>
      <c r="D284" s="307"/>
      <c r="E284" s="316"/>
      <c r="F284" s="306"/>
      <c r="G284" s="306"/>
      <c r="H284" s="306"/>
      <c r="I284" s="306"/>
      <c r="J284" s="306"/>
      <c r="K284" s="306"/>
      <c r="L284" s="306"/>
      <c r="M284" s="306"/>
      <c r="N284" s="306"/>
      <c r="O284" s="306"/>
    </row>
    <row r="285" spans="1:15" ht="15.75" thickBot="1">
      <c r="A285" s="326"/>
      <c r="B285" s="327"/>
      <c r="C285" s="327"/>
      <c r="D285" s="332"/>
      <c r="E285" s="310"/>
      <c r="F285" s="311"/>
      <c r="G285" s="311"/>
      <c r="H285" s="311"/>
      <c r="I285" s="311"/>
      <c r="J285" s="311"/>
      <c r="K285" s="311"/>
      <c r="L285" s="311"/>
      <c r="M285" s="311"/>
      <c r="N285" s="311"/>
      <c r="O285" s="311"/>
    </row>
    <row r="286" spans="1:15">
      <c r="A286" s="1071" t="s">
        <v>5</v>
      </c>
      <c r="B286" s="1073" t="s">
        <v>431</v>
      </c>
      <c r="C286" s="1074"/>
      <c r="D286" s="1073" t="s">
        <v>432</v>
      </c>
      <c r="E286" s="1076"/>
      <c r="F286" s="1079" t="s">
        <v>433</v>
      </c>
      <c r="G286" s="1075" t="s">
        <v>434</v>
      </c>
      <c r="H286" s="1080"/>
      <c r="I286" s="1081" t="s">
        <v>435</v>
      </c>
      <c r="J286" s="1080"/>
      <c r="K286" s="1082"/>
      <c r="L286" s="1081" t="s">
        <v>436</v>
      </c>
      <c r="M286" s="1080"/>
      <c r="N286" s="1080"/>
      <c r="O286" s="1086"/>
    </row>
    <row r="287" spans="1:15" ht="15.75" thickBot="1">
      <c r="A287" s="1072"/>
      <c r="B287" s="1075"/>
      <c r="C287" s="1076"/>
      <c r="D287" s="1075"/>
      <c r="E287" s="1076"/>
      <c r="F287" s="1071"/>
      <c r="G287" s="1075"/>
      <c r="H287" s="1080"/>
      <c r="I287" s="1083"/>
      <c r="J287" s="1084"/>
      <c r="K287" s="1085"/>
      <c r="L287" s="1083"/>
      <c r="M287" s="1084"/>
      <c r="N287" s="1084"/>
      <c r="O287" s="1087"/>
    </row>
    <row r="288" spans="1:15">
      <c r="A288" s="317">
        <v>1</v>
      </c>
      <c r="B288" s="1077"/>
      <c r="C288" s="1078"/>
      <c r="D288" s="1077"/>
      <c r="E288" s="1078"/>
      <c r="F288" s="317">
        <v>6</v>
      </c>
      <c r="G288" s="1077"/>
      <c r="H288" s="1078"/>
      <c r="I288" s="318">
        <v>9</v>
      </c>
      <c r="J288" s="318"/>
      <c r="K288" s="318"/>
      <c r="L288" s="318">
        <v>9</v>
      </c>
      <c r="M288" s="318"/>
      <c r="N288" s="318"/>
      <c r="O288" s="319"/>
    </row>
    <row r="289" spans="1:16" ht="89.25">
      <c r="A289" s="320"/>
      <c r="B289" s="320" t="s">
        <v>437</v>
      </c>
      <c r="C289" s="320" t="s">
        <v>438</v>
      </c>
      <c r="D289" s="320" t="s">
        <v>439</v>
      </c>
      <c r="E289" s="320" t="s">
        <v>136</v>
      </c>
      <c r="F289" s="320"/>
      <c r="G289" s="320" t="s">
        <v>440</v>
      </c>
      <c r="H289" s="320" t="s">
        <v>441</v>
      </c>
      <c r="I289" s="320" t="s">
        <v>442</v>
      </c>
      <c r="J289" s="320" t="s">
        <v>443</v>
      </c>
      <c r="K289" s="320" t="s">
        <v>444</v>
      </c>
      <c r="L289" s="320" t="s">
        <v>445</v>
      </c>
      <c r="M289" s="320" t="s">
        <v>446</v>
      </c>
      <c r="N289" s="321" t="s">
        <v>447</v>
      </c>
      <c r="O289" s="321"/>
    </row>
    <row r="290" spans="1:16">
      <c r="A290" s="320"/>
      <c r="B290" s="322"/>
      <c r="C290" s="320"/>
      <c r="D290" s="320"/>
      <c r="E290" s="320"/>
      <c r="F290" s="320"/>
      <c r="G290" s="320"/>
      <c r="H290" s="320"/>
      <c r="I290" s="320"/>
      <c r="J290" s="320"/>
      <c r="K290" s="351"/>
      <c r="L290" s="351"/>
      <c r="M290" s="351"/>
      <c r="N290" s="320"/>
      <c r="O290" s="320"/>
    </row>
    <row r="291" spans="1:16">
      <c r="A291" s="508"/>
      <c r="B291" s="361"/>
      <c r="C291" s="320"/>
      <c r="D291" s="320"/>
      <c r="E291" s="320"/>
      <c r="F291" s="340"/>
      <c r="G291" s="320"/>
      <c r="H291" s="320"/>
      <c r="I291" s="320"/>
      <c r="J291" s="351"/>
      <c r="K291" s="351"/>
      <c r="L291" s="351"/>
      <c r="M291" s="351"/>
      <c r="N291" s="320"/>
      <c r="O291" s="320"/>
    </row>
    <row r="292" spans="1:16">
      <c r="A292" s="320" t="s">
        <v>685</v>
      </c>
      <c r="B292" s="361">
        <v>0</v>
      </c>
      <c r="C292" s="320"/>
      <c r="D292" s="320"/>
      <c r="E292" s="320"/>
      <c r="F292" s="340">
        <f t="shared" ref="F292" si="2">(F291+B292)-C292</f>
        <v>0</v>
      </c>
      <c r="G292" s="320"/>
      <c r="H292" s="320"/>
      <c r="I292" s="320" t="s">
        <v>558</v>
      </c>
      <c r="J292" s="351" t="s">
        <v>508</v>
      </c>
      <c r="K292" s="351" t="s">
        <v>508</v>
      </c>
      <c r="L292" s="351" t="s">
        <v>508</v>
      </c>
      <c r="M292" s="351" t="s">
        <v>508</v>
      </c>
      <c r="N292" s="320"/>
      <c r="O292" s="320"/>
      <c r="P292" s="320"/>
    </row>
    <row r="293" spans="1:16">
      <c r="A293" s="322" t="s">
        <v>702</v>
      </c>
      <c r="B293" s="348">
        <v>1.5</v>
      </c>
      <c r="C293" s="348">
        <v>0</v>
      </c>
      <c r="D293" s="348">
        <v>0</v>
      </c>
      <c r="E293" s="348">
        <v>0</v>
      </c>
      <c r="F293" s="839">
        <f>F292+B293-C293</f>
        <v>1.5</v>
      </c>
      <c r="G293" s="320"/>
      <c r="H293" s="320"/>
      <c r="I293" s="320"/>
      <c r="J293" s="320" t="s">
        <v>508</v>
      </c>
      <c r="K293" s="351" t="s">
        <v>508</v>
      </c>
      <c r="L293" s="351" t="s">
        <v>508</v>
      </c>
      <c r="M293" s="351" t="s">
        <v>508</v>
      </c>
      <c r="N293" s="320"/>
      <c r="O293" s="320"/>
      <c r="P293" s="320"/>
    </row>
    <row r="294" spans="1:16">
      <c r="A294" s="322" t="s">
        <v>736</v>
      </c>
      <c r="B294" s="348">
        <v>1.5</v>
      </c>
      <c r="C294" s="348">
        <v>0</v>
      </c>
      <c r="D294" s="348">
        <v>0</v>
      </c>
      <c r="E294" s="348">
        <v>0</v>
      </c>
      <c r="F294" s="839">
        <f>F293+B294-C294</f>
        <v>3</v>
      </c>
      <c r="G294" s="320"/>
      <c r="H294" s="320"/>
      <c r="I294" s="320"/>
      <c r="J294" s="320" t="s">
        <v>508</v>
      </c>
      <c r="K294" s="351" t="s">
        <v>508</v>
      </c>
      <c r="L294" s="351" t="s">
        <v>508</v>
      </c>
      <c r="M294" s="351" t="s">
        <v>508</v>
      </c>
      <c r="N294" s="320"/>
      <c r="O294" s="320"/>
      <c r="P294" s="320"/>
    </row>
    <row r="295" spans="1:16">
      <c r="A295" s="508" t="s">
        <v>758</v>
      </c>
      <c r="B295" s="348">
        <v>1.5</v>
      </c>
      <c r="C295" s="348">
        <v>1</v>
      </c>
      <c r="D295" s="869">
        <v>44665</v>
      </c>
      <c r="E295" s="869">
        <v>44665</v>
      </c>
      <c r="F295" s="839">
        <f>F294+B295-C295</f>
        <v>3.5</v>
      </c>
      <c r="G295" s="320"/>
      <c r="H295" s="320"/>
      <c r="I295" s="320"/>
      <c r="J295" s="320" t="s">
        <v>508</v>
      </c>
      <c r="K295" s="320" t="s">
        <v>508</v>
      </c>
      <c r="L295" s="351" t="s">
        <v>508</v>
      </c>
      <c r="M295" s="351" t="s">
        <v>508</v>
      </c>
      <c r="N295" s="320"/>
      <c r="O295" s="320"/>
      <c r="P295" s="320"/>
    </row>
    <row r="296" spans="1:16">
      <c r="A296" s="320"/>
      <c r="B296" s="320"/>
      <c r="C296" s="320"/>
      <c r="D296" s="320"/>
      <c r="E296" s="320"/>
      <c r="F296" s="320"/>
      <c r="G296" s="320"/>
      <c r="H296" s="320"/>
      <c r="I296" s="320"/>
      <c r="J296" s="320"/>
      <c r="K296" s="320"/>
      <c r="L296" s="320"/>
      <c r="M296" s="320"/>
      <c r="N296" s="320"/>
      <c r="O296" s="320"/>
    </row>
    <row r="297" spans="1:16">
      <c r="A297" s="320"/>
      <c r="B297" s="323"/>
      <c r="C297" s="320"/>
      <c r="D297" s="320"/>
      <c r="E297" s="320"/>
      <c r="F297" s="320"/>
      <c r="G297" s="320"/>
      <c r="H297" s="320"/>
      <c r="I297" s="320"/>
      <c r="J297" s="320"/>
      <c r="K297" s="320"/>
      <c r="L297" s="320"/>
      <c r="M297" s="320"/>
      <c r="N297" s="320"/>
      <c r="O297" s="320"/>
    </row>
    <row r="298" spans="1:16">
      <c r="A298" s="320"/>
      <c r="B298" s="320"/>
      <c r="C298" s="320"/>
      <c r="D298" s="320"/>
      <c r="E298" s="320"/>
      <c r="F298" s="320"/>
      <c r="G298" s="320"/>
      <c r="H298" s="320"/>
      <c r="I298" s="320"/>
      <c r="J298" s="320"/>
      <c r="K298" s="320"/>
      <c r="L298" s="320"/>
      <c r="M298" s="320"/>
      <c r="N298" s="320"/>
      <c r="O298" s="320"/>
    </row>
    <row r="299" spans="1:16">
      <c r="A299" s="320"/>
      <c r="B299" s="320"/>
      <c r="C299" s="320"/>
      <c r="D299" s="320"/>
      <c r="E299" s="320"/>
      <c r="F299" s="320"/>
      <c r="G299" s="320"/>
      <c r="H299" s="320"/>
      <c r="I299" s="320"/>
      <c r="J299" s="320"/>
      <c r="K299" s="320"/>
      <c r="L299" s="320"/>
      <c r="M299" s="320"/>
      <c r="N299" s="320"/>
      <c r="O299" s="320"/>
    </row>
    <row r="300" spans="1:16">
      <c r="A300" s="320"/>
      <c r="B300" s="320"/>
      <c r="C300" s="320"/>
      <c r="D300" s="320"/>
      <c r="E300" s="320"/>
      <c r="F300" s="320"/>
      <c r="G300" s="320"/>
      <c r="H300" s="320"/>
      <c r="I300" s="320"/>
      <c r="J300" s="320"/>
      <c r="K300" s="320"/>
      <c r="L300" s="320"/>
      <c r="M300" s="320"/>
      <c r="N300" s="320"/>
      <c r="O300" s="320"/>
    </row>
    <row r="301" spans="1:16">
      <c r="A301" s="320"/>
      <c r="B301" s="320"/>
      <c r="C301" s="320"/>
      <c r="D301" s="320"/>
      <c r="E301" s="320"/>
      <c r="F301" s="320"/>
      <c r="G301" s="320"/>
      <c r="H301" s="320"/>
      <c r="I301" s="320"/>
      <c r="J301" s="320"/>
      <c r="K301" s="320"/>
      <c r="L301" s="320"/>
      <c r="M301" s="320"/>
      <c r="N301" s="320"/>
      <c r="O301" s="320"/>
    </row>
    <row r="302" spans="1:16">
      <c r="A302" s="320"/>
      <c r="B302" s="320"/>
      <c r="C302" s="320"/>
      <c r="D302" s="320"/>
      <c r="E302" s="320"/>
      <c r="F302" s="320"/>
      <c r="G302" s="320"/>
      <c r="H302" s="320"/>
      <c r="I302" s="320"/>
      <c r="J302" s="320"/>
      <c r="K302" s="320"/>
      <c r="L302" s="320"/>
      <c r="M302" s="320"/>
      <c r="N302" s="320"/>
      <c r="O302" s="320"/>
    </row>
    <row r="303" spans="1:16">
      <c r="A303" s="320"/>
      <c r="B303" s="320"/>
      <c r="C303" s="320"/>
      <c r="D303" s="320"/>
      <c r="E303" s="320"/>
      <c r="F303" s="320"/>
      <c r="G303" s="320"/>
      <c r="H303" s="320"/>
      <c r="I303" s="320"/>
      <c r="J303" s="320"/>
      <c r="K303" s="320"/>
      <c r="L303" s="320"/>
      <c r="M303" s="320"/>
      <c r="N303" s="320"/>
      <c r="O303" s="320"/>
    </row>
    <row r="304" spans="1:16">
      <c r="A304" s="320"/>
      <c r="B304" s="320"/>
      <c r="C304" s="320"/>
      <c r="D304" s="320"/>
      <c r="E304" s="320"/>
      <c r="F304" s="320"/>
      <c r="G304" s="320"/>
      <c r="H304" s="320"/>
      <c r="I304" s="320"/>
      <c r="J304" s="320"/>
      <c r="K304" s="320"/>
      <c r="L304" s="320"/>
      <c r="M304" s="320"/>
      <c r="N304" s="320"/>
      <c r="O304" s="320"/>
    </row>
    <row r="305" spans="1:15">
      <c r="A305" s="320"/>
      <c r="B305" s="324"/>
      <c r="C305" s="320"/>
      <c r="D305" s="320"/>
      <c r="E305" s="320"/>
      <c r="F305" s="320"/>
      <c r="G305" s="320"/>
      <c r="H305" s="320"/>
      <c r="I305" s="320"/>
      <c r="J305" s="320"/>
      <c r="K305" s="320"/>
      <c r="L305" s="320"/>
      <c r="M305" s="320"/>
      <c r="N305" s="320"/>
      <c r="O305" s="320"/>
    </row>
    <row r="306" spans="1:15">
      <c r="A306" s="320"/>
      <c r="B306" s="320"/>
      <c r="C306" s="320"/>
      <c r="D306" s="320"/>
      <c r="E306" s="320"/>
      <c r="F306" s="320"/>
      <c r="G306" s="320"/>
      <c r="H306" s="320"/>
      <c r="I306" s="320"/>
      <c r="J306" s="320"/>
      <c r="K306" s="320"/>
      <c r="L306" s="320"/>
      <c r="M306" s="320"/>
      <c r="N306" s="320"/>
      <c r="O306" s="320"/>
    </row>
    <row r="307" spans="1:15">
      <c r="A307" s="320"/>
      <c r="B307" s="320"/>
      <c r="C307" s="320"/>
      <c r="D307" s="320"/>
      <c r="E307" s="320"/>
      <c r="F307" s="320"/>
      <c r="G307" s="320"/>
      <c r="H307" s="320"/>
      <c r="I307" s="320"/>
      <c r="J307" s="320"/>
      <c r="K307" s="320"/>
      <c r="L307" s="320"/>
      <c r="M307" s="320"/>
      <c r="N307" s="320"/>
      <c r="O307" s="320"/>
    </row>
    <row r="308" spans="1:15">
      <c r="A308" s="320"/>
      <c r="B308" s="320"/>
      <c r="C308" s="320"/>
      <c r="D308" s="320"/>
      <c r="E308" s="320"/>
      <c r="F308" s="320"/>
      <c r="G308" s="320"/>
      <c r="H308" s="320"/>
      <c r="I308" s="320"/>
      <c r="J308" s="320"/>
      <c r="K308" s="320"/>
      <c r="L308" s="320"/>
      <c r="M308" s="320"/>
      <c r="N308" s="320"/>
      <c r="O308" s="320"/>
    </row>
    <row r="309" spans="1:15">
      <c r="A309" s="351"/>
      <c r="B309" s="351"/>
      <c r="C309" s="351"/>
      <c r="D309" s="351"/>
      <c r="E309" s="351"/>
      <c r="F309" s="351"/>
      <c r="G309" s="351"/>
      <c r="H309" s="351"/>
      <c r="I309" s="351"/>
      <c r="J309" s="351"/>
      <c r="K309" s="351"/>
      <c r="L309" s="351"/>
      <c r="M309" s="351"/>
      <c r="N309" s="351"/>
      <c r="O309" s="351"/>
    </row>
    <row r="310" spans="1:15">
      <c r="A310" s="306"/>
      <c r="B310" s="306"/>
      <c r="C310" s="306"/>
      <c r="D310" s="306"/>
      <c r="E310" s="306"/>
      <c r="F310" s="306"/>
      <c r="G310" s="306"/>
      <c r="H310" s="306"/>
      <c r="I310" s="306"/>
      <c r="J310" s="306"/>
      <c r="K310" s="306"/>
      <c r="L310" s="306"/>
      <c r="M310" s="306"/>
      <c r="N310" s="306"/>
      <c r="O310" s="306"/>
    </row>
    <row r="311" spans="1:15">
      <c r="A311" s="306"/>
      <c r="B311" s="306"/>
      <c r="C311" s="306"/>
      <c r="D311" s="306"/>
      <c r="E311" s="306"/>
      <c r="F311" s="306"/>
      <c r="G311" s="306"/>
      <c r="H311" s="306"/>
      <c r="I311" s="306"/>
      <c r="J311" s="306"/>
      <c r="K311" s="306"/>
      <c r="L311" s="306"/>
      <c r="M311" s="306"/>
      <c r="N311" s="306"/>
      <c r="O311" s="306"/>
    </row>
    <row r="312" spans="1:15">
      <c r="A312" s="306"/>
      <c r="B312" s="306"/>
      <c r="C312" s="306"/>
      <c r="D312" s="306"/>
      <c r="E312" s="306"/>
      <c r="F312" s="306"/>
      <c r="G312" s="306"/>
      <c r="H312" s="306"/>
      <c r="I312" s="306"/>
      <c r="J312" s="306"/>
      <c r="K312" s="306"/>
      <c r="L312" s="306"/>
      <c r="M312" s="306"/>
      <c r="N312" s="306"/>
      <c r="O312" s="306"/>
    </row>
    <row r="313" spans="1:15">
      <c r="A313" s="306"/>
      <c r="B313" s="306"/>
      <c r="C313" s="306"/>
      <c r="D313" s="306"/>
      <c r="E313" s="306"/>
      <c r="F313" s="306"/>
      <c r="G313" s="306"/>
      <c r="H313" s="306"/>
      <c r="I313" s="306"/>
      <c r="J313" s="306"/>
      <c r="K313" s="306"/>
      <c r="L313" s="306"/>
      <c r="M313" s="306"/>
      <c r="N313" s="306"/>
      <c r="O313" s="306"/>
    </row>
    <row r="314" spans="1:15">
      <c r="A314" s="306"/>
      <c r="B314" s="306"/>
      <c r="C314" s="306"/>
      <c r="D314" s="306"/>
      <c r="E314" s="306"/>
      <c r="F314" s="306"/>
      <c r="G314" s="306"/>
      <c r="H314" s="306"/>
      <c r="I314" s="306"/>
      <c r="J314" s="306"/>
      <c r="K314" s="306"/>
      <c r="L314" s="306"/>
      <c r="M314" s="306"/>
      <c r="N314" s="306"/>
      <c r="O314" s="306"/>
    </row>
    <row r="315" spans="1:15">
      <c r="A315" s="306"/>
      <c r="B315" s="306"/>
      <c r="C315" s="306"/>
      <c r="D315" s="306"/>
      <c r="E315" s="306"/>
      <c r="F315" s="306"/>
      <c r="G315" s="306"/>
      <c r="H315" s="306"/>
      <c r="I315" s="306"/>
      <c r="J315" s="306"/>
      <c r="K315" s="306"/>
      <c r="L315" s="306"/>
      <c r="M315" s="306"/>
      <c r="N315" s="306"/>
      <c r="O315" s="306"/>
    </row>
    <row r="316" spans="1:15">
      <c r="A316" s="306"/>
      <c r="B316" s="306"/>
      <c r="C316" s="306"/>
      <c r="D316" s="306"/>
      <c r="E316" s="306"/>
      <c r="F316" s="306"/>
      <c r="G316" s="306"/>
      <c r="H316" s="306"/>
      <c r="I316" s="306"/>
      <c r="J316" s="306"/>
      <c r="K316" s="306"/>
      <c r="L316" s="306"/>
      <c r="M316" s="306"/>
      <c r="N316" s="306"/>
      <c r="O316" s="306"/>
    </row>
    <row r="317" spans="1:15">
      <c r="A317" s="306"/>
      <c r="B317" s="306"/>
      <c r="C317" s="306"/>
      <c r="D317" s="306"/>
      <c r="E317" s="306"/>
      <c r="F317" s="306"/>
      <c r="G317" s="306"/>
      <c r="H317" s="306"/>
      <c r="I317" s="306"/>
      <c r="J317" s="306"/>
      <c r="K317" s="306"/>
      <c r="L317" s="306"/>
      <c r="M317" s="306"/>
      <c r="N317" s="306"/>
      <c r="O317" s="306"/>
    </row>
    <row r="322" spans="1:15" ht="15.75" thickBot="1"/>
    <row r="323" spans="1:15" ht="23.25">
      <c r="A323" s="1062" t="s">
        <v>428</v>
      </c>
      <c r="B323" s="1063"/>
      <c r="C323" s="1063"/>
      <c r="D323" s="1063"/>
      <c r="E323" s="1063"/>
      <c r="F323" s="1063"/>
      <c r="G323" s="1063"/>
      <c r="H323" s="1063"/>
      <c r="I323" s="1063"/>
      <c r="J323" s="1063"/>
      <c r="K323" s="1063"/>
      <c r="L323" s="1063"/>
      <c r="M323" s="1063"/>
      <c r="N323" s="1063"/>
      <c r="O323" s="734"/>
    </row>
    <row r="324" spans="1:15" ht="24" thickBot="1">
      <c r="A324" s="1064"/>
      <c r="B324" s="1065"/>
      <c r="C324" s="1065"/>
      <c r="D324" s="1065"/>
      <c r="E324" s="1065"/>
      <c r="F324" s="1065"/>
      <c r="G324" s="1065"/>
      <c r="H324" s="1065"/>
      <c r="I324" s="1065"/>
      <c r="J324" s="1065"/>
      <c r="K324" s="1065"/>
      <c r="L324" s="1065"/>
      <c r="M324" s="1065"/>
      <c r="N324" s="1065"/>
      <c r="O324" s="735"/>
    </row>
    <row r="325" spans="1:15" ht="15.75" thickBot="1">
      <c r="A325" s="1066" t="s">
        <v>429</v>
      </c>
      <c r="B325" s="1067"/>
      <c r="C325" s="1067"/>
      <c r="D325" s="1067"/>
      <c r="E325" s="1067"/>
      <c r="F325" s="1067"/>
      <c r="G325" s="1067"/>
      <c r="H325" s="1067"/>
      <c r="I325" s="1067"/>
      <c r="J325" s="1067"/>
      <c r="K325" s="1067"/>
      <c r="L325" s="1067"/>
      <c r="M325" s="1067"/>
      <c r="N325" s="1067"/>
      <c r="O325" s="736"/>
    </row>
    <row r="326" spans="1:15" ht="25.5">
      <c r="A326" s="300" t="s">
        <v>460</v>
      </c>
      <c r="B326" s="301"/>
      <c r="C326" s="301"/>
      <c r="D326" s="302"/>
      <c r="E326" s="1068" t="s">
        <v>461</v>
      </c>
      <c r="F326" s="1069"/>
      <c r="G326" s="1069"/>
      <c r="H326" s="809" t="str">
        <f>'4-22MASTER'!C24</f>
        <v>Sandeep Dixit</v>
      </c>
      <c r="I326" s="328"/>
      <c r="J326" s="328"/>
      <c r="K326" s="328"/>
      <c r="L326" s="328"/>
      <c r="M326" s="328"/>
      <c r="N326" s="328"/>
      <c r="O326" s="303"/>
    </row>
    <row r="327" spans="1:15">
      <c r="A327" s="305"/>
      <c r="B327" s="306" t="s">
        <v>381</v>
      </c>
      <c r="C327" s="306"/>
      <c r="D327" s="307"/>
      <c r="E327" s="329"/>
      <c r="F327" s="330"/>
      <c r="J327" s="330"/>
      <c r="K327" s="330"/>
      <c r="L327" s="330"/>
      <c r="M327" s="330"/>
      <c r="N327" s="330"/>
      <c r="O327" s="308"/>
    </row>
    <row r="328" spans="1:15" ht="15.75" thickBot="1">
      <c r="A328" s="310"/>
      <c r="B328" s="311" t="s">
        <v>382</v>
      </c>
      <c r="C328" s="311"/>
      <c r="D328" s="312"/>
      <c r="E328" s="329"/>
      <c r="F328" s="330"/>
      <c r="G328" s="330"/>
      <c r="H328" s="330"/>
      <c r="I328" s="330"/>
      <c r="J328" s="330"/>
      <c r="K328" s="330"/>
      <c r="L328" s="330"/>
      <c r="M328" s="330"/>
      <c r="N328" s="330"/>
      <c r="O328" s="308"/>
    </row>
    <row r="329" spans="1:15">
      <c r="A329" s="331" t="s">
        <v>462</v>
      </c>
      <c r="B329" s="301"/>
      <c r="C329" s="301"/>
      <c r="D329" s="302"/>
      <c r="E329" s="313" t="s">
        <v>430</v>
      </c>
      <c r="F329" s="301"/>
      <c r="H329" s="301"/>
      <c r="I329" s="301"/>
      <c r="J329" s="301"/>
      <c r="K329" s="301"/>
      <c r="L329" s="301"/>
      <c r="M329" s="301"/>
      <c r="N329" s="301"/>
      <c r="O329" s="301"/>
    </row>
    <row r="330" spans="1:15">
      <c r="A330" s="325"/>
      <c r="B330" s="306"/>
      <c r="C330" s="306">
        <f>'4-22MASTER'!G451</f>
        <v>0</v>
      </c>
      <c r="D330" s="307"/>
      <c r="E330" s="315"/>
      <c r="F330" s="306"/>
      <c r="G330" s="632">
        <f>'4-22MASTER'!O24</f>
        <v>44593</v>
      </c>
      <c r="H330" s="306"/>
      <c r="I330" s="306"/>
      <c r="J330" s="306"/>
      <c r="K330" s="306"/>
      <c r="L330" s="306"/>
      <c r="M330" s="306"/>
      <c r="N330" s="306"/>
      <c r="O330" s="306"/>
    </row>
    <row r="331" spans="1:15">
      <c r="A331" s="325"/>
      <c r="B331" s="306"/>
      <c r="C331" s="306"/>
      <c r="D331" s="307"/>
      <c r="E331" s="316"/>
      <c r="F331" s="306"/>
      <c r="G331" s="306"/>
      <c r="H331" s="306"/>
      <c r="I331" s="306"/>
      <c r="J331" s="306"/>
      <c r="K331" s="306"/>
      <c r="L331" s="306"/>
      <c r="M331" s="306"/>
      <c r="N331" s="306"/>
      <c r="O331" s="306"/>
    </row>
    <row r="332" spans="1:15" ht="15.75" thickBot="1">
      <c r="A332" s="326"/>
      <c r="B332" s="327"/>
      <c r="C332" s="327"/>
      <c r="D332" s="332"/>
      <c r="E332" s="310"/>
      <c r="F332" s="311"/>
      <c r="G332" s="311"/>
      <c r="H332" s="311"/>
      <c r="I332" s="311"/>
      <c r="J332" s="311"/>
      <c r="K332" s="311"/>
      <c r="L332" s="311"/>
      <c r="M332" s="311"/>
      <c r="N332" s="311"/>
      <c r="O332" s="311"/>
    </row>
    <row r="333" spans="1:15">
      <c r="A333" s="1071" t="s">
        <v>5</v>
      </c>
      <c r="B333" s="1073" t="s">
        <v>431</v>
      </c>
      <c r="C333" s="1074"/>
      <c r="D333" s="1073" t="s">
        <v>432</v>
      </c>
      <c r="E333" s="1076"/>
      <c r="F333" s="1079" t="s">
        <v>433</v>
      </c>
      <c r="G333" s="1075" t="s">
        <v>434</v>
      </c>
      <c r="H333" s="1080"/>
      <c r="I333" s="1081" t="s">
        <v>435</v>
      </c>
      <c r="J333" s="1080"/>
      <c r="K333" s="1082"/>
      <c r="L333" s="1081" t="s">
        <v>436</v>
      </c>
      <c r="M333" s="1080"/>
      <c r="N333" s="1080"/>
      <c r="O333" s="1086"/>
    </row>
    <row r="334" spans="1:15" ht="15.75" thickBot="1">
      <c r="A334" s="1072"/>
      <c r="B334" s="1075"/>
      <c r="C334" s="1076"/>
      <c r="D334" s="1075"/>
      <c r="E334" s="1076"/>
      <c r="F334" s="1071"/>
      <c r="G334" s="1075"/>
      <c r="H334" s="1080"/>
      <c r="I334" s="1083"/>
      <c r="J334" s="1084"/>
      <c r="K334" s="1085"/>
      <c r="L334" s="1083"/>
      <c r="M334" s="1084"/>
      <c r="N334" s="1084"/>
      <c r="O334" s="1087"/>
    </row>
    <row r="335" spans="1:15">
      <c r="A335" s="317">
        <v>1</v>
      </c>
      <c r="B335" s="1077"/>
      <c r="C335" s="1078"/>
      <c r="D335" s="1077"/>
      <c r="E335" s="1078"/>
      <c r="F335" s="317">
        <v>6</v>
      </c>
      <c r="G335" s="1077"/>
      <c r="H335" s="1078"/>
      <c r="I335" s="318">
        <v>9</v>
      </c>
      <c r="J335" s="318"/>
      <c r="K335" s="318"/>
      <c r="L335" s="318">
        <v>9</v>
      </c>
      <c r="M335" s="318"/>
      <c r="N335" s="318"/>
      <c r="O335" s="319"/>
    </row>
    <row r="336" spans="1:15" ht="89.25">
      <c r="A336" s="320"/>
      <c r="B336" s="320" t="s">
        <v>437</v>
      </c>
      <c r="C336" s="320" t="s">
        <v>438</v>
      </c>
      <c r="D336" s="320" t="s">
        <v>439</v>
      </c>
      <c r="E336" s="320" t="s">
        <v>136</v>
      </c>
      <c r="F336" s="320"/>
      <c r="G336" s="320" t="s">
        <v>440</v>
      </c>
      <c r="H336" s="320" t="s">
        <v>441</v>
      </c>
      <c r="I336" s="320" t="s">
        <v>442</v>
      </c>
      <c r="J336" s="320" t="s">
        <v>443</v>
      </c>
      <c r="K336" s="320" t="s">
        <v>444</v>
      </c>
      <c r="L336" s="320" t="s">
        <v>445</v>
      </c>
      <c r="M336" s="320" t="s">
        <v>446</v>
      </c>
      <c r="N336" s="321" t="s">
        <v>447</v>
      </c>
      <c r="O336" s="321"/>
    </row>
    <row r="337" spans="1:16">
      <c r="A337" s="320"/>
      <c r="B337" s="322"/>
      <c r="C337" s="320"/>
      <c r="D337" s="320"/>
      <c r="E337" s="320"/>
      <c r="F337" s="320"/>
      <c r="G337" s="320"/>
      <c r="H337" s="320"/>
      <c r="I337" s="320"/>
      <c r="J337" s="320"/>
      <c r="K337" s="351"/>
      <c r="L337" s="351"/>
      <c r="M337" s="351"/>
      <c r="N337" s="320"/>
      <c r="O337" s="320"/>
    </row>
    <row r="338" spans="1:16">
      <c r="A338" s="508"/>
      <c r="B338" s="361"/>
      <c r="C338" s="320"/>
      <c r="D338" s="320"/>
      <c r="E338" s="320"/>
      <c r="F338" s="340"/>
      <c r="G338" s="320"/>
      <c r="H338" s="320"/>
      <c r="I338" s="320"/>
      <c r="J338" s="351"/>
      <c r="K338" s="351"/>
      <c r="L338" s="351"/>
      <c r="M338" s="351"/>
      <c r="N338" s="320"/>
      <c r="O338" s="320"/>
    </row>
    <row r="339" spans="1:16">
      <c r="A339" s="320"/>
      <c r="B339" s="361"/>
      <c r="C339" s="320"/>
      <c r="D339" s="320"/>
      <c r="E339" s="320"/>
      <c r="F339" s="340"/>
      <c r="G339" s="320"/>
      <c r="H339" s="320"/>
      <c r="I339" s="320"/>
      <c r="J339" s="351"/>
      <c r="K339" s="351"/>
      <c r="L339" s="351"/>
      <c r="M339" s="351"/>
      <c r="N339" s="320"/>
      <c r="O339" s="320"/>
      <c r="P339" s="320"/>
    </row>
    <row r="340" spans="1:16">
      <c r="A340" s="322" t="s">
        <v>702</v>
      </c>
      <c r="B340" s="348">
        <v>1.5</v>
      </c>
      <c r="C340" s="347">
        <v>0</v>
      </c>
      <c r="D340" s="347">
        <v>0</v>
      </c>
      <c r="E340" s="347">
        <v>0</v>
      </c>
      <c r="F340" s="839">
        <f>F294+B340-C340</f>
        <v>4.5</v>
      </c>
      <c r="G340" s="320"/>
      <c r="H340" s="320"/>
      <c r="I340" s="320"/>
      <c r="J340" s="320" t="s">
        <v>508</v>
      </c>
      <c r="K340" s="351" t="s">
        <v>508</v>
      </c>
      <c r="L340" s="351" t="s">
        <v>508</v>
      </c>
      <c r="M340" s="351" t="s">
        <v>508</v>
      </c>
      <c r="N340" s="320"/>
      <c r="O340" s="320"/>
      <c r="P340" s="320"/>
    </row>
    <row r="341" spans="1:16">
      <c r="A341" s="322" t="s">
        <v>736</v>
      </c>
      <c r="B341" s="348">
        <v>1.5</v>
      </c>
      <c r="C341" s="348">
        <v>0</v>
      </c>
      <c r="D341" s="348">
        <v>0</v>
      </c>
      <c r="E341" s="348">
        <v>0</v>
      </c>
      <c r="F341" s="839">
        <f>F340+B341-C341</f>
        <v>6</v>
      </c>
      <c r="G341" s="320"/>
      <c r="H341" s="320"/>
      <c r="I341" s="320"/>
      <c r="J341" s="320" t="s">
        <v>508</v>
      </c>
      <c r="K341" s="351" t="s">
        <v>508</v>
      </c>
      <c r="L341" s="351" t="s">
        <v>508</v>
      </c>
      <c r="M341" s="351" t="s">
        <v>508</v>
      </c>
      <c r="N341" s="320"/>
      <c r="O341" s="320"/>
      <c r="P341" s="320"/>
    </row>
    <row r="342" spans="1:16">
      <c r="A342" s="508" t="s">
        <v>758</v>
      </c>
      <c r="B342" s="348">
        <v>1.5</v>
      </c>
      <c r="C342" s="348">
        <v>0</v>
      </c>
      <c r="D342" s="348">
        <v>0</v>
      </c>
      <c r="E342" s="348">
        <v>0</v>
      </c>
      <c r="F342" s="839">
        <f>F341+B342-C342</f>
        <v>7.5</v>
      </c>
      <c r="G342" s="320"/>
      <c r="H342" s="320"/>
      <c r="I342" s="320"/>
      <c r="J342" s="320" t="s">
        <v>508</v>
      </c>
      <c r="K342" s="320" t="s">
        <v>508</v>
      </c>
      <c r="L342" s="351" t="s">
        <v>508</v>
      </c>
      <c r="M342" s="351" t="s">
        <v>508</v>
      </c>
      <c r="N342" s="320"/>
      <c r="O342" s="320"/>
      <c r="P342" s="320"/>
    </row>
    <row r="343" spans="1:16">
      <c r="A343" s="320"/>
      <c r="B343" s="320"/>
      <c r="C343" s="320"/>
      <c r="D343" s="320"/>
      <c r="E343" s="320"/>
      <c r="F343" s="320"/>
      <c r="G343" s="320"/>
      <c r="H343" s="320"/>
      <c r="I343" s="320"/>
      <c r="J343" s="320"/>
      <c r="K343" s="320"/>
      <c r="L343" s="320"/>
      <c r="M343" s="320"/>
      <c r="N343" s="320"/>
      <c r="O343" s="320"/>
    </row>
    <row r="344" spans="1:16">
      <c r="A344" s="320"/>
      <c r="B344" s="323"/>
      <c r="C344" s="320"/>
      <c r="D344" s="320"/>
      <c r="E344" s="320"/>
      <c r="F344" s="320"/>
      <c r="G344" s="320"/>
      <c r="H344" s="320"/>
      <c r="I344" s="320"/>
      <c r="J344" s="320"/>
      <c r="K344" s="320"/>
      <c r="L344" s="320"/>
      <c r="M344" s="320"/>
      <c r="N344" s="320"/>
      <c r="O344" s="320"/>
    </row>
    <row r="345" spans="1:16">
      <c r="A345" s="320"/>
      <c r="B345" s="320"/>
      <c r="C345" s="320"/>
      <c r="D345" s="320"/>
      <c r="E345" s="320"/>
      <c r="F345" s="320"/>
      <c r="G345" s="320"/>
      <c r="H345" s="320"/>
      <c r="I345" s="320"/>
      <c r="J345" s="320"/>
      <c r="K345" s="320"/>
      <c r="L345" s="320"/>
      <c r="M345" s="320"/>
      <c r="N345" s="320"/>
      <c r="O345" s="320"/>
    </row>
    <row r="346" spans="1:16">
      <c r="A346" s="320"/>
      <c r="B346" s="320"/>
      <c r="C346" s="320"/>
      <c r="D346" s="320"/>
      <c r="E346" s="320"/>
      <c r="F346" s="320"/>
      <c r="G346" s="320"/>
      <c r="H346" s="320"/>
      <c r="I346" s="320"/>
      <c r="J346" s="320"/>
      <c r="K346" s="320"/>
      <c r="L346" s="320"/>
      <c r="M346" s="320"/>
      <c r="N346" s="320"/>
      <c r="O346" s="320"/>
    </row>
    <row r="347" spans="1:16">
      <c r="A347" s="320"/>
      <c r="B347" s="320"/>
      <c r="C347" s="320"/>
      <c r="D347" s="320"/>
      <c r="E347" s="320"/>
      <c r="F347" s="320"/>
      <c r="G347" s="320"/>
      <c r="H347" s="320"/>
      <c r="I347" s="320"/>
      <c r="J347" s="320"/>
      <c r="K347" s="320"/>
      <c r="L347" s="320"/>
      <c r="M347" s="320"/>
      <c r="N347" s="320"/>
      <c r="O347" s="320"/>
    </row>
    <row r="348" spans="1:16">
      <c r="A348" s="320"/>
      <c r="B348" s="320"/>
      <c r="C348" s="320"/>
      <c r="D348" s="320"/>
      <c r="E348" s="320"/>
      <c r="F348" s="320"/>
      <c r="G348" s="320"/>
      <c r="H348" s="320"/>
      <c r="I348" s="320"/>
      <c r="J348" s="320"/>
      <c r="K348" s="320"/>
      <c r="L348" s="320"/>
      <c r="M348" s="320"/>
      <c r="N348" s="320"/>
      <c r="O348" s="320"/>
    </row>
    <row r="349" spans="1:16">
      <c r="A349" s="320"/>
      <c r="B349" s="320"/>
      <c r="C349" s="320"/>
      <c r="D349" s="320"/>
      <c r="E349" s="320"/>
      <c r="F349" s="320"/>
      <c r="G349" s="320"/>
      <c r="H349" s="320"/>
      <c r="I349" s="320"/>
      <c r="J349" s="320"/>
      <c r="K349" s="320"/>
      <c r="L349" s="320"/>
      <c r="M349" s="320"/>
      <c r="N349" s="320"/>
      <c r="O349" s="320"/>
    </row>
    <row r="350" spans="1:16">
      <c r="A350" s="320"/>
      <c r="B350" s="320"/>
      <c r="C350" s="320"/>
      <c r="D350" s="320"/>
      <c r="E350" s="320"/>
      <c r="F350" s="320"/>
      <c r="G350" s="320"/>
      <c r="H350" s="320"/>
      <c r="I350" s="320"/>
      <c r="J350" s="320"/>
      <c r="K350" s="320"/>
      <c r="L350" s="320"/>
      <c r="M350" s="320"/>
      <c r="N350" s="320"/>
      <c r="O350" s="320"/>
    </row>
    <row r="351" spans="1:16">
      <c r="A351" s="320"/>
      <c r="B351" s="320"/>
      <c r="C351" s="320"/>
      <c r="D351" s="320"/>
      <c r="E351" s="320"/>
      <c r="F351" s="320"/>
      <c r="G351" s="320"/>
      <c r="H351" s="320"/>
      <c r="I351" s="320"/>
      <c r="J351" s="320"/>
      <c r="K351" s="320"/>
      <c r="L351" s="320"/>
      <c r="M351" s="320"/>
      <c r="N351" s="320"/>
      <c r="O351" s="320"/>
    </row>
    <row r="352" spans="1:16">
      <c r="A352" s="320"/>
      <c r="B352" s="324"/>
      <c r="C352" s="320"/>
      <c r="D352" s="320"/>
      <c r="E352" s="320"/>
      <c r="F352" s="320"/>
      <c r="G352" s="320"/>
      <c r="H352" s="320"/>
      <c r="I352" s="320"/>
      <c r="J352" s="320"/>
      <c r="K352" s="320"/>
      <c r="L352" s="320"/>
      <c r="M352" s="320"/>
      <c r="N352" s="320"/>
      <c r="O352" s="320"/>
    </row>
    <row r="353" spans="1:15">
      <c r="A353" s="320"/>
      <c r="B353" s="320"/>
      <c r="C353" s="320"/>
      <c r="D353" s="320"/>
      <c r="E353" s="320"/>
      <c r="F353" s="320"/>
      <c r="G353" s="320"/>
      <c r="H353" s="320"/>
      <c r="I353" s="320"/>
      <c r="J353" s="320"/>
      <c r="K353" s="320"/>
      <c r="L353" s="320"/>
      <c r="M353" s="320"/>
      <c r="N353" s="320"/>
      <c r="O353" s="320"/>
    </row>
    <row r="354" spans="1:15">
      <c r="A354" s="320"/>
      <c r="B354" s="320"/>
      <c r="C354" s="320"/>
      <c r="D354" s="320"/>
      <c r="E354" s="320"/>
      <c r="F354" s="320"/>
      <c r="G354" s="320"/>
      <c r="H354" s="320"/>
      <c r="I354" s="320"/>
      <c r="J354" s="320"/>
      <c r="K354" s="320"/>
      <c r="L354" s="320"/>
      <c r="M354" s="320"/>
      <c r="N354" s="320"/>
      <c r="O354" s="320"/>
    </row>
    <row r="355" spans="1:15">
      <c r="A355" s="320"/>
      <c r="B355" s="320"/>
      <c r="C355" s="320"/>
      <c r="D355" s="320"/>
      <c r="E355" s="320"/>
      <c r="F355" s="320"/>
      <c r="G355" s="320"/>
      <c r="H355" s="320"/>
      <c r="I355" s="320"/>
      <c r="J355" s="320"/>
      <c r="K355" s="320"/>
      <c r="L355" s="320"/>
      <c r="M355" s="320"/>
      <c r="N355" s="320"/>
      <c r="O355" s="320"/>
    </row>
    <row r="356" spans="1:15">
      <c r="A356" s="351"/>
      <c r="B356" s="351"/>
      <c r="C356" s="351"/>
      <c r="D356" s="351"/>
      <c r="E356" s="351"/>
      <c r="F356" s="351"/>
      <c r="G356" s="351"/>
      <c r="H356" s="351"/>
      <c r="I356" s="351"/>
      <c r="J356" s="351"/>
      <c r="K356" s="351"/>
      <c r="L356" s="351"/>
      <c r="M356" s="351"/>
      <c r="N356" s="351"/>
      <c r="O356" s="351"/>
    </row>
    <row r="363" spans="1:15">
      <c r="A363" s="306"/>
      <c r="B363" s="306"/>
      <c r="C363" s="306"/>
      <c r="D363" s="306"/>
      <c r="E363" s="306"/>
      <c r="F363" s="306"/>
      <c r="G363" s="306"/>
      <c r="H363" s="306"/>
      <c r="I363" s="306"/>
      <c r="J363" s="306"/>
      <c r="K363" s="306"/>
      <c r="L363" s="306"/>
      <c r="M363" s="306"/>
      <c r="N363" s="306"/>
      <c r="O363" s="306"/>
    </row>
    <row r="364" spans="1:15">
      <c r="A364" s="306"/>
      <c r="B364" s="306"/>
      <c r="C364" s="306"/>
      <c r="D364" s="306"/>
      <c r="E364" s="306"/>
      <c r="F364" s="306"/>
      <c r="G364" s="306"/>
      <c r="H364" s="306"/>
      <c r="I364" s="306"/>
      <c r="J364" s="306"/>
      <c r="K364" s="306"/>
      <c r="L364" s="306"/>
      <c r="M364" s="306"/>
      <c r="N364" s="306"/>
      <c r="O364" s="306"/>
    </row>
    <row r="365" spans="1:15">
      <c r="A365" s="306"/>
      <c r="B365" s="306"/>
      <c r="C365" s="306"/>
      <c r="D365" s="306"/>
      <c r="E365" s="306"/>
      <c r="F365" s="306"/>
      <c r="G365" s="306"/>
      <c r="H365" s="306"/>
      <c r="I365" s="306"/>
      <c r="J365" s="306"/>
      <c r="K365" s="306"/>
      <c r="L365" s="306"/>
      <c r="M365" s="306"/>
      <c r="N365" s="306"/>
      <c r="O365" s="306"/>
    </row>
    <row r="366" spans="1:15">
      <c r="A366" s="306"/>
      <c r="B366" s="306"/>
      <c r="C366" s="306"/>
      <c r="D366" s="306"/>
      <c r="E366" s="306"/>
      <c r="F366" s="306"/>
      <c r="G366" s="306"/>
      <c r="H366" s="306"/>
      <c r="I366" s="306"/>
      <c r="J366" s="306"/>
      <c r="K366" s="306"/>
      <c r="L366" s="306"/>
      <c r="M366" s="306"/>
      <c r="N366" s="306"/>
      <c r="O366" s="306"/>
    </row>
    <row r="367" spans="1:15">
      <c r="A367" s="306"/>
      <c r="B367" s="306"/>
      <c r="C367" s="306"/>
      <c r="D367" s="306"/>
      <c r="E367" s="306"/>
      <c r="F367" s="306"/>
      <c r="G367" s="306"/>
      <c r="H367" s="306"/>
      <c r="I367" s="306"/>
      <c r="J367" s="306"/>
      <c r="K367" s="306"/>
      <c r="L367" s="306"/>
      <c r="M367" s="306"/>
      <c r="N367" s="306"/>
      <c r="O367" s="306"/>
    </row>
    <row r="372" spans="1:15" ht="15.75" thickBot="1"/>
    <row r="373" spans="1:15" ht="23.25">
      <c r="A373" s="1062" t="s">
        <v>428</v>
      </c>
      <c r="B373" s="1063"/>
      <c r="C373" s="1063"/>
      <c r="D373" s="1063"/>
      <c r="E373" s="1063"/>
      <c r="F373" s="1063"/>
      <c r="G373" s="1063"/>
      <c r="H373" s="1063"/>
      <c r="I373" s="1063"/>
      <c r="J373" s="1063"/>
      <c r="K373" s="1063"/>
      <c r="L373" s="1063"/>
      <c r="M373" s="1063"/>
      <c r="N373" s="1063"/>
      <c r="O373" s="734"/>
    </row>
    <row r="374" spans="1:15" ht="24" thickBot="1">
      <c r="A374" s="1064"/>
      <c r="B374" s="1065"/>
      <c r="C374" s="1065"/>
      <c r="D374" s="1065"/>
      <c r="E374" s="1065"/>
      <c r="F374" s="1065"/>
      <c r="G374" s="1065"/>
      <c r="H374" s="1065"/>
      <c r="I374" s="1065"/>
      <c r="J374" s="1065"/>
      <c r="K374" s="1065"/>
      <c r="L374" s="1065"/>
      <c r="M374" s="1065"/>
      <c r="N374" s="1065"/>
      <c r="O374" s="735"/>
    </row>
    <row r="375" spans="1:15" ht="15.75" thickBot="1">
      <c r="A375" s="1066" t="s">
        <v>429</v>
      </c>
      <c r="B375" s="1067"/>
      <c r="C375" s="1067"/>
      <c r="D375" s="1067"/>
      <c r="E375" s="1067"/>
      <c r="F375" s="1067"/>
      <c r="G375" s="1067"/>
      <c r="H375" s="1067"/>
      <c r="I375" s="1067"/>
      <c r="J375" s="1067"/>
      <c r="K375" s="1067"/>
      <c r="L375" s="1067"/>
      <c r="M375" s="1067"/>
      <c r="N375" s="1067"/>
      <c r="O375" s="736"/>
    </row>
    <row r="376" spans="1:15" ht="38.25">
      <c r="A376" s="300" t="s">
        <v>460</v>
      </c>
      <c r="B376" s="301"/>
      <c r="C376" s="301"/>
      <c r="D376" s="302"/>
      <c r="E376" s="1068" t="s">
        <v>461</v>
      </c>
      <c r="F376" s="1069"/>
      <c r="G376" s="1069"/>
      <c r="H376" s="809" t="str">
        <f>'4-22MASTER'!C25</f>
        <v>Jaikesh Upadhyay  </v>
      </c>
      <c r="I376" s="328"/>
      <c r="J376" s="328"/>
      <c r="K376" s="328"/>
      <c r="L376" s="328"/>
      <c r="M376" s="328"/>
      <c r="N376" s="328"/>
      <c r="O376" s="303"/>
    </row>
    <row r="377" spans="1:15">
      <c r="A377" s="305"/>
      <c r="B377" s="306" t="s">
        <v>381</v>
      </c>
      <c r="C377" s="306"/>
      <c r="D377" s="307"/>
      <c r="E377" s="329"/>
      <c r="F377" s="330"/>
      <c r="J377" s="330"/>
      <c r="K377" s="330"/>
      <c r="L377" s="330"/>
      <c r="M377" s="330"/>
      <c r="N377" s="330"/>
      <c r="O377" s="308"/>
    </row>
    <row r="378" spans="1:15" ht="15.75" thickBot="1">
      <c r="A378" s="310"/>
      <c r="B378" s="311" t="s">
        <v>382</v>
      </c>
      <c r="C378" s="311"/>
      <c r="D378" s="312"/>
      <c r="E378" s="329"/>
      <c r="F378" s="330"/>
      <c r="G378" s="330"/>
      <c r="H378" s="330"/>
      <c r="I378" s="330"/>
      <c r="J378" s="330"/>
      <c r="K378" s="330"/>
      <c r="L378" s="330"/>
      <c r="M378" s="330"/>
      <c r="N378" s="330"/>
      <c r="O378" s="308"/>
    </row>
    <row r="379" spans="1:15">
      <c r="A379" s="331" t="s">
        <v>462</v>
      </c>
      <c r="B379" s="301"/>
      <c r="C379" s="301"/>
      <c r="D379" s="302"/>
      <c r="E379" s="313" t="s">
        <v>430</v>
      </c>
      <c r="F379" s="301"/>
      <c r="H379" s="301"/>
      <c r="I379" s="301"/>
      <c r="J379" s="301"/>
      <c r="K379" s="301"/>
      <c r="L379" s="301"/>
      <c r="M379" s="301"/>
      <c r="N379" s="301"/>
      <c r="O379" s="301"/>
    </row>
    <row r="380" spans="1:15">
      <c r="A380" s="325"/>
      <c r="B380" s="306"/>
      <c r="C380" s="306">
        <f>'4-22MASTER'!G501</f>
        <v>0</v>
      </c>
      <c r="D380" s="307"/>
      <c r="E380" s="315"/>
      <c r="F380" s="306"/>
      <c r="G380" s="632">
        <f>'4-22MASTER'!O25</f>
        <v>44609</v>
      </c>
      <c r="H380" s="306"/>
      <c r="I380" s="306"/>
      <c r="J380" s="306"/>
      <c r="K380" s="306"/>
      <c r="L380" s="306"/>
      <c r="M380" s="306"/>
      <c r="N380" s="306"/>
      <c r="O380" s="306"/>
    </row>
    <row r="381" spans="1:15">
      <c r="A381" s="325"/>
      <c r="B381" s="306"/>
      <c r="C381" s="306"/>
      <c r="D381" s="307"/>
      <c r="E381" s="316"/>
      <c r="F381" s="306"/>
      <c r="G381" s="306"/>
      <c r="H381" s="306"/>
      <c r="I381" s="306"/>
      <c r="J381" s="306"/>
      <c r="K381" s="306"/>
      <c r="L381" s="306"/>
      <c r="M381" s="306"/>
      <c r="N381" s="306"/>
      <c r="O381" s="306"/>
    </row>
    <row r="382" spans="1:15" ht="15.75" thickBot="1">
      <c r="A382" s="326"/>
      <c r="B382" s="327"/>
      <c r="C382" s="327"/>
      <c r="D382" s="332"/>
      <c r="E382" s="310"/>
      <c r="F382" s="311"/>
      <c r="G382" s="311"/>
      <c r="H382" s="311"/>
      <c r="I382" s="311"/>
      <c r="J382" s="311"/>
      <c r="K382" s="311"/>
      <c r="L382" s="311"/>
      <c r="M382" s="311"/>
      <c r="N382" s="311"/>
      <c r="O382" s="311"/>
    </row>
    <row r="383" spans="1:15">
      <c r="A383" s="1071" t="s">
        <v>5</v>
      </c>
      <c r="B383" s="1073" t="s">
        <v>431</v>
      </c>
      <c r="C383" s="1074"/>
      <c r="D383" s="1073" t="s">
        <v>432</v>
      </c>
      <c r="E383" s="1076"/>
      <c r="F383" s="1079" t="s">
        <v>433</v>
      </c>
      <c r="G383" s="1075" t="s">
        <v>434</v>
      </c>
      <c r="H383" s="1080"/>
      <c r="I383" s="1081" t="s">
        <v>435</v>
      </c>
      <c r="J383" s="1080"/>
      <c r="K383" s="1082"/>
      <c r="L383" s="1081" t="s">
        <v>436</v>
      </c>
      <c r="M383" s="1080"/>
      <c r="N383" s="1080"/>
      <c r="O383" s="1086"/>
    </row>
    <row r="384" spans="1:15" ht="15.75" thickBot="1">
      <c r="A384" s="1072"/>
      <c r="B384" s="1075"/>
      <c r="C384" s="1076"/>
      <c r="D384" s="1075"/>
      <c r="E384" s="1076"/>
      <c r="F384" s="1071"/>
      <c r="G384" s="1075"/>
      <c r="H384" s="1080"/>
      <c r="I384" s="1083"/>
      <c r="J384" s="1084"/>
      <c r="K384" s="1085"/>
      <c r="L384" s="1083"/>
      <c r="M384" s="1084"/>
      <c r="N384" s="1084"/>
      <c r="O384" s="1087"/>
    </row>
    <row r="385" spans="1:16">
      <c r="A385" s="317">
        <v>1</v>
      </c>
      <c r="B385" s="1077"/>
      <c r="C385" s="1078"/>
      <c r="D385" s="1077"/>
      <c r="E385" s="1078"/>
      <c r="F385" s="317">
        <v>6</v>
      </c>
      <c r="G385" s="1077"/>
      <c r="H385" s="1078"/>
      <c r="I385" s="318">
        <v>9</v>
      </c>
      <c r="J385" s="318"/>
      <c r="K385" s="318"/>
      <c r="L385" s="318">
        <v>9</v>
      </c>
      <c r="M385" s="318"/>
      <c r="N385" s="318"/>
      <c r="O385" s="319"/>
    </row>
    <row r="386" spans="1:16" ht="89.25">
      <c r="A386" s="320"/>
      <c r="B386" s="320" t="s">
        <v>437</v>
      </c>
      <c r="C386" s="320" t="s">
        <v>438</v>
      </c>
      <c r="D386" s="320" t="s">
        <v>439</v>
      </c>
      <c r="E386" s="320" t="s">
        <v>136</v>
      </c>
      <c r="F386" s="320"/>
      <c r="G386" s="320" t="s">
        <v>440</v>
      </c>
      <c r="H386" s="320" t="s">
        <v>441</v>
      </c>
      <c r="I386" s="320" t="s">
        <v>442</v>
      </c>
      <c r="J386" s="320" t="s">
        <v>443</v>
      </c>
      <c r="K386" s="320" t="s">
        <v>444</v>
      </c>
      <c r="L386" s="320" t="s">
        <v>445</v>
      </c>
      <c r="M386" s="320" t="s">
        <v>446</v>
      </c>
      <c r="N386" s="321" t="s">
        <v>447</v>
      </c>
      <c r="O386" s="321"/>
    </row>
    <row r="387" spans="1:16">
      <c r="A387" s="320"/>
      <c r="B387" s="322"/>
      <c r="C387" s="320"/>
      <c r="D387" s="320"/>
      <c r="E387" s="320"/>
      <c r="F387" s="320"/>
      <c r="G387" s="320"/>
      <c r="H387" s="320"/>
      <c r="I387" s="320"/>
      <c r="J387" s="320"/>
      <c r="K387" s="351"/>
      <c r="L387" s="351"/>
      <c r="M387" s="351"/>
      <c r="N387" s="320"/>
      <c r="O387" s="320"/>
    </row>
    <row r="388" spans="1:16">
      <c r="A388" s="322" t="s">
        <v>702</v>
      </c>
      <c r="B388" s="348">
        <v>0</v>
      </c>
      <c r="C388" s="347">
        <v>0</v>
      </c>
      <c r="D388" s="347">
        <v>0</v>
      </c>
      <c r="E388" s="347">
        <v>0</v>
      </c>
      <c r="F388" s="839">
        <f>F342+B388-C388</f>
        <v>7.5</v>
      </c>
      <c r="G388" s="320"/>
      <c r="H388" s="320"/>
      <c r="I388" s="320" t="s">
        <v>558</v>
      </c>
      <c r="J388" s="320" t="s">
        <v>508</v>
      </c>
      <c r="K388" s="351" t="s">
        <v>508</v>
      </c>
      <c r="L388" s="351" t="s">
        <v>508</v>
      </c>
      <c r="M388" s="351" t="s">
        <v>508</v>
      </c>
      <c r="N388" s="320"/>
      <c r="O388" s="320"/>
      <c r="P388" s="320"/>
    </row>
    <row r="389" spans="1:16">
      <c r="A389" s="322" t="s">
        <v>736</v>
      </c>
      <c r="B389" s="348">
        <v>1.5</v>
      </c>
      <c r="C389" s="348">
        <v>1</v>
      </c>
      <c r="D389" s="869">
        <v>12124</v>
      </c>
      <c r="E389" s="869">
        <v>44631</v>
      </c>
      <c r="F389" s="839">
        <f>F388+B389-C389</f>
        <v>8</v>
      </c>
      <c r="G389" s="320"/>
      <c r="H389" s="320"/>
      <c r="I389" s="320"/>
      <c r="J389" s="320" t="s">
        <v>508</v>
      </c>
      <c r="K389" s="351" t="s">
        <v>508</v>
      </c>
      <c r="L389" s="351" t="s">
        <v>508</v>
      </c>
      <c r="M389" s="351" t="s">
        <v>508</v>
      </c>
      <c r="N389" s="320"/>
      <c r="O389" s="320"/>
      <c r="P389" s="320"/>
    </row>
    <row r="390" spans="1:16">
      <c r="A390" s="508" t="s">
        <v>758</v>
      </c>
      <c r="B390" s="348">
        <v>1.5</v>
      </c>
      <c r="C390" s="348">
        <v>1</v>
      </c>
      <c r="D390" s="869">
        <v>44669</v>
      </c>
      <c r="E390" s="869">
        <v>44669</v>
      </c>
      <c r="F390" s="839">
        <f>F389+B390-C390</f>
        <v>8.5</v>
      </c>
      <c r="G390" s="320"/>
      <c r="H390" s="320"/>
      <c r="I390" s="320"/>
      <c r="J390" s="320" t="s">
        <v>508</v>
      </c>
      <c r="K390" s="320" t="s">
        <v>508</v>
      </c>
      <c r="L390" s="351" t="s">
        <v>508</v>
      </c>
      <c r="M390" s="351" t="s">
        <v>508</v>
      </c>
      <c r="N390" s="320"/>
      <c r="O390" s="320"/>
      <c r="P390" s="320"/>
    </row>
    <row r="391" spans="1:16">
      <c r="A391" s="320"/>
      <c r="B391" s="320"/>
      <c r="C391" s="320"/>
      <c r="D391" s="320"/>
      <c r="E391" s="320"/>
      <c r="F391" s="320"/>
      <c r="G391" s="320"/>
      <c r="H391" s="320"/>
      <c r="I391" s="320"/>
      <c r="J391" s="320"/>
      <c r="K391" s="320"/>
      <c r="L391" s="320"/>
      <c r="M391" s="320"/>
      <c r="N391" s="320"/>
      <c r="O391" s="320"/>
    </row>
    <row r="392" spans="1:16">
      <c r="A392" s="320"/>
      <c r="B392" s="320"/>
      <c r="C392" s="320"/>
      <c r="D392" s="320"/>
      <c r="E392" s="320"/>
      <c r="F392" s="320"/>
      <c r="G392" s="320"/>
      <c r="H392" s="320"/>
      <c r="I392" s="320"/>
      <c r="J392" s="320"/>
      <c r="K392" s="320"/>
      <c r="L392" s="320"/>
      <c r="M392" s="320"/>
      <c r="N392" s="320"/>
      <c r="O392" s="320"/>
    </row>
    <row r="393" spans="1:16">
      <c r="A393" s="320"/>
      <c r="B393" s="320"/>
      <c r="C393" s="320"/>
      <c r="D393" s="320"/>
      <c r="E393" s="320"/>
      <c r="F393" s="320"/>
      <c r="G393" s="320"/>
      <c r="H393" s="320"/>
      <c r="I393" s="320"/>
      <c r="J393" s="320"/>
      <c r="K393" s="320"/>
      <c r="L393" s="320"/>
      <c r="M393" s="320"/>
      <c r="N393" s="320"/>
      <c r="O393" s="320"/>
    </row>
    <row r="394" spans="1:16">
      <c r="A394" s="320"/>
      <c r="B394" s="323"/>
      <c r="C394" s="320"/>
      <c r="D394" s="320"/>
      <c r="E394" s="320"/>
      <c r="F394" s="320"/>
      <c r="G394" s="320"/>
      <c r="H394" s="320"/>
      <c r="I394" s="320"/>
      <c r="J394" s="320"/>
      <c r="K394" s="320"/>
      <c r="L394" s="320"/>
      <c r="M394" s="320"/>
      <c r="N394" s="320"/>
      <c r="O394" s="320"/>
    </row>
    <row r="395" spans="1:16">
      <c r="A395" s="320"/>
      <c r="B395" s="320"/>
      <c r="C395" s="320"/>
      <c r="D395" s="320"/>
      <c r="E395" s="320"/>
      <c r="F395" s="320"/>
      <c r="G395" s="320"/>
      <c r="H395" s="320"/>
      <c r="I395" s="320"/>
      <c r="J395" s="320"/>
      <c r="K395" s="320"/>
      <c r="L395" s="320"/>
      <c r="M395" s="320"/>
      <c r="N395" s="320"/>
      <c r="O395" s="320"/>
    </row>
    <row r="396" spans="1:16">
      <c r="A396" s="320"/>
      <c r="B396" s="320"/>
      <c r="C396" s="320"/>
      <c r="D396" s="320"/>
      <c r="E396" s="320"/>
      <c r="F396" s="320"/>
      <c r="G396" s="320"/>
      <c r="H396" s="320"/>
      <c r="I396" s="320"/>
      <c r="J396" s="320"/>
      <c r="K396" s="320"/>
      <c r="L396" s="320"/>
      <c r="M396" s="320"/>
      <c r="N396" s="320"/>
      <c r="O396" s="320"/>
    </row>
    <row r="397" spans="1:16">
      <c r="A397" s="320"/>
      <c r="B397" s="320"/>
      <c r="C397" s="320"/>
      <c r="D397" s="320"/>
      <c r="E397" s="320"/>
      <c r="F397" s="320"/>
      <c r="G397" s="320"/>
      <c r="H397" s="320"/>
      <c r="I397" s="320"/>
      <c r="J397" s="320"/>
      <c r="K397" s="320"/>
      <c r="L397" s="320"/>
      <c r="M397" s="320"/>
      <c r="N397" s="320"/>
      <c r="O397" s="320"/>
    </row>
    <row r="398" spans="1:16">
      <c r="A398" s="320"/>
      <c r="B398" s="320"/>
      <c r="C398" s="320"/>
      <c r="D398" s="320"/>
      <c r="E398" s="320"/>
      <c r="F398" s="320"/>
      <c r="G398" s="320"/>
      <c r="H398" s="320"/>
      <c r="I398" s="320"/>
      <c r="J398" s="320"/>
      <c r="K398" s="320"/>
      <c r="L398" s="320"/>
      <c r="M398" s="320"/>
      <c r="N398" s="320"/>
      <c r="O398" s="320"/>
    </row>
    <row r="399" spans="1:16">
      <c r="A399" s="320"/>
      <c r="B399" s="320"/>
      <c r="C399" s="320"/>
      <c r="D399" s="320"/>
      <c r="E399" s="320"/>
      <c r="F399" s="320"/>
      <c r="G399" s="320"/>
      <c r="H399" s="320"/>
      <c r="I399" s="320"/>
      <c r="J399" s="320"/>
      <c r="K399" s="320"/>
      <c r="L399" s="320"/>
      <c r="M399" s="320"/>
      <c r="N399" s="320"/>
      <c r="O399" s="320"/>
    </row>
    <row r="400" spans="1:16">
      <c r="A400" s="320"/>
      <c r="B400" s="320"/>
      <c r="C400" s="320"/>
      <c r="D400" s="320"/>
      <c r="E400" s="320"/>
      <c r="F400" s="320"/>
      <c r="G400" s="320"/>
      <c r="H400" s="320"/>
      <c r="I400" s="320"/>
      <c r="J400" s="320"/>
      <c r="K400" s="320"/>
      <c r="L400" s="320"/>
      <c r="M400" s="320"/>
      <c r="N400" s="320"/>
      <c r="O400" s="320"/>
    </row>
    <row r="401" spans="1:15">
      <c r="A401" s="320"/>
      <c r="B401" s="320"/>
      <c r="C401" s="320"/>
      <c r="D401" s="320"/>
      <c r="E401" s="320"/>
      <c r="F401" s="320"/>
      <c r="G401" s="320"/>
      <c r="H401" s="320"/>
      <c r="I401" s="320"/>
      <c r="J401" s="320"/>
      <c r="K401" s="320"/>
      <c r="L401" s="320"/>
      <c r="M401" s="320"/>
      <c r="N401" s="320"/>
      <c r="O401" s="320"/>
    </row>
    <row r="402" spans="1:15">
      <c r="A402" s="320"/>
      <c r="B402" s="324"/>
      <c r="C402" s="320"/>
      <c r="D402" s="320"/>
      <c r="E402" s="320"/>
      <c r="F402" s="320"/>
      <c r="G402" s="320"/>
      <c r="H402" s="320"/>
      <c r="I402" s="320"/>
      <c r="J402" s="320"/>
      <c r="K402" s="320"/>
      <c r="L402" s="320"/>
      <c r="M402" s="320"/>
      <c r="N402" s="320"/>
      <c r="O402" s="320"/>
    </row>
    <row r="403" spans="1:15">
      <c r="A403" s="320"/>
      <c r="B403" s="320"/>
      <c r="C403" s="320"/>
      <c r="D403" s="320"/>
      <c r="E403" s="320"/>
      <c r="F403" s="320"/>
      <c r="G403" s="320"/>
      <c r="H403" s="320"/>
      <c r="I403" s="320"/>
      <c r="J403" s="320"/>
      <c r="K403" s="320"/>
      <c r="L403" s="320"/>
      <c r="M403" s="320"/>
      <c r="N403" s="320"/>
      <c r="O403" s="320"/>
    </row>
    <row r="404" spans="1:15">
      <c r="A404" s="320"/>
      <c r="B404" s="320"/>
      <c r="C404" s="320"/>
      <c r="D404" s="320"/>
      <c r="E404" s="320"/>
      <c r="F404" s="320"/>
      <c r="G404" s="320"/>
      <c r="H404" s="320"/>
      <c r="I404" s="320"/>
      <c r="J404" s="320"/>
      <c r="K404" s="320"/>
      <c r="L404" s="320"/>
      <c r="M404" s="320"/>
      <c r="N404" s="320"/>
      <c r="O404" s="320"/>
    </row>
    <row r="405" spans="1:15">
      <c r="A405" s="320"/>
      <c r="B405" s="320"/>
      <c r="C405" s="320"/>
      <c r="D405" s="320"/>
      <c r="E405" s="320"/>
      <c r="F405" s="320"/>
      <c r="G405" s="320"/>
      <c r="H405" s="320"/>
      <c r="I405" s="320"/>
      <c r="J405" s="320"/>
      <c r="K405" s="320"/>
      <c r="L405" s="320"/>
      <c r="M405" s="320"/>
      <c r="N405" s="320"/>
      <c r="O405" s="320"/>
    </row>
    <row r="406" spans="1:15">
      <c r="A406" s="351"/>
      <c r="B406" s="351"/>
      <c r="C406" s="351"/>
      <c r="D406" s="351"/>
      <c r="E406" s="351"/>
      <c r="F406" s="351"/>
      <c r="G406" s="351"/>
      <c r="H406" s="351"/>
      <c r="I406" s="351"/>
      <c r="J406" s="351"/>
      <c r="K406" s="351"/>
      <c r="L406" s="351"/>
      <c r="M406" s="351"/>
      <c r="N406" s="351"/>
      <c r="O406" s="351"/>
    </row>
    <row r="409" spans="1:15">
      <c r="A409" s="306"/>
      <c r="B409" s="306"/>
      <c r="C409" s="306"/>
      <c r="D409" s="306"/>
      <c r="E409" s="306"/>
      <c r="F409" s="306"/>
      <c r="G409" s="306"/>
      <c r="H409" s="306"/>
      <c r="I409" s="306"/>
      <c r="J409" s="306"/>
      <c r="K409" s="306"/>
      <c r="L409" s="306"/>
      <c r="M409" s="306"/>
      <c r="N409" s="306"/>
      <c r="O409" s="306"/>
    </row>
    <row r="410" spans="1:15">
      <c r="A410" s="306"/>
      <c r="B410" s="306"/>
      <c r="C410" s="306"/>
      <c r="D410" s="306"/>
      <c r="E410" s="306"/>
      <c r="F410" s="306"/>
      <c r="G410" s="306"/>
      <c r="H410" s="306"/>
      <c r="I410" s="306"/>
      <c r="J410" s="306"/>
      <c r="K410" s="306"/>
      <c r="L410" s="306"/>
      <c r="M410" s="306"/>
      <c r="N410" s="306"/>
      <c r="O410" s="306"/>
    </row>
    <row r="411" spans="1:15">
      <c r="A411" s="306"/>
      <c r="B411" s="306"/>
      <c r="C411" s="306"/>
      <c r="D411" s="306"/>
      <c r="E411" s="306"/>
      <c r="F411" s="306"/>
      <c r="G411" s="306"/>
      <c r="H411" s="306"/>
      <c r="I411" s="306"/>
      <c r="J411" s="306"/>
      <c r="K411" s="306"/>
      <c r="L411" s="306"/>
      <c r="M411" s="306"/>
      <c r="N411" s="306"/>
      <c r="O411" s="306"/>
    </row>
    <row r="412" spans="1:15">
      <c r="A412" s="306"/>
      <c r="B412" s="306"/>
      <c r="C412" s="306"/>
      <c r="D412" s="306"/>
      <c r="E412" s="306"/>
      <c r="F412" s="306"/>
      <c r="G412" s="306"/>
      <c r="H412" s="306"/>
      <c r="I412" s="306"/>
      <c r="J412" s="306"/>
      <c r="K412" s="306"/>
      <c r="L412" s="306"/>
      <c r="M412" s="306"/>
      <c r="N412" s="306"/>
      <c r="O412" s="306"/>
    </row>
    <row r="413" spans="1:15">
      <c r="A413" s="306"/>
      <c r="B413" s="306"/>
      <c r="C413" s="306"/>
      <c r="D413" s="306"/>
      <c r="E413" s="306"/>
      <c r="F413" s="306"/>
      <c r="G413" s="306"/>
      <c r="H413" s="306"/>
      <c r="I413" s="306"/>
      <c r="J413" s="306"/>
      <c r="K413" s="306"/>
      <c r="L413" s="306"/>
      <c r="M413" s="306"/>
      <c r="N413" s="306"/>
      <c r="O413" s="306"/>
    </row>
    <row r="418" spans="1:15" ht="15.75" thickBot="1"/>
    <row r="419" spans="1:15" ht="23.25">
      <c r="A419" s="1062" t="s">
        <v>428</v>
      </c>
      <c r="B419" s="1063"/>
      <c r="C419" s="1063"/>
      <c r="D419" s="1063"/>
      <c r="E419" s="1063"/>
      <c r="F419" s="1063"/>
      <c r="G419" s="1063"/>
      <c r="H419" s="1063"/>
      <c r="I419" s="1063"/>
      <c r="J419" s="1063"/>
      <c r="K419" s="1063"/>
      <c r="L419" s="1063"/>
      <c r="M419" s="1063"/>
      <c r="N419" s="1063"/>
      <c r="O419" s="734"/>
    </row>
    <row r="420" spans="1:15" ht="24" thickBot="1">
      <c r="A420" s="1064"/>
      <c r="B420" s="1065"/>
      <c r="C420" s="1065"/>
      <c r="D420" s="1065"/>
      <c r="E420" s="1065"/>
      <c r="F420" s="1065"/>
      <c r="G420" s="1065"/>
      <c r="H420" s="1065"/>
      <c r="I420" s="1065"/>
      <c r="J420" s="1065"/>
      <c r="K420" s="1065"/>
      <c r="L420" s="1065"/>
      <c r="M420" s="1065"/>
      <c r="N420" s="1065"/>
      <c r="O420" s="735"/>
    </row>
    <row r="421" spans="1:15" ht="15.75" thickBot="1">
      <c r="A421" s="1066" t="s">
        <v>429</v>
      </c>
      <c r="B421" s="1067"/>
      <c r="C421" s="1067"/>
      <c r="D421" s="1067"/>
      <c r="E421" s="1067"/>
      <c r="F421" s="1067"/>
      <c r="G421" s="1067"/>
      <c r="H421" s="1067"/>
      <c r="I421" s="1067"/>
      <c r="J421" s="1067"/>
      <c r="K421" s="1067"/>
      <c r="L421" s="1067"/>
      <c r="M421" s="1067"/>
      <c r="N421" s="1067"/>
      <c r="O421" s="736"/>
    </row>
    <row r="422" spans="1:15" ht="25.5">
      <c r="A422" s="300" t="s">
        <v>460</v>
      </c>
      <c r="B422" s="301"/>
      <c r="C422" s="301"/>
      <c r="D422" s="302"/>
      <c r="E422" s="1068" t="s">
        <v>461</v>
      </c>
      <c r="F422" s="1069"/>
      <c r="G422" s="1069"/>
      <c r="H422" s="809" t="str">
        <f>'4-22MASTER'!C26</f>
        <v>Jyoti Singh</v>
      </c>
      <c r="I422" s="328"/>
      <c r="J422" s="328"/>
      <c r="K422" s="328"/>
      <c r="L422" s="328"/>
      <c r="M422" s="328"/>
      <c r="N422" s="328"/>
      <c r="O422" s="303"/>
    </row>
    <row r="423" spans="1:15">
      <c r="A423" s="305"/>
      <c r="B423" s="306" t="s">
        <v>381</v>
      </c>
      <c r="C423" s="306"/>
      <c r="D423" s="307"/>
      <c r="E423" s="329"/>
      <c r="F423" s="330"/>
      <c r="J423" s="330"/>
      <c r="K423" s="330"/>
      <c r="L423" s="330"/>
      <c r="M423" s="330"/>
      <c r="N423" s="330"/>
      <c r="O423" s="308"/>
    </row>
    <row r="424" spans="1:15" ht="15.75" thickBot="1">
      <c r="A424" s="310"/>
      <c r="B424" s="311" t="s">
        <v>382</v>
      </c>
      <c r="C424" s="311"/>
      <c r="D424" s="312"/>
      <c r="E424" s="329"/>
      <c r="F424" s="330"/>
      <c r="G424" s="330"/>
      <c r="H424" s="330"/>
      <c r="I424" s="330"/>
      <c r="J424" s="330"/>
      <c r="K424" s="330"/>
      <c r="L424" s="330"/>
      <c r="M424" s="330"/>
      <c r="N424" s="330"/>
      <c r="O424" s="308"/>
    </row>
    <row r="425" spans="1:15">
      <c r="A425" s="331" t="s">
        <v>462</v>
      </c>
      <c r="B425" s="301"/>
      <c r="C425" s="301"/>
      <c r="D425" s="302"/>
      <c r="E425" s="313" t="s">
        <v>430</v>
      </c>
      <c r="F425" s="301"/>
      <c r="H425" s="301"/>
      <c r="I425" s="301"/>
      <c r="J425" s="301"/>
      <c r="K425" s="301"/>
      <c r="L425" s="301"/>
      <c r="M425" s="301"/>
      <c r="N425" s="301"/>
      <c r="O425" s="301"/>
    </row>
    <row r="426" spans="1:15">
      <c r="A426" s="325"/>
      <c r="C426" s="306">
        <f>'4-22MASTER'!G547</f>
        <v>0</v>
      </c>
      <c r="D426" s="307"/>
      <c r="E426" s="315"/>
      <c r="F426" s="306"/>
      <c r="G426" s="632">
        <f>'4-22MASTER'!O26</f>
        <v>44613</v>
      </c>
      <c r="H426" s="306"/>
      <c r="I426" s="306"/>
      <c r="J426" s="306"/>
      <c r="K426" s="306"/>
      <c r="L426" s="306"/>
      <c r="M426" s="306"/>
      <c r="N426" s="306"/>
      <c r="O426" s="306"/>
    </row>
    <row r="427" spans="1:15">
      <c r="A427" s="325"/>
      <c r="C427" s="306"/>
      <c r="D427" s="307"/>
      <c r="E427" s="316"/>
      <c r="F427" s="306"/>
      <c r="G427" s="306"/>
      <c r="H427" s="306"/>
      <c r="I427" s="306"/>
      <c r="J427" s="306"/>
      <c r="K427" s="306"/>
      <c r="L427" s="306"/>
      <c r="M427" s="306"/>
      <c r="N427" s="306"/>
      <c r="O427" s="306"/>
    </row>
    <row r="428" spans="1:15" ht="15.75" thickBot="1">
      <c r="A428" s="326"/>
      <c r="B428" s="327"/>
      <c r="C428" s="327"/>
      <c r="D428" s="332"/>
      <c r="E428" s="310"/>
      <c r="F428" s="311"/>
      <c r="G428" s="311"/>
      <c r="H428" s="311"/>
      <c r="I428" s="311"/>
      <c r="J428" s="311"/>
      <c r="K428" s="311"/>
      <c r="L428" s="311"/>
      <c r="M428" s="311"/>
      <c r="N428" s="311"/>
      <c r="O428" s="311"/>
    </row>
    <row r="429" spans="1:15">
      <c r="A429" s="1071" t="s">
        <v>5</v>
      </c>
      <c r="B429" s="1073" t="s">
        <v>431</v>
      </c>
      <c r="C429" s="1074"/>
      <c r="D429" s="1073" t="s">
        <v>432</v>
      </c>
      <c r="E429" s="1076"/>
      <c r="F429" s="1079" t="s">
        <v>433</v>
      </c>
      <c r="G429" s="1075" t="s">
        <v>434</v>
      </c>
      <c r="H429" s="1080"/>
      <c r="I429" s="1081" t="s">
        <v>435</v>
      </c>
      <c r="J429" s="1080"/>
      <c r="K429" s="1082"/>
      <c r="L429" s="1081" t="s">
        <v>436</v>
      </c>
      <c r="M429" s="1080"/>
      <c r="N429" s="1080"/>
      <c r="O429" s="1086"/>
    </row>
    <row r="430" spans="1:15" ht="15.75" thickBot="1">
      <c r="A430" s="1072"/>
      <c r="B430" s="1075"/>
      <c r="C430" s="1076"/>
      <c r="D430" s="1075"/>
      <c r="E430" s="1076"/>
      <c r="F430" s="1071"/>
      <c r="G430" s="1075"/>
      <c r="H430" s="1080"/>
      <c r="I430" s="1083"/>
      <c r="J430" s="1084"/>
      <c r="K430" s="1085"/>
      <c r="L430" s="1083"/>
      <c r="M430" s="1084"/>
      <c r="N430" s="1084"/>
      <c r="O430" s="1087"/>
    </row>
    <row r="431" spans="1:15">
      <c r="A431" s="317">
        <v>1</v>
      </c>
      <c r="B431" s="1077"/>
      <c r="C431" s="1078"/>
      <c r="D431" s="1077"/>
      <c r="E431" s="1078"/>
      <c r="F431" s="317">
        <v>6</v>
      </c>
      <c r="G431" s="1077"/>
      <c r="H431" s="1078"/>
      <c r="I431" s="318">
        <v>9</v>
      </c>
      <c r="J431" s="318"/>
      <c r="K431" s="318"/>
      <c r="L431" s="318">
        <v>9</v>
      </c>
      <c r="M431" s="318"/>
      <c r="N431" s="318"/>
      <c r="O431" s="319"/>
    </row>
    <row r="432" spans="1:15" ht="89.25">
      <c r="A432" s="320"/>
      <c r="B432" s="320" t="s">
        <v>437</v>
      </c>
      <c r="C432" s="320" t="s">
        <v>438</v>
      </c>
      <c r="D432" s="320" t="s">
        <v>439</v>
      </c>
      <c r="E432" s="320" t="s">
        <v>136</v>
      </c>
      <c r="F432" s="320"/>
      <c r="G432" s="320" t="s">
        <v>440</v>
      </c>
      <c r="H432" s="320" t="s">
        <v>441</v>
      </c>
      <c r="I432" s="320" t="s">
        <v>442</v>
      </c>
      <c r="J432" s="320" t="s">
        <v>443</v>
      </c>
      <c r="K432" s="320" t="s">
        <v>444</v>
      </c>
      <c r="L432" s="320" t="s">
        <v>445</v>
      </c>
      <c r="M432" s="320" t="s">
        <v>446</v>
      </c>
      <c r="N432" s="321" t="s">
        <v>447</v>
      </c>
      <c r="O432" s="321"/>
    </row>
    <row r="433" spans="1:16">
      <c r="A433" s="320"/>
      <c r="B433" s="322"/>
      <c r="C433" s="320"/>
      <c r="D433" s="320"/>
      <c r="E433" s="320"/>
      <c r="F433" s="320"/>
      <c r="G433" s="320"/>
      <c r="H433" s="320"/>
      <c r="I433" s="320"/>
      <c r="J433" s="320"/>
      <c r="K433" s="351"/>
      <c r="L433" s="351"/>
      <c r="M433" s="351"/>
      <c r="N433" s="320"/>
      <c r="O433" s="320"/>
    </row>
    <row r="434" spans="1:16">
      <c r="A434" s="322" t="s">
        <v>702</v>
      </c>
      <c r="B434" s="348">
        <v>0</v>
      </c>
      <c r="C434" s="347">
        <v>0</v>
      </c>
      <c r="D434" s="347">
        <v>0</v>
      </c>
      <c r="E434" s="347">
        <v>0</v>
      </c>
      <c r="F434" s="839">
        <f>F388+B434-C434</f>
        <v>7.5</v>
      </c>
      <c r="G434" s="320"/>
      <c r="H434" s="320"/>
      <c r="I434" s="320" t="s">
        <v>558</v>
      </c>
      <c r="J434" s="320" t="s">
        <v>508</v>
      </c>
      <c r="K434" s="351" t="s">
        <v>508</v>
      </c>
      <c r="L434" s="351" t="s">
        <v>508</v>
      </c>
      <c r="M434" s="351" t="s">
        <v>508</v>
      </c>
      <c r="N434" s="320"/>
      <c r="O434" s="320"/>
      <c r="P434" s="320"/>
    </row>
    <row r="435" spans="1:16">
      <c r="A435" s="322" t="s">
        <v>736</v>
      </c>
      <c r="B435" s="348">
        <v>1.5</v>
      </c>
      <c r="C435" s="348">
        <v>0</v>
      </c>
      <c r="D435" s="348">
        <v>0</v>
      </c>
      <c r="E435" s="348">
        <v>0</v>
      </c>
      <c r="F435" s="839">
        <f>F434+B435-C435</f>
        <v>9</v>
      </c>
      <c r="G435" s="320"/>
      <c r="H435" s="320"/>
      <c r="I435" s="320"/>
      <c r="J435" s="320" t="s">
        <v>508</v>
      </c>
      <c r="K435" s="351" t="s">
        <v>508</v>
      </c>
      <c r="L435" s="351" t="s">
        <v>508</v>
      </c>
      <c r="M435" s="351" t="s">
        <v>508</v>
      </c>
      <c r="N435" s="320"/>
      <c r="O435" s="320"/>
      <c r="P435" s="320"/>
    </row>
    <row r="436" spans="1:16">
      <c r="A436" s="508" t="s">
        <v>758</v>
      </c>
      <c r="B436" s="348">
        <v>1.5</v>
      </c>
      <c r="C436" s="348">
        <v>0</v>
      </c>
      <c r="D436" s="348">
        <v>0</v>
      </c>
      <c r="E436" s="348">
        <v>0</v>
      </c>
      <c r="F436" s="839">
        <f>F435+B436-C436</f>
        <v>10.5</v>
      </c>
      <c r="G436" s="320"/>
      <c r="H436" s="320"/>
      <c r="I436" s="320"/>
      <c r="J436" s="320" t="s">
        <v>508</v>
      </c>
      <c r="K436" s="320" t="s">
        <v>508</v>
      </c>
      <c r="L436" s="351" t="s">
        <v>508</v>
      </c>
      <c r="M436" s="351" t="s">
        <v>508</v>
      </c>
      <c r="N436" s="320"/>
      <c r="O436" s="320"/>
      <c r="P436" s="320"/>
    </row>
    <row r="437" spans="1:16">
      <c r="A437" s="320"/>
      <c r="B437" s="320"/>
      <c r="C437" s="320"/>
      <c r="D437" s="320"/>
      <c r="E437" s="320"/>
      <c r="F437" s="320"/>
      <c r="G437" s="320"/>
      <c r="H437" s="320"/>
      <c r="I437" s="320"/>
      <c r="J437" s="320"/>
      <c r="K437" s="320"/>
      <c r="L437" s="320"/>
      <c r="M437" s="320"/>
      <c r="N437" s="320"/>
      <c r="O437" s="320"/>
    </row>
    <row r="438" spans="1:16">
      <c r="A438" s="320"/>
      <c r="B438" s="320"/>
      <c r="C438" s="320"/>
      <c r="D438" s="320"/>
      <c r="E438" s="320"/>
      <c r="F438" s="320"/>
      <c r="G438" s="320"/>
      <c r="H438" s="320"/>
      <c r="I438" s="320"/>
      <c r="J438" s="320"/>
      <c r="K438" s="320"/>
      <c r="L438" s="320"/>
      <c r="M438" s="320"/>
      <c r="N438" s="320"/>
      <c r="O438" s="320"/>
    </row>
    <row r="439" spans="1:16">
      <c r="A439" s="320"/>
      <c r="B439" s="320"/>
      <c r="C439" s="320"/>
      <c r="D439" s="320"/>
      <c r="E439" s="320"/>
      <c r="F439" s="320"/>
      <c r="G439" s="320"/>
      <c r="H439" s="320"/>
      <c r="I439" s="320"/>
      <c r="J439" s="320"/>
      <c r="K439" s="320"/>
      <c r="L439" s="320"/>
      <c r="M439" s="320"/>
      <c r="N439" s="320"/>
      <c r="O439" s="320"/>
    </row>
    <row r="440" spans="1:16">
      <c r="A440" s="320"/>
      <c r="B440" s="323"/>
      <c r="C440" s="320"/>
      <c r="D440" s="320"/>
      <c r="E440" s="320"/>
      <c r="F440" s="320"/>
      <c r="G440" s="320"/>
      <c r="H440" s="320"/>
      <c r="I440" s="320"/>
      <c r="J440" s="320"/>
      <c r="K440" s="320"/>
      <c r="L440" s="320"/>
      <c r="M440" s="320"/>
      <c r="N440" s="320"/>
      <c r="O440" s="320"/>
    </row>
    <row r="441" spans="1:16">
      <c r="A441" s="320"/>
      <c r="B441" s="320"/>
      <c r="C441" s="320"/>
      <c r="D441" s="320"/>
      <c r="E441" s="320"/>
      <c r="F441" s="320"/>
      <c r="G441" s="320"/>
      <c r="H441" s="320"/>
      <c r="I441" s="320"/>
      <c r="J441" s="320"/>
      <c r="K441" s="320"/>
      <c r="L441" s="320"/>
      <c r="M441" s="320"/>
      <c r="N441" s="320"/>
      <c r="O441" s="320"/>
    </row>
    <row r="442" spans="1:16">
      <c r="A442" s="320"/>
      <c r="B442" s="320"/>
      <c r="C442" s="320"/>
      <c r="D442" s="320"/>
      <c r="E442" s="320"/>
      <c r="F442" s="320"/>
      <c r="G442" s="320"/>
      <c r="H442" s="320"/>
      <c r="I442" s="320"/>
      <c r="J442" s="320"/>
      <c r="K442" s="320"/>
      <c r="L442" s="320"/>
      <c r="M442" s="320"/>
      <c r="N442" s="320"/>
      <c r="O442" s="320"/>
    </row>
    <row r="443" spans="1:16">
      <c r="A443" s="320"/>
      <c r="B443" s="320"/>
      <c r="C443" s="320"/>
      <c r="D443" s="320"/>
      <c r="E443" s="320"/>
      <c r="F443" s="320"/>
      <c r="G443" s="320"/>
      <c r="H443" s="320"/>
      <c r="I443" s="320"/>
      <c r="J443" s="320"/>
      <c r="K443" s="320"/>
      <c r="L443" s="320"/>
      <c r="M443" s="320"/>
      <c r="N443" s="320"/>
      <c r="O443" s="320"/>
    </row>
    <row r="444" spans="1:16">
      <c r="A444" s="320"/>
      <c r="B444" s="320"/>
      <c r="C444" s="320"/>
      <c r="D444" s="320"/>
      <c r="E444" s="320"/>
      <c r="F444" s="320"/>
      <c r="G444" s="320"/>
      <c r="H444" s="320"/>
      <c r="I444" s="320"/>
      <c r="J444" s="320"/>
      <c r="K444" s="320"/>
      <c r="L444" s="320"/>
      <c r="M444" s="320"/>
      <c r="N444" s="320"/>
      <c r="O444" s="320"/>
    </row>
    <row r="445" spans="1:16">
      <c r="A445" s="320"/>
      <c r="B445" s="320"/>
      <c r="C445" s="320"/>
      <c r="D445" s="320"/>
      <c r="E445" s="320"/>
      <c r="F445" s="320"/>
      <c r="G445" s="320"/>
      <c r="H445" s="320"/>
      <c r="I445" s="320"/>
      <c r="J445" s="320"/>
      <c r="K445" s="320"/>
      <c r="L445" s="320"/>
      <c r="M445" s="320"/>
      <c r="N445" s="320"/>
      <c r="O445" s="320"/>
    </row>
    <row r="446" spans="1:16">
      <c r="A446" s="320"/>
      <c r="B446" s="320"/>
      <c r="C446" s="320"/>
      <c r="D446" s="320"/>
      <c r="E446" s="320"/>
      <c r="F446" s="320"/>
      <c r="G446" s="320"/>
      <c r="H446" s="320"/>
      <c r="I446" s="320"/>
      <c r="J446" s="320"/>
      <c r="K446" s="320"/>
      <c r="L446" s="320"/>
      <c r="M446" s="320"/>
      <c r="N446" s="320"/>
      <c r="O446" s="320"/>
    </row>
    <row r="447" spans="1:16">
      <c r="A447" s="320"/>
      <c r="B447" s="320"/>
      <c r="C447" s="320"/>
      <c r="D447" s="320"/>
      <c r="E447" s="320"/>
      <c r="F447" s="320"/>
      <c r="G447" s="320"/>
      <c r="H447" s="320"/>
      <c r="I447" s="320"/>
      <c r="J447" s="320"/>
      <c r="K447" s="320"/>
      <c r="L447" s="320"/>
      <c r="M447" s="320"/>
      <c r="N447" s="320"/>
      <c r="O447" s="320"/>
    </row>
    <row r="448" spans="1:16">
      <c r="A448" s="320"/>
      <c r="B448" s="324"/>
      <c r="C448" s="320"/>
      <c r="D448" s="320"/>
      <c r="E448" s="320"/>
      <c r="F448" s="320"/>
      <c r="G448" s="320"/>
      <c r="H448" s="320"/>
      <c r="I448" s="320"/>
      <c r="J448" s="320"/>
      <c r="K448" s="320"/>
      <c r="L448" s="320"/>
      <c r="M448" s="320"/>
      <c r="N448" s="320"/>
      <c r="O448" s="320"/>
    </row>
    <row r="449" spans="1:15">
      <c r="A449" s="320"/>
      <c r="B449" s="320"/>
      <c r="C449" s="320"/>
      <c r="D449" s="320"/>
      <c r="E449" s="320"/>
      <c r="F449" s="320"/>
      <c r="G449" s="320"/>
      <c r="H449" s="320"/>
      <c r="I449" s="320"/>
      <c r="J449" s="320"/>
      <c r="K449" s="320"/>
      <c r="L449" s="320"/>
      <c r="M449" s="320"/>
      <c r="N449" s="320"/>
      <c r="O449" s="320"/>
    </row>
    <row r="450" spans="1:15">
      <c r="A450" s="320"/>
      <c r="B450" s="320"/>
      <c r="C450" s="320"/>
      <c r="D450" s="320"/>
      <c r="E450" s="320"/>
      <c r="F450" s="320"/>
      <c r="G450" s="320"/>
      <c r="H450" s="320"/>
      <c r="I450" s="320"/>
      <c r="J450" s="320"/>
      <c r="K450" s="320"/>
      <c r="L450" s="320"/>
      <c r="M450" s="320"/>
      <c r="N450" s="320"/>
      <c r="O450" s="320"/>
    </row>
    <row r="451" spans="1:15">
      <c r="A451" s="320"/>
      <c r="B451" s="320"/>
      <c r="C451" s="320"/>
      <c r="D451" s="320"/>
      <c r="E451" s="320"/>
      <c r="F451" s="320"/>
      <c r="G451" s="320"/>
      <c r="H451" s="320"/>
      <c r="I451" s="320"/>
      <c r="J451" s="320"/>
      <c r="K451" s="320"/>
      <c r="L451" s="320"/>
      <c r="M451" s="320"/>
      <c r="N451" s="320"/>
      <c r="O451" s="320"/>
    </row>
    <row r="452" spans="1:15">
      <c r="A452" s="351"/>
      <c r="B452" s="351"/>
      <c r="C452" s="351"/>
      <c r="D452" s="351"/>
      <c r="E452" s="351"/>
      <c r="F452" s="351"/>
      <c r="G452" s="351"/>
      <c r="H452" s="351"/>
      <c r="I452" s="351"/>
      <c r="J452" s="351"/>
      <c r="K452" s="351"/>
      <c r="L452" s="351"/>
      <c r="M452" s="351"/>
      <c r="N452" s="351"/>
      <c r="O452" s="351"/>
    </row>
    <row r="456" spans="1:15">
      <c r="A456" s="306"/>
      <c r="B456" s="306"/>
      <c r="C456" s="306"/>
      <c r="D456" s="306"/>
      <c r="E456" s="306"/>
      <c r="F456" s="306"/>
      <c r="G456" s="306"/>
      <c r="H456" s="306"/>
      <c r="I456" s="306"/>
      <c r="J456" s="306"/>
      <c r="K456" s="306"/>
      <c r="L456" s="306"/>
      <c r="M456" s="306"/>
      <c r="N456" s="306"/>
      <c r="O456" s="306"/>
    </row>
    <row r="457" spans="1:15">
      <c r="A457" s="306"/>
      <c r="B457" s="306"/>
      <c r="C457" s="306"/>
      <c r="D457" s="306"/>
      <c r="E457" s="306"/>
      <c r="F457" s="306"/>
      <c r="G457" s="306"/>
      <c r="H457" s="306"/>
      <c r="I457" s="306"/>
      <c r="J457" s="306"/>
      <c r="K457" s="306"/>
      <c r="L457" s="306"/>
      <c r="M457" s="306"/>
      <c r="N457" s="306"/>
      <c r="O457" s="306"/>
    </row>
    <row r="458" spans="1:15">
      <c r="A458" s="306"/>
      <c r="B458" s="306"/>
      <c r="C458" s="306"/>
      <c r="D458" s="306"/>
      <c r="E458" s="306"/>
      <c r="F458" s="306"/>
      <c r="G458" s="306"/>
      <c r="H458" s="306"/>
      <c r="I458" s="306"/>
      <c r="J458" s="306"/>
      <c r="K458" s="306"/>
      <c r="L458" s="306"/>
      <c r="M458" s="306"/>
      <c r="N458" s="306"/>
      <c r="O458" s="306"/>
    </row>
    <row r="459" spans="1:15">
      <c r="A459" s="306"/>
      <c r="B459" s="306"/>
      <c r="C459" s="306"/>
      <c r="D459" s="306"/>
      <c r="E459" s="306"/>
      <c r="F459" s="306"/>
      <c r="G459" s="306"/>
      <c r="H459" s="306"/>
      <c r="I459" s="306"/>
      <c r="J459" s="306"/>
      <c r="K459" s="306"/>
      <c r="L459" s="306"/>
      <c r="M459" s="306"/>
      <c r="N459" s="306"/>
      <c r="O459" s="306"/>
    </row>
    <row r="460" spans="1:15">
      <c r="A460" s="306"/>
      <c r="B460" s="306"/>
      <c r="C460" s="306"/>
      <c r="D460" s="306"/>
      <c r="E460" s="306"/>
      <c r="F460" s="306"/>
      <c r="G460" s="306"/>
      <c r="H460" s="306"/>
      <c r="I460" s="306"/>
      <c r="J460" s="306"/>
      <c r="K460" s="306"/>
      <c r="L460" s="306"/>
      <c r="M460" s="306"/>
      <c r="N460" s="306"/>
      <c r="O460" s="306"/>
    </row>
    <row r="465" spans="1:15" ht="15.75" thickBot="1"/>
    <row r="466" spans="1:15" ht="23.25">
      <c r="A466" s="1062" t="s">
        <v>428</v>
      </c>
      <c r="B466" s="1063"/>
      <c r="C466" s="1063"/>
      <c r="D466" s="1063"/>
      <c r="E466" s="1063"/>
      <c r="F466" s="1063"/>
      <c r="G466" s="1063"/>
      <c r="H466" s="1063"/>
      <c r="I466" s="1063"/>
      <c r="J466" s="1063"/>
      <c r="K466" s="1063"/>
      <c r="L466" s="1063"/>
      <c r="M466" s="1063"/>
      <c r="N466" s="1063"/>
      <c r="O466" s="734"/>
    </row>
    <row r="467" spans="1:15" ht="24" thickBot="1">
      <c r="A467" s="1064"/>
      <c r="B467" s="1065"/>
      <c r="C467" s="1065"/>
      <c r="D467" s="1065"/>
      <c r="E467" s="1065"/>
      <c r="F467" s="1065"/>
      <c r="G467" s="1065"/>
      <c r="H467" s="1065"/>
      <c r="I467" s="1065"/>
      <c r="J467" s="1065"/>
      <c r="K467" s="1065"/>
      <c r="L467" s="1065"/>
      <c r="M467" s="1065"/>
      <c r="N467" s="1065"/>
      <c r="O467" s="735"/>
    </row>
    <row r="468" spans="1:15" ht="15.75" thickBot="1">
      <c r="A468" s="1066" t="s">
        <v>429</v>
      </c>
      <c r="B468" s="1067"/>
      <c r="C468" s="1067"/>
      <c r="D468" s="1067"/>
      <c r="E468" s="1067"/>
      <c r="F468" s="1067"/>
      <c r="G468" s="1067"/>
      <c r="H468" s="1067"/>
      <c r="I468" s="1067"/>
      <c r="J468" s="1067"/>
      <c r="K468" s="1067"/>
      <c r="L468" s="1067"/>
      <c r="M468" s="1067"/>
      <c r="N468" s="1067"/>
      <c r="O468" s="736"/>
    </row>
    <row r="469" spans="1:15" ht="26.45" customHeight="1">
      <c r="A469" s="300" t="s">
        <v>460</v>
      </c>
      <c r="B469" s="301"/>
      <c r="C469" s="301"/>
      <c r="D469" s="302"/>
      <c r="E469" s="1068" t="s">
        <v>461</v>
      </c>
      <c r="F469" s="1069"/>
      <c r="G469" s="1069"/>
      <c r="H469" s="1070" t="str">
        <f>'4-22MASTER'!C27</f>
        <v>Chandrashekar Patil</v>
      </c>
      <c r="I469" s="1070"/>
      <c r="J469" s="328"/>
      <c r="K469" s="328"/>
      <c r="L469" s="328"/>
      <c r="M469" s="328"/>
      <c r="N469" s="328"/>
      <c r="O469" s="303"/>
    </row>
    <row r="470" spans="1:15">
      <c r="A470" s="305"/>
      <c r="B470" s="306" t="s">
        <v>381</v>
      </c>
      <c r="C470" s="306"/>
      <c r="D470" s="307"/>
      <c r="E470" s="329"/>
      <c r="F470" s="330"/>
      <c r="J470" s="330"/>
      <c r="K470" s="330"/>
      <c r="L470" s="330"/>
      <c r="M470" s="330"/>
      <c r="N470" s="330"/>
      <c r="O470" s="308"/>
    </row>
    <row r="471" spans="1:15" ht="15.75" thickBot="1">
      <c r="A471" s="310"/>
      <c r="B471" s="311" t="s">
        <v>382</v>
      </c>
      <c r="C471" s="311"/>
      <c r="D471" s="312"/>
      <c r="E471" s="329"/>
      <c r="F471" s="330"/>
      <c r="G471" s="330"/>
      <c r="H471" s="330"/>
      <c r="I471" s="330"/>
      <c r="J471" s="330"/>
      <c r="K471" s="330"/>
      <c r="L471" s="330"/>
      <c r="M471" s="330"/>
      <c r="N471" s="330"/>
      <c r="O471" s="308"/>
    </row>
    <row r="472" spans="1:15">
      <c r="A472" s="331" t="s">
        <v>462</v>
      </c>
      <c r="B472" s="301"/>
      <c r="C472" s="301"/>
      <c r="D472" s="302"/>
      <c r="E472" s="313" t="s">
        <v>430</v>
      </c>
      <c r="F472" s="301"/>
      <c r="H472" s="301"/>
      <c r="I472" s="301"/>
      <c r="J472" s="301"/>
      <c r="K472" s="301"/>
      <c r="L472" s="301"/>
      <c r="M472" s="301"/>
      <c r="N472" s="301"/>
      <c r="O472" s="301"/>
    </row>
    <row r="473" spans="1:15">
      <c r="A473" s="325"/>
      <c r="B473" s="306"/>
      <c r="C473" s="306">
        <f>'4-22MASTER'!G594</f>
        <v>0</v>
      </c>
      <c r="D473" s="307"/>
      <c r="E473" s="315"/>
      <c r="F473" s="306"/>
      <c r="G473" s="632">
        <f>'4-22MASTER'!O27</f>
        <v>44634</v>
      </c>
      <c r="H473" s="306"/>
      <c r="I473" s="306"/>
      <c r="J473" s="306"/>
      <c r="K473" s="306"/>
      <c r="L473" s="306"/>
      <c r="M473" s="306"/>
      <c r="N473" s="306"/>
      <c r="O473" s="306"/>
    </row>
    <row r="474" spans="1:15">
      <c r="A474" s="325"/>
      <c r="B474" s="306"/>
      <c r="C474" s="306"/>
      <c r="D474" s="307"/>
      <c r="E474" s="316"/>
      <c r="F474" s="306"/>
      <c r="G474" s="306"/>
      <c r="H474" s="306"/>
      <c r="I474" s="306"/>
      <c r="J474" s="306"/>
      <c r="K474" s="306"/>
      <c r="L474" s="306"/>
      <c r="M474" s="306"/>
      <c r="N474" s="306"/>
      <c r="O474" s="306"/>
    </row>
    <row r="475" spans="1:15" ht="15.75" thickBot="1">
      <c r="A475" s="326"/>
      <c r="B475" s="327"/>
      <c r="C475" s="327"/>
      <c r="D475" s="332"/>
      <c r="E475" s="310"/>
      <c r="F475" s="311"/>
      <c r="G475" s="311"/>
      <c r="H475" s="311"/>
      <c r="I475" s="311"/>
      <c r="J475" s="311"/>
      <c r="K475" s="311"/>
      <c r="L475" s="311"/>
      <c r="M475" s="311"/>
      <c r="N475" s="311"/>
      <c r="O475" s="311"/>
    </row>
    <row r="476" spans="1:15">
      <c r="A476" s="1071" t="s">
        <v>5</v>
      </c>
      <c r="B476" s="1073" t="s">
        <v>431</v>
      </c>
      <c r="C476" s="1074"/>
      <c r="D476" s="1073" t="s">
        <v>432</v>
      </c>
      <c r="E476" s="1076"/>
      <c r="F476" s="1079" t="s">
        <v>433</v>
      </c>
      <c r="G476" s="1075" t="s">
        <v>434</v>
      </c>
      <c r="H476" s="1080"/>
      <c r="I476" s="1081" t="s">
        <v>435</v>
      </c>
      <c r="J476" s="1080"/>
      <c r="K476" s="1082"/>
      <c r="L476" s="1081" t="s">
        <v>436</v>
      </c>
      <c r="M476" s="1080"/>
      <c r="N476" s="1080"/>
      <c r="O476" s="1086"/>
    </row>
    <row r="477" spans="1:15" ht="15.75" thickBot="1">
      <c r="A477" s="1072"/>
      <c r="B477" s="1075"/>
      <c r="C477" s="1076"/>
      <c r="D477" s="1075"/>
      <c r="E477" s="1076"/>
      <c r="F477" s="1071"/>
      <c r="G477" s="1075"/>
      <c r="H477" s="1080"/>
      <c r="I477" s="1083"/>
      <c r="J477" s="1084"/>
      <c r="K477" s="1085"/>
      <c r="L477" s="1083"/>
      <c r="M477" s="1084"/>
      <c r="N477" s="1084"/>
      <c r="O477" s="1087"/>
    </row>
    <row r="478" spans="1:15">
      <c r="A478" s="317">
        <v>1</v>
      </c>
      <c r="B478" s="1077"/>
      <c r="C478" s="1078"/>
      <c r="D478" s="1077"/>
      <c r="E478" s="1078"/>
      <c r="F478" s="317">
        <v>6</v>
      </c>
      <c r="G478" s="1077"/>
      <c r="H478" s="1078"/>
      <c r="I478" s="318">
        <v>9</v>
      </c>
      <c r="J478" s="318"/>
      <c r="K478" s="318"/>
      <c r="L478" s="318">
        <v>9</v>
      </c>
      <c r="M478" s="318"/>
      <c r="N478" s="318"/>
      <c r="O478" s="319"/>
    </row>
    <row r="479" spans="1:15" ht="89.25">
      <c r="A479" s="320"/>
      <c r="B479" s="320" t="s">
        <v>437</v>
      </c>
      <c r="C479" s="320" t="s">
        <v>438</v>
      </c>
      <c r="D479" s="320" t="s">
        <v>439</v>
      </c>
      <c r="E479" s="320" t="s">
        <v>136</v>
      </c>
      <c r="F479" s="320"/>
      <c r="G479" s="320" t="s">
        <v>440</v>
      </c>
      <c r="H479" s="320" t="s">
        <v>441</v>
      </c>
      <c r="I479" s="320" t="s">
        <v>442</v>
      </c>
      <c r="J479" s="320" t="s">
        <v>443</v>
      </c>
      <c r="K479" s="320" t="s">
        <v>444</v>
      </c>
      <c r="L479" s="320" t="s">
        <v>445</v>
      </c>
      <c r="M479" s="320" t="s">
        <v>446</v>
      </c>
      <c r="N479" s="321" t="s">
        <v>447</v>
      </c>
      <c r="O479" s="321"/>
    </row>
    <row r="480" spans="1:15">
      <c r="A480" s="320"/>
      <c r="B480" s="322"/>
      <c r="C480" s="320"/>
      <c r="D480" s="320"/>
      <c r="E480" s="320"/>
      <c r="F480" s="320"/>
      <c r="G480" s="320"/>
      <c r="H480" s="320"/>
      <c r="I480" s="320"/>
      <c r="J480" s="320"/>
      <c r="K480" s="351"/>
      <c r="L480" s="351"/>
      <c r="M480" s="351"/>
      <c r="N480" s="320"/>
      <c r="O480" s="320"/>
    </row>
    <row r="481" spans="1:16">
      <c r="A481" s="322" t="s">
        <v>736</v>
      </c>
      <c r="B481" s="348">
        <v>0</v>
      </c>
      <c r="C481">
        <v>1</v>
      </c>
      <c r="D481" s="869">
        <v>44637</v>
      </c>
      <c r="E481" s="869">
        <v>44637</v>
      </c>
      <c r="F481" s="839">
        <f>1.5-C481</f>
        <v>0.5</v>
      </c>
      <c r="G481" s="320"/>
      <c r="H481" s="320"/>
      <c r="I481" s="320"/>
      <c r="J481" s="320" t="s">
        <v>508</v>
      </c>
      <c r="K481" s="351" t="s">
        <v>558</v>
      </c>
      <c r="L481" s="351" t="s">
        <v>508</v>
      </c>
      <c r="M481" s="351" t="s">
        <v>508</v>
      </c>
      <c r="N481" s="320"/>
      <c r="O481" s="320"/>
      <c r="P481" s="320"/>
    </row>
    <row r="482" spans="1:16">
      <c r="A482" s="508" t="s">
        <v>758</v>
      </c>
      <c r="B482" s="348">
        <v>1.5</v>
      </c>
      <c r="C482" s="348">
        <v>1</v>
      </c>
      <c r="D482" s="869">
        <v>44673</v>
      </c>
      <c r="E482" s="869">
        <v>44673</v>
      </c>
      <c r="F482" s="839">
        <f>F481+B482-C482</f>
        <v>1</v>
      </c>
      <c r="G482" s="320"/>
      <c r="H482" s="320"/>
      <c r="I482" s="320"/>
      <c r="J482" s="320" t="s">
        <v>508</v>
      </c>
      <c r="K482" s="320" t="s">
        <v>508</v>
      </c>
      <c r="L482" s="351" t="s">
        <v>508</v>
      </c>
      <c r="M482" s="351" t="s">
        <v>508</v>
      </c>
      <c r="N482" s="320"/>
      <c r="O482" s="320"/>
      <c r="P482" s="320"/>
    </row>
    <row r="483" spans="1:16">
      <c r="A483" s="320"/>
      <c r="B483" s="320"/>
      <c r="C483" s="320"/>
      <c r="D483" s="320"/>
      <c r="E483" s="320"/>
      <c r="F483" s="320"/>
      <c r="G483" s="320"/>
      <c r="H483" s="320"/>
      <c r="I483" s="320"/>
      <c r="J483" s="320"/>
      <c r="K483" s="320"/>
      <c r="L483" s="320"/>
      <c r="M483" s="320"/>
      <c r="N483" s="320"/>
      <c r="O483" s="320"/>
    </row>
    <row r="484" spans="1:16">
      <c r="A484" s="320"/>
      <c r="B484" s="320"/>
      <c r="C484" s="320"/>
      <c r="D484" s="320"/>
      <c r="E484" s="320"/>
      <c r="F484" s="320"/>
      <c r="G484" s="320"/>
      <c r="H484" s="320"/>
      <c r="I484" s="320"/>
      <c r="J484" s="320"/>
      <c r="K484" s="320"/>
      <c r="L484" s="320"/>
      <c r="M484" s="320"/>
      <c r="N484" s="320"/>
      <c r="O484" s="320"/>
    </row>
    <row r="485" spans="1:16">
      <c r="A485" s="320"/>
      <c r="B485" s="320"/>
      <c r="C485" s="320"/>
      <c r="D485" s="320"/>
      <c r="E485" s="320"/>
      <c r="F485" s="320"/>
      <c r="G485" s="320"/>
      <c r="H485" s="320"/>
      <c r="I485" s="320"/>
      <c r="J485" s="320"/>
      <c r="K485" s="320"/>
      <c r="L485" s="320"/>
      <c r="M485" s="320"/>
      <c r="N485" s="320"/>
      <c r="O485" s="320"/>
    </row>
    <row r="486" spans="1:16">
      <c r="A486" s="320"/>
      <c r="B486" s="320"/>
      <c r="C486" s="320"/>
      <c r="D486" s="320"/>
      <c r="E486" s="320"/>
      <c r="F486" s="320"/>
      <c r="G486" s="320"/>
      <c r="H486" s="320"/>
      <c r="I486" s="320"/>
      <c r="J486" s="320"/>
      <c r="K486" s="320"/>
      <c r="L486" s="320"/>
      <c r="M486" s="320"/>
      <c r="N486" s="320"/>
      <c r="O486" s="320"/>
    </row>
    <row r="487" spans="1:16">
      <c r="A487" s="320"/>
      <c r="B487" s="323"/>
      <c r="C487" s="320"/>
      <c r="D487" s="320"/>
      <c r="E487" s="320"/>
      <c r="F487" s="320"/>
      <c r="G487" s="320"/>
      <c r="H487" s="320"/>
      <c r="I487" s="320"/>
      <c r="J487" s="320"/>
      <c r="K487" s="320"/>
      <c r="L487" s="320"/>
      <c r="M487" s="320"/>
      <c r="N487" s="320"/>
      <c r="O487" s="320"/>
    </row>
    <row r="488" spans="1:16">
      <c r="A488" s="320"/>
      <c r="B488" s="320"/>
      <c r="C488" s="320"/>
      <c r="D488" s="320"/>
      <c r="E488" s="320"/>
      <c r="F488" s="320"/>
      <c r="G488" s="320"/>
      <c r="H488" s="320"/>
      <c r="I488" s="320"/>
      <c r="J488" s="320"/>
      <c r="K488" s="320"/>
      <c r="L488" s="320"/>
      <c r="M488" s="320"/>
      <c r="N488" s="320"/>
      <c r="O488" s="320"/>
    </row>
    <row r="489" spans="1:16">
      <c r="A489" s="320"/>
      <c r="B489" s="320"/>
      <c r="C489" s="320"/>
      <c r="D489" s="320"/>
      <c r="E489" s="320"/>
      <c r="F489" s="320"/>
      <c r="G489" s="320"/>
      <c r="H489" s="320"/>
      <c r="I489" s="320"/>
      <c r="J489" s="320"/>
      <c r="K489" s="320"/>
      <c r="L489" s="320"/>
      <c r="M489" s="320"/>
      <c r="N489" s="320"/>
      <c r="O489" s="320"/>
    </row>
    <row r="490" spans="1:16">
      <c r="A490" s="320"/>
      <c r="B490" s="320"/>
      <c r="C490" s="320"/>
      <c r="D490" s="320"/>
      <c r="E490" s="320"/>
      <c r="F490" s="320"/>
      <c r="G490" s="320"/>
      <c r="H490" s="320"/>
      <c r="I490" s="320"/>
      <c r="J490" s="320"/>
      <c r="K490" s="320"/>
      <c r="L490" s="320"/>
      <c r="M490" s="320"/>
      <c r="N490" s="320"/>
      <c r="O490" s="320"/>
    </row>
    <row r="491" spans="1:16">
      <c r="A491" s="320"/>
      <c r="B491" s="320"/>
      <c r="C491" s="320"/>
      <c r="D491" s="320"/>
      <c r="E491" s="320"/>
      <c r="F491" s="320"/>
      <c r="G491" s="320"/>
      <c r="H491" s="320"/>
      <c r="I491" s="320"/>
      <c r="J491" s="320"/>
      <c r="K491" s="320"/>
      <c r="L491" s="320"/>
      <c r="M491" s="320"/>
      <c r="N491" s="320"/>
      <c r="O491" s="320"/>
    </row>
    <row r="492" spans="1:16">
      <c r="A492" s="320"/>
      <c r="B492" s="320"/>
      <c r="C492" s="320"/>
      <c r="D492" s="320"/>
      <c r="E492" s="320"/>
      <c r="F492" s="320"/>
      <c r="G492" s="320"/>
      <c r="H492" s="320"/>
      <c r="I492" s="320"/>
      <c r="J492" s="320"/>
      <c r="K492" s="320"/>
      <c r="L492" s="320"/>
      <c r="M492" s="320"/>
      <c r="N492" s="320"/>
      <c r="O492" s="320"/>
    </row>
    <row r="493" spans="1:16">
      <c r="A493" s="320"/>
      <c r="B493" s="320"/>
      <c r="C493" s="320"/>
      <c r="D493" s="320"/>
      <c r="E493" s="320"/>
      <c r="F493" s="320"/>
      <c r="G493" s="320"/>
      <c r="H493" s="320"/>
      <c r="I493" s="320"/>
      <c r="J493" s="320"/>
      <c r="K493" s="320"/>
      <c r="L493" s="320"/>
      <c r="M493" s="320"/>
      <c r="N493" s="320"/>
      <c r="O493" s="320"/>
    </row>
    <row r="494" spans="1:16">
      <c r="A494" s="320"/>
      <c r="B494" s="320"/>
      <c r="C494" s="320"/>
      <c r="D494" s="320"/>
      <c r="E494" s="320"/>
      <c r="F494" s="320"/>
      <c r="G494" s="320"/>
      <c r="H494" s="320"/>
      <c r="I494" s="320"/>
      <c r="J494" s="320"/>
      <c r="K494" s="320"/>
      <c r="L494" s="320"/>
      <c r="M494" s="320"/>
      <c r="N494" s="320"/>
      <c r="O494" s="320"/>
    </row>
    <row r="495" spans="1:16">
      <c r="A495" s="320"/>
      <c r="B495" s="324"/>
      <c r="C495" s="320"/>
      <c r="D495" s="320"/>
      <c r="E495" s="320"/>
      <c r="F495" s="320"/>
      <c r="G495" s="320"/>
      <c r="H495" s="320"/>
      <c r="I495" s="320"/>
      <c r="J495" s="320"/>
      <c r="K495" s="320"/>
      <c r="L495" s="320"/>
      <c r="M495" s="320"/>
      <c r="N495" s="320"/>
      <c r="O495" s="320"/>
    </row>
    <row r="496" spans="1:16">
      <c r="A496" s="320"/>
      <c r="B496" s="320"/>
      <c r="C496" s="320"/>
      <c r="D496" s="320"/>
      <c r="E496" s="320"/>
      <c r="F496" s="320"/>
      <c r="G496" s="320"/>
      <c r="H496" s="320"/>
      <c r="I496" s="320"/>
      <c r="J496" s="320"/>
      <c r="K496" s="320"/>
      <c r="L496" s="320"/>
      <c r="M496" s="320"/>
      <c r="N496" s="320"/>
      <c r="O496" s="320"/>
    </row>
    <row r="497" spans="1:15">
      <c r="A497" s="320"/>
      <c r="B497" s="320"/>
      <c r="C497" s="320"/>
      <c r="D497" s="320"/>
      <c r="E497" s="320"/>
      <c r="F497" s="320"/>
      <c r="G497" s="320"/>
      <c r="H497" s="320"/>
      <c r="I497" s="320"/>
      <c r="J497" s="320"/>
      <c r="K497" s="320"/>
      <c r="L497" s="320"/>
      <c r="M497" s="320"/>
      <c r="N497" s="320"/>
      <c r="O497" s="320"/>
    </row>
    <row r="498" spans="1:15">
      <c r="A498" s="320"/>
      <c r="B498" s="320"/>
      <c r="C498" s="320"/>
      <c r="D498" s="320"/>
      <c r="E498" s="320"/>
      <c r="F498" s="320"/>
      <c r="G498" s="320"/>
      <c r="H498" s="320"/>
      <c r="I498" s="320"/>
      <c r="J498" s="320"/>
      <c r="K498" s="320"/>
      <c r="L498" s="320"/>
      <c r="M498" s="320"/>
      <c r="N498" s="320"/>
      <c r="O498" s="320"/>
    </row>
    <row r="499" spans="1:15">
      <c r="A499" s="351"/>
      <c r="B499" s="351"/>
      <c r="C499" s="351"/>
      <c r="D499" s="351"/>
      <c r="E499" s="351"/>
      <c r="F499" s="351"/>
      <c r="G499" s="351"/>
      <c r="H499" s="351"/>
      <c r="I499" s="351"/>
      <c r="J499" s="351"/>
      <c r="K499" s="351"/>
      <c r="L499" s="351"/>
      <c r="M499" s="351"/>
      <c r="N499" s="351"/>
      <c r="O499" s="351"/>
    </row>
    <row r="502" spans="1:15">
      <c r="A502" s="306"/>
      <c r="B502" s="306"/>
      <c r="C502" s="306"/>
      <c r="D502" s="306"/>
      <c r="E502" s="306"/>
      <c r="F502" s="306"/>
      <c r="G502" s="306"/>
      <c r="H502" s="306"/>
      <c r="I502" s="306"/>
      <c r="J502" s="306"/>
      <c r="K502" s="306"/>
      <c r="L502" s="306"/>
      <c r="M502" s="306"/>
      <c r="N502" s="306"/>
    </row>
    <row r="503" spans="1:15">
      <c r="A503" s="306"/>
      <c r="B503" s="306"/>
      <c r="C503" s="306"/>
      <c r="D503" s="306"/>
      <c r="E503" s="306"/>
      <c r="F503" s="306"/>
      <c r="G503" s="306"/>
      <c r="H503" s="306"/>
      <c r="I503" s="306"/>
      <c r="J503" s="306"/>
      <c r="K503" s="306"/>
      <c r="L503" s="306"/>
      <c r="M503" s="306"/>
      <c r="N503" s="306"/>
    </row>
    <row r="504" spans="1:15">
      <c r="A504" s="306"/>
      <c r="B504" s="306"/>
      <c r="C504" s="306"/>
      <c r="D504" s="306"/>
      <c r="E504" s="306"/>
      <c r="F504" s="306"/>
      <c r="G504" s="306"/>
      <c r="H504" s="306"/>
      <c r="I504" s="306"/>
      <c r="J504" s="306"/>
      <c r="K504" s="306"/>
      <c r="L504" s="306"/>
      <c r="M504" s="306"/>
      <c r="N504" s="306"/>
    </row>
    <row r="505" spans="1:15">
      <c r="A505" s="306"/>
      <c r="B505" s="306"/>
      <c r="C505" s="306"/>
      <c r="D505" s="306"/>
      <c r="E505" s="306"/>
      <c r="F505" s="306"/>
      <c r="G505" s="306"/>
      <c r="H505" s="306"/>
      <c r="I505" s="306"/>
      <c r="J505" s="306"/>
      <c r="K505" s="306"/>
      <c r="L505" s="306"/>
      <c r="M505" s="306"/>
      <c r="N505" s="306"/>
    </row>
    <row r="510" spans="1:15" ht="15.75" thickBot="1"/>
    <row r="511" spans="1:15">
      <c r="A511" s="1062" t="s">
        <v>428</v>
      </c>
      <c r="B511" s="1063"/>
      <c r="C511" s="1063"/>
      <c r="D511" s="1063"/>
      <c r="E511" s="1063"/>
      <c r="F511" s="1063"/>
      <c r="G511" s="1063"/>
      <c r="H511" s="1063"/>
      <c r="I511" s="1063"/>
      <c r="J511" s="1063"/>
      <c r="K511" s="1063"/>
      <c r="L511" s="1063"/>
      <c r="M511" s="1063"/>
      <c r="N511" s="1063"/>
    </row>
    <row r="512" spans="1:15" ht="15.75" thickBot="1">
      <c r="A512" s="1064"/>
      <c r="B512" s="1065"/>
      <c r="C512" s="1065"/>
      <c r="D512" s="1065"/>
      <c r="E512" s="1065"/>
      <c r="F512" s="1065"/>
      <c r="G512" s="1065"/>
      <c r="H512" s="1065"/>
      <c r="I512" s="1065"/>
      <c r="J512" s="1065"/>
      <c r="K512" s="1065"/>
      <c r="L512" s="1065"/>
      <c r="M512" s="1065"/>
      <c r="N512" s="1065"/>
    </row>
    <row r="513" spans="1:16" ht="15.75" thickBot="1">
      <c r="A513" s="1066" t="s">
        <v>429</v>
      </c>
      <c r="B513" s="1067"/>
      <c r="C513" s="1067"/>
      <c r="D513" s="1067"/>
      <c r="E513" s="1067"/>
      <c r="F513" s="1067"/>
      <c r="G513" s="1067"/>
      <c r="H513" s="1067"/>
      <c r="I513" s="1067"/>
      <c r="J513" s="1067"/>
      <c r="K513" s="1067"/>
      <c r="L513" s="1067"/>
      <c r="M513" s="1067"/>
      <c r="N513" s="1067"/>
    </row>
    <row r="514" spans="1:16">
      <c r="A514" s="300" t="s">
        <v>460</v>
      </c>
      <c r="B514" s="301"/>
      <c r="C514" s="301"/>
      <c r="D514" s="302"/>
      <c r="E514" s="1068" t="s">
        <v>461</v>
      </c>
      <c r="F514" s="1069"/>
      <c r="G514" s="1069"/>
      <c r="H514" s="1070" t="str">
        <f>'4-22MASTER'!C28</f>
        <v xml:space="preserve">ShaikFarooq Basha </v>
      </c>
      <c r="I514" s="1070"/>
      <c r="J514" s="328"/>
      <c r="K514" s="328"/>
      <c r="L514" s="328"/>
      <c r="M514" s="328"/>
      <c r="N514" s="328"/>
    </row>
    <row r="515" spans="1:16">
      <c r="A515" s="305"/>
      <c r="B515" s="306" t="s">
        <v>381</v>
      </c>
      <c r="C515" s="306"/>
      <c r="D515" s="307"/>
      <c r="E515" s="329"/>
      <c r="F515" s="330"/>
      <c r="J515" s="330"/>
      <c r="K515" s="330"/>
      <c r="L515" s="330"/>
      <c r="M515" s="330"/>
      <c r="N515" s="330"/>
    </row>
    <row r="516" spans="1:16" ht="15.75" thickBot="1">
      <c r="A516" s="310"/>
      <c r="B516" s="311" t="s">
        <v>382</v>
      </c>
      <c r="C516" s="311"/>
      <c r="D516" s="312"/>
      <c r="E516" s="329"/>
      <c r="F516" s="330"/>
      <c r="G516" s="330"/>
      <c r="H516" s="330"/>
      <c r="I516" s="330"/>
      <c r="J516" s="330"/>
      <c r="K516" s="330"/>
      <c r="L516" s="330"/>
      <c r="M516" s="330"/>
      <c r="N516" s="330"/>
    </row>
    <row r="517" spans="1:16">
      <c r="A517" s="331" t="s">
        <v>462</v>
      </c>
      <c r="B517" s="301"/>
      <c r="C517" s="301"/>
      <c r="D517" s="302"/>
      <c r="E517" s="313" t="s">
        <v>430</v>
      </c>
      <c r="F517" s="301"/>
      <c r="H517" s="301"/>
      <c r="I517" s="301"/>
      <c r="J517" s="301"/>
      <c r="K517" s="301"/>
      <c r="L517" s="301"/>
      <c r="M517" s="301"/>
      <c r="N517" s="301"/>
    </row>
    <row r="518" spans="1:16">
      <c r="A518" s="325"/>
      <c r="C518" s="306">
        <f>'4-22MASTER'!G639</f>
        <v>0</v>
      </c>
      <c r="D518" s="307"/>
      <c r="E518" s="315"/>
      <c r="F518" s="306"/>
      <c r="G518" s="632">
        <f>'4-22MASTER'!O28</f>
        <v>44636</v>
      </c>
      <c r="H518" s="306"/>
      <c r="I518" s="306"/>
      <c r="J518" s="306"/>
      <c r="K518" s="306"/>
      <c r="L518" s="306"/>
      <c r="M518" s="306"/>
      <c r="N518" s="306"/>
    </row>
    <row r="519" spans="1:16">
      <c r="A519" s="325"/>
      <c r="C519" s="306"/>
      <c r="D519" s="307"/>
      <c r="E519" s="316"/>
      <c r="F519" s="306"/>
      <c r="G519" s="306"/>
      <c r="H519" s="306"/>
      <c r="I519" s="306"/>
      <c r="J519" s="306"/>
      <c r="K519" s="306"/>
      <c r="L519" s="306"/>
      <c r="M519" s="306"/>
      <c r="N519" s="306"/>
    </row>
    <row r="520" spans="1:16" ht="15.75" thickBot="1">
      <c r="A520" s="326"/>
      <c r="B520" s="327"/>
      <c r="C520" s="327"/>
      <c r="D520" s="332"/>
      <c r="E520" s="310"/>
      <c r="F520" s="311"/>
      <c r="G520" s="311"/>
      <c r="H520" s="311"/>
      <c r="I520" s="311"/>
      <c r="J520" s="311"/>
      <c r="K520" s="311"/>
      <c r="L520" s="311"/>
      <c r="M520" s="311"/>
      <c r="N520" s="311"/>
    </row>
    <row r="521" spans="1:16">
      <c r="A521" s="1071" t="s">
        <v>5</v>
      </c>
      <c r="B521" s="1073" t="s">
        <v>431</v>
      </c>
      <c r="C521" s="1074"/>
      <c r="D521" s="1073" t="s">
        <v>432</v>
      </c>
      <c r="E521" s="1076"/>
      <c r="F521" s="1079" t="s">
        <v>433</v>
      </c>
      <c r="G521" s="1075" t="s">
        <v>434</v>
      </c>
      <c r="H521" s="1080"/>
      <c r="I521" s="1081" t="s">
        <v>435</v>
      </c>
      <c r="J521" s="1080"/>
      <c r="K521" s="1082"/>
      <c r="L521" s="1081" t="s">
        <v>436</v>
      </c>
      <c r="M521" s="1080"/>
      <c r="N521" s="1080"/>
    </row>
    <row r="522" spans="1:16" ht="15.75" thickBot="1">
      <c r="A522" s="1072"/>
      <c r="B522" s="1075"/>
      <c r="C522" s="1076"/>
      <c r="D522" s="1075"/>
      <c r="E522" s="1076"/>
      <c r="F522" s="1071"/>
      <c r="G522" s="1075"/>
      <c r="H522" s="1080"/>
      <c r="I522" s="1083"/>
      <c r="J522" s="1084"/>
      <c r="K522" s="1085"/>
      <c r="L522" s="1083"/>
      <c r="M522" s="1084"/>
      <c r="N522" s="1084"/>
    </row>
    <row r="523" spans="1:16">
      <c r="A523" s="317">
        <v>1</v>
      </c>
      <c r="B523" s="1077"/>
      <c r="C523" s="1078"/>
      <c r="D523" s="1077"/>
      <c r="E523" s="1078"/>
      <c r="F523" s="317">
        <v>6</v>
      </c>
      <c r="G523" s="1077"/>
      <c r="H523" s="1078"/>
      <c r="I523" s="318">
        <v>9</v>
      </c>
      <c r="J523" s="318"/>
      <c r="K523" s="318"/>
      <c r="L523" s="318">
        <v>9</v>
      </c>
      <c r="M523" s="318"/>
      <c r="N523" s="318"/>
    </row>
    <row r="524" spans="1:16" ht="89.25">
      <c r="A524" s="320"/>
      <c r="B524" s="320" t="s">
        <v>437</v>
      </c>
      <c r="C524" s="320" t="s">
        <v>438</v>
      </c>
      <c r="D524" s="320" t="s">
        <v>439</v>
      </c>
      <c r="E524" s="320" t="s">
        <v>136</v>
      </c>
      <c r="F524" s="320"/>
      <c r="G524" s="320" t="s">
        <v>440</v>
      </c>
      <c r="H524" s="320" t="s">
        <v>441</v>
      </c>
      <c r="I524" s="320" t="s">
        <v>442</v>
      </c>
      <c r="J524" s="320" t="s">
        <v>443</v>
      </c>
      <c r="K524" s="320" t="s">
        <v>444</v>
      </c>
      <c r="L524" s="320" t="s">
        <v>445</v>
      </c>
      <c r="M524" s="320" t="s">
        <v>446</v>
      </c>
      <c r="N524" s="321" t="s">
        <v>447</v>
      </c>
    </row>
    <row r="525" spans="1:16">
      <c r="A525" s="320"/>
      <c r="B525" s="322"/>
      <c r="C525" s="320"/>
      <c r="D525" s="320"/>
      <c r="E525" s="320"/>
      <c r="F525" s="320"/>
      <c r="G525" s="320"/>
      <c r="H525" s="320"/>
      <c r="I525" s="320"/>
      <c r="J525" s="320"/>
      <c r="K525" s="351"/>
      <c r="L525" s="351"/>
      <c r="M525" s="351"/>
      <c r="N525" s="320"/>
    </row>
    <row r="526" spans="1:16">
      <c r="A526" s="322" t="s">
        <v>736</v>
      </c>
      <c r="B526" s="348">
        <v>0</v>
      </c>
      <c r="C526" s="347">
        <v>0</v>
      </c>
      <c r="D526" s="347">
        <v>0</v>
      </c>
      <c r="E526" s="347">
        <v>0</v>
      </c>
      <c r="F526" s="839">
        <f>F480+B526-C526</f>
        <v>0</v>
      </c>
      <c r="G526" s="320"/>
      <c r="H526" s="320"/>
      <c r="I526" s="320" t="s">
        <v>558</v>
      </c>
      <c r="J526" s="320" t="s">
        <v>508</v>
      </c>
      <c r="K526" s="351" t="s">
        <v>508</v>
      </c>
      <c r="L526" s="351" t="s">
        <v>508</v>
      </c>
      <c r="M526" s="351" t="s">
        <v>508</v>
      </c>
      <c r="N526" s="320"/>
    </row>
    <row r="527" spans="1:16">
      <c r="A527" s="508" t="s">
        <v>758</v>
      </c>
      <c r="B527" s="348">
        <v>1.5</v>
      </c>
      <c r="C527" s="348">
        <v>0</v>
      </c>
      <c r="D527" s="348">
        <v>0</v>
      </c>
      <c r="E527" s="348">
        <v>0</v>
      </c>
      <c r="F527" s="839">
        <f>F526+B527-C527</f>
        <v>1.5</v>
      </c>
      <c r="G527" s="320"/>
      <c r="H527" s="320"/>
      <c r="I527" s="320"/>
      <c r="J527" s="320" t="s">
        <v>508</v>
      </c>
      <c r="K527" s="320" t="s">
        <v>508</v>
      </c>
      <c r="L527" s="351" t="s">
        <v>508</v>
      </c>
      <c r="M527" s="351" t="s">
        <v>508</v>
      </c>
      <c r="N527" s="320"/>
      <c r="O527" s="320"/>
      <c r="P527" s="320"/>
    </row>
    <row r="528" spans="1:16">
      <c r="A528" s="320"/>
      <c r="B528" s="320"/>
      <c r="C528" s="320"/>
      <c r="D528" s="320"/>
      <c r="E528" s="320"/>
      <c r="F528" s="320"/>
      <c r="G528" s="320"/>
      <c r="H528" s="320"/>
      <c r="I528" s="320"/>
      <c r="J528" s="320"/>
      <c r="K528" s="320"/>
      <c r="L528" s="320"/>
      <c r="M528" s="320"/>
      <c r="N528" s="320"/>
    </row>
    <row r="529" spans="1:14">
      <c r="A529" s="320"/>
      <c r="B529" s="320"/>
      <c r="C529" s="320"/>
      <c r="D529" s="320"/>
      <c r="E529" s="320"/>
      <c r="F529" s="320"/>
      <c r="G529" s="320"/>
      <c r="H529" s="320"/>
      <c r="I529" s="320"/>
      <c r="J529" s="320"/>
      <c r="K529" s="320"/>
      <c r="L529" s="320"/>
      <c r="M529" s="320"/>
      <c r="N529" s="320"/>
    </row>
    <row r="530" spans="1:14">
      <c r="A530" s="320"/>
      <c r="B530" s="320"/>
      <c r="C530" s="320"/>
      <c r="D530" s="320"/>
      <c r="E530" s="320"/>
      <c r="F530" s="320"/>
      <c r="G530" s="320"/>
      <c r="H530" s="320"/>
      <c r="I530" s="320"/>
      <c r="J530" s="320"/>
      <c r="K530" s="320"/>
      <c r="L530" s="320"/>
      <c r="M530" s="320"/>
      <c r="N530" s="320"/>
    </row>
    <row r="531" spans="1:14">
      <c r="A531" s="320"/>
      <c r="B531" s="320"/>
      <c r="C531" s="320"/>
      <c r="D531" s="320"/>
      <c r="E531" s="320"/>
      <c r="F531" s="320"/>
      <c r="G531" s="320"/>
      <c r="H531" s="320"/>
      <c r="I531" s="320"/>
      <c r="J531" s="320"/>
      <c r="K531" s="320"/>
      <c r="L531" s="320"/>
      <c r="M531" s="320"/>
      <c r="N531" s="320"/>
    </row>
    <row r="532" spans="1:14">
      <c r="A532" s="320"/>
      <c r="B532" s="323"/>
      <c r="C532" s="320"/>
      <c r="D532" s="320"/>
      <c r="E532" s="320"/>
      <c r="F532" s="320"/>
      <c r="G532" s="320"/>
      <c r="H532" s="320"/>
      <c r="I532" s="320"/>
      <c r="J532" s="320"/>
      <c r="K532" s="320"/>
      <c r="L532" s="320"/>
      <c r="M532" s="320"/>
      <c r="N532" s="320"/>
    </row>
    <row r="533" spans="1:14">
      <c r="A533" s="320"/>
      <c r="B533" s="320"/>
      <c r="C533" s="320"/>
      <c r="D533" s="320"/>
      <c r="E533" s="320"/>
      <c r="F533" s="320"/>
      <c r="G533" s="320"/>
      <c r="H533" s="320"/>
      <c r="I533" s="320"/>
      <c r="J533" s="320"/>
      <c r="K533" s="320"/>
      <c r="L533" s="320"/>
      <c r="M533" s="320"/>
      <c r="N533" s="320"/>
    </row>
    <row r="534" spans="1:14">
      <c r="A534" s="320"/>
      <c r="B534" s="320"/>
      <c r="C534" s="320"/>
      <c r="D534" s="320"/>
      <c r="E534" s="320"/>
      <c r="F534" s="320"/>
      <c r="G534" s="320"/>
      <c r="H534" s="320"/>
      <c r="I534" s="320"/>
      <c r="J534" s="320"/>
      <c r="K534" s="320"/>
      <c r="L534" s="320"/>
      <c r="M534" s="320"/>
      <c r="N534" s="320"/>
    </row>
    <row r="535" spans="1:14">
      <c r="A535" s="320"/>
      <c r="B535" s="320"/>
      <c r="C535" s="320"/>
      <c r="D535" s="320"/>
      <c r="E535" s="320"/>
      <c r="F535" s="320"/>
      <c r="G535" s="320"/>
      <c r="H535" s="320"/>
      <c r="I535" s="320"/>
      <c r="J535" s="320"/>
      <c r="K535" s="320"/>
      <c r="L535" s="320"/>
      <c r="M535" s="320"/>
      <c r="N535" s="320"/>
    </row>
    <row r="536" spans="1:14">
      <c r="A536" s="320"/>
      <c r="B536" s="320"/>
      <c r="C536" s="320"/>
      <c r="D536" s="320"/>
      <c r="E536" s="320"/>
      <c r="F536" s="320"/>
      <c r="G536" s="320"/>
      <c r="H536" s="320"/>
      <c r="I536" s="320"/>
      <c r="J536" s="320"/>
      <c r="K536" s="320"/>
      <c r="L536" s="320"/>
      <c r="M536" s="320"/>
      <c r="N536" s="320"/>
    </row>
    <row r="537" spans="1:14">
      <c r="A537" s="320"/>
      <c r="B537" s="320"/>
      <c r="C537" s="320"/>
      <c r="D537" s="320"/>
      <c r="E537" s="320"/>
      <c r="F537" s="320"/>
      <c r="G537" s="320"/>
      <c r="H537" s="320"/>
      <c r="I537" s="320"/>
      <c r="J537" s="320"/>
      <c r="K537" s="320"/>
      <c r="L537" s="320"/>
      <c r="M537" s="320"/>
      <c r="N537" s="320"/>
    </row>
    <row r="538" spans="1:14">
      <c r="A538" s="320"/>
      <c r="B538" s="320"/>
      <c r="C538" s="320"/>
      <c r="D538" s="320"/>
      <c r="E538" s="320"/>
      <c r="F538" s="320"/>
      <c r="G538" s="320"/>
      <c r="H538" s="320"/>
      <c r="I538" s="320"/>
      <c r="J538" s="320"/>
      <c r="K538" s="320"/>
      <c r="L538" s="320"/>
      <c r="M538" s="320"/>
      <c r="N538" s="320"/>
    </row>
    <row r="539" spans="1:14">
      <c r="A539" s="320"/>
      <c r="B539" s="320"/>
      <c r="C539" s="320"/>
      <c r="D539" s="320"/>
      <c r="E539" s="320"/>
      <c r="F539" s="320"/>
      <c r="G539" s="320"/>
      <c r="H539" s="320"/>
      <c r="I539" s="320"/>
      <c r="J539" s="320"/>
      <c r="K539" s="320"/>
      <c r="L539" s="320"/>
      <c r="M539" s="320"/>
      <c r="N539" s="320"/>
    </row>
    <row r="540" spans="1:14">
      <c r="A540" s="320"/>
      <c r="B540" s="324"/>
      <c r="C540" s="320"/>
      <c r="D540" s="320"/>
      <c r="E540" s="320"/>
      <c r="F540" s="320"/>
      <c r="G540" s="320"/>
      <c r="H540" s="320"/>
      <c r="I540" s="320"/>
      <c r="J540" s="320"/>
      <c r="K540" s="320"/>
      <c r="L540" s="320"/>
      <c r="M540" s="320"/>
      <c r="N540" s="320"/>
    </row>
    <row r="541" spans="1:14">
      <c r="A541" s="320"/>
      <c r="B541" s="320"/>
      <c r="C541" s="320"/>
      <c r="D541" s="320"/>
      <c r="E541" s="320"/>
      <c r="F541" s="320"/>
      <c r="G541" s="320"/>
      <c r="H541" s="320"/>
      <c r="I541" s="320"/>
      <c r="J541" s="320"/>
      <c r="K541" s="320"/>
      <c r="L541" s="320"/>
      <c r="M541" s="320"/>
      <c r="N541" s="320"/>
    </row>
    <row r="542" spans="1:14">
      <c r="A542" s="320"/>
      <c r="B542" s="320"/>
      <c r="C542" s="320"/>
      <c r="D542" s="320"/>
      <c r="E542" s="320"/>
      <c r="F542" s="320"/>
      <c r="G542" s="320"/>
      <c r="H542" s="320"/>
      <c r="I542" s="320"/>
      <c r="J542" s="320"/>
      <c r="K542" s="320"/>
      <c r="L542" s="320"/>
      <c r="M542" s="320"/>
      <c r="N542" s="320"/>
    </row>
    <row r="543" spans="1:14">
      <c r="A543" s="320"/>
      <c r="B543" s="320"/>
      <c r="C543" s="320"/>
      <c r="D543" s="320"/>
      <c r="E543" s="320"/>
      <c r="F543" s="320"/>
      <c r="G543" s="320"/>
      <c r="H543" s="320"/>
      <c r="I543" s="320"/>
      <c r="J543" s="320"/>
      <c r="K543" s="320"/>
      <c r="L543" s="320"/>
      <c r="M543" s="320"/>
      <c r="N543" s="320"/>
    </row>
    <row r="544" spans="1:14">
      <c r="A544" s="351"/>
      <c r="B544" s="351"/>
      <c r="C544" s="351"/>
      <c r="D544" s="351"/>
      <c r="E544" s="351"/>
      <c r="F544" s="351"/>
      <c r="G544" s="351"/>
      <c r="H544" s="351"/>
      <c r="I544" s="351"/>
      <c r="J544" s="351"/>
      <c r="K544" s="351"/>
      <c r="L544" s="351"/>
      <c r="M544" s="351"/>
      <c r="N544" s="351"/>
    </row>
    <row r="548" spans="1:14">
      <c r="A548" s="306"/>
      <c r="B548" s="306"/>
      <c r="C548" s="306"/>
      <c r="D548" s="306"/>
      <c r="E548" s="306"/>
      <c r="F548" s="306"/>
      <c r="G548" s="306"/>
      <c r="H548" s="306"/>
      <c r="I548" s="306"/>
      <c r="J548" s="306"/>
      <c r="K548" s="306"/>
      <c r="L548" s="306"/>
      <c r="M548" s="306"/>
      <c r="N548" s="306"/>
    </row>
    <row r="549" spans="1:14">
      <c r="A549" s="306"/>
      <c r="B549" s="306"/>
      <c r="C549" s="306"/>
      <c r="D549" s="306"/>
      <c r="E549" s="306"/>
      <c r="F549" s="306"/>
      <c r="G549" s="306"/>
      <c r="H549" s="306"/>
      <c r="I549" s="306"/>
      <c r="J549" s="306"/>
      <c r="K549" s="306"/>
      <c r="L549" s="306"/>
      <c r="M549" s="306"/>
      <c r="N549" s="306"/>
    </row>
    <row r="550" spans="1:14">
      <c r="A550" s="306"/>
      <c r="B550" s="306"/>
      <c r="C550" s="306"/>
      <c r="D550" s="306"/>
      <c r="E550" s="306"/>
      <c r="F550" s="306"/>
      <c r="G550" s="306"/>
      <c r="H550" s="306"/>
      <c r="I550" s="306"/>
      <c r="J550" s="306"/>
      <c r="K550" s="306"/>
      <c r="L550" s="306"/>
      <c r="M550" s="306"/>
      <c r="N550" s="306"/>
    </row>
    <row r="551" spans="1:14">
      <c r="A551" s="306"/>
      <c r="B551" s="306"/>
      <c r="C551" s="306"/>
      <c r="D551" s="306"/>
      <c r="E551" s="306"/>
      <c r="F551" s="306"/>
      <c r="G551" s="306"/>
      <c r="H551" s="306"/>
      <c r="I551" s="306"/>
      <c r="J551" s="306"/>
      <c r="K551" s="306"/>
      <c r="L551" s="306"/>
      <c r="M551" s="306"/>
      <c r="N551" s="306"/>
    </row>
    <row r="552" spans="1:14">
      <c r="A552" s="306"/>
      <c r="B552" s="306"/>
      <c r="C552" s="306"/>
      <c r="D552" s="306"/>
      <c r="E552" s="306"/>
      <c r="F552" s="306"/>
      <c r="G552" s="306"/>
      <c r="H552" s="306"/>
      <c r="I552" s="306"/>
      <c r="J552" s="306"/>
      <c r="K552" s="306"/>
      <c r="L552" s="306"/>
      <c r="M552" s="306"/>
      <c r="N552" s="306"/>
    </row>
    <row r="557" spans="1:14" ht="15.75" thickBot="1"/>
    <row r="558" spans="1:14">
      <c r="A558" s="1062" t="s">
        <v>428</v>
      </c>
      <c r="B558" s="1063"/>
      <c r="C558" s="1063"/>
      <c r="D558" s="1063"/>
      <c r="E558" s="1063"/>
      <c r="F558" s="1063"/>
      <c r="G558" s="1063"/>
      <c r="H558" s="1063"/>
      <c r="I558" s="1063"/>
      <c r="J558" s="1063"/>
      <c r="K558" s="1063"/>
      <c r="L558" s="1063"/>
      <c r="M558" s="1063"/>
      <c r="N558" s="1063"/>
    </row>
    <row r="559" spans="1:14" ht="15.75" thickBot="1">
      <c r="A559" s="1064"/>
      <c r="B559" s="1065"/>
      <c r="C559" s="1065"/>
      <c r="D559" s="1065"/>
      <c r="E559" s="1065"/>
      <c r="F559" s="1065"/>
      <c r="G559" s="1065"/>
      <c r="H559" s="1065"/>
      <c r="I559" s="1065"/>
      <c r="J559" s="1065"/>
      <c r="K559" s="1065"/>
      <c r="L559" s="1065"/>
      <c r="M559" s="1065"/>
      <c r="N559" s="1065"/>
    </row>
    <row r="560" spans="1:14" ht="15.75" thickBot="1">
      <c r="A560" s="1066" t="s">
        <v>429</v>
      </c>
      <c r="B560" s="1067"/>
      <c r="C560" s="1067"/>
      <c r="D560" s="1067"/>
      <c r="E560" s="1067"/>
      <c r="F560" s="1067"/>
      <c r="G560" s="1067"/>
      <c r="H560" s="1067"/>
      <c r="I560" s="1067"/>
      <c r="J560" s="1067"/>
      <c r="K560" s="1067"/>
      <c r="L560" s="1067"/>
      <c r="M560" s="1067"/>
      <c r="N560" s="1067"/>
    </row>
    <row r="561" spans="1:16">
      <c r="A561" s="300" t="s">
        <v>460</v>
      </c>
      <c r="B561" s="301"/>
      <c r="C561" s="301"/>
      <c r="D561" s="302"/>
      <c r="E561" s="1068" t="s">
        <v>461</v>
      </c>
      <c r="F561" s="1069"/>
      <c r="G561" s="1069"/>
      <c r="H561" s="1070" t="str">
        <f>'4-22MASTER'!C29</f>
        <v>NILOTPAL BHOWAL</v>
      </c>
      <c r="I561" s="1070"/>
      <c r="J561" s="328"/>
      <c r="K561" s="328"/>
      <c r="L561" s="328"/>
      <c r="M561" s="328"/>
      <c r="N561" s="328"/>
    </row>
    <row r="562" spans="1:16">
      <c r="A562" s="305"/>
      <c r="B562" s="306" t="s">
        <v>381</v>
      </c>
      <c r="C562" s="306"/>
      <c r="D562" s="307"/>
      <c r="E562" s="329"/>
      <c r="F562" s="330"/>
      <c r="J562" s="330"/>
      <c r="K562" s="330"/>
      <c r="L562" s="330"/>
      <c r="M562" s="330"/>
      <c r="N562" s="330"/>
    </row>
    <row r="563" spans="1:16" ht="15.75" thickBot="1">
      <c r="A563" s="310"/>
      <c r="B563" s="311" t="s">
        <v>382</v>
      </c>
      <c r="C563" s="311"/>
      <c r="D563" s="312"/>
      <c r="E563" s="329"/>
      <c r="F563" s="330"/>
      <c r="G563" s="330"/>
      <c r="H563" s="330"/>
      <c r="I563" s="330"/>
      <c r="J563" s="330"/>
      <c r="K563" s="330"/>
      <c r="L563" s="330"/>
      <c r="M563" s="330"/>
      <c r="N563" s="330"/>
    </row>
    <row r="564" spans="1:16">
      <c r="A564" s="331" t="s">
        <v>462</v>
      </c>
      <c r="B564" s="301"/>
      <c r="C564" s="301"/>
      <c r="D564" s="302"/>
      <c r="E564" s="313" t="s">
        <v>430</v>
      </c>
      <c r="F564" s="301"/>
      <c r="H564" s="301"/>
      <c r="I564" s="301"/>
      <c r="J564" s="301"/>
      <c r="K564" s="301"/>
      <c r="L564" s="301"/>
      <c r="M564" s="301"/>
      <c r="N564" s="301"/>
    </row>
    <row r="565" spans="1:16">
      <c r="A565" s="325"/>
      <c r="B565" s="306"/>
      <c r="C565" s="306">
        <f>'4-22MASTER'!G686</f>
        <v>0</v>
      </c>
      <c r="D565" s="307"/>
      <c r="E565" s="315"/>
      <c r="F565" s="306"/>
      <c r="G565" s="632">
        <f>'4-22MASTER'!O29</f>
        <v>44650</v>
      </c>
      <c r="H565" s="306"/>
      <c r="I565" s="306"/>
      <c r="J565" s="306"/>
      <c r="K565" s="306"/>
      <c r="L565" s="306"/>
      <c r="M565" s="306"/>
      <c r="N565" s="306"/>
    </row>
    <row r="566" spans="1:16">
      <c r="A566" s="325"/>
      <c r="B566" s="306"/>
      <c r="C566" s="306"/>
      <c r="D566" s="307"/>
      <c r="E566" s="316"/>
      <c r="F566" s="306"/>
      <c r="G566" s="306"/>
      <c r="H566" s="306"/>
      <c r="I566" s="306"/>
      <c r="J566" s="306"/>
      <c r="K566" s="306"/>
      <c r="L566" s="306"/>
      <c r="M566" s="306"/>
      <c r="N566" s="306"/>
    </row>
    <row r="567" spans="1:16" ht="15.75" thickBot="1">
      <c r="A567" s="326"/>
      <c r="B567" s="327"/>
      <c r="C567" s="327"/>
      <c r="D567" s="332"/>
      <c r="E567" s="310"/>
      <c r="F567" s="311"/>
      <c r="G567" s="311"/>
      <c r="H567" s="311"/>
      <c r="I567" s="311"/>
      <c r="J567" s="311"/>
      <c r="K567" s="311"/>
      <c r="L567" s="311"/>
      <c r="M567" s="311"/>
      <c r="N567" s="311"/>
    </row>
    <row r="568" spans="1:16">
      <c r="A568" s="1071" t="s">
        <v>5</v>
      </c>
      <c r="B568" s="1073" t="s">
        <v>431</v>
      </c>
      <c r="C568" s="1074"/>
      <c r="D568" s="1073" t="s">
        <v>432</v>
      </c>
      <c r="E568" s="1076"/>
      <c r="F568" s="1079" t="s">
        <v>433</v>
      </c>
      <c r="G568" s="1075" t="s">
        <v>434</v>
      </c>
      <c r="H568" s="1080"/>
      <c r="I568" s="1081" t="s">
        <v>435</v>
      </c>
      <c r="J568" s="1080"/>
      <c r="K568" s="1082"/>
      <c r="L568" s="1081" t="s">
        <v>436</v>
      </c>
      <c r="M568" s="1080"/>
      <c r="N568" s="1080"/>
    </row>
    <row r="569" spans="1:16" ht="15.75" thickBot="1">
      <c r="A569" s="1072"/>
      <c r="B569" s="1075"/>
      <c r="C569" s="1076"/>
      <c r="D569" s="1075"/>
      <c r="E569" s="1076"/>
      <c r="F569" s="1071"/>
      <c r="G569" s="1075"/>
      <c r="H569" s="1080"/>
      <c r="I569" s="1083"/>
      <c r="J569" s="1084"/>
      <c r="K569" s="1085"/>
      <c r="L569" s="1083"/>
      <c r="M569" s="1084"/>
      <c r="N569" s="1084"/>
    </row>
    <row r="570" spans="1:16">
      <c r="A570" s="317">
        <v>1</v>
      </c>
      <c r="B570" s="1077"/>
      <c r="C570" s="1078"/>
      <c r="D570" s="1077"/>
      <c r="E570" s="1078"/>
      <c r="F570" s="317">
        <v>6</v>
      </c>
      <c r="G570" s="1077"/>
      <c r="H570" s="1078"/>
      <c r="I570" s="318">
        <v>9</v>
      </c>
      <c r="J570" s="318"/>
      <c r="K570" s="318"/>
      <c r="L570" s="318">
        <v>9</v>
      </c>
      <c r="M570" s="318"/>
      <c r="N570" s="318"/>
    </row>
    <row r="571" spans="1:16" ht="89.25">
      <c r="A571" s="320"/>
      <c r="B571" s="320" t="s">
        <v>437</v>
      </c>
      <c r="C571" s="320" t="s">
        <v>438</v>
      </c>
      <c r="D571" s="320" t="s">
        <v>439</v>
      </c>
      <c r="E571" s="320" t="s">
        <v>136</v>
      </c>
      <c r="F571" s="320"/>
      <c r="G571" s="320" t="s">
        <v>440</v>
      </c>
      <c r="H571" s="320" t="s">
        <v>441</v>
      </c>
      <c r="I571" s="320" t="s">
        <v>442</v>
      </c>
      <c r="J571" s="320" t="s">
        <v>443</v>
      </c>
      <c r="K571" s="320" t="s">
        <v>444</v>
      </c>
      <c r="L571" s="320" t="s">
        <v>445</v>
      </c>
      <c r="M571" s="320" t="s">
        <v>446</v>
      </c>
      <c r="N571" s="321" t="s">
        <v>447</v>
      </c>
    </row>
    <row r="572" spans="1:16">
      <c r="A572" s="320"/>
      <c r="B572" s="322"/>
      <c r="C572" s="320"/>
      <c r="D572" s="320"/>
      <c r="E572" s="320"/>
      <c r="F572" s="320"/>
      <c r="G572" s="320"/>
      <c r="H572" s="320"/>
      <c r="I572" s="320"/>
      <c r="J572" s="320"/>
      <c r="K572" s="351"/>
      <c r="L572" s="351"/>
      <c r="M572" s="351"/>
      <c r="N572" s="320"/>
    </row>
    <row r="573" spans="1:16">
      <c r="A573" s="322" t="s">
        <v>736</v>
      </c>
      <c r="B573" s="348">
        <v>0</v>
      </c>
      <c r="C573" s="348">
        <v>0</v>
      </c>
      <c r="D573" s="348">
        <v>0</v>
      </c>
      <c r="E573" s="348">
        <v>0</v>
      </c>
      <c r="F573" s="839">
        <f>F572+B573-C573</f>
        <v>0</v>
      </c>
      <c r="G573" s="320"/>
      <c r="H573" s="320"/>
      <c r="I573" s="320"/>
      <c r="J573" s="320" t="s">
        <v>508</v>
      </c>
      <c r="K573" s="351" t="s">
        <v>558</v>
      </c>
      <c r="L573" s="351" t="s">
        <v>508</v>
      </c>
      <c r="M573" s="351" t="s">
        <v>508</v>
      </c>
      <c r="N573" s="320"/>
    </row>
    <row r="574" spans="1:16">
      <c r="A574" s="508" t="s">
        <v>758</v>
      </c>
      <c r="B574" s="348">
        <v>1.5</v>
      </c>
      <c r="C574" s="348">
        <v>0</v>
      </c>
      <c r="D574" s="348">
        <v>0</v>
      </c>
      <c r="E574" s="348">
        <v>0</v>
      </c>
      <c r="F574" s="839">
        <f>F573+B574-C574</f>
        <v>1.5</v>
      </c>
      <c r="G574" s="320"/>
      <c r="H574" s="320"/>
      <c r="I574" s="320"/>
      <c r="J574" s="320" t="s">
        <v>508</v>
      </c>
      <c r="K574" s="320" t="s">
        <v>508</v>
      </c>
      <c r="L574" s="351" t="s">
        <v>508</v>
      </c>
      <c r="M574" s="351" t="s">
        <v>508</v>
      </c>
      <c r="N574" s="320"/>
      <c r="O574" s="320"/>
      <c r="P574" s="320"/>
    </row>
    <row r="575" spans="1:16">
      <c r="A575" s="320"/>
      <c r="B575" s="320"/>
      <c r="C575" s="320"/>
      <c r="D575" s="320"/>
      <c r="E575" s="320"/>
      <c r="F575" s="320"/>
      <c r="G575" s="320"/>
      <c r="H575" s="320"/>
      <c r="I575" s="320"/>
      <c r="J575" s="320"/>
      <c r="K575" s="320"/>
      <c r="L575" s="320"/>
      <c r="M575" s="320"/>
      <c r="N575" s="320"/>
    </row>
    <row r="576" spans="1:16">
      <c r="A576" s="320"/>
      <c r="B576" s="320"/>
      <c r="C576" s="320"/>
      <c r="D576" s="320"/>
      <c r="E576" s="320"/>
      <c r="F576" s="320"/>
      <c r="G576" s="320"/>
      <c r="H576" s="320"/>
      <c r="I576" s="320"/>
      <c r="J576" s="320"/>
      <c r="K576" s="320"/>
      <c r="L576" s="320"/>
      <c r="M576" s="320"/>
      <c r="N576" s="320"/>
    </row>
    <row r="577" spans="1:14">
      <c r="A577" s="320"/>
      <c r="B577" s="320"/>
      <c r="C577" s="320"/>
      <c r="D577" s="320"/>
      <c r="E577" s="320"/>
      <c r="F577" s="320"/>
      <c r="G577" s="320"/>
      <c r="H577" s="320"/>
      <c r="I577" s="320"/>
      <c r="J577" s="320"/>
      <c r="K577" s="320"/>
      <c r="L577" s="320"/>
      <c r="M577" s="320"/>
      <c r="N577" s="320"/>
    </row>
    <row r="578" spans="1:14">
      <c r="A578" s="320"/>
      <c r="B578" s="320"/>
      <c r="C578" s="320"/>
      <c r="D578" s="320"/>
      <c r="E578" s="320"/>
      <c r="F578" s="320"/>
      <c r="G578" s="320"/>
      <c r="H578" s="320"/>
      <c r="I578" s="320"/>
      <c r="J578" s="320"/>
      <c r="K578" s="320"/>
      <c r="L578" s="320"/>
      <c r="M578" s="320"/>
      <c r="N578" s="320"/>
    </row>
    <row r="579" spans="1:14">
      <c r="A579" s="320"/>
      <c r="B579" s="323"/>
      <c r="C579" s="320"/>
      <c r="D579" s="320"/>
      <c r="E579" s="320"/>
      <c r="F579" s="320"/>
      <c r="G579" s="320"/>
      <c r="H579" s="320"/>
      <c r="I579" s="320"/>
      <c r="J579" s="320"/>
      <c r="K579" s="320"/>
      <c r="L579" s="320"/>
      <c r="M579" s="320"/>
      <c r="N579" s="320"/>
    </row>
    <row r="580" spans="1:14">
      <c r="A580" s="320"/>
      <c r="B580" s="320"/>
      <c r="C580" s="320"/>
      <c r="D580" s="320"/>
      <c r="E580" s="320"/>
      <c r="F580" s="320"/>
      <c r="G580" s="320"/>
      <c r="H580" s="320"/>
      <c r="I580" s="320"/>
      <c r="J580" s="320"/>
      <c r="K580" s="320"/>
      <c r="L580" s="320"/>
      <c r="M580" s="320"/>
      <c r="N580" s="320"/>
    </row>
    <row r="581" spans="1:14">
      <c r="A581" s="320"/>
      <c r="B581" s="320"/>
      <c r="C581" s="320"/>
      <c r="D581" s="320"/>
      <c r="E581" s="320"/>
      <c r="F581" s="320"/>
      <c r="G581" s="320"/>
      <c r="H581" s="320"/>
      <c r="I581" s="320"/>
      <c r="J581" s="320"/>
      <c r="K581" s="320"/>
      <c r="L581" s="320"/>
      <c r="M581" s="320"/>
      <c r="N581" s="320"/>
    </row>
    <row r="582" spans="1:14">
      <c r="A582" s="320"/>
      <c r="B582" s="320"/>
      <c r="C582" s="320"/>
      <c r="D582" s="320"/>
      <c r="E582" s="320"/>
      <c r="F582" s="320"/>
      <c r="G582" s="320"/>
      <c r="H582" s="320"/>
      <c r="I582" s="320"/>
      <c r="J582" s="320"/>
      <c r="K582" s="320"/>
      <c r="L582" s="320"/>
      <c r="M582" s="320"/>
      <c r="N582" s="320"/>
    </row>
    <row r="583" spans="1:14">
      <c r="A583" s="320"/>
      <c r="B583" s="320"/>
      <c r="C583" s="320"/>
      <c r="D583" s="320"/>
      <c r="E583" s="320"/>
      <c r="F583" s="320"/>
      <c r="G583" s="320"/>
      <c r="H583" s="320"/>
      <c r="I583" s="320"/>
      <c r="J583" s="320"/>
      <c r="K583" s="320"/>
      <c r="L583" s="320"/>
      <c r="M583" s="320"/>
      <c r="N583" s="320"/>
    </row>
    <row r="584" spans="1:14">
      <c r="A584" s="320"/>
      <c r="B584" s="320"/>
      <c r="C584" s="320"/>
      <c r="D584" s="320"/>
      <c r="E584" s="320"/>
      <c r="F584" s="320"/>
      <c r="G584" s="320"/>
      <c r="H584" s="320"/>
      <c r="I584" s="320"/>
      <c r="J584" s="320"/>
      <c r="K584" s="320"/>
      <c r="L584" s="320"/>
      <c r="M584" s="320"/>
      <c r="N584" s="320"/>
    </row>
    <row r="585" spans="1:14">
      <c r="A585" s="320"/>
      <c r="B585" s="320"/>
      <c r="C585" s="320"/>
      <c r="D585" s="320"/>
      <c r="E585" s="320"/>
      <c r="F585" s="320"/>
      <c r="G585" s="320"/>
      <c r="H585" s="320"/>
      <c r="I585" s="320"/>
      <c r="J585" s="320"/>
      <c r="K585" s="320"/>
      <c r="L585" s="320"/>
      <c r="M585" s="320"/>
      <c r="N585" s="320"/>
    </row>
    <row r="586" spans="1:14">
      <c r="A586" s="320"/>
      <c r="B586" s="320"/>
      <c r="C586" s="320"/>
      <c r="D586" s="320"/>
      <c r="E586" s="320"/>
      <c r="F586" s="320"/>
      <c r="G586" s="320"/>
      <c r="H586" s="320"/>
      <c r="I586" s="320"/>
      <c r="J586" s="320"/>
      <c r="K586" s="320"/>
      <c r="L586" s="320"/>
      <c r="M586" s="320"/>
      <c r="N586" s="320"/>
    </row>
    <row r="587" spans="1:14">
      <c r="A587" s="320"/>
      <c r="B587" s="324"/>
      <c r="C587" s="320"/>
      <c r="D587" s="320"/>
      <c r="E587" s="320"/>
      <c r="F587" s="320"/>
      <c r="G587" s="320"/>
      <c r="H587" s="320"/>
      <c r="I587" s="320"/>
      <c r="J587" s="320"/>
      <c r="K587" s="320"/>
      <c r="L587" s="320"/>
      <c r="M587" s="320"/>
      <c r="N587" s="320"/>
    </row>
    <row r="588" spans="1:14">
      <c r="A588" s="320"/>
      <c r="B588" s="320"/>
      <c r="C588" s="320"/>
      <c r="D588" s="320"/>
      <c r="E588" s="320"/>
      <c r="F588" s="320"/>
      <c r="G588" s="320"/>
      <c r="H588" s="320"/>
      <c r="I588" s="320"/>
      <c r="J588" s="320"/>
      <c r="K588" s="320"/>
      <c r="L588" s="320"/>
      <c r="M588" s="320"/>
      <c r="N588" s="320"/>
    </row>
    <row r="589" spans="1:14">
      <c r="A589" s="320"/>
      <c r="B589" s="320"/>
      <c r="C589" s="320"/>
      <c r="D589" s="320"/>
      <c r="E589" s="320"/>
      <c r="F589" s="320"/>
      <c r="G589" s="320"/>
      <c r="H589" s="320"/>
      <c r="I589" s="320"/>
      <c r="J589" s="320"/>
      <c r="K589" s="320"/>
      <c r="L589" s="320"/>
      <c r="M589" s="320"/>
      <c r="N589" s="320"/>
    </row>
    <row r="590" spans="1:14">
      <c r="A590" s="320"/>
      <c r="B590" s="320"/>
      <c r="C590" s="320"/>
      <c r="D590" s="320"/>
      <c r="E590" s="320"/>
      <c r="F590" s="320"/>
      <c r="G590" s="320"/>
      <c r="H590" s="320"/>
      <c r="I590" s="320"/>
      <c r="J590" s="320"/>
      <c r="K590" s="320"/>
      <c r="L590" s="320"/>
      <c r="M590" s="320"/>
      <c r="N590" s="320"/>
    </row>
    <row r="591" spans="1:14">
      <c r="A591" s="351"/>
      <c r="B591" s="351"/>
      <c r="C591" s="351"/>
      <c r="D591" s="351"/>
      <c r="E591" s="351"/>
      <c r="F591" s="351"/>
      <c r="G591" s="351"/>
      <c r="H591" s="351"/>
      <c r="I591" s="351"/>
      <c r="J591" s="351"/>
      <c r="K591" s="351"/>
      <c r="L591" s="351"/>
      <c r="M591" s="351"/>
      <c r="N591" s="351"/>
    </row>
    <row r="595" spans="1:14">
      <c r="A595" s="306"/>
      <c r="B595" s="306"/>
      <c r="C595" s="306"/>
      <c r="D595" s="306"/>
      <c r="E595" s="306"/>
      <c r="F595" s="306"/>
      <c r="G595" s="306"/>
      <c r="H595" s="306"/>
      <c r="I595" s="306"/>
      <c r="J595" s="306"/>
      <c r="K595" s="306"/>
      <c r="L595" s="306"/>
      <c r="M595" s="306"/>
      <c r="N595" s="306"/>
    </row>
    <row r="596" spans="1:14">
      <c r="A596" s="306"/>
      <c r="B596" s="306"/>
      <c r="C596" s="306"/>
      <c r="D596" s="306"/>
      <c r="E596" s="306"/>
      <c r="F596" s="306"/>
      <c r="G596" s="306"/>
      <c r="H596" s="306"/>
      <c r="I596" s="306"/>
      <c r="J596" s="306"/>
      <c r="K596" s="306"/>
      <c r="L596" s="306"/>
      <c r="M596" s="306"/>
      <c r="N596" s="306"/>
    </row>
    <row r="597" spans="1:14">
      <c r="A597" s="306"/>
      <c r="B597" s="306"/>
      <c r="C597" s="306"/>
      <c r="D597" s="306"/>
      <c r="E597" s="306"/>
      <c r="F597" s="306"/>
      <c r="G597" s="306"/>
      <c r="H597" s="306"/>
      <c r="I597" s="306"/>
      <c r="J597" s="306"/>
      <c r="K597" s="306"/>
      <c r="L597" s="306"/>
      <c r="M597" s="306"/>
      <c r="N597" s="306"/>
    </row>
    <row r="598" spans="1:14">
      <c r="A598" s="306"/>
      <c r="B598" s="306"/>
      <c r="C598" s="306"/>
      <c r="D598" s="306"/>
      <c r="E598" s="306"/>
      <c r="F598" s="306"/>
      <c r="G598" s="306"/>
      <c r="H598" s="306"/>
      <c r="I598" s="306"/>
      <c r="J598" s="306"/>
      <c r="K598" s="306"/>
      <c r="L598" s="306"/>
      <c r="M598" s="306"/>
      <c r="N598" s="306"/>
    </row>
    <row r="603" spans="1:14" ht="15.75" thickBot="1"/>
    <row r="604" spans="1:14">
      <c r="A604" s="1062" t="s">
        <v>428</v>
      </c>
      <c r="B604" s="1063"/>
      <c r="C604" s="1063"/>
      <c r="D604" s="1063"/>
      <c r="E604" s="1063"/>
      <c r="F604" s="1063"/>
      <c r="G604" s="1063"/>
      <c r="H604" s="1063"/>
      <c r="I604" s="1063"/>
      <c r="J604" s="1063"/>
      <c r="K604" s="1063"/>
      <c r="L604" s="1063"/>
      <c r="M604" s="1063"/>
      <c r="N604" s="1063"/>
    </row>
    <row r="605" spans="1:14" ht="15.75" thickBot="1">
      <c r="A605" s="1064"/>
      <c r="B605" s="1065"/>
      <c r="C605" s="1065"/>
      <c r="D605" s="1065"/>
      <c r="E605" s="1065"/>
      <c r="F605" s="1065"/>
      <c r="G605" s="1065"/>
      <c r="H605" s="1065"/>
      <c r="I605" s="1065"/>
      <c r="J605" s="1065"/>
      <c r="K605" s="1065"/>
      <c r="L605" s="1065"/>
      <c r="M605" s="1065"/>
      <c r="N605" s="1065"/>
    </row>
    <row r="606" spans="1:14" ht="15.75" thickBot="1">
      <c r="A606" s="1066" t="s">
        <v>429</v>
      </c>
      <c r="B606" s="1067"/>
      <c r="C606" s="1067"/>
      <c r="D606" s="1067"/>
      <c r="E606" s="1067"/>
      <c r="F606" s="1067"/>
      <c r="G606" s="1067"/>
      <c r="H606" s="1067"/>
      <c r="I606" s="1067"/>
      <c r="J606" s="1067"/>
      <c r="K606" s="1067"/>
      <c r="L606" s="1067"/>
      <c r="M606" s="1067"/>
      <c r="N606" s="1067"/>
    </row>
    <row r="607" spans="1:14" ht="38.25" customHeight="1">
      <c r="A607" s="300" t="s">
        <v>460</v>
      </c>
      <c r="B607" s="301"/>
      <c r="C607" s="301"/>
      <c r="D607" s="302"/>
      <c r="E607" s="1068" t="s">
        <v>461</v>
      </c>
      <c r="F607" s="1069"/>
      <c r="G607" s="1069"/>
      <c r="H607" s="1070" t="str">
        <f>'4-22MASTER'!C30</f>
        <v>Varsha Amit Kadam</v>
      </c>
      <c r="I607" s="1070"/>
      <c r="J607" s="328"/>
      <c r="K607" s="328"/>
      <c r="L607" s="328"/>
      <c r="M607" s="328"/>
      <c r="N607" s="328"/>
    </row>
    <row r="608" spans="1:14">
      <c r="A608" s="305"/>
      <c r="B608" s="306" t="s">
        <v>381</v>
      </c>
      <c r="C608" s="306"/>
      <c r="D608" s="307"/>
      <c r="E608" s="329"/>
      <c r="F608" s="330"/>
      <c r="J608" s="330"/>
      <c r="K608" s="330"/>
      <c r="L608" s="330"/>
      <c r="M608" s="330"/>
      <c r="N608" s="330"/>
    </row>
    <row r="609" spans="1:16" ht="15.75" thickBot="1">
      <c r="A609" s="310"/>
      <c r="B609" s="311" t="s">
        <v>382</v>
      </c>
      <c r="C609" s="311"/>
      <c r="D609" s="312"/>
      <c r="E609" s="329"/>
      <c r="F609" s="330"/>
      <c r="G609" s="330"/>
      <c r="H609" s="330"/>
      <c r="I609" s="330"/>
      <c r="J609" s="330"/>
      <c r="K609" s="330"/>
      <c r="L609" s="330"/>
      <c r="M609" s="330"/>
      <c r="N609" s="330"/>
    </row>
    <row r="610" spans="1:16">
      <c r="A610" s="331" t="s">
        <v>462</v>
      </c>
      <c r="B610" s="301"/>
      <c r="C610" s="301"/>
      <c r="D610" s="302"/>
      <c r="E610" s="313" t="s">
        <v>430</v>
      </c>
      <c r="F610" s="301"/>
      <c r="H610" s="301"/>
      <c r="I610" s="301"/>
      <c r="J610" s="301"/>
      <c r="K610" s="301"/>
      <c r="L610" s="301"/>
      <c r="M610" s="301"/>
      <c r="N610" s="301"/>
    </row>
    <row r="611" spans="1:16">
      <c r="A611" s="325"/>
      <c r="C611" s="306">
        <f>'4-22MASTER'!G732</f>
        <v>0</v>
      </c>
      <c r="D611" s="307"/>
      <c r="E611" s="315"/>
      <c r="F611" s="306"/>
      <c r="G611" s="632">
        <f>'4-22MASTER'!O30</f>
        <v>44676</v>
      </c>
      <c r="H611" s="306"/>
      <c r="I611" s="306"/>
      <c r="J611" s="306"/>
      <c r="K611" s="306"/>
      <c r="L611" s="306"/>
      <c r="M611" s="306"/>
      <c r="N611" s="306"/>
    </row>
    <row r="612" spans="1:16">
      <c r="A612" s="325"/>
      <c r="C612" s="306"/>
      <c r="D612" s="307"/>
      <c r="E612" s="316"/>
      <c r="F612" s="306"/>
      <c r="G612" s="306"/>
      <c r="H612" s="306"/>
      <c r="I612" s="306"/>
      <c r="J612" s="306"/>
      <c r="K612" s="306"/>
      <c r="L612" s="306"/>
      <c r="M612" s="306"/>
      <c r="N612" s="306"/>
    </row>
    <row r="613" spans="1:16" ht="15.75" thickBot="1">
      <c r="A613" s="326"/>
      <c r="B613" s="327"/>
      <c r="C613" s="327"/>
      <c r="D613" s="332"/>
      <c r="E613" s="310"/>
      <c r="F613" s="311"/>
      <c r="G613" s="311"/>
      <c r="H613" s="311"/>
      <c r="I613" s="311"/>
      <c r="J613" s="311"/>
      <c r="K613" s="311"/>
      <c r="L613" s="311"/>
      <c r="M613" s="311"/>
      <c r="N613" s="311"/>
    </row>
    <row r="614" spans="1:16">
      <c r="A614" s="1071" t="s">
        <v>5</v>
      </c>
      <c r="B614" s="1073" t="s">
        <v>431</v>
      </c>
      <c r="C614" s="1074"/>
      <c r="D614" s="1073" t="s">
        <v>432</v>
      </c>
      <c r="E614" s="1076"/>
      <c r="F614" s="1079" t="s">
        <v>433</v>
      </c>
      <c r="G614" s="1075" t="s">
        <v>434</v>
      </c>
      <c r="H614" s="1080"/>
      <c r="I614" s="1081" t="s">
        <v>435</v>
      </c>
      <c r="J614" s="1080"/>
      <c r="K614" s="1082"/>
      <c r="L614" s="1081" t="s">
        <v>436</v>
      </c>
      <c r="M614" s="1080"/>
      <c r="N614" s="1080"/>
    </row>
    <row r="615" spans="1:16" ht="15.75" thickBot="1">
      <c r="A615" s="1072"/>
      <c r="B615" s="1075"/>
      <c r="C615" s="1076"/>
      <c r="D615" s="1075"/>
      <c r="E615" s="1076"/>
      <c r="F615" s="1071"/>
      <c r="G615" s="1075"/>
      <c r="H615" s="1080"/>
      <c r="I615" s="1083"/>
      <c r="J615" s="1084"/>
      <c r="K615" s="1085"/>
      <c r="L615" s="1083"/>
      <c r="M615" s="1084"/>
      <c r="N615" s="1084"/>
    </row>
    <row r="616" spans="1:16">
      <c r="A616" s="317">
        <v>1</v>
      </c>
      <c r="B616" s="1077"/>
      <c r="C616" s="1078"/>
      <c r="D616" s="1077"/>
      <c r="E616" s="1078"/>
      <c r="F616" s="317">
        <v>6</v>
      </c>
      <c r="G616" s="1077"/>
      <c r="H616" s="1078"/>
      <c r="I616" s="318">
        <v>9</v>
      </c>
      <c r="J616" s="318"/>
      <c r="K616" s="318"/>
      <c r="L616" s="318">
        <v>9</v>
      </c>
      <c r="M616" s="318"/>
      <c r="N616" s="318"/>
    </row>
    <row r="617" spans="1:16" ht="89.25">
      <c r="A617" s="320"/>
      <c r="B617" s="320" t="s">
        <v>437</v>
      </c>
      <c r="C617" s="320" t="s">
        <v>438</v>
      </c>
      <c r="D617" s="320" t="s">
        <v>439</v>
      </c>
      <c r="E617" s="320" t="s">
        <v>136</v>
      </c>
      <c r="F617" s="320"/>
      <c r="G617" s="320" t="s">
        <v>440</v>
      </c>
      <c r="H617" s="320" t="s">
        <v>441</v>
      </c>
      <c r="I617" s="320" t="s">
        <v>442</v>
      </c>
      <c r="J617" s="320" t="s">
        <v>443</v>
      </c>
      <c r="K617" s="320" t="s">
        <v>444</v>
      </c>
      <c r="L617" s="320" t="s">
        <v>445</v>
      </c>
      <c r="M617" s="320" t="s">
        <v>446</v>
      </c>
      <c r="N617" s="321" t="s">
        <v>447</v>
      </c>
    </row>
    <row r="618" spans="1:16">
      <c r="A618" s="320"/>
      <c r="B618" s="322"/>
      <c r="C618" s="320"/>
      <c r="D618" s="320"/>
      <c r="E618" s="320"/>
      <c r="F618" s="320"/>
      <c r="G618" s="320"/>
      <c r="H618" s="320"/>
      <c r="I618" s="320"/>
      <c r="J618" s="320"/>
      <c r="K618" s="351"/>
      <c r="L618" s="351"/>
      <c r="M618" s="351"/>
      <c r="N618" s="320"/>
    </row>
    <row r="619" spans="1:16">
      <c r="A619" s="508" t="s">
        <v>758</v>
      </c>
      <c r="B619" s="348">
        <v>0</v>
      </c>
      <c r="C619" s="348">
        <v>0</v>
      </c>
      <c r="D619" s="348">
        <v>0</v>
      </c>
      <c r="E619" s="348">
        <v>0</v>
      </c>
      <c r="F619" s="839">
        <f>F618+B619-C619</f>
        <v>0</v>
      </c>
      <c r="G619" s="320"/>
      <c r="H619" s="320"/>
      <c r="I619" s="320" t="s">
        <v>558</v>
      </c>
      <c r="J619" s="320" t="s">
        <v>508</v>
      </c>
      <c r="K619" s="320" t="s">
        <v>508</v>
      </c>
      <c r="L619" s="351" t="s">
        <v>508</v>
      </c>
      <c r="M619" s="351" t="s">
        <v>508</v>
      </c>
      <c r="N619" s="320"/>
      <c r="O619" s="320"/>
      <c r="P619" s="320"/>
    </row>
    <row r="620" spans="1:16">
      <c r="A620" s="322"/>
      <c r="B620" s="348"/>
      <c r="C620" s="348"/>
      <c r="D620" s="348"/>
      <c r="E620" s="348"/>
      <c r="F620" s="839"/>
      <c r="G620" s="320"/>
      <c r="H620" s="320"/>
      <c r="I620" s="320"/>
      <c r="J620" s="320"/>
      <c r="K620" s="351"/>
      <c r="L620" s="351"/>
      <c r="M620" s="351"/>
      <c r="N620" s="320"/>
    </row>
    <row r="621" spans="1:16">
      <c r="A621" s="320"/>
      <c r="B621" s="320"/>
      <c r="C621" s="320"/>
      <c r="D621" s="320"/>
      <c r="E621" s="320"/>
      <c r="F621" s="320"/>
      <c r="G621" s="320"/>
      <c r="H621" s="320"/>
      <c r="I621" s="320"/>
      <c r="J621" s="320"/>
      <c r="K621" s="320"/>
      <c r="L621" s="320"/>
      <c r="M621" s="320"/>
      <c r="N621" s="320"/>
    </row>
    <row r="622" spans="1:16">
      <c r="A622" s="320"/>
      <c r="B622" s="320"/>
      <c r="C622" s="320"/>
      <c r="D622" s="320"/>
      <c r="E622" s="320"/>
      <c r="F622" s="320"/>
      <c r="G622" s="320"/>
      <c r="H622" s="320"/>
      <c r="I622" s="320"/>
      <c r="J622" s="320"/>
      <c r="K622" s="320"/>
      <c r="L622" s="320"/>
      <c r="M622" s="320"/>
      <c r="N622" s="320"/>
    </row>
    <row r="623" spans="1:16">
      <c r="A623" s="320"/>
      <c r="B623" s="320"/>
      <c r="C623" s="320"/>
      <c r="D623" s="320"/>
      <c r="E623" s="320"/>
      <c r="F623" s="320"/>
      <c r="G623" s="320"/>
      <c r="H623" s="320"/>
      <c r="I623" s="320"/>
      <c r="J623" s="320"/>
      <c r="K623" s="320"/>
      <c r="L623" s="320"/>
      <c r="M623" s="320"/>
      <c r="N623" s="320"/>
    </row>
    <row r="624" spans="1:16">
      <c r="A624" s="320"/>
      <c r="B624" s="320"/>
      <c r="C624" s="320"/>
      <c r="D624" s="320"/>
      <c r="E624" s="320"/>
      <c r="F624" s="320"/>
      <c r="G624" s="320"/>
      <c r="H624" s="320"/>
      <c r="I624" s="320"/>
      <c r="J624" s="320"/>
      <c r="K624" s="320"/>
      <c r="L624" s="320"/>
      <c r="M624" s="320"/>
      <c r="N624" s="320"/>
    </row>
    <row r="625" spans="1:14">
      <c r="A625" s="320"/>
      <c r="B625" s="323"/>
      <c r="C625" s="320"/>
      <c r="D625" s="320"/>
      <c r="E625" s="320"/>
      <c r="F625" s="320"/>
      <c r="G625" s="320"/>
      <c r="H625" s="320"/>
      <c r="I625" s="320"/>
      <c r="J625" s="320"/>
      <c r="K625" s="320"/>
      <c r="L625" s="320"/>
      <c r="M625" s="320"/>
      <c r="N625" s="320"/>
    </row>
    <row r="626" spans="1:14">
      <c r="A626" s="320"/>
      <c r="B626" s="320"/>
      <c r="C626" s="320"/>
      <c r="D626" s="320"/>
      <c r="E626" s="320"/>
      <c r="F626" s="320"/>
      <c r="G626" s="320"/>
      <c r="H626" s="320"/>
      <c r="I626" s="320"/>
      <c r="J626" s="320"/>
      <c r="K626" s="320"/>
      <c r="L626" s="320"/>
      <c r="M626" s="320"/>
      <c r="N626" s="320"/>
    </row>
    <row r="627" spans="1:14">
      <c r="A627" s="320"/>
      <c r="B627" s="320"/>
      <c r="C627" s="320"/>
      <c r="D627" s="320"/>
      <c r="E627" s="320"/>
      <c r="F627" s="320"/>
      <c r="G627" s="320"/>
      <c r="H627" s="320"/>
      <c r="I627" s="320"/>
      <c r="J627" s="320"/>
      <c r="K627" s="320"/>
      <c r="L627" s="320"/>
      <c r="M627" s="320"/>
      <c r="N627" s="320"/>
    </row>
    <row r="628" spans="1:14">
      <c r="A628" s="320"/>
      <c r="B628" s="320"/>
      <c r="C628" s="320"/>
      <c r="D628" s="320"/>
      <c r="E628" s="320"/>
      <c r="F628" s="320"/>
      <c r="G628" s="320"/>
      <c r="H628" s="320"/>
      <c r="I628" s="320"/>
      <c r="J628" s="320"/>
      <c r="K628" s="320"/>
      <c r="L628" s="320"/>
      <c r="M628" s="320"/>
      <c r="N628" s="320"/>
    </row>
    <row r="629" spans="1:14">
      <c r="A629" s="320"/>
      <c r="B629" s="320"/>
      <c r="C629" s="320"/>
      <c r="D629" s="320"/>
      <c r="E629" s="320"/>
      <c r="F629" s="320"/>
      <c r="G629" s="320"/>
      <c r="H629" s="320"/>
      <c r="I629" s="320"/>
      <c r="J629" s="320"/>
      <c r="K629" s="320"/>
      <c r="L629" s="320"/>
      <c r="M629" s="320"/>
      <c r="N629" s="320"/>
    </row>
    <row r="630" spans="1:14">
      <c r="A630" s="320"/>
      <c r="B630" s="320"/>
      <c r="C630" s="320"/>
      <c r="D630" s="320"/>
      <c r="E630" s="320"/>
      <c r="F630" s="320"/>
      <c r="G630" s="320"/>
      <c r="H630" s="320"/>
      <c r="I630" s="320"/>
      <c r="J630" s="320"/>
      <c r="K630" s="320"/>
      <c r="L630" s="320"/>
      <c r="M630" s="320"/>
      <c r="N630" s="320"/>
    </row>
    <row r="631" spans="1:14">
      <c r="A631" s="320"/>
      <c r="B631" s="320"/>
      <c r="C631" s="320"/>
      <c r="D631" s="320"/>
      <c r="E631" s="320"/>
      <c r="F631" s="320"/>
      <c r="G631" s="320"/>
      <c r="H631" s="320"/>
      <c r="I631" s="320"/>
      <c r="J631" s="320"/>
      <c r="K631" s="320"/>
      <c r="L631" s="320"/>
      <c r="M631" s="320"/>
      <c r="N631" s="320"/>
    </row>
    <row r="632" spans="1:14">
      <c r="A632" s="320"/>
      <c r="B632" s="320"/>
      <c r="C632" s="320"/>
      <c r="D632" s="320"/>
      <c r="E632" s="320"/>
      <c r="F632" s="320"/>
      <c r="G632" s="320"/>
      <c r="H632" s="320"/>
      <c r="I632" s="320"/>
      <c r="J632" s="320"/>
      <c r="K632" s="320"/>
      <c r="L632" s="320"/>
      <c r="M632" s="320"/>
      <c r="N632" s="320"/>
    </row>
    <row r="633" spans="1:14">
      <c r="A633" s="320"/>
      <c r="B633" s="324"/>
      <c r="C633" s="320"/>
      <c r="D633" s="320"/>
      <c r="E633" s="320"/>
      <c r="F633" s="320"/>
      <c r="G633" s="320"/>
      <c r="H633" s="320"/>
      <c r="I633" s="320"/>
      <c r="J633" s="320"/>
      <c r="K633" s="320"/>
      <c r="L633" s="320"/>
      <c r="M633" s="320"/>
      <c r="N633" s="320"/>
    </row>
    <row r="634" spans="1:14">
      <c r="A634" s="320"/>
      <c r="B634" s="320"/>
      <c r="C634" s="320"/>
      <c r="D634" s="320"/>
      <c r="E634" s="320"/>
      <c r="F634" s="320"/>
      <c r="G634" s="320"/>
      <c r="H634" s="320"/>
      <c r="I634" s="320"/>
      <c r="J634" s="320"/>
      <c r="K634" s="320"/>
      <c r="L634" s="320"/>
      <c r="M634" s="320"/>
      <c r="N634" s="320"/>
    </row>
    <row r="635" spans="1:14">
      <c r="A635" s="320"/>
      <c r="B635" s="320"/>
      <c r="C635" s="320"/>
      <c r="D635" s="320"/>
      <c r="E635" s="320"/>
      <c r="F635" s="320"/>
      <c r="G635" s="320"/>
      <c r="H635" s="320"/>
      <c r="I635" s="320"/>
      <c r="J635" s="320"/>
      <c r="K635" s="320"/>
      <c r="L635" s="320"/>
      <c r="M635" s="320"/>
      <c r="N635" s="320"/>
    </row>
    <row r="636" spans="1:14">
      <c r="A636" s="320"/>
      <c r="B636" s="320"/>
      <c r="C636" s="320"/>
      <c r="D636" s="320"/>
      <c r="E636" s="320"/>
      <c r="F636" s="320"/>
      <c r="G636" s="320"/>
      <c r="H636" s="320"/>
      <c r="I636" s="320"/>
      <c r="J636" s="320"/>
      <c r="K636" s="320"/>
      <c r="L636" s="320"/>
      <c r="M636" s="320"/>
      <c r="N636" s="320"/>
    </row>
    <row r="637" spans="1:14">
      <c r="A637" s="351"/>
      <c r="B637" s="351"/>
      <c r="C637" s="351"/>
      <c r="D637" s="351"/>
      <c r="E637" s="351"/>
      <c r="F637" s="351"/>
      <c r="G637" s="351"/>
      <c r="H637" s="351"/>
      <c r="I637" s="351"/>
      <c r="J637" s="351"/>
      <c r="K637" s="351"/>
      <c r="L637" s="351"/>
      <c r="M637" s="351"/>
      <c r="N637" s="351"/>
    </row>
    <row r="641" spans="1:14">
      <c r="A641" s="306"/>
      <c r="B641" s="306"/>
      <c r="C641" s="306"/>
      <c r="D641" s="306"/>
      <c r="E641" s="306"/>
      <c r="F641" s="306"/>
      <c r="G641" s="306"/>
      <c r="H641" s="306"/>
      <c r="I641" s="306"/>
      <c r="J641" s="306"/>
      <c r="K641" s="306"/>
      <c r="L641" s="306"/>
      <c r="M641" s="306"/>
      <c r="N641" s="306"/>
    </row>
    <row r="642" spans="1:14">
      <c r="A642" s="306"/>
      <c r="B642" s="306"/>
      <c r="C642" s="306"/>
      <c r="D642" s="306"/>
      <c r="E642" s="306"/>
      <c r="F642" s="306"/>
      <c r="G642" s="306"/>
      <c r="H642" s="306"/>
      <c r="I642" s="306"/>
      <c r="J642" s="306"/>
      <c r="K642" s="306"/>
      <c r="L642" s="306"/>
      <c r="M642" s="306"/>
      <c r="N642" s="306"/>
    </row>
    <row r="643" spans="1:14">
      <c r="A643" s="306"/>
      <c r="B643" s="306"/>
      <c r="C643" s="306"/>
      <c r="D643" s="306"/>
      <c r="E643" s="306"/>
      <c r="F643" s="306"/>
      <c r="G643" s="306"/>
      <c r="H643" s="306"/>
      <c r="I643" s="306"/>
      <c r="J643" s="306"/>
      <c r="K643" s="306"/>
      <c r="L643" s="306"/>
      <c r="M643" s="306"/>
      <c r="N643" s="306"/>
    </row>
    <row r="644" spans="1:14">
      <c r="A644" s="306"/>
      <c r="B644" s="306"/>
      <c r="C644" s="306"/>
      <c r="D644" s="306"/>
      <c r="E644" s="306"/>
      <c r="F644" s="306"/>
      <c r="G644" s="306"/>
      <c r="H644" s="306"/>
      <c r="I644" s="306"/>
      <c r="J644" s="306"/>
      <c r="K644" s="306"/>
      <c r="L644" s="306"/>
      <c r="M644" s="306"/>
      <c r="N644" s="306"/>
    </row>
    <row r="645" spans="1:14">
      <c r="A645" s="306"/>
      <c r="B645" s="306"/>
      <c r="C645" s="306"/>
      <c r="D645" s="306"/>
      <c r="E645" s="306"/>
      <c r="F645" s="306"/>
      <c r="G645" s="306"/>
      <c r="H645" s="306"/>
      <c r="I645" s="306"/>
      <c r="J645" s="306"/>
      <c r="K645" s="306"/>
      <c r="L645" s="306"/>
      <c r="M645" s="306"/>
      <c r="N645" s="306"/>
    </row>
    <row r="650" spans="1:14" ht="15.75" thickBot="1"/>
    <row r="651" spans="1:14">
      <c r="A651" s="1062" t="s">
        <v>428</v>
      </c>
      <c r="B651" s="1063"/>
      <c r="C651" s="1063"/>
      <c r="D651" s="1063"/>
      <c r="E651" s="1063"/>
      <c r="F651" s="1063"/>
      <c r="G651" s="1063"/>
      <c r="H651" s="1063"/>
      <c r="I651" s="1063"/>
      <c r="J651" s="1063"/>
      <c r="K651" s="1063"/>
      <c r="L651" s="1063"/>
      <c r="M651" s="1063"/>
      <c r="N651" s="1063"/>
    </row>
    <row r="652" spans="1:14" ht="15.75" thickBot="1">
      <c r="A652" s="1064"/>
      <c r="B652" s="1065"/>
      <c r="C652" s="1065"/>
      <c r="D652" s="1065"/>
      <c r="E652" s="1065"/>
      <c r="F652" s="1065"/>
      <c r="G652" s="1065"/>
      <c r="H652" s="1065"/>
      <c r="I652" s="1065"/>
      <c r="J652" s="1065"/>
      <c r="K652" s="1065"/>
      <c r="L652" s="1065"/>
      <c r="M652" s="1065"/>
      <c r="N652" s="1065"/>
    </row>
    <row r="653" spans="1:14" ht="15.75" thickBot="1">
      <c r="A653" s="1066" t="s">
        <v>429</v>
      </c>
      <c r="B653" s="1067"/>
      <c r="C653" s="1067"/>
      <c r="D653" s="1067"/>
      <c r="E653" s="1067"/>
      <c r="F653" s="1067"/>
      <c r="G653" s="1067"/>
      <c r="H653" s="1067"/>
      <c r="I653" s="1067"/>
      <c r="J653" s="1067"/>
      <c r="K653" s="1067"/>
      <c r="L653" s="1067"/>
      <c r="M653" s="1067"/>
      <c r="N653" s="1067"/>
    </row>
    <row r="654" spans="1:14">
      <c r="A654" s="300" t="s">
        <v>460</v>
      </c>
      <c r="B654" s="301"/>
      <c r="C654" s="301"/>
      <c r="D654" s="302"/>
      <c r="E654" s="1068" t="s">
        <v>461</v>
      </c>
      <c r="F654" s="1069"/>
      <c r="G654" s="1069"/>
      <c r="H654" s="1070">
        <f>'4-22MASTER'!C210</f>
        <v>0</v>
      </c>
      <c r="I654" s="1070"/>
      <c r="J654" s="328"/>
      <c r="K654" s="328"/>
      <c r="L654" s="328"/>
      <c r="M654" s="328"/>
      <c r="N654" s="328"/>
    </row>
    <row r="655" spans="1:14">
      <c r="A655" s="305"/>
      <c r="B655" s="306" t="s">
        <v>381</v>
      </c>
      <c r="C655" s="306"/>
      <c r="D655" s="307"/>
      <c r="E655" s="329"/>
      <c r="F655" s="330"/>
      <c r="J655" s="330"/>
      <c r="K655" s="330"/>
      <c r="L655" s="330"/>
      <c r="M655" s="330"/>
      <c r="N655" s="330"/>
    </row>
    <row r="656" spans="1:14" ht="15.75" thickBot="1">
      <c r="A656" s="310"/>
      <c r="B656" s="311" t="s">
        <v>382</v>
      </c>
      <c r="C656" s="311"/>
      <c r="D656" s="312"/>
      <c r="E656" s="329"/>
      <c r="F656" s="330"/>
      <c r="G656" s="330"/>
      <c r="H656" s="330"/>
      <c r="I656" s="330"/>
      <c r="J656" s="330"/>
      <c r="K656" s="330"/>
      <c r="L656" s="330"/>
      <c r="M656" s="330"/>
      <c r="N656" s="330"/>
    </row>
    <row r="657" spans="1:14">
      <c r="A657" s="331" t="s">
        <v>462</v>
      </c>
      <c r="B657" s="301"/>
      <c r="C657" s="301"/>
      <c r="D657" s="302"/>
      <c r="E657" s="313" t="s">
        <v>430</v>
      </c>
      <c r="F657" s="301"/>
      <c r="H657" s="301"/>
      <c r="I657" s="301"/>
      <c r="J657" s="301"/>
      <c r="K657" s="301"/>
      <c r="L657" s="301"/>
      <c r="M657" s="301"/>
      <c r="N657" s="301"/>
    </row>
    <row r="658" spans="1:14">
      <c r="A658" s="325"/>
      <c r="B658" s="306"/>
      <c r="C658" s="306">
        <f>'4-22MASTER'!G779</f>
        <v>0</v>
      </c>
      <c r="D658" s="307"/>
      <c r="E658" s="315"/>
      <c r="F658" s="306"/>
      <c r="G658" s="632">
        <f>'4-22MASTER'!O210</f>
        <v>0</v>
      </c>
      <c r="H658" s="306"/>
      <c r="I658" s="306"/>
      <c r="J658" s="306"/>
      <c r="K658" s="306"/>
      <c r="L658" s="306"/>
      <c r="M658" s="306"/>
      <c r="N658" s="306"/>
    </row>
    <row r="659" spans="1:14">
      <c r="A659" s="325"/>
      <c r="B659" s="306"/>
      <c r="C659" s="306"/>
      <c r="D659" s="307"/>
      <c r="E659" s="316"/>
      <c r="F659" s="306"/>
      <c r="G659" s="306"/>
      <c r="H659" s="306"/>
      <c r="I659" s="306"/>
      <c r="J659" s="306"/>
      <c r="K659" s="306"/>
      <c r="L659" s="306"/>
      <c r="M659" s="306"/>
      <c r="N659" s="306"/>
    </row>
    <row r="660" spans="1:14" ht="15.75" thickBot="1">
      <c r="A660" s="326"/>
      <c r="B660" s="327"/>
      <c r="C660" s="327"/>
      <c r="D660" s="332"/>
      <c r="E660" s="310"/>
      <c r="F660" s="311"/>
      <c r="G660" s="311"/>
      <c r="H660" s="311"/>
      <c r="I660" s="311"/>
      <c r="J660" s="311"/>
      <c r="K660" s="311"/>
      <c r="L660" s="311"/>
      <c r="M660" s="311"/>
      <c r="N660" s="311"/>
    </row>
    <row r="661" spans="1:14">
      <c r="A661" s="1071" t="s">
        <v>5</v>
      </c>
      <c r="B661" s="1073" t="s">
        <v>431</v>
      </c>
      <c r="C661" s="1074"/>
      <c r="D661" s="1073" t="s">
        <v>432</v>
      </c>
      <c r="E661" s="1076"/>
      <c r="F661" s="1079" t="s">
        <v>433</v>
      </c>
      <c r="G661" s="1075" t="s">
        <v>434</v>
      </c>
      <c r="H661" s="1080"/>
      <c r="I661" s="1081" t="s">
        <v>435</v>
      </c>
      <c r="J661" s="1080"/>
      <c r="K661" s="1082"/>
      <c r="L661" s="1081" t="s">
        <v>436</v>
      </c>
      <c r="M661" s="1080"/>
      <c r="N661" s="1080"/>
    </row>
    <row r="662" spans="1:14" ht="15.75" thickBot="1">
      <c r="A662" s="1072"/>
      <c r="B662" s="1075"/>
      <c r="C662" s="1076"/>
      <c r="D662" s="1075"/>
      <c r="E662" s="1076"/>
      <c r="F662" s="1071"/>
      <c r="G662" s="1075"/>
      <c r="H662" s="1080"/>
      <c r="I662" s="1083"/>
      <c r="J662" s="1084"/>
      <c r="K662" s="1085"/>
      <c r="L662" s="1083"/>
      <c r="M662" s="1084"/>
      <c r="N662" s="1084"/>
    </row>
    <row r="663" spans="1:14">
      <c r="A663" s="317">
        <v>1</v>
      </c>
      <c r="B663" s="1077"/>
      <c r="C663" s="1078"/>
      <c r="D663" s="1077"/>
      <c r="E663" s="1078"/>
      <c r="F663" s="317">
        <v>6</v>
      </c>
      <c r="G663" s="1077"/>
      <c r="H663" s="1078"/>
      <c r="I663" s="318">
        <v>9</v>
      </c>
      <c r="J663" s="318"/>
      <c r="K663" s="318"/>
      <c r="L663" s="318">
        <v>9</v>
      </c>
      <c r="M663" s="318"/>
      <c r="N663" s="318"/>
    </row>
    <row r="664" spans="1:14" ht="89.25">
      <c r="A664" s="320"/>
      <c r="B664" s="320" t="s">
        <v>437</v>
      </c>
      <c r="C664" s="320" t="s">
        <v>438</v>
      </c>
      <c r="D664" s="320" t="s">
        <v>439</v>
      </c>
      <c r="E664" s="320" t="s">
        <v>136</v>
      </c>
      <c r="F664" s="320"/>
      <c r="G664" s="320" t="s">
        <v>440</v>
      </c>
      <c r="H664" s="320" t="s">
        <v>441</v>
      </c>
      <c r="I664" s="320" t="s">
        <v>442</v>
      </c>
      <c r="J664" s="320" t="s">
        <v>443</v>
      </c>
      <c r="K664" s="320" t="s">
        <v>444</v>
      </c>
      <c r="L664" s="320" t="s">
        <v>445</v>
      </c>
      <c r="M664" s="320" t="s">
        <v>446</v>
      </c>
      <c r="N664" s="321" t="s">
        <v>447</v>
      </c>
    </row>
    <row r="665" spans="1:14">
      <c r="A665" s="320"/>
      <c r="B665" s="322"/>
      <c r="C665" s="320"/>
      <c r="D665" s="320"/>
      <c r="E665" s="320"/>
      <c r="F665" s="320"/>
      <c r="G665" s="320"/>
      <c r="H665" s="320"/>
      <c r="I665" s="320"/>
      <c r="J665" s="320"/>
      <c r="K665" s="351"/>
      <c r="L665" s="351"/>
      <c r="M665" s="351"/>
      <c r="N665" s="320"/>
    </row>
    <row r="666" spans="1:14">
      <c r="A666" s="322"/>
      <c r="B666" s="348"/>
      <c r="C666" s="348"/>
      <c r="D666" s="348"/>
      <c r="E666" s="348"/>
      <c r="F666" s="839"/>
      <c r="G666" s="320"/>
      <c r="H666" s="320"/>
      <c r="I666" s="320"/>
      <c r="J666" s="320"/>
      <c r="K666" s="351"/>
      <c r="L666" s="351"/>
      <c r="M666" s="351"/>
      <c r="N666" s="320"/>
    </row>
    <row r="667" spans="1:14">
      <c r="A667" s="320"/>
      <c r="B667" s="322"/>
      <c r="C667" s="320"/>
      <c r="D667" s="320"/>
      <c r="E667" s="320"/>
      <c r="F667" s="320"/>
      <c r="G667" s="320"/>
      <c r="H667" s="320"/>
      <c r="I667" s="320"/>
      <c r="J667" s="320"/>
      <c r="K667" s="320"/>
      <c r="L667" s="320"/>
      <c r="M667" s="320"/>
      <c r="N667" s="320"/>
    </row>
    <row r="668" spans="1:14">
      <c r="A668" s="320"/>
      <c r="B668" s="320"/>
      <c r="C668" s="320"/>
      <c r="D668" s="320"/>
      <c r="E668" s="320"/>
      <c r="F668" s="320"/>
      <c r="G668" s="320"/>
      <c r="H668" s="320"/>
      <c r="I668" s="320"/>
      <c r="J668" s="320"/>
      <c r="K668" s="320"/>
      <c r="L668" s="320"/>
      <c r="M668" s="320"/>
      <c r="N668" s="320"/>
    </row>
    <row r="669" spans="1:14">
      <c r="A669" s="320"/>
      <c r="B669" s="320"/>
      <c r="C669" s="320"/>
      <c r="D669" s="320"/>
      <c r="E669" s="320"/>
      <c r="F669" s="320"/>
      <c r="G669" s="320"/>
      <c r="H669" s="320"/>
      <c r="I669" s="320"/>
      <c r="J669" s="320"/>
      <c r="K669" s="320"/>
      <c r="L669" s="320"/>
      <c r="M669" s="320"/>
      <c r="N669" s="320"/>
    </row>
    <row r="670" spans="1:14">
      <c r="A670" s="320"/>
      <c r="B670" s="320"/>
      <c r="C670" s="320"/>
      <c r="D670" s="320"/>
      <c r="E670" s="320"/>
      <c r="F670" s="320"/>
      <c r="G670" s="320"/>
      <c r="H670" s="320"/>
      <c r="I670" s="320"/>
      <c r="J670" s="320"/>
      <c r="K670" s="320"/>
      <c r="L670" s="320"/>
      <c r="M670" s="320"/>
      <c r="N670" s="320"/>
    </row>
    <row r="671" spans="1:14">
      <c r="A671" s="320"/>
      <c r="B671" s="320"/>
      <c r="C671" s="320"/>
      <c r="D671" s="320"/>
      <c r="E671" s="320"/>
      <c r="F671" s="320"/>
      <c r="G671" s="320"/>
      <c r="H671" s="320"/>
      <c r="I671" s="320"/>
      <c r="J671" s="320"/>
      <c r="K671" s="320"/>
      <c r="L671" s="320"/>
      <c r="M671" s="320"/>
      <c r="N671" s="320"/>
    </row>
    <row r="672" spans="1:14">
      <c r="A672" s="320"/>
      <c r="B672" s="323"/>
      <c r="C672" s="320"/>
      <c r="D672" s="320"/>
      <c r="E672" s="320"/>
      <c r="F672" s="320"/>
      <c r="G672" s="320"/>
      <c r="H672" s="320"/>
      <c r="I672" s="320"/>
      <c r="J672" s="320"/>
      <c r="K672" s="320"/>
      <c r="L672" s="320"/>
      <c r="M672" s="320"/>
      <c r="N672" s="320"/>
    </row>
    <row r="673" spans="1:14">
      <c r="A673" s="320"/>
      <c r="B673" s="320"/>
      <c r="C673" s="320"/>
      <c r="D673" s="320"/>
      <c r="E673" s="320"/>
      <c r="F673" s="320"/>
      <c r="G673" s="320"/>
      <c r="H673" s="320"/>
      <c r="I673" s="320"/>
      <c r="J673" s="320"/>
      <c r="K673" s="320"/>
      <c r="L673" s="320"/>
      <c r="M673" s="320"/>
      <c r="N673" s="320"/>
    </row>
    <row r="674" spans="1:14">
      <c r="A674" s="320"/>
      <c r="B674" s="320"/>
      <c r="C674" s="320"/>
      <c r="D674" s="320"/>
      <c r="E674" s="320"/>
      <c r="F674" s="320"/>
      <c r="G674" s="320"/>
      <c r="H674" s="320"/>
      <c r="I674" s="320"/>
      <c r="J674" s="320"/>
      <c r="K674" s="320"/>
      <c r="L674" s="320"/>
      <c r="M674" s="320"/>
      <c r="N674" s="320"/>
    </row>
    <row r="675" spans="1:14">
      <c r="A675" s="320"/>
      <c r="B675" s="320"/>
      <c r="C675" s="320"/>
      <c r="D675" s="320"/>
      <c r="E675" s="320"/>
      <c r="F675" s="320"/>
      <c r="G675" s="320"/>
      <c r="H675" s="320"/>
      <c r="I675" s="320"/>
      <c r="J675" s="320"/>
      <c r="K675" s="320"/>
      <c r="L675" s="320"/>
      <c r="M675" s="320"/>
      <c r="N675" s="320"/>
    </row>
    <row r="676" spans="1:14">
      <c r="A676" s="320"/>
      <c r="B676" s="320"/>
      <c r="C676" s="320"/>
      <c r="D676" s="320"/>
      <c r="E676" s="320"/>
      <c r="F676" s="320"/>
      <c r="G676" s="320"/>
      <c r="H676" s="320"/>
      <c r="I676" s="320"/>
      <c r="J676" s="320"/>
      <c r="K676" s="320"/>
      <c r="L676" s="320"/>
      <c r="M676" s="320"/>
      <c r="N676" s="320"/>
    </row>
    <row r="677" spans="1:14">
      <c r="A677" s="320"/>
      <c r="B677" s="320"/>
      <c r="C677" s="320"/>
      <c r="D677" s="320"/>
      <c r="E677" s="320"/>
      <c r="F677" s="320"/>
      <c r="G677" s="320"/>
      <c r="H677" s="320"/>
      <c r="I677" s="320"/>
      <c r="J677" s="320"/>
      <c r="K677" s="320"/>
      <c r="L677" s="320"/>
      <c r="M677" s="320"/>
      <c r="N677" s="320"/>
    </row>
    <row r="678" spans="1:14">
      <c r="A678" s="320"/>
      <c r="B678" s="320"/>
      <c r="C678" s="320"/>
      <c r="D678" s="320"/>
      <c r="E678" s="320"/>
      <c r="F678" s="320"/>
      <c r="G678" s="320"/>
      <c r="H678" s="320"/>
      <c r="I678" s="320"/>
      <c r="J678" s="320"/>
      <c r="K678" s="320"/>
      <c r="L678" s="320"/>
      <c r="M678" s="320"/>
      <c r="N678" s="320"/>
    </row>
    <row r="679" spans="1:14">
      <c r="A679" s="320"/>
      <c r="B679" s="320"/>
      <c r="C679" s="320"/>
      <c r="D679" s="320"/>
      <c r="E679" s="320"/>
      <c r="F679" s="320"/>
      <c r="G679" s="320"/>
      <c r="H679" s="320"/>
      <c r="I679" s="320"/>
      <c r="J679" s="320"/>
      <c r="K679" s="320"/>
      <c r="L679" s="320"/>
      <c r="M679" s="320"/>
      <c r="N679" s="320"/>
    </row>
    <row r="680" spans="1:14">
      <c r="A680" s="320"/>
      <c r="B680" s="324"/>
      <c r="C680" s="320"/>
      <c r="D680" s="320"/>
      <c r="E680" s="320"/>
      <c r="F680" s="320"/>
      <c r="G680" s="320"/>
      <c r="H680" s="320"/>
      <c r="I680" s="320"/>
      <c r="J680" s="320"/>
      <c r="K680" s="320"/>
      <c r="L680" s="320"/>
      <c r="M680" s="320"/>
      <c r="N680" s="320"/>
    </row>
    <row r="681" spans="1:14">
      <c r="A681" s="320"/>
      <c r="B681" s="320"/>
      <c r="C681" s="320"/>
      <c r="D681" s="320"/>
      <c r="E681" s="320"/>
      <c r="F681" s="320"/>
      <c r="G681" s="320"/>
      <c r="H681" s="320"/>
      <c r="I681" s="320"/>
      <c r="J681" s="320"/>
      <c r="K681" s="320"/>
      <c r="L681" s="320"/>
      <c r="M681" s="320"/>
      <c r="N681" s="320"/>
    </row>
    <row r="682" spans="1:14">
      <c r="A682" s="320"/>
      <c r="B682" s="320"/>
      <c r="C682" s="320"/>
      <c r="D682" s="320"/>
      <c r="E682" s="320"/>
      <c r="F682" s="320"/>
      <c r="G682" s="320"/>
      <c r="H682" s="320"/>
      <c r="I682" s="320"/>
      <c r="J682" s="320"/>
      <c r="K682" s="320"/>
      <c r="L682" s="320"/>
      <c r="M682" s="320"/>
      <c r="N682" s="320"/>
    </row>
    <row r="683" spans="1:14">
      <c r="A683" s="320"/>
      <c r="B683" s="320"/>
      <c r="C683" s="320"/>
      <c r="D683" s="320"/>
      <c r="E683" s="320"/>
      <c r="F683" s="320"/>
      <c r="G683" s="320"/>
      <c r="H683" s="320"/>
      <c r="I683" s="320"/>
      <c r="J683" s="320"/>
      <c r="K683" s="320"/>
      <c r="L683" s="320"/>
      <c r="M683" s="320"/>
      <c r="N683" s="320"/>
    </row>
    <row r="684" spans="1:14">
      <c r="A684" s="351"/>
      <c r="B684" s="351"/>
      <c r="C684" s="351"/>
      <c r="D684" s="351"/>
      <c r="E684" s="351"/>
      <c r="F684" s="351"/>
      <c r="G684" s="351"/>
      <c r="H684" s="351"/>
      <c r="I684" s="351"/>
      <c r="J684" s="351"/>
      <c r="K684" s="351"/>
      <c r="L684" s="351"/>
      <c r="M684" s="351"/>
      <c r="N684" s="351"/>
    </row>
  </sheetData>
  <protectedRanges>
    <protectedRange password="CA4D" sqref="A373:O374 A383:O385 A276:O277 A286:O288 A231:O232 A241:O243 A558:N559 A568:N570 A419:O420 A429:O431 A141:O142 A151:O153 A466:O467 A476:O478 A1:P2 A11:P13 A651:N652 A661:N663 A48:P49 A58:P60 A323:O324 A333:O335 A95:P96 A105:P107 A186:O187 A196:O198 A604:N605 A614:N616 A511:N512 A521:N523" name="Range1"/>
    <protectedRange password="CA4D" sqref="A375:O375 A278:O278 A233:O233 A560:N560 A421:O421 A143:O143 A468:O468 A3:P3 A653:N653 A50:P50 A325:O325 A97:P97 A188:O188 A606:N606 A513:N513" name="Range1_6"/>
    <protectedRange password="CA4D" sqref="A279:D285 B235:B240 N282:O285 N237:O240 A654:D660 A607:A613 A326:D332 A376:D382 A189:D195 A469:D475 N7:P10 A4:D10 B607:B611 C607:D613 N54:P57 A51:D57 A234:A240 C234:D240 N101:P104 A98:D104 N192:O195 N610:N613 A422:A428 N329:O332 N379:O382 N425:O428 N472:O475 B428 B422:B426 N657:N660 N147:O150 A144:D150 C422:D428 B613 A561:D567 A514:A520 N517:N520 N564:N567 B520 B514:B518 C514:D520" name="Range1_1"/>
    <protectedRange password="CA4D" sqref="G469:I469 G281:I281 G279:I279 E469:F471 E279:F281 J469:O471 E4:P6 G609:I609 E51:P53 G471:I471 E98:P100 J279:O281 G422:I422 E422:F424 J422:O424 G378:I378 G516:I516 G654:I654 E654:F656 J654:N656 G656:I656 G607:I607 E607:F609 J607:N609 E144:F146 J144:O146 G144:I144 G146:I146 G376:I376 E376:F378 J376:O378 G424:I424 G328:I328 G326:I326 E326:F328 J326:O328 E189:F191 J189:O191 G189:I189 G191:I191 E234:F236 J234:O236 G234:I234 G236:I236 G561:I561 E561:F563 J561:N563 G563:I563 G514:I514 E514:F516 J514:N516" name="Range1_2"/>
    <protectedRange password="CA4D" sqref="G473:G475 G283:G285 H282:M285 H472:M475 G238:G240 E472:F475 E7:M10 H610:M613 E54:M57 E425:F428 E101:M104 E282:F285 E379:F382 G426:G428 H425:M428 H329:M332 H517:M520 G658:G660 H657:M660 E657:F660 E610:F613 G611:G613 E147:F150 H147:M150 G148:G150 E329:F332 G380:G382 H379:M382 E237:F240 H237:M240 G330:G332 E192:F195 H192:M195 G193:G195 G565:G567 H564:M567 E564:F567 E517:F520 G518:G520" name="Range1_2_1"/>
  </protectedRanges>
  <mergeCells count="178">
    <mergeCell ref="O429:O430"/>
    <mergeCell ref="A466:N467"/>
    <mergeCell ref="A468:N468"/>
    <mergeCell ref="E469:G469"/>
    <mergeCell ref="A476:A477"/>
    <mergeCell ref="B476:C478"/>
    <mergeCell ref="D476:E478"/>
    <mergeCell ref="F476:F477"/>
    <mergeCell ref="G476:H478"/>
    <mergeCell ref="I476:K477"/>
    <mergeCell ref="L476:N477"/>
    <mergeCell ref="O476:O477"/>
    <mergeCell ref="H469:I469"/>
    <mergeCell ref="A419:N420"/>
    <mergeCell ref="A421:N421"/>
    <mergeCell ref="E422:G422"/>
    <mergeCell ref="A429:A430"/>
    <mergeCell ref="B429:C431"/>
    <mergeCell ref="D429:E431"/>
    <mergeCell ref="F429:F430"/>
    <mergeCell ref="G429:H431"/>
    <mergeCell ref="I429:K430"/>
    <mergeCell ref="L429:N430"/>
    <mergeCell ref="O333:O334"/>
    <mergeCell ref="A373:N374"/>
    <mergeCell ref="A375:N375"/>
    <mergeCell ref="E376:G376"/>
    <mergeCell ref="A383:A384"/>
    <mergeCell ref="B383:C385"/>
    <mergeCell ref="D383:E385"/>
    <mergeCell ref="F383:F384"/>
    <mergeCell ref="G383:H385"/>
    <mergeCell ref="I383:K384"/>
    <mergeCell ref="L383:N384"/>
    <mergeCell ref="O383:O384"/>
    <mergeCell ref="A323:N324"/>
    <mergeCell ref="A325:N325"/>
    <mergeCell ref="E326:G326"/>
    <mergeCell ref="A333:A334"/>
    <mergeCell ref="B333:C335"/>
    <mergeCell ref="D333:E335"/>
    <mergeCell ref="F333:F334"/>
    <mergeCell ref="G333:H335"/>
    <mergeCell ref="I333:K334"/>
    <mergeCell ref="L333:N334"/>
    <mergeCell ref="O286:O287"/>
    <mergeCell ref="A276:N277"/>
    <mergeCell ref="A278:N278"/>
    <mergeCell ref="E279:G279"/>
    <mergeCell ref="A286:A287"/>
    <mergeCell ref="B286:C288"/>
    <mergeCell ref="D286:E288"/>
    <mergeCell ref="F286:F287"/>
    <mergeCell ref="G286:H288"/>
    <mergeCell ref="I286:K287"/>
    <mergeCell ref="L286:N287"/>
    <mergeCell ref="O196:O197"/>
    <mergeCell ref="A231:N232"/>
    <mergeCell ref="A233:N233"/>
    <mergeCell ref="E234:G234"/>
    <mergeCell ref="A241:A242"/>
    <mergeCell ref="B241:C243"/>
    <mergeCell ref="D241:E243"/>
    <mergeCell ref="F241:F242"/>
    <mergeCell ref="G241:H243"/>
    <mergeCell ref="I241:K242"/>
    <mergeCell ref="L241:N242"/>
    <mergeCell ref="O241:O242"/>
    <mergeCell ref="H234:J234"/>
    <mergeCell ref="I151:K152"/>
    <mergeCell ref="L151:N152"/>
    <mergeCell ref="A186:N187"/>
    <mergeCell ref="A188:N188"/>
    <mergeCell ref="E189:G189"/>
    <mergeCell ref="A196:A197"/>
    <mergeCell ref="B196:C198"/>
    <mergeCell ref="D196:E198"/>
    <mergeCell ref="F196:F197"/>
    <mergeCell ref="G196:H198"/>
    <mergeCell ref="I196:K197"/>
    <mergeCell ref="L196:N197"/>
    <mergeCell ref="F190:I190"/>
    <mergeCell ref="O151:O152"/>
    <mergeCell ref="F145:H145"/>
    <mergeCell ref="A1:N2"/>
    <mergeCell ref="E98:G98"/>
    <mergeCell ref="G99:I99"/>
    <mergeCell ref="A105:A106"/>
    <mergeCell ref="B105:C107"/>
    <mergeCell ref="D105:E107"/>
    <mergeCell ref="F105:F106"/>
    <mergeCell ref="G105:H107"/>
    <mergeCell ref="I105:K106"/>
    <mergeCell ref="A95:N96"/>
    <mergeCell ref="A97:N97"/>
    <mergeCell ref="O11:O12"/>
    <mergeCell ref="O58:O59"/>
    <mergeCell ref="G136:N136"/>
    <mergeCell ref="A141:N142"/>
    <mergeCell ref="A143:N143"/>
    <mergeCell ref="E144:G144"/>
    <mergeCell ref="A151:A152"/>
    <mergeCell ref="B151:C153"/>
    <mergeCell ref="D151:E153"/>
    <mergeCell ref="F151:F152"/>
    <mergeCell ref="G151:H153"/>
    <mergeCell ref="P11:P12"/>
    <mergeCell ref="G42:N42"/>
    <mergeCell ref="A3:N3"/>
    <mergeCell ref="E4:G4"/>
    <mergeCell ref="G5:I5"/>
    <mergeCell ref="A11:A12"/>
    <mergeCell ref="B11:C13"/>
    <mergeCell ref="D11:E13"/>
    <mergeCell ref="F11:F12"/>
    <mergeCell ref="G11:H13"/>
    <mergeCell ref="I11:K12"/>
    <mergeCell ref="L11:N12"/>
    <mergeCell ref="P58:P59"/>
    <mergeCell ref="L105:N106"/>
    <mergeCell ref="O105:O106"/>
    <mergeCell ref="A48:N49"/>
    <mergeCell ref="A50:N50"/>
    <mergeCell ref="E51:G51"/>
    <mergeCell ref="G52:I52"/>
    <mergeCell ref="A58:A59"/>
    <mergeCell ref="B58:C60"/>
    <mergeCell ref="F58:F59"/>
    <mergeCell ref="P105:P106"/>
    <mergeCell ref="G89:N89"/>
    <mergeCell ref="D58:E60"/>
    <mergeCell ref="G58:H60"/>
    <mergeCell ref="I58:K59"/>
    <mergeCell ref="L58:N59"/>
    <mergeCell ref="A511:N512"/>
    <mergeCell ref="A513:N513"/>
    <mergeCell ref="E514:G514"/>
    <mergeCell ref="A521:A522"/>
    <mergeCell ref="B521:C523"/>
    <mergeCell ref="D521:E523"/>
    <mergeCell ref="F521:F522"/>
    <mergeCell ref="G521:H523"/>
    <mergeCell ref="I521:K522"/>
    <mergeCell ref="L521:N522"/>
    <mergeCell ref="H514:I514"/>
    <mergeCell ref="A558:N559"/>
    <mergeCell ref="A560:N560"/>
    <mergeCell ref="E561:G561"/>
    <mergeCell ref="H561:I561"/>
    <mergeCell ref="A568:A569"/>
    <mergeCell ref="B568:C570"/>
    <mergeCell ref="D568:E570"/>
    <mergeCell ref="F568:F569"/>
    <mergeCell ref="G568:H570"/>
    <mergeCell ref="I568:K569"/>
    <mergeCell ref="L568:N569"/>
    <mergeCell ref="A604:N605"/>
    <mergeCell ref="A606:N606"/>
    <mergeCell ref="E607:G607"/>
    <mergeCell ref="A614:A615"/>
    <mergeCell ref="B614:C616"/>
    <mergeCell ref="D614:E616"/>
    <mergeCell ref="F614:F615"/>
    <mergeCell ref="G614:H616"/>
    <mergeCell ref="I614:K615"/>
    <mergeCell ref="L614:N615"/>
    <mergeCell ref="H607:I607"/>
    <mergeCell ref="A651:N652"/>
    <mergeCell ref="A653:N653"/>
    <mergeCell ref="E654:G654"/>
    <mergeCell ref="H654:I654"/>
    <mergeCell ref="A661:A662"/>
    <mergeCell ref="B661:C663"/>
    <mergeCell ref="D661:E663"/>
    <mergeCell ref="F661:F662"/>
    <mergeCell ref="G661:H663"/>
    <mergeCell ref="I661:K662"/>
    <mergeCell ref="L661:N662"/>
  </mergeCells>
  <pageMargins left="0.55000000000000004" right="0.46" top="0.75" bottom="0.75" header="0.3" footer="0.3"/>
  <pageSetup scale="64" orientation="landscape" horizontalDpi="300" verticalDpi="300" r:id="rId1"/>
  <rowBreaks count="3" manualBreakCount="3">
    <brk id="94" max="16" man="1"/>
    <brk id="140" max="16383" man="1"/>
    <brk id="18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1"/>
  <sheetViews>
    <sheetView topLeftCell="A4" workbookViewId="0">
      <pane xSplit="4" ySplit="5" topLeftCell="N19" activePane="bottomRight" state="frozen"/>
      <selection activeCell="A4" sqref="A4"/>
      <selection pane="topRight" activeCell="E4" sqref="E4"/>
      <selection pane="bottomLeft" activeCell="A9" sqref="A9"/>
      <selection pane="bottomRight" activeCell="U22" sqref="U22"/>
    </sheetView>
  </sheetViews>
  <sheetFormatPr defaultColWidth="8.85546875" defaultRowHeight="23.45" customHeight="1"/>
  <cols>
    <col min="1" max="1" width="1" style="7" customWidth="1"/>
    <col min="2" max="2" width="5.5703125" style="7" customWidth="1"/>
    <col min="3" max="3" width="9.5703125" style="7" customWidth="1"/>
    <col min="4" max="4" width="18.85546875" style="7" customWidth="1"/>
    <col min="5" max="5" width="9.28515625" style="7" customWidth="1"/>
    <col min="6" max="6" width="9.7109375" style="7" customWidth="1"/>
    <col min="7" max="10" width="8.85546875" style="7"/>
    <col min="11" max="11" width="7.140625" style="7" customWidth="1"/>
    <col min="12" max="12" width="10.28515625" style="7" customWidth="1"/>
    <col min="13" max="13" width="7" style="7" customWidth="1"/>
    <col min="14" max="14" width="10.28515625" style="7" customWidth="1"/>
    <col min="15" max="15" width="9.85546875" style="7" bestFit="1" customWidth="1"/>
    <col min="16" max="16" width="8.85546875" style="7"/>
    <col min="17" max="17" width="7" style="7" customWidth="1"/>
    <col min="18" max="18" width="8.140625" style="7" customWidth="1"/>
    <col min="19" max="19" width="6.5703125" style="7" customWidth="1"/>
    <col min="20" max="20" width="10.140625" style="7" customWidth="1"/>
    <col min="21" max="21" width="10" style="7" customWidth="1"/>
    <col min="22" max="22" width="7.42578125" style="7" customWidth="1"/>
    <col min="23" max="23" width="4.42578125" style="7" customWidth="1"/>
    <col min="24" max="24" width="4.140625" style="7" customWidth="1"/>
    <col min="25" max="25" width="6.42578125" style="7" customWidth="1"/>
    <col min="26" max="26" width="10.140625" style="7" customWidth="1"/>
    <col min="27" max="27" width="12.140625" style="7" customWidth="1"/>
    <col min="28" max="28" width="16.140625" style="7" customWidth="1"/>
    <col min="29" max="16384" width="8.85546875" style="7"/>
  </cols>
  <sheetData>
    <row r="1" spans="2:28" ht="23.45" customHeight="1" thickBot="1">
      <c r="D1" s="561"/>
      <c r="L1" s="562"/>
      <c r="N1" s="562"/>
    </row>
    <row r="2" spans="2:28" ht="23.45" customHeight="1">
      <c r="B2" s="1098" t="s">
        <v>384</v>
      </c>
      <c r="C2" s="1099"/>
      <c r="D2" s="1099"/>
      <c r="E2" s="1099"/>
      <c r="F2" s="1099"/>
      <c r="G2" s="1099"/>
      <c r="H2" s="1099"/>
      <c r="I2" s="1099"/>
      <c r="J2" s="1099"/>
      <c r="K2" s="1099"/>
      <c r="L2" s="1099"/>
      <c r="M2" s="1099"/>
      <c r="N2" s="1099"/>
      <c r="O2" s="1099"/>
      <c r="P2" s="1099"/>
      <c r="Q2" s="1099"/>
      <c r="R2" s="1099"/>
      <c r="S2" s="1099"/>
      <c r="T2" s="1099"/>
      <c r="U2" s="1099"/>
      <c r="V2" s="1099"/>
      <c r="W2" s="1099"/>
      <c r="X2" s="1099"/>
      <c r="Y2" s="1099"/>
      <c r="Z2" s="1099"/>
      <c r="AA2" s="1099"/>
      <c r="AB2" s="1100"/>
    </row>
    <row r="3" spans="2:28" ht="23.45" customHeight="1">
      <c r="B3" s="1092" t="s">
        <v>385</v>
      </c>
      <c r="C3" s="1093"/>
      <c r="D3" s="1093"/>
      <c r="E3" s="1093"/>
      <c r="F3" s="1093"/>
      <c r="G3" s="1093"/>
      <c r="H3" s="1093"/>
      <c r="I3" s="1093"/>
      <c r="J3" s="1093"/>
      <c r="K3" s="1093"/>
      <c r="L3" s="1093"/>
      <c r="M3" s="1093"/>
      <c r="N3" s="1093"/>
      <c r="O3" s="1093"/>
      <c r="P3" s="1093"/>
      <c r="Q3" s="1093"/>
      <c r="R3" s="1093"/>
      <c r="S3" s="1093"/>
      <c r="T3" s="1093"/>
      <c r="U3" s="1093"/>
      <c r="V3" s="1093"/>
      <c r="W3" s="1093"/>
      <c r="X3" s="1093"/>
      <c r="Y3" s="1093"/>
      <c r="Z3" s="1093"/>
      <c r="AA3" s="1093"/>
      <c r="AB3" s="1094"/>
    </row>
    <row r="4" spans="2:28" ht="23.45" customHeight="1">
      <c r="B4" s="1095" t="s">
        <v>760</v>
      </c>
      <c r="C4" s="1096"/>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7"/>
    </row>
    <row r="5" spans="2:28" ht="23.45" customHeight="1">
      <c r="B5" s="1095" t="s">
        <v>386</v>
      </c>
      <c r="C5" s="1096"/>
      <c r="D5" s="1096"/>
      <c r="E5" s="1096"/>
      <c r="F5" s="1096"/>
      <c r="G5" s="1096"/>
      <c r="H5" s="1096"/>
      <c r="I5" s="1096"/>
      <c r="J5" s="1096"/>
      <c r="K5" s="1096"/>
      <c r="L5" s="1096"/>
      <c r="M5" s="1096"/>
      <c r="N5" s="1096"/>
      <c r="O5" s="1096"/>
      <c r="P5" s="1096"/>
      <c r="Q5" s="1096"/>
      <c r="R5" s="1096"/>
      <c r="S5" s="1096"/>
      <c r="T5" s="1096"/>
      <c r="U5" s="1096"/>
      <c r="V5" s="1096"/>
      <c r="W5" s="1096"/>
      <c r="X5" s="1096"/>
      <c r="Y5" s="1096"/>
      <c r="Z5" s="1096"/>
      <c r="AA5" s="1096"/>
      <c r="AB5" s="1097"/>
    </row>
    <row r="6" spans="2:28" ht="23.45" customHeight="1">
      <c r="B6" s="563"/>
      <c r="C6" s="564"/>
      <c r="D6" s="564"/>
      <c r="E6" s="564"/>
      <c r="F6" s="564"/>
      <c r="G6" s="564"/>
      <c r="H6" s="564"/>
      <c r="I6" s="564"/>
      <c r="J6" s="564"/>
      <c r="K6" s="564"/>
      <c r="L6" s="564"/>
      <c r="M6" s="564"/>
      <c r="N6" s="564"/>
      <c r="O6" s="559" t="s">
        <v>379</v>
      </c>
      <c r="P6" s="564"/>
      <c r="Q6" s="564"/>
      <c r="R6" s="564"/>
      <c r="S6" s="564"/>
      <c r="T6" s="564"/>
      <c r="U6" s="295"/>
      <c r="V6" s="559" t="s">
        <v>407</v>
      </c>
      <c r="W6" s="564"/>
      <c r="X6" s="564"/>
      <c r="Y6" s="564"/>
      <c r="Z6" s="295"/>
      <c r="AA6" s="565"/>
      <c r="AB6" s="566"/>
    </row>
    <row r="7" spans="2:28" ht="42.6" customHeight="1">
      <c r="B7" s="563" t="s">
        <v>355</v>
      </c>
      <c r="C7" s="295" t="s">
        <v>408</v>
      </c>
      <c r="D7" s="567" t="s">
        <v>409</v>
      </c>
      <c r="E7" s="568" t="s">
        <v>620</v>
      </c>
      <c r="F7" s="568" t="s">
        <v>621</v>
      </c>
      <c r="G7" s="569" t="s">
        <v>410</v>
      </c>
      <c r="H7" s="570" t="s">
        <v>411</v>
      </c>
      <c r="I7" s="570" t="s">
        <v>622</v>
      </c>
      <c r="J7" s="568" t="s">
        <v>412</v>
      </c>
      <c r="K7" s="568" t="s">
        <v>413</v>
      </c>
      <c r="L7" s="569" t="s">
        <v>414</v>
      </c>
      <c r="M7" s="568" t="s">
        <v>415</v>
      </c>
      <c r="N7" s="569" t="s">
        <v>416</v>
      </c>
      <c r="O7" s="568" t="s">
        <v>417</v>
      </c>
      <c r="P7" s="568" t="s">
        <v>459</v>
      </c>
      <c r="Q7" s="571" t="s">
        <v>418</v>
      </c>
      <c r="R7" s="568" t="s">
        <v>32</v>
      </c>
      <c r="S7" s="568" t="s">
        <v>419</v>
      </c>
      <c r="T7" s="568" t="s">
        <v>420</v>
      </c>
      <c r="U7" s="568" t="s">
        <v>421</v>
      </c>
      <c r="V7" s="568" t="s">
        <v>422</v>
      </c>
      <c r="W7" s="568" t="s">
        <v>423</v>
      </c>
      <c r="X7" s="568" t="s">
        <v>424</v>
      </c>
      <c r="Y7" s="568" t="s">
        <v>425</v>
      </c>
      <c r="Z7" s="568" t="s">
        <v>426</v>
      </c>
      <c r="AA7" s="572" t="s">
        <v>427</v>
      </c>
      <c r="AB7" s="572" t="s">
        <v>158</v>
      </c>
    </row>
    <row r="9" spans="2:28" ht="23.45" customHeight="1">
      <c r="B9" s="353">
        <v>1</v>
      </c>
      <c r="C9" s="333" t="str">
        <f>'4-22MASTER'!B17</f>
        <v>BITS-542</v>
      </c>
      <c r="D9" s="870" t="str">
        <f>'4-22MASTER'!C17</f>
        <v>Haneef</v>
      </c>
      <c r="E9" s="354">
        <f>'4-22MASTER'!AA17</f>
        <v>37044</v>
      </c>
      <c r="F9" s="354">
        <f>'4-22MASTER'!AE17</f>
        <v>14817.6</v>
      </c>
      <c r="G9" s="354">
        <f>'4-22MASTER'!AF17</f>
        <v>2083</v>
      </c>
      <c r="H9" s="355">
        <f>'4-22MASTER'!AJ17</f>
        <v>1554.6089999999999</v>
      </c>
      <c r="I9" s="355">
        <f>'4-22MASTER'!AH17</f>
        <v>5825.4000000000015</v>
      </c>
      <c r="J9" s="355">
        <f>'4-22MASTER'!AG17</f>
        <v>2083</v>
      </c>
      <c r="K9" s="356"/>
      <c r="L9" s="354">
        <f>'4-22MASTER'!AN17</f>
        <v>68276.425400000007</v>
      </c>
      <c r="M9" s="357">
        <v>0</v>
      </c>
      <c r="N9" s="354">
        <f>'4-22MASTER'!AN17</f>
        <v>68276.425400000007</v>
      </c>
      <c r="O9" s="354">
        <f>'4-22MASTER'!AR17</f>
        <v>0</v>
      </c>
      <c r="P9" s="354">
        <f>'4-22MASTER'!AS17</f>
        <v>391.787848</v>
      </c>
      <c r="Q9" s="354">
        <f>'4-22MASTER'!AQ17</f>
        <v>200</v>
      </c>
      <c r="R9" s="354">
        <f>'4-22MASTER'!AP17</f>
        <v>1800</v>
      </c>
      <c r="S9" s="358">
        <f>'4-22MASTER'!AO17</f>
        <v>0</v>
      </c>
      <c r="T9" s="358">
        <f>'4-22MASTER'!AT17</f>
        <v>2391.7878479999999</v>
      </c>
      <c r="U9" s="354">
        <f>'4-22MASTER'!AU17</f>
        <v>65884.637552</v>
      </c>
      <c r="V9" s="871">
        <v>10</v>
      </c>
      <c r="W9" s="388">
        <v>0</v>
      </c>
      <c r="X9" s="388">
        <v>0</v>
      </c>
      <c r="Y9" s="452">
        <v>11.5</v>
      </c>
      <c r="Z9" s="359" t="str">
        <f>'4-22MASTER'!AV17</f>
        <v>05.05.2022</v>
      </c>
      <c r="AA9" s="359" t="str">
        <f>'4-22MASTER'!AW17</f>
        <v>SBI</v>
      </c>
      <c r="AB9" s="378" t="str">
        <f>'4-22MASTER'!AX17</f>
        <v>A/C'20434252219</v>
      </c>
    </row>
    <row r="10" spans="2:28" ht="23.45" customHeight="1">
      <c r="B10" s="353">
        <v>2</v>
      </c>
      <c r="C10" s="333" t="str">
        <f>'4-22MASTER'!B18</f>
        <v>BITS-557</v>
      </c>
      <c r="D10" s="870" t="str">
        <f>'4-22MASTER'!C18</f>
        <v>Ved Prakash</v>
      </c>
      <c r="E10" s="354">
        <f>'4-22MASTER'!AA18</f>
        <v>28403.599999999999</v>
      </c>
      <c r="F10" s="354">
        <f>'4-22MASTER'!AE18</f>
        <v>11361.44</v>
      </c>
      <c r="G10" s="354">
        <f>'4-22MASTER'!AF18</f>
        <v>1389</v>
      </c>
      <c r="H10" s="355">
        <f>'4-22MASTER'!AJ18</f>
        <v>1554.6089999999999</v>
      </c>
      <c r="I10" s="355">
        <f>'4-22MASTER'!AH18</f>
        <v>4909.2933333333349</v>
      </c>
      <c r="J10" s="355">
        <f>'4-22MASTER'!AG18</f>
        <v>1389</v>
      </c>
      <c r="K10" s="356"/>
      <c r="L10" s="354">
        <f>'4-22MASTER'!AN18</f>
        <v>52740.122159999999</v>
      </c>
      <c r="M10" s="357">
        <v>0</v>
      </c>
      <c r="N10" s="354">
        <f>'4-22MASTER'!AN18</f>
        <v>52740.122159999999</v>
      </c>
      <c r="O10" s="354">
        <f>'4-22MASTER'!AR18</f>
        <v>0</v>
      </c>
      <c r="P10" s="354">
        <f>'4-22MASTER'!AS18</f>
        <v>440.76132899999999</v>
      </c>
      <c r="Q10" s="354">
        <f>'4-22MASTER'!AQ18</f>
        <v>200</v>
      </c>
      <c r="R10" s="354">
        <f>'4-22MASTER'!AP18</f>
        <v>1800</v>
      </c>
      <c r="S10" s="358">
        <f>'4-22MASTER'!AO18</f>
        <v>0</v>
      </c>
      <c r="T10" s="358">
        <f>'4-22MASTER'!AT18</f>
        <v>2440.7613289999999</v>
      </c>
      <c r="U10" s="354">
        <f>'4-22MASTER'!AU18</f>
        <v>50299.360830999998</v>
      </c>
      <c r="V10" s="871">
        <v>10.5</v>
      </c>
      <c r="W10" s="388">
        <v>0</v>
      </c>
      <c r="X10" s="388">
        <v>0</v>
      </c>
      <c r="Y10" s="452">
        <v>12</v>
      </c>
      <c r="Z10" s="359" t="str">
        <f>'4-22MASTER'!AV18</f>
        <v>05.05.2022</v>
      </c>
      <c r="AA10" s="359" t="str">
        <f>'4-22MASTER'!AW18</f>
        <v>HDFC</v>
      </c>
      <c r="AB10" s="378" t="str">
        <f>'4-22MASTER'!AX18</f>
        <v>A/C'50100052341452</v>
      </c>
    </row>
    <row r="11" spans="2:28" ht="23.45" customHeight="1">
      <c r="B11" s="353">
        <v>3</v>
      </c>
      <c r="C11" s="333" t="str">
        <f>'4-22MASTER'!B19</f>
        <v>BITS-559</v>
      </c>
      <c r="D11" s="870" t="str">
        <f>'4-22MASTER'!C19</f>
        <v>GauravVispute</v>
      </c>
      <c r="E11" s="354">
        <f>'4-22MASTER'!AA19</f>
        <v>25057.16</v>
      </c>
      <c r="F11" s="354">
        <f>'4-22MASTER'!AE19</f>
        <v>10022.864000000001</v>
      </c>
      <c r="G11" s="354">
        <f>'4-22MASTER'!AF19</f>
        <v>2014</v>
      </c>
      <c r="H11" s="355">
        <f>'4-22MASTER'!AJ19</f>
        <v>1554.6089999999999</v>
      </c>
      <c r="I11" s="355">
        <f>'4-22MASTER'!AH19</f>
        <v>2766.9093333333294</v>
      </c>
      <c r="J11" s="355">
        <f>'4-22MASTER'!AG19</f>
        <v>2014</v>
      </c>
      <c r="K11" s="356"/>
      <c r="L11" s="354">
        <f>'4-22MASTER'!AN19</f>
        <v>46722.888395999995</v>
      </c>
      <c r="M11" s="357">
        <v>0</v>
      </c>
      <c r="N11" s="354">
        <f>'4-22MASTER'!AN19</f>
        <v>46722.888395999995</v>
      </c>
      <c r="O11" s="354">
        <f>'4-22MASTER'!AR19</f>
        <v>0</v>
      </c>
      <c r="P11" s="354">
        <f>'4-22MASTER'!AS19</f>
        <v>391.787848</v>
      </c>
      <c r="Q11" s="354">
        <f>'4-22MASTER'!AQ19</f>
        <v>200</v>
      </c>
      <c r="R11" s="354">
        <f>'4-22MASTER'!AP19</f>
        <v>1800</v>
      </c>
      <c r="S11" s="358">
        <f>'4-22MASTER'!AO19</f>
        <v>0</v>
      </c>
      <c r="T11" s="358">
        <f>'4-22MASTER'!AT19</f>
        <v>2391.7878479999999</v>
      </c>
      <c r="U11" s="354">
        <f>'4-22MASTER'!AU19</f>
        <v>44331.100547999995</v>
      </c>
      <c r="V11" s="871">
        <v>11.5</v>
      </c>
      <c r="W11" s="388">
        <v>1</v>
      </c>
      <c r="X11" s="388">
        <v>0</v>
      </c>
      <c r="Y11" s="452">
        <v>12</v>
      </c>
      <c r="Z11" s="359" t="str">
        <f>'4-22MASTER'!AV19</f>
        <v>05.05.2022</v>
      </c>
      <c r="AA11" s="359" t="str">
        <f>'4-22MASTER'!AW19</f>
        <v>SBI</v>
      </c>
      <c r="AB11" s="378" t="str">
        <f>'4-22MASTER'!AX19</f>
        <v>A/C'31443937313</v>
      </c>
    </row>
    <row r="12" spans="2:28" ht="23.45" customHeight="1">
      <c r="B12" s="353">
        <v>4</v>
      </c>
      <c r="C12" s="333" t="str">
        <f>'4-22MASTER'!B20</f>
        <v>BITS-658</v>
      </c>
      <c r="D12" s="870" t="str">
        <f>'4-22MASTER'!C20</f>
        <v>Anjali Dubey</v>
      </c>
      <c r="E12" s="354">
        <f>'4-22MASTER'!AA20</f>
        <v>33017.040000000001</v>
      </c>
      <c r="F12" s="354">
        <f>'4-22MASTER'!AE20</f>
        <v>13206.816000000001</v>
      </c>
      <c r="G12" s="354">
        <f>'4-22MASTER'!AF20</f>
        <v>1944</v>
      </c>
      <c r="H12" s="355">
        <f>'4-22MASTER'!AJ20</f>
        <v>1554.6089999999999</v>
      </c>
      <c r="I12" s="355">
        <f>'4-22MASTER'!AH20</f>
        <v>5029.5440000000017</v>
      </c>
      <c r="J12" s="355">
        <f>'4-22MASTER'!AG20</f>
        <v>1944</v>
      </c>
      <c r="K12" s="356"/>
      <c r="L12" s="354">
        <f>'4-22MASTER'!AN20</f>
        <v>61035.548623999995</v>
      </c>
      <c r="M12" s="357">
        <v>0</v>
      </c>
      <c r="N12" s="354">
        <f>'4-22MASTER'!AN20</f>
        <v>61035.548623999995</v>
      </c>
      <c r="O12" s="354">
        <f>'4-22MASTER'!AR20</f>
        <v>0</v>
      </c>
      <c r="P12" s="354">
        <f>'4-22MASTER'!AS20</f>
        <v>254</v>
      </c>
      <c r="Q12" s="354">
        <f>'4-22MASTER'!AQ20</f>
        <v>200</v>
      </c>
      <c r="R12" s="354">
        <f>'4-22MASTER'!AP20</f>
        <v>1800</v>
      </c>
      <c r="S12" s="358">
        <f>'4-22MASTER'!AO20</f>
        <v>0</v>
      </c>
      <c r="T12" s="358">
        <f>'4-22MASTER'!AT20</f>
        <v>2254</v>
      </c>
      <c r="U12" s="354">
        <f>'4-22MASTER'!AU20</f>
        <v>58781.548623999995</v>
      </c>
      <c r="V12" s="871">
        <v>4.5</v>
      </c>
      <c r="W12" s="388">
        <v>1</v>
      </c>
      <c r="X12" s="388">
        <v>0</v>
      </c>
      <c r="Y12" s="452">
        <v>5</v>
      </c>
      <c r="Z12" s="359" t="str">
        <f>'4-22MASTER'!AV20</f>
        <v>05.05.2022</v>
      </c>
      <c r="AA12" s="359" t="str">
        <f>'4-22MASTER'!AW20</f>
        <v>Union bank of India</v>
      </c>
      <c r="AB12" s="378" t="str">
        <f>'4-22MASTER'!AX20</f>
        <v>631302010000771</v>
      </c>
    </row>
    <row r="13" spans="2:28" ht="23.45" customHeight="1">
      <c r="B13" s="353">
        <v>5</v>
      </c>
      <c r="C13" s="333" t="str">
        <f>'4-22MASTER'!B21</f>
        <v>BITS-683</v>
      </c>
      <c r="D13" s="870" t="str">
        <f>'4-22MASTER'!C21</f>
        <v>TUSHAR UCHAGAONKAR</v>
      </c>
      <c r="E13" s="354">
        <f>'4-22MASTER'!AA21</f>
        <v>46498.2</v>
      </c>
      <c r="F13" s="354">
        <f>'4-22MASTER'!AE21</f>
        <v>18599.28</v>
      </c>
      <c r="G13" s="354">
        <f>'4-22MASTER'!AF21</f>
        <v>2083</v>
      </c>
      <c r="H13" s="355">
        <f>'4-22MASTER'!AJ21</f>
        <v>1554.6089999999999</v>
      </c>
      <c r="I13" s="355">
        <f>'4-22MASTER'!AH21</f>
        <v>8346.5200000000041</v>
      </c>
      <c r="J13" s="355">
        <f>'4-22MASTER'!AG21</f>
        <v>2083</v>
      </c>
      <c r="K13" s="356"/>
      <c r="L13" s="354">
        <f>'4-22MASTER'!AN21</f>
        <v>85276.022420000008</v>
      </c>
      <c r="M13" s="357">
        <v>0</v>
      </c>
      <c r="N13" s="354">
        <f>'4-22MASTER'!AN21</f>
        <v>85276.022420000008</v>
      </c>
      <c r="O13" s="354">
        <f>'4-22MASTER'!AR21</f>
        <v>0</v>
      </c>
      <c r="P13" s="354">
        <f>'4-22MASTER'!AS21</f>
        <v>283</v>
      </c>
      <c r="Q13" s="354">
        <f>'4-22MASTER'!AQ21</f>
        <v>200</v>
      </c>
      <c r="R13" s="354">
        <f>'4-22MASTER'!AP21</f>
        <v>1800</v>
      </c>
      <c r="S13" s="358">
        <f>'4-22MASTER'!AO21</f>
        <v>0</v>
      </c>
      <c r="T13" s="358">
        <f>'4-22MASTER'!AT21</f>
        <v>2283</v>
      </c>
      <c r="U13" s="354">
        <f>'4-22MASTER'!AU21</f>
        <v>82993.022420000008</v>
      </c>
      <c r="V13" s="871">
        <v>1.5</v>
      </c>
      <c r="W13" s="388">
        <v>1</v>
      </c>
      <c r="X13" s="388">
        <v>0</v>
      </c>
      <c r="Y13" s="452">
        <v>2</v>
      </c>
      <c r="Z13" s="359" t="str">
        <f>'4-22MASTER'!AV21</f>
        <v>05.05.2022</v>
      </c>
      <c r="AA13" s="359" t="str">
        <f>'4-22MASTER'!AW21</f>
        <v xml:space="preserve">ICICI BANK </v>
      </c>
      <c r="AB13" s="378" t="str">
        <f>'4-22MASTER'!AX21</f>
        <v>042401536750</v>
      </c>
    </row>
    <row r="14" spans="2:28" ht="23.45" customHeight="1">
      <c r="B14" s="353">
        <v>6</v>
      </c>
      <c r="C14" s="333" t="str">
        <f>'4-22MASTER'!B22</f>
        <v>BITS-692</v>
      </c>
      <c r="D14" s="870" t="str">
        <f>'4-22MASTER'!C22</f>
        <v>Sneha Hande</v>
      </c>
      <c r="E14" s="354">
        <f>'4-22MASTER'!AA22</f>
        <v>30370.2</v>
      </c>
      <c r="F14" s="354">
        <f>'4-22MASTER'!AE22</f>
        <v>12148.080000000002</v>
      </c>
      <c r="G14" s="354">
        <f>'4-22MASTER'!AF22</f>
        <v>2083</v>
      </c>
      <c r="H14" s="355">
        <f>'4-22MASTER'!AJ22</f>
        <v>1554.6089999999999</v>
      </c>
      <c r="I14" s="355">
        <f>'4-22MASTER'!AH22</f>
        <v>4045.7200000000012</v>
      </c>
      <c r="J14" s="355">
        <f>'4-22MASTER'!AG22</f>
        <v>2083</v>
      </c>
      <c r="K14" s="356"/>
      <c r="L14" s="354">
        <f>'4-22MASTER'!AN22</f>
        <v>56276.265619999998</v>
      </c>
      <c r="M14" s="357">
        <v>0</v>
      </c>
      <c r="N14" s="354">
        <f>'4-22MASTER'!AN22</f>
        <v>56276.265619999998</v>
      </c>
      <c r="O14" s="354">
        <f>'4-22MASTER'!AR22</f>
        <v>0</v>
      </c>
      <c r="P14" s="354">
        <f>'4-22MASTER'!AS22</f>
        <v>283</v>
      </c>
      <c r="Q14" s="354">
        <f>'4-22MASTER'!AQ22</f>
        <v>200</v>
      </c>
      <c r="R14" s="354">
        <f>'4-22MASTER'!AP22</f>
        <v>1800</v>
      </c>
      <c r="S14" s="358">
        <f>'4-22MASTER'!AO22</f>
        <v>0</v>
      </c>
      <c r="T14" s="358">
        <f>'4-22MASTER'!AT22</f>
        <v>2283</v>
      </c>
      <c r="U14" s="354">
        <f>'4-22MASTER'!AU22</f>
        <v>53993.265619999998</v>
      </c>
      <c r="V14" s="871">
        <v>4.5</v>
      </c>
      <c r="W14" s="388">
        <v>0</v>
      </c>
      <c r="X14" s="388">
        <v>0</v>
      </c>
      <c r="Y14" s="452">
        <v>6</v>
      </c>
      <c r="Z14" s="359" t="str">
        <f>'4-22MASTER'!AV22</f>
        <v>05.05.2022</v>
      </c>
      <c r="AA14" s="359" t="str">
        <f>'4-22MASTER'!AW22</f>
        <v xml:space="preserve">ICICI BANK </v>
      </c>
      <c r="AB14" s="378" t="str">
        <f>'4-22MASTER'!AX22</f>
        <v>148001513263</v>
      </c>
    </row>
    <row r="15" spans="2:28" ht="23.45" customHeight="1">
      <c r="B15" s="353">
        <v>7</v>
      </c>
      <c r="C15" s="333" t="str">
        <f>'4-22MASTER'!B23</f>
        <v>BITS-698</v>
      </c>
      <c r="D15" s="870" t="str">
        <f>'4-22MASTER'!C23</f>
        <v xml:space="preserve">Amol Gole </v>
      </c>
      <c r="E15" s="354">
        <f>'4-22MASTER'!AA23</f>
        <v>39824.400000000001</v>
      </c>
      <c r="F15" s="354">
        <f>'4-22MASTER'!AE23</f>
        <v>15929.760000000002</v>
      </c>
      <c r="G15" s="354">
        <f>'4-22MASTER'!AF23</f>
        <v>2083</v>
      </c>
      <c r="H15" s="355">
        <f>'4-22MASTER'!AJ23</f>
        <v>1554.6089999999999</v>
      </c>
      <c r="I15" s="355">
        <f>'4-22MASTER'!AH23</f>
        <v>6566.8399999999965</v>
      </c>
      <c r="J15" s="355">
        <f>'4-22MASTER'!AG23</f>
        <v>2083</v>
      </c>
      <c r="K15" s="356"/>
      <c r="L15" s="354">
        <f>'4-22MASTER'!AN23</f>
        <v>73275.862639999992</v>
      </c>
      <c r="M15" s="357">
        <v>0</v>
      </c>
      <c r="N15" s="354">
        <f>'4-22MASTER'!AN23</f>
        <v>73275.862639999992</v>
      </c>
      <c r="O15" s="354">
        <f>'4-22MASTER'!AR23</f>
        <v>0</v>
      </c>
      <c r="P15" s="354">
        <f>'4-22MASTER'!AS23</f>
        <v>283</v>
      </c>
      <c r="Q15" s="354">
        <f>'4-22MASTER'!AQ23</f>
        <v>200</v>
      </c>
      <c r="R15" s="354">
        <f>'4-22MASTER'!AP23</f>
        <v>1800</v>
      </c>
      <c r="S15" s="358">
        <f>'4-22MASTER'!AO23</f>
        <v>0</v>
      </c>
      <c r="T15" s="358">
        <f>'4-22MASTER'!AT23</f>
        <v>2283</v>
      </c>
      <c r="U15" s="354">
        <f>'4-22MASTER'!AU23</f>
        <v>70992.862639999992</v>
      </c>
      <c r="V15" s="871">
        <v>3</v>
      </c>
      <c r="W15" s="388">
        <v>1</v>
      </c>
      <c r="X15" s="388">
        <v>0</v>
      </c>
      <c r="Y15" s="452">
        <v>3.5</v>
      </c>
      <c r="Z15" s="359" t="str">
        <f>'4-22MASTER'!AV23</f>
        <v>05.05.2022</v>
      </c>
      <c r="AA15" s="359" t="str">
        <f>'4-22MASTER'!AW23</f>
        <v xml:space="preserve">ICICI BANK </v>
      </c>
      <c r="AB15" s="378" t="str">
        <f>'4-22MASTER'!AX23</f>
        <v>623901548420</v>
      </c>
    </row>
    <row r="16" spans="2:28" ht="23.45" customHeight="1">
      <c r="B16" s="353">
        <v>8</v>
      </c>
      <c r="C16" s="333" t="str">
        <f>'4-22MASTER'!B24</f>
        <v>BITS-700</v>
      </c>
      <c r="D16" s="870" t="str">
        <f>'4-22MASTER'!C24</f>
        <v>Sandeep Dixit</v>
      </c>
      <c r="E16" s="354">
        <f>'4-22MASTER'!AA24</f>
        <v>103780.8</v>
      </c>
      <c r="F16" s="354">
        <f>'4-22MASTER'!AE24</f>
        <v>41512.320000000007</v>
      </c>
      <c r="G16" s="354">
        <f>'4-22MASTER'!AF24</f>
        <v>2083</v>
      </c>
      <c r="H16" s="355">
        <f>'4-22MASTER'!AJ24</f>
        <v>1554.6089999999999</v>
      </c>
      <c r="I16" s="355">
        <f>'4-22MASTER'!AH24</f>
        <v>23621.880000000005</v>
      </c>
      <c r="J16" s="355">
        <f>'4-22MASTER'!AG24</f>
        <v>2083</v>
      </c>
      <c r="K16" s="356"/>
      <c r="L16" s="354">
        <f>'4-22MASTER'!AN24</f>
        <v>188275.86547999998</v>
      </c>
      <c r="M16" s="357">
        <v>0</v>
      </c>
      <c r="N16" s="354">
        <f>'4-22MASTER'!AN24</f>
        <v>188275.86547999998</v>
      </c>
      <c r="O16" s="354">
        <f>'4-22MASTER'!AR24</f>
        <v>0</v>
      </c>
      <c r="P16" s="354">
        <f>'4-22MASTER'!AS24</f>
        <v>283</v>
      </c>
      <c r="Q16" s="354">
        <f>'4-22MASTER'!AQ24</f>
        <v>200</v>
      </c>
      <c r="R16" s="354">
        <f>'4-22MASTER'!AP24</f>
        <v>1800</v>
      </c>
      <c r="S16" s="358">
        <f>'4-22MASTER'!AO24</f>
        <v>0</v>
      </c>
      <c r="T16" s="358">
        <f>'4-22MASTER'!AT24</f>
        <v>2283</v>
      </c>
      <c r="U16" s="354">
        <f>'4-22MASTER'!AU24</f>
        <v>185992.86547999998</v>
      </c>
      <c r="V16" s="871">
        <v>6</v>
      </c>
      <c r="W16" s="388">
        <v>0</v>
      </c>
      <c r="X16" s="388">
        <v>0</v>
      </c>
      <c r="Y16" s="452">
        <v>7.5</v>
      </c>
      <c r="Z16" s="359" t="str">
        <f>'4-22MASTER'!AV24</f>
        <v>05.05.2022</v>
      </c>
      <c r="AA16" s="359" t="str">
        <f>'4-22MASTER'!AW24</f>
        <v>Punjab National Bank</v>
      </c>
      <c r="AB16" s="378" t="str">
        <f>'4-22MASTER'!AX24</f>
        <v>12372191001001</v>
      </c>
    </row>
    <row r="17" spans="1:28" ht="23.45" customHeight="1">
      <c r="B17" s="353">
        <v>9</v>
      </c>
      <c r="C17" s="333" t="str">
        <f>'4-22MASTER'!B25</f>
        <v>BITS-717</v>
      </c>
      <c r="D17" s="870" t="str">
        <f>'4-22MASTER'!C25</f>
        <v>Jaikesh Upadhyay  </v>
      </c>
      <c r="E17" s="354">
        <f>'4-22MASTER'!AA25</f>
        <v>67631.399999999994</v>
      </c>
      <c r="F17" s="354">
        <f>'4-22MASTER'!AE25</f>
        <v>27052.559999999998</v>
      </c>
      <c r="G17" s="354">
        <f>'4-22MASTER'!AF25</f>
        <v>2083</v>
      </c>
      <c r="H17" s="355">
        <f>'4-22MASTER'!AJ25</f>
        <v>1554.6089999999999</v>
      </c>
      <c r="I17" s="355">
        <f>'4-22MASTER'!AH25</f>
        <v>13982.040000000008</v>
      </c>
      <c r="J17" s="355">
        <f>'4-22MASTER'!AG25</f>
        <v>2083</v>
      </c>
      <c r="K17" s="356"/>
      <c r="L17" s="354">
        <f>'4-22MASTER'!AN25</f>
        <v>123275.62934</v>
      </c>
      <c r="M17" s="357">
        <v>0</v>
      </c>
      <c r="N17" s="354">
        <f>'4-22MASTER'!AN25</f>
        <v>123275.62934</v>
      </c>
      <c r="O17" s="354">
        <f>'4-22MASTER'!AR25</f>
        <v>0</v>
      </c>
      <c r="P17" s="354">
        <f>'4-22MASTER'!AS25</f>
        <v>283</v>
      </c>
      <c r="Q17" s="354">
        <f>'4-22MASTER'!AQ25</f>
        <v>200</v>
      </c>
      <c r="R17" s="354">
        <f>'4-22MASTER'!AP25</f>
        <v>1800</v>
      </c>
      <c r="S17" s="358">
        <f>'4-22MASTER'!AO25</f>
        <v>0</v>
      </c>
      <c r="T17" s="358">
        <f>'4-22MASTER'!AT25</f>
        <v>2283</v>
      </c>
      <c r="U17" s="354">
        <f>'4-22MASTER'!AU25</f>
        <v>120992.62934</v>
      </c>
      <c r="V17" s="871">
        <v>8</v>
      </c>
      <c r="W17" s="388">
        <v>1</v>
      </c>
      <c r="X17" s="388">
        <v>0</v>
      </c>
      <c r="Y17" s="452">
        <v>8.5</v>
      </c>
      <c r="Z17" s="359" t="str">
        <f>'4-22MASTER'!AV25</f>
        <v>05.05.2022</v>
      </c>
      <c r="AA17" s="359" t="str">
        <f>'4-22MASTER'!AW25</f>
        <v xml:space="preserve">ICICI BANK </v>
      </c>
      <c r="AB17" s="378" t="str">
        <f>'4-22MASTER'!AX25</f>
        <v>338201500480</v>
      </c>
    </row>
    <row r="18" spans="1:28" ht="23.45" customHeight="1">
      <c r="A18" s="507"/>
      <c r="B18" s="353">
        <v>10</v>
      </c>
      <c r="C18" s="333" t="str">
        <f>'4-22MASTER'!B26</f>
        <v>BITS-720</v>
      </c>
      <c r="D18" s="870" t="str">
        <f>'4-22MASTER'!C26</f>
        <v>Jyoti Singh</v>
      </c>
      <c r="E18" s="354">
        <f>'4-22MASTER'!AA26</f>
        <v>62070</v>
      </c>
      <c r="F18" s="354">
        <f>'4-22MASTER'!AE26</f>
        <v>24828</v>
      </c>
      <c r="G18" s="354">
        <f>'4-22MASTER'!AF26</f>
        <v>2083</v>
      </c>
      <c r="H18" s="355">
        <f>'4-22MASTER'!AJ26</f>
        <v>1554.6089999999999</v>
      </c>
      <c r="I18" s="355">
        <f>'4-22MASTER'!AH26</f>
        <v>12499</v>
      </c>
      <c r="J18" s="355">
        <f>'4-22MASTER'!AG26</f>
        <v>2083</v>
      </c>
      <c r="K18" s="356"/>
      <c r="L18" s="354">
        <f>'4-22MASTER'!AN26</f>
        <v>113275.67599999999</v>
      </c>
      <c r="M18" s="357">
        <v>0</v>
      </c>
      <c r="N18" s="354">
        <f>'4-22MASTER'!AN26</f>
        <v>113275.67599999999</v>
      </c>
      <c r="O18" s="354">
        <f>'4-22MASTER'!AR26</f>
        <v>0</v>
      </c>
      <c r="P18" s="354">
        <f>'4-22MASTER'!AS26</f>
        <v>283</v>
      </c>
      <c r="Q18" s="354">
        <f>'4-22MASTER'!AQ26</f>
        <v>200</v>
      </c>
      <c r="R18" s="354">
        <f>'4-22MASTER'!AP26</f>
        <v>0</v>
      </c>
      <c r="S18" s="358">
        <f>'4-22MASTER'!AO26</f>
        <v>0</v>
      </c>
      <c r="T18" s="358">
        <f>'4-22MASTER'!AT26</f>
        <v>483</v>
      </c>
      <c r="U18" s="354">
        <f>'4-22MASTER'!AU26</f>
        <v>112792.67599999999</v>
      </c>
      <c r="V18" s="871">
        <v>9</v>
      </c>
      <c r="W18" s="388">
        <v>0</v>
      </c>
      <c r="X18" s="388">
        <v>0</v>
      </c>
      <c r="Y18" s="452">
        <v>10.5</v>
      </c>
      <c r="Z18" s="359" t="str">
        <f>'4-22MASTER'!AV26</f>
        <v>05.05.2022</v>
      </c>
      <c r="AA18" s="359" t="str">
        <f>'4-22MASTER'!AW26</f>
        <v xml:space="preserve">ICICI BANK </v>
      </c>
      <c r="AB18" s="378" t="str">
        <f>'4-22MASTER'!AX26</f>
        <v>341901505420</v>
      </c>
    </row>
    <row r="19" spans="1:28" ht="23.45" customHeight="1">
      <c r="A19" s="551"/>
      <c r="B19" s="353">
        <v>11</v>
      </c>
      <c r="C19" s="333" t="str">
        <f>'4-22MASTER'!B27</f>
        <v>BITS-733</v>
      </c>
      <c r="D19" s="870" t="str">
        <f>'4-22MASTER'!C27</f>
        <v>Chandrashekar Patil</v>
      </c>
      <c r="E19" s="354">
        <f>'4-22MASTER'!AA27</f>
        <v>39846.060000000005</v>
      </c>
      <c r="F19" s="354">
        <f>'4-22MASTER'!AE27</f>
        <v>15938.424000000003</v>
      </c>
      <c r="G19" s="354">
        <f>'4-22MASTER'!AF27</f>
        <v>1875</v>
      </c>
      <c r="H19" s="355">
        <f>'4-22MASTER'!AJ27</f>
        <v>1554.6089999999999</v>
      </c>
      <c r="I19" s="355">
        <f>'4-22MASTER'!AH27</f>
        <v>6988.6159999999945</v>
      </c>
      <c r="J19" s="355">
        <f>'4-22MASTER'!AG27</f>
        <v>1875</v>
      </c>
      <c r="K19" s="356"/>
      <c r="L19" s="354">
        <f>'4-22MASTER'!AN27</f>
        <v>73314.809486000013</v>
      </c>
      <c r="M19" s="357">
        <v>0</v>
      </c>
      <c r="N19" s="354">
        <f>'4-22MASTER'!AN27</f>
        <v>73314.809486000013</v>
      </c>
      <c r="O19" s="354">
        <f>'4-22MASTER'!AR27</f>
        <v>0</v>
      </c>
      <c r="P19" s="354">
        <f>'4-22MASTER'!AS27</f>
        <v>283</v>
      </c>
      <c r="Q19" s="354">
        <f>'4-22MASTER'!AQ27</f>
        <v>200</v>
      </c>
      <c r="R19" s="354">
        <f>'4-22MASTER'!AP27</f>
        <v>1800</v>
      </c>
      <c r="S19" s="358">
        <f>'4-22MASTER'!AO27</f>
        <v>0</v>
      </c>
      <c r="T19" s="358">
        <f>'4-22MASTER'!AT27</f>
        <v>2283</v>
      </c>
      <c r="U19" s="354">
        <f>'4-22MASTER'!AU27</f>
        <v>71031.809486000013</v>
      </c>
      <c r="V19" s="871">
        <v>0.5</v>
      </c>
      <c r="W19" s="388">
        <v>1</v>
      </c>
      <c r="X19" s="388">
        <v>0</v>
      </c>
      <c r="Y19" s="452">
        <v>1</v>
      </c>
      <c r="Z19" s="359" t="str">
        <f>'4-22MASTER'!AV27</f>
        <v>05.05.2022</v>
      </c>
      <c r="AA19" s="359" t="str">
        <f>'4-22MASTER'!AW27</f>
        <v>HDFC</v>
      </c>
      <c r="AB19" s="378" t="str">
        <f>'4-22MASTER'!AX27</f>
        <v>100783283673</v>
      </c>
    </row>
    <row r="20" spans="1:28" ht="23.45" customHeight="1">
      <c r="A20" s="551"/>
      <c r="B20" s="353">
        <v>12</v>
      </c>
      <c r="C20" s="333" t="str">
        <f>'4-22MASTER'!B28</f>
        <v>BITS-734</v>
      </c>
      <c r="D20" s="870" t="str">
        <f>'4-22MASTER'!C28</f>
        <v xml:space="preserve">ShaikFarooq Basha </v>
      </c>
      <c r="E20" s="354">
        <f>'4-22MASTER'!AA28</f>
        <v>62070</v>
      </c>
      <c r="F20" s="354">
        <f>'4-22MASTER'!AE28</f>
        <v>24828</v>
      </c>
      <c r="G20" s="354">
        <f>'4-22MASTER'!AF28</f>
        <v>2083</v>
      </c>
      <c r="H20" s="355">
        <f>'4-22MASTER'!AJ28</f>
        <v>1554.6089999999999</v>
      </c>
      <c r="I20" s="355">
        <f>'4-22MASTER'!AH28</f>
        <v>12499</v>
      </c>
      <c r="J20" s="355">
        <f>'4-22MASTER'!AG28</f>
        <v>2083</v>
      </c>
      <c r="K20" s="356"/>
      <c r="L20" s="354">
        <f>'4-22MASTER'!AN28</f>
        <v>113275.67599999999</v>
      </c>
      <c r="M20" s="357">
        <v>0</v>
      </c>
      <c r="N20" s="354">
        <f>'4-22MASTER'!AN28</f>
        <v>113275.67599999999</v>
      </c>
      <c r="O20" s="354">
        <f>'4-22MASTER'!AR28</f>
        <v>7419</v>
      </c>
      <c r="P20" s="354">
        <f>'4-22MASTER'!AS28</f>
        <v>283</v>
      </c>
      <c r="Q20" s="354">
        <f>'4-22MASTER'!AQ28</f>
        <v>200</v>
      </c>
      <c r="R20" s="354">
        <f>'4-22MASTER'!AP28</f>
        <v>1800</v>
      </c>
      <c r="S20" s="358">
        <f>'4-22MASTER'!AO28</f>
        <v>0</v>
      </c>
      <c r="T20" s="358">
        <f>'4-22MASTER'!AT28</f>
        <v>9702</v>
      </c>
      <c r="U20" s="354">
        <f>'4-22MASTER'!AU28</f>
        <v>103573.67599999999</v>
      </c>
      <c r="V20" s="871">
        <v>0</v>
      </c>
      <c r="W20" s="388">
        <v>0</v>
      </c>
      <c r="X20" s="388">
        <v>0</v>
      </c>
      <c r="Y20" s="452">
        <v>1.5</v>
      </c>
      <c r="Z20" s="359" t="str">
        <f>'4-22MASTER'!AV28</f>
        <v>05.05.2022</v>
      </c>
      <c r="AA20" s="359" t="str">
        <f>'4-22MASTER'!AW28</f>
        <v>HDFC</v>
      </c>
      <c r="AB20" s="378" t="str">
        <f>'4-22MASTER'!AX28</f>
        <v>50100383537784</v>
      </c>
    </row>
    <row r="21" spans="1:28" ht="23.45" customHeight="1">
      <c r="B21" s="353">
        <v>13</v>
      </c>
      <c r="C21" s="333" t="str">
        <f>'4-22MASTER'!B29</f>
        <v>BITS-738</v>
      </c>
      <c r="D21" s="870" t="str">
        <f>'4-22MASTER'!C29</f>
        <v>NILOTPAL BHOWAL</v>
      </c>
      <c r="E21" s="354">
        <f>'4-22MASTER'!AA29</f>
        <v>73192.800000000003</v>
      </c>
      <c r="F21" s="354">
        <f>'4-22MASTER'!AE29</f>
        <v>29277.120000000003</v>
      </c>
      <c r="G21" s="354">
        <f>'4-22MASTER'!AF29</f>
        <v>2083</v>
      </c>
      <c r="H21" s="355">
        <f>'4-22MASTER'!AJ29</f>
        <v>1554.6089999999999</v>
      </c>
      <c r="I21" s="355">
        <f>'4-22MASTER'!AH29</f>
        <v>15465.079999999987</v>
      </c>
      <c r="J21" s="355">
        <f>'4-22MASTER'!AG29</f>
        <v>2083</v>
      </c>
      <c r="K21" s="356"/>
      <c r="L21" s="354">
        <f>'4-22MASTER'!AN29</f>
        <v>133275.58267999999</v>
      </c>
      <c r="M21" s="357">
        <v>0</v>
      </c>
      <c r="N21" s="354">
        <f>'4-22MASTER'!AN29</f>
        <v>133275.58267999999</v>
      </c>
      <c r="O21" s="354">
        <f>'4-22MASTER'!AR29</f>
        <v>0</v>
      </c>
      <c r="P21" s="354">
        <f>'4-22MASTER'!AS29</f>
        <v>283</v>
      </c>
      <c r="Q21" s="354">
        <f>'4-22MASTER'!AQ29</f>
        <v>200</v>
      </c>
      <c r="R21" s="354">
        <f>'4-22MASTER'!AP29</f>
        <v>1800</v>
      </c>
      <c r="S21" s="358">
        <f>'4-22MASTER'!AO29</f>
        <v>0</v>
      </c>
      <c r="T21" s="358">
        <f>'4-22MASTER'!AT29</f>
        <v>2283</v>
      </c>
      <c r="U21" s="354">
        <f>'4-22MASTER'!AU29</f>
        <v>130992.58267999999</v>
      </c>
      <c r="V21" s="871">
        <v>0</v>
      </c>
      <c r="W21" s="388">
        <v>0</v>
      </c>
      <c r="X21" s="388">
        <v>0</v>
      </c>
      <c r="Y21" s="452">
        <v>1.5</v>
      </c>
      <c r="Z21" s="359" t="str">
        <f>'4-22MASTER'!AV29</f>
        <v>05.05.2022</v>
      </c>
      <c r="AA21" s="359" t="str">
        <f>'4-22MASTER'!AW29</f>
        <v>ICICI bank</v>
      </c>
      <c r="AB21" s="378" t="str">
        <f>'4-22MASTER'!AX29</f>
        <v>272301504703</v>
      </c>
    </row>
    <row r="22" spans="1:28" ht="23.45" customHeight="1">
      <c r="B22" s="353">
        <v>14</v>
      </c>
      <c r="C22" s="333" t="str">
        <f>'4-22MASTER'!B30</f>
        <v>BITS-751</v>
      </c>
      <c r="D22" s="870" t="str">
        <f>'4-22MASTER'!C30</f>
        <v>Varsha Amit Kadam</v>
      </c>
      <c r="E22" s="354">
        <f>'4-22MASTER'!AA30</f>
        <v>6518.88</v>
      </c>
      <c r="F22" s="354">
        <f>'4-22MASTER'!AE30</f>
        <v>2607.5520000000001</v>
      </c>
      <c r="G22" s="354">
        <f>'4-22MASTER'!AF30</f>
        <v>417</v>
      </c>
      <c r="H22" s="355">
        <f>'4-22MASTER'!AJ30</f>
        <v>1554.6089999999999</v>
      </c>
      <c r="I22" s="355">
        <f>'4-22MASTER'!AH30</f>
        <v>1017.3679999999986</v>
      </c>
      <c r="J22" s="355">
        <f>'4-22MASTER'!AG30</f>
        <v>417</v>
      </c>
      <c r="K22" s="356"/>
      <c r="L22" s="354">
        <f>'4-22MASTER'!AN30</f>
        <v>13389.207128</v>
      </c>
      <c r="M22" s="357">
        <v>0</v>
      </c>
      <c r="N22" s="354">
        <f>'4-22MASTER'!AN30</f>
        <v>13389.207128</v>
      </c>
      <c r="O22" s="354">
        <f>'4-22MASTER'!AR30</f>
        <v>0</v>
      </c>
      <c r="P22" s="354">
        <f>'4-22MASTER'!AS30</f>
        <v>0</v>
      </c>
      <c r="Q22" s="354">
        <f>'4-22MASTER'!AQ30</f>
        <v>0</v>
      </c>
      <c r="R22" s="354">
        <f>'4-22MASTER'!AP30</f>
        <v>782</v>
      </c>
      <c r="S22" s="358">
        <f>'4-22MASTER'!AO30</f>
        <v>0</v>
      </c>
      <c r="T22" s="358">
        <f>'4-22MASTER'!AT30</f>
        <v>782</v>
      </c>
      <c r="U22" s="354">
        <f>'4-22MASTER'!AU30</f>
        <v>12607.207128</v>
      </c>
      <c r="V22" s="871">
        <v>0</v>
      </c>
      <c r="W22" s="388">
        <v>0</v>
      </c>
      <c r="X22" s="388">
        <v>0</v>
      </c>
      <c r="Y22" s="452">
        <v>0</v>
      </c>
      <c r="Z22" s="359" t="str">
        <f>'4-22MASTER'!AV30</f>
        <v>05.05.2022</v>
      </c>
      <c r="AA22" s="359" t="str">
        <f>'4-22MASTER'!AW30</f>
        <v>Kotak Mahindra Bank</v>
      </c>
      <c r="AB22" s="378" t="str">
        <f>'4-22MASTER'!AX30</f>
        <v>7311156365</v>
      </c>
    </row>
    <row r="23" spans="1:28" ht="23.45" customHeight="1">
      <c r="B23" s="353">
        <v>15</v>
      </c>
      <c r="C23" s="333"/>
      <c r="D23" s="870"/>
      <c r="E23" s="354">
        <f t="shared" ref="E23:J23" si="0">SUM(E9:E22)</f>
        <v>655324.54000000015</v>
      </c>
      <c r="F23" s="354">
        <f t="shared" si="0"/>
        <v>262129.81599999999</v>
      </c>
      <c r="G23" s="354">
        <f t="shared" si="0"/>
        <v>26386</v>
      </c>
      <c r="H23" s="355">
        <f t="shared" si="0"/>
        <v>21764.526000000002</v>
      </c>
      <c r="I23" s="355">
        <f t="shared" si="0"/>
        <v>123563.21066666667</v>
      </c>
      <c r="J23" s="355">
        <f t="shared" si="0"/>
        <v>26386</v>
      </c>
      <c r="K23" s="356"/>
      <c r="L23" s="354">
        <f t="shared" ref="L23:U23" si="1">SUM(L9:L22)</f>
        <v>1201685.5813740001</v>
      </c>
      <c r="M23" s="357">
        <f t="shared" si="1"/>
        <v>0</v>
      </c>
      <c r="N23" s="354">
        <f t="shared" si="1"/>
        <v>1201685.5813740001</v>
      </c>
      <c r="O23" s="354">
        <f t="shared" si="1"/>
        <v>7419</v>
      </c>
      <c r="P23" s="354">
        <f t="shared" si="1"/>
        <v>4025.3370249999998</v>
      </c>
      <c r="Q23" s="354">
        <f t="shared" si="1"/>
        <v>2600</v>
      </c>
      <c r="R23" s="354">
        <f t="shared" si="1"/>
        <v>22382</v>
      </c>
      <c r="S23" s="358">
        <f t="shared" si="1"/>
        <v>0</v>
      </c>
      <c r="T23" s="358">
        <f t="shared" si="1"/>
        <v>36426.337025000001</v>
      </c>
      <c r="U23" s="354">
        <f t="shared" si="1"/>
        <v>1165259.244349</v>
      </c>
      <c r="V23" s="871"/>
      <c r="W23" s="388"/>
      <c r="X23" s="388"/>
      <c r="Y23" s="452"/>
      <c r="Z23" s="359"/>
      <c r="AA23" s="359"/>
      <c r="AB23" s="378"/>
    </row>
    <row r="24" spans="1:28" ht="23.45" customHeight="1">
      <c r="B24" s="353">
        <v>16</v>
      </c>
      <c r="C24" s="333"/>
      <c r="D24" s="870"/>
      <c r="E24" s="354"/>
      <c r="F24" s="354"/>
      <c r="G24" s="354"/>
      <c r="H24" s="355"/>
      <c r="I24" s="355"/>
      <c r="J24" s="355"/>
      <c r="K24" s="356"/>
      <c r="L24" s="354"/>
      <c r="M24" s="357"/>
      <c r="N24" s="354"/>
      <c r="O24" s="354"/>
      <c r="P24" s="354"/>
      <c r="Q24" s="354"/>
      <c r="R24" s="354"/>
      <c r="S24" s="358"/>
      <c r="T24" s="358"/>
      <c r="U24" s="354"/>
      <c r="V24" s="871"/>
      <c r="W24" s="388"/>
      <c r="X24" s="388"/>
      <c r="Y24" s="452"/>
      <c r="Z24" s="359"/>
      <c r="AA24" s="359"/>
      <c r="AB24" s="378"/>
    </row>
    <row r="25" spans="1:28" ht="23.45" customHeight="1">
      <c r="B25" s="367"/>
      <c r="C25" s="341"/>
      <c r="D25" s="368"/>
      <c r="E25" s="369"/>
      <c r="F25" s="369"/>
      <c r="G25" s="369"/>
      <c r="H25" s="370"/>
      <c r="I25" s="370"/>
      <c r="J25" s="370"/>
      <c r="K25" s="371"/>
      <c r="L25" s="369"/>
      <c r="M25" s="372"/>
      <c r="N25" s="369"/>
      <c r="O25" s="369"/>
      <c r="P25" s="369"/>
      <c r="Q25" s="369"/>
      <c r="R25" s="369"/>
      <c r="S25" s="373"/>
      <c r="T25" s="373"/>
      <c r="U25" s="369"/>
      <c r="V25" s="453"/>
      <c r="W25" s="453"/>
      <c r="X25" s="453"/>
      <c r="Y25" s="454"/>
      <c r="Z25" s="376"/>
      <c r="AA25" s="376"/>
      <c r="AB25" s="455"/>
    </row>
    <row r="26" spans="1:28" ht="23.45" customHeight="1">
      <c r="B26" s="367"/>
      <c r="C26" s="341"/>
      <c r="D26" s="368"/>
      <c r="E26" s="369"/>
      <c r="F26" s="369"/>
      <c r="G26" s="369"/>
      <c r="H26" s="370"/>
      <c r="I26" s="370"/>
      <c r="J26" s="370"/>
      <c r="K26" s="371"/>
      <c r="L26" s="369"/>
      <c r="M26" s="372"/>
      <c r="N26" s="369"/>
      <c r="O26" s="369"/>
      <c r="P26" s="369"/>
      <c r="Q26" s="369"/>
      <c r="R26" s="369"/>
      <c r="S26" s="373"/>
      <c r="T26" s="373"/>
      <c r="U26" s="369"/>
      <c r="V26" s="453"/>
      <c r="W26" s="453"/>
      <c r="X26" s="453"/>
      <c r="Y26" s="454"/>
      <c r="Z26" s="376"/>
      <c r="AA26" s="376"/>
      <c r="AB26" s="455"/>
    </row>
    <row r="27" spans="1:28" ht="23.45" customHeight="1">
      <c r="B27" s="367"/>
      <c r="C27" s="341"/>
      <c r="D27" s="368"/>
      <c r="E27" s="369"/>
      <c r="F27" s="369"/>
      <c r="G27" s="369"/>
      <c r="H27" s="370"/>
      <c r="I27" s="370"/>
      <c r="J27" s="370"/>
      <c r="K27" s="371"/>
      <c r="L27" s="369"/>
      <c r="M27" s="372"/>
      <c r="N27" s="369"/>
      <c r="O27" s="369"/>
      <c r="P27" s="369"/>
      <c r="Q27" s="369"/>
      <c r="R27" s="369"/>
      <c r="S27" s="373"/>
      <c r="T27" s="373"/>
      <c r="U27" s="369"/>
      <c r="V27" s="453"/>
      <c r="W27" s="453"/>
      <c r="X27" s="453"/>
      <c r="Y27" s="454"/>
      <c r="Z27" s="376"/>
      <c r="AA27" s="376"/>
      <c r="AB27" s="455"/>
    </row>
    <row r="28" spans="1:28" ht="23.45" customHeight="1">
      <c r="B28" s="367"/>
      <c r="C28" s="341"/>
      <c r="D28" s="368"/>
      <c r="E28" s="369"/>
      <c r="F28" s="369"/>
      <c r="G28" s="369"/>
      <c r="H28" s="370"/>
      <c r="I28" s="370"/>
      <c r="J28" s="370"/>
      <c r="K28" s="371"/>
      <c r="L28" s="369"/>
      <c r="M28" s="372"/>
      <c r="N28" s="369"/>
      <c r="O28" s="369"/>
      <c r="P28" s="369"/>
      <c r="Q28" s="369"/>
      <c r="R28" s="369"/>
      <c r="S28" s="373"/>
      <c r="T28" s="373"/>
      <c r="U28" s="369"/>
      <c r="V28" s="374"/>
      <c r="W28" s="374"/>
      <c r="X28" s="374"/>
      <c r="Y28" s="375"/>
      <c r="Z28" s="376"/>
      <c r="AA28" s="376"/>
      <c r="AB28" s="377"/>
    </row>
    <row r="29" spans="1:28" ht="23.45" customHeight="1">
      <c r="B29" s="367"/>
      <c r="C29" s="341"/>
      <c r="D29" s="368"/>
      <c r="E29" s="369"/>
      <c r="F29" s="369"/>
      <c r="G29" s="369"/>
      <c r="H29" s="370"/>
      <c r="I29" s="370"/>
      <c r="J29" s="370"/>
      <c r="K29" s="371"/>
      <c r="L29" s="369"/>
      <c r="M29" s="372"/>
      <c r="N29" s="369"/>
      <c r="O29" s="369"/>
      <c r="P29" s="369"/>
      <c r="Q29" s="369"/>
      <c r="R29" s="369"/>
      <c r="S29" s="373"/>
      <c r="T29" s="373"/>
      <c r="U29" s="369"/>
      <c r="V29" s="374"/>
      <c r="W29" s="374"/>
      <c r="X29" s="374"/>
      <c r="Y29" s="375"/>
      <c r="Z29" s="376"/>
      <c r="AA29" s="376"/>
      <c r="AB29" s="377"/>
    </row>
    <row r="30" spans="1:28" ht="23.45" customHeight="1">
      <c r="B30" s="367"/>
      <c r="C30" s="341"/>
      <c r="D30" s="368"/>
      <c r="E30" s="369"/>
      <c r="F30" s="369"/>
      <c r="G30" s="369"/>
      <c r="H30" s="370"/>
      <c r="I30" s="370"/>
      <c r="J30" s="370"/>
      <c r="K30" s="371"/>
      <c r="L30" s="369"/>
      <c r="M30" s="372"/>
      <c r="N30" s="369"/>
      <c r="O30" s="369"/>
      <c r="P30" s="369"/>
      <c r="Q30" s="369"/>
      <c r="R30" s="369"/>
      <c r="S30" s="373"/>
      <c r="T30" s="373"/>
      <c r="U30" s="369"/>
      <c r="V30" s="374"/>
      <c r="W30" s="374"/>
      <c r="X30" s="374"/>
      <c r="Y30" s="375"/>
      <c r="Z30" s="376"/>
      <c r="AA30" s="376"/>
      <c r="AB30" s="377"/>
    </row>
    <row r="31" spans="1:28" ht="23.45" customHeight="1">
      <c r="K31" s="985" t="s">
        <v>38</v>
      </c>
      <c r="L31" s="985"/>
      <c r="M31" s="985"/>
      <c r="N31" s="985"/>
      <c r="O31" s="985"/>
      <c r="P31" s="985"/>
      <c r="Q31" s="985"/>
      <c r="R31" s="985"/>
    </row>
  </sheetData>
  <mergeCells count="5">
    <mergeCell ref="B3:AB3"/>
    <mergeCell ref="B4:AB4"/>
    <mergeCell ref="B5:AB5"/>
    <mergeCell ref="K31:R31"/>
    <mergeCell ref="B2:AB2"/>
  </mergeCells>
  <pageMargins left="0.7" right="0.7" top="0.75" bottom="0.75" header="0.3" footer="0.3"/>
  <pageSetup scale="50"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21"/>
  <sheetViews>
    <sheetView view="pageBreakPreview" topLeftCell="A664" zoomScale="90" zoomScaleSheetLayoutView="90" workbookViewId="0">
      <selection activeCell="K678" sqref="K678"/>
    </sheetView>
  </sheetViews>
  <sheetFormatPr defaultRowHeight="15"/>
  <cols>
    <col min="2" max="2" width="13" customWidth="1"/>
    <col min="9" max="9" width="14.5703125" customWidth="1"/>
    <col min="11" max="11" width="36.85546875" customWidth="1"/>
  </cols>
  <sheetData>
    <row r="1" spans="1:11" ht="32.25">
      <c r="A1" s="1124" t="s">
        <v>109</v>
      </c>
      <c r="B1" s="1125"/>
      <c r="C1" s="1125"/>
      <c r="D1" s="1125"/>
      <c r="E1" s="1125"/>
      <c r="F1" s="1125"/>
      <c r="G1" s="1125"/>
      <c r="H1" s="1125"/>
      <c r="I1" s="1125"/>
      <c r="J1" s="1125"/>
      <c r="K1" s="1126"/>
    </row>
    <row r="2" spans="1:11" ht="23.25">
      <c r="A2" s="1127" t="s">
        <v>110</v>
      </c>
      <c r="B2" s="1128"/>
      <c r="C2" s="1128"/>
      <c r="D2" s="1128"/>
      <c r="E2" s="1128"/>
      <c r="F2" s="1128"/>
      <c r="G2" s="1128"/>
      <c r="H2" s="1128"/>
      <c r="I2" s="1128"/>
      <c r="J2" s="1128"/>
      <c r="K2" s="1129"/>
    </row>
    <row r="3" spans="1:11" ht="16.5" thickBot="1">
      <c r="A3" s="1130" t="s">
        <v>609</v>
      </c>
      <c r="B3" s="1131"/>
      <c r="C3" s="1131"/>
      <c r="D3" s="1131"/>
      <c r="E3" s="1131"/>
      <c r="F3" s="1131"/>
      <c r="G3" s="1131"/>
      <c r="H3" s="1131"/>
      <c r="I3" s="1131"/>
      <c r="J3" s="1131"/>
      <c r="K3" s="1132"/>
    </row>
    <row r="4" spans="1:11">
      <c r="A4" s="1133" t="s">
        <v>111</v>
      </c>
      <c r="B4" s="1134"/>
      <c r="C4" s="1134"/>
      <c r="D4" s="1134"/>
      <c r="E4" s="1134"/>
      <c r="F4" s="392"/>
      <c r="G4" s="1135" t="s">
        <v>112</v>
      </c>
      <c r="H4" s="1135"/>
      <c r="I4" s="1135"/>
      <c r="J4" s="1135"/>
      <c r="K4" s="1136"/>
    </row>
    <row r="5" spans="1:11" ht="15.75" thickBot="1">
      <c r="A5" s="1133"/>
      <c r="B5" s="1134"/>
      <c r="C5" s="1134"/>
      <c r="D5" s="1134"/>
      <c r="E5" s="1134"/>
      <c r="F5" s="392"/>
      <c r="G5" s="1135"/>
      <c r="H5" s="1135"/>
      <c r="I5" s="1135"/>
      <c r="J5" s="1135"/>
      <c r="K5" s="1136"/>
    </row>
    <row r="6" spans="1:11">
      <c r="A6" s="61"/>
      <c r="B6" s="62"/>
      <c r="C6" s="62"/>
      <c r="D6" s="62"/>
      <c r="E6" s="63"/>
      <c r="F6" s="392"/>
      <c r="G6" s="61"/>
      <c r="H6" s="62"/>
      <c r="I6" s="62"/>
      <c r="J6" s="62"/>
      <c r="K6" s="63"/>
    </row>
    <row r="7" spans="1:11">
      <c r="A7" s="64" t="str">
        <f>'4-22MASTER'!G5</f>
        <v>Burgeon IT Services Pvt.Ltd.</v>
      </c>
      <c r="B7" s="392"/>
      <c r="C7" s="392"/>
      <c r="D7" s="392"/>
      <c r="E7" s="12"/>
      <c r="F7" s="392"/>
      <c r="G7" s="64" t="str">
        <f>'4-22MASTER'!AQ5</f>
        <v>Burgeon IT Services Pvt.Ltd.</v>
      </c>
      <c r="H7" s="392"/>
      <c r="I7" s="392"/>
      <c r="J7" s="392"/>
      <c r="K7" s="12"/>
    </row>
    <row r="8" spans="1:11">
      <c r="A8" s="11"/>
      <c r="B8" s="392"/>
      <c r="C8" s="392"/>
      <c r="D8" s="392"/>
      <c r="E8" s="12"/>
      <c r="F8" s="392"/>
      <c r="G8" s="11"/>
      <c r="H8" s="392"/>
      <c r="I8" s="392"/>
      <c r="J8" s="392"/>
      <c r="K8" s="12"/>
    </row>
    <row r="9" spans="1:11">
      <c r="A9" s="64" t="str">
        <f>'4-22MASTER'!G6</f>
        <v>Siri Mansion LIGB 436 Dr.A S Rao Nagar,Hyderabad</v>
      </c>
      <c r="B9" s="392"/>
      <c r="C9" s="392"/>
      <c r="D9" s="392"/>
      <c r="E9" s="12"/>
      <c r="F9" s="392"/>
      <c r="G9" s="64" t="str">
        <f>'4-22MASTER'!AQ6</f>
        <v>Siri Mansion LIGB 436 Dr.A S Rao Nagar,Hyderabad</v>
      </c>
      <c r="H9" s="392"/>
      <c r="I9" s="392"/>
      <c r="J9" s="392"/>
      <c r="K9" s="12"/>
    </row>
    <row r="10" spans="1:11" ht="15.75" thickBot="1">
      <c r="A10" s="16"/>
      <c r="B10" s="14"/>
      <c r="C10" s="14"/>
      <c r="D10" s="14"/>
      <c r="E10" s="15"/>
      <c r="F10" s="392"/>
      <c r="G10" s="16"/>
      <c r="H10" s="14"/>
      <c r="I10" s="14"/>
      <c r="J10" s="14"/>
      <c r="K10" s="15"/>
    </row>
    <row r="11" spans="1:11">
      <c r="A11" s="11"/>
      <c r="B11" s="392"/>
      <c r="C11" s="392"/>
      <c r="D11" s="392"/>
      <c r="E11" s="392"/>
      <c r="F11" s="392"/>
      <c r="G11" s="392"/>
      <c r="H11" s="392"/>
      <c r="I11" s="392" t="s">
        <v>113</v>
      </c>
      <c r="J11" s="392"/>
      <c r="K11" s="12"/>
    </row>
    <row r="12" spans="1:11">
      <c r="A12" s="1137" t="s">
        <v>114</v>
      </c>
      <c r="B12" s="1138"/>
      <c r="C12" s="1138"/>
      <c r="D12" s="1138"/>
      <c r="E12" s="1138"/>
      <c r="F12" s="392"/>
      <c r="G12" s="1138" t="s">
        <v>4</v>
      </c>
      <c r="H12" s="1138"/>
      <c r="I12" s="1138"/>
      <c r="J12" s="1138"/>
      <c r="K12" s="1139"/>
    </row>
    <row r="13" spans="1:11" ht="15.75" thickBot="1">
      <c r="A13" s="11"/>
      <c r="B13" s="392"/>
      <c r="C13" s="392"/>
      <c r="D13" s="392"/>
      <c r="E13" s="392"/>
      <c r="F13" s="392"/>
      <c r="G13" s="392"/>
      <c r="H13" s="392"/>
      <c r="I13" s="392"/>
      <c r="J13" s="392"/>
      <c r="K13" s="12"/>
    </row>
    <row r="14" spans="1:11">
      <c r="A14" s="61"/>
      <c r="B14" s="62"/>
      <c r="C14" s="62"/>
      <c r="D14" s="62"/>
      <c r="E14" s="63"/>
      <c r="F14" s="392"/>
      <c r="G14" s="65"/>
      <c r="H14" s="66"/>
      <c r="I14" s="66"/>
      <c r="J14" s="66"/>
      <c r="K14" s="67"/>
    </row>
    <row r="15" spans="1:11">
      <c r="A15" s="11"/>
      <c r="B15" s="392"/>
      <c r="C15" s="392"/>
      <c r="D15" s="392"/>
      <c r="E15" s="12"/>
      <c r="F15" s="392"/>
      <c r="G15" s="64" t="str">
        <f>'4-22MASTER'!AQ10</f>
        <v>INFOSYS  LTD.IL Ascendas SEZ Unit,Building Juniper</v>
      </c>
      <c r="H15" s="389"/>
      <c r="I15" s="389"/>
      <c r="J15" s="389"/>
      <c r="K15" s="68"/>
    </row>
    <row r="16" spans="1:11">
      <c r="A16" s="64" t="str">
        <f>'4-22MASTER'!G8</f>
        <v>IT SUPPORTIVE SERVICES &amp; PUNE ASC SEZ</v>
      </c>
      <c r="B16" s="392"/>
      <c r="C16" s="392"/>
      <c r="D16" s="392"/>
      <c r="E16" s="12"/>
      <c r="F16" s="392"/>
      <c r="G16" s="64"/>
      <c r="H16" s="389"/>
      <c r="I16" s="389"/>
      <c r="J16" s="389"/>
      <c r="K16" s="68"/>
    </row>
    <row r="17" spans="1:11">
      <c r="A17" s="11"/>
      <c r="B17" s="392"/>
      <c r="C17" s="392"/>
      <c r="D17" s="392"/>
      <c r="E17" s="12"/>
      <c r="F17" s="392"/>
      <c r="G17" s="64" t="str">
        <f>'4-22MASTER'!AQ11</f>
        <v>International Tech Park,Rajiv Gandhi Infotech Park,Hinjawadi,Pune,Maharashtra</v>
      </c>
      <c r="H17" s="389"/>
      <c r="I17" s="389"/>
      <c r="J17" s="389"/>
      <c r="K17" s="68"/>
    </row>
    <row r="18" spans="1:11" ht="15.75" thickBot="1">
      <c r="A18" s="16"/>
      <c r="B18" s="14"/>
      <c r="C18" s="14"/>
      <c r="D18" s="14"/>
      <c r="E18" s="15"/>
      <c r="F18" s="392"/>
      <c r="G18" s="64"/>
      <c r="H18" s="389"/>
      <c r="I18" s="389"/>
      <c r="J18" s="389"/>
      <c r="K18" s="68"/>
    </row>
    <row r="19" spans="1:11" ht="36.75" customHeight="1">
      <c r="A19" s="1106" t="s">
        <v>115</v>
      </c>
      <c r="B19" s="1107"/>
      <c r="C19" s="1107"/>
      <c r="D19" s="1107"/>
      <c r="E19" s="1107"/>
      <c r="F19" s="1111"/>
      <c r="G19" s="1112" t="str">
        <f>'4-22MASTER'!C17</f>
        <v>Haneef</v>
      </c>
      <c r="H19" s="1112"/>
      <c r="I19" s="1112"/>
      <c r="J19" s="1112"/>
      <c r="K19" s="1112"/>
    </row>
    <row r="20" spans="1:11" ht="36.75" customHeight="1">
      <c r="A20" s="1106"/>
      <c r="B20" s="1107"/>
      <c r="C20" s="1107"/>
      <c r="D20" s="1107"/>
      <c r="E20" s="1107"/>
      <c r="F20" s="1111"/>
      <c r="G20" s="1112" t="str">
        <f>'4-22MASTER'!H17</f>
        <v>Sri Sai vaishnavi pg, 2nd cross, near Rajapalya, Hoodi, 560048</v>
      </c>
      <c r="H20" s="1112"/>
      <c r="I20" s="1112"/>
      <c r="J20" s="1112"/>
      <c r="K20" s="1112"/>
    </row>
    <row r="21" spans="1:11" ht="39.75" customHeight="1">
      <c r="A21" s="1116" t="s">
        <v>116</v>
      </c>
      <c r="B21" s="1117"/>
      <c r="C21" s="1117"/>
      <c r="D21" s="1117"/>
      <c r="E21" s="1117"/>
      <c r="F21" s="1117"/>
      <c r="G21" s="1149">
        <v>19</v>
      </c>
      <c r="H21" s="1150"/>
      <c r="I21" s="1150"/>
      <c r="J21" s="1150"/>
      <c r="K21" s="1151"/>
    </row>
    <row r="22" spans="1:11" ht="30" customHeight="1">
      <c r="A22" s="1116" t="s">
        <v>117</v>
      </c>
      <c r="B22" s="1117"/>
      <c r="C22" s="1117"/>
      <c r="D22" s="1117"/>
      <c r="E22" s="1117"/>
      <c r="F22" s="1117"/>
      <c r="G22" s="1149" t="str">
        <f>'4-22MASTER'!G17</f>
        <v>System Administrator</v>
      </c>
      <c r="H22" s="1150"/>
      <c r="I22" s="1150"/>
      <c r="J22" s="1150"/>
      <c r="K22" s="1151"/>
    </row>
    <row r="23" spans="1:11" ht="24.95" customHeight="1">
      <c r="A23" s="1152" t="s">
        <v>118</v>
      </c>
      <c r="B23" s="1153"/>
      <c r="C23" s="1153"/>
      <c r="D23" s="1153"/>
      <c r="E23" s="1153"/>
      <c r="F23" s="1154"/>
      <c r="G23" s="1121">
        <f>'4-22MASTER'!O17</f>
        <v>44298</v>
      </c>
      <c r="H23" s="1122"/>
      <c r="I23" s="1122"/>
      <c r="J23" s="1122"/>
      <c r="K23" s="1123"/>
    </row>
    <row r="24" spans="1:11" ht="24.95" customHeight="1">
      <c r="A24" s="1143" t="s">
        <v>119</v>
      </c>
      <c r="B24" s="1144"/>
      <c r="C24" s="1144"/>
      <c r="D24" s="1144"/>
      <c r="E24" s="1144"/>
      <c r="F24" s="1145"/>
      <c r="G24" s="1146" t="str">
        <f>'4-22MASTER'!U17</f>
        <v>N/A</v>
      </c>
      <c r="H24" s="1147"/>
      <c r="I24" s="1147"/>
      <c r="J24" s="1147"/>
      <c r="K24" s="1148"/>
    </row>
    <row r="25" spans="1:11" ht="24.95" customHeight="1">
      <c r="A25" s="1143" t="s">
        <v>120</v>
      </c>
      <c r="B25" s="1144"/>
      <c r="C25" s="1144"/>
      <c r="D25" s="1144"/>
      <c r="E25" s="1144"/>
      <c r="F25" s="1145"/>
      <c r="G25" s="1146">
        <f>'4-22MASTER'!T17</f>
        <v>100947550505</v>
      </c>
      <c r="H25" s="1147"/>
      <c r="I25" s="1147">
        <f>'4-22MASTER'!T68</f>
        <v>0</v>
      </c>
      <c r="J25" s="1147"/>
      <c r="K25" s="1148"/>
    </row>
    <row r="26" spans="1:11" ht="30.75" customHeight="1">
      <c r="A26" s="1101" t="s">
        <v>121</v>
      </c>
      <c r="B26" s="1102"/>
      <c r="C26" s="1102"/>
      <c r="D26" s="1102"/>
      <c r="E26" s="1102"/>
      <c r="F26" s="1102"/>
      <c r="G26" s="1103">
        <f>'4-22MASTER'!Z17</f>
        <v>61740</v>
      </c>
      <c r="H26" s="1104"/>
      <c r="I26" s="1104"/>
      <c r="J26" s="1104"/>
      <c r="K26" s="1105"/>
    </row>
    <row r="27" spans="1:11" ht="24.95" customHeight="1">
      <c r="A27" s="1106" t="s">
        <v>122</v>
      </c>
      <c r="B27" s="1107"/>
      <c r="C27" s="1107"/>
      <c r="D27" s="1107"/>
      <c r="E27" s="1107"/>
      <c r="F27" s="1107"/>
      <c r="G27" s="1108">
        <f>'4-22MASTER'!E10</f>
        <v>44652</v>
      </c>
      <c r="H27" s="1109"/>
      <c r="I27" s="1109"/>
      <c r="J27" s="1109"/>
      <c r="K27" s="1110"/>
    </row>
    <row r="28" spans="1:11" ht="24.95" customHeight="1">
      <c r="A28" s="1106" t="s">
        <v>123</v>
      </c>
      <c r="B28" s="1107"/>
      <c r="C28" s="1107"/>
      <c r="D28" s="1107"/>
      <c r="E28" s="1107"/>
      <c r="F28" s="1107"/>
      <c r="G28" s="1109" t="s">
        <v>124</v>
      </c>
      <c r="H28" s="1109"/>
      <c r="I28" s="1109"/>
      <c r="J28" s="1109"/>
      <c r="K28" s="1110"/>
    </row>
    <row r="29" spans="1:11" ht="24.95" customHeight="1">
      <c r="A29" s="468" t="s">
        <v>125</v>
      </c>
      <c r="B29" s="394"/>
      <c r="C29" s="394"/>
      <c r="D29" s="394"/>
      <c r="E29" s="394"/>
      <c r="F29" s="398"/>
      <c r="G29" s="395"/>
      <c r="H29" s="466"/>
      <c r="I29" s="400">
        <f>'4-22MASTER'!X17</f>
        <v>30</v>
      </c>
      <c r="J29" s="466"/>
      <c r="K29" s="397"/>
    </row>
    <row r="30" spans="1:11" ht="24.95" customHeight="1">
      <c r="A30" s="468" t="s">
        <v>126</v>
      </c>
      <c r="B30" s="394"/>
      <c r="C30" s="394"/>
      <c r="D30" s="394"/>
      <c r="E30" s="394"/>
      <c r="F30" s="398"/>
      <c r="G30" s="395"/>
      <c r="H30" s="466"/>
      <c r="I30" s="466" t="s">
        <v>37</v>
      </c>
      <c r="J30" s="466"/>
      <c r="K30" s="397"/>
    </row>
    <row r="31" spans="1:11" ht="24.95" customHeight="1">
      <c r="A31" s="468" t="s">
        <v>127</v>
      </c>
      <c r="B31" s="394"/>
      <c r="C31" s="394"/>
      <c r="D31" s="394"/>
      <c r="E31" s="394"/>
      <c r="F31" s="398"/>
      <c r="G31" s="395"/>
      <c r="H31" s="466"/>
      <c r="I31" s="400">
        <v>0</v>
      </c>
      <c r="J31" s="466"/>
      <c r="K31" s="397"/>
    </row>
    <row r="32" spans="1:11" ht="24.95" customHeight="1">
      <c r="A32" s="468" t="s">
        <v>128</v>
      </c>
      <c r="B32" s="394"/>
      <c r="C32" s="394"/>
      <c r="D32" s="394"/>
      <c r="E32" s="394"/>
      <c r="F32" s="398"/>
      <c r="G32" s="395"/>
      <c r="H32" s="466"/>
      <c r="I32" s="466">
        <v>0</v>
      </c>
      <c r="J32" s="466"/>
      <c r="K32" s="397"/>
    </row>
    <row r="33" spans="1:11" ht="24.95" customHeight="1">
      <c r="A33" s="468" t="s">
        <v>129</v>
      </c>
      <c r="B33" s="394"/>
      <c r="C33" s="394"/>
      <c r="D33" s="394"/>
      <c r="E33" s="394"/>
      <c r="F33" s="398"/>
      <c r="G33" s="395"/>
      <c r="H33" s="466"/>
      <c r="I33" s="400">
        <f>'4-22MASTER'!AN17</f>
        <v>68276.425400000007</v>
      </c>
      <c r="J33" s="466"/>
      <c r="K33" s="397" t="s">
        <v>35</v>
      </c>
    </row>
    <row r="34" spans="1:11" ht="24.95" customHeight="1">
      <c r="A34" s="468" t="s">
        <v>130</v>
      </c>
      <c r="B34" s="394"/>
      <c r="C34" s="463" t="s">
        <v>32</v>
      </c>
      <c r="D34" s="469">
        <f>'4-22MASTER'!AP17</f>
        <v>1800</v>
      </c>
      <c r="E34" s="463" t="s">
        <v>31</v>
      </c>
      <c r="F34" s="469">
        <f>'4-22MASTER'!AO68</f>
        <v>0</v>
      </c>
      <c r="G34" s="464" t="s">
        <v>33</v>
      </c>
      <c r="H34" s="465">
        <f>'4-22MASTER'!AQ17</f>
        <v>200</v>
      </c>
      <c r="I34" s="464" t="s">
        <v>34</v>
      </c>
      <c r="J34" s="465">
        <f>'4-22MASTER'!AR17</f>
        <v>0</v>
      </c>
      <c r="K34" s="89">
        <f>'4-22MASTER'!AS17</f>
        <v>391.787848</v>
      </c>
    </row>
    <row r="35" spans="1:11" ht="24.95" customHeight="1">
      <c r="A35" s="468" t="s">
        <v>131</v>
      </c>
      <c r="B35" s="394"/>
      <c r="C35" s="394"/>
      <c r="D35" s="394"/>
      <c r="E35" s="394"/>
      <c r="F35" s="398"/>
      <c r="G35" s="395"/>
      <c r="H35" s="466"/>
      <c r="I35" s="400">
        <f>'4-22MASTER'!AU17</f>
        <v>65884.637552</v>
      </c>
      <c r="J35" s="466"/>
      <c r="K35" s="397"/>
    </row>
    <row r="36" spans="1:11" ht="24.95" customHeight="1">
      <c r="A36" s="470" t="s">
        <v>132</v>
      </c>
      <c r="B36" s="471"/>
      <c r="C36" s="471"/>
      <c r="D36" s="471"/>
      <c r="E36" s="471"/>
      <c r="F36" s="472"/>
      <c r="G36" s="403"/>
      <c r="H36" s="85"/>
      <c r="I36" s="85"/>
      <c r="J36" s="85"/>
      <c r="K36" s="404"/>
    </row>
    <row r="37" spans="1:11" ht="24.95" customHeight="1">
      <c r="A37" s="473" t="s">
        <v>133</v>
      </c>
      <c r="B37" s="474"/>
      <c r="C37" s="474"/>
      <c r="D37" s="474"/>
      <c r="E37" s="474"/>
      <c r="F37" s="475"/>
      <c r="G37" s="59"/>
      <c r="H37" s="407"/>
      <c r="I37" s="407"/>
      <c r="J37" s="407"/>
      <c r="K37" s="87"/>
    </row>
    <row r="38" spans="1:11" ht="24.95" customHeight="1">
      <c r="A38" s="476"/>
      <c r="B38" s="477"/>
      <c r="C38" s="477"/>
      <c r="D38" s="477"/>
      <c r="E38" s="477"/>
      <c r="F38" s="477"/>
      <c r="G38" s="392"/>
      <c r="H38" s="392"/>
      <c r="I38" s="392"/>
      <c r="J38" s="392"/>
      <c r="K38" s="12"/>
    </row>
    <row r="39" spans="1:11" ht="24.95" customHeight="1" thickBot="1">
      <c r="A39" s="16"/>
      <c r="B39" s="14"/>
      <c r="C39" s="14"/>
      <c r="D39" s="14"/>
      <c r="E39" s="14"/>
      <c r="F39" s="14"/>
      <c r="G39" s="14"/>
      <c r="H39" s="14"/>
      <c r="I39" s="14"/>
      <c r="J39" s="14"/>
      <c r="K39" s="15"/>
    </row>
    <row r="52" spans="1:11" ht="15.75" thickBot="1"/>
    <row r="53" spans="1:11" ht="32.25">
      <c r="A53" s="1124" t="s">
        <v>109</v>
      </c>
      <c r="B53" s="1125"/>
      <c r="C53" s="1125"/>
      <c r="D53" s="1125"/>
      <c r="E53" s="1125"/>
      <c r="F53" s="1125"/>
      <c r="G53" s="1125"/>
      <c r="H53" s="1125"/>
      <c r="I53" s="1125"/>
      <c r="J53" s="1125"/>
      <c r="K53" s="1126"/>
    </row>
    <row r="54" spans="1:11" ht="23.25">
      <c r="A54" s="1127" t="s">
        <v>110</v>
      </c>
      <c r="B54" s="1128"/>
      <c r="C54" s="1128"/>
      <c r="D54" s="1128"/>
      <c r="E54" s="1128"/>
      <c r="F54" s="1128"/>
      <c r="G54" s="1128"/>
      <c r="H54" s="1128"/>
      <c r="I54" s="1128"/>
      <c r="J54" s="1128"/>
      <c r="K54" s="1129"/>
    </row>
    <row r="55" spans="1:11" ht="16.5" thickBot="1">
      <c r="A55" s="1130" t="s">
        <v>609</v>
      </c>
      <c r="B55" s="1131"/>
      <c r="C55" s="1131"/>
      <c r="D55" s="1131"/>
      <c r="E55" s="1131"/>
      <c r="F55" s="1131"/>
      <c r="G55" s="1131"/>
      <c r="H55" s="1131"/>
      <c r="I55" s="1131"/>
      <c r="J55" s="1131"/>
      <c r="K55" s="1132"/>
    </row>
    <row r="56" spans="1:11">
      <c r="A56" s="1133" t="s">
        <v>111</v>
      </c>
      <c r="B56" s="1134"/>
      <c r="C56" s="1134"/>
      <c r="D56" s="1134"/>
      <c r="E56" s="1134"/>
      <c r="F56" s="392"/>
      <c r="G56" s="1135" t="s">
        <v>112</v>
      </c>
      <c r="H56" s="1135"/>
      <c r="I56" s="1135"/>
      <c r="J56" s="1135"/>
      <c r="K56" s="1136"/>
    </row>
    <row r="57" spans="1:11" ht="15.75" thickBot="1">
      <c r="A57" s="1133"/>
      <c r="B57" s="1134"/>
      <c r="C57" s="1134"/>
      <c r="D57" s="1134"/>
      <c r="E57" s="1134"/>
      <c r="F57" s="392"/>
      <c r="G57" s="1135"/>
      <c r="H57" s="1135"/>
      <c r="I57" s="1135"/>
      <c r="J57" s="1135"/>
      <c r="K57" s="1136"/>
    </row>
    <row r="58" spans="1:11">
      <c r="A58" s="61"/>
      <c r="B58" s="62"/>
      <c r="C58" s="62"/>
      <c r="D58" s="62"/>
      <c r="E58" s="63"/>
      <c r="F58" s="392"/>
      <c r="G58" s="61"/>
      <c r="H58" s="62"/>
      <c r="I58" s="62"/>
      <c r="J58" s="62"/>
      <c r="K58" s="63"/>
    </row>
    <row r="59" spans="1:11">
      <c r="A59" s="64" t="str">
        <f>'4-22MASTER'!G5</f>
        <v>Burgeon IT Services Pvt.Ltd.</v>
      </c>
      <c r="B59" s="392"/>
      <c r="C59" s="392"/>
      <c r="D59" s="392"/>
      <c r="E59" s="12"/>
      <c r="F59" s="392"/>
      <c r="G59" s="64" t="str">
        <f>'4-22MASTER'!AQ5</f>
        <v>Burgeon IT Services Pvt.Ltd.</v>
      </c>
      <c r="H59" s="392"/>
      <c r="I59" s="392"/>
      <c r="J59" s="392"/>
      <c r="K59" s="12"/>
    </row>
    <row r="60" spans="1:11">
      <c r="A60" s="11"/>
      <c r="B60" s="392"/>
      <c r="C60" s="392"/>
      <c r="D60" s="392"/>
      <c r="E60" s="12"/>
      <c r="F60" s="392"/>
      <c r="G60" s="11"/>
      <c r="H60" s="392"/>
      <c r="I60" s="392"/>
      <c r="J60" s="392"/>
      <c r="K60" s="12"/>
    </row>
    <row r="61" spans="1:11">
      <c r="A61" s="64" t="str">
        <f>'4-22MASTER'!G6</f>
        <v>Siri Mansion LIGB 436 Dr.A S Rao Nagar,Hyderabad</v>
      </c>
      <c r="B61" s="392"/>
      <c r="C61" s="392"/>
      <c r="D61" s="392"/>
      <c r="E61" s="12"/>
      <c r="F61" s="392"/>
      <c r="G61" s="64" t="str">
        <f>'4-22MASTER'!AQ6</f>
        <v>Siri Mansion LIGB 436 Dr.A S Rao Nagar,Hyderabad</v>
      </c>
      <c r="H61" s="392"/>
      <c r="I61" s="392"/>
      <c r="J61" s="392"/>
      <c r="K61" s="12"/>
    </row>
    <row r="62" spans="1:11" ht="15.75" thickBot="1">
      <c r="A62" s="16"/>
      <c r="B62" s="14"/>
      <c r="C62" s="14"/>
      <c r="D62" s="14"/>
      <c r="E62" s="15"/>
      <c r="F62" s="392"/>
      <c r="G62" s="16"/>
      <c r="H62" s="14"/>
      <c r="I62" s="14"/>
      <c r="J62" s="14"/>
      <c r="K62" s="15"/>
    </row>
    <row r="63" spans="1:11">
      <c r="A63" s="11"/>
      <c r="B63" s="392"/>
      <c r="C63" s="392"/>
      <c r="D63" s="392"/>
      <c r="E63" s="392"/>
      <c r="F63" s="392"/>
      <c r="G63" s="392"/>
      <c r="H63" s="392"/>
      <c r="I63" s="392" t="s">
        <v>113</v>
      </c>
      <c r="J63" s="392"/>
      <c r="K63" s="12"/>
    </row>
    <row r="64" spans="1:11">
      <c r="A64" s="1137" t="s">
        <v>114</v>
      </c>
      <c r="B64" s="1138"/>
      <c r="C64" s="1138"/>
      <c r="D64" s="1138"/>
      <c r="E64" s="1138"/>
      <c r="F64" s="392"/>
      <c r="G64" s="1138" t="s">
        <v>4</v>
      </c>
      <c r="H64" s="1138"/>
      <c r="I64" s="1138"/>
      <c r="J64" s="1138"/>
      <c r="K64" s="1139"/>
    </row>
    <row r="65" spans="1:11" ht="15.75" thickBot="1">
      <c r="A65" s="11"/>
      <c r="B65" s="392"/>
      <c r="C65" s="392"/>
      <c r="D65" s="392"/>
      <c r="E65" s="392"/>
      <c r="F65" s="392"/>
      <c r="G65" s="392"/>
      <c r="H65" s="392"/>
      <c r="I65" s="392"/>
      <c r="J65" s="392"/>
      <c r="K65" s="12"/>
    </row>
    <row r="66" spans="1:11">
      <c r="A66" s="61"/>
      <c r="B66" s="62"/>
      <c r="C66" s="62"/>
      <c r="D66" s="62"/>
      <c r="E66" s="63"/>
      <c r="F66" s="392"/>
      <c r="G66" s="65"/>
      <c r="H66" s="66"/>
      <c r="I66" s="66"/>
      <c r="J66" s="66"/>
      <c r="K66" s="67"/>
    </row>
    <row r="67" spans="1:11">
      <c r="A67" s="11"/>
      <c r="B67" s="392"/>
      <c r="C67" s="392"/>
      <c r="D67" s="392"/>
      <c r="E67" s="12"/>
      <c r="F67" s="392"/>
      <c r="G67" s="64" t="str">
        <f>'4-22MASTER'!AQ10</f>
        <v>INFOSYS  LTD.IL Ascendas SEZ Unit,Building Juniper</v>
      </c>
      <c r="H67" s="389"/>
      <c r="I67" s="389"/>
      <c r="J67" s="389"/>
      <c r="K67" s="68"/>
    </row>
    <row r="68" spans="1:11">
      <c r="A68" s="64" t="str">
        <f>'4-22MASTER'!G8</f>
        <v>IT SUPPORTIVE SERVICES &amp; PUNE ASC SEZ</v>
      </c>
      <c r="B68" s="392"/>
      <c r="C68" s="392"/>
      <c r="D68" s="392"/>
      <c r="E68" s="12"/>
      <c r="F68" s="392"/>
      <c r="G68" s="64"/>
      <c r="H68" s="389"/>
      <c r="I68" s="389"/>
      <c r="J68" s="389"/>
      <c r="K68" s="68"/>
    </row>
    <row r="69" spans="1:11">
      <c r="A69" s="11"/>
      <c r="B69" s="392"/>
      <c r="C69" s="392"/>
      <c r="D69" s="392"/>
      <c r="E69" s="12"/>
      <c r="F69" s="392"/>
      <c r="G69" s="64" t="str">
        <f>'4-22MASTER'!AQ11</f>
        <v>International Tech Park,Rajiv Gandhi Infotech Park,Hinjawadi,Pune,Maharashtra</v>
      </c>
      <c r="H69" s="389"/>
      <c r="I69" s="389"/>
      <c r="J69" s="389"/>
      <c r="K69" s="68"/>
    </row>
    <row r="70" spans="1:11" ht="15.75" thickBot="1">
      <c r="A70" s="16"/>
      <c r="B70" s="14"/>
      <c r="C70" s="14"/>
      <c r="D70" s="14"/>
      <c r="E70" s="15"/>
      <c r="F70" s="392"/>
      <c r="G70" s="64"/>
      <c r="H70" s="389"/>
      <c r="I70" s="389"/>
      <c r="J70" s="389"/>
      <c r="K70" s="68"/>
    </row>
    <row r="71" spans="1:11" ht="33" customHeight="1">
      <c r="A71" s="1106" t="s">
        <v>115</v>
      </c>
      <c r="B71" s="1107"/>
      <c r="C71" s="1107"/>
      <c r="D71" s="1107"/>
      <c r="E71" s="1107"/>
      <c r="F71" s="1111"/>
      <c r="G71" s="1112" t="str">
        <f>'4-22MASTER'!C18</f>
        <v>Ved Prakash</v>
      </c>
      <c r="H71" s="1112"/>
      <c r="I71" s="1112"/>
      <c r="J71" s="1112"/>
      <c r="K71" s="1112"/>
    </row>
    <row r="72" spans="1:11" ht="26.25" customHeight="1">
      <c r="A72" s="1113"/>
      <c r="B72" s="1114"/>
      <c r="C72" s="1114"/>
      <c r="D72" s="1114"/>
      <c r="E72" s="1114"/>
      <c r="F72" s="1115"/>
      <c r="G72" s="1112" t="str">
        <f>'4-22MASTER'!H18</f>
        <v>Flat No. A 203, Silver Palm Grove, Ravet, Pune 412101</v>
      </c>
      <c r="H72" s="1112"/>
      <c r="I72" s="1112"/>
      <c r="J72" s="1112"/>
      <c r="K72" s="1112"/>
    </row>
    <row r="73" spans="1:11" ht="28.5" customHeight="1">
      <c r="A73" s="1116" t="s">
        <v>116</v>
      </c>
      <c r="B73" s="1117"/>
      <c r="C73" s="1117"/>
      <c r="D73" s="1117"/>
      <c r="E73" s="1117"/>
      <c r="F73" s="1117"/>
      <c r="G73" s="1118">
        <f>'PUNE ASC-APRIL 22WM REG'!A37</f>
        <v>25</v>
      </c>
      <c r="H73" s="1119"/>
      <c r="I73" s="1119"/>
      <c r="J73" s="1119"/>
      <c r="K73" s="1120"/>
    </row>
    <row r="74" spans="1:11" ht="31.5" customHeight="1">
      <c r="A74" s="1106" t="s">
        <v>117</v>
      </c>
      <c r="B74" s="1107"/>
      <c r="C74" s="1107"/>
      <c r="D74" s="1107"/>
      <c r="E74" s="1107"/>
      <c r="F74" s="1107"/>
      <c r="G74" s="1112" t="str">
        <f>'4-22MASTER'!G18</f>
        <v>Project Manager</v>
      </c>
      <c r="H74" s="1109"/>
      <c r="I74" s="1109"/>
      <c r="J74" s="1109"/>
      <c r="K74" s="1110"/>
    </row>
    <row r="75" spans="1:11" ht="35.25" customHeight="1">
      <c r="A75" s="1106" t="s">
        <v>118</v>
      </c>
      <c r="B75" s="1107"/>
      <c r="C75" s="1107"/>
      <c r="D75" s="1107"/>
      <c r="E75" s="1107"/>
      <c r="F75" s="1107"/>
      <c r="G75" s="1121" t="str">
        <f>'4-22MASTER'!O18</f>
        <v>4th May 2021</v>
      </c>
      <c r="H75" s="1122"/>
      <c r="I75" s="1122"/>
      <c r="J75" s="1122"/>
      <c r="K75" s="1123"/>
    </row>
    <row r="76" spans="1:11" ht="31.5" customHeight="1">
      <c r="A76" s="393" t="s">
        <v>119</v>
      </c>
      <c r="B76" s="489"/>
      <c r="C76" s="489"/>
      <c r="D76" s="489"/>
      <c r="E76" s="489"/>
      <c r="F76" s="489"/>
      <c r="G76" s="395"/>
      <c r="H76" s="396"/>
      <c r="I76" s="381" t="str">
        <f>'4-22MASTER'!U18</f>
        <v>N/A</v>
      </c>
      <c r="J76" s="487"/>
      <c r="K76" s="397"/>
    </row>
    <row r="77" spans="1:11" ht="26.25" customHeight="1">
      <c r="A77" s="393" t="s">
        <v>120</v>
      </c>
      <c r="B77" s="489"/>
      <c r="C77" s="489"/>
      <c r="D77" s="489"/>
      <c r="E77" s="489"/>
      <c r="F77" s="490"/>
      <c r="G77" s="78"/>
      <c r="H77" s="399"/>
      <c r="I77" s="381">
        <f>'4-22MASTER'!T18</f>
        <v>100457474727</v>
      </c>
      <c r="J77" s="399"/>
      <c r="K77" s="80"/>
    </row>
    <row r="78" spans="1:11" ht="27" customHeight="1">
      <c r="A78" s="1101" t="s">
        <v>121</v>
      </c>
      <c r="B78" s="1102"/>
      <c r="C78" s="1102"/>
      <c r="D78" s="1102"/>
      <c r="E78" s="1102"/>
      <c r="F78" s="1102"/>
      <c r="G78" s="1103">
        <f>'4-22MASTER'!Z18</f>
        <v>71009</v>
      </c>
      <c r="H78" s="1104"/>
      <c r="I78" s="1104"/>
      <c r="J78" s="1104"/>
      <c r="K78" s="1105"/>
    </row>
    <row r="79" spans="1:11" ht="30" customHeight="1">
      <c r="A79" s="1106" t="s">
        <v>122</v>
      </c>
      <c r="B79" s="1107"/>
      <c r="C79" s="1107"/>
      <c r="D79" s="1107"/>
      <c r="E79" s="1107"/>
      <c r="F79" s="1107"/>
      <c r="G79" s="1108">
        <f>'4-22MASTER'!E10</f>
        <v>44652</v>
      </c>
      <c r="H79" s="1109"/>
      <c r="I79" s="1109"/>
      <c r="J79" s="1109"/>
      <c r="K79" s="1110"/>
    </row>
    <row r="80" spans="1:11" ht="24" customHeight="1">
      <c r="A80" s="1106" t="s">
        <v>123</v>
      </c>
      <c r="B80" s="1107"/>
      <c r="C80" s="1107"/>
      <c r="D80" s="1107"/>
      <c r="E80" s="1107"/>
      <c r="F80" s="1107"/>
      <c r="G80" s="1109" t="s">
        <v>124</v>
      </c>
      <c r="H80" s="1109"/>
      <c r="I80" s="1109"/>
      <c r="J80" s="1109"/>
      <c r="K80" s="1110"/>
    </row>
    <row r="81" spans="1:11" ht="30" customHeight="1">
      <c r="A81" s="393" t="s">
        <v>125</v>
      </c>
      <c r="B81" s="489"/>
      <c r="C81" s="489"/>
      <c r="D81" s="489"/>
      <c r="E81" s="489"/>
      <c r="F81" s="490"/>
      <c r="G81" s="395"/>
      <c r="H81" s="487"/>
      <c r="I81" s="488">
        <f>'4-22MASTER'!X18</f>
        <v>20</v>
      </c>
      <c r="J81" s="487"/>
      <c r="K81" s="397"/>
    </row>
    <row r="82" spans="1:11" ht="33" customHeight="1">
      <c r="A82" s="393" t="s">
        <v>126</v>
      </c>
      <c r="B82" s="489"/>
      <c r="C82" s="489"/>
      <c r="D82" s="489"/>
      <c r="E82" s="489"/>
      <c r="F82" s="490"/>
      <c r="G82" s="395"/>
      <c r="H82" s="487"/>
      <c r="I82" s="487" t="s">
        <v>37</v>
      </c>
      <c r="J82" s="487"/>
      <c r="K82" s="397"/>
    </row>
    <row r="83" spans="1:11" ht="27" customHeight="1">
      <c r="A83" s="393" t="s">
        <v>127</v>
      </c>
      <c r="B83" s="489"/>
      <c r="C83" s="489"/>
      <c r="D83" s="489"/>
      <c r="E83" s="489"/>
      <c r="F83" s="490"/>
      <c r="G83" s="395"/>
      <c r="H83" s="487"/>
      <c r="I83" s="488">
        <v>0</v>
      </c>
      <c r="J83" s="487"/>
      <c r="K83" s="397"/>
    </row>
    <row r="84" spans="1:11" ht="30.75" customHeight="1">
      <c r="A84" s="393" t="s">
        <v>128</v>
      </c>
      <c r="B84" s="489"/>
      <c r="C84" s="489"/>
      <c r="D84" s="489"/>
      <c r="E84" s="489"/>
      <c r="F84" s="490"/>
      <c r="G84" s="395"/>
      <c r="H84" s="487"/>
      <c r="I84" s="487">
        <v>0</v>
      </c>
      <c r="J84" s="487"/>
      <c r="K84" s="397"/>
    </row>
    <row r="85" spans="1:11" ht="25.5" customHeight="1">
      <c r="A85" s="393" t="s">
        <v>129</v>
      </c>
      <c r="B85" s="489"/>
      <c r="C85" s="489"/>
      <c r="D85" s="489"/>
      <c r="E85" s="489"/>
      <c r="F85" s="490"/>
      <c r="G85" s="395"/>
      <c r="H85" s="487"/>
      <c r="I85" s="488">
        <f>'4-22MASTER'!AN18</f>
        <v>52740.122159999999</v>
      </c>
      <c r="J85" s="487"/>
      <c r="K85" s="397" t="s">
        <v>35</v>
      </c>
    </row>
    <row r="86" spans="1:11" ht="26.25" customHeight="1">
      <c r="A86" s="393" t="s">
        <v>130</v>
      </c>
      <c r="B86" s="489"/>
      <c r="C86" s="485" t="s">
        <v>32</v>
      </c>
      <c r="D86" s="486">
        <f>'4-22MASTER'!AP18</f>
        <v>1800</v>
      </c>
      <c r="E86" s="485" t="s">
        <v>31</v>
      </c>
      <c r="F86" s="486">
        <f>'4-22MASTER'!AO322</f>
        <v>0</v>
      </c>
      <c r="G86" s="485" t="s">
        <v>33</v>
      </c>
      <c r="H86" s="486">
        <f>'4-22MASTER'!AQ18</f>
        <v>200</v>
      </c>
      <c r="I86" s="485" t="s">
        <v>34</v>
      </c>
      <c r="J86" s="486">
        <f>'4-22MASTER'!AR18</f>
        <v>0</v>
      </c>
      <c r="K86" s="89">
        <f>'4-22MASTER'!AS18</f>
        <v>440.76132899999999</v>
      </c>
    </row>
    <row r="87" spans="1:11" ht="31.5" customHeight="1">
      <c r="A87" s="393" t="s">
        <v>131</v>
      </c>
      <c r="B87" s="489"/>
      <c r="C87" s="489"/>
      <c r="D87" s="489"/>
      <c r="E87" s="489"/>
      <c r="F87" s="490"/>
      <c r="G87" s="395"/>
      <c r="H87" s="487"/>
      <c r="I87" s="488">
        <f>I85-(D86+F86+H86+J86+K86)</f>
        <v>50299.360830999998</v>
      </c>
      <c r="J87" s="487"/>
      <c r="K87" s="397"/>
    </row>
    <row r="88" spans="1:11">
      <c r="A88" s="401" t="s">
        <v>132</v>
      </c>
      <c r="B88" s="84"/>
      <c r="C88" s="84"/>
      <c r="D88" s="84"/>
      <c r="E88" s="84"/>
      <c r="F88" s="402"/>
      <c r="G88" s="403"/>
      <c r="H88" s="85"/>
      <c r="I88" s="85"/>
      <c r="J88" s="85"/>
      <c r="K88" s="404"/>
    </row>
    <row r="89" spans="1:11">
      <c r="A89" s="405" t="s">
        <v>133</v>
      </c>
      <c r="B89" s="406"/>
      <c r="C89" s="406"/>
      <c r="D89" s="406"/>
      <c r="E89" s="406"/>
      <c r="F89" s="86"/>
      <c r="G89" s="59"/>
      <c r="H89" s="407"/>
      <c r="I89" s="407"/>
      <c r="J89" s="407"/>
      <c r="K89" s="87"/>
    </row>
    <row r="90" spans="1:11">
      <c r="A90" s="11"/>
      <c r="B90" s="392"/>
      <c r="C90" s="392"/>
      <c r="D90" s="392"/>
      <c r="E90" s="392"/>
      <c r="F90" s="392"/>
      <c r="G90" s="392"/>
      <c r="H90" s="392"/>
      <c r="I90" s="392"/>
      <c r="J90" s="392"/>
      <c r="K90" s="12"/>
    </row>
    <row r="91" spans="1:11" ht="15.75" thickBot="1">
      <c r="A91" s="16"/>
      <c r="B91" s="14"/>
      <c r="C91" s="14"/>
      <c r="D91" s="14"/>
      <c r="E91" s="14"/>
      <c r="F91" s="14"/>
      <c r="G91" s="14"/>
      <c r="H91" s="14"/>
      <c r="I91" s="14"/>
      <c r="J91" s="14"/>
      <c r="K91" s="15"/>
    </row>
    <row r="106" spans="1:11" ht="15.75" thickBot="1"/>
    <row r="107" spans="1:11" ht="32.25">
      <c r="A107" s="1124" t="s">
        <v>109</v>
      </c>
      <c r="B107" s="1125"/>
      <c r="C107" s="1125"/>
      <c r="D107" s="1125"/>
      <c r="E107" s="1125"/>
      <c r="F107" s="1125"/>
      <c r="G107" s="1125"/>
      <c r="H107" s="1125"/>
      <c r="I107" s="1125"/>
      <c r="J107" s="1125"/>
      <c r="K107" s="1126"/>
    </row>
    <row r="108" spans="1:11" ht="23.25">
      <c r="A108" s="1127" t="s">
        <v>110</v>
      </c>
      <c r="B108" s="1128"/>
      <c r="C108" s="1128"/>
      <c r="D108" s="1128"/>
      <c r="E108" s="1128"/>
      <c r="F108" s="1128"/>
      <c r="G108" s="1128"/>
      <c r="H108" s="1128"/>
      <c r="I108" s="1128"/>
      <c r="J108" s="1128"/>
      <c r="K108" s="1129"/>
    </row>
    <row r="109" spans="1:11" ht="16.5" thickBot="1">
      <c r="A109" s="1130" t="s">
        <v>609</v>
      </c>
      <c r="B109" s="1131"/>
      <c r="C109" s="1131"/>
      <c r="D109" s="1131"/>
      <c r="E109" s="1131"/>
      <c r="F109" s="1131"/>
      <c r="G109" s="1131"/>
      <c r="H109" s="1131"/>
      <c r="I109" s="1131"/>
      <c r="J109" s="1131"/>
      <c r="K109" s="1132"/>
    </row>
    <row r="110" spans="1:11">
      <c r="A110" s="1133" t="s">
        <v>111</v>
      </c>
      <c r="B110" s="1134"/>
      <c r="C110" s="1134"/>
      <c r="D110" s="1134"/>
      <c r="E110" s="1134"/>
      <c r="F110" s="392"/>
      <c r="G110" s="1135" t="s">
        <v>112</v>
      </c>
      <c r="H110" s="1135"/>
      <c r="I110" s="1135"/>
      <c r="J110" s="1135"/>
      <c r="K110" s="1136"/>
    </row>
    <row r="111" spans="1:11" ht="15.75" thickBot="1">
      <c r="A111" s="1133"/>
      <c r="B111" s="1134"/>
      <c r="C111" s="1134"/>
      <c r="D111" s="1134"/>
      <c r="E111" s="1134"/>
      <c r="F111" s="392"/>
      <c r="G111" s="1135"/>
      <c r="H111" s="1135"/>
      <c r="I111" s="1135"/>
      <c r="J111" s="1135"/>
      <c r="K111" s="1136"/>
    </row>
    <row r="112" spans="1:11">
      <c r="A112" s="61"/>
      <c r="B112" s="62"/>
      <c r="C112" s="62"/>
      <c r="D112" s="62"/>
      <c r="E112" s="63"/>
      <c r="F112" s="392"/>
      <c r="G112" s="61"/>
      <c r="H112" s="62"/>
      <c r="I112" s="62"/>
      <c r="J112" s="62"/>
      <c r="K112" s="63"/>
    </row>
    <row r="113" spans="1:11">
      <c r="A113" s="64" t="str">
        <f>'4-22MASTER'!G5</f>
        <v>Burgeon IT Services Pvt.Ltd.</v>
      </c>
      <c r="B113" s="392"/>
      <c r="C113" s="392"/>
      <c r="D113" s="392"/>
      <c r="E113" s="12"/>
      <c r="F113" s="392"/>
      <c r="G113" s="64" t="str">
        <f>'4-22MASTER'!AQ5</f>
        <v>Burgeon IT Services Pvt.Ltd.</v>
      </c>
      <c r="H113" s="392"/>
      <c r="I113" s="392"/>
      <c r="J113" s="392"/>
      <c r="K113" s="12"/>
    </row>
    <row r="114" spans="1:11">
      <c r="A114" s="11"/>
      <c r="B114" s="392"/>
      <c r="C114" s="392"/>
      <c r="D114" s="392"/>
      <c r="E114" s="12"/>
      <c r="F114" s="392"/>
      <c r="G114" s="11"/>
      <c r="H114" s="392"/>
      <c r="I114" s="392"/>
      <c r="J114" s="392"/>
      <c r="K114" s="12"/>
    </row>
    <row r="115" spans="1:11">
      <c r="A115" s="823" t="str">
        <f>'4-22MASTER'!G6</f>
        <v>Siri Mansion LIGB 436 Dr.A S Rao Nagar,Hyderabad</v>
      </c>
      <c r="B115" s="824"/>
      <c r="C115" s="824"/>
      <c r="D115" s="824"/>
      <c r="E115" s="825"/>
      <c r="F115" s="824"/>
      <c r="G115" s="823" t="str">
        <f>'4-22MASTER'!AQ6</f>
        <v>Siri Mansion LIGB 436 Dr.A S Rao Nagar,Hyderabad</v>
      </c>
      <c r="H115" s="824"/>
      <c r="I115" s="824"/>
      <c r="J115" s="824"/>
      <c r="K115" s="825"/>
    </row>
    <row r="116" spans="1:11" ht="15.75" thickBot="1">
      <c r="A116" s="826"/>
      <c r="B116" s="827"/>
      <c r="C116" s="827"/>
      <c r="D116" s="827"/>
      <c r="E116" s="828"/>
      <c r="F116" s="824"/>
      <c r="G116" s="826"/>
      <c r="H116" s="827"/>
      <c r="I116" s="827"/>
      <c r="J116" s="827"/>
      <c r="K116" s="828"/>
    </row>
    <row r="117" spans="1:11">
      <c r="A117" s="829"/>
      <c r="B117" s="824"/>
      <c r="C117" s="824"/>
      <c r="D117" s="824"/>
      <c r="E117" s="824"/>
      <c r="F117" s="824"/>
      <c r="G117" s="824"/>
      <c r="H117" s="824"/>
      <c r="I117" s="824" t="s">
        <v>113</v>
      </c>
      <c r="J117" s="824"/>
      <c r="K117" s="825"/>
    </row>
    <row r="118" spans="1:11">
      <c r="A118" s="1140" t="s">
        <v>114</v>
      </c>
      <c r="B118" s="1141"/>
      <c r="C118" s="1141"/>
      <c r="D118" s="1141"/>
      <c r="E118" s="1141"/>
      <c r="F118" s="824"/>
      <c r="G118" s="1141" t="s">
        <v>4</v>
      </c>
      <c r="H118" s="1141"/>
      <c r="I118" s="1141"/>
      <c r="J118" s="1141"/>
      <c r="K118" s="1142"/>
    </row>
    <row r="119" spans="1:11" ht="15.75" thickBot="1">
      <c r="A119" s="829"/>
      <c r="B119" s="824"/>
      <c r="C119" s="824"/>
      <c r="D119" s="824"/>
      <c r="E119" s="824"/>
      <c r="F119" s="824"/>
      <c r="G119" s="824"/>
      <c r="H119" s="824"/>
      <c r="I119" s="824"/>
      <c r="J119" s="824"/>
      <c r="K119" s="825"/>
    </row>
    <row r="120" spans="1:11">
      <c r="A120" s="830"/>
      <c r="B120" s="831"/>
      <c r="C120" s="831"/>
      <c r="D120" s="831"/>
      <c r="E120" s="832"/>
      <c r="F120" s="824"/>
      <c r="G120" s="833"/>
      <c r="H120" s="834"/>
      <c r="I120" s="834"/>
      <c r="J120" s="834"/>
      <c r="K120" s="835"/>
    </row>
    <row r="121" spans="1:11">
      <c r="A121" s="829"/>
      <c r="B121" s="824"/>
      <c r="C121" s="824"/>
      <c r="D121" s="824"/>
      <c r="E121" s="825"/>
      <c r="F121" s="824"/>
      <c r="G121" s="823" t="str">
        <f>'4-22MASTER'!AQ10</f>
        <v>INFOSYS  LTD.IL Ascendas SEZ Unit,Building Juniper</v>
      </c>
      <c r="H121" s="836"/>
      <c r="I121" s="836"/>
      <c r="J121" s="836"/>
      <c r="K121" s="837"/>
    </row>
    <row r="122" spans="1:11">
      <c r="A122" s="823" t="str">
        <f>'4-22MASTER'!G8</f>
        <v>IT SUPPORTIVE SERVICES &amp; PUNE ASC SEZ</v>
      </c>
      <c r="B122" s="824"/>
      <c r="C122" s="824"/>
      <c r="D122" s="824"/>
      <c r="E122" s="825"/>
      <c r="F122" s="824"/>
      <c r="G122" s="823"/>
      <c r="H122" s="836"/>
      <c r="I122" s="836"/>
      <c r="J122" s="836"/>
      <c r="K122" s="837"/>
    </row>
    <row r="123" spans="1:11">
      <c r="A123" s="829"/>
      <c r="B123" s="824"/>
      <c r="C123" s="824"/>
      <c r="D123" s="824"/>
      <c r="E123" s="825"/>
      <c r="F123" s="824"/>
      <c r="G123" s="823" t="str">
        <f>'4-22MASTER'!AQ11</f>
        <v>International Tech Park,Rajiv Gandhi Infotech Park,Hinjawadi,Pune,Maharashtra</v>
      </c>
      <c r="H123" s="836"/>
      <c r="I123" s="836"/>
      <c r="J123" s="836"/>
      <c r="K123" s="837"/>
    </row>
    <row r="124" spans="1:11" ht="15.75" thickBot="1">
      <c r="A124" s="16"/>
      <c r="B124" s="14"/>
      <c r="C124" s="14"/>
      <c r="D124" s="14"/>
      <c r="E124" s="15"/>
      <c r="F124" s="392"/>
      <c r="G124" s="64"/>
      <c r="H124" s="389"/>
      <c r="I124" s="389"/>
      <c r="J124" s="389"/>
      <c r="K124" s="68"/>
    </row>
    <row r="125" spans="1:11" ht="30" customHeight="1">
      <c r="A125" s="1106" t="s">
        <v>115</v>
      </c>
      <c r="B125" s="1107"/>
      <c r="C125" s="1107"/>
      <c r="D125" s="1107"/>
      <c r="E125" s="1107"/>
      <c r="F125" s="1111"/>
      <c r="G125" s="1112" t="str">
        <f>'4-22MASTER'!C19</f>
        <v>GauravVispute</v>
      </c>
      <c r="H125" s="1112"/>
      <c r="I125" s="1112"/>
      <c r="J125" s="1112"/>
      <c r="K125" s="1112"/>
    </row>
    <row r="126" spans="1:11" ht="30" customHeight="1">
      <c r="A126" s="1113"/>
      <c r="B126" s="1114"/>
      <c r="C126" s="1114"/>
      <c r="D126" s="1114"/>
      <c r="E126" s="1114"/>
      <c r="F126" s="1115"/>
      <c r="G126" s="1112" t="str">
        <f>'4-22MASTER'!H19</f>
        <v xml:space="preserve"> 5/2, Trimurti Housing Socieity,Central bank colony road, Pimprala,Jalgaon 425002 </v>
      </c>
      <c r="H126" s="1112"/>
      <c r="I126" s="1112"/>
      <c r="J126" s="1112"/>
      <c r="K126" s="1112"/>
    </row>
    <row r="127" spans="1:11" ht="30" customHeight="1">
      <c r="A127" s="1116" t="s">
        <v>116</v>
      </c>
      <c r="B127" s="1117"/>
      <c r="C127" s="1117"/>
      <c r="D127" s="1117"/>
      <c r="E127" s="1117"/>
      <c r="F127" s="1117"/>
      <c r="G127" s="1118">
        <f>'4-22MASTER'!A19</f>
        <v>27</v>
      </c>
      <c r="H127" s="1119"/>
      <c r="I127" s="1119"/>
      <c r="J127" s="1119"/>
      <c r="K127" s="1120"/>
    </row>
    <row r="128" spans="1:11" ht="30" customHeight="1">
      <c r="A128" s="1106" t="s">
        <v>117</v>
      </c>
      <c r="B128" s="1107"/>
      <c r="C128" s="1107"/>
      <c r="D128" s="1107"/>
      <c r="E128" s="1107"/>
      <c r="F128" s="1107"/>
      <c r="G128" s="1112" t="str">
        <f>'4-22MASTER'!G19</f>
        <v>Project Coordinator</v>
      </c>
      <c r="H128" s="1109"/>
      <c r="I128" s="1109"/>
      <c r="J128" s="1109"/>
      <c r="K128" s="1110"/>
    </row>
    <row r="129" spans="1:11" ht="30" customHeight="1">
      <c r="A129" s="1106" t="s">
        <v>118</v>
      </c>
      <c r="B129" s="1107"/>
      <c r="C129" s="1107"/>
      <c r="D129" s="1107"/>
      <c r="E129" s="1107"/>
      <c r="F129" s="1107"/>
      <c r="G129" s="1121" t="str">
        <f>'4-22MASTER'!O19</f>
        <v>4th May 2021</v>
      </c>
      <c r="H129" s="1122"/>
      <c r="I129" s="1122"/>
      <c r="J129" s="1122"/>
      <c r="K129" s="1123"/>
    </row>
    <row r="130" spans="1:11" ht="30" customHeight="1">
      <c r="A130" s="393" t="s">
        <v>119</v>
      </c>
      <c r="B130" s="499"/>
      <c r="C130" s="499"/>
      <c r="D130" s="499"/>
      <c r="E130" s="499"/>
      <c r="F130" s="499"/>
      <c r="G130" s="395"/>
      <c r="H130" s="396"/>
      <c r="I130" s="381">
        <f>'4-22MASTER'!U78</f>
        <v>0</v>
      </c>
      <c r="J130" s="497"/>
      <c r="K130" s="397"/>
    </row>
    <row r="131" spans="1:11" ht="30" customHeight="1">
      <c r="A131" s="393" t="s">
        <v>120</v>
      </c>
      <c r="B131" s="499"/>
      <c r="C131" s="499"/>
      <c r="D131" s="499"/>
      <c r="E131" s="499"/>
      <c r="F131" s="500"/>
      <c r="G131" s="78"/>
      <c r="H131" s="399"/>
      <c r="I131" s="381">
        <f>'4-22MASTER'!T19</f>
        <v>101012347201</v>
      </c>
      <c r="J131" s="399"/>
      <c r="K131" s="80"/>
    </row>
    <row r="132" spans="1:11" ht="30" customHeight="1">
      <c r="A132" s="1101" t="s">
        <v>121</v>
      </c>
      <c r="B132" s="1102"/>
      <c r="C132" s="1102"/>
      <c r="D132" s="1102"/>
      <c r="E132" s="1102"/>
      <c r="F132" s="1102"/>
      <c r="G132" s="1103">
        <f>'4-22MASTER'!Z19</f>
        <v>43202</v>
      </c>
      <c r="H132" s="1104"/>
      <c r="I132" s="1104"/>
      <c r="J132" s="1104"/>
      <c r="K132" s="1105"/>
    </row>
    <row r="133" spans="1:11" ht="30" customHeight="1">
      <c r="A133" s="1106" t="s">
        <v>122</v>
      </c>
      <c r="B133" s="1107"/>
      <c r="C133" s="1107"/>
      <c r="D133" s="1107"/>
      <c r="E133" s="1107"/>
      <c r="F133" s="1107"/>
      <c r="G133" s="1108">
        <f>'4-22MASTER'!E10</f>
        <v>44652</v>
      </c>
      <c r="H133" s="1109"/>
      <c r="I133" s="1109"/>
      <c r="J133" s="1109"/>
      <c r="K133" s="1110"/>
    </row>
    <row r="134" spans="1:11" ht="30" customHeight="1">
      <c r="A134" s="1106" t="s">
        <v>123</v>
      </c>
      <c r="B134" s="1107"/>
      <c r="C134" s="1107"/>
      <c r="D134" s="1107"/>
      <c r="E134" s="1107"/>
      <c r="F134" s="1107"/>
      <c r="G134" s="1109" t="s">
        <v>124</v>
      </c>
      <c r="H134" s="1109"/>
      <c r="I134" s="1109"/>
      <c r="J134" s="1109"/>
      <c r="K134" s="1110"/>
    </row>
    <row r="135" spans="1:11" ht="30" customHeight="1">
      <c r="A135" s="393" t="s">
        <v>125</v>
      </c>
      <c r="B135" s="499"/>
      <c r="C135" s="499"/>
      <c r="D135" s="499"/>
      <c r="E135" s="499"/>
      <c r="F135" s="500"/>
      <c r="G135" s="395"/>
      <c r="H135" s="497"/>
      <c r="I135" s="498">
        <f>'4-22MASTER'!X19</f>
        <v>29</v>
      </c>
      <c r="J135" s="497"/>
      <c r="K135" s="397"/>
    </row>
    <row r="136" spans="1:11" ht="30" customHeight="1">
      <c r="A136" s="393" t="s">
        <v>126</v>
      </c>
      <c r="B136" s="499"/>
      <c r="C136" s="499"/>
      <c r="D136" s="499"/>
      <c r="E136" s="499"/>
      <c r="F136" s="500"/>
      <c r="G136" s="395"/>
      <c r="H136" s="497"/>
      <c r="I136" s="497" t="s">
        <v>37</v>
      </c>
      <c r="J136" s="497"/>
      <c r="K136" s="397"/>
    </row>
    <row r="137" spans="1:11" ht="30" customHeight="1">
      <c r="A137" s="393" t="s">
        <v>127</v>
      </c>
      <c r="B137" s="499"/>
      <c r="C137" s="499"/>
      <c r="D137" s="499"/>
      <c r="E137" s="499"/>
      <c r="F137" s="500"/>
      <c r="G137" s="395"/>
      <c r="H137" s="497"/>
      <c r="I137" s="498">
        <v>0</v>
      </c>
      <c r="J137" s="497"/>
      <c r="K137" s="397"/>
    </row>
    <row r="138" spans="1:11" ht="30" customHeight="1">
      <c r="A138" s="393" t="s">
        <v>128</v>
      </c>
      <c r="B138" s="499"/>
      <c r="C138" s="499"/>
      <c r="D138" s="499"/>
      <c r="E138" s="499"/>
      <c r="F138" s="500"/>
      <c r="G138" s="395"/>
      <c r="H138" s="497"/>
      <c r="I138" s="497">
        <v>0</v>
      </c>
      <c r="J138" s="497"/>
      <c r="K138" s="397"/>
    </row>
    <row r="139" spans="1:11" ht="30" customHeight="1">
      <c r="A139" s="393" t="s">
        <v>129</v>
      </c>
      <c r="B139" s="499"/>
      <c r="C139" s="499"/>
      <c r="D139" s="499"/>
      <c r="E139" s="499"/>
      <c r="F139" s="500"/>
      <c r="G139" s="395"/>
      <c r="H139" s="497"/>
      <c r="I139" s="498">
        <f>'4-22MASTER'!AN19</f>
        <v>46722.888395999995</v>
      </c>
      <c r="J139" s="497"/>
      <c r="K139" s="397" t="s">
        <v>35</v>
      </c>
    </row>
    <row r="140" spans="1:11" ht="30" customHeight="1">
      <c r="A140" s="393" t="s">
        <v>130</v>
      </c>
      <c r="B140" s="499"/>
      <c r="C140" s="495" t="s">
        <v>32</v>
      </c>
      <c r="D140" s="496">
        <f>'4-22MASTER'!AP19</f>
        <v>1800</v>
      </c>
      <c r="E140" s="495" t="s">
        <v>31</v>
      </c>
      <c r="F140" s="496">
        <f>'4-22MASTER'!AO19</f>
        <v>0</v>
      </c>
      <c r="G140" s="495" t="s">
        <v>33</v>
      </c>
      <c r="H140" s="496">
        <f>'4-22MASTER'!AQ19</f>
        <v>200</v>
      </c>
      <c r="I140" s="495" t="s">
        <v>34</v>
      </c>
      <c r="J140" s="496">
        <f>'4-22MASTER'!AR19</f>
        <v>0</v>
      </c>
      <c r="K140" s="89">
        <f>'4-22MASTER'!AS19</f>
        <v>391.787848</v>
      </c>
    </row>
    <row r="141" spans="1:11" ht="30" customHeight="1">
      <c r="A141" s="393" t="s">
        <v>131</v>
      </c>
      <c r="B141" s="499"/>
      <c r="C141" s="499"/>
      <c r="D141" s="499"/>
      <c r="E141" s="499"/>
      <c r="F141" s="500"/>
      <c r="G141" s="395"/>
      <c r="H141" s="497"/>
      <c r="I141" s="498">
        <f>I139-(D140+F140+H140+J140+K140)</f>
        <v>44331.100547999995</v>
      </c>
      <c r="J141" s="497"/>
      <c r="K141" s="397"/>
    </row>
    <row r="142" spans="1:11">
      <c r="A142" s="401" t="s">
        <v>132</v>
      </c>
      <c r="B142" s="84"/>
      <c r="C142" s="84"/>
      <c r="D142" s="84"/>
      <c r="E142" s="84"/>
      <c r="F142" s="402"/>
      <c r="G142" s="403"/>
      <c r="H142" s="85"/>
      <c r="I142" s="85"/>
      <c r="J142" s="85"/>
      <c r="K142" s="404"/>
    </row>
    <row r="143" spans="1:11">
      <c r="A143" s="405" t="s">
        <v>133</v>
      </c>
      <c r="B143" s="406"/>
      <c r="C143" s="406"/>
      <c r="D143" s="406"/>
      <c r="E143" s="406"/>
      <c r="F143" s="86"/>
      <c r="G143" s="59"/>
      <c r="H143" s="407"/>
      <c r="I143" s="407"/>
      <c r="J143" s="407"/>
      <c r="K143" s="87"/>
    </row>
    <row r="144" spans="1:11">
      <c r="A144" s="11"/>
      <c r="B144" s="392"/>
      <c r="C144" s="392"/>
      <c r="D144" s="392"/>
      <c r="E144" s="392"/>
      <c r="F144" s="392"/>
      <c r="G144" s="392"/>
      <c r="H144" s="392"/>
      <c r="I144" s="392"/>
      <c r="J144" s="392"/>
      <c r="K144" s="12"/>
    </row>
    <row r="145" spans="1:11" ht="15.75" thickBot="1">
      <c r="A145" s="16"/>
      <c r="B145" s="14"/>
      <c r="C145" s="14"/>
      <c r="D145" s="14"/>
      <c r="E145" s="14"/>
      <c r="F145" s="14"/>
      <c r="G145" s="14"/>
      <c r="H145" s="14"/>
      <c r="I145" s="14"/>
      <c r="J145" s="14"/>
      <c r="K145" s="15"/>
    </row>
    <row r="159" spans="1:11" ht="15.75" thickBot="1"/>
    <row r="160" spans="1:11" ht="32.25">
      <c r="A160" s="1124" t="s">
        <v>109</v>
      </c>
      <c r="B160" s="1125"/>
      <c r="C160" s="1125"/>
      <c r="D160" s="1125"/>
      <c r="E160" s="1125"/>
      <c r="F160" s="1125"/>
      <c r="G160" s="1125"/>
      <c r="H160" s="1125"/>
      <c r="I160" s="1125"/>
      <c r="J160" s="1125"/>
      <c r="K160" s="1126"/>
    </row>
    <row r="161" spans="1:11" ht="23.25">
      <c r="A161" s="1127" t="s">
        <v>110</v>
      </c>
      <c r="B161" s="1128"/>
      <c r="C161" s="1128"/>
      <c r="D161" s="1128"/>
      <c r="E161" s="1128"/>
      <c r="F161" s="1128"/>
      <c r="G161" s="1128"/>
      <c r="H161" s="1128"/>
      <c r="I161" s="1128"/>
      <c r="J161" s="1128"/>
      <c r="K161" s="1129"/>
    </row>
    <row r="162" spans="1:11" ht="16.5" thickBot="1">
      <c r="A162" s="1130" t="s">
        <v>609</v>
      </c>
      <c r="B162" s="1131"/>
      <c r="C162" s="1131"/>
      <c r="D162" s="1131"/>
      <c r="E162" s="1131"/>
      <c r="F162" s="1131"/>
      <c r="G162" s="1131"/>
      <c r="H162" s="1131"/>
      <c r="I162" s="1131"/>
      <c r="J162" s="1131"/>
      <c r="K162" s="1132"/>
    </row>
    <row r="163" spans="1:11">
      <c r="A163" s="1133" t="s">
        <v>111</v>
      </c>
      <c r="B163" s="1134"/>
      <c r="C163" s="1134"/>
      <c r="D163" s="1134"/>
      <c r="E163" s="1134"/>
      <c r="F163" s="392"/>
      <c r="G163" s="1135" t="s">
        <v>112</v>
      </c>
      <c r="H163" s="1135"/>
      <c r="I163" s="1135"/>
      <c r="J163" s="1135"/>
      <c r="K163" s="1136"/>
    </row>
    <row r="164" spans="1:11" ht="15.75" thickBot="1">
      <c r="A164" s="1133"/>
      <c r="B164" s="1134"/>
      <c r="C164" s="1134"/>
      <c r="D164" s="1134"/>
      <c r="E164" s="1134"/>
      <c r="F164" s="392"/>
      <c r="G164" s="1135"/>
      <c r="H164" s="1135"/>
      <c r="I164" s="1135"/>
      <c r="J164" s="1135"/>
      <c r="K164" s="1136"/>
    </row>
    <row r="165" spans="1:11">
      <c r="A165" s="61"/>
      <c r="B165" s="62"/>
      <c r="C165" s="62"/>
      <c r="D165" s="62"/>
      <c r="E165" s="63"/>
      <c r="F165" s="392"/>
      <c r="G165" s="61"/>
      <c r="H165" s="62"/>
      <c r="I165" s="62"/>
      <c r="J165" s="62"/>
      <c r="K165" s="63"/>
    </row>
    <row r="166" spans="1:11">
      <c r="A166" s="537" t="s">
        <v>381</v>
      </c>
      <c r="B166" s="392"/>
      <c r="C166" s="392"/>
      <c r="D166" s="392"/>
      <c r="E166" s="12"/>
      <c r="F166" s="392"/>
      <c r="G166" s="537" t="s">
        <v>381</v>
      </c>
      <c r="H166" s="392"/>
      <c r="I166" s="392"/>
      <c r="J166" s="392"/>
      <c r="K166" s="12"/>
    </row>
    <row r="167" spans="1:11" ht="20.45" customHeight="1">
      <c r="B167" s="392"/>
      <c r="C167" s="392"/>
      <c r="D167" s="392"/>
      <c r="E167" s="12"/>
      <c r="F167" s="392"/>
      <c r="H167" s="392"/>
      <c r="I167" s="392"/>
      <c r="J167" s="392"/>
      <c r="K167" s="12"/>
    </row>
    <row r="168" spans="1:11" ht="20.45" customHeight="1">
      <c r="A168" s="518" t="s">
        <v>382</v>
      </c>
      <c r="B168" s="392"/>
      <c r="C168" s="392"/>
      <c r="D168" s="392"/>
      <c r="E168" s="12"/>
      <c r="F168" s="392"/>
      <c r="G168" s="518" t="s">
        <v>382</v>
      </c>
      <c r="H168" s="392"/>
      <c r="I168" s="392"/>
      <c r="J168" s="392"/>
      <c r="K168" s="12"/>
    </row>
    <row r="169" spans="1:11" ht="20.45" customHeight="1" thickBot="1">
      <c r="A169" s="16"/>
      <c r="B169" s="14"/>
      <c r="C169" s="14"/>
      <c r="D169" s="14"/>
      <c r="E169" s="15"/>
      <c r="F169" s="392"/>
      <c r="G169" s="16"/>
      <c r="H169" s="14"/>
      <c r="I169" s="14"/>
      <c r="J169" s="14"/>
      <c r="K169" s="15"/>
    </row>
    <row r="170" spans="1:11" ht="20.45" customHeight="1">
      <c r="A170" s="11"/>
      <c r="B170" s="392"/>
      <c r="C170" s="392"/>
      <c r="D170" s="392"/>
      <c r="E170" s="392"/>
      <c r="F170" s="392"/>
      <c r="G170" s="392"/>
      <c r="H170" s="392"/>
      <c r="I170" s="392" t="s">
        <v>113</v>
      </c>
      <c r="J170" s="392"/>
      <c r="K170" s="12"/>
    </row>
    <row r="171" spans="1:11" ht="20.45" customHeight="1">
      <c r="A171" s="1137" t="s">
        <v>114</v>
      </c>
      <c r="B171" s="1138"/>
      <c r="C171" s="1138"/>
      <c r="D171" s="1138"/>
      <c r="E171" s="1138"/>
      <c r="F171" s="392"/>
      <c r="G171" s="1138" t="s">
        <v>4</v>
      </c>
      <c r="H171" s="1138"/>
      <c r="I171" s="1138"/>
      <c r="J171" s="1138"/>
      <c r="K171" s="1139"/>
    </row>
    <row r="172" spans="1:11" ht="20.45" customHeight="1" thickBot="1">
      <c r="A172" s="11"/>
      <c r="B172" s="392"/>
      <c r="C172" s="392"/>
      <c r="D172" s="392"/>
      <c r="E172" s="392"/>
      <c r="F172" s="392"/>
      <c r="G172" s="392"/>
      <c r="H172" s="392"/>
      <c r="I172" s="392"/>
      <c r="J172" s="392"/>
      <c r="K172" s="12"/>
    </row>
    <row r="173" spans="1:11" ht="20.45" customHeight="1">
      <c r="A173" s="61"/>
      <c r="B173" s="62"/>
      <c r="C173" s="62"/>
      <c r="D173" s="62"/>
      <c r="E173" s="63"/>
      <c r="F173" s="392"/>
      <c r="G173" s="65"/>
      <c r="H173" s="66"/>
      <c r="I173" s="66"/>
      <c r="J173" s="66"/>
      <c r="K173" s="67"/>
    </row>
    <row r="174" spans="1:11" ht="20.45" customHeight="1">
      <c r="A174" s="11"/>
      <c r="B174" s="392"/>
      <c r="C174" s="392"/>
      <c r="D174" s="392"/>
      <c r="E174" s="12"/>
      <c r="F174" s="392"/>
      <c r="G174" s="613" t="s">
        <v>471</v>
      </c>
      <c r="H174" s="389"/>
      <c r="I174" s="389"/>
      <c r="J174" s="389"/>
      <c r="K174" s="68"/>
    </row>
    <row r="175" spans="1:11" ht="20.45" customHeight="1">
      <c r="A175" s="519" t="s">
        <v>601</v>
      </c>
      <c r="B175" s="392"/>
      <c r="C175" s="392"/>
      <c r="D175" s="392"/>
      <c r="E175" s="12"/>
      <c r="F175" s="392"/>
      <c r="G175" s="613"/>
      <c r="H175" s="389"/>
      <c r="I175" s="389"/>
      <c r="J175" s="389"/>
      <c r="K175" s="68"/>
    </row>
    <row r="176" spans="1:11" ht="20.45" customHeight="1">
      <c r="A176" s="11"/>
      <c r="B176" s="392"/>
      <c r="C176" s="392"/>
      <c r="D176" s="392"/>
      <c r="E176" s="12"/>
      <c r="F176" s="392"/>
      <c r="G176" s="545" t="s">
        <v>472</v>
      </c>
      <c r="H176" s="389"/>
      <c r="I176" s="389"/>
      <c r="J176" s="389"/>
      <c r="K176" s="68"/>
    </row>
    <row r="177" spans="1:11" ht="20.45" customHeight="1" thickBot="1">
      <c r="A177" s="16"/>
      <c r="B177" s="14"/>
      <c r="C177" s="14"/>
      <c r="D177" s="14"/>
      <c r="E177" s="15"/>
      <c r="F177" s="392"/>
      <c r="G177" s="64"/>
      <c r="H177" s="389"/>
      <c r="I177" s="389"/>
      <c r="J177" s="389"/>
      <c r="K177" s="68"/>
    </row>
    <row r="178" spans="1:11" ht="30" customHeight="1">
      <c r="A178" s="1106" t="s">
        <v>115</v>
      </c>
      <c r="B178" s="1107"/>
      <c r="C178" s="1107"/>
      <c r="D178" s="1107"/>
      <c r="E178" s="1107"/>
      <c r="F178" s="1111"/>
      <c r="G178" s="1112" t="str">
        <f>'4-22MASTER'!C20</f>
        <v>Anjali Dubey</v>
      </c>
      <c r="H178" s="1112"/>
      <c r="I178" s="1112"/>
      <c r="J178" s="1112"/>
      <c r="K178" s="1112"/>
    </row>
    <row r="179" spans="1:11" ht="30" customHeight="1">
      <c r="A179" s="1113"/>
      <c r="B179" s="1114"/>
      <c r="C179" s="1114"/>
      <c r="D179" s="1114"/>
      <c r="E179" s="1114"/>
      <c r="F179" s="1115"/>
      <c r="G179" s="1112" t="str">
        <f>'4-22MASTER'!K20</f>
        <v>H.N. 376/16, Behind P.K. School, Ravindra nagar Urrahat Rewa M.P. 486001</v>
      </c>
      <c r="H179" s="1112"/>
      <c r="I179" s="1112"/>
      <c r="J179" s="1112"/>
      <c r="K179" s="1112"/>
    </row>
    <row r="180" spans="1:11" ht="30" customHeight="1">
      <c r="A180" s="1116" t="s">
        <v>116</v>
      </c>
      <c r="B180" s="1117"/>
      <c r="C180" s="1117"/>
      <c r="D180" s="1117"/>
      <c r="E180" s="1117"/>
      <c r="F180" s="1117"/>
      <c r="G180" s="1118">
        <f>'4-22MASTER'!A20</f>
        <v>35</v>
      </c>
      <c r="H180" s="1119"/>
      <c r="I180" s="1119"/>
      <c r="J180" s="1119"/>
      <c r="K180" s="1120"/>
    </row>
    <row r="181" spans="1:11" ht="30" customHeight="1">
      <c r="A181" s="1106" t="s">
        <v>117</v>
      </c>
      <c r="B181" s="1107"/>
      <c r="C181" s="1107"/>
      <c r="D181" s="1107"/>
      <c r="E181" s="1107"/>
      <c r="F181" s="1107"/>
      <c r="G181" s="1112" t="str">
        <f>'4-22MASTER'!G20</f>
        <v>Project Engineer</v>
      </c>
      <c r="H181" s="1109"/>
      <c r="I181" s="1109"/>
      <c r="J181" s="1109"/>
      <c r="K181" s="1110"/>
    </row>
    <row r="182" spans="1:11" ht="30" customHeight="1">
      <c r="A182" s="1106" t="s">
        <v>118</v>
      </c>
      <c r="B182" s="1107"/>
      <c r="C182" s="1107"/>
      <c r="D182" s="1107"/>
      <c r="E182" s="1107"/>
      <c r="F182" s="1107"/>
      <c r="G182" s="1121">
        <f>'4-22MASTER'!O20</f>
        <v>44487</v>
      </c>
      <c r="H182" s="1122"/>
      <c r="I182" s="1122"/>
      <c r="J182" s="1122"/>
      <c r="K182" s="1123"/>
    </row>
    <row r="183" spans="1:11" ht="30" customHeight="1">
      <c r="A183" s="393" t="s">
        <v>119</v>
      </c>
      <c r="B183" s="619"/>
      <c r="C183" s="619"/>
      <c r="D183" s="619"/>
      <c r="E183" s="619"/>
      <c r="F183" s="619"/>
      <c r="G183" s="395"/>
      <c r="H183" s="396"/>
      <c r="I183" s="381">
        <f>'4-22MASTER'!U226</f>
        <v>0</v>
      </c>
      <c r="J183" s="622"/>
      <c r="K183" s="397"/>
    </row>
    <row r="184" spans="1:11" ht="30" customHeight="1">
      <c r="A184" s="393" t="s">
        <v>120</v>
      </c>
      <c r="B184" s="619"/>
      <c r="C184" s="619"/>
      <c r="D184" s="619"/>
      <c r="E184" s="619"/>
      <c r="F184" s="620"/>
      <c r="G184" s="78"/>
      <c r="H184" s="399"/>
      <c r="I184" s="381" t="str">
        <f>'4-22MASTER'!T20</f>
        <v>100514943656</v>
      </c>
      <c r="J184" s="399"/>
      <c r="K184" s="80"/>
    </row>
    <row r="185" spans="1:11" ht="30" customHeight="1">
      <c r="A185" s="1101" t="s">
        <v>121</v>
      </c>
      <c r="B185" s="1102"/>
      <c r="C185" s="1102"/>
      <c r="D185" s="1102"/>
      <c r="E185" s="1102"/>
      <c r="F185" s="1102"/>
      <c r="G185" s="1103">
        <f>'4-22MASTER'!Z20</f>
        <v>58959</v>
      </c>
      <c r="H185" s="1104"/>
      <c r="I185" s="1104"/>
      <c r="J185" s="1104"/>
      <c r="K185" s="1105"/>
    </row>
    <row r="186" spans="1:11" ht="30" customHeight="1">
      <c r="A186" s="1106" t="s">
        <v>122</v>
      </c>
      <c r="B186" s="1107"/>
      <c r="C186" s="1107"/>
      <c r="D186" s="1107"/>
      <c r="E186" s="1107"/>
      <c r="F186" s="1107"/>
      <c r="G186" s="1108">
        <f>'4-22MASTER'!E10</f>
        <v>44652</v>
      </c>
      <c r="H186" s="1109"/>
      <c r="I186" s="1109"/>
      <c r="J186" s="1109"/>
      <c r="K186" s="1110"/>
    </row>
    <row r="187" spans="1:11" ht="30" customHeight="1">
      <c r="A187" s="1106" t="s">
        <v>123</v>
      </c>
      <c r="B187" s="1107"/>
      <c r="C187" s="1107"/>
      <c r="D187" s="1107"/>
      <c r="E187" s="1107"/>
      <c r="F187" s="1107"/>
      <c r="G187" s="1109" t="s">
        <v>124</v>
      </c>
      <c r="H187" s="1109"/>
      <c r="I187" s="1109"/>
      <c r="J187" s="1109"/>
      <c r="K187" s="1110"/>
    </row>
    <row r="188" spans="1:11" ht="30" customHeight="1">
      <c r="A188" s="393" t="s">
        <v>125</v>
      </c>
      <c r="B188" s="619"/>
      <c r="C188" s="619"/>
      <c r="D188" s="619"/>
      <c r="E188" s="619"/>
      <c r="F188" s="620"/>
      <c r="G188" s="395"/>
      <c r="H188" s="622"/>
      <c r="I188" s="618">
        <f>'4-22MASTER'!X20</f>
        <v>28</v>
      </c>
      <c r="J188" s="622"/>
      <c r="K188" s="397"/>
    </row>
    <row r="189" spans="1:11" ht="30" customHeight="1">
      <c r="A189" s="393" t="s">
        <v>126</v>
      </c>
      <c r="B189" s="619"/>
      <c r="C189" s="619"/>
      <c r="D189" s="619"/>
      <c r="E189" s="619"/>
      <c r="F189" s="620"/>
      <c r="G189" s="395"/>
      <c r="H189" s="622"/>
      <c r="I189" s="622" t="s">
        <v>37</v>
      </c>
      <c r="J189" s="622"/>
      <c r="K189" s="397"/>
    </row>
    <row r="190" spans="1:11" ht="30" customHeight="1">
      <c r="A190" s="393" t="s">
        <v>127</v>
      </c>
      <c r="B190" s="619"/>
      <c r="C190" s="619"/>
      <c r="D190" s="619"/>
      <c r="E190" s="619"/>
      <c r="F190" s="620"/>
      <c r="G190" s="395"/>
      <c r="H190" s="622"/>
      <c r="I190" s="618">
        <v>0</v>
      </c>
      <c r="J190" s="622"/>
      <c r="K190" s="397"/>
    </row>
    <row r="191" spans="1:11" ht="30" customHeight="1">
      <c r="A191" s="393" t="s">
        <v>128</v>
      </c>
      <c r="B191" s="619"/>
      <c r="C191" s="619"/>
      <c r="D191" s="619"/>
      <c r="E191" s="619"/>
      <c r="F191" s="620"/>
      <c r="G191" s="395"/>
      <c r="H191" s="622"/>
      <c r="I191" s="622">
        <v>0</v>
      </c>
      <c r="J191" s="622" t="s">
        <v>663</v>
      </c>
      <c r="K191" s="397">
        <f>'4-22MASTER'!AM20</f>
        <v>0</v>
      </c>
    </row>
    <row r="192" spans="1:11" ht="30" customHeight="1">
      <c r="A192" s="393" t="s">
        <v>129</v>
      </c>
      <c r="B192" s="619"/>
      <c r="C192" s="619"/>
      <c r="D192" s="619"/>
      <c r="E192" s="619"/>
      <c r="F192" s="620"/>
      <c r="G192" s="395"/>
      <c r="H192" s="622"/>
      <c r="I192" s="618">
        <f>'4-22MASTER'!AN20</f>
        <v>61035.548623999995</v>
      </c>
      <c r="J192" s="622"/>
      <c r="K192" s="397" t="s">
        <v>35</v>
      </c>
    </row>
    <row r="193" spans="1:11" ht="30" customHeight="1">
      <c r="A193" s="393" t="s">
        <v>130</v>
      </c>
      <c r="B193" s="619"/>
      <c r="C193" s="621" t="s">
        <v>32</v>
      </c>
      <c r="D193" s="617">
        <f>'4-22MASTER'!AP20</f>
        <v>1800</v>
      </c>
      <c r="E193" s="621" t="s">
        <v>31</v>
      </c>
      <c r="F193" s="617">
        <f>'4-22MASTER'!AO723</f>
        <v>0</v>
      </c>
      <c r="G193" s="621" t="s">
        <v>33</v>
      </c>
      <c r="H193" s="617">
        <f>'4-22MASTER'!AQ20</f>
        <v>200</v>
      </c>
      <c r="I193" s="621" t="s">
        <v>34</v>
      </c>
      <c r="J193" s="617">
        <f>'4-22MASTER'!AR20</f>
        <v>0</v>
      </c>
      <c r="K193" s="89">
        <f>'4-22MASTER'!AS20</f>
        <v>254</v>
      </c>
    </row>
    <row r="194" spans="1:11" ht="30" customHeight="1">
      <c r="A194" s="393" t="s">
        <v>131</v>
      </c>
      <c r="B194" s="619"/>
      <c r="C194" s="619"/>
      <c r="D194" s="619"/>
      <c r="E194" s="619"/>
      <c r="F194" s="620"/>
      <c r="G194" s="395"/>
      <c r="H194" s="622"/>
      <c r="I194" s="618">
        <f>I192-(D193+F193+H193+J193+K193)</f>
        <v>58781.548623999995</v>
      </c>
      <c r="J194" s="622"/>
      <c r="K194" s="397"/>
    </row>
    <row r="195" spans="1:11" ht="20.45" customHeight="1">
      <c r="A195" s="401" t="s">
        <v>132</v>
      </c>
      <c r="B195" s="84"/>
      <c r="C195" s="84"/>
      <c r="D195" s="84"/>
      <c r="E195" s="84"/>
      <c r="F195" s="402"/>
      <c r="G195" s="403"/>
      <c r="H195" s="85"/>
      <c r="I195" s="85"/>
      <c r="J195" s="85"/>
      <c r="K195" s="404"/>
    </row>
    <row r="196" spans="1:11" ht="20.45" customHeight="1">
      <c r="A196" s="405" t="s">
        <v>133</v>
      </c>
      <c r="B196" s="406"/>
      <c r="C196" s="406"/>
      <c r="D196" s="406"/>
      <c r="E196" s="406"/>
      <c r="F196" s="86"/>
      <c r="G196" s="59"/>
      <c r="H196" s="407"/>
      <c r="I196" s="407"/>
      <c r="J196" s="407"/>
      <c r="K196" s="87"/>
    </row>
    <row r="197" spans="1:11" ht="20.45" customHeight="1">
      <c r="A197" s="11"/>
      <c r="B197" s="392"/>
      <c r="C197" s="392"/>
      <c r="D197" s="392"/>
      <c r="E197" s="392"/>
      <c r="F197" s="392"/>
      <c r="G197" s="392"/>
      <c r="H197" s="392"/>
      <c r="I197" s="392"/>
      <c r="J197" s="392"/>
      <c r="K197" s="12"/>
    </row>
    <row r="198" spans="1:11" ht="20.45" customHeight="1" thickBot="1">
      <c r="A198" s="16"/>
      <c r="B198" s="14"/>
      <c r="C198" s="14"/>
      <c r="D198" s="14"/>
      <c r="E198" s="14"/>
      <c r="F198" s="14"/>
      <c r="G198" s="14"/>
      <c r="H198" s="14"/>
      <c r="I198" s="14"/>
      <c r="J198" s="14"/>
      <c r="K198" s="15"/>
    </row>
    <row r="199" spans="1:11" ht="20.45" customHeight="1"/>
    <row r="200" spans="1:11" ht="20.45" customHeight="1"/>
    <row r="201" spans="1:11" ht="20.45" customHeight="1"/>
    <row r="202" spans="1:11" ht="20.45" customHeight="1"/>
    <row r="203" spans="1:11" ht="20.45" customHeight="1"/>
    <row r="204" spans="1:11" ht="20.45" customHeight="1"/>
    <row r="205" spans="1:11" ht="20.45" customHeight="1"/>
    <row r="206" spans="1:11" ht="20.45" customHeight="1"/>
    <row r="208" spans="1:11" ht="15.75" thickBot="1"/>
    <row r="209" spans="1:11" ht="32.25">
      <c r="A209" s="1124" t="s">
        <v>109</v>
      </c>
      <c r="B209" s="1125"/>
      <c r="C209" s="1125"/>
      <c r="D209" s="1125"/>
      <c r="E209" s="1125"/>
      <c r="F209" s="1125"/>
      <c r="G209" s="1125"/>
      <c r="H209" s="1125"/>
      <c r="I209" s="1125"/>
      <c r="J209" s="1125"/>
      <c r="K209" s="1126"/>
    </row>
    <row r="210" spans="1:11" ht="23.25">
      <c r="A210" s="1127" t="s">
        <v>110</v>
      </c>
      <c r="B210" s="1128"/>
      <c r="C210" s="1128"/>
      <c r="D210" s="1128"/>
      <c r="E210" s="1128"/>
      <c r="F210" s="1128"/>
      <c r="G210" s="1128"/>
      <c r="H210" s="1128"/>
      <c r="I210" s="1128"/>
      <c r="J210" s="1128"/>
      <c r="K210" s="1129"/>
    </row>
    <row r="211" spans="1:11" ht="16.5" thickBot="1">
      <c r="A211" s="1130" t="s">
        <v>609</v>
      </c>
      <c r="B211" s="1131"/>
      <c r="C211" s="1131"/>
      <c r="D211" s="1131"/>
      <c r="E211" s="1131"/>
      <c r="F211" s="1131"/>
      <c r="G211" s="1131"/>
      <c r="H211" s="1131"/>
      <c r="I211" s="1131"/>
      <c r="J211" s="1131"/>
      <c r="K211" s="1132"/>
    </row>
    <row r="212" spans="1:11">
      <c r="A212" s="1133" t="s">
        <v>111</v>
      </c>
      <c r="B212" s="1134"/>
      <c r="C212" s="1134"/>
      <c r="D212" s="1134"/>
      <c r="E212" s="1134"/>
      <c r="F212" s="392"/>
      <c r="G212" s="1135" t="s">
        <v>112</v>
      </c>
      <c r="H212" s="1135"/>
      <c r="I212" s="1135"/>
      <c r="J212" s="1135"/>
      <c r="K212" s="1136"/>
    </row>
    <row r="213" spans="1:11" ht="15.75" thickBot="1">
      <c r="A213" s="1133"/>
      <c r="B213" s="1134"/>
      <c r="C213" s="1134"/>
      <c r="D213" s="1134"/>
      <c r="E213" s="1134"/>
      <c r="F213" s="392"/>
      <c r="G213" s="1135"/>
      <c r="H213" s="1135"/>
      <c r="I213" s="1135"/>
      <c r="J213" s="1135"/>
      <c r="K213" s="1136"/>
    </row>
    <row r="214" spans="1:11" ht="21" customHeight="1">
      <c r="A214" s="61"/>
      <c r="B214" s="62"/>
      <c r="C214" s="62"/>
      <c r="D214" s="62"/>
      <c r="E214" s="63"/>
      <c r="F214" s="392"/>
      <c r="G214" s="61"/>
      <c r="H214" s="62"/>
      <c r="I214" s="62"/>
      <c r="J214" s="62"/>
      <c r="K214" s="63"/>
    </row>
    <row r="215" spans="1:11" ht="21" customHeight="1">
      <c r="A215" s="537" t="s">
        <v>381</v>
      </c>
      <c r="B215" s="392"/>
      <c r="C215" s="392"/>
      <c r="D215" s="392"/>
      <c r="E215" s="12"/>
      <c r="F215" s="392"/>
      <c r="G215" s="537" t="s">
        <v>381</v>
      </c>
      <c r="H215" s="392"/>
      <c r="I215" s="392"/>
      <c r="J215" s="392"/>
      <c r="K215" s="12"/>
    </row>
    <row r="216" spans="1:11" ht="21" customHeight="1">
      <c r="B216" s="392"/>
      <c r="C216" s="392"/>
      <c r="D216" s="392"/>
      <c r="E216" s="12"/>
      <c r="F216" s="392"/>
      <c r="H216" s="392"/>
      <c r="I216" s="392"/>
      <c r="J216" s="392"/>
      <c r="K216" s="12"/>
    </row>
    <row r="217" spans="1:11" ht="21" customHeight="1">
      <c r="A217" s="518" t="s">
        <v>382</v>
      </c>
      <c r="B217" s="392"/>
      <c r="C217" s="392"/>
      <c r="D217" s="392"/>
      <c r="E217" s="12"/>
      <c r="F217" s="392"/>
      <c r="G217" s="518" t="s">
        <v>382</v>
      </c>
      <c r="H217" s="392"/>
      <c r="I217" s="392"/>
      <c r="J217" s="392"/>
      <c r="K217" s="12"/>
    </row>
    <row r="218" spans="1:11" ht="21" customHeight="1" thickBot="1">
      <c r="A218" s="16"/>
      <c r="B218" s="14"/>
      <c r="C218" s="14"/>
      <c r="D218" s="14"/>
      <c r="E218" s="15"/>
      <c r="F218" s="392"/>
      <c r="G218" s="16"/>
      <c r="H218" s="14"/>
      <c r="I218" s="14"/>
      <c r="J218" s="14"/>
      <c r="K218" s="15"/>
    </row>
    <row r="219" spans="1:11" ht="21" customHeight="1">
      <c r="A219" s="11"/>
      <c r="B219" s="392"/>
      <c r="C219" s="392"/>
      <c r="D219" s="392"/>
      <c r="E219" s="392"/>
      <c r="F219" s="392"/>
      <c r="G219" s="392"/>
      <c r="H219" s="392"/>
      <c r="I219" s="392" t="s">
        <v>113</v>
      </c>
      <c r="J219" s="392"/>
      <c r="K219" s="12"/>
    </row>
    <row r="220" spans="1:11" ht="21" customHeight="1">
      <c r="A220" s="1137" t="s">
        <v>114</v>
      </c>
      <c r="B220" s="1138"/>
      <c r="C220" s="1138"/>
      <c r="D220" s="1138"/>
      <c r="E220" s="1138"/>
      <c r="F220" s="392"/>
      <c r="G220" s="1138" t="s">
        <v>4</v>
      </c>
      <c r="H220" s="1138"/>
      <c r="I220" s="1138"/>
      <c r="J220" s="1138"/>
      <c r="K220" s="1139"/>
    </row>
    <row r="221" spans="1:11" ht="21" customHeight="1" thickBot="1">
      <c r="A221" s="11"/>
      <c r="B221" s="392"/>
      <c r="C221" s="392"/>
      <c r="D221" s="392"/>
      <c r="E221" s="392"/>
      <c r="F221" s="392"/>
      <c r="G221" s="392"/>
      <c r="H221" s="392"/>
      <c r="I221" s="392"/>
      <c r="J221" s="392"/>
      <c r="K221" s="12"/>
    </row>
    <row r="222" spans="1:11" ht="21" customHeight="1">
      <c r="A222" s="61"/>
      <c r="B222" s="62"/>
      <c r="C222" s="62"/>
      <c r="D222" s="62"/>
      <c r="E222" s="63"/>
      <c r="F222" s="392"/>
      <c r="G222" s="65"/>
      <c r="H222" s="66"/>
      <c r="I222" s="66"/>
      <c r="J222" s="66"/>
      <c r="K222" s="67"/>
    </row>
    <row r="223" spans="1:11" ht="21" customHeight="1">
      <c r="A223" s="11"/>
      <c r="B223" s="392"/>
      <c r="C223" s="392"/>
      <c r="D223" s="392"/>
      <c r="E223" s="12"/>
      <c r="F223" s="392"/>
      <c r="G223" s="613" t="s">
        <v>471</v>
      </c>
      <c r="H223" s="389"/>
      <c r="I223" s="389"/>
      <c r="J223" s="389"/>
      <c r="K223" s="68"/>
    </row>
    <row r="224" spans="1:11" ht="21" customHeight="1">
      <c r="A224" s="519" t="s">
        <v>601</v>
      </c>
      <c r="B224" s="392"/>
      <c r="C224" s="392"/>
      <c r="D224" s="392"/>
      <c r="E224" s="12"/>
      <c r="F224" s="392"/>
      <c r="G224" s="613"/>
      <c r="H224" s="389"/>
      <c r="I224" s="389"/>
      <c r="J224" s="389"/>
      <c r="K224" s="68"/>
    </row>
    <row r="225" spans="1:11" ht="21" customHeight="1">
      <c r="A225" s="11"/>
      <c r="B225" s="392"/>
      <c r="C225" s="392"/>
      <c r="D225" s="392"/>
      <c r="E225" s="12"/>
      <c r="F225" s="392"/>
      <c r="G225" s="545" t="s">
        <v>472</v>
      </c>
      <c r="H225" s="389"/>
      <c r="I225" s="389"/>
      <c r="J225" s="389"/>
      <c r="K225" s="68"/>
    </row>
    <row r="226" spans="1:11" ht="21" customHeight="1" thickBot="1">
      <c r="A226" s="16"/>
      <c r="B226" s="14"/>
      <c r="C226" s="14"/>
      <c r="D226" s="14"/>
      <c r="E226" s="15"/>
      <c r="F226" s="392"/>
      <c r="G226" s="64"/>
      <c r="H226" s="389"/>
      <c r="I226" s="389"/>
      <c r="J226" s="389"/>
      <c r="K226" s="68"/>
    </row>
    <row r="227" spans="1:11" ht="25.5" customHeight="1">
      <c r="A227" s="1106" t="s">
        <v>115</v>
      </c>
      <c r="B227" s="1107"/>
      <c r="C227" s="1107"/>
      <c r="D227" s="1107"/>
      <c r="E227" s="1107"/>
      <c r="F227" s="1111"/>
      <c r="G227" s="1112" t="str">
        <f>'4-22MASTER'!C21</f>
        <v>TUSHAR UCHAGAONKAR</v>
      </c>
      <c r="H227" s="1112"/>
      <c r="I227" s="1112"/>
      <c r="J227" s="1112"/>
      <c r="K227" s="1112"/>
    </row>
    <row r="228" spans="1:11" ht="25.5" customHeight="1">
      <c r="A228" s="1113"/>
      <c r="B228" s="1114"/>
      <c r="C228" s="1114"/>
      <c r="D228" s="1114"/>
      <c r="E228" s="1114"/>
      <c r="F228" s="1115"/>
      <c r="G228" s="1112" t="str">
        <f>'4-22MASTER'!H21</f>
        <v>Plot No 5,Sy No 140,Parijath colony,Hindwadi,Belgam,Karnataka 590011</v>
      </c>
      <c r="H228" s="1112"/>
      <c r="I228" s="1112"/>
      <c r="J228" s="1112"/>
      <c r="K228" s="1112"/>
    </row>
    <row r="229" spans="1:11" ht="25.5" customHeight="1">
      <c r="A229" s="1116" t="s">
        <v>116</v>
      </c>
      <c r="B229" s="1117"/>
      <c r="C229" s="1117"/>
      <c r="D229" s="1117"/>
      <c r="E229" s="1117"/>
      <c r="F229" s="1117"/>
      <c r="G229" s="1118">
        <v>38</v>
      </c>
      <c r="H229" s="1119"/>
      <c r="I229" s="1119"/>
      <c r="J229" s="1119"/>
      <c r="K229" s="1120"/>
    </row>
    <row r="230" spans="1:11" ht="25.5" customHeight="1">
      <c r="A230" s="1106" t="s">
        <v>117</v>
      </c>
      <c r="B230" s="1107"/>
      <c r="C230" s="1107"/>
      <c r="D230" s="1107"/>
      <c r="E230" s="1107"/>
      <c r="F230" s="1107"/>
      <c r="G230" s="1112" t="str">
        <f>'4-22MASTER'!G21</f>
        <v>Network Engineer</v>
      </c>
      <c r="H230" s="1109"/>
      <c r="I230" s="1109"/>
      <c r="J230" s="1109"/>
      <c r="K230" s="1110"/>
    </row>
    <row r="231" spans="1:11" ht="25.5" customHeight="1">
      <c r="A231" s="1106" t="s">
        <v>118</v>
      </c>
      <c r="B231" s="1107"/>
      <c r="C231" s="1107"/>
      <c r="D231" s="1107"/>
      <c r="E231" s="1107"/>
      <c r="F231" s="1107"/>
      <c r="G231" s="1121">
        <f>'4-22MASTER'!O21</f>
        <v>44546</v>
      </c>
      <c r="H231" s="1122"/>
      <c r="I231" s="1122"/>
      <c r="J231" s="1122"/>
      <c r="K231" s="1123"/>
    </row>
    <row r="232" spans="1:11" ht="25.5" customHeight="1">
      <c r="A232" s="393" t="s">
        <v>119</v>
      </c>
      <c r="B232" s="619"/>
      <c r="C232" s="619"/>
      <c r="D232" s="619"/>
      <c r="E232" s="619"/>
      <c r="F232" s="619"/>
      <c r="G232" s="395"/>
      <c r="H232" s="396"/>
      <c r="I232" s="381">
        <f>'4-22MASTER'!U373</f>
        <v>0</v>
      </c>
      <c r="J232" s="622"/>
      <c r="K232" s="397"/>
    </row>
    <row r="233" spans="1:11" ht="25.5" customHeight="1">
      <c r="A233" s="393" t="s">
        <v>120</v>
      </c>
      <c r="B233" s="619"/>
      <c r="C233" s="619"/>
      <c r="D233" s="619"/>
      <c r="E233" s="619"/>
      <c r="F233" s="620"/>
      <c r="G233" s="78"/>
      <c r="H233" s="399"/>
      <c r="I233" s="381" t="str">
        <f>'4-22MASTER'!T21</f>
        <v>100593810783</v>
      </c>
      <c r="J233" s="399"/>
      <c r="K233" s="80"/>
    </row>
    <row r="234" spans="1:11" ht="25.5" customHeight="1">
      <c r="A234" s="1101" t="s">
        <v>121</v>
      </c>
      <c r="B234" s="1102"/>
      <c r="C234" s="1102"/>
      <c r="D234" s="1102"/>
      <c r="E234" s="1102"/>
      <c r="F234" s="1102"/>
      <c r="G234" s="1103">
        <f>'4-22MASTER'!Z21</f>
        <v>77497</v>
      </c>
      <c r="H234" s="1104"/>
      <c r="I234" s="1104"/>
      <c r="J234" s="1104"/>
      <c r="K234" s="1105"/>
    </row>
    <row r="235" spans="1:11" ht="25.5" customHeight="1">
      <c r="A235" s="1106" t="s">
        <v>122</v>
      </c>
      <c r="B235" s="1107"/>
      <c r="C235" s="1107"/>
      <c r="D235" s="1107"/>
      <c r="E235" s="1107"/>
      <c r="F235" s="1107"/>
      <c r="G235" s="1108">
        <f>'4-22MASTER'!E10</f>
        <v>44652</v>
      </c>
      <c r="H235" s="1109"/>
      <c r="I235" s="1109"/>
      <c r="J235" s="1109"/>
      <c r="K235" s="1110"/>
    </row>
    <row r="236" spans="1:11" ht="25.5" customHeight="1">
      <c r="A236" s="1106" t="s">
        <v>123</v>
      </c>
      <c r="B236" s="1107"/>
      <c r="C236" s="1107"/>
      <c r="D236" s="1107"/>
      <c r="E236" s="1107"/>
      <c r="F236" s="1107"/>
      <c r="G236" s="1109" t="s">
        <v>124</v>
      </c>
      <c r="H236" s="1109"/>
      <c r="I236" s="1109"/>
      <c r="J236" s="1109"/>
      <c r="K236" s="1110"/>
    </row>
    <row r="237" spans="1:11" ht="25.5" customHeight="1">
      <c r="A237" s="393" t="s">
        <v>125</v>
      </c>
      <c r="B237" s="619"/>
      <c r="C237" s="619"/>
      <c r="D237" s="619"/>
      <c r="E237" s="619"/>
      <c r="F237" s="620"/>
      <c r="G237" s="395"/>
      <c r="H237" s="622"/>
      <c r="I237" s="618">
        <f>'4-22MASTER'!X21</f>
        <v>30</v>
      </c>
      <c r="J237" s="622"/>
      <c r="K237" s="397"/>
    </row>
    <row r="238" spans="1:11" ht="25.5" customHeight="1">
      <c r="A238" s="393" t="s">
        <v>126</v>
      </c>
      <c r="B238" s="619"/>
      <c r="C238" s="619"/>
      <c r="D238" s="619"/>
      <c r="E238" s="619"/>
      <c r="F238" s="620"/>
      <c r="G238" s="395"/>
      <c r="H238" s="622"/>
      <c r="I238" s="622" t="s">
        <v>37</v>
      </c>
      <c r="J238" s="622"/>
      <c r="K238" s="397"/>
    </row>
    <row r="239" spans="1:11" ht="25.5" customHeight="1">
      <c r="A239" s="393" t="s">
        <v>127</v>
      </c>
      <c r="B239" s="619"/>
      <c r="C239" s="619"/>
      <c r="D239" s="619"/>
      <c r="E239" s="619"/>
      <c r="F239" s="620"/>
      <c r="G239" s="395"/>
      <c r="H239" s="622"/>
      <c r="I239" s="618">
        <v>0</v>
      </c>
      <c r="J239" s="622"/>
      <c r="K239" s="397"/>
    </row>
    <row r="240" spans="1:11" ht="25.5" customHeight="1">
      <c r="A240" s="393" t="s">
        <v>128</v>
      </c>
      <c r="B240" s="619"/>
      <c r="C240" s="619"/>
      <c r="D240" s="619"/>
      <c r="E240" s="619"/>
      <c r="F240" s="620"/>
      <c r="G240" s="395"/>
      <c r="H240" s="622"/>
      <c r="I240" s="622">
        <v>0</v>
      </c>
      <c r="J240" s="622"/>
      <c r="K240" s="397"/>
    </row>
    <row r="241" spans="1:11" ht="25.5" customHeight="1">
      <c r="A241" s="393" t="s">
        <v>129</v>
      </c>
      <c r="B241" s="619"/>
      <c r="C241" s="619"/>
      <c r="D241" s="619"/>
      <c r="E241" s="619"/>
      <c r="F241" s="620"/>
      <c r="G241" s="395"/>
      <c r="H241" s="622"/>
      <c r="I241" s="618">
        <f>'4-22MASTER'!AN21</f>
        <v>85276.022420000008</v>
      </c>
      <c r="J241" s="622"/>
      <c r="K241" s="397" t="s">
        <v>35</v>
      </c>
    </row>
    <row r="242" spans="1:11" ht="25.5" customHeight="1">
      <c r="A242" s="393" t="s">
        <v>130</v>
      </c>
      <c r="B242" s="619"/>
      <c r="C242" s="621" t="s">
        <v>32</v>
      </c>
      <c r="D242" s="617">
        <f>'4-22MASTER'!AP21</f>
        <v>1800</v>
      </c>
      <c r="E242" s="621" t="s">
        <v>31</v>
      </c>
      <c r="F242" s="617">
        <f>'4-22MASTER'!AO870</f>
        <v>0</v>
      </c>
      <c r="G242" s="621" t="s">
        <v>33</v>
      </c>
      <c r="H242" s="617">
        <f>'4-22MASTER'!AQ21</f>
        <v>200</v>
      </c>
      <c r="I242" s="621" t="s">
        <v>34</v>
      </c>
      <c r="J242" s="617">
        <f>'4-22MASTER'!AR21</f>
        <v>0</v>
      </c>
      <c r="K242" s="89">
        <f>'4-22MASTER'!AS21</f>
        <v>283</v>
      </c>
    </row>
    <row r="243" spans="1:11" ht="25.5" customHeight="1">
      <c r="A243" s="393" t="s">
        <v>131</v>
      </c>
      <c r="B243" s="619"/>
      <c r="C243" s="619"/>
      <c r="D243" s="619"/>
      <c r="E243" s="619"/>
      <c r="F243" s="620"/>
      <c r="G243" s="395"/>
      <c r="H243" s="622"/>
      <c r="I243" s="618">
        <f>I241-(D242+F242+H242+J242+K242)</f>
        <v>82993.022420000008</v>
      </c>
      <c r="J243" s="622"/>
      <c r="K243" s="397"/>
    </row>
    <row r="244" spans="1:11" ht="25.5" customHeight="1">
      <c r="A244" s="401" t="s">
        <v>132</v>
      </c>
      <c r="B244" s="84"/>
      <c r="C244" s="84"/>
      <c r="D244" s="84"/>
      <c r="E244" s="84"/>
      <c r="F244" s="402"/>
      <c r="G244" s="403"/>
      <c r="H244" s="85"/>
      <c r="I244" s="85"/>
      <c r="J244" s="85"/>
      <c r="K244" s="404"/>
    </row>
    <row r="245" spans="1:11" ht="25.5" customHeight="1">
      <c r="A245" s="405" t="s">
        <v>133</v>
      </c>
      <c r="B245" s="406"/>
      <c r="C245" s="406"/>
      <c r="D245" s="406"/>
      <c r="E245" s="406"/>
      <c r="F245" s="86"/>
      <c r="G245" s="59"/>
      <c r="H245" s="407"/>
      <c r="I245" s="407"/>
      <c r="J245" s="407"/>
      <c r="K245" s="87"/>
    </row>
    <row r="246" spans="1:11" ht="25.5" customHeight="1">
      <c r="A246" s="11"/>
      <c r="B246" s="392"/>
      <c r="C246" s="392"/>
      <c r="D246" s="392"/>
      <c r="E246" s="392"/>
      <c r="F246" s="392"/>
      <c r="G246" s="392"/>
      <c r="H246" s="392"/>
      <c r="I246" s="392"/>
      <c r="J246" s="392"/>
      <c r="K246" s="12"/>
    </row>
    <row r="247" spans="1:11" ht="25.5" customHeight="1" thickBot="1">
      <c r="A247" s="16"/>
      <c r="B247" s="14"/>
      <c r="C247" s="14"/>
      <c r="D247" s="14"/>
      <c r="E247" s="14"/>
      <c r="F247" s="14"/>
      <c r="G247" s="14"/>
      <c r="H247" s="14"/>
      <c r="I247" s="14"/>
      <c r="J247" s="14"/>
      <c r="K247" s="15"/>
    </row>
    <row r="248" spans="1:11" ht="25.5" customHeight="1"/>
    <row r="249" spans="1:11" ht="25.5" customHeight="1"/>
    <row r="250" spans="1:11" ht="25.5" customHeight="1"/>
    <row r="251" spans="1:11" ht="25.5" customHeight="1"/>
    <row r="252" spans="1:11" ht="25.5" customHeight="1"/>
    <row r="253" spans="1:11" ht="25.5" customHeight="1" thickBot="1"/>
    <row r="254" spans="1:11" ht="32.25">
      <c r="A254" s="1124" t="s">
        <v>109</v>
      </c>
      <c r="B254" s="1125"/>
      <c r="C254" s="1125"/>
      <c r="D254" s="1125"/>
      <c r="E254" s="1125"/>
      <c r="F254" s="1125"/>
      <c r="G254" s="1125"/>
      <c r="H254" s="1125"/>
      <c r="I254" s="1125"/>
      <c r="J254" s="1125"/>
      <c r="K254" s="1126"/>
    </row>
    <row r="255" spans="1:11" ht="23.25">
      <c r="A255" s="1127" t="s">
        <v>110</v>
      </c>
      <c r="B255" s="1128"/>
      <c r="C255" s="1128"/>
      <c r="D255" s="1128"/>
      <c r="E255" s="1128"/>
      <c r="F255" s="1128"/>
      <c r="G255" s="1128"/>
      <c r="H255" s="1128"/>
      <c r="I255" s="1128"/>
      <c r="J255" s="1128"/>
      <c r="K255" s="1129"/>
    </row>
    <row r="256" spans="1:11" ht="16.5" thickBot="1">
      <c r="A256" s="1130" t="s">
        <v>609</v>
      </c>
      <c r="B256" s="1131"/>
      <c r="C256" s="1131"/>
      <c r="D256" s="1131"/>
      <c r="E256" s="1131"/>
      <c r="F256" s="1131"/>
      <c r="G256" s="1131"/>
      <c r="H256" s="1131"/>
      <c r="I256" s="1131"/>
      <c r="J256" s="1131"/>
      <c r="K256" s="1132"/>
    </row>
    <row r="257" spans="1:11">
      <c r="A257" s="1133" t="s">
        <v>111</v>
      </c>
      <c r="B257" s="1134"/>
      <c r="C257" s="1134"/>
      <c r="D257" s="1134"/>
      <c r="E257" s="1134"/>
      <c r="F257" s="392"/>
      <c r="G257" s="1135" t="s">
        <v>112</v>
      </c>
      <c r="H257" s="1135"/>
      <c r="I257" s="1135"/>
      <c r="J257" s="1135"/>
      <c r="K257" s="1136"/>
    </row>
    <row r="258" spans="1:11" ht="15.75" thickBot="1">
      <c r="A258" s="1133"/>
      <c r="B258" s="1134"/>
      <c r="C258" s="1134"/>
      <c r="D258" s="1134"/>
      <c r="E258" s="1134"/>
      <c r="F258" s="392"/>
      <c r="G258" s="1135"/>
      <c r="H258" s="1135"/>
      <c r="I258" s="1135"/>
      <c r="J258" s="1135"/>
      <c r="K258" s="1136"/>
    </row>
    <row r="259" spans="1:11">
      <c r="A259" s="61"/>
      <c r="B259" s="62"/>
      <c r="C259" s="62"/>
      <c r="D259" s="62"/>
      <c r="E259" s="63"/>
      <c r="F259" s="392"/>
      <c r="G259" s="61"/>
      <c r="H259" s="62"/>
      <c r="I259" s="62"/>
      <c r="J259" s="62"/>
      <c r="K259" s="63"/>
    </row>
    <row r="260" spans="1:11">
      <c r="A260" s="537" t="s">
        <v>381</v>
      </c>
      <c r="B260" s="392"/>
      <c r="C260" s="392"/>
      <c r="D260" s="392"/>
      <c r="E260" s="12"/>
      <c r="F260" s="392"/>
      <c r="G260" s="537" t="s">
        <v>381</v>
      </c>
      <c r="H260" s="392"/>
      <c r="I260" s="392"/>
      <c r="J260" s="392"/>
      <c r="K260" s="12"/>
    </row>
    <row r="261" spans="1:11">
      <c r="B261" s="392"/>
      <c r="C261" s="392"/>
      <c r="D261" s="392"/>
      <c r="E261" s="12"/>
      <c r="F261" s="392"/>
      <c r="H261" s="392"/>
      <c r="I261" s="392"/>
      <c r="J261" s="392"/>
      <c r="K261" s="12"/>
    </row>
    <row r="262" spans="1:11">
      <c r="A262" s="518" t="s">
        <v>382</v>
      </c>
      <c r="B262" s="392"/>
      <c r="C262" s="392"/>
      <c r="D262" s="392"/>
      <c r="E262" s="12"/>
      <c r="F262" s="392"/>
      <c r="G262" s="518" t="s">
        <v>382</v>
      </c>
      <c r="H262" s="392"/>
      <c r="I262" s="392"/>
      <c r="J262" s="392"/>
      <c r="K262" s="12"/>
    </row>
    <row r="263" spans="1:11" ht="15.75" thickBot="1">
      <c r="A263" s="16"/>
      <c r="B263" s="14"/>
      <c r="C263" s="14"/>
      <c r="D263" s="14"/>
      <c r="E263" s="15"/>
      <c r="F263" s="392"/>
      <c r="G263" s="16"/>
      <c r="H263" s="14"/>
      <c r="I263" s="14"/>
      <c r="J263" s="14"/>
      <c r="K263" s="15"/>
    </row>
    <row r="264" spans="1:11">
      <c r="A264" s="11"/>
      <c r="B264" s="392"/>
      <c r="C264" s="392"/>
      <c r="D264" s="392"/>
      <c r="E264" s="392"/>
      <c r="F264" s="392"/>
      <c r="G264" s="392"/>
      <c r="H264" s="392"/>
      <c r="I264" s="392" t="s">
        <v>113</v>
      </c>
      <c r="J264" s="392"/>
      <c r="K264" s="12"/>
    </row>
    <row r="265" spans="1:11" ht="21.75" customHeight="1">
      <c r="A265" s="1137" t="s">
        <v>114</v>
      </c>
      <c r="B265" s="1138"/>
      <c r="C265" s="1138"/>
      <c r="D265" s="1138"/>
      <c r="E265" s="1138"/>
      <c r="F265" s="392"/>
      <c r="G265" s="1138" t="s">
        <v>4</v>
      </c>
      <c r="H265" s="1138"/>
      <c r="I265" s="1138"/>
      <c r="J265" s="1138"/>
      <c r="K265" s="1139"/>
    </row>
    <row r="266" spans="1:11" ht="21.75" customHeight="1" thickBot="1">
      <c r="A266" s="11"/>
      <c r="B266" s="392"/>
      <c r="C266" s="392"/>
      <c r="D266" s="392"/>
      <c r="E266" s="392"/>
      <c r="F266" s="392"/>
      <c r="G266" s="392"/>
      <c r="H266" s="392"/>
      <c r="I266" s="392"/>
      <c r="J266" s="392"/>
      <c r="K266" s="12"/>
    </row>
    <row r="267" spans="1:11" ht="21.75" customHeight="1">
      <c r="A267" s="61"/>
      <c r="B267" s="62"/>
      <c r="C267" s="62"/>
      <c r="D267" s="62"/>
      <c r="E267" s="63"/>
      <c r="F267" s="392"/>
      <c r="G267" s="65"/>
      <c r="H267" s="66"/>
      <c r="I267" s="66"/>
      <c r="J267" s="66"/>
      <c r="K267" s="67"/>
    </row>
    <row r="268" spans="1:11" ht="21.75" customHeight="1">
      <c r="A268" s="11"/>
      <c r="B268" s="392"/>
      <c r="C268" s="392"/>
      <c r="D268" s="392"/>
      <c r="E268" s="12"/>
      <c r="F268" s="392"/>
      <c r="G268" s="695" t="s">
        <v>471</v>
      </c>
      <c r="H268" s="389"/>
      <c r="I268" s="389"/>
      <c r="J268" s="389"/>
      <c r="K268" s="68"/>
    </row>
    <row r="269" spans="1:11" ht="21.75" customHeight="1">
      <c r="A269" s="519" t="s">
        <v>601</v>
      </c>
      <c r="B269" s="392"/>
      <c r="C269" s="392"/>
      <c r="D269" s="392"/>
      <c r="E269" s="12"/>
      <c r="F269" s="392"/>
      <c r="G269" s="695"/>
      <c r="H269" s="389"/>
      <c r="I269" s="389"/>
      <c r="J269" s="389"/>
      <c r="K269" s="68"/>
    </row>
    <row r="270" spans="1:11" ht="21.75" customHeight="1">
      <c r="A270" s="11"/>
      <c r="B270" s="392"/>
      <c r="C270" s="392"/>
      <c r="D270" s="392"/>
      <c r="E270" s="12"/>
      <c r="F270" s="392"/>
      <c r="G270" s="545" t="s">
        <v>472</v>
      </c>
      <c r="H270" s="389"/>
      <c r="I270" s="389"/>
      <c r="J270" s="389"/>
      <c r="K270" s="68"/>
    </row>
    <row r="271" spans="1:11" ht="21.75" customHeight="1" thickBot="1">
      <c r="A271" s="16"/>
      <c r="B271" s="14"/>
      <c r="C271" s="14"/>
      <c r="D271" s="14"/>
      <c r="E271" s="15"/>
      <c r="F271" s="392"/>
      <c r="G271" s="64"/>
      <c r="H271" s="389"/>
      <c r="I271" s="389"/>
      <c r="J271" s="389"/>
      <c r="K271" s="68"/>
    </row>
    <row r="272" spans="1:11" ht="21.75" customHeight="1">
      <c r="A272" s="1106" t="s">
        <v>115</v>
      </c>
      <c r="B272" s="1107"/>
      <c r="C272" s="1107"/>
      <c r="D272" s="1107"/>
      <c r="E272" s="1107"/>
      <c r="F272" s="1111"/>
      <c r="G272" s="1112" t="str">
        <f>'4-22MASTER'!C22</f>
        <v>Sneha Hande</v>
      </c>
      <c r="H272" s="1112"/>
      <c r="I272" s="1112"/>
      <c r="J272" s="1112"/>
      <c r="K272" s="1112"/>
    </row>
    <row r="273" spans="1:11" ht="21.75" customHeight="1">
      <c r="A273" s="1113"/>
      <c r="B273" s="1114"/>
      <c r="C273" s="1114"/>
      <c r="D273" s="1114"/>
      <c r="E273" s="1114"/>
      <c r="F273" s="1115"/>
      <c r="G273" s="1112" t="str">
        <f>'4-22MASTER'!H22</f>
        <v>Ascendas,hinjawadi,phase 3 ,Hinjawadi Rajiv Gandhi Infotech Park.</v>
      </c>
      <c r="H273" s="1112"/>
      <c r="I273" s="1112"/>
      <c r="J273" s="1112"/>
      <c r="K273" s="1112"/>
    </row>
    <row r="274" spans="1:11" ht="28.5" customHeight="1">
      <c r="A274" s="1116" t="s">
        <v>116</v>
      </c>
      <c r="B274" s="1117"/>
      <c r="C274" s="1117"/>
      <c r="D274" s="1117"/>
      <c r="E274" s="1117"/>
      <c r="F274" s="1117"/>
      <c r="G274" s="1118">
        <v>39</v>
      </c>
      <c r="H274" s="1119"/>
      <c r="I274" s="1119"/>
      <c r="J274" s="1119"/>
      <c r="K274" s="1120"/>
    </row>
    <row r="275" spans="1:11" ht="21.75" customHeight="1">
      <c r="A275" s="1106" t="s">
        <v>117</v>
      </c>
      <c r="B275" s="1107"/>
      <c r="C275" s="1107"/>
      <c r="D275" s="1107"/>
      <c r="E275" s="1107"/>
      <c r="F275" s="1107"/>
      <c r="G275" s="1112" t="str">
        <f>'4-22MASTER'!G22</f>
        <v>Project manager</v>
      </c>
      <c r="H275" s="1109"/>
      <c r="I275" s="1109"/>
      <c r="J275" s="1109"/>
      <c r="K275" s="1110"/>
    </row>
    <row r="276" spans="1:11" ht="21.75" customHeight="1">
      <c r="A276" s="1106" t="s">
        <v>118</v>
      </c>
      <c r="B276" s="1107"/>
      <c r="C276" s="1107"/>
      <c r="D276" s="1107"/>
      <c r="E276" s="1107"/>
      <c r="F276" s="1107"/>
      <c r="G276" s="1121">
        <f>'4-22MASTER'!O22</f>
        <v>44566</v>
      </c>
      <c r="H276" s="1122"/>
      <c r="I276" s="1122"/>
      <c r="J276" s="1122"/>
      <c r="K276" s="1123"/>
    </row>
    <row r="277" spans="1:11" ht="21.75" customHeight="1">
      <c r="A277" s="393" t="s">
        <v>119</v>
      </c>
      <c r="B277" s="700"/>
      <c r="C277" s="700"/>
      <c r="D277" s="700"/>
      <c r="E277" s="700"/>
      <c r="F277" s="700"/>
      <c r="G277" s="395"/>
      <c r="H277" s="396"/>
      <c r="I277" s="381">
        <f>'4-22MASTER'!U418</f>
        <v>0</v>
      </c>
      <c r="J277" s="698"/>
      <c r="K277" s="397"/>
    </row>
    <row r="278" spans="1:11" ht="21.75" customHeight="1">
      <c r="A278" s="393" t="s">
        <v>120</v>
      </c>
      <c r="B278" s="700"/>
      <c r="C278" s="700"/>
      <c r="D278" s="700"/>
      <c r="E278" s="700"/>
      <c r="F278" s="701"/>
      <c r="G278" s="78"/>
      <c r="H278" s="399"/>
      <c r="I278" s="381" t="str">
        <f>'4-22MASTER'!T22</f>
        <v>101257132190</v>
      </c>
      <c r="J278" s="399"/>
      <c r="K278" s="80"/>
    </row>
    <row r="279" spans="1:11" ht="35.25" customHeight="1">
      <c r="A279" s="1101" t="s">
        <v>121</v>
      </c>
      <c r="B279" s="1102"/>
      <c r="C279" s="1102"/>
      <c r="D279" s="1102"/>
      <c r="E279" s="1102"/>
      <c r="F279" s="1102"/>
      <c r="G279" s="1103">
        <f>'4-22MASTER'!Z22</f>
        <v>50617</v>
      </c>
      <c r="H279" s="1104"/>
      <c r="I279" s="1104"/>
      <c r="J279" s="1104"/>
      <c r="K279" s="1105"/>
    </row>
    <row r="280" spans="1:11" ht="21.75" customHeight="1">
      <c r="A280" s="1106" t="s">
        <v>122</v>
      </c>
      <c r="B280" s="1107"/>
      <c r="C280" s="1107"/>
      <c r="D280" s="1107"/>
      <c r="E280" s="1107"/>
      <c r="F280" s="1107"/>
      <c r="G280" s="1108">
        <f>'4-22MASTER'!E10</f>
        <v>44652</v>
      </c>
      <c r="H280" s="1109"/>
      <c r="I280" s="1109"/>
      <c r="J280" s="1109"/>
      <c r="K280" s="1110"/>
    </row>
    <row r="281" spans="1:11" ht="21.75" customHeight="1">
      <c r="A281" s="1106" t="s">
        <v>123</v>
      </c>
      <c r="B281" s="1107"/>
      <c r="C281" s="1107"/>
      <c r="D281" s="1107"/>
      <c r="E281" s="1107"/>
      <c r="F281" s="1107"/>
      <c r="G281" s="1109" t="s">
        <v>124</v>
      </c>
      <c r="H281" s="1109"/>
      <c r="I281" s="1109"/>
      <c r="J281" s="1109"/>
      <c r="K281" s="1110"/>
    </row>
    <row r="282" spans="1:11" ht="21.75" customHeight="1">
      <c r="A282" s="393" t="s">
        <v>125</v>
      </c>
      <c r="B282" s="700"/>
      <c r="C282" s="700"/>
      <c r="D282" s="700"/>
      <c r="E282" s="700"/>
      <c r="F282" s="701"/>
      <c r="G282" s="395"/>
      <c r="H282" s="698"/>
      <c r="I282" s="699">
        <f>'4-22MASTER'!X22</f>
        <v>30</v>
      </c>
      <c r="J282" s="698"/>
      <c r="K282" s="397"/>
    </row>
    <row r="283" spans="1:11" ht="21.75" customHeight="1">
      <c r="A283" s="393" t="s">
        <v>126</v>
      </c>
      <c r="B283" s="700"/>
      <c r="C283" s="700"/>
      <c r="D283" s="700"/>
      <c r="E283" s="700"/>
      <c r="F283" s="701"/>
      <c r="G283" s="395"/>
      <c r="H283" s="698"/>
      <c r="I283" s="698" t="s">
        <v>37</v>
      </c>
      <c r="J283" s="698"/>
      <c r="K283" s="397"/>
    </row>
    <row r="284" spans="1:11" ht="21.75" customHeight="1">
      <c r="A284" s="393" t="s">
        <v>127</v>
      </c>
      <c r="B284" s="700"/>
      <c r="C284" s="700"/>
      <c r="D284" s="700"/>
      <c r="E284" s="700"/>
      <c r="F284" s="701"/>
      <c r="G284" s="395"/>
      <c r="H284" s="698"/>
      <c r="I284" s="699">
        <v>0</v>
      </c>
      <c r="J284" s="698"/>
      <c r="K284" s="397"/>
    </row>
    <row r="285" spans="1:11" ht="21.75" customHeight="1">
      <c r="A285" s="393" t="s">
        <v>128</v>
      </c>
      <c r="B285" s="700"/>
      <c r="C285" s="700"/>
      <c r="D285" s="700"/>
      <c r="E285" s="700"/>
      <c r="F285" s="701"/>
      <c r="G285" s="395"/>
      <c r="H285" s="698"/>
      <c r="I285" s="698">
        <v>0</v>
      </c>
      <c r="J285" s="698"/>
      <c r="K285" s="397"/>
    </row>
    <row r="286" spans="1:11" ht="21.75" customHeight="1">
      <c r="A286" s="393" t="s">
        <v>129</v>
      </c>
      <c r="B286" s="700"/>
      <c r="C286" s="700"/>
      <c r="D286" s="700"/>
      <c r="E286" s="700"/>
      <c r="F286" s="701"/>
      <c r="G286" s="395"/>
      <c r="H286" s="698"/>
      <c r="I286" s="699">
        <f>'4-22MASTER'!AN22</f>
        <v>56276.265619999998</v>
      </c>
      <c r="J286" s="698"/>
      <c r="K286" s="397" t="s">
        <v>35</v>
      </c>
    </row>
    <row r="287" spans="1:11" ht="21.75" customHeight="1">
      <c r="A287" s="393" t="s">
        <v>130</v>
      </c>
      <c r="B287" s="700"/>
      <c r="C287" s="696" t="s">
        <v>32</v>
      </c>
      <c r="D287" s="697">
        <f>'4-22MASTER'!AP22</f>
        <v>1800</v>
      </c>
      <c r="E287" s="696" t="s">
        <v>31</v>
      </c>
      <c r="F287" s="697">
        <f>'4-22MASTER'!AO915</f>
        <v>0</v>
      </c>
      <c r="G287" s="696" t="s">
        <v>33</v>
      </c>
      <c r="H287" s="697">
        <f>'4-22MASTER'!AQ22</f>
        <v>200</v>
      </c>
      <c r="I287" s="696" t="s">
        <v>34</v>
      </c>
      <c r="J287" s="697">
        <f>'4-22MASTER'!AR23</f>
        <v>0</v>
      </c>
      <c r="K287" s="89">
        <f>'4-22MASTER'!AS22</f>
        <v>283</v>
      </c>
    </row>
    <row r="288" spans="1:11" ht="21.75" customHeight="1">
      <c r="A288" s="393" t="s">
        <v>131</v>
      </c>
      <c r="B288" s="700"/>
      <c r="C288" s="700"/>
      <c r="D288" s="700"/>
      <c r="E288" s="700"/>
      <c r="F288" s="701"/>
      <c r="G288" s="395"/>
      <c r="H288" s="698"/>
      <c r="I288" s="699">
        <f>I286-(D287+F287+H287+J287+K287)</f>
        <v>53993.265619999998</v>
      </c>
      <c r="J288" s="698"/>
      <c r="K288" s="397"/>
    </row>
    <row r="289" spans="1:11" ht="21.75" customHeight="1">
      <c r="A289" s="401" t="s">
        <v>132</v>
      </c>
      <c r="B289" s="84"/>
      <c r="C289" s="84"/>
      <c r="D289" s="84"/>
      <c r="E289" s="84"/>
      <c r="F289" s="402"/>
      <c r="G289" s="403"/>
      <c r="H289" s="85"/>
      <c r="I289" s="85"/>
      <c r="J289" s="85"/>
      <c r="K289" s="404"/>
    </row>
    <row r="290" spans="1:11" ht="21.75" customHeight="1">
      <c r="A290" s="405" t="s">
        <v>133</v>
      </c>
      <c r="B290" s="406"/>
      <c r="C290" s="406"/>
      <c r="D290" s="406"/>
      <c r="E290" s="406"/>
      <c r="F290" s="86"/>
      <c r="G290" s="59"/>
      <c r="H290" s="407"/>
      <c r="I290" s="407"/>
      <c r="J290" s="407"/>
      <c r="K290" s="87"/>
    </row>
    <row r="291" spans="1:11" ht="21.75" customHeight="1">
      <c r="A291" s="11"/>
      <c r="B291" s="392"/>
      <c r="C291" s="392"/>
      <c r="D291" s="392"/>
      <c r="E291" s="392"/>
      <c r="F291" s="392"/>
      <c r="G291" s="392"/>
      <c r="H291" s="392"/>
      <c r="I291" s="392"/>
      <c r="J291" s="392"/>
      <c r="K291" s="12"/>
    </row>
    <row r="292" spans="1:11" ht="15.75" thickBot="1">
      <c r="A292" s="16"/>
      <c r="B292" s="14"/>
      <c r="C292" s="14"/>
      <c r="D292" s="14"/>
      <c r="E292" s="14"/>
      <c r="F292" s="14"/>
      <c r="G292" s="14"/>
      <c r="H292" s="14"/>
      <c r="I292" s="14"/>
      <c r="J292" s="14"/>
      <c r="K292" s="15"/>
    </row>
    <row r="298" spans="1:11" ht="15.75" thickBot="1"/>
    <row r="299" spans="1:11" ht="32.25">
      <c r="A299" s="1124" t="s">
        <v>109</v>
      </c>
      <c r="B299" s="1125"/>
      <c r="C299" s="1125"/>
      <c r="D299" s="1125"/>
      <c r="E299" s="1125"/>
      <c r="F299" s="1125"/>
      <c r="G299" s="1125"/>
      <c r="H299" s="1125"/>
      <c r="I299" s="1125"/>
      <c r="J299" s="1125"/>
      <c r="K299" s="1126"/>
    </row>
    <row r="300" spans="1:11" ht="23.25">
      <c r="A300" s="1127" t="s">
        <v>110</v>
      </c>
      <c r="B300" s="1128"/>
      <c r="C300" s="1128"/>
      <c r="D300" s="1128"/>
      <c r="E300" s="1128"/>
      <c r="F300" s="1128"/>
      <c r="G300" s="1128"/>
      <c r="H300" s="1128"/>
      <c r="I300" s="1128"/>
      <c r="J300" s="1128"/>
      <c r="K300" s="1129"/>
    </row>
    <row r="301" spans="1:11" ht="16.5" thickBot="1">
      <c r="A301" s="1130" t="s">
        <v>609</v>
      </c>
      <c r="B301" s="1131"/>
      <c r="C301" s="1131"/>
      <c r="D301" s="1131"/>
      <c r="E301" s="1131"/>
      <c r="F301" s="1131"/>
      <c r="G301" s="1131"/>
      <c r="H301" s="1131"/>
      <c r="I301" s="1131"/>
      <c r="J301" s="1131"/>
      <c r="K301" s="1132"/>
    </row>
    <row r="302" spans="1:11">
      <c r="A302" s="1133" t="s">
        <v>111</v>
      </c>
      <c r="B302" s="1134"/>
      <c r="C302" s="1134"/>
      <c r="D302" s="1134"/>
      <c r="E302" s="1134"/>
      <c r="F302" s="392"/>
      <c r="G302" s="1135" t="s">
        <v>112</v>
      </c>
      <c r="H302" s="1135"/>
      <c r="I302" s="1135"/>
      <c r="J302" s="1135"/>
      <c r="K302" s="1136"/>
    </row>
    <row r="303" spans="1:11" ht="15.75" thickBot="1">
      <c r="A303" s="1133"/>
      <c r="B303" s="1134"/>
      <c r="C303" s="1134"/>
      <c r="D303" s="1134"/>
      <c r="E303" s="1134"/>
      <c r="F303" s="392"/>
      <c r="G303" s="1135"/>
      <c r="H303" s="1135"/>
      <c r="I303" s="1135"/>
      <c r="J303" s="1135"/>
      <c r="K303" s="1136"/>
    </row>
    <row r="304" spans="1:11">
      <c r="A304" s="61"/>
      <c r="B304" s="62"/>
      <c r="C304" s="62"/>
      <c r="D304" s="62"/>
      <c r="E304" s="63"/>
      <c r="F304" s="392"/>
      <c r="G304" s="61"/>
      <c r="H304" s="62"/>
      <c r="I304" s="62"/>
      <c r="J304" s="62"/>
      <c r="K304" s="63"/>
    </row>
    <row r="305" spans="1:11">
      <c r="A305" s="537" t="s">
        <v>381</v>
      </c>
      <c r="B305" s="392"/>
      <c r="C305" s="392"/>
      <c r="D305" s="392"/>
      <c r="E305" s="12"/>
      <c r="F305" s="392"/>
      <c r="G305" s="537" t="s">
        <v>381</v>
      </c>
      <c r="H305" s="392"/>
      <c r="I305" s="392"/>
      <c r="J305" s="392"/>
      <c r="K305" s="12"/>
    </row>
    <row r="306" spans="1:11">
      <c r="B306" s="392"/>
      <c r="C306" s="392"/>
      <c r="D306" s="392"/>
      <c r="E306" s="12"/>
      <c r="F306" s="392"/>
      <c r="H306" s="392"/>
      <c r="I306" s="392"/>
      <c r="J306" s="392"/>
      <c r="K306" s="12"/>
    </row>
    <row r="307" spans="1:11">
      <c r="A307" s="518" t="s">
        <v>382</v>
      </c>
      <c r="B307" s="392"/>
      <c r="C307" s="392"/>
      <c r="D307" s="392"/>
      <c r="E307" s="12"/>
      <c r="F307" s="392"/>
      <c r="G307" s="518" t="s">
        <v>382</v>
      </c>
      <c r="H307" s="392"/>
      <c r="I307" s="392"/>
      <c r="J307" s="392"/>
      <c r="K307" s="12"/>
    </row>
    <row r="308" spans="1:11" ht="15.75" thickBot="1">
      <c r="A308" s="16"/>
      <c r="B308" s="14"/>
      <c r="C308" s="14"/>
      <c r="D308" s="14"/>
      <c r="E308" s="15"/>
      <c r="F308" s="392"/>
      <c r="G308" s="16"/>
      <c r="H308" s="14"/>
      <c r="I308" s="14"/>
      <c r="J308" s="14"/>
      <c r="K308" s="15"/>
    </row>
    <row r="309" spans="1:11" ht="29.25" customHeight="1">
      <c r="A309" s="11"/>
      <c r="B309" s="392"/>
      <c r="C309" s="392"/>
      <c r="D309" s="392"/>
      <c r="E309" s="392"/>
      <c r="F309" s="392"/>
      <c r="G309" s="392"/>
      <c r="H309" s="392"/>
      <c r="I309" s="392" t="s">
        <v>113</v>
      </c>
      <c r="J309" s="392"/>
      <c r="K309" s="12"/>
    </row>
    <row r="310" spans="1:11" ht="29.25" customHeight="1">
      <c r="A310" s="1137" t="s">
        <v>114</v>
      </c>
      <c r="B310" s="1138"/>
      <c r="C310" s="1138"/>
      <c r="D310" s="1138"/>
      <c r="E310" s="1138"/>
      <c r="F310" s="392"/>
      <c r="G310" s="1138" t="s">
        <v>4</v>
      </c>
      <c r="H310" s="1138"/>
      <c r="I310" s="1138"/>
      <c r="J310" s="1138"/>
      <c r="K310" s="1139"/>
    </row>
    <row r="311" spans="1:11" ht="29.25" customHeight="1" thickBot="1">
      <c r="A311" s="11"/>
      <c r="B311" s="392"/>
      <c r="C311" s="392"/>
      <c r="D311" s="392"/>
      <c r="E311" s="392"/>
      <c r="F311" s="392"/>
      <c r="G311" s="392"/>
      <c r="H311" s="392"/>
      <c r="I311" s="392"/>
      <c r="J311" s="392"/>
      <c r="K311" s="12"/>
    </row>
    <row r="312" spans="1:11" ht="29.25" customHeight="1">
      <c r="A312" s="61"/>
      <c r="B312" s="62"/>
      <c r="C312" s="62"/>
      <c r="D312" s="62"/>
      <c r="E312" s="63"/>
      <c r="F312" s="392"/>
      <c r="G312" s="65"/>
      <c r="H312" s="66"/>
      <c r="I312" s="66"/>
      <c r="J312" s="66"/>
      <c r="K312" s="67"/>
    </row>
    <row r="313" spans="1:11" ht="29.25" customHeight="1">
      <c r="A313" s="11"/>
      <c r="B313" s="392"/>
      <c r="C313" s="392"/>
      <c r="D313" s="392"/>
      <c r="E313" s="12"/>
      <c r="F313" s="392"/>
      <c r="G313" s="695" t="s">
        <v>471</v>
      </c>
      <c r="H313" s="389"/>
      <c r="I313" s="389"/>
      <c r="J313" s="389"/>
      <c r="K313" s="68"/>
    </row>
    <row r="314" spans="1:11" ht="29.25" customHeight="1">
      <c r="A314" s="519" t="s">
        <v>601</v>
      </c>
      <c r="B314" s="392"/>
      <c r="C314" s="392"/>
      <c r="D314" s="392"/>
      <c r="E314" s="12"/>
      <c r="F314" s="392"/>
      <c r="G314" s="695"/>
      <c r="H314" s="389"/>
      <c r="I314" s="389"/>
      <c r="J314" s="389"/>
      <c r="K314" s="68"/>
    </row>
    <row r="315" spans="1:11" ht="29.25" customHeight="1">
      <c r="A315" s="11"/>
      <c r="B315" s="392"/>
      <c r="C315" s="392"/>
      <c r="D315" s="392"/>
      <c r="E315" s="12"/>
      <c r="F315" s="392"/>
      <c r="G315" s="545" t="s">
        <v>472</v>
      </c>
      <c r="H315" s="389"/>
      <c r="I315" s="389"/>
      <c r="J315" s="389"/>
      <c r="K315" s="68"/>
    </row>
    <row r="316" spans="1:11" ht="29.25" customHeight="1" thickBot="1">
      <c r="A316" s="16"/>
      <c r="B316" s="14"/>
      <c r="C316" s="14"/>
      <c r="D316" s="14"/>
      <c r="E316" s="15"/>
      <c r="F316" s="392"/>
      <c r="G316" s="64"/>
      <c r="H316" s="389"/>
      <c r="I316" s="389"/>
      <c r="J316" s="389"/>
      <c r="K316" s="68"/>
    </row>
    <row r="317" spans="1:11" ht="29.25" customHeight="1">
      <c r="A317" s="1106" t="s">
        <v>115</v>
      </c>
      <c r="B317" s="1107"/>
      <c r="C317" s="1107"/>
      <c r="D317" s="1107"/>
      <c r="E317" s="1107"/>
      <c r="F317" s="1111"/>
      <c r="G317" s="1112" t="str">
        <f>'4-22MASTER'!C23</f>
        <v xml:space="preserve">Amol Gole </v>
      </c>
      <c r="H317" s="1112"/>
      <c r="I317" s="1112"/>
      <c r="J317" s="1112"/>
      <c r="K317" s="1112"/>
    </row>
    <row r="318" spans="1:11" ht="29.25" customHeight="1">
      <c r="A318" s="1113"/>
      <c r="B318" s="1114"/>
      <c r="C318" s="1114"/>
      <c r="D318" s="1114"/>
      <c r="E318" s="1114"/>
      <c r="F318" s="1115"/>
      <c r="G318" s="1112" t="str">
        <f>'4-22MASTER'!H23</f>
        <v>Shri ,Gurudatta krupa housing socity hill road, Sion,Chunabhatti ,Mumbai, Maharashtra, 400022</v>
      </c>
      <c r="H318" s="1112"/>
      <c r="I318" s="1112"/>
      <c r="J318" s="1112"/>
      <c r="K318" s="1112"/>
    </row>
    <row r="319" spans="1:11" ht="29.25" customHeight="1">
      <c r="A319" s="1116" t="s">
        <v>116</v>
      </c>
      <c r="B319" s="1117"/>
      <c r="C319" s="1117"/>
      <c r="D319" s="1117"/>
      <c r="E319" s="1117"/>
      <c r="F319" s="1117"/>
      <c r="G319" s="1118">
        <v>40</v>
      </c>
      <c r="H319" s="1119"/>
      <c r="I319" s="1119"/>
      <c r="J319" s="1119"/>
      <c r="K319" s="1120"/>
    </row>
    <row r="320" spans="1:11" ht="29.25" customHeight="1">
      <c r="A320" s="1106" t="s">
        <v>117</v>
      </c>
      <c r="B320" s="1107"/>
      <c r="C320" s="1107"/>
      <c r="D320" s="1107"/>
      <c r="E320" s="1107"/>
      <c r="F320" s="1107"/>
      <c r="G320" s="1112" t="str">
        <f>'4-22MASTER'!G23</f>
        <v>Project Manager</v>
      </c>
      <c r="H320" s="1109"/>
      <c r="I320" s="1109"/>
      <c r="J320" s="1109"/>
      <c r="K320" s="1110"/>
    </row>
    <row r="321" spans="1:11" ht="29.25" customHeight="1">
      <c r="A321" s="1106" t="s">
        <v>118</v>
      </c>
      <c r="B321" s="1107"/>
      <c r="C321" s="1107"/>
      <c r="D321" s="1107"/>
      <c r="E321" s="1107"/>
      <c r="F321" s="1107"/>
      <c r="G321" s="1121">
        <f>'4-22MASTER'!O23</f>
        <v>44579</v>
      </c>
      <c r="H321" s="1122"/>
      <c r="I321" s="1122"/>
      <c r="J321" s="1122"/>
      <c r="K321" s="1123"/>
    </row>
    <row r="322" spans="1:11" ht="29.25" customHeight="1">
      <c r="A322" s="393" t="s">
        <v>119</v>
      </c>
      <c r="B322" s="700"/>
      <c r="C322" s="700"/>
      <c r="D322" s="700"/>
      <c r="E322" s="700"/>
      <c r="F322" s="700"/>
      <c r="G322" s="395"/>
      <c r="H322" s="396"/>
      <c r="I322" s="381">
        <f>'4-22MASTER'!U463</f>
        <v>0</v>
      </c>
      <c r="J322" s="698"/>
      <c r="K322" s="397"/>
    </row>
    <row r="323" spans="1:11" ht="29.25" customHeight="1">
      <c r="A323" s="393" t="s">
        <v>120</v>
      </c>
      <c r="B323" s="700"/>
      <c r="C323" s="700"/>
      <c r="D323" s="700"/>
      <c r="E323" s="700"/>
      <c r="F323" s="701"/>
      <c r="G323" s="78"/>
      <c r="H323" s="399"/>
      <c r="I323" s="381" t="str">
        <f>'4-22MASTER'!T23</f>
        <v>100769441289</v>
      </c>
      <c r="J323" s="399"/>
      <c r="K323" s="80"/>
    </row>
    <row r="324" spans="1:11" ht="29.25" customHeight="1">
      <c r="A324" s="1101" t="s">
        <v>121</v>
      </c>
      <c r="B324" s="1102"/>
      <c r="C324" s="1102"/>
      <c r="D324" s="1102"/>
      <c r="E324" s="1102"/>
      <c r="F324" s="1102"/>
      <c r="G324" s="1103">
        <f>'4-22MASTER'!Z23</f>
        <v>66374</v>
      </c>
      <c r="H324" s="1104"/>
      <c r="I324" s="1104"/>
      <c r="J324" s="1104"/>
      <c r="K324" s="1105"/>
    </row>
    <row r="325" spans="1:11" ht="29.25" customHeight="1">
      <c r="A325" s="1106" t="s">
        <v>122</v>
      </c>
      <c r="B325" s="1107"/>
      <c r="C325" s="1107"/>
      <c r="D325" s="1107"/>
      <c r="E325" s="1107"/>
      <c r="F325" s="1107"/>
      <c r="G325" s="1108">
        <f>'4-22MASTER'!E10</f>
        <v>44652</v>
      </c>
      <c r="H325" s="1109"/>
      <c r="I325" s="1109"/>
      <c r="J325" s="1109"/>
      <c r="K325" s="1110"/>
    </row>
    <row r="326" spans="1:11" ht="29.25" customHeight="1">
      <c r="A326" s="1106" t="s">
        <v>123</v>
      </c>
      <c r="B326" s="1107"/>
      <c r="C326" s="1107"/>
      <c r="D326" s="1107"/>
      <c r="E326" s="1107"/>
      <c r="F326" s="1107"/>
      <c r="G326" s="1109" t="s">
        <v>124</v>
      </c>
      <c r="H326" s="1109"/>
      <c r="I326" s="1109"/>
      <c r="J326" s="1109"/>
      <c r="K326" s="1110"/>
    </row>
    <row r="327" spans="1:11" ht="29.25" customHeight="1">
      <c r="A327" s="393" t="s">
        <v>125</v>
      </c>
      <c r="B327" s="700"/>
      <c r="C327" s="700"/>
      <c r="D327" s="700"/>
      <c r="E327" s="700"/>
      <c r="F327" s="701"/>
      <c r="G327" s="395"/>
      <c r="H327" s="698"/>
      <c r="I327" s="699">
        <f>'4-22MASTER'!X23</f>
        <v>30</v>
      </c>
      <c r="J327" s="698"/>
      <c r="K327" s="397"/>
    </row>
    <row r="328" spans="1:11" ht="29.25" customHeight="1">
      <c r="A328" s="393" t="s">
        <v>126</v>
      </c>
      <c r="B328" s="700"/>
      <c r="C328" s="700"/>
      <c r="D328" s="700"/>
      <c r="E328" s="700"/>
      <c r="F328" s="701"/>
      <c r="G328" s="395"/>
      <c r="H328" s="698"/>
      <c r="I328" s="698" t="s">
        <v>37</v>
      </c>
      <c r="J328" s="698"/>
      <c r="K328" s="397"/>
    </row>
    <row r="329" spans="1:11" ht="29.25" customHeight="1">
      <c r="A329" s="393" t="s">
        <v>127</v>
      </c>
      <c r="B329" s="700"/>
      <c r="C329" s="700"/>
      <c r="D329" s="700"/>
      <c r="E329" s="700"/>
      <c r="F329" s="701"/>
      <c r="G329" s="395"/>
      <c r="H329" s="698"/>
      <c r="I329" s="699">
        <v>0</v>
      </c>
      <c r="J329" s="698"/>
      <c r="K329" s="397"/>
    </row>
    <row r="330" spans="1:11" ht="29.25" customHeight="1">
      <c r="A330" s="393" t="s">
        <v>128</v>
      </c>
      <c r="B330" s="700"/>
      <c r="C330" s="700"/>
      <c r="D330" s="700"/>
      <c r="E330" s="700"/>
      <c r="F330" s="701"/>
      <c r="G330" s="395"/>
      <c r="H330" s="698"/>
      <c r="I330" s="698">
        <v>0</v>
      </c>
      <c r="J330" s="698"/>
      <c r="K330" s="397"/>
    </row>
    <row r="331" spans="1:11" ht="29.25" customHeight="1">
      <c r="A331" s="393" t="s">
        <v>129</v>
      </c>
      <c r="B331" s="700"/>
      <c r="C331" s="700"/>
      <c r="D331" s="700"/>
      <c r="E331" s="700"/>
      <c r="F331" s="701"/>
      <c r="G331" s="395"/>
      <c r="H331" s="698"/>
      <c r="I331" s="699">
        <f>'4-22MASTER'!AN23</f>
        <v>73275.862639999992</v>
      </c>
      <c r="J331" s="698"/>
      <c r="K331" s="397" t="s">
        <v>35</v>
      </c>
    </row>
    <row r="332" spans="1:11" ht="29.25" customHeight="1">
      <c r="A332" s="393" t="s">
        <v>130</v>
      </c>
      <c r="B332" s="700"/>
      <c r="C332" s="696" t="s">
        <v>32</v>
      </c>
      <c r="D332" s="697">
        <f>'4-22MASTER'!AP23</f>
        <v>1800</v>
      </c>
      <c r="E332" s="696" t="s">
        <v>31</v>
      </c>
      <c r="F332" s="697">
        <f>'4-22MASTER'!AO960</f>
        <v>0</v>
      </c>
      <c r="G332" s="696" t="s">
        <v>33</v>
      </c>
      <c r="H332" s="697">
        <f>'4-22MASTER'!AQ23</f>
        <v>200</v>
      </c>
      <c r="I332" s="696" t="s">
        <v>34</v>
      </c>
      <c r="J332" s="697">
        <f>'4-22MASTER'!AR23</f>
        <v>0</v>
      </c>
      <c r="K332" s="89">
        <f>'4-22MASTER'!AS23</f>
        <v>283</v>
      </c>
    </row>
    <row r="333" spans="1:11" ht="29.25" customHeight="1">
      <c r="A333" s="393" t="s">
        <v>131</v>
      </c>
      <c r="B333" s="700"/>
      <c r="C333" s="700"/>
      <c r="D333" s="700"/>
      <c r="E333" s="700"/>
      <c r="F333" s="701"/>
      <c r="G333" s="395"/>
      <c r="H333" s="698"/>
      <c r="I333" s="699">
        <f>I331-(D332+F332+H332+J332+K332)</f>
        <v>70992.862639999992</v>
      </c>
      <c r="J333" s="698"/>
      <c r="K333" s="397"/>
    </row>
    <row r="334" spans="1:11" ht="29.25" customHeight="1">
      <c r="A334" s="401" t="s">
        <v>132</v>
      </c>
      <c r="B334" s="84"/>
      <c r="C334" s="84"/>
      <c r="D334" s="84"/>
      <c r="E334" s="84"/>
      <c r="F334" s="402"/>
      <c r="G334" s="403"/>
      <c r="H334" s="85"/>
      <c r="I334" s="85"/>
      <c r="J334" s="85"/>
      <c r="K334" s="404"/>
    </row>
    <row r="335" spans="1:11" ht="29.25" customHeight="1">
      <c r="A335" s="405" t="s">
        <v>133</v>
      </c>
      <c r="B335" s="406"/>
      <c r="C335" s="406"/>
      <c r="D335" s="406"/>
      <c r="E335" s="406"/>
      <c r="F335" s="86"/>
      <c r="G335" s="59"/>
      <c r="H335" s="407"/>
      <c r="I335" s="407"/>
      <c r="J335" s="407"/>
      <c r="K335" s="87"/>
    </row>
    <row r="336" spans="1:11">
      <c r="A336" s="11"/>
      <c r="B336" s="392"/>
      <c r="C336" s="392"/>
      <c r="D336" s="392"/>
      <c r="E336" s="392"/>
      <c r="F336" s="392"/>
      <c r="G336" s="392"/>
      <c r="H336" s="392"/>
      <c r="I336" s="392"/>
      <c r="J336" s="392"/>
      <c r="K336" s="12"/>
    </row>
    <row r="337" spans="1:11" ht="15.75" thickBot="1">
      <c r="A337" s="16"/>
      <c r="B337" s="14"/>
      <c r="C337" s="14"/>
      <c r="D337" s="14"/>
      <c r="E337" s="14"/>
      <c r="F337" s="14"/>
      <c r="G337" s="14"/>
      <c r="H337" s="14"/>
      <c r="I337" s="14"/>
      <c r="J337" s="14"/>
      <c r="K337" s="15"/>
    </row>
    <row r="343" spans="1:11" ht="15.75" thickBot="1"/>
    <row r="344" spans="1:11" ht="32.25">
      <c r="A344" s="1124" t="s">
        <v>109</v>
      </c>
      <c r="B344" s="1125"/>
      <c r="C344" s="1125"/>
      <c r="D344" s="1125"/>
      <c r="E344" s="1125"/>
      <c r="F344" s="1125"/>
      <c r="G344" s="1125"/>
      <c r="H344" s="1125"/>
      <c r="I344" s="1125"/>
      <c r="J344" s="1125"/>
      <c r="K344" s="1126"/>
    </row>
    <row r="345" spans="1:11" ht="23.25">
      <c r="A345" s="1127" t="s">
        <v>110</v>
      </c>
      <c r="B345" s="1128"/>
      <c r="C345" s="1128"/>
      <c r="D345" s="1128"/>
      <c r="E345" s="1128"/>
      <c r="F345" s="1128"/>
      <c r="G345" s="1128"/>
      <c r="H345" s="1128"/>
      <c r="I345" s="1128"/>
      <c r="J345" s="1128"/>
      <c r="K345" s="1129"/>
    </row>
    <row r="346" spans="1:11" ht="16.5" thickBot="1">
      <c r="A346" s="1130" t="s">
        <v>609</v>
      </c>
      <c r="B346" s="1131"/>
      <c r="C346" s="1131"/>
      <c r="D346" s="1131"/>
      <c r="E346" s="1131"/>
      <c r="F346" s="1131"/>
      <c r="G346" s="1131"/>
      <c r="H346" s="1131"/>
      <c r="I346" s="1131"/>
      <c r="J346" s="1131"/>
      <c r="K346" s="1132"/>
    </row>
    <row r="347" spans="1:11" ht="19.5" customHeight="1">
      <c r="A347" s="1133" t="s">
        <v>111</v>
      </c>
      <c r="B347" s="1134"/>
      <c r="C347" s="1134"/>
      <c r="D347" s="1134"/>
      <c r="E347" s="1134"/>
      <c r="F347" s="392"/>
      <c r="G347" s="1135" t="s">
        <v>112</v>
      </c>
      <c r="H347" s="1135"/>
      <c r="I347" s="1135"/>
      <c r="J347" s="1135"/>
      <c r="K347" s="1136"/>
    </row>
    <row r="348" spans="1:11" ht="19.5" customHeight="1" thickBot="1">
      <c r="A348" s="1133"/>
      <c r="B348" s="1134"/>
      <c r="C348" s="1134"/>
      <c r="D348" s="1134"/>
      <c r="E348" s="1134"/>
      <c r="F348" s="392"/>
      <c r="G348" s="1135"/>
      <c r="H348" s="1135"/>
      <c r="I348" s="1135"/>
      <c r="J348" s="1135"/>
      <c r="K348" s="1136"/>
    </row>
    <row r="349" spans="1:11" ht="24" customHeight="1">
      <c r="A349" s="61"/>
      <c r="B349" s="62"/>
      <c r="C349" s="62"/>
      <c r="D349" s="62"/>
      <c r="E349" s="63"/>
      <c r="F349" s="392"/>
      <c r="G349" s="61"/>
      <c r="H349" s="62"/>
      <c r="I349" s="62"/>
      <c r="J349" s="62"/>
      <c r="K349" s="63"/>
    </row>
    <row r="350" spans="1:11" ht="24" customHeight="1">
      <c r="A350" s="537" t="s">
        <v>381</v>
      </c>
      <c r="B350" s="392"/>
      <c r="C350" s="392"/>
      <c r="D350" s="392"/>
      <c r="E350" s="12"/>
      <c r="F350" s="392"/>
      <c r="G350" s="537" t="s">
        <v>381</v>
      </c>
      <c r="H350" s="392"/>
      <c r="I350" s="392"/>
      <c r="J350" s="392"/>
      <c r="K350" s="12"/>
    </row>
    <row r="351" spans="1:11" ht="24" customHeight="1">
      <c r="B351" s="392"/>
      <c r="C351" s="392"/>
      <c r="D351" s="392"/>
      <c r="E351" s="12"/>
      <c r="F351" s="392"/>
      <c r="H351" s="392"/>
      <c r="I351" s="392"/>
      <c r="J351" s="392"/>
      <c r="K351" s="12"/>
    </row>
    <row r="352" spans="1:11" ht="24" customHeight="1">
      <c r="A352" s="518" t="s">
        <v>382</v>
      </c>
      <c r="B352" s="392"/>
      <c r="C352" s="392"/>
      <c r="D352" s="392"/>
      <c r="E352" s="12"/>
      <c r="F352" s="392"/>
      <c r="G352" s="518" t="s">
        <v>382</v>
      </c>
      <c r="H352" s="392"/>
      <c r="I352" s="392"/>
      <c r="J352" s="392"/>
      <c r="K352" s="12"/>
    </row>
    <row r="353" spans="1:11" ht="24" customHeight="1" thickBot="1">
      <c r="A353" s="16"/>
      <c r="B353" s="14"/>
      <c r="C353" s="14"/>
      <c r="D353" s="14"/>
      <c r="E353" s="15"/>
      <c r="F353" s="392"/>
      <c r="G353" s="16"/>
      <c r="H353" s="14"/>
      <c r="I353" s="14"/>
      <c r="J353" s="14"/>
      <c r="K353" s="15"/>
    </row>
    <row r="354" spans="1:11" ht="24" customHeight="1">
      <c r="A354" s="11"/>
      <c r="B354" s="392"/>
      <c r="C354" s="392"/>
      <c r="D354" s="392"/>
      <c r="E354" s="392"/>
      <c r="F354" s="392"/>
      <c r="G354" s="392"/>
      <c r="H354" s="392"/>
      <c r="I354" s="392" t="s">
        <v>113</v>
      </c>
      <c r="J354" s="392"/>
      <c r="K354" s="12"/>
    </row>
    <row r="355" spans="1:11" ht="24" customHeight="1">
      <c r="A355" s="1137" t="s">
        <v>114</v>
      </c>
      <c r="B355" s="1138"/>
      <c r="C355" s="1138"/>
      <c r="D355" s="1138"/>
      <c r="E355" s="1138"/>
      <c r="F355" s="392"/>
      <c r="G355" s="1138" t="s">
        <v>4</v>
      </c>
      <c r="H355" s="1138"/>
      <c r="I355" s="1138"/>
      <c r="J355" s="1138"/>
      <c r="K355" s="1139"/>
    </row>
    <row r="356" spans="1:11" ht="24" customHeight="1" thickBot="1">
      <c r="A356" s="11"/>
      <c r="B356" s="392"/>
      <c r="C356" s="392"/>
      <c r="D356" s="392"/>
      <c r="E356" s="392"/>
      <c r="F356" s="392"/>
      <c r="G356" s="392"/>
      <c r="H356" s="392"/>
      <c r="I356" s="392"/>
      <c r="J356" s="392"/>
      <c r="K356" s="12"/>
    </row>
    <row r="357" spans="1:11" ht="24" customHeight="1">
      <c r="A357" s="61"/>
      <c r="B357" s="62"/>
      <c r="C357" s="62"/>
      <c r="D357" s="62"/>
      <c r="E357" s="63"/>
      <c r="F357" s="392"/>
      <c r="G357" s="65"/>
      <c r="H357" s="66"/>
      <c r="I357" s="66"/>
      <c r="J357" s="66"/>
      <c r="K357" s="67"/>
    </row>
    <row r="358" spans="1:11" ht="24" customHeight="1">
      <c r="A358" s="11"/>
      <c r="B358" s="392"/>
      <c r="C358" s="392"/>
      <c r="D358" s="392"/>
      <c r="E358" s="12"/>
      <c r="F358" s="392"/>
      <c r="G358" s="695" t="s">
        <v>471</v>
      </c>
      <c r="H358" s="389"/>
      <c r="I358" s="389"/>
      <c r="J358" s="389"/>
      <c r="K358" s="68"/>
    </row>
    <row r="359" spans="1:11" ht="24" customHeight="1">
      <c r="A359" s="519" t="s">
        <v>601</v>
      </c>
      <c r="B359" s="392"/>
      <c r="C359" s="392"/>
      <c r="D359" s="392"/>
      <c r="E359" s="12"/>
      <c r="F359" s="392"/>
      <c r="G359" s="695"/>
      <c r="H359" s="389"/>
      <c r="I359" s="389"/>
      <c r="J359" s="389"/>
      <c r="K359" s="68"/>
    </row>
    <row r="360" spans="1:11" ht="24" customHeight="1">
      <c r="A360" s="11"/>
      <c r="B360" s="392"/>
      <c r="C360" s="392"/>
      <c r="D360" s="392"/>
      <c r="E360" s="12"/>
      <c r="F360" s="392"/>
      <c r="G360" s="545" t="s">
        <v>472</v>
      </c>
      <c r="H360" s="389"/>
      <c r="I360" s="389"/>
      <c r="J360" s="389"/>
      <c r="K360" s="68"/>
    </row>
    <row r="361" spans="1:11" ht="24" customHeight="1" thickBot="1">
      <c r="A361" s="16"/>
      <c r="B361" s="14"/>
      <c r="C361" s="14"/>
      <c r="D361" s="14"/>
      <c r="E361" s="15"/>
      <c r="F361" s="392"/>
      <c r="G361" s="64"/>
      <c r="H361" s="389"/>
      <c r="I361" s="389"/>
      <c r="J361" s="389"/>
      <c r="K361" s="68"/>
    </row>
    <row r="362" spans="1:11" ht="24" customHeight="1">
      <c r="A362" s="1106" t="s">
        <v>115</v>
      </c>
      <c r="B362" s="1107"/>
      <c r="C362" s="1107"/>
      <c r="D362" s="1107"/>
      <c r="E362" s="1107"/>
      <c r="F362" s="1111"/>
      <c r="G362" s="1112" t="str">
        <f>'4-22MASTER'!C24</f>
        <v>Sandeep Dixit</v>
      </c>
      <c r="H362" s="1112"/>
      <c r="I362" s="1112"/>
      <c r="J362" s="1112"/>
      <c r="K362" s="1112"/>
    </row>
    <row r="363" spans="1:11" ht="24" customHeight="1">
      <c r="A363" s="1113"/>
      <c r="B363" s="1114"/>
      <c r="C363" s="1114"/>
      <c r="D363" s="1114"/>
      <c r="E363" s="1114"/>
      <c r="F363" s="1115"/>
      <c r="G363" s="1112" t="str">
        <f>'4-22MASTER'!K24</f>
        <v>782,Sector 46,Gurgaon,Haryana 122002</v>
      </c>
      <c r="H363" s="1112"/>
      <c r="I363" s="1112"/>
      <c r="J363" s="1112"/>
      <c r="K363" s="1112"/>
    </row>
    <row r="364" spans="1:11" ht="24" customHeight="1">
      <c r="A364" s="1116" t="s">
        <v>116</v>
      </c>
      <c r="B364" s="1117"/>
      <c r="C364" s="1117"/>
      <c r="D364" s="1117"/>
      <c r="E364" s="1117"/>
      <c r="F364" s="1117"/>
      <c r="G364" s="1118">
        <v>41</v>
      </c>
      <c r="H364" s="1119"/>
      <c r="I364" s="1119"/>
      <c r="J364" s="1119"/>
      <c r="K364" s="1120"/>
    </row>
    <row r="365" spans="1:11" ht="24" customHeight="1">
      <c r="A365" s="1106" t="s">
        <v>117</v>
      </c>
      <c r="B365" s="1107"/>
      <c r="C365" s="1107"/>
      <c r="D365" s="1107"/>
      <c r="E365" s="1107"/>
      <c r="F365" s="1107"/>
      <c r="G365" s="1112" t="str">
        <f>'4-22MASTER'!G24</f>
        <v>Sr. Project Manager</v>
      </c>
      <c r="H365" s="1109"/>
      <c r="I365" s="1109"/>
      <c r="J365" s="1109"/>
      <c r="K365" s="1110"/>
    </row>
    <row r="366" spans="1:11" ht="24" customHeight="1">
      <c r="A366" s="1106" t="s">
        <v>118</v>
      </c>
      <c r="B366" s="1107"/>
      <c r="C366" s="1107"/>
      <c r="D366" s="1107"/>
      <c r="E366" s="1107"/>
      <c r="F366" s="1107"/>
      <c r="G366" s="1121">
        <f>'4-22MASTER'!O24</f>
        <v>44593</v>
      </c>
      <c r="H366" s="1122"/>
      <c r="I366" s="1122"/>
      <c r="J366" s="1122"/>
      <c r="K366" s="1123"/>
    </row>
    <row r="367" spans="1:11" ht="24" customHeight="1">
      <c r="A367" s="393" t="s">
        <v>119</v>
      </c>
      <c r="B367" s="700"/>
      <c r="C367" s="700"/>
      <c r="D367" s="700"/>
      <c r="E367" s="700"/>
      <c r="F367" s="700"/>
      <c r="G367" s="395"/>
      <c r="H367" s="396"/>
      <c r="I367" s="381">
        <f>'4-22MASTER'!U508</f>
        <v>0</v>
      </c>
      <c r="J367" s="698"/>
      <c r="K367" s="397"/>
    </row>
    <row r="368" spans="1:11" ht="24" customHeight="1">
      <c r="A368" s="393" t="s">
        <v>120</v>
      </c>
      <c r="B368" s="700"/>
      <c r="C368" s="700"/>
      <c r="D368" s="700"/>
      <c r="E368" s="700"/>
      <c r="F368" s="701"/>
      <c r="G368" s="78"/>
      <c r="H368" s="399"/>
      <c r="I368" s="381" t="str">
        <f>'4-22MASTER'!T24</f>
        <v>100378934992</v>
      </c>
      <c r="J368" s="399"/>
      <c r="K368" s="80"/>
    </row>
    <row r="369" spans="1:11" ht="44.25" customHeight="1">
      <c r="A369" s="1101" t="s">
        <v>121</v>
      </c>
      <c r="B369" s="1102"/>
      <c r="C369" s="1102"/>
      <c r="D369" s="1102"/>
      <c r="E369" s="1102"/>
      <c r="F369" s="1102"/>
      <c r="G369" s="1103">
        <f>'4-22MASTER'!Z24</f>
        <v>172968</v>
      </c>
      <c r="H369" s="1104"/>
      <c r="I369" s="1104"/>
      <c r="J369" s="1104"/>
      <c r="K369" s="1105"/>
    </row>
    <row r="370" spans="1:11" ht="24" customHeight="1">
      <c r="A370" s="1106" t="s">
        <v>122</v>
      </c>
      <c r="B370" s="1107"/>
      <c r="C370" s="1107"/>
      <c r="D370" s="1107"/>
      <c r="E370" s="1107"/>
      <c r="F370" s="1107"/>
      <c r="G370" s="1108">
        <f>'4-22MASTER'!E10</f>
        <v>44652</v>
      </c>
      <c r="H370" s="1109"/>
      <c r="I370" s="1109"/>
      <c r="J370" s="1109"/>
      <c r="K370" s="1110"/>
    </row>
    <row r="371" spans="1:11" ht="24" customHeight="1">
      <c r="A371" s="1106" t="s">
        <v>123</v>
      </c>
      <c r="B371" s="1107"/>
      <c r="C371" s="1107"/>
      <c r="D371" s="1107"/>
      <c r="E371" s="1107"/>
      <c r="F371" s="1107"/>
      <c r="G371" s="1109" t="s">
        <v>124</v>
      </c>
      <c r="H371" s="1109"/>
      <c r="I371" s="1109"/>
      <c r="J371" s="1109"/>
      <c r="K371" s="1110"/>
    </row>
    <row r="372" spans="1:11" ht="24" customHeight="1">
      <c r="A372" s="393" t="s">
        <v>125</v>
      </c>
      <c r="B372" s="700"/>
      <c r="C372" s="700"/>
      <c r="D372" s="700"/>
      <c r="E372" s="700"/>
      <c r="F372" s="701"/>
      <c r="G372" s="395"/>
      <c r="H372" s="698"/>
      <c r="I372" s="699">
        <f>'4-22MASTER'!X24</f>
        <v>30</v>
      </c>
      <c r="J372" s="698"/>
      <c r="K372" s="397"/>
    </row>
    <row r="373" spans="1:11" ht="24" customHeight="1">
      <c r="A373" s="393" t="s">
        <v>126</v>
      </c>
      <c r="B373" s="700"/>
      <c r="C373" s="700"/>
      <c r="D373" s="700"/>
      <c r="E373" s="700"/>
      <c r="F373" s="701"/>
      <c r="G373" s="395"/>
      <c r="H373" s="698"/>
      <c r="I373" s="698" t="s">
        <v>37</v>
      </c>
      <c r="J373" s="698"/>
      <c r="K373" s="397"/>
    </row>
    <row r="374" spans="1:11" ht="24" customHeight="1">
      <c r="A374" s="393" t="s">
        <v>127</v>
      </c>
      <c r="B374" s="700"/>
      <c r="C374" s="700"/>
      <c r="D374" s="700"/>
      <c r="E374" s="700"/>
      <c r="F374" s="701"/>
      <c r="G374" s="395"/>
      <c r="H374" s="698"/>
      <c r="I374" s="699">
        <v>0</v>
      </c>
      <c r="J374" s="698"/>
      <c r="K374" s="397"/>
    </row>
    <row r="375" spans="1:11" ht="24" customHeight="1">
      <c r="A375" s="393" t="s">
        <v>128</v>
      </c>
      <c r="B375" s="700"/>
      <c r="C375" s="700"/>
      <c r="D375" s="700"/>
      <c r="E375" s="700"/>
      <c r="F375" s="701"/>
      <c r="G375" s="395"/>
      <c r="H375" s="698"/>
      <c r="I375" s="698">
        <v>0</v>
      </c>
      <c r="J375" s="698"/>
      <c r="K375" s="397"/>
    </row>
    <row r="376" spans="1:11" ht="24" customHeight="1">
      <c r="A376" s="393" t="s">
        <v>129</v>
      </c>
      <c r="B376" s="700"/>
      <c r="C376" s="700"/>
      <c r="D376" s="700"/>
      <c r="E376" s="700"/>
      <c r="F376" s="701"/>
      <c r="G376" s="395"/>
      <c r="H376" s="698"/>
      <c r="I376" s="699">
        <f>'4-22MASTER'!AN24</f>
        <v>188275.86547999998</v>
      </c>
      <c r="J376" s="698"/>
      <c r="K376" s="397" t="s">
        <v>35</v>
      </c>
    </row>
    <row r="377" spans="1:11" ht="24" customHeight="1">
      <c r="A377" s="393" t="s">
        <v>130</v>
      </c>
      <c r="B377" s="700"/>
      <c r="C377" s="696" t="s">
        <v>32</v>
      </c>
      <c r="D377" s="697">
        <f>'4-22MASTER'!AP24</f>
        <v>1800</v>
      </c>
      <c r="E377" s="696" t="s">
        <v>31</v>
      </c>
      <c r="F377" s="697">
        <f>'4-22MASTER'!AO1005</f>
        <v>0</v>
      </c>
      <c r="G377" s="696" t="s">
        <v>33</v>
      </c>
      <c r="H377" s="697">
        <f>'4-22MASTER'!AQ24</f>
        <v>200</v>
      </c>
      <c r="I377" s="696" t="s">
        <v>34</v>
      </c>
      <c r="J377" s="697">
        <f>'4-22MASTER'!AR24</f>
        <v>0</v>
      </c>
      <c r="K377" s="89">
        <f>'4-22MASTER'!AS24</f>
        <v>283</v>
      </c>
    </row>
    <row r="378" spans="1:11" ht="24" customHeight="1">
      <c r="A378" s="393" t="s">
        <v>131</v>
      </c>
      <c r="B378" s="700"/>
      <c r="C378" s="700"/>
      <c r="D378" s="700"/>
      <c r="E378" s="700"/>
      <c r="F378" s="701"/>
      <c r="G378" s="395"/>
      <c r="H378" s="698"/>
      <c r="I378" s="699">
        <f>I376-(D377+F377+H377+J377+K377)</f>
        <v>185992.86547999998</v>
      </c>
      <c r="J378" s="698"/>
      <c r="K378" s="397"/>
    </row>
    <row r="379" spans="1:11" ht="24" customHeight="1">
      <c r="A379" s="401" t="s">
        <v>132</v>
      </c>
      <c r="B379" s="84"/>
      <c r="C379" s="84"/>
      <c r="D379" s="84"/>
      <c r="E379" s="84"/>
      <c r="F379" s="402"/>
      <c r="G379" s="403"/>
      <c r="H379" s="85"/>
      <c r="I379" s="85"/>
      <c r="J379" s="85"/>
      <c r="K379" s="404"/>
    </row>
    <row r="380" spans="1:11" ht="24" customHeight="1">
      <c r="A380" s="405" t="s">
        <v>133</v>
      </c>
      <c r="B380" s="406"/>
      <c r="C380" s="406"/>
      <c r="D380" s="406"/>
      <c r="E380" s="406"/>
      <c r="F380" s="86"/>
      <c r="G380" s="59"/>
      <c r="H380" s="407"/>
      <c r="I380" s="407"/>
      <c r="J380" s="407"/>
      <c r="K380" s="87"/>
    </row>
    <row r="381" spans="1:11">
      <c r="A381" s="11"/>
      <c r="B381" s="392"/>
      <c r="C381" s="392"/>
      <c r="D381" s="392"/>
      <c r="E381" s="392"/>
      <c r="F381" s="392"/>
      <c r="G381" s="392"/>
      <c r="H381" s="392"/>
      <c r="I381" s="392"/>
      <c r="J381" s="392"/>
      <c r="K381" s="12"/>
    </row>
    <row r="382" spans="1:11" ht="15.75" thickBot="1">
      <c r="A382" s="16"/>
      <c r="B382" s="14"/>
      <c r="C382" s="14"/>
      <c r="D382" s="14"/>
      <c r="E382" s="14"/>
      <c r="F382" s="14"/>
      <c r="G382" s="14"/>
      <c r="H382" s="14"/>
      <c r="I382" s="14"/>
      <c r="J382" s="14"/>
      <c r="K382" s="15"/>
    </row>
    <row r="388" spans="1:11" ht="15.75" thickBot="1"/>
    <row r="389" spans="1:11" ht="32.25">
      <c r="A389" s="1124" t="s">
        <v>109</v>
      </c>
      <c r="B389" s="1125"/>
      <c r="C389" s="1125"/>
      <c r="D389" s="1125"/>
      <c r="E389" s="1125"/>
      <c r="F389" s="1125"/>
      <c r="G389" s="1125"/>
      <c r="H389" s="1125"/>
      <c r="I389" s="1125"/>
      <c r="J389" s="1125"/>
      <c r="K389" s="1126"/>
    </row>
    <row r="390" spans="1:11" ht="23.25">
      <c r="A390" s="1127" t="s">
        <v>110</v>
      </c>
      <c r="B390" s="1128"/>
      <c r="C390" s="1128"/>
      <c r="D390" s="1128"/>
      <c r="E390" s="1128"/>
      <c r="F390" s="1128"/>
      <c r="G390" s="1128"/>
      <c r="H390" s="1128"/>
      <c r="I390" s="1128"/>
      <c r="J390" s="1128"/>
      <c r="K390" s="1129"/>
    </row>
    <row r="391" spans="1:11" ht="16.5" thickBot="1">
      <c r="A391" s="1130" t="s">
        <v>609</v>
      </c>
      <c r="B391" s="1131"/>
      <c r="C391" s="1131"/>
      <c r="D391" s="1131"/>
      <c r="E391" s="1131"/>
      <c r="F391" s="1131"/>
      <c r="G391" s="1131"/>
      <c r="H391" s="1131"/>
      <c r="I391" s="1131"/>
      <c r="J391" s="1131"/>
      <c r="K391" s="1132"/>
    </row>
    <row r="392" spans="1:11">
      <c r="A392" s="1133" t="s">
        <v>111</v>
      </c>
      <c r="B392" s="1134"/>
      <c r="C392" s="1134"/>
      <c r="D392" s="1134"/>
      <c r="E392" s="1134"/>
      <c r="F392" s="392"/>
      <c r="G392" s="1135" t="s">
        <v>112</v>
      </c>
      <c r="H392" s="1135"/>
      <c r="I392" s="1135"/>
      <c r="J392" s="1135"/>
      <c r="K392" s="1136"/>
    </row>
    <row r="393" spans="1:11" ht="15.75" thickBot="1">
      <c r="A393" s="1133"/>
      <c r="B393" s="1134"/>
      <c r="C393" s="1134"/>
      <c r="D393" s="1134"/>
      <c r="E393" s="1134"/>
      <c r="F393" s="392"/>
      <c r="G393" s="1135"/>
      <c r="H393" s="1135"/>
      <c r="I393" s="1135"/>
      <c r="J393" s="1135"/>
      <c r="K393" s="1136"/>
    </row>
    <row r="394" spans="1:11">
      <c r="A394" s="61"/>
      <c r="B394" s="62"/>
      <c r="C394" s="62"/>
      <c r="D394" s="62"/>
      <c r="E394" s="63"/>
      <c r="F394" s="392"/>
      <c r="G394" s="61"/>
      <c r="H394" s="62"/>
      <c r="I394" s="62"/>
      <c r="J394" s="62"/>
      <c r="K394" s="63"/>
    </row>
    <row r="395" spans="1:11">
      <c r="A395" s="537" t="s">
        <v>381</v>
      </c>
      <c r="B395" s="392"/>
      <c r="C395" s="392"/>
      <c r="D395" s="392"/>
      <c r="E395" s="12"/>
      <c r="F395" s="392"/>
      <c r="G395" s="537" t="s">
        <v>381</v>
      </c>
      <c r="H395" s="392"/>
      <c r="I395" s="392"/>
      <c r="J395" s="392"/>
      <c r="K395" s="12"/>
    </row>
    <row r="396" spans="1:11">
      <c r="B396" s="392"/>
      <c r="C396" s="392"/>
      <c r="D396" s="392"/>
      <c r="E396" s="12"/>
      <c r="F396" s="392"/>
      <c r="H396" s="392"/>
      <c r="I396" s="392"/>
      <c r="J396" s="392"/>
      <c r="K396" s="12"/>
    </row>
    <row r="397" spans="1:11">
      <c r="A397" s="518" t="s">
        <v>382</v>
      </c>
      <c r="B397" s="392"/>
      <c r="C397" s="392"/>
      <c r="D397" s="392"/>
      <c r="E397" s="12"/>
      <c r="F397" s="392"/>
      <c r="G397" s="518" t="s">
        <v>382</v>
      </c>
      <c r="H397" s="392"/>
      <c r="I397" s="392"/>
      <c r="J397" s="392"/>
      <c r="K397" s="12"/>
    </row>
    <row r="398" spans="1:11" ht="15.75" thickBot="1">
      <c r="A398" s="16"/>
      <c r="B398" s="14"/>
      <c r="C398" s="14"/>
      <c r="D398" s="14"/>
      <c r="E398" s="15"/>
      <c r="F398" s="392"/>
      <c r="G398" s="16"/>
      <c r="H398" s="14"/>
      <c r="I398" s="14"/>
      <c r="J398" s="14"/>
      <c r="K398" s="15"/>
    </row>
    <row r="399" spans="1:11" ht="28.5" customHeight="1">
      <c r="A399" s="11"/>
      <c r="B399" s="392"/>
      <c r="C399" s="392"/>
      <c r="D399" s="392"/>
      <c r="E399" s="392"/>
      <c r="F399" s="392"/>
      <c r="G399" s="392"/>
      <c r="H399" s="392"/>
      <c r="I399" s="392" t="s">
        <v>113</v>
      </c>
      <c r="J399" s="392"/>
      <c r="K399" s="12"/>
    </row>
    <row r="400" spans="1:11" ht="28.5" customHeight="1">
      <c r="A400" s="1137" t="s">
        <v>114</v>
      </c>
      <c r="B400" s="1138"/>
      <c r="C400" s="1138"/>
      <c r="D400" s="1138"/>
      <c r="E400" s="1138"/>
      <c r="F400" s="392"/>
      <c r="G400" s="1138" t="s">
        <v>4</v>
      </c>
      <c r="H400" s="1138"/>
      <c r="I400" s="1138"/>
      <c r="J400" s="1138"/>
      <c r="K400" s="1139"/>
    </row>
    <row r="401" spans="1:11" ht="28.5" customHeight="1" thickBot="1">
      <c r="A401" s="11"/>
      <c r="B401" s="392"/>
      <c r="C401" s="392"/>
      <c r="D401" s="392"/>
      <c r="E401" s="392"/>
      <c r="F401" s="392"/>
      <c r="G401" s="392"/>
      <c r="H401" s="392"/>
      <c r="I401" s="392"/>
      <c r="J401" s="392"/>
      <c r="K401" s="12"/>
    </row>
    <row r="402" spans="1:11" ht="28.5" customHeight="1">
      <c r="A402" s="61"/>
      <c r="B402" s="62"/>
      <c r="C402" s="62"/>
      <c r="D402" s="62"/>
      <c r="E402" s="63"/>
      <c r="F402" s="392"/>
      <c r="G402" s="65"/>
      <c r="H402" s="66"/>
      <c r="I402" s="66"/>
      <c r="J402" s="66"/>
      <c r="K402" s="67"/>
    </row>
    <row r="403" spans="1:11" ht="28.5" customHeight="1">
      <c r="A403" s="11"/>
      <c r="B403" s="392"/>
      <c r="C403" s="392"/>
      <c r="D403" s="392"/>
      <c r="E403" s="12"/>
      <c r="F403" s="392"/>
      <c r="G403" s="695" t="s">
        <v>471</v>
      </c>
      <c r="H403" s="389"/>
      <c r="I403" s="389"/>
      <c r="J403" s="389"/>
      <c r="K403" s="68"/>
    </row>
    <row r="404" spans="1:11" ht="28.5" customHeight="1">
      <c r="A404" s="519" t="s">
        <v>601</v>
      </c>
      <c r="B404" s="392"/>
      <c r="C404" s="392"/>
      <c r="D404" s="392"/>
      <c r="E404" s="12"/>
      <c r="F404" s="392"/>
      <c r="G404" s="695"/>
      <c r="H404" s="389"/>
      <c r="I404" s="389"/>
      <c r="J404" s="389"/>
      <c r="K404" s="68"/>
    </row>
    <row r="405" spans="1:11" ht="28.5" customHeight="1">
      <c r="A405" s="11"/>
      <c r="B405" s="392"/>
      <c r="C405" s="392"/>
      <c r="D405" s="392"/>
      <c r="E405" s="12"/>
      <c r="F405" s="392"/>
      <c r="G405" s="545" t="s">
        <v>472</v>
      </c>
      <c r="H405" s="389"/>
      <c r="I405" s="389"/>
      <c r="J405" s="389"/>
      <c r="K405" s="68"/>
    </row>
    <row r="406" spans="1:11" ht="28.5" customHeight="1" thickBot="1">
      <c r="A406" s="16"/>
      <c r="B406" s="14"/>
      <c r="C406" s="14"/>
      <c r="D406" s="14"/>
      <c r="E406" s="15"/>
      <c r="F406" s="392"/>
      <c r="G406" s="64"/>
      <c r="H406" s="389"/>
      <c r="I406" s="389"/>
      <c r="J406" s="389"/>
      <c r="K406" s="68"/>
    </row>
    <row r="407" spans="1:11" ht="28.5" customHeight="1">
      <c r="A407" s="1106" t="s">
        <v>115</v>
      </c>
      <c r="B407" s="1107"/>
      <c r="C407" s="1107"/>
      <c r="D407" s="1107"/>
      <c r="E407" s="1107"/>
      <c r="F407" s="1111"/>
      <c r="G407" s="1112" t="str">
        <f>'4-22MASTER'!C25</f>
        <v>Jaikesh Upadhyay  </v>
      </c>
      <c r="H407" s="1112"/>
      <c r="I407" s="1112"/>
      <c r="J407" s="1112"/>
      <c r="K407" s="1112"/>
    </row>
    <row r="408" spans="1:11" ht="28.5" customHeight="1">
      <c r="A408" s="1113"/>
      <c r="B408" s="1114"/>
      <c r="C408" s="1114"/>
      <c r="D408" s="1114"/>
      <c r="E408" s="1114"/>
      <c r="F408" s="1115"/>
      <c r="G408" s="1112" t="str">
        <f>'4-22MASTER'!K25</f>
        <v>Sri vathsava house,SR no. 261/1/1,Sri dharshan colony,Kalvad road,Dhanori,Pune,MH,411015</v>
      </c>
      <c r="H408" s="1112"/>
      <c r="I408" s="1112"/>
      <c r="J408" s="1112"/>
      <c r="K408" s="1112"/>
    </row>
    <row r="409" spans="1:11" ht="28.5" customHeight="1">
      <c r="A409" s="1116" t="s">
        <v>116</v>
      </c>
      <c r="B409" s="1117"/>
      <c r="C409" s="1117"/>
      <c r="D409" s="1117"/>
      <c r="E409" s="1117"/>
      <c r="F409" s="1117"/>
      <c r="G409" s="1118">
        <v>42</v>
      </c>
      <c r="H409" s="1119"/>
      <c r="I409" s="1119"/>
      <c r="J409" s="1119"/>
      <c r="K409" s="1120"/>
    </row>
    <row r="410" spans="1:11" ht="28.5" customHeight="1">
      <c r="A410" s="1106" t="s">
        <v>117</v>
      </c>
      <c r="B410" s="1107"/>
      <c r="C410" s="1107"/>
      <c r="D410" s="1107"/>
      <c r="E410" s="1107"/>
      <c r="F410" s="1107"/>
      <c r="G410" s="1112" t="str">
        <f>'4-22MASTER'!G25</f>
        <v>Sr. Project Coordinator</v>
      </c>
      <c r="H410" s="1109"/>
      <c r="I410" s="1109"/>
      <c r="J410" s="1109"/>
      <c r="K410" s="1110"/>
    </row>
    <row r="411" spans="1:11" ht="28.5" customHeight="1">
      <c r="A411" s="1106" t="s">
        <v>118</v>
      </c>
      <c r="B411" s="1107"/>
      <c r="C411" s="1107"/>
      <c r="D411" s="1107"/>
      <c r="E411" s="1107"/>
      <c r="F411" s="1107"/>
      <c r="G411" s="1121">
        <f>'4-22MASTER'!O25</f>
        <v>44609</v>
      </c>
      <c r="H411" s="1122"/>
      <c r="I411" s="1122"/>
      <c r="J411" s="1122"/>
      <c r="K411" s="1123"/>
    </row>
    <row r="412" spans="1:11" ht="28.5" customHeight="1">
      <c r="A412" s="393" t="s">
        <v>119</v>
      </c>
      <c r="B412" s="700"/>
      <c r="C412" s="700"/>
      <c r="D412" s="700"/>
      <c r="E412" s="700"/>
      <c r="F412" s="700"/>
      <c r="G412" s="395"/>
      <c r="H412" s="396"/>
      <c r="I412" s="381">
        <f>'4-22MASTER'!U553</f>
        <v>0</v>
      </c>
      <c r="J412" s="698"/>
      <c r="K412" s="397"/>
    </row>
    <row r="413" spans="1:11" ht="28.5" customHeight="1">
      <c r="A413" s="393" t="s">
        <v>120</v>
      </c>
      <c r="B413" s="700"/>
      <c r="C413" s="700"/>
      <c r="D413" s="700"/>
      <c r="E413" s="700"/>
      <c r="F413" s="701"/>
      <c r="G413" s="78"/>
      <c r="H413" s="399"/>
      <c r="I413" s="381" t="str">
        <f>'4-22MASTER'!T25</f>
        <v>100448275999</v>
      </c>
      <c r="J413" s="399"/>
      <c r="K413" s="80"/>
    </row>
    <row r="414" spans="1:11" ht="28.5" customHeight="1">
      <c r="A414" s="1101" t="s">
        <v>121</v>
      </c>
      <c r="B414" s="1102"/>
      <c r="C414" s="1102"/>
      <c r="D414" s="1102"/>
      <c r="E414" s="1102"/>
      <c r="F414" s="1102"/>
      <c r="G414" s="1103">
        <f>'4-22MASTER'!Z25</f>
        <v>112719</v>
      </c>
      <c r="H414" s="1104"/>
      <c r="I414" s="1104"/>
      <c r="J414" s="1104"/>
      <c r="K414" s="1105"/>
    </row>
    <row r="415" spans="1:11" ht="28.5" customHeight="1">
      <c r="A415" s="1106" t="s">
        <v>122</v>
      </c>
      <c r="B415" s="1107"/>
      <c r="C415" s="1107"/>
      <c r="D415" s="1107"/>
      <c r="E415" s="1107"/>
      <c r="F415" s="1107"/>
      <c r="G415" s="1108">
        <f>'4-22MASTER'!E10</f>
        <v>44652</v>
      </c>
      <c r="H415" s="1109"/>
      <c r="I415" s="1109"/>
      <c r="J415" s="1109"/>
      <c r="K415" s="1110"/>
    </row>
    <row r="416" spans="1:11" ht="28.5" customHeight="1">
      <c r="A416" s="1106" t="s">
        <v>123</v>
      </c>
      <c r="B416" s="1107"/>
      <c r="C416" s="1107"/>
      <c r="D416" s="1107"/>
      <c r="E416" s="1107"/>
      <c r="F416" s="1107"/>
      <c r="G416" s="1109" t="s">
        <v>124</v>
      </c>
      <c r="H416" s="1109"/>
      <c r="I416" s="1109"/>
      <c r="J416" s="1109"/>
      <c r="K416" s="1110"/>
    </row>
    <row r="417" spans="1:11" ht="28.5" customHeight="1">
      <c r="A417" s="393" t="s">
        <v>125</v>
      </c>
      <c r="B417" s="700"/>
      <c r="C417" s="700"/>
      <c r="D417" s="700"/>
      <c r="E417" s="700"/>
      <c r="F417" s="701"/>
      <c r="G417" s="395"/>
      <c r="H417" s="698"/>
      <c r="I417" s="699">
        <f>'4-22MASTER'!X25</f>
        <v>30</v>
      </c>
      <c r="J417" s="698"/>
      <c r="K417" s="397"/>
    </row>
    <row r="418" spans="1:11" ht="28.5" customHeight="1">
      <c r="A418" s="393" t="s">
        <v>126</v>
      </c>
      <c r="B418" s="700"/>
      <c r="C418" s="700"/>
      <c r="D418" s="700"/>
      <c r="E418" s="700"/>
      <c r="F418" s="701"/>
      <c r="G418" s="395"/>
      <c r="H418" s="698"/>
      <c r="I418" s="698" t="s">
        <v>37</v>
      </c>
      <c r="J418" s="698"/>
      <c r="K418" s="397"/>
    </row>
    <row r="419" spans="1:11" ht="28.5" customHeight="1">
      <c r="A419" s="393" t="s">
        <v>127</v>
      </c>
      <c r="B419" s="700"/>
      <c r="C419" s="700"/>
      <c r="D419" s="700"/>
      <c r="E419" s="700"/>
      <c r="F419" s="701"/>
      <c r="G419" s="395"/>
      <c r="H419" s="698"/>
      <c r="I419" s="699">
        <v>0</v>
      </c>
      <c r="J419" s="698"/>
      <c r="K419" s="397"/>
    </row>
    <row r="420" spans="1:11" ht="28.5" customHeight="1">
      <c r="A420" s="393" t="s">
        <v>128</v>
      </c>
      <c r="B420" s="700"/>
      <c r="C420" s="700"/>
      <c r="D420" s="700"/>
      <c r="E420" s="700"/>
      <c r="F420" s="701"/>
      <c r="G420" s="395"/>
      <c r="H420" s="698"/>
      <c r="I420" s="698">
        <v>0</v>
      </c>
      <c r="J420" s="698"/>
      <c r="K420" s="397"/>
    </row>
    <row r="421" spans="1:11" ht="28.5" customHeight="1">
      <c r="A421" s="393" t="s">
        <v>129</v>
      </c>
      <c r="B421" s="700"/>
      <c r="C421" s="700"/>
      <c r="D421" s="700"/>
      <c r="E421" s="700"/>
      <c r="F421" s="701"/>
      <c r="G421" s="395"/>
      <c r="H421" s="698"/>
      <c r="I421" s="699">
        <f>'4-22MASTER'!AN25</f>
        <v>123275.62934</v>
      </c>
      <c r="J421" s="698"/>
      <c r="K421" s="397" t="s">
        <v>35</v>
      </c>
    </row>
    <row r="422" spans="1:11" ht="28.5" customHeight="1">
      <c r="A422" s="393" t="s">
        <v>130</v>
      </c>
      <c r="B422" s="700"/>
      <c r="C422" s="696" t="s">
        <v>32</v>
      </c>
      <c r="D422" s="697">
        <f>'4-22MASTER'!AP25</f>
        <v>1800</v>
      </c>
      <c r="E422" s="696" t="s">
        <v>31</v>
      </c>
      <c r="F422" s="697">
        <f>'4-22MASTER'!AO1050</f>
        <v>0</v>
      </c>
      <c r="G422" s="696" t="s">
        <v>33</v>
      </c>
      <c r="H422" s="697">
        <f>'4-22MASTER'!AQ25</f>
        <v>200</v>
      </c>
      <c r="I422" s="696" t="s">
        <v>34</v>
      </c>
      <c r="J422" s="697">
        <f>'4-22MASTER'!AR25</f>
        <v>0</v>
      </c>
      <c r="K422" s="89">
        <f>'4-22MASTER'!AS25</f>
        <v>283</v>
      </c>
    </row>
    <row r="423" spans="1:11" ht="28.5" customHeight="1">
      <c r="A423" s="393" t="s">
        <v>131</v>
      </c>
      <c r="B423" s="700"/>
      <c r="C423" s="700"/>
      <c r="D423" s="700"/>
      <c r="E423" s="700"/>
      <c r="F423" s="701"/>
      <c r="G423" s="395"/>
      <c r="H423" s="698"/>
      <c r="I423" s="699">
        <f>I421-(D422+F422+H422+J422+K422)</f>
        <v>120992.62934</v>
      </c>
      <c r="J423" s="698"/>
      <c r="K423" s="397"/>
    </row>
    <row r="424" spans="1:11" ht="28.5" customHeight="1">
      <c r="A424" s="401" t="s">
        <v>132</v>
      </c>
      <c r="B424" s="84"/>
      <c r="C424" s="84"/>
      <c r="D424" s="84"/>
      <c r="E424" s="84"/>
      <c r="F424" s="402"/>
      <c r="G424" s="403"/>
      <c r="H424" s="85"/>
      <c r="I424" s="85"/>
      <c r="J424" s="85"/>
      <c r="K424" s="404"/>
    </row>
    <row r="425" spans="1:11" ht="28.5" customHeight="1">
      <c r="A425" s="405" t="s">
        <v>133</v>
      </c>
      <c r="B425" s="406"/>
      <c r="C425" s="406"/>
      <c r="D425" s="406"/>
      <c r="E425" s="406"/>
      <c r="F425" s="86"/>
      <c r="G425" s="59"/>
      <c r="H425" s="407"/>
      <c r="I425" s="407"/>
      <c r="J425" s="407"/>
      <c r="K425" s="87"/>
    </row>
    <row r="426" spans="1:11" ht="28.5" customHeight="1">
      <c r="A426" s="11"/>
      <c r="B426" s="392"/>
      <c r="C426" s="392"/>
      <c r="D426" s="392"/>
      <c r="E426" s="392"/>
      <c r="F426" s="392"/>
      <c r="G426" s="392"/>
      <c r="H426" s="392"/>
      <c r="I426" s="392"/>
      <c r="J426" s="392"/>
      <c r="K426" s="12"/>
    </row>
    <row r="427" spans="1:11" ht="28.5" customHeight="1" thickBot="1">
      <c r="A427" s="16"/>
      <c r="B427" s="14"/>
      <c r="C427" s="14"/>
      <c r="D427" s="14"/>
      <c r="E427" s="14"/>
      <c r="F427" s="14"/>
      <c r="G427" s="14"/>
      <c r="H427" s="14"/>
      <c r="I427" s="14"/>
      <c r="J427" s="14"/>
      <c r="K427" s="15"/>
    </row>
    <row r="437" spans="1:11" ht="15.75" thickBot="1"/>
    <row r="438" spans="1:11" ht="32.25">
      <c r="A438" s="1124" t="s">
        <v>109</v>
      </c>
      <c r="B438" s="1125"/>
      <c r="C438" s="1125"/>
      <c r="D438" s="1125"/>
      <c r="E438" s="1125"/>
      <c r="F438" s="1125"/>
      <c r="G438" s="1125"/>
      <c r="H438" s="1125"/>
      <c r="I438" s="1125"/>
      <c r="J438" s="1125"/>
      <c r="K438" s="1126"/>
    </row>
    <row r="439" spans="1:11" ht="23.25">
      <c r="A439" s="1127" t="s">
        <v>110</v>
      </c>
      <c r="B439" s="1128"/>
      <c r="C439" s="1128"/>
      <c r="D439" s="1128"/>
      <c r="E439" s="1128"/>
      <c r="F439" s="1128"/>
      <c r="G439" s="1128"/>
      <c r="H439" s="1128"/>
      <c r="I439" s="1128"/>
      <c r="J439" s="1128"/>
      <c r="K439" s="1129"/>
    </row>
    <row r="440" spans="1:11" ht="16.5" thickBot="1">
      <c r="A440" s="1130" t="s">
        <v>609</v>
      </c>
      <c r="B440" s="1131"/>
      <c r="C440" s="1131"/>
      <c r="D440" s="1131"/>
      <c r="E440" s="1131"/>
      <c r="F440" s="1131"/>
      <c r="G440" s="1131"/>
      <c r="H440" s="1131"/>
      <c r="I440" s="1131"/>
      <c r="J440" s="1131"/>
      <c r="K440" s="1132"/>
    </row>
    <row r="441" spans="1:11">
      <c r="A441" s="1133" t="s">
        <v>111</v>
      </c>
      <c r="B441" s="1134"/>
      <c r="C441" s="1134"/>
      <c r="D441" s="1134"/>
      <c r="E441" s="1134"/>
      <c r="F441" s="392"/>
      <c r="G441" s="1135" t="s">
        <v>112</v>
      </c>
      <c r="H441" s="1135"/>
      <c r="I441" s="1135"/>
      <c r="J441" s="1135"/>
      <c r="K441" s="1136"/>
    </row>
    <row r="442" spans="1:11" ht="15.75" thickBot="1">
      <c r="A442" s="1133"/>
      <c r="B442" s="1134"/>
      <c r="C442" s="1134"/>
      <c r="D442" s="1134"/>
      <c r="E442" s="1134"/>
      <c r="F442" s="392"/>
      <c r="G442" s="1135"/>
      <c r="H442" s="1135"/>
      <c r="I442" s="1135"/>
      <c r="J442" s="1135"/>
      <c r="K442" s="1136"/>
    </row>
    <row r="443" spans="1:11" ht="28.5" customHeight="1">
      <c r="A443" s="61"/>
      <c r="B443" s="62"/>
      <c r="C443" s="62"/>
      <c r="D443" s="62"/>
      <c r="E443" s="63"/>
      <c r="F443" s="392"/>
      <c r="G443" s="61"/>
      <c r="H443" s="62"/>
      <c r="I443" s="62"/>
      <c r="J443" s="62"/>
      <c r="K443" s="63"/>
    </row>
    <row r="444" spans="1:11" ht="28.5" customHeight="1">
      <c r="A444" s="537" t="s">
        <v>381</v>
      </c>
      <c r="B444" s="392"/>
      <c r="C444" s="392"/>
      <c r="D444" s="392"/>
      <c r="E444" s="12"/>
      <c r="F444" s="392"/>
      <c r="G444" s="537" t="s">
        <v>381</v>
      </c>
      <c r="H444" s="392"/>
      <c r="I444" s="392"/>
      <c r="J444" s="392"/>
      <c r="K444" s="12"/>
    </row>
    <row r="445" spans="1:11" ht="28.5" customHeight="1">
      <c r="B445" s="392"/>
      <c r="C445" s="392"/>
      <c r="D445" s="392"/>
      <c r="E445" s="12"/>
      <c r="F445" s="392"/>
      <c r="H445" s="392"/>
      <c r="I445" s="392"/>
      <c r="J445" s="392"/>
      <c r="K445" s="12"/>
    </row>
    <row r="446" spans="1:11" ht="28.5" customHeight="1">
      <c r="A446" s="518" t="s">
        <v>382</v>
      </c>
      <c r="B446" s="392"/>
      <c r="C446" s="392"/>
      <c r="D446" s="392"/>
      <c r="E446" s="12"/>
      <c r="F446" s="392"/>
      <c r="G446" s="518" t="s">
        <v>382</v>
      </c>
      <c r="H446" s="392"/>
      <c r="I446" s="392"/>
      <c r="J446" s="392"/>
      <c r="K446" s="12"/>
    </row>
    <row r="447" spans="1:11" ht="28.5" customHeight="1" thickBot="1">
      <c r="A447" s="16"/>
      <c r="B447" s="14"/>
      <c r="C447" s="14"/>
      <c r="D447" s="14"/>
      <c r="E447" s="15"/>
      <c r="F447" s="392"/>
      <c r="G447" s="16"/>
      <c r="H447" s="14"/>
      <c r="I447" s="14"/>
      <c r="J447" s="14"/>
      <c r="K447" s="15"/>
    </row>
    <row r="448" spans="1:11" ht="28.5" customHeight="1">
      <c r="A448" s="11"/>
      <c r="B448" s="392"/>
      <c r="C448" s="392"/>
      <c r="D448" s="392"/>
      <c r="E448" s="392"/>
      <c r="F448" s="392"/>
      <c r="G448" s="392"/>
      <c r="H448" s="392"/>
      <c r="I448" s="392" t="s">
        <v>113</v>
      </c>
      <c r="J448" s="392"/>
      <c r="K448" s="12"/>
    </row>
    <row r="449" spans="1:11" ht="28.5" customHeight="1">
      <c r="A449" s="1137" t="s">
        <v>114</v>
      </c>
      <c r="B449" s="1138"/>
      <c r="C449" s="1138"/>
      <c r="D449" s="1138"/>
      <c r="E449" s="1138"/>
      <c r="F449" s="392"/>
      <c r="G449" s="1138" t="s">
        <v>4</v>
      </c>
      <c r="H449" s="1138"/>
      <c r="I449" s="1138"/>
      <c r="J449" s="1138"/>
      <c r="K449" s="1139"/>
    </row>
    <row r="450" spans="1:11" ht="28.5" customHeight="1" thickBot="1">
      <c r="A450" s="11"/>
      <c r="B450" s="392"/>
      <c r="C450" s="392"/>
      <c r="D450" s="392"/>
      <c r="E450" s="392"/>
      <c r="F450" s="392"/>
      <c r="G450" s="392"/>
      <c r="H450" s="392"/>
      <c r="I450" s="392"/>
      <c r="J450" s="392"/>
      <c r="K450" s="12"/>
    </row>
    <row r="451" spans="1:11" ht="28.5" customHeight="1">
      <c r="A451" s="61"/>
      <c r="B451" s="62"/>
      <c r="C451" s="62"/>
      <c r="D451" s="62"/>
      <c r="E451" s="63"/>
      <c r="F451" s="392"/>
      <c r="G451" s="65"/>
      <c r="H451" s="66"/>
      <c r="I451" s="66"/>
      <c r="J451" s="66"/>
      <c r="K451" s="67"/>
    </row>
    <row r="452" spans="1:11" ht="28.5" customHeight="1">
      <c r="A452" s="11"/>
      <c r="B452" s="392"/>
      <c r="C452" s="392"/>
      <c r="D452" s="392"/>
      <c r="E452" s="12"/>
      <c r="F452" s="392"/>
      <c r="G452" s="733" t="s">
        <v>471</v>
      </c>
      <c r="H452" s="389"/>
      <c r="I452" s="389"/>
      <c r="J452" s="389"/>
      <c r="K452" s="68"/>
    </row>
    <row r="453" spans="1:11" ht="28.5" customHeight="1">
      <c r="A453" s="519" t="s">
        <v>601</v>
      </c>
      <c r="B453" s="392"/>
      <c r="C453" s="392"/>
      <c r="D453" s="392"/>
      <c r="E453" s="12"/>
      <c r="F453" s="392"/>
      <c r="G453" s="733"/>
      <c r="H453" s="389"/>
      <c r="I453" s="389"/>
      <c r="J453" s="389"/>
      <c r="K453" s="68"/>
    </row>
    <row r="454" spans="1:11" ht="28.5" customHeight="1">
      <c r="A454" s="11"/>
      <c r="B454" s="392"/>
      <c r="C454" s="392"/>
      <c r="D454" s="392"/>
      <c r="E454" s="12"/>
      <c r="F454" s="392"/>
      <c r="G454" s="545" t="s">
        <v>472</v>
      </c>
      <c r="H454" s="389"/>
      <c r="I454" s="389"/>
      <c r="J454" s="389"/>
      <c r="K454" s="68"/>
    </row>
    <row r="455" spans="1:11" ht="28.5" customHeight="1" thickBot="1">
      <c r="A455" s="16"/>
      <c r="B455" s="14"/>
      <c r="C455" s="14"/>
      <c r="D455" s="14"/>
      <c r="E455" s="15"/>
      <c r="F455" s="392"/>
      <c r="G455" s="64"/>
      <c r="H455" s="389"/>
      <c r="I455" s="389"/>
      <c r="J455" s="389"/>
      <c r="K455" s="68"/>
    </row>
    <row r="456" spans="1:11" ht="28.5" customHeight="1">
      <c r="A456" s="1106" t="s">
        <v>115</v>
      </c>
      <c r="B456" s="1107"/>
      <c r="C456" s="1107"/>
      <c r="D456" s="1107"/>
      <c r="E456" s="1107"/>
      <c r="F456" s="1111"/>
      <c r="G456" s="1112" t="str">
        <f>'4-22MASTER'!C26</f>
        <v>Jyoti Singh</v>
      </c>
      <c r="H456" s="1112"/>
      <c r="I456" s="1112"/>
      <c r="J456" s="1112"/>
      <c r="K456" s="1112"/>
    </row>
    <row r="457" spans="1:11" ht="28.5" customHeight="1">
      <c r="A457" s="1113"/>
      <c r="B457" s="1114"/>
      <c r="C457" s="1114"/>
      <c r="D457" s="1114"/>
      <c r="E457" s="1114"/>
      <c r="F457" s="1115"/>
      <c r="G457" s="1112" t="str">
        <f>'4-22MASTER'!H26</f>
        <v>Room F1,C 38,Sai apartments,JBTS gardens,Chhatrapur,New Delhi 110074</v>
      </c>
      <c r="H457" s="1112"/>
      <c r="I457" s="1112"/>
      <c r="J457" s="1112"/>
      <c r="K457" s="1112"/>
    </row>
    <row r="458" spans="1:11" ht="28.5" customHeight="1">
      <c r="A458" s="1116" t="s">
        <v>116</v>
      </c>
      <c r="B458" s="1117"/>
      <c r="C458" s="1117"/>
      <c r="D458" s="1117"/>
      <c r="E458" s="1117"/>
      <c r="F458" s="1117"/>
      <c r="G458" s="1118">
        <v>43</v>
      </c>
      <c r="H458" s="1119"/>
      <c r="I458" s="1119"/>
      <c r="J458" s="1119"/>
      <c r="K458" s="1120"/>
    </row>
    <row r="459" spans="1:11" ht="28.5" customHeight="1">
      <c r="A459" s="1106" t="s">
        <v>117</v>
      </c>
      <c r="B459" s="1107"/>
      <c r="C459" s="1107"/>
      <c r="D459" s="1107"/>
      <c r="E459" s="1107"/>
      <c r="F459" s="1107"/>
      <c r="G459" s="1112" t="str">
        <f>'4-22MASTER'!G26</f>
        <v>Sr.Security analyst</v>
      </c>
      <c r="H459" s="1109"/>
      <c r="I459" s="1109"/>
      <c r="J459" s="1109"/>
      <c r="K459" s="1110"/>
    </row>
    <row r="460" spans="1:11" ht="28.5" customHeight="1">
      <c r="A460" s="1106" t="s">
        <v>118</v>
      </c>
      <c r="B460" s="1107"/>
      <c r="C460" s="1107"/>
      <c r="D460" s="1107"/>
      <c r="E460" s="1107"/>
      <c r="F460" s="1107"/>
      <c r="G460" s="1121">
        <f>'4-22MASTER'!O26</f>
        <v>44613</v>
      </c>
      <c r="H460" s="1122"/>
      <c r="I460" s="1122"/>
      <c r="J460" s="1122"/>
      <c r="K460" s="1123"/>
    </row>
    <row r="461" spans="1:11" ht="28.5" customHeight="1">
      <c r="A461" s="393" t="s">
        <v>119</v>
      </c>
      <c r="B461" s="741"/>
      <c r="C461" s="741"/>
      <c r="D461" s="741"/>
      <c r="E461" s="741"/>
      <c r="F461" s="741"/>
      <c r="G461" s="395"/>
      <c r="H461" s="396"/>
      <c r="I461" s="381">
        <f>'4-22MASTER'!U602</f>
        <v>0</v>
      </c>
      <c r="J461" s="738"/>
      <c r="K461" s="397"/>
    </row>
    <row r="462" spans="1:11" ht="28.5" customHeight="1">
      <c r="A462" s="393" t="s">
        <v>120</v>
      </c>
      <c r="B462" s="741"/>
      <c r="C462" s="741"/>
      <c r="D462" s="741"/>
      <c r="E462" s="741"/>
      <c r="F462" s="742"/>
      <c r="G462" s="78"/>
      <c r="H462" s="399"/>
      <c r="I462" s="381" t="str">
        <f>'4-22MASTER'!T26</f>
        <v>OOOO</v>
      </c>
      <c r="J462" s="399"/>
      <c r="K462" s="80"/>
    </row>
    <row r="463" spans="1:11" ht="28.5" customHeight="1">
      <c r="A463" s="1101" t="s">
        <v>121</v>
      </c>
      <c r="B463" s="1102"/>
      <c r="C463" s="1102"/>
      <c r="D463" s="1102"/>
      <c r="E463" s="1102"/>
      <c r="F463" s="1102"/>
      <c r="G463" s="1103">
        <f>'4-22MASTER'!Z26</f>
        <v>103450</v>
      </c>
      <c r="H463" s="1104"/>
      <c r="I463" s="1104"/>
      <c r="J463" s="1104"/>
      <c r="K463" s="1105"/>
    </row>
    <row r="464" spans="1:11" ht="28.5" customHeight="1">
      <c r="A464" s="1106" t="s">
        <v>122</v>
      </c>
      <c r="B464" s="1107"/>
      <c r="C464" s="1107"/>
      <c r="D464" s="1107"/>
      <c r="E464" s="1107"/>
      <c r="F464" s="1107"/>
      <c r="G464" s="1108">
        <f>'4-22MASTER'!E10</f>
        <v>44652</v>
      </c>
      <c r="H464" s="1109"/>
      <c r="I464" s="1109"/>
      <c r="J464" s="1109"/>
      <c r="K464" s="1110"/>
    </row>
    <row r="465" spans="1:11" ht="28.5" customHeight="1">
      <c r="A465" s="1106" t="s">
        <v>123</v>
      </c>
      <c r="B465" s="1107"/>
      <c r="C465" s="1107"/>
      <c r="D465" s="1107"/>
      <c r="E465" s="1107"/>
      <c r="F465" s="1107"/>
      <c r="G465" s="1109" t="s">
        <v>124</v>
      </c>
      <c r="H465" s="1109"/>
      <c r="I465" s="1109"/>
      <c r="J465" s="1109"/>
      <c r="K465" s="1110"/>
    </row>
    <row r="466" spans="1:11" ht="28.5" customHeight="1">
      <c r="A466" s="393" t="s">
        <v>125</v>
      </c>
      <c r="B466" s="741"/>
      <c r="C466" s="741"/>
      <c r="D466" s="741"/>
      <c r="E466" s="741"/>
      <c r="F466" s="742"/>
      <c r="G466" s="395"/>
      <c r="H466" s="738"/>
      <c r="I466" s="740"/>
      <c r="J466" s="738"/>
      <c r="K466" s="397"/>
    </row>
    <row r="467" spans="1:11" ht="28.5" customHeight="1">
      <c r="A467" s="393" t="s">
        <v>126</v>
      </c>
      <c r="B467" s="741"/>
      <c r="C467" s="741"/>
      <c r="D467" s="741"/>
      <c r="E467" s="741"/>
      <c r="F467" s="742"/>
      <c r="G467" s="395"/>
      <c r="H467" s="738"/>
      <c r="I467" s="738" t="s">
        <v>37</v>
      </c>
      <c r="J467" s="738"/>
      <c r="K467" s="397"/>
    </row>
    <row r="468" spans="1:11" ht="28.5" customHeight="1">
      <c r="A468" s="393" t="s">
        <v>127</v>
      </c>
      <c r="B468" s="741"/>
      <c r="C468" s="741"/>
      <c r="D468" s="741"/>
      <c r="E468" s="741"/>
      <c r="F468" s="742"/>
      <c r="G468" s="395"/>
      <c r="H468" s="738"/>
      <c r="I468" s="740">
        <v>0</v>
      </c>
      <c r="J468" s="738"/>
      <c r="K468" s="397"/>
    </row>
    <row r="469" spans="1:11" ht="28.5" customHeight="1">
      <c r="A469" s="393" t="s">
        <v>128</v>
      </c>
      <c r="B469" s="741"/>
      <c r="C469" s="741"/>
      <c r="D469" s="741"/>
      <c r="E469" s="741"/>
      <c r="F469" s="742"/>
      <c r="G469" s="395"/>
      <c r="H469" s="738"/>
      <c r="I469" s="738">
        <v>0</v>
      </c>
      <c r="J469" s="738"/>
      <c r="K469" s="397"/>
    </row>
    <row r="470" spans="1:11" ht="28.5" customHeight="1">
      <c r="A470" s="393" t="s">
        <v>129</v>
      </c>
      <c r="B470" s="741"/>
      <c r="C470" s="741"/>
      <c r="D470" s="741"/>
      <c r="E470" s="741"/>
      <c r="F470" s="742"/>
      <c r="G470" s="395"/>
      <c r="H470" s="738"/>
      <c r="I470" s="740">
        <f>'4-22MASTER'!AN26</f>
        <v>113275.67599999999</v>
      </c>
      <c r="J470" s="738"/>
      <c r="K470" s="397" t="s">
        <v>35</v>
      </c>
    </row>
    <row r="471" spans="1:11" ht="28.5" customHeight="1">
      <c r="A471" s="393" t="s">
        <v>130</v>
      </c>
      <c r="B471" s="741"/>
      <c r="C471" s="737" t="s">
        <v>32</v>
      </c>
      <c r="D471" s="872">
        <f>'4-22MASTER'!AP26</f>
        <v>0</v>
      </c>
      <c r="E471" s="737" t="s">
        <v>31</v>
      </c>
      <c r="F471" s="739">
        <f>'4-22MASTER'!AO1099</f>
        <v>0</v>
      </c>
      <c r="G471" s="737" t="s">
        <v>33</v>
      </c>
      <c r="H471" s="739">
        <f>'4-22MASTER'!AQ26</f>
        <v>200</v>
      </c>
      <c r="I471" s="737" t="s">
        <v>34</v>
      </c>
      <c r="J471" s="739">
        <f>'4-22MASTER'!AR26</f>
        <v>0</v>
      </c>
      <c r="K471" s="89">
        <f>'4-22MASTER'!AS26</f>
        <v>283</v>
      </c>
    </row>
    <row r="472" spans="1:11" ht="28.5" customHeight="1">
      <c r="A472" s="393" t="s">
        <v>131</v>
      </c>
      <c r="B472" s="741"/>
      <c r="C472" s="741"/>
      <c r="D472" s="741"/>
      <c r="E472" s="741"/>
      <c r="F472" s="742"/>
      <c r="G472" s="395"/>
      <c r="H472" s="738"/>
      <c r="I472" s="740">
        <f>I470-(D471+F471+H471+J471+K471)</f>
        <v>112792.67599999999</v>
      </c>
      <c r="J472" s="738"/>
      <c r="K472" s="397"/>
    </row>
    <row r="473" spans="1:11" ht="28.5" customHeight="1">
      <c r="A473" s="401" t="s">
        <v>132</v>
      </c>
      <c r="B473" s="84"/>
      <c r="C473" s="84"/>
      <c r="D473" s="84"/>
      <c r="E473" s="84"/>
      <c r="F473" s="402"/>
      <c r="G473" s="403"/>
      <c r="H473" s="85"/>
      <c r="I473" s="85"/>
      <c r="J473" s="85"/>
      <c r="K473" s="404"/>
    </row>
    <row r="474" spans="1:11" ht="28.5" customHeight="1">
      <c r="A474" s="405" t="s">
        <v>133</v>
      </c>
      <c r="B474" s="406"/>
      <c r="C474" s="406"/>
      <c r="D474" s="406"/>
      <c r="E474" s="406"/>
      <c r="F474" s="86"/>
      <c r="G474" s="59"/>
      <c r="H474" s="407"/>
      <c r="I474" s="407"/>
      <c r="J474" s="407"/>
      <c r="K474" s="87"/>
    </row>
    <row r="475" spans="1:11" ht="28.5" customHeight="1">
      <c r="A475" s="11"/>
      <c r="B475" s="392"/>
      <c r="C475" s="392"/>
      <c r="D475" s="392"/>
      <c r="E475" s="392"/>
      <c r="F475" s="392"/>
      <c r="G475" s="392"/>
      <c r="H475" s="392"/>
      <c r="I475" s="392"/>
      <c r="J475" s="392"/>
      <c r="K475" s="12"/>
    </row>
    <row r="476" spans="1:11" ht="28.5" customHeight="1" thickBot="1">
      <c r="A476" s="16"/>
      <c r="B476" s="14"/>
      <c r="C476" s="14"/>
      <c r="D476" s="14"/>
      <c r="E476" s="14"/>
      <c r="F476" s="14"/>
      <c r="G476" s="14"/>
      <c r="H476" s="14"/>
      <c r="I476" s="14"/>
      <c r="J476" s="14"/>
      <c r="K476" s="15"/>
    </row>
    <row r="480" spans="1:11" s="984" customFormat="1"/>
    <row r="481" spans="1:11" s="984" customFormat="1"/>
    <row r="482" spans="1:11" ht="15.75" thickBot="1"/>
    <row r="483" spans="1:11" ht="32.25">
      <c r="A483" s="1124" t="s">
        <v>109</v>
      </c>
      <c r="B483" s="1125"/>
      <c r="C483" s="1125"/>
      <c r="D483" s="1125"/>
      <c r="E483" s="1125"/>
      <c r="F483" s="1125"/>
      <c r="G483" s="1125"/>
      <c r="H483" s="1125"/>
      <c r="I483" s="1125"/>
      <c r="J483" s="1125"/>
      <c r="K483" s="1126"/>
    </row>
    <row r="484" spans="1:11" ht="23.25">
      <c r="A484" s="1127" t="s">
        <v>110</v>
      </c>
      <c r="B484" s="1128"/>
      <c r="C484" s="1128"/>
      <c r="D484" s="1128"/>
      <c r="E484" s="1128"/>
      <c r="F484" s="1128"/>
      <c r="G484" s="1128"/>
      <c r="H484" s="1128"/>
      <c r="I484" s="1128"/>
      <c r="J484" s="1128"/>
      <c r="K484" s="1129"/>
    </row>
    <row r="485" spans="1:11" ht="16.5" thickBot="1">
      <c r="A485" s="1130" t="s">
        <v>609</v>
      </c>
      <c r="B485" s="1131"/>
      <c r="C485" s="1131"/>
      <c r="D485" s="1131"/>
      <c r="E485" s="1131"/>
      <c r="F485" s="1131"/>
      <c r="G485" s="1131"/>
      <c r="H485" s="1131"/>
      <c r="I485" s="1131"/>
      <c r="J485" s="1131"/>
      <c r="K485" s="1132"/>
    </row>
    <row r="486" spans="1:11" ht="24.6" customHeight="1">
      <c r="A486" s="1133" t="s">
        <v>111</v>
      </c>
      <c r="B486" s="1134"/>
      <c r="C486" s="1134"/>
      <c r="D486" s="1134"/>
      <c r="E486" s="1134"/>
      <c r="F486" s="392"/>
      <c r="G486" s="1135" t="s">
        <v>112</v>
      </c>
      <c r="H486" s="1135"/>
      <c r="I486" s="1135"/>
      <c r="J486" s="1135"/>
      <c r="K486" s="1136"/>
    </row>
    <row r="487" spans="1:11" ht="24.6" customHeight="1" thickBot="1">
      <c r="A487" s="1133"/>
      <c r="B487" s="1134"/>
      <c r="C487" s="1134"/>
      <c r="D487" s="1134"/>
      <c r="E487" s="1134"/>
      <c r="F487" s="392"/>
      <c r="G487" s="1135"/>
      <c r="H487" s="1135"/>
      <c r="I487" s="1135"/>
      <c r="J487" s="1135"/>
      <c r="K487" s="1136"/>
    </row>
    <row r="488" spans="1:11" ht="24.6" customHeight="1">
      <c r="A488" s="61"/>
      <c r="B488" s="62"/>
      <c r="C488" s="62"/>
      <c r="D488" s="62"/>
      <c r="E488" s="63"/>
      <c r="F488" s="392"/>
      <c r="G488" s="61"/>
      <c r="H488" s="62"/>
      <c r="I488" s="62"/>
      <c r="J488" s="62"/>
      <c r="K488" s="63"/>
    </row>
    <row r="489" spans="1:11" ht="24.6" customHeight="1">
      <c r="A489" s="537" t="s">
        <v>381</v>
      </c>
      <c r="B489" s="392"/>
      <c r="C489" s="392"/>
      <c r="D489" s="392"/>
      <c r="E489" s="12"/>
      <c r="F489" s="392"/>
      <c r="G489" s="537" t="s">
        <v>381</v>
      </c>
      <c r="H489" s="392"/>
      <c r="I489" s="392"/>
      <c r="J489" s="392"/>
      <c r="K489" s="12"/>
    </row>
    <row r="490" spans="1:11" ht="24.6" customHeight="1">
      <c r="B490" s="392"/>
      <c r="C490" s="392"/>
      <c r="D490" s="392"/>
      <c r="E490" s="12"/>
      <c r="F490" s="392"/>
      <c r="H490" s="392"/>
      <c r="I490" s="392"/>
      <c r="J490" s="392"/>
      <c r="K490" s="12"/>
    </row>
    <row r="491" spans="1:11" ht="24.6" customHeight="1">
      <c r="A491" s="518" t="s">
        <v>382</v>
      </c>
      <c r="B491" s="392"/>
      <c r="C491" s="392"/>
      <c r="D491" s="392"/>
      <c r="E491" s="12"/>
      <c r="F491" s="392"/>
      <c r="G491" s="518" t="s">
        <v>382</v>
      </c>
      <c r="H491" s="392"/>
      <c r="I491" s="392"/>
      <c r="J491" s="392"/>
      <c r="K491" s="12"/>
    </row>
    <row r="492" spans="1:11" ht="24.6" customHeight="1" thickBot="1">
      <c r="A492" s="16"/>
      <c r="B492" s="14"/>
      <c r="C492" s="14"/>
      <c r="D492" s="14"/>
      <c r="E492" s="15"/>
      <c r="F492" s="392"/>
      <c r="G492" s="16"/>
      <c r="H492" s="14"/>
      <c r="I492" s="14"/>
      <c r="J492" s="14"/>
      <c r="K492" s="15"/>
    </row>
    <row r="493" spans="1:11" ht="24.6" customHeight="1">
      <c r="A493" s="11"/>
      <c r="B493" s="392"/>
      <c r="C493" s="392"/>
      <c r="D493" s="392"/>
      <c r="E493" s="392"/>
      <c r="F493" s="392"/>
      <c r="G493" s="392"/>
      <c r="H493" s="392"/>
      <c r="I493" s="392" t="s">
        <v>113</v>
      </c>
      <c r="J493" s="392"/>
      <c r="K493" s="12"/>
    </row>
    <row r="494" spans="1:11" ht="24.6" customHeight="1">
      <c r="A494" s="1137" t="s">
        <v>114</v>
      </c>
      <c r="B494" s="1138"/>
      <c r="C494" s="1138"/>
      <c r="D494" s="1138"/>
      <c r="E494" s="1138"/>
      <c r="F494" s="392"/>
      <c r="G494" s="1138" t="s">
        <v>4</v>
      </c>
      <c r="H494" s="1138"/>
      <c r="I494" s="1138"/>
      <c r="J494" s="1138"/>
      <c r="K494" s="1139"/>
    </row>
    <row r="495" spans="1:11" ht="24.6" customHeight="1" thickBot="1">
      <c r="A495" s="11"/>
      <c r="B495" s="392"/>
      <c r="C495" s="392"/>
      <c r="D495" s="392"/>
      <c r="E495" s="392"/>
      <c r="F495" s="392"/>
      <c r="G495" s="392"/>
      <c r="H495" s="392"/>
      <c r="I495" s="392"/>
      <c r="J495" s="392"/>
      <c r="K495" s="12"/>
    </row>
    <row r="496" spans="1:11" ht="24.6" customHeight="1">
      <c r="A496" s="61"/>
      <c r="B496" s="62"/>
      <c r="C496" s="62"/>
      <c r="D496" s="62"/>
      <c r="E496" s="63"/>
      <c r="F496" s="392"/>
      <c r="G496" s="65"/>
      <c r="H496" s="66"/>
      <c r="I496" s="66"/>
      <c r="J496" s="66"/>
      <c r="K496" s="67"/>
    </row>
    <row r="497" spans="1:11" ht="24.6" customHeight="1">
      <c r="A497" s="11"/>
      <c r="B497" s="392"/>
      <c r="C497" s="392"/>
      <c r="D497" s="392"/>
      <c r="E497" s="12"/>
      <c r="F497" s="392"/>
      <c r="G497" s="733" t="s">
        <v>471</v>
      </c>
      <c r="H497" s="389"/>
      <c r="I497" s="389"/>
      <c r="J497" s="389"/>
      <c r="K497" s="68"/>
    </row>
    <row r="498" spans="1:11" ht="24.6" customHeight="1">
      <c r="A498" s="519" t="s">
        <v>601</v>
      </c>
      <c r="B498" s="392"/>
      <c r="C498" s="392"/>
      <c r="D498" s="392"/>
      <c r="E498" s="12"/>
      <c r="F498" s="392"/>
      <c r="G498" s="733"/>
      <c r="H498" s="389"/>
      <c r="I498" s="389"/>
      <c r="J498" s="389"/>
      <c r="K498" s="68"/>
    </row>
    <row r="499" spans="1:11" ht="24.6" customHeight="1">
      <c r="A499" s="11"/>
      <c r="B499" s="392"/>
      <c r="C499" s="392"/>
      <c r="D499" s="392"/>
      <c r="E499" s="12"/>
      <c r="F499" s="392"/>
      <c r="G499" s="545" t="s">
        <v>472</v>
      </c>
      <c r="H499" s="389"/>
      <c r="I499" s="389"/>
      <c r="J499" s="389"/>
      <c r="K499" s="68"/>
    </row>
    <row r="500" spans="1:11" ht="24.6" customHeight="1" thickBot="1">
      <c r="A500" s="16"/>
      <c r="B500" s="14"/>
      <c r="C500" s="14"/>
      <c r="D500" s="14"/>
      <c r="E500" s="15"/>
      <c r="F500" s="392"/>
      <c r="G500" s="64"/>
      <c r="H500" s="389"/>
      <c r="I500" s="389"/>
      <c r="J500" s="389"/>
      <c r="K500" s="68"/>
    </row>
    <row r="501" spans="1:11" ht="24.6" customHeight="1">
      <c r="A501" s="1106" t="s">
        <v>115</v>
      </c>
      <c r="B501" s="1107"/>
      <c r="C501" s="1107"/>
      <c r="D501" s="1107"/>
      <c r="E501" s="1107"/>
      <c r="F501" s="1111"/>
      <c r="G501" s="1112" t="str">
        <f>'4-22MASTER'!C27</f>
        <v>Chandrashekar Patil</v>
      </c>
      <c r="H501" s="1112"/>
      <c r="I501" s="1112"/>
      <c r="J501" s="1112"/>
      <c r="K501" s="1112"/>
    </row>
    <row r="502" spans="1:11" ht="24.6" customHeight="1">
      <c r="A502" s="1113"/>
      <c r="B502" s="1114"/>
      <c r="C502" s="1114"/>
      <c r="D502" s="1114"/>
      <c r="E502" s="1114"/>
      <c r="F502" s="1115"/>
      <c r="G502" s="1112" t="str">
        <f>'4-22MASTER'!H27</f>
        <v>At post Malegaon,Maqta,Taluq Deglur,Nanded district,Maharastra 431718</v>
      </c>
      <c r="H502" s="1112"/>
      <c r="I502" s="1112"/>
      <c r="J502" s="1112"/>
      <c r="K502" s="1112"/>
    </row>
    <row r="503" spans="1:11" ht="24.6" customHeight="1">
      <c r="A503" s="1116" t="s">
        <v>116</v>
      </c>
      <c r="B503" s="1117"/>
      <c r="C503" s="1117"/>
      <c r="D503" s="1117"/>
      <c r="E503" s="1117"/>
      <c r="F503" s="1117"/>
      <c r="G503" s="1118">
        <v>44</v>
      </c>
      <c r="H503" s="1119"/>
      <c r="I503" s="1119"/>
      <c r="J503" s="1119"/>
      <c r="K503" s="1120"/>
    </row>
    <row r="504" spans="1:11" ht="24.6" customHeight="1">
      <c r="A504" s="1106" t="s">
        <v>117</v>
      </c>
      <c r="B504" s="1107"/>
      <c r="C504" s="1107"/>
      <c r="D504" s="1107"/>
      <c r="E504" s="1107"/>
      <c r="F504" s="1107"/>
      <c r="G504" s="1112" t="str">
        <f>'4-22MASTER'!G27</f>
        <v>Project Manager</v>
      </c>
      <c r="H504" s="1109"/>
      <c r="I504" s="1109"/>
      <c r="J504" s="1109"/>
      <c r="K504" s="1110"/>
    </row>
    <row r="505" spans="1:11" ht="24.6" customHeight="1">
      <c r="A505" s="1106" t="s">
        <v>118</v>
      </c>
      <c r="B505" s="1107"/>
      <c r="C505" s="1107"/>
      <c r="D505" s="1107"/>
      <c r="E505" s="1107"/>
      <c r="F505" s="1107"/>
      <c r="G505" s="1121">
        <f>'4-22MASTER'!O27</f>
        <v>44634</v>
      </c>
      <c r="H505" s="1122"/>
      <c r="I505" s="1122"/>
      <c r="J505" s="1122"/>
      <c r="K505" s="1123"/>
    </row>
    <row r="506" spans="1:11" ht="24.6" customHeight="1">
      <c r="A506" s="393" t="s">
        <v>119</v>
      </c>
      <c r="B506" s="741"/>
      <c r="C506" s="741"/>
      <c r="D506" s="741"/>
      <c r="E506" s="741"/>
      <c r="F506" s="741"/>
      <c r="G506" s="395"/>
      <c r="H506" s="396"/>
      <c r="I506" s="381">
        <f>'4-22MASTER'!U647</f>
        <v>0</v>
      </c>
      <c r="J506" s="738"/>
      <c r="K506" s="397"/>
    </row>
    <row r="507" spans="1:11" ht="24.6" customHeight="1">
      <c r="A507" s="393" t="s">
        <v>120</v>
      </c>
      <c r="B507" s="741"/>
      <c r="C507" s="741"/>
      <c r="D507" s="741"/>
      <c r="E507" s="741"/>
      <c r="F507" s="742"/>
      <c r="G507" s="78"/>
      <c r="H507" s="399"/>
      <c r="I507" s="381" t="str">
        <f>'4-22MASTER'!T27</f>
        <v>100783283673</v>
      </c>
      <c r="J507" s="399"/>
      <c r="K507" s="80"/>
    </row>
    <row r="508" spans="1:11" ht="24.6" customHeight="1">
      <c r="A508" s="1101" t="s">
        <v>121</v>
      </c>
      <c r="B508" s="1102"/>
      <c r="C508" s="1102"/>
      <c r="D508" s="1102"/>
      <c r="E508" s="1102"/>
      <c r="F508" s="1102"/>
      <c r="G508" s="1103">
        <f>'4-22MASTER'!Z27</f>
        <v>73789</v>
      </c>
      <c r="H508" s="1104"/>
      <c r="I508" s="1104"/>
      <c r="J508" s="1104"/>
      <c r="K508" s="1105"/>
    </row>
    <row r="509" spans="1:11" ht="24.6" customHeight="1">
      <c r="A509" s="1106" t="s">
        <v>122</v>
      </c>
      <c r="B509" s="1107"/>
      <c r="C509" s="1107"/>
      <c r="D509" s="1107"/>
      <c r="E509" s="1107"/>
      <c r="F509" s="1107"/>
      <c r="G509" s="1108">
        <f>'4-22MASTER'!E10</f>
        <v>44652</v>
      </c>
      <c r="H509" s="1109"/>
      <c r="I509" s="1109"/>
      <c r="J509" s="1109"/>
      <c r="K509" s="1110"/>
    </row>
    <row r="510" spans="1:11" ht="24.6" customHeight="1">
      <c r="A510" s="1106" t="s">
        <v>123</v>
      </c>
      <c r="B510" s="1107"/>
      <c r="C510" s="1107"/>
      <c r="D510" s="1107"/>
      <c r="E510" s="1107"/>
      <c r="F510" s="1107"/>
      <c r="G510" s="1109" t="s">
        <v>124</v>
      </c>
      <c r="H510" s="1109"/>
      <c r="I510" s="1109"/>
      <c r="J510" s="1109"/>
      <c r="K510" s="1110"/>
    </row>
    <row r="511" spans="1:11" ht="24.6" customHeight="1">
      <c r="A511" s="393" t="s">
        <v>125</v>
      </c>
      <c r="B511" s="741"/>
      <c r="C511" s="741"/>
      <c r="D511" s="741"/>
      <c r="E511" s="741"/>
      <c r="F511" s="742"/>
      <c r="G511" s="395"/>
      <c r="H511" s="738"/>
      <c r="I511" s="740">
        <f>'4-22MASTER'!X27</f>
        <v>27</v>
      </c>
      <c r="J511" s="738"/>
      <c r="K511" s="397"/>
    </row>
    <row r="512" spans="1:11" ht="24.6" customHeight="1">
      <c r="A512" s="393" t="s">
        <v>126</v>
      </c>
      <c r="B512" s="741"/>
      <c r="C512" s="741"/>
      <c r="D512" s="741"/>
      <c r="E512" s="741"/>
      <c r="F512" s="742"/>
      <c r="G512" s="395"/>
      <c r="H512" s="738"/>
      <c r="I512" s="738" t="s">
        <v>37</v>
      </c>
      <c r="J512" s="738"/>
      <c r="K512" s="397"/>
    </row>
    <row r="513" spans="1:11" ht="24.6" customHeight="1">
      <c r="A513" s="393" t="s">
        <v>127</v>
      </c>
      <c r="B513" s="741"/>
      <c r="C513" s="741"/>
      <c r="D513" s="741"/>
      <c r="E513" s="741"/>
      <c r="F513" s="742"/>
      <c r="G513" s="395"/>
      <c r="H513" s="738"/>
      <c r="I513" s="740">
        <v>0</v>
      </c>
      <c r="J513" s="738"/>
      <c r="K513" s="397"/>
    </row>
    <row r="514" spans="1:11" ht="24.6" customHeight="1">
      <c r="A514" s="393" t="s">
        <v>128</v>
      </c>
      <c r="B514" s="741"/>
      <c r="C514" s="741"/>
      <c r="D514" s="741"/>
      <c r="E514" s="741"/>
      <c r="F514" s="742"/>
      <c r="G514" s="395"/>
      <c r="H514" s="738"/>
      <c r="I514" s="738">
        <v>0</v>
      </c>
      <c r="J514" s="738"/>
      <c r="K514" s="397"/>
    </row>
    <row r="515" spans="1:11" ht="24.6" customHeight="1">
      <c r="A515" s="393" t="s">
        <v>129</v>
      </c>
      <c r="B515" s="741"/>
      <c r="C515" s="741"/>
      <c r="D515" s="741"/>
      <c r="E515" s="741"/>
      <c r="F515" s="742"/>
      <c r="G515" s="395"/>
      <c r="H515" s="738"/>
      <c r="I515" s="740">
        <f>'4-22MASTER'!AN27</f>
        <v>73314.809486000013</v>
      </c>
      <c r="J515" s="738"/>
      <c r="K515" s="397" t="s">
        <v>35</v>
      </c>
    </row>
    <row r="516" spans="1:11" ht="24.6" customHeight="1">
      <c r="A516" s="393" t="s">
        <v>130</v>
      </c>
      <c r="B516" s="741"/>
      <c r="C516" s="737" t="s">
        <v>32</v>
      </c>
      <c r="D516" s="739">
        <f>'4-22MASTER'!AP27</f>
        <v>1800</v>
      </c>
      <c r="E516" s="737" t="s">
        <v>31</v>
      </c>
      <c r="F516" s="739">
        <f>'4-22MASTER'!AO1144</f>
        <v>0</v>
      </c>
      <c r="G516" s="737" t="s">
        <v>33</v>
      </c>
      <c r="H516" s="739">
        <f>'4-22MASTER'!AQ27</f>
        <v>200</v>
      </c>
      <c r="I516" s="737" t="s">
        <v>34</v>
      </c>
      <c r="J516" s="739">
        <f>'4-22MASTER'!AR27</f>
        <v>0</v>
      </c>
      <c r="K516" s="89">
        <f>'4-22MASTER'!AS27</f>
        <v>283</v>
      </c>
    </row>
    <row r="517" spans="1:11" ht="24.6" customHeight="1">
      <c r="A517" s="393" t="s">
        <v>131</v>
      </c>
      <c r="B517" s="741"/>
      <c r="C517" s="741"/>
      <c r="D517" s="741"/>
      <c r="E517" s="741"/>
      <c r="F517" s="742"/>
      <c r="G517" s="395"/>
      <c r="H517" s="738"/>
      <c r="I517" s="740">
        <f>I515-(D516+F516+H516+J516+K516)</f>
        <v>71031.809486000013</v>
      </c>
      <c r="J517" s="738"/>
      <c r="K517" s="397"/>
    </row>
    <row r="518" spans="1:11" ht="24.6" customHeight="1">
      <c r="A518" s="401" t="s">
        <v>132</v>
      </c>
      <c r="B518" s="84"/>
      <c r="C518" s="84"/>
      <c r="D518" s="84"/>
      <c r="E518" s="84"/>
      <c r="F518" s="402"/>
      <c r="G518" s="403"/>
      <c r="H518" s="85"/>
      <c r="I518" s="85"/>
      <c r="J518" s="85"/>
      <c r="K518" s="404"/>
    </row>
    <row r="519" spans="1:11" ht="24.6" customHeight="1">
      <c r="A519" s="405" t="s">
        <v>133</v>
      </c>
      <c r="B519" s="406"/>
      <c r="C519" s="406"/>
      <c r="D519" s="406"/>
      <c r="E519" s="406"/>
      <c r="F519" s="86"/>
      <c r="G519" s="59"/>
      <c r="H519" s="407"/>
      <c r="I519" s="407"/>
      <c r="J519" s="407"/>
      <c r="K519" s="87"/>
    </row>
    <row r="520" spans="1:11" ht="24.6" customHeight="1">
      <c r="A520" s="11"/>
      <c r="B520" s="392"/>
      <c r="C520" s="392"/>
      <c r="D520" s="392"/>
      <c r="E520" s="392"/>
      <c r="F520" s="392"/>
      <c r="G520" s="392"/>
      <c r="H520" s="392"/>
      <c r="I520" s="392"/>
      <c r="J520" s="392"/>
      <c r="K520" s="12"/>
    </row>
    <row r="521" spans="1:11" ht="24.6" customHeight="1" thickBot="1">
      <c r="A521" s="16"/>
      <c r="B521" s="14"/>
      <c r="C521" s="14"/>
      <c r="D521" s="14"/>
      <c r="E521" s="14"/>
      <c r="F521" s="14"/>
      <c r="G521" s="14"/>
      <c r="H521" s="14"/>
      <c r="I521" s="14"/>
      <c r="J521" s="14"/>
      <c r="K521" s="15"/>
    </row>
    <row r="528" spans="1:11" ht="30" customHeight="1"/>
    <row r="529" spans="1:11" ht="30" customHeight="1"/>
    <row r="530" spans="1:11" ht="30" customHeight="1"/>
    <row r="531" spans="1:11" ht="30" customHeight="1"/>
    <row r="532" spans="1:11" ht="30" customHeight="1" thickBot="1"/>
    <row r="533" spans="1:11" ht="30" customHeight="1">
      <c r="A533" s="1124" t="s">
        <v>109</v>
      </c>
      <c r="B533" s="1125"/>
      <c r="C533" s="1125"/>
      <c r="D533" s="1125"/>
      <c r="E533" s="1125"/>
      <c r="F533" s="1125"/>
      <c r="G533" s="1125"/>
      <c r="H533" s="1125"/>
      <c r="I533" s="1125"/>
      <c r="J533" s="1125"/>
      <c r="K533" s="1126"/>
    </row>
    <row r="534" spans="1:11" ht="30" customHeight="1">
      <c r="A534" s="1127" t="s">
        <v>110</v>
      </c>
      <c r="B534" s="1128"/>
      <c r="C534" s="1128"/>
      <c r="D534" s="1128"/>
      <c r="E534" s="1128"/>
      <c r="F534" s="1128"/>
      <c r="G534" s="1128"/>
      <c r="H534" s="1128"/>
      <c r="I534" s="1128"/>
      <c r="J534" s="1128"/>
      <c r="K534" s="1129"/>
    </row>
    <row r="535" spans="1:11" ht="30" customHeight="1" thickBot="1">
      <c r="A535" s="1130" t="s">
        <v>609</v>
      </c>
      <c r="B535" s="1131"/>
      <c r="C535" s="1131"/>
      <c r="D535" s="1131"/>
      <c r="E535" s="1131"/>
      <c r="F535" s="1131"/>
      <c r="G535" s="1131"/>
      <c r="H535" s="1131"/>
      <c r="I535" s="1131"/>
      <c r="J535" s="1131"/>
      <c r="K535" s="1132"/>
    </row>
    <row r="536" spans="1:11" ht="30" customHeight="1">
      <c r="A536" s="1133" t="s">
        <v>111</v>
      </c>
      <c r="B536" s="1134"/>
      <c r="C536" s="1134"/>
      <c r="D536" s="1134"/>
      <c r="E536" s="1134"/>
      <c r="F536" s="392"/>
      <c r="G536" s="1135" t="s">
        <v>112</v>
      </c>
      <c r="H536" s="1135"/>
      <c r="I536" s="1135"/>
      <c r="J536" s="1135"/>
      <c r="K536" s="1136"/>
    </row>
    <row r="537" spans="1:11" ht="30" customHeight="1" thickBot="1">
      <c r="A537" s="1133"/>
      <c r="B537" s="1134"/>
      <c r="C537" s="1134"/>
      <c r="D537" s="1134"/>
      <c r="E537" s="1134"/>
      <c r="F537" s="392"/>
      <c r="G537" s="1135"/>
      <c r="H537" s="1135"/>
      <c r="I537" s="1135"/>
      <c r="J537" s="1135"/>
      <c r="K537" s="1136"/>
    </row>
    <row r="538" spans="1:11" ht="30" customHeight="1">
      <c r="A538" s="61"/>
      <c r="B538" s="62"/>
      <c r="C538" s="62"/>
      <c r="D538" s="62"/>
      <c r="E538" s="63"/>
      <c r="F538" s="392"/>
      <c r="G538" s="61"/>
      <c r="H538" s="62"/>
      <c r="I538" s="62"/>
      <c r="J538" s="62"/>
      <c r="K538" s="63"/>
    </row>
    <row r="539" spans="1:11" ht="30" customHeight="1">
      <c r="A539" s="537" t="s">
        <v>381</v>
      </c>
      <c r="B539" s="392"/>
      <c r="C539" s="392"/>
      <c r="D539" s="392"/>
      <c r="E539" s="12"/>
      <c r="F539" s="392"/>
      <c r="G539" s="537" t="s">
        <v>381</v>
      </c>
      <c r="H539" s="392"/>
      <c r="I539" s="392"/>
      <c r="J539" s="392"/>
      <c r="K539" s="12"/>
    </row>
    <row r="540" spans="1:11" ht="30" customHeight="1">
      <c r="B540" s="392"/>
      <c r="C540" s="392"/>
      <c r="D540" s="392"/>
      <c r="E540" s="12"/>
      <c r="F540" s="392"/>
      <c r="H540" s="392"/>
      <c r="I540" s="392"/>
      <c r="J540" s="392"/>
      <c r="K540" s="12"/>
    </row>
    <row r="541" spans="1:11" ht="30" customHeight="1">
      <c r="A541" s="518" t="s">
        <v>382</v>
      </c>
      <c r="B541" s="392"/>
      <c r="C541" s="392"/>
      <c r="D541" s="392"/>
      <c r="E541" s="12"/>
      <c r="F541" s="392"/>
      <c r="G541" s="518" t="s">
        <v>382</v>
      </c>
      <c r="H541" s="392"/>
      <c r="I541" s="392"/>
      <c r="J541" s="392"/>
      <c r="K541" s="12"/>
    </row>
    <row r="542" spans="1:11" ht="30" customHeight="1" thickBot="1">
      <c r="A542" s="16"/>
      <c r="B542" s="14"/>
      <c r="C542" s="14"/>
      <c r="D542" s="14"/>
      <c r="E542" s="15"/>
      <c r="F542" s="392"/>
      <c r="G542" s="16"/>
      <c r="H542" s="14"/>
      <c r="I542" s="14"/>
      <c r="J542" s="14"/>
      <c r="K542" s="15"/>
    </row>
    <row r="543" spans="1:11" ht="30" customHeight="1">
      <c r="A543" s="11"/>
      <c r="B543" s="392"/>
      <c r="C543" s="392"/>
      <c r="D543" s="392"/>
      <c r="E543" s="392"/>
      <c r="F543" s="392"/>
      <c r="G543" s="392"/>
      <c r="H543" s="392"/>
      <c r="I543" s="392" t="s">
        <v>113</v>
      </c>
      <c r="J543" s="392"/>
      <c r="K543" s="12"/>
    </row>
    <row r="544" spans="1:11" ht="30" customHeight="1">
      <c r="A544" s="1137" t="s">
        <v>114</v>
      </c>
      <c r="B544" s="1138"/>
      <c r="C544" s="1138"/>
      <c r="D544" s="1138"/>
      <c r="E544" s="1138"/>
      <c r="F544" s="392"/>
      <c r="G544" s="1138" t="s">
        <v>4</v>
      </c>
      <c r="H544" s="1138"/>
      <c r="I544" s="1138"/>
      <c r="J544" s="1138"/>
      <c r="K544" s="1139"/>
    </row>
    <row r="545" spans="1:11" ht="30" customHeight="1" thickBot="1">
      <c r="A545" s="11"/>
      <c r="B545" s="392"/>
      <c r="C545" s="392"/>
      <c r="D545" s="392"/>
      <c r="E545" s="392"/>
      <c r="F545" s="392"/>
      <c r="G545" s="392"/>
      <c r="H545" s="392"/>
      <c r="I545" s="392"/>
      <c r="J545" s="392"/>
      <c r="K545" s="12"/>
    </row>
    <row r="546" spans="1:11" ht="30" customHeight="1">
      <c r="A546" s="61"/>
      <c r="B546" s="62"/>
      <c r="C546" s="62"/>
      <c r="D546" s="62"/>
      <c r="E546" s="63"/>
      <c r="F546" s="392"/>
      <c r="G546" s="65"/>
      <c r="H546" s="66"/>
      <c r="I546" s="66"/>
      <c r="J546" s="66"/>
      <c r="K546" s="67"/>
    </row>
    <row r="547" spans="1:11" ht="30" customHeight="1">
      <c r="A547" s="11"/>
      <c r="B547" s="392"/>
      <c r="C547" s="392"/>
      <c r="D547" s="392"/>
      <c r="E547" s="12"/>
      <c r="F547" s="392"/>
      <c r="G547" s="733" t="s">
        <v>471</v>
      </c>
      <c r="H547" s="389"/>
      <c r="I547" s="389"/>
      <c r="J547" s="389"/>
      <c r="K547" s="68"/>
    </row>
    <row r="548" spans="1:11" ht="30" customHeight="1">
      <c r="A548" s="519" t="s">
        <v>601</v>
      </c>
      <c r="B548" s="392"/>
      <c r="C548" s="392"/>
      <c r="D548" s="392"/>
      <c r="E548" s="12"/>
      <c r="F548" s="392"/>
      <c r="G548" s="733"/>
      <c r="H548" s="389"/>
      <c r="I548" s="389"/>
      <c r="J548" s="389"/>
      <c r="K548" s="68"/>
    </row>
    <row r="549" spans="1:11" ht="30" customHeight="1">
      <c r="A549" s="11"/>
      <c r="B549" s="392"/>
      <c r="C549" s="392"/>
      <c r="D549" s="392"/>
      <c r="E549" s="12"/>
      <c r="F549" s="392"/>
      <c r="G549" s="545" t="s">
        <v>472</v>
      </c>
      <c r="H549" s="389"/>
      <c r="I549" s="389"/>
      <c r="J549" s="389"/>
      <c r="K549" s="68"/>
    </row>
    <row r="550" spans="1:11" ht="30" customHeight="1" thickBot="1">
      <c r="A550" s="16"/>
      <c r="B550" s="14"/>
      <c r="C550" s="14"/>
      <c r="D550" s="14"/>
      <c r="E550" s="15"/>
      <c r="F550" s="392"/>
      <c r="G550" s="64"/>
      <c r="H550" s="389"/>
      <c r="I550" s="389"/>
      <c r="J550" s="389"/>
      <c r="K550" s="68"/>
    </row>
    <row r="551" spans="1:11" ht="30" customHeight="1">
      <c r="A551" s="1106" t="s">
        <v>115</v>
      </c>
      <c r="B551" s="1107"/>
      <c r="C551" s="1107"/>
      <c r="D551" s="1107"/>
      <c r="E551" s="1107"/>
      <c r="F551" s="1111"/>
      <c r="G551" s="1112" t="str">
        <f>'4-22MASTER'!C28</f>
        <v xml:space="preserve">ShaikFarooq Basha </v>
      </c>
      <c r="H551" s="1112"/>
      <c r="I551" s="1112"/>
      <c r="J551" s="1112"/>
      <c r="K551" s="1112"/>
    </row>
    <row r="552" spans="1:11" ht="30" customHeight="1">
      <c r="A552" s="1113"/>
      <c r="B552" s="1114"/>
      <c r="C552" s="1114"/>
      <c r="D552" s="1114"/>
      <c r="E552" s="1114"/>
      <c r="F552" s="1115"/>
      <c r="G552" s="1112" t="str">
        <f>'4-22MASTER'!H28</f>
        <v>2-112,Kakkalapally colony,Ananthapur,AP 515001</v>
      </c>
      <c r="H552" s="1112"/>
      <c r="I552" s="1112"/>
      <c r="J552" s="1112"/>
      <c r="K552" s="1112"/>
    </row>
    <row r="553" spans="1:11" ht="30" customHeight="1">
      <c r="A553" s="1116" t="s">
        <v>116</v>
      </c>
      <c r="B553" s="1117"/>
      <c r="C553" s="1117"/>
      <c r="D553" s="1117"/>
      <c r="E553" s="1117"/>
      <c r="F553" s="1117"/>
      <c r="G553" s="1118">
        <v>45</v>
      </c>
      <c r="H553" s="1119"/>
      <c r="I553" s="1119"/>
      <c r="J553" s="1119"/>
      <c r="K553" s="1120"/>
    </row>
    <row r="554" spans="1:11" ht="30" customHeight="1">
      <c r="A554" s="1106" t="s">
        <v>117</v>
      </c>
      <c r="B554" s="1107"/>
      <c r="C554" s="1107"/>
      <c r="D554" s="1107"/>
      <c r="E554" s="1107"/>
      <c r="F554" s="1107"/>
      <c r="G554" s="1112" t="str">
        <f>'4-22MASTER'!G28</f>
        <v>Software Engineer</v>
      </c>
      <c r="H554" s="1109"/>
      <c r="I554" s="1109"/>
      <c r="J554" s="1109"/>
      <c r="K554" s="1110"/>
    </row>
    <row r="555" spans="1:11" ht="30" customHeight="1">
      <c r="A555" s="1106" t="s">
        <v>118</v>
      </c>
      <c r="B555" s="1107"/>
      <c r="C555" s="1107"/>
      <c r="D555" s="1107"/>
      <c r="E555" s="1107"/>
      <c r="F555" s="1107"/>
      <c r="G555" s="1121">
        <f>'4-22MASTER'!O28</f>
        <v>44636</v>
      </c>
      <c r="H555" s="1122"/>
      <c r="I555" s="1122"/>
      <c r="J555" s="1122"/>
      <c r="K555" s="1123"/>
    </row>
    <row r="556" spans="1:11" ht="30" customHeight="1">
      <c r="A556" s="393" t="s">
        <v>119</v>
      </c>
      <c r="B556" s="741"/>
      <c r="C556" s="741"/>
      <c r="D556" s="741"/>
      <c r="E556" s="741"/>
      <c r="F556" s="741"/>
      <c r="G556" s="395"/>
      <c r="H556" s="396"/>
      <c r="I556" s="381">
        <f>'4-22MASTER'!U737</f>
        <v>0</v>
      </c>
      <c r="J556" s="738"/>
      <c r="K556" s="397"/>
    </row>
    <row r="557" spans="1:11" ht="30" customHeight="1">
      <c r="A557" s="393" t="s">
        <v>120</v>
      </c>
      <c r="B557" s="741"/>
      <c r="C557" s="741"/>
      <c r="D557" s="741"/>
      <c r="E557" s="741"/>
      <c r="F557" s="742"/>
      <c r="G557" s="78"/>
      <c r="H557" s="399"/>
      <c r="I557" s="381" t="str">
        <f>'4-22MASTER'!T28</f>
        <v>101625103757</v>
      </c>
      <c r="J557" s="399"/>
      <c r="K557" s="80"/>
    </row>
    <row r="558" spans="1:11" ht="30" customHeight="1">
      <c r="A558" s="1101" t="s">
        <v>121</v>
      </c>
      <c r="B558" s="1102"/>
      <c r="C558" s="1102"/>
      <c r="D558" s="1102"/>
      <c r="E558" s="1102"/>
      <c r="F558" s="1102"/>
      <c r="G558" s="1103">
        <f>'4-22MASTER'!Z28</f>
        <v>103450</v>
      </c>
      <c r="H558" s="1104"/>
      <c r="I558" s="1104"/>
      <c r="J558" s="1104"/>
      <c r="K558" s="1105"/>
    </row>
    <row r="559" spans="1:11" ht="30" customHeight="1">
      <c r="A559" s="1106" t="s">
        <v>122</v>
      </c>
      <c r="B559" s="1107"/>
      <c r="C559" s="1107"/>
      <c r="D559" s="1107"/>
      <c r="E559" s="1107"/>
      <c r="F559" s="1107"/>
      <c r="G559" s="1108">
        <f>'4-22MASTER'!E10</f>
        <v>44652</v>
      </c>
      <c r="H559" s="1109"/>
      <c r="I559" s="1109"/>
      <c r="J559" s="1109"/>
      <c r="K559" s="1110"/>
    </row>
    <row r="560" spans="1:11" ht="30" customHeight="1">
      <c r="A560" s="1106" t="s">
        <v>123</v>
      </c>
      <c r="B560" s="1107"/>
      <c r="C560" s="1107"/>
      <c r="D560" s="1107"/>
      <c r="E560" s="1107"/>
      <c r="F560" s="1107"/>
      <c r="G560" s="1109" t="s">
        <v>124</v>
      </c>
      <c r="H560" s="1109"/>
      <c r="I560" s="1109"/>
      <c r="J560" s="1109"/>
      <c r="K560" s="1110"/>
    </row>
    <row r="561" spans="1:11" ht="30" customHeight="1">
      <c r="A561" s="393" t="s">
        <v>125</v>
      </c>
      <c r="B561" s="741"/>
      <c r="C561" s="741"/>
      <c r="D561" s="741"/>
      <c r="E561" s="741"/>
      <c r="F561" s="742"/>
      <c r="G561" s="395"/>
      <c r="H561" s="738"/>
      <c r="I561" s="740">
        <f>'4-22MASTER'!X28</f>
        <v>30</v>
      </c>
      <c r="J561" s="738"/>
      <c r="K561" s="397"/>
    </row>
    <row r="562" spans="1:11" ht="30" customHeight="1">
      <c r="A562" s="393" t="s">
        <v>126</v>
      </c>
      <c r="B562" s="741"/>
      <c r="C562" s="741"/>
      <c r="D562" s="741"/>
      <c r="E562" s="741"/>
      <c r="F562" s="742"/>
      <c r="G562" s="395"/>
      <c r="H562" s="738"/>
      <c r="I562" s="738" t="s">
        <v>37</v>
      </c>
      <c r="J562" s="738"/>
      <c r="K562" s="397"/>
    </row>
    <row r="563" spans="1:11" ht="30" customHeight="1">
      <c r="A563" s="393" t="s">
        <v>127</v>
      </c>
      <c r="B563" s="741"/>
      <c r="C563" s="741"/>
      <c r="D563" s="741"/>
      <c r="E563" s="741"/>
      <c r="F563" s="742"/>
      <c r="G563" s="395"/>
      <c r="H563" s="738"/>
      <c r="I563" s="740">
        <v>0</v>
      </c>
      <c r="J563" s="738"/>
      <c r="K563" s="397"/>
    </row>
    <row r="564" spans="1:11" ht="30" customHeight="1">
      <c r="A564" s="393" t="s">
        <v>128</v>
      </c>
      <c r="B564" s="741"/>
      <c r="C564" s="741"/>
      <c r="D564" s="741"/>
      <c r="E564" s="741"/>
      <c r="F564" s="742"/>
      <c r="G564" s="395"/>
      <c r="H564" s="738"/>
      <c r="I564" s="738">
        <v>0</v>
      </c>
      <c r="J564" s="738"/>
      <c r="K564" s="397"/>
    </row>
    <row r="565" spans="1:11" ht="30" customHeight="1">
      <c r="A565" s="393" t="s">
        <v>129</v>
      </c>
      <c r="B565" s="741"/>
      <c r="C565" s="741"/>
      <c r="D565" s="741"/>
      <c r="E565" s="741"/>
      <c r="F565" s="742"/>
      <c r="G565" s="395"/>
      <c r="H565" s="738"/>
      <c r="I565" s="740">
        <f>'4-22MASTER'!AN28</f>
        <v>113275.67599999999</v>
      </c>
      <c r="J565" s="738"/>
      <c r="K565" s="397" t="s">
        <v>35</v>
      </c>
    </row>
    <row r="566" spans="1:11" ht="30" customHeight="1">
      <c r="A566" s="393" t="s">
        <v>130</v>
      </c>
      <c r="B566" s="741"/>
      <c r="C566" s="737" t="s">
        <v>32</v>
      </c>
      <c r="D566" s="739">
        <f>'4-22MASTER'!AP28</f>
        <v>1800</v>
      </c>
      <c r="E566" s="737" t="s">
        <v>31</v>
      </c>
      <c r="F566" s="739">
        <f>'4-22MASTER'!AO1234</f>
        <v>0</v>
      </c>
      <c r="G566" s="737" t="s">
        <v>33</v>
      </c>
      <c r="H566" s="739">
        <f>'4-22MASTER'!AQ28</f>
        <v>200</v>
      </c>
      <c r="I566" s="737" t="s">
        <v>34</v>
      </c>
      <c r="J566" s="739">
        <f>'4-22MASTER'!AR28</f>
        <v>7419</v>
      </c>
      <c r="K566" s="89">
        <f>'4-22MASTER'!AS28</f>
        <v>283</v>
      </c>
    </row>
    <row r="567" spans="1:11" ht="30" customHeight="1">
      <c r="A567" s="393" t="s">
        <v>131</v>
      </c>
      <c r="B567" s="741"/>
      <c r="C567" s="741"/>
      <c r="D567" s="741"/>
      <c r="E567" s="741"/>
      <c r="F567" s="742"/>
      <c r="G567" s="395"/>
      <c r="H567" s="738"/>
      <c r="I567" s="740">
        <f>I565-(D566+F566+H566+J566+K566)</f>
        <v>103573.67599999999</v>
      </c>
      <c r="J567" s="738"/>
      <c r="K567" s="397"/>
    </row>
    <row r="568" spans="1:11" ht="30" customHeight="1">
      <c r="A568" s="401" t="s">
        <v>132</v>
      </c>
      <c r="B568" s="84"/>
      <c r="C568" s="84"/>
      <c r="D568" s="84"/>
      <c r="E568" s="84"/>
      <c r="F568" s="402"/>
      <c r="G568" s="403"/>
      <c r="H568" s="85"/>
      <c r="I568" s="85"/>
      <c r="J568" s="85"/>
      <c r="K568" s="404"/>
    </row>
    <row r="569" spans="1:11" ht="30" customHeight="1">
      <c r="A569" s="405" t="s">
        <v>133</v>
      </c>
      <c r="B569" s="406"/>
      <c r="C569" s="406"/>
      <c r="D569" s="406"/>
      <c r="E569" s="406"/>
      <c r="F569" s="86"/>
      <c r="G569" s="59"/>
      <c r="H569" s="407"/>
      <c r="I569" s="407"/>
      <c r="J569" s="407"/>
      <c r="K569" s="87"/>
    </row>
    <row r="570" spans="1:11">
      <c r="A570" s="11"/>
      <c r="B570" s="392"/>
      <c r="C570" s="392"/>
      <c r="D570" s="392"/>
      <c r="E570" s="392"/>
      <c r="F570" s="392"/>
      <c r="G570" s="392"/>
      <c r="H570" s="392"/>
      <c r="I570" s="392"/>
      <c r="J570" s="392"/>
      <c r="K570" s="12"/>
    </row>
    <row r="571" spans="1:11" ht="15.75" thickBot="1">
      <c r="A571" s="16"/>
      <c r="B571" s="14"/>
      <c r="C571" s="14"/>
      <c r="D571" s="14"/>
      <c r="E571" s="14"/>
      <c r="F571" s="14"/>
      <c r="G571" s="14"/>
      <c r="H571" s="14"/>
      <c r="I571" s="14"/>
      <c r="J571" s="14"/>
      <c r="K571" s="15"/>
    </row>
    <row r="584" spans="1:11" ht="15.75" thickBot="1"/>
    <row r="585" spans="1:11" ht="32.25">
      <c r="A585" s="1124" t="s">
        <v>109</v>
      </c>
      <c r="B585" s="1125"/>
      <c r="C585" s="1125"/>
      <c r="D585" s="1125"/>
      <c r="E585" s="1125"/>
      <c r="F585" s="1125"/>
      <c r="G585" s="1125"/>
      <c r="H585" s="1125"/>
      <c r="I585" s="1125"/>
      <c r="J585" s="1125"/>
      <c r="K585" s="1126"/>
    </row>
    <row r="586" spans="1:11" ht="23.25">
      <c r="A586" s="1127" t="s">
        <v>110</v>
      </c>
      <c r="B586" s="1128"/>
      <c r="C586" s="1128"/>
      <c r="D586" s="1128"/>
      <c r="E586" s="1128"/>
      <c r="F586" s="1128"/>
      <c r="G586" s="1128"/>
      <c r="H586" s="1128"/>
      <c r="I586" s="1128"/>
      <c r="J586" s="1128"/>
      <c r="K586" s="1129"/>
    </row>
    <row r="587" spans="1:11" ht="16.5" thickBot="1">
      <c r="A587" s="1130" t="s">
        <v>609</v>
      </c>
      <c r="B587" s="1131"/>
      <c r="C587" s="1131"/>
      <c r="D587" s="1131"/>
      <c r="E587" s="1131"/>
      <c r="F587" s="1131"/>
      <c r="G587" s="1131"/>
      <c r="H587" s="1131"/>
      <c r="I587" s="1131"/>
      <c r="J587" s="1131"/>
      <c r="K587" s="1132"/>
    </row>
    <row r="588" spans="1:11" ht="30.6" customHeight="1">
      <c r="A588" s="1133" t="s">
        <v>111</v>
      </c>
      <c r="B588" s="1134"/>
      <c r="C588" s="1134"/>
      <c r="D588" s="1134"/>
      <c r="E588" s="1134"/>
      <c r="F588" s="392"/>
      <c r="G588" s="1135" t="s">
        <v>112</v>
      </c>
      <c r="H588" s="1135"/>
      <c r="I588" s="1135"/>
      <c r="J588" s="1135"/>
      <c r="K588" s="1136"/>
    </row>
    <row r="589" spans="1:11" ht="30.6" customHeight="1" thickBot="1">
      <c r="A589" s="1133"/>
      <c r="B589" s="1134"/>
      <c r="C589" s="1134"/>
      <c r="D589" s="1134"/>
      <c r="E589" s="1134"/>
      <c r="F589" s="392"/>
      <c r="G589" s="1135"/>
      <c r="H589" s="1135"/>
      <c r="I589" s="1135"/>
      <c r="J589" s="1135"/>
      <c r="K589" s="1136"/>
    </row>
    <row r="590" spans="1:11" ht="30.6" customHeight="1">
      <c r="A590" s="61"/>
      <c r="B590" s="62"/>
      <c r="C590" s="62"/>
      <c r="D590" s="62"/>
      <c r="E590" s="63"/>
      <c r="F590" s="392"/>
      <c r="G590" s="61"/>
      <c r="H590" s="62"/>
      <c r="I590" s="62"/>
      <c r="J590" s="62"/>
      <c r="K590" s="63"/>
    </row>
    <row r="591" spans="1:11" ht="30.6" customHeight="1">
      <c r="A591" s="537" t="s">
        <v>381</v>
      </c>
      <c r="B591" s="392"/>
      <c r="C591" s="392"/>
      <c r="D591" s="392"/>
      <c r="E591" s="12"/>
      <c r="F591" s="392"/>
      <c r="G591" s="537" t="s">
        <v>381</v>
      </c>
      <c r="H591" s="392"/>
      <c r="I591" s="392"/>
      <c r="J591" s="392"/>
      <c r="K591" s="12"/>
    </row>
    <row r="592" spans="1:11" ht="30.6" customHeight="1">
      <c r="B592" s="392"/>
      <c r="C592" s="392"/>
      <c r="D592" s="392"/>
      <c r="E592" s="12"/>
      <c r="F592" s="392"/>
      <c r="H592" s="392"/>
      <c r="I592" s="392"/>
      <c r="J592" s="392"/>
      <c r="K592" s="12"/>
    </row>
    <row r="593" spans="1:11" ht="30.6" customHeight="1">
      <c r="A593" s="518" t="s">
        <v>382</v>
      </c>
      <c r="B593" s="392"/>
      <c r="C593" s="392"/>
      <c r="D593" s="392"/>
      <c r="E593" s="12"/>
      <c r="F593" s="392"/>
      <c r="G593" s="518" t="s">
        <v>382</v>
      </c>
      <c r="H593" s="392"/>
      <c r="I593" s="392"/>
      <c r="J593" s="392"/>
      <c r="K593" s="12"/>
    </row>
    <row r="594" spans="1:11" ht="30.6" customHeight="1" thickBot="1">
      <c r="A594" s="16"/>
      <c r="B594" s="14"/>
      <c r="C594" s="14"/>
      <c r="D594" s="14"/>
      <c r="E594" s="15"/>
      <c r="F594" s="392"/>
      <c r="G594" s="16"/>
      <c r="H594" s="14"/>
      <c r="I594" s="14"/>
      <c r="J594" s="14"/>
      <c r="K594" s="15"/>
    </row>
    <row r="595" spans="1:11" ht="30.6" customHeight="1">
      <c r="A595" s="11"/>
      <c r="B595" s="392"/>
      <c r="C595" s="392"/>
      <c r="D595" s="392"/>
      <c r="E595" s="392"/>
      <c r="F595" s="392"/>
      <c r="G595" s="392"/>
      <c r="H595" s="392"/>
      <c r="I595" s="392" t="s">
        <v>113</v>
      </c>
      <c r="J595" s="392"/>
      <c r="K595" s="12"/>
    </row>
    <row r="596" spans="1:11" ht="30.6" customHeight="1">
      <c r="A596" s="1137" t="s">
        <v>114</v>
      </c>
      <c r="B596" s="1138"/>
      <c r="C596" s="1138"/>
      <c r="D596" s="1138"/>
      <c r="E596" s="1138"/>
      <c r="F596" s="392"/>
      <c r="G596" s="1138" t="s">
        <v>4</v>
      </c>
      <c r="H596" s="1138"/>
      <c r="I596" s="1138"/>
      <c r="J596" s="1138"/>
      <c r="K596" s="1139"/>
    </row>
    <row r="597" spans="1:11" ht="30.6" customHeight="1" thickBot="1">
      <c r="A597" s="11"/>
      <c r="B597" s="392"/>
      <c r="C597" s="392"/>
      <c r="D597" s="392"/>
      <c r="E597" s="392"/>
      <c r="F597" s="392"/>
      <c r="G597" s="392"/>
      <c r="H597" s="392"/>
      <c r="I597" s="392"/>
      <c r="J597" s="392"/>
      <c r="K597" s="12"/>
    </row>
    <row r="598" spans="1:11" ht="30.6" customHeight="1">
      <c r="A598" s="61"/>
      <c r="B598" s="62"/>
      <c r="C598" s="62"/>
      <c r="D598" s="62"/>
      <c r="E598" s="63"/>
      <c r="F598" s="392"/>
      <c r="G598" s="65"/>
      <c r="H598" s="66"/>
      <c r="I598" s="66"/>
      <c r="J598" s="66"/>
      <c r="K598" s="67"/>
    </row>
    <row r="599" spans="1:11" ht="30.6" customHeight="1">
      <c r="A599" s="11"/>
      <c r="B599" s="392"/>
      <c r="C599" s="392"/>
      <c r="D599" s="392"/>
      <c r="E599" s="12"/>
      <c r="F599" s="392"/>
      <c r="G599" s="890" t="s">
        <v>471</v>
      </c>
      <c r="H599" s="389"/>
      <c r="I599" s="389"/>
      <c r="J599" s="389"/>
      <c r="K599" s="68"/>
    </row>
    <row r="600" spans="1:11" ht="30.6" customHeight="1">
      <c r="A600" s="519" t="s">
        <v>601</v>
      </c>
      <c r="B600" s="392"/>
      <c r="C600" s="392"/>
      <c r="D600" s="392"/>
      <c r="E600" s="12"/>
      <c r="F600" s="392"/>
      <c r="G600" s="890"/>
      <c r="H600" s="389"/>
      <c r="I600" s="389"/>
      <c r="J600" s="389"/>
      <c r="K600" s="68"/>
    </row>
    <row r="601" spans="1:11" ht="30.6" customHeight="1">
      <c r="A601" s="11"/>
      <c r="B601" s="392"/>
      <c r="C601" s="392"/>
      <c r="D601" s="392"/>
      <c r="E601" s="12"/>
      <c r="F601" s="392"/>
      <c r="G601" s="545" t="s">
        <v>472</v>
      </c>
      <c r="H601" s="389"/>
      <c r="I601" s="389"/>
      <c r="J601" s="389"/>
      <c r="K601" s="68"/>
    </row>
    <row r="602" spans="1:11" ht="30.6" customHeight="1" thickBot="1">
      <c r="A602" s="16"/>
      <c r="B602" s="14"/>
      <c r="C602" s="14"/>
      <c r="D602" s="14"/>
      <c r="E602" s="15"/>
      <c r="F602" s="392"/>
      <c r="G602" s="64"/>
      <c r="H602" s="389"/>
      <c r="I602" s="389"/>
      <c r="J602" s="389"/>
      <c r="K602" s="68"/>
    </row>
    <row r="603" spans="1:11" ht="30.6" customHeight="1">
      <c r="A603" s="1106" t="s">
        <v>115</v>
      </c>
      <c r="B603" s="1107"/>
      <c r="C603" s="1107"/>
      <c r="D603" s="1107"/>
      <c r="E603" s="1107"/>
      <c r="F603" s="1111"/>
      <c r="G603" s="1112" t="str">
        <f>'4-22MASTER'!C29</f>
        <v>NILOTPAL BHOWAL</v>
      </c>
      <c r="H603" s="1112"/>
      <c r="I603" s="1112"/>
      <c r="J603" s="1112"/>
      <c r="K603" s="1112"/>
    </row>
    <row r="604" spans="1:11" ht="30.6" customHeight="1">
      <c r="A604" s="1113"/>
      <c r="B604" s="1114"/>
      <c r="C604" s="1114"/>
      <c r="D604" s="1114"/>
      <c r="E604" s="1114"/>
      <c r="F604" s="1115"/>
      <c r="G604" s="1112" t="str">
        <f>'4-22MASTER'!H29</f>
        <v>P-53,Niva park extension,Badam Talad,Brahmapur,Kolkatta-700096</v>
      </c>
      <c r="H604" s="1112"/>
      <c r="I604" s="1112"/>
      <c r="J604" s="1112"/>
      <c r="K604" s="1112"/>
    </row>
    <row r="605" spans="1:11" ht="30.6" customHeight="1">
      <c r="A605" s="1116" t="s">
        <v>116</v>
      </c>
      <c r="B605" s="1117"/>
      <c r="C605" s="1117"/>
      <c r="D605" s="1117"/>
      <c r="E605" s="1117"/>
      <c r="F605" s="1117"/>
      <c r="G605" s="1118">
        <v>46</v>
      </c>
      <c r="H605" s="1119"/>
      <c r="I605" s="1119"/>
      <c r="J605" s="1119"/>
      <c r="K605" s="1120"/>
    </row>
    <row r="606" spans="1:11" ht="30.6" customHeight="1">
      <c r="A606" s="1106" t="s">
        <v>117</v>
      </c>
      <c r="B606" s="1107"/>
      <c r="C606" s="1107"/>
      <c r="D606" s="1107"/>
      <c r="E606" s="1107"/>
      <c r="F606" s="1107"/>
      <c r="G606" s="1112" t="str">
        <f>'4-22MASTER'!G29</f>
        <v>VM ware consultant</v>
      </c>
      <c r="H606" s="1109"/>
      <c r="I606" s="1109"/>
      <c r="J606" s="1109"/>
      <c r="K606" s="1110"/>
    </row>
    <row r="607" spans="1:11" ht="30.6" customHeight="1">
      <c r="A607" s="1106" t="s">
        <v>118</v>
      </c>
      <c r="B607" s="1107"/>
      <c r="C607" s="1107"/>
      <c r="D607" s="1107"/>
      <c r="E607" s="1107"/>
      <c r="F607" s="1107"/>
      <c r="G607" s="1121">
        <f>'4-22MASTER'!O29</f>
        <v>44650</v>
      </c>
      <c r="H607" s="1122"/>
      <c r="I607" s="1122"/>
      <c r="J607" s="1122"/>
      <c r="K607" s="1123"/>
    </row>
    <row r="608" spans="1:11" ht="30.6" customHeight="1">
      <c r="A608" s="393" t="s">
        <v>119</v>
      </c>
      <c r="B608" s="895"/>
      <c r="C608" s="895"/>
      <c r="D608" s="895"/>
      <c r="E608" s="895"/>
      <c r="F608" s="895"/>
      <c r="G608" s="395"/>
      <c r="H608" s="396"/>
      <c r="I608" s="381">
        <f>'4-22MASTER'!U787</f>
        <v>0</v>
      </c>
      <c r="J608" s="893"/>
      <c r="K608" s="397"/>
    </row>
    <row r="609" spans="1:11" ht="30.6" customHeight="1">
      <c r="A609" s="393" t="s">
        <v>120</v>
      </c>
      <c r="B609" s="895"/>
      <c r="C609" s="895"/>
      <c r="D609" s="895"/>
      <c r="E609" s="895"/>
      <c r="F609" s="896"/>
      <c r="G609" s="78"/>
      <c r="H609" s="399"/>
      <c r="I609" s="381" t="str">
        <f>'4-22MASTER'!T29</f>
        <v>101804644762</v>
      </c>
      <c r="J609" s="399"/>
      <c r="K609" s="80"/>
    </row>
    <row r="610" spans="1:11" ht="30.6" customHeight="1">
      <c r="A610" s="1101" t="s">
        <v>121</v>
      </c>
      <c r="B610" s="1102"/>
      <c r="C610" s="1102"/>
      <c r="D610" s="1102"/>
      <c r="E610" s="1102"/>
      <c r="F610" s="1102"/>
      <c r="G610" s="1103">
        <f>'4-22MASTER'!Z29</f>
        <v>121988</v>
      </c>
      <c r="H610" s="1104"/>
      <c r="I610" s="1104"/>
      <c r="J610" s="1104"/>
      <c r="K610" s="1105"/>
    </row>
    <row r="611" spans="1:11" ht="30.6" customHeight="1">
      <c r="A611" s="1106" t="s">
        <v>122</v>
      </c>
      <c r="B611" s="1107"/>
      <c r="C611" s="1107"/>
      <c r="D611" s="1107"/>
      <c r="E611" s="1107"/>
      <c r="F611" s="1107"/>
      <c r="G611" s="1108">
        <f>'4-22MASTER'!E10</f>
        <v>44652</v>
      </c>
      <c r="H611" s="1109"/>
      <c r="I611" s="1109"/>
      <c r="J611" s="1109"/>
      <c r="K611" s="1110"/>
    </row>
    <row r="612" spans="1:11" ht="30.6" customHeight="1">
      <c r="A612" s="1106" t="s">
        <v>123</v>
      </c>
      <c r="B612" s="1107"/>
      <c r="C612" s="1107"/>
      <c r="D612" s="1107"/>
      <c r="E612" s="1107"/>
      <c r="F612" s="1107"/>
      <c r="G612" s="1109" t="s">
        <v>124</v>
      </c>
      <c r="H612" s="1109"/>
      <c r="I612" s="1109"/>
      <c r="J612" s="1109"/>
      <c r="K612" s="1110"/>
    </row>
    <row r="613" spans="1:11" ht="30.6" customHeight="1">
      <c r="A613" s="393" t="s">
        <v>125</v>
      </c>
      <c r="B613" s="895"/>
      <c r="C613" s="895"/>
      <c r="D613" s="895"/>
      <c r="E613" s="895"/>
      <c r="F613" s="896"/>
      <c r="G613" s="395"/>
      <c r="H613" s="893"/>
      <c r="I613" s="894">
        <f>'4-22MASTER'!X29</f>
        <v>30</v>
      </c>
      <c r="J613" s="893"/>
      <c r="K613" s="397"/>
    </row>
    <row r="614" spans="1:11" ht="30.6" customHeight="1">
      <c r="A614" s="393" t="s">
        <v>126</v>
      </c>
      <c r="B614" s="895"/>
      <c r="C614" s="895"/>
      <c r="D614" s="895"/>
      <c r="E614" s="895"/>
      <c r="F614" s="896"/>
      <c r="G614" s="395"/>
      <c r="H614" s="893"/>
      <c r="I614" s="893" t="s">
        <v>37</v>
      </c>
      <c r="J614" s="893"/>
      <c r="K614" s="397"/>
    </row>
    <row r="615" spans="1:11" ht="30.6" customHeight="1">
      <c r="A615" s="393" t="s">
        <v>127</v>
      </c>
      <c r="B615" s="895"/>
      <c r="C615" s="895"/>
      <c r="D615" s="895"/>
      <c r="E615" s="895"/>
      <c r="F615" s="896"/>
      <c r="G615" s="395"/>
      <c r="H615" s="893"/>
      <c r="I615" s="894">
        <v>0</v>
      </c>
      <c r="J615" s="893"/>
      <c r="K615" s="397"/>
    </row>
    <row r="616" spans="1:11" ht="30.6" customHeight="1">
      <c r="A616" s="393" t="s">
        <v>128</v>
      </c>
      <c r="B616" s="895"/>
      <c r="C616" s="895"/>
      <c r="D616" s="895"/>
      <c r="E616" s="895"/>
      <c r="F616" s="896"/>
      <c r="G616" s="395"/>
      <c r="H616" s="893"/>
      <c r="I616" s="893">
        <v>0</v>
      </c>
      <c r="J616" s="893"/>
      <c r="K616" s="397"/>
    </row>
    <row r="617" spans="1:11" ht="30.6" customHeight="1">
      <c r="A617" s="393" t="s">
        <v>129</v>
      </c>
      <c r="B617" s="895"/>
      <c r="C617" s="895"/>
      <c r="D617" s="895"/>
      <c r="E617" s="895"/>
      <c r="F617" s="896"/>
      <c r="G617" s="395"/>
      <c r="H617" s="893"/>
      <c r="I617" s="894">
        <f>'4-22MASTER'!AN29</f>
        <v>133275.58267999999</v>
      </c>
      <c r="J617" s="893"/>
      <c r="K617" s="397" t="s">
        <v>35</v>
      </c>
    </row>
    <row r="618" spans="1:11" ht="30.6" customHeight="1">
      <c r="A618" s="393" t="s">
        <v>130</v>
      </c>
      <c r="B618" s="895"/>
      <c r="C618" s="891" t="s">
        <v>32</v>
      </c>
      <c r="D618" s="892">
        <f>'4-22MASTER'!AP29</f>
        <v>1800</v>
      </c>
      <c r="E618" s="891" t="s">
        <v>31</v>
      </c>
      <c r="F618" s="892">
        <f>'4-22MASTER'!AO1284</f>
        <v>0</v>
      </c>
      <c r="G618" s="891" t="s">
        <v>33</v>
      </c>
      <c r="H618" s="892">
        <f>'4-22MASTER'!AQ29</f>
        <v>200</v>
      </c>
      <c r="I618" s="891" t="s">
        <v>34</v>
      </c>
      <c r="J618" s="892">
        <f>'4-22MASTER'!AR29</f>
        <v>0</v>
      </c>
      <c r="K618" s="89">
        <f>'4-22MASTER'!AS29</f>
        <v>283</v>
      </c>
    </row>
    <row r="619" spans="1:11" ht="30.6" customHeight="1">
      <c r="A619" s="393" t="s">
        <v>131</v>
      </c>
      <c r="B619" s="895"/>
      <c r="C619" s="895"/>
      <c r="D619" s="895"/>
      <c r="E619" s="895"/>
      <c r="F619" s="896"/>
      <c r="G619" s="395"/>
      <c r="H619" s="893"/>
      <c r="I619" s="894">
        <f>I617-(D618+F618+H618+J618+K618)</f>
        <v>130992.58267999999</v>
      </c>
      <c r="J619" s="893"/>
      <c r="K619" s="397"/>
    </row>
    <row r="620" spans="1:11" ht="30.6" customHeight="1">
      <c r="A620" s="401" t="s">
        <v>132</v>
      </c>
      <c r="B620" s="84"/>
      <c r="C620" s="84"/>
      <c r="D620" s="84"/>
      <c r="E620" s="84"/>
      <c r="F620" s="402"/>
      <c r="G620" s="403"/>
      <c r="H620" s="85"/>
      <c r="I620" s="85"/>
      <c r="J620" s="85"/>
      <c r="K620" s="404"/>
    </row>
    <row r="621" spans="1:11" ht="30.6" customHeight="1">
      <c r="A621" s="405" t="s">
        <v>133</v>
      </c>
      <c r="B621" s="406"/>
      <c r="C621" s="406"/>
      <c r="D621" s="406"/>
      <c r="E621" s="406"/>
      <c r="F621" s="86"/>
      <c r="G621" s="59"/>
      <c r="H621" s="407"/>
      <c r="I621" s="407"/>
      <c r="J621" s="407"/>
      <c r="K621" s="87"/>
    </row>
    <row r="622" spans="1:11" ht="30.6" customHeight="1">
      <c r="A622" s="11"/>
      <c r="B622" s="392"/>
      <c r="C622" s="392"/>
      <c r="D622" s="392"/>
      <c r="E622" s="392"/>
      <c r="F622" s="392"/>
      <c r="G622" s="392"/>
      <c r="H622" s="392"/>
      <c r="I622" s="392"/>
      <c r="J622" s="392"/>
      <c r="K622" s="12"/>
    </row>
    <row r="623" spans="1:11" ht="30.6" customHeight="1" thickBot="1">
      <c r="A623" s="16"/>
      <c r="B623" s="14"/>
      <c r="C623" s="14"/>
      <c r="D623" s="14"/>
      <c r="E623" s="14"/>
      <c r="F623" s="14"/>
      <c r="G623" s="14"/>
      <c r="H623" s="14"/>
      <c r="I623" s="14"/>
      <c r="J623" s="14"/>
      <c r="K623" s="15"/>
    </row>
    <row r="629" spans="1:11" ht="15.75" thickBot="1"/>
    <row r="630" spans="1:11" ht="32.25">
      <c r="A630" s="1124" t="s">
        <v>109</v>
      </c>
      <c r="B630" s="1125"/>
      <c r="C630" s="1125"/>
      <c r="D630" s="1125"/>
      <c r="E630" s="1125"/>
      <c r="F630" s="1125"/>
      <c r="G630" s="1125"/>
      <c r="H630" s="1125"/>
      <c r="I630" s="1125"/>
      <c r="J630" s="1125"/>
      <c r="K630" s="1126"/>
    </row>
    <row r="631" spans="1:11" ht="23.25">
      <c r="A631" s="1127" t="s">
        <v>110</v>
      </c>
      <c r="B631" s="1128"/>
      <c r="C631" s="1128"/>
      <c r="D631" s="1128"/>
      <c r="E631" s="1128"/>
      <c r="F631" s="1128"/>
      <c r="G631" s="1128"/>
      <c r="H631" s="1128"/>
      <c r="I631" s="1128"/>
      <c r="J631" s="1128"/>
      <c r="K631" s="1129"/>
    </row>
    <row r="632" spans="1:11" ht="16.5" thickBot="1">
      <c r="A632" s="1130" t="s">
        <v>609</v>
      </c>
      <c r="B632" s="1131"/>
      <c r="C632" s="1131"/>
      <c r="D632" s="1131"/>
      <c r="E632" s="1131"/>
      <c r="F632" s="1131"/>
      <c r="G632" s="1131"/>
      <c r="H632" s="1131"/>
      <c r="I632" s="1131"/>
      <c r="J632" s="1131"/>
      <c r="K632" s="1132"/>
    </row>
    <row r="633" spans="1:11" ht="29.25" customHeight="1">
      <c r="A633" s="1133" t="s">
        <v>111</v>
      </c>
      <c r="B633" s="1134"/>
      <c r="C633" s="1134"/>
      <c r="D633" s="1134"/>
      <c r="E633" s="1134"/>
      <c r="F633" s="392"/>
      <c r="G633" s="1135" t="s">
        <v>112</v>
      </c>
      <c r="H633" s="1135"/>
      <c r="I633" s="1135"/>
      <c r="J633" s="1135"/>
      <c r="K633" s="1136"/>
    </row>
    <row r="634" spans="1:11" ht="29.25" customHeight="1" thickBot="1">
      <c r="A634" s="1133"/>
      <c r="B634" s="1134"/>
      <c r="C634" s="1134"/>
      <c r="D634" s="1134"/>
      <c r="E634" s="1134"/>
      <c r="F634" s="392"/>
      <c r="G634" s="1135"/>
      <c r="H634" s="1135"/>
      <c r="I634" s="1135"/>
      <c r="J634" s="1135"/>
      <c r="K634" s="1136"/>
    </row>
    <row r="635" spans="1:11" ht="29.25" customHeight="1">
      <c r="A635" s="61"/>
      <c r="B635" s="62"/>
      <c r="C635" s="62"/>
      <c r="D635" s="62"/>
      <c r="E635" s="63"/>
      <c r="F635" s="392"/>
      <c r="G635" s="61"/>
      <c r="H635" s="62"/>
      <c r="I635" s="62"/>
      <c r="J635" s="62"/>
      <c r="K635" s="63"/>
    </row>
    <row r="636" spans="1:11" ht="29.25" customHeight="1">
      <c r="A636" s="537" t="s">
        <v>381</v>
      </c>
      <c r="B636" s="392"/>
      <c r="C636" s="392"/>
      <c r="D636" s="392"/>
      <c r="E636" s="12"/>
      <c r="F636" s="392"/>
      <c r="G636" s="537" t="s">
        <v>381</v>
      </c>
      <c r="H636" s="392"/>
      <c r="I636" s="392"/>
      <c r="J636" s="392"/>
      <c r="K636" s="12"/>
    </row>
    <row r="637" spans="1:11" ht="29.25" customHeight="1">
      <c r="B637" s="392"/>
      <c r="C637" s="392"/>
      <c r="D637" s="392"/>
      <c r="E637" s="12"/>
      <c r="F637" s="392"/>
      <c r="H637" s="392"/>
      <c r="I637" s="392"/>
      <c r="J637" s="392"/>
      <c r="K637" s="12"/>
    </row>
    <row r="638" spans="1:11" ht="29.25" customHeight="1">
      <c r="A638" s="518" t="s">
        <v>382</v>
      </c>
      <c r="B638" s="392"/>
      <c r="C638" s="392"/>
      <c r="D638" s="392"/>
      <c r="E638" s="12"/>
      <c r="F638" s="392"/>
      <c r="G638" s="518" t="s">
        <v>382</v>
      </c>
      <c r="H638" s="392"/>
      <c r="I638" s="392"/>
      <c r="J638" s="392"/>
      <c r="K638" s="12"/>
    </row>
    <row r="639" spans="1:11" ht="29.25" customHeight="1" thickBot="1">
      <c r="A639" s="16"/>
      <c r="B639" s="14"/>
      <c r="C639" s="14"/>
      <c r="D639" s="14"/>
      <c r="E639" s="15"/>
      <c r="F639" s="392"/>
      <c r="G639" s="16"/>
      <c r="H639" s="14"/>
      <c r="I639" s="14"/>
      <c r="J639" s="14"/>
      <c r="K639" s="15"/>
    </row>
    <row r="640" spans="1:11" ht="29.25" customHeight="1">
      <c r="A640" s="11"/>
      <c r="B640" s="392"/>
      <c r="C640" s="392"/>
      <c r="D640" s="392"/>
      <c r="E640" s="392"/>
      <c r="F640" s="392"/>
      <c r="G640" s="392"/>
      <c r="H640" s="392"/>
      <c r="I640" s="392" t="s">
        <v>113</v>
      </c>
      <c r="J640" s="392"/>
      <c r="K640" s="12"/>
    </row>
    <row r="641" spans="1:11" ht="29.25" customHeight="1">
      <c r="A641" s="1137" t="s">
        <v>114</v>
      </c>
      <c r="B641" s="1138"/>
      <c r="C641" s="1138"/>
      <c r="D641" s="1138"/>
      <c r="E641" s="1138"/>
      <c r="F641" s="392"/>
      <c r="G641" s="1138" t="s">
        <v>4</v>
      </c>
      <c r="H641" s="1138"/>
      <c r="I641" s="1138"/>
      <c r="J641" s="1138"/>
      <c r="K641" s="1139"/>
    </row>
    <row r="642" spans="1:11" ht="29.25" customHeight="1" thickBot="1">
      <c r="A642" s="11"/>
      <c r="B642" s="392"/>
      <c r="C642" s="392"/>
      <c r="D642" s="392"/>
      <c r="E642" s="392"/>
      <c r="F642" s="392"/>
      <c r="G642" s="392"/>
      <c r="H642" s="392"/>
      <c r="I642" s="392"/>
      <c r="J642" s="392"/>
      <c r="K642" s="12"/>
    </row>
    <row r="643" spans="1:11" ht="29.25" customHeight="1">
      <c r="A643" s="61"/>
      <c r="B643" s="62"/>
      <c r="C643" s="62"/>
      <c r="D643" s="62"/>
      <c r="E643" s="63"/>
      <c r="F643" s="392"/>
      <c r="G643" s="65"/>
      <c r="H643" s="66"/>
      <c r="I643" s="66"/>
      <c r="J643" s="66"/>
      <c r="K643" s="67"/>
    </row>
    <row r="644" spans="1:11" ht="29.25" customHeight="1">
      <c r="A644" s="11"/>
      <c r="B644" s="392"/>
      <c r="C644" s="392"/>
      <c r="D644" s="392"/>
      <c r="E644" s="12"/>
      <c r="F644" s="392"/>
      <c r="G644" s="890" t="s">
        <v>471</v>
      </c>
      <c r="H644" s="389"/>
      <c r="I644" s="389"/>
      <c r="J644" s="389"/>
      <c r="K644" s="68"/>
    </row>
    <row r="645" spans="1:11" ht="29.25" customHeight="1">
      <c r="A645" s="519" t="s">
        <v>601</v>
      </c>
      <c r="B645" s="392"/>
      <c r="C645" s="392"/>
      <c r="D645" s="392"/>
      <c r="E645" s="12"/>
      <c r="F645" s="392"/>
      <c r="G645" s="890"/>
      <c r="H645" s="389"/>
      <c r="I645" s="389"/>
      <c r="J645" s="389"/>
      <c r="K645" s="68"/>
    </row>
    <row r="646" spans="1:11" ht="29.25" customHeight="1">
      <c r="A646" s="11"/>
      <c r="B646" s="392"/>
      <c r="C646" s="392"/>
      <c r="D646" s="392"/>
      <c r="E646" s="12"/>
      <c r="F646" s="392"/>
      <c r="G646" s="545" t="s">
        <v>472</v>
      </c>
      <c r="H646" s="389"/>
      <c r="I646" s="389"/>
      <c r="J646" s="389"/>
      <c r="K646" s="68"/>
    </row>
    <row r="647" spans="1:11" ht="29.25" customHeight="1" thickBot="1">
      <c r="A647" s="16"/>
      <c r="B647" s="14"/>
      <c r="C647" s="14"/>
      <c r="D647" s="14"/>
      <c r="E647" s="15"/>
      <c r="F647" s="392"/>
      <c r="G647" s="64"/>
      <c r="H647" s="389"/>
      <c r="I647" s="389"/>
      <c r="J647" s="389"/>
      <c r="K647" s="68"/>
    </row>
    <row r="648" spans="1:11" ht="29.25" customHeight="1">
      <c r="A648" s="1106" t="s">
        <v>115</v>
      </c>
      <c r="B648" s="1107"/>
      <c r="C648" s="1107"/>
      <c r="D648" s="1107"/>
      <c r="E648" s="1107"/>
      <c r="F648" s="1111"/>
      <c r="G648" s="1112" t="str">
        <f>'4-22MASTER'!C30</f>
        <v>Varsha Amit Kadam</v>
      </c>
      <c r="H648" s="1112"/>
      <c r="I648" s="1112"/>
      <c r="J648" s="1112"/>
      <c r="K648" s="1112"/>
    </row>
    <row r="649" spans="1:11" ht="29.25" customHeight="1">
      <c r="A649" s="1113"/>
      <c r="B649" s="1114"/>
      <c r="C649" s="1114"/>
      <c r="D649" s="1114"/>
      <c r="E649" s="1114"/>
      <c r="F649" s="1115"/>
      <c r="G649" s="1112" t="str">
        <f>'4-22MASTER'!H30</f>
        <v>1/87,Ramdut building,currey Road,Mumbai</v>
      </c>
      <c r="H649" s="1112"/>
      <c r="I649" s="1112"/>
      <c r="J649" s="1112"/>
      <c r="K649" s="1112"/>
    </row>
    <row r="650" spans="1:11" ht="29.25" customHeight="1">
      <c r="A650" s="1116" t="s">
        <v>116</v>
      </c>
      <c r="B650" s="1117"/>
      <c r="C650" s="1117"/>
      <c r="D650" s="1117"/>
      <c r="E650" s="1117"/>
      <c r="F650" s="1117"/>
      <c r="G650" s="1118">
        <v>47</v>
      </c>
      <c r="H650" s="1119"/>
      <c r="I650" s="1119"/>
      <c r="J650" s="1119"/>
      <c r="K650" s="1120"/>
    </row>
    <row r="651" spans="1:11" ht="29.25" customHeight="1">
      <c r="A651" s="1106" t="s">
        <v>117</v>
      </c>
      <c r="B651" s="1107"/>
      <c r="C651" s="1107"/>
      <c r="D651" s="1107"/>
      <c r="E651" s="1107"/>
      <c r="F651" s="1107"/>
      <c r="G651" s="1112" t="str">
        <f>'4-22MASTER'!G30</f>
        <v>Program Manager</v>
      </c>
      <c r="H651" s="1109"/>
      <c r="I651" s="1109"/>
      <c r="J651" s="1109"/>
      <c r="K651" s="1110"/>
    </row>
    <row r="652" spans="1:11" ht="29.25" customHeight="1">
      <c r="A652" s="1106" t="s">
        <v>118</v>
      </c>
      <c r="B652" s="1107"/>
      <c r="C652" s="1107"/>
      <c r="D652" s="1107"/>
      <c r="E652" s="1107"/>
      <c r="F652" s="1107"/>
      <c r="G652" s="1121">
        <f>'4-22MASTER'!O30</f>
        <v>44676</v>
      </c>
      <c r="H652" s="1122"/>
      <c r="I652" s="1122"/>
      <c r="J652" s="1122"/>
      <c r="K652" s="1123"/>
    </row>
    <row r="653" spans="1:11" ht="29.25" customHeight="1">
      <c r="A653" s="393" t="s">
        <v>119</v>
      </c>
      <c r="B653" s="895"/>
      <c r="C653" s="895"/>
      <c r="D653" s="895"/>
      <c r="E653" s="895"/>
      <c r="F653" s="895"/>
      <c r="G653" s="395"/>
      <c r="H653" s="396"/>
      <c r="I653" s="381">
        <f>'4-22MASTER'!U832</f>
        <v>0</v>
      </c>
      <c r="J653" s="893"/>
      <c r="K653" s="397"/>
    </row>
    <row r="654" spans="1:11" ht="29.25" customHeight="1">
      <c r="A654" s="393" t="s">
        <v>120</v>
      </c>
      <c r="B654" s="895"/>
      <c r="C654" s="895"/>
      <c r="D654" s="895"/>
      <c r="E654" s="895"/>
      <c r="F654" s="896"/>
      <c r="G654" s="78"/>
      <c r="H654" s="399"/>
      <c r="I654" s="381" t="str">
        <f>'4-22MASTER'!T30</f>
        <v>101012347096</v>
      </c>
      <c r="J654" s="399"/>
      <c r="K654" s="80"/>
    </row>
    <row r="655" spans="1:11" ht="29.25" customHeight="1">
      <c r="A655" s="1101" t="s">
        <v>121</v>
      </c>
      <c r="B655" s="1102"/>
      <c r="C655" s="1102"/>
      <c r="D655" s="1102"/>
      <c r="E655" s="1102"/>
      <c r="F655" s="1102"/>
      <c r="G655" s="1103">
        <f>'4-22MASTER'!Z30</f>
        <v>54324</v>
      </c>
      <c r="H655" s="1104"/>
      <c r="I655" s="1104"/>
      <c r="J655" s="1104"/>
      <c r="K655" s="1105"/>
    </row>
    <row r="656" spans="1:11" ht="29.25" customHeight="1">
      <c r="A656" s="1106" t="s">
        <v>122</v>
      </c>
      <c r="B656" s="1107"/>
      <c r="C656" s="1107"/>
      <c r="D656" s="1107"/>
      <c r="E656" s="1107"/>
      <c r="F656" s="1107"/>
      <c r="G656" s="1108">
        <f>'4-22MASTER'!E10</f>
        <v>44652</v>
      </c>
      <c r="H656" s="1109"/>
      <c r="I656" s="1109"/>
      <c r="J656" s="1109"/>
      <c r="K656" s="1110"/>
    </row>
    <row r="657" spans="1:11" ht="29.25" customHeight="1">
      <c r="A657" s="1106" t="s">
        <v>123</v>
      </c>
      <c r="B657" s="1107"/>
      <c r="C657" s="1107"/>
      <c r="D657" s="1107"/>
      <c r="E657" s="1107"/>
      <c r="F657" s="1107"/>
      <c r="G657" s="1109" t="s">
        <v>124</v>
      </c>
      <c r="H657" s="1109"/>
      <c r="I657" s="1109"/>
      <c r="J657" s="1109"/>
      <c r="K657" s="1110"/>
    </row>
    <row r="658" spans="1:11" ht="29.25" customHeight="1">
      <c r="A658" s="393" t="s">
        <v>125</v>
      </c>
      <c r="B658" s="895"/>
      <c r="C658" s="895"/>
      <c r="D658" s="895"/>
      <c r="E658" s="895"/>
      <c r="F658" s="896"/>
      <c r="G658" s="395"/>
      <c r="H658" s="893"/>
      <c r="I658" s="894">
        <f>'4-22MASTER'!X30</f>
        <v>6</v>
      </c>
      <c r="J658" s="893"/>
      <c r="K658" s="397"/>
    </row>
    <row r="659" spans="1:11" ht="29.25" customHeight="1">
      <c r="A659" s="393" t="s">
        <v>126</v>
      </c>
      <c r="B659" s="895"/>
      <c r="C659" s="895"/>
      <c r="D659" s="895"/>
      <c r="E659" s="895"/>
      <c r="F659" s="896"/>
      <c r="G659" s="395"/>
      <c r="H659" s="893"/>
      <c r="I659" s="893" t="s">
        <v>37</v>
      </c>
      <c r="J659" s="893"/>
      <c r="K659" s="397"/>
    </row>
    <row r="660" spans="1:11" ht="29.25" customHeight="1">
      <c r="A660" s="393" t="s">
        <v>127</v>
      </c>
      <c r="B660" s="895"/>
      <c r="C660" s="895"/>
      <c r="D660" s="895"/>
      <c r="E660" s="895"/>
      <c r="F660" s="896"/>
      <c r="G660" s="395"/>
      <c r="H660" s="893"/>
      <c r="I660" s="894">
        <v>0</v>
      </c>
      <c r="J660" s="893"/>
      <c r="K660" s="397"/>
    </row>
    <row r="661" spans="1:11" ht="29.25" customHeight="1">
      <c r="A661" s="393" t="s">
        <v>128</v>
      </c>
      <c r="B661" s="895"/>
      <c r="C661" s="895"/>
      <c r="D661" s="895"/>
      <c r="E661" s="895"/>
      <c r="F661" s="896"/>
      <c r="G661" s="395"/>
      <c r="H661" s="893"/>
      <c r="I661" s="893">
        <v>0</v>
      </c>
      <c r="J661" s="893"/>
      <c r="K661" s="397"/>
    </row>
    <row r="662" spans="1:11" ht="29.25" customHeight="1">
      <c r="A662" s="393" t="s">
        <v>129</v>
      </c>
      <c r="B662" s="895"/>
      <c r="C662" s="895"/>
      <c r="D662" s="895"/>
      <c r="E662" s="895"/>
      <c r="F662" s="896"/>
      <c r="G662" s="395"/>
      <c r="H662" s="893"/>
      <c r="I662" s="894">
        <f>'4-22MASTER'!AN30</f>
        <v>13389.207128</v>
      </c>
      <c r="J662" s="893"/>
      <c r="K662" s="397" t="s">
        <v>35</v>
      </c>
    </row>
    <row r="663" spans="1:11" ht="29.25" customHeight="1">
      <c r="A663" s="393" t="s">
        <v>130</v>
      </c>
      <c r="B663" s="895"/>
      <c r="C663" s="891" t="s">
        <v>32</v>
      </c>
      <c r="D663" s="892">
        <f>'4-22MASTER'!AP30</f>
        <v>782</v>
      </c>
      <c r="E663" s="891" t="s">
        <v>31</v>
      </c>
      <c r="F663" s="892">
        <f>'4-22MASTER'!AO1329</f>
        <v>0</v>
      </c>
      <c r="G663" s="891" t="s">
        <v>33</v>
      </c>
      <c r="H663" s="892">
        <f>'4-22MASTER'!AQ30</f>
        <v>0</v>
      </c>
      <c r="I663" s="891" t="s">
        <v>34</v>
      </c>
      <c r="J663" s="892">
        <f>'4-22MASTER'!AR30</f>
        <v>0</v>
      </c>
      <c r="K663" s="89">
        <f>'4-22MASTER'!AS30</f>
        <v>0</v>
      </c>
    </row>
    <row r="664" spans="1:11" ht="29.25" customHeight="1">
      <c r="A664" s="393" t="s">
        <v>131</v>
      </c>
      <c r="B664" s="895"/>
      <c r="C664" s="895"/>
      <c r="D664" s="895"/>
      <c r="E664" s="895"/>
      <c r="F664" s="896"/>
      <c r="G664" s="395"/>
      <c r="H664" s="893"/>
      <c r="I664" s="894">
        <f>I662-(D663+F663+H663+J663+K663)</f>
        <v>12607.207128</v>
      </c>
      <c r="J664" s="893"/>
      <c r="K664" s="397"/>
    </row>
    <row r="665" spans="1:11" ht="29.25" customHeight="1">
      <c r="A665" s="401" t="s">
        <v>132</v>
      </c>
      <c r="B665" s="84"/>
      <c r="C665" s="84"/>
      <c r="D665" s="84"/>
      <c r="E665" s="84"/>
      <c r="F665" s="402"/>
      <c r="G665" s="403"/>
      <c r="H665" s="85"/>
      <c r="I665" s="85"/>
      <c r="J665" s="85"/>
      <c r="K665" s="404"/>
    </row>
    <row r="666" spans="1:11" ht="29.25" customHeight="1">
      <c r="A666" s="405" t="s">
        <v>133</v>
      </c>
      <c r="B666" s="406"/>
      <c r="C666" s="406"/>
      <c r="D666" s="406"/>
      <c r="E666" s="406"/>
      <c r="F666" s="86"/>
      <c r="G666" s="59"/>
      <c r="H666" s="407"/>
      <c r="I666" s="407"/>
      <c r="J666" s="407"/>
      <c r="K666" s="87"/>
    </row>
    <row r="667" spans="1:11" ht="29.25" customHeight="1">
      <c r="A667" s="11"/>
      <c r="B667" s="392"/>
      <c r="C667" s="392"/>
      <c r="D667" s="392"/>
      <c r="E667" s="392"/>
      <c r="F667" s="392"/>
      <c r="G667" s="392"/>
      <c r="H667" s="392"/>
      <c r="I667" s="392"/>
      <c r="J667" s="392"/>
      <c r="K667" s="12"/>
    </row>
    <row r="668" spans="1:11" ht="29.25" customHeight="1" thickBot="1">
      <c r="A668" s="16"/>
      <c r="B668" s="14"/>
      <c r="C668" s="14"/>
      <c r="D668" s="14"/>
      <c r="E668" s="14"/>
      <c r="F668" s="14"/>
      <c r="G668" s="14"/>
      <c r="H668" s="14"/>
      <c r="I668" s="14"/>
      <c r="J668" s="14"/>
      <c r="K668" s="15"/>
    </row>
    <row r="682" spans="1:11" ht="15.75" thickBot="1"/>
    <row r="683" spans="1:11" ht="32.25">
      <c r="A683" s="1124" t="s">
        <v>109</v>
      </c>
      <c r="B683" s="1125"/>
      <c r="C683" s="1125"/>
      <c r="D683" s="1125"/>
      <c r="E683" s="1125"/>
      <c r="F683" s="1125"/>
      <c r="G683" s="1125"/>
      <c r="H683" s="1125"/>
      <c r="I683" s="1125"/>
      <c r="J683" s="1125"/>
      <c r="K683" s="1126"/>
    </row>
    <row r="684" spans="1:11" ht="23.25">
      <c r="A684" s="1127" t="s">
        <v>110</v>
      </c>
      <c r="B684" s="1128"/>
      <c r="C684" s="1128"/>
      <c r="D684" s="1128"/>
      <c r="E684" s="1128"/>
      <c r="F684" s="1128"/>
      <c r="G684" s="1128"/>
      <c r="H684" s="1128"/>
      <c r="I684" s="1128"/>
      <c r="J684" s="1128"/>
      <c r="K684" s="1129"/>
    </row>
    <row r="685" spans="1:11" ht="16.5" thickBot="1">
      <c r="A685" s="1130" t="s">
        <v>609</v>
      </c>
      <c r="B685" s="1131"/>
      <c r="C685" s="1131"/>
      <c r="D685" s="1131"/>
      <c r="E685" s="1131"/>
      <c r="F685" s="1131"/>
      <c r="G685" s="1131"/>
      <c r="H685" s="1131"/>
      <c r="I685" s="1131"/>
      <c r="J685" s="1131"/>
      <c r="K685" s="1132"/>
    </row>
    <row r="686" spans="1:11">
      <c r="A686" s="1133" t="s">
        <v>111</v>
      </c>
      <c r="B686" s="1134"/>
      <c r="C686" s="1134"/>
      <c r="D686" s="1134"/>
      <c r="E686" s="1134"/>
      <c r="F686" s="392"/>
      <c r="G686" s="1135" t="s">
        <v>112</v>
      </c>
      <c r="H686" s="1135"/>
      <c r="I686" s="1135"/>
      <c r="J686" s="1135"/>
      <c r="K686" s="1136"/>
    </row>
    <row r="687" spans="1:11" ht="15.75" thickBot="1">
      <c r="A687" s="1133"/>
      <c r="B687" s="1134"/>
      <c r="C687" s="1134"/>
      <c r="D687" s="1134"/>
      <c r="E687" s="1134"/>
      <c r="F687" s="392"/>
      <c r="G687" s="1135"/>
      <c r="H687" s="1135"/>
      <c r="I687" s="1135"/>
      <c r="J687" s="1135"/>
      <c r="K687" s="1136"/>
    </row>
    <row r="688" spans="1:11">
      <c r="A688" s="61"/>
      <c r="B688" s="62"/>
      <c r="C688" s="62"/>
      <c r="D688" s="62"/>
      <c r="E688" s="63"/>
      <c r="F688" s="392"/>
      <c r="G688" s="61"/>
      <c r="H688" s="62"/>
      <c r="I688" s="62"/>
      <c r="J688" s="62"/>
      <c r="K688" s="63"/>
    </row>
    <row r="689" spans="1:11">
      <c r="A689" s="537" t="s">
        <v>381</v>
      </c>
      <c r="B689" s="392"/>
      <c r="C689" s="392"/>
      <c r="D689" s="392"/>
      <c r="E689" s="12"/>
      <c r="F689" s="392"/>
      <c r="G689" s="537" t="s">
        <v>381</v>
      </c>
      <c r="H689" s="392"/>
      <c r="I689" s="392"/>
      <c r="J689" s="392"/>
      <c r="K689" s="12"/>
    </row>
    <row r="690" spans="1:11">
      <c r="B690" s="392"/>
      <c r="C690" s="392"/>
      <c r="D690" s="392"/>
      <c r="E690" s="12"/>
      <c r="F690" s="392"/>
      <c r="H690" s="392"/>
      <c r="I690" s="392"/>
      <c r="J690" s="392"/>
      <c r="K690" s="12"/>
    </row>
    <row r="691" spans="1:11">
      <c r="A691" s="518" t="s">
        <v>382</v>
      </c>
      <c r="B691" s="392"/>
      <c r="C691" s="392"/>
      <c r="D691" s="392"/>
      <c r="E691" s="12"/>
      <c r="F691" s="392"/>
      <c r="G691" s="518" t="s">
        <v>382</v>
      </c>
      <c r="H691" s="392"/>
      <c r="I691" s="392"/>
      <c r="J691" s="392"/>
      <c r="K691" s="12"/>
    </row>
    <row r="692" spans="1:11" ht="15.75" thickBot="1">
      <c r="A692" s="16"/>
      <c r="B692" s="14"/>
      <c r="C692" s="14"/>
      <c r="D692" s="14"/>
      <c r="E692" s="15"/>
      <c r="F692" s="392"/>
      <c r="G692" s="16"/>
      <c r="H692" s="14"/>
      <c r="I692" s="14"/>
      <c r="J692" s="14"/>
      <c r="K692" s="15"/>
    </row>
    <row r="693" spans="1:11">
      <c r="A693" s="11"/>
      <c r="B693" s="392"/>
      <c r="C693" s="392"/>
      <c r="D693" s="392"/>
      <c r="E693" s="392"/>
      <c r="F693" s="392"/>
      <c r="G693" s="392"/>
      <c r="H693" s="392"/>
      <c r="I693" s="392" t="s">
        <v>113</v>
      </c>
      <c r="J693" s="392"/>
      <c r="K693" s="12"/>
    </row>
    <row r="694" spans="1:11">
      <c r="A694" s="1137" t="s">
        <v>114</v>
      </c>
      <c r="B694" s="1138"/>
      <c r="C694" s="1138"/>
      <c r="D694" s="1138"/>
      <c r="E694" s="1138"/>
      <c r="F694" s="392"/>
      <c r="G694" s="1138" t="s">
        <v>4</v>
      </c>
      <c r="H694" s="1138"/>
      <c r="I694" s="1138"/>
      <c r="J694" s="1138"/>
      <c r="K694" s="1139"/>
    </row>
    <row r="695" spans="1:11" ht="15.75" thickBot="1">
      <c r="A695" s="11"/>
      <c r="B695" s="392"/>
      <c r="C695" s="392"/>
      <c r="D695" s="392"/>
      <c r="E695" s="392"/>
      <c r="F695" s="392"/>
      <c r="G695" s="392"/>
      <c r="H695" s="392"/>
      <c r="I695" s="392"/>
      <c r="J695" s="392"/>
      <c r="K695" s="12"/>
    </row>
    <row r="696" spans="1:11">
      <c r="A696" s="61"/>
      <c r="B696" s="62"/>
      <c r="C696" s="62"/>
      <c r="D696" s="62"/>
      <c r="E696" s="63"/>
      <c r="F696" s="392"/>
      <c r="G696" s="65"/>
      <c r="H696" s="66"/>
      <c r="I696" s="66"/>
      <c r="J696" s="66"/>
      <c r="K696" s="67"/>
    </row>
    <row r="697" spans="1:11">
      <c r="A697" s="11"/>
      <c r="B697" s="392"/>
      <c r="C697" s="392"/>
      <c r="D697" s="392"/>
      <c r="E697" s="12"/>
      <c r="F697" s="392"/>
      <c r="G697" s="890" t="s">
        <v>471</v>
      </c>
      <c r="H697" s="389"/>
      <c r="I697" s="389"/>
      <c r="J697" s="389"/>
      <c r="K697" s="68"/>
    </row>
    <row r="698" spans="1:11">
      <c r="A698" s="519" t="s">
        <v>601</v>
      </c>
      <c r="B698" s="392"/>
      <c r="C698" s="392"/>
      <c r="D698" s="392"/>
      <c r="E698" s="12"/>
      <c r="F698" s="392"/>
      <c r="G698" s="890"/>
      <c r="H698" s="389"/>
      <c r="I698" s="389"/>
      <c r="J698" s="389"/>
      <c r="K698" s="68"/>
    </row>
    <row r="699" spans="1:11">
      <c r="A699" s="11"/>
      <c r="B699" s="392"/>
      <c r="C699" s="392"/>
      <c r="D699" s="392"/>
      <c r="E699" s="12"/>
      <c r="F699" s="392"/>
      <c r="G699" s="545" t="s">
        <v>472</v>
      </c>
      <c r="H699" s="389"/>
      <c r="I699" s="389"/>
      <c r="J699" s="389"/>
      <c r="K699" s="68"/>
    </row>
    <row r="700" spans="1:11" ht="15.75" thickBot="1">
      <c r="A700" s="16"/>
      <c r="B700" s="14"/>
      <c r="C700" s="14"/>
      <c r="D700" s="14"/>
      <c r="E700" s="15"/>
      <c r="F700" s="392"/>
      <c r="G700" s="64"/>
      <c r="H700" s="389"/>
      <c r="I700" s="389"/>
      <c r="J700" s="389"/>
      <c r="K700" s="68"/>
    </row>
    <row r="701" spans="1:11">
      <c r="A701" s="1106" t="s">
        <v>115</v>
      </c>
      <c r="B701" s="1107"/>
      <c r="C701" s="1107"/>
      <c r="D701" s="1107"/>
      <c r="E701" s="1107"/>
      <c r="F701" s="1111"/>
      <c r="G701" s="1112">
        <f>'4-22MASTER'!C783</f>
        <v>0</v>
      </c>
      <c r="H701" s="1112"/>
      <c r="I701" s="1112"/>
      <c r="J701" s="1112"/>
      <c r="K701" s="1112"/>
    </row>
    <row r="702" spans="1:11">
      <c r="A702" s="1113"/>
      <c r="B702" s="1114"/>
      <c r="C702" s="1114"/>
      <c r="D702" s="1114"/>
      <c r="E702" s="1114"/>
      <c r="F702" s="1115"/>
      <c r="G702" s="1112">
        <f>'4-22MASTER'!H1374</f>
        <v>0</v>
      </c>
      <c r="H702" s="1112"/>
      <c r="I702" s="1112"/>
      <c r="J702" s="1112"/>
      <c r="K702" s="1112"/>
    </row>
    <row r="703" spans="1:11">
      <c r="A703" s="1116" t="s">
        <v>116</v>
      </c>
      <c r="B703" s="1117"/>
      <c r="C703" s="1117"/>
      <c r="D703" s="1117"/>
      <c r="E703" s="1117"/>
      <c r="F703" s="1117"/>
      <c r="G703" s="1118">
        <f>'4-22MASTER'!A783</f>
        <v>0</v>
      </c>
      <c r="H703" s="1119"/>
      <c r="I703" s="1119"/>
      <c r="J703" s="1119"/>
      <c r="K703" s="1120"/>
    </row>
    <row r="704" spans="1:11">
      <c r="A704" s="1106" t="s">
        <v>117</v>
      </c>
      <c r="B704" s="1107"/>
      <c r="C704" s="1107"/>
      <c r="D704" s="1107"/>
      <c r="E704" s="1107"/>
      <c r="F704" s="1107"/>
      <c r="G704" s="1112">
        <f>'4-22MASTER'!G783</f>
        <v>0</v>
      </c>
      <c r="H704" s="1109"/>
      <c r="I704" s="1109"/>
      <c r="J704" s="1109"/>
      <c r="K704" s="1110"/>
    </row>
    <row r="705" spans="1:11">
      <c r="A705" s="1106" t="s">
        <v>118</v>
      </c>
      <c r="B705" s="1107"/>
      <c r="C705" s="1107"/>
      <c r="D705" s="1107"/>
      <c r="E705" s="1107"/>
      <c r="F705" s="1107"/>
      <c r="G705" s="1121">
        <f>'4-22MASTER'!O783</f>
        <v>0</v>
      </c>
      <c r="H705" s="1122"/>
      <c r="I705" s="1122"/>
      <c r="J705" s="1122"/>
      <c r="K705" s="1123"/>
    </row>
    <row r="706" spans="1:11">
      <c r="A706" s="393" t="s">
        <v>119</v>
      </c>
      <c r="B706" s="895"/>
      <c r="C706" s="895"/>
      <c r="D706" s="895"/>
      <c r="E706" s="895"/>
      <c r="F706" s="895"/>
      <c r="G706" s="395"/>
      <c r="H706" s="396"/>
      <c r="I706" s="381">
        <f>'4-22MASTER'!U877</f>
        <v>0</v>
      </c>
      <c r="J706" s="893"/>
      <c r="K706" s="397"/>
    </row>
    <row r="707" spans="1:11">
      <c r="A707" s="393" t="s">
        <v>120</v>
      </c>
      <c r="B707" s="895"/>
      <c r="C707" s="895"/>
      <c r="D707" s="895"/>
      <c r="E707" s="895"/>
      <c r="F707" s="896"/>
      <c r="G707" s="78"/>
      <c r="H707" s="399"/>
      <c r="I707" s="381">
        <f>'4-22MASTER'!T877</f>
        <v>0</v>
      </c>
      <c r="J707" s="399"/>
      <c r="K707" s="80"/>
    </row>
    <row r="708" spans="1:11">
      <c r="A708" s="1101" t="s">
        <v>121</v>
      </c>
      <c r="B708" s="1102"/>
      <c r="C708" s="1102"/>
      <c r="D708" s="1102"/>
      <c r="E708" s="1102"/>
      <c r="F708" s="1102"/>
      <c r="G708" s="1103">
        <f>'4-22MASTER'!Z1128</f>
        <v>0</v>
      </c>
      <c r="H708" s="1104"/>
      <c r="I708" s="1104"/>
      <c r="J708" s="1104"/>
      <c r="K708" s="1105"/>
    </row>
    <row r="709" spans="1:11">
      <c r="A709" s="1106" t="s">
        <v>122</v>
      </c>
      <c r="B709" s="1107"/>
      <c r="C709" s="1107"/>
      <c r="D709" s="1107"/>
      <c r="E709" s="1107"/>
      <c r="F709" s="1107"/>
      <c r="G709" s="1108">
        <f>'4-22MASTER'!E764</f>
        <v>0</v>
      </c>
      <c r="H709" s="1109"/>
      <c r="I709" s="1109"/>
      <c r="J709" s="1109"/>
      <c r="K709" s="1110"/>
    </row>
    <row r="710" spans="1:11">
      <c r="A710" s="1106" t="s">
        <v>123</v>
      </c>
      <c r="B710" s="1107"/>
      <c r="C710" s="1107"/>
      <c r="D710" s="1107"/>
      <c r="E710" s="1107"/>
      <c r="F710" s="1107"/>
      <c r="G710" s="1109" t="s">
        <v>124</v>
      </c>
      <c r="H710" s="1109"/>
      <c r="I710" s="1109"/>
      <c r="J710" s="1109"/>
      <c r="K710" s="1110"/>
    </row>
    <row r="711" spans="1:11">
      <c r="A711" s="393" t="s">
        <v>125</v>
      </c>
      <c r="B711" s="895"/>
      <c r="C711" s="895"/>
      <c r="D711" s="895"/>
      <c r="E711" s="895"/>
      <c r="F711" s="896"/>
      <c r="G711" s="395"/>
      <c r="H711" s="893"/>
      <c r="I711" s="894">
        <f>'4-22MASTER'!X783</f>
        <v>0</v>
      </c>
      <c r="J711" s="893"/>
      <c r="K711" s="397"/>
    </row>
    <row r="712" spans="1:11">
      <c r="A712" s="393" t="s">
        <v>126</v>
      </c>
      <c r="B712" s="895"/>
      <c r="C712" s="895"/>
      <c r="D712" s="895"/>
      <c r="E712" s="895"/>
      <c r="F712" s="896"/>
      <c r="G712" s="395"/>
      <c r="H712" s="893"/>
      <c r="I712" s="893" t="s">
        <v>37</v>
      </c>
      <c r="J712" s="893"/>
      <c r="K712" s="397"/>
    </row>
    <row r="713" spans="1:11">
      <c r="A713" s="393" t="s">
        <v>127</v>
      </c>
      <c r="B713" s="895"/>
      <c r="C713" s="895"/>
      <c r="D713" s="895"/>
      <c r="E713" s="895"/>
      <c r="F713" s="896"/>
      <c r="G713" s="395"/>
      <c r="H713" s="893"/>
      <c r="I713" s="894">
        <v>0</v>
      </c>
      <c r="J713" s="893"/>
      <c r="K713" s="397"/>
    </row>
    <row r="714" spans="1:11">
      <c r="A714" s="393" t="s">
        <v>128</v>
      </c>
      <c r="B714" s="895"/>
      <c r="C714" s="895"/>
      <c r="D714" s="895"/>
      <c r="E714" s="895"/>
      <c r="F714" s="896"/>
      <c r="G714" s="395"/>
      <c r="H714" s="893"/>
      <c r="I714" s="893">
        <v>0</v>
      </c>
      <c r="J714" s="893"/>
      <c r="K714" s="397"/>
    </row>
    <row r="715" spans="1:11">
      <c r="A715" s="393" t="s">
        <v>129</v>
      </c>
      <c r="B715" s="895"/>
      <c r="C715" s="895"/>
      <c r="D715" s="895"/>
      <c r="E715" s="895"/>
      <c r="F715" s="896"/>
      <c r="G715" s="395"/>
      <c r="H715" s="893"/>
      <c r="I715" s="894">
        <f>'4-22MASTER'!AN783</f>
        <v>0</v>
      </c>
      <c r="J715" s="893"/>
      <c r="K715" s="397" t="s">
        <v>35</v>
      </c>
    </row>
    <row r="716" spans="1:11">
      <c r="A716" s="393" t="s">
        <v>130</v>
      </c>
      <c r="B716" s="895"/>
      <c r="C716" s="891" t="s">
        <v>32</v>
      </c>
      <c r="D716" s="892">
        <f>'4-22MASTER'!AP783</f>
        <v>0</v>
      </c>
      <c r="E716" s="891" t="s">
        <v>31</v>
      </c>
      <c r="F716" s="892">
        <f>'4-22MASTER'!AO1374</f>
        <v>0</v>
      </c>
      <c r="G716" s="891" t="s">
        <v>33</v>
      </c>
      <c r="H716" s="892">
        <f>'4-22MASTER'!AQ783</f>
        <v>0</v>
      </c>
      <c r="I716" s="891" t="s">
        <v>34</v>
      </c>
      <c r="J716" s="892">
        <f>'4-22MASTER'!AR783</f>
        <v>0</v>
      </c>
      <c r="K716" s="89">
        <f>'4-22MASTER'!AS783</f>
        <v>0</v>
      </c>
    </row>
    <row r="717" spans="1:11">
      <c r="A717" s="393" t="s">
        <v>131</v>
      </c>
      <c r="B717" s="895"/>
      <c r="C717" s="895"/>
      <c r="D717" s="895"/>
      <c r="E717" s="895"/>
      <c r="F717" s="896"/>
      <c r="G717" s="395"/>
      <c r="H717" s="893"/>
      <c r="I717" s="894">
        <f>I715-(D716+F716+H716+J716+K716)</f>
        <v>0</v>
      </c>
      <c r="J717" s="893"/>
      <c r="K717" s="397"/>
    </row>
    <row r="718" spans="1:11">
      <c r="A718" s="401" t="s">
        <v>132</v>
      </c>
      <c r="B718" s="84"/>
      <c r="C718" s="84"/>
      <c r="D718" s="84"/>
      <c r="E718" s="84"/>
      <c r="F718" s="402"/>
      <c r="G718" s="403"/>
      <c r="H718" s="85"/>
      <c r="I718" s="85"/>
      <c r="J718" s="85"/>
      <c r="K718" s="404"/>
    </row>
    <row r="719" spans="1:11">
      <c r="A719" s="405" t="s">
        <v>133</v>
      </c>
      <c r="B719" s="406"/>
      <c r="C719" s="406"/>
      <c r="D719" s="406"/>
      <c r="E719" s="406"/>
      <c r="F719" s="86"/>
      <c r="G719" s="59"/>
      <c r="H719" s="407"/>
      <c r="I719" s="407"/>
      <c r="J719" s="407"/>
      <c r="K719" s="87"/>
    </row>
    <row r="720" spans="1:11">
      <c r="A720" s="11"/>
      <c r="B720" s="392"/>
      <c r="C720" s="392"/>
      <c r="D720" s="392"/>
      <c r="E720" s="392"/>
      <c r="F720" s="392"/>
      <c r="G720" s="392"/>
      <c r="H720" s="392"/>
      <c r="I720" s="392"/>
      <c r="J720" s="392"/>
      <c r="K720" s="12"/>
    </row>
    <row r="721" spans="1:11" ht="15.75" thickBot="1">
      <c r="A721" s="16"/>
      <c r="B721" s="14"/>
      <c r="C721" s="14"/>
      <c r="D721" s="14"/>
      <c r="E721" s="14"/>
      <c r="F721" s="14"/>
      <c r="G721" s="14"/>
      <c r="H721" s="14"/>
      <c r="I721" s="14"/>
      <c r="J721" s="14"/>
      <c r="K721" s="15"/>
    </row>
  </sheetData>
  <mergeCells count="349">
    <mergeCell ref="A710:F710"/>
    <mergeCell ref="G710:K710"/>
    <mergeCell ref="A703:F703"/>
    <mergeCell ref="G703:K703"/>
    <mergeCell ref="A704:F704"/>
    <mergeCell ref="G704:K704"/>
    <mergeCell ref="A705:F705"/>
    <mergeCell ref="G705:K705"/>
    <mergeCell ref="A708:F708"/>
    <mergeCell ref="G708:K708"/>
    <mergeCell ref="A709:F709"/>
    <mergeCell ref="G709:K709"/>
    <mergeCell ref="A684:K684"/>
    <mergeCell ref="A685:K685"/>
    <mergeCell ref="A686:E687"/>
    <mergeCell ref="G686:K687"/>
    <mergeCell ref="A694:E694"/>
    <mergeCell ref="G694:K694"/>
    <mergeCell ref="A701:F701"/>
    <mergeCell ref="G701:K701"/>
    <mergeCell ref="A702:F702"/>
    <mergeCell ref="G702:K702"/>
    <mergeCell ref="A652:F652"/>
    <mergeCell ref="G652:K652"/>
    <mergeCell ref="A655:F655"/>
    <mergeCell ref="G655:K655"/>
    <mergeCell ref="A656:F656"/>
    <mergeCell ref="G656:K656"/>
    <mergeCell ref="A657:F657"/>
    <mergeCell ref="G657:K657"/>
    <mergeCell ref="A683:K683"/>
    <mergeCell ref="A641:E641"/>
    <mergeCell ref="G641:K641"/>
    <mergeCell ref="A648:F648"/>
    <mergeCell ref="G648:K648"/>
    <mergeCell ref="A649:F649"/>
    <mergeCell ref="G649:K649"/>
    <mergeCell ref="A650:F650"/>
    <mergeCell ref="G650:K650"/>
    <mergeCell ref="A651:F651"/>
    <mergeCell ref="G651:K651"/>
    <mergeCell ref="A611:F611"/>
    <mergeCell ref="G611:K611"/>
    <mergeCell ref="A612:F612"/>
    <mergeCell ref="G612:K612"/>
    <mergeCell ref="A630:K630"/>
    <mergeCell ref="A631:K631"/>
    <mergeCell ref="A632:K632"/>
    <mergeCell ref="A633:E634"/>
    <mergeCell ref="G633:K634"/>
    <mergeCell ref="A604:F604"/>
    <mergeCell ref="G604:K604"/>
    <mergeCell ref="A605:F605"/>
    <mergeCell ref="G605:K605"/>
    <mergeCell ref="A606:F606"/>
    <mergeCell ref="G606:K606"/>
    <mergeCell ref="A607:F607"/>
    <mergeCell ref="G607:K607"/>
    <mergeCell ref="A610:F610"/>
    <mergeCell ref="G610:K610"/>
    <mergeCell ref="A585:K585"/>
    <mergeCell ref="A586:K586"/>
    <mergeCell ref="A587:K587"/>
    <mergeCell ref="A588:E589"/>
    <mergeCell ref="G588:K589"/>
    <mergeCell ref="A596:E596"/>
    <mergeCell ref="G596:K596"/>
    <mergeCell ref="A603:F603"/>
    <mergeCell ref="G603:K603"/>
    <mergeCell ref="A558:F558"/>
    <mergeCell ref="G558:K558"/>
    <mergeCell ref="A559:F559"/>
    <mergeCell ref="G559:K559"/>
    <mergeCell ref="A560:F560"/>
    <mergeCell ref="G560:K560"/>
    <mergeCell ref="A551:F551"/>
    <mergeCell ref="G551:K551"/>
    <mergeCell ref="A552:F552"/>
    <mergeCell ref="G552:K552"/>
    <mergeCell ref="A553:F553"/>
    <mergeCell ref="G553:K553"/>
    <mergeCell ref="A554:F554"/>
    <mergeCell ref="G554:K554"/>
    <mergeCell ref="A555:F555"/>
    <mergeCell ref="G555:K555"/>
    <mergeCell ref="A533:K533"/>
    <mergeCell ref="A534:K534"/>
    <mergeCell ref="A535:K535"/>
    <mergeCell ref="A536:E537"/>
    <mergeCell ref="G536:K537"/>
    <mergeCell ref="A544:E544"/>
    <mergeCell ref="G544:K544"/>
    <mergeCell ref="A505:F505"/>
    <mergeCell ref="G505:K505"/>
    <mergeCell ref="A508:F508"/>
    <mergeCell ref="G508:K508"/>
    <mergeCell ref="A509:F509"/>
    <mergeCell ref="G509:K509"/>
    <mergeCell ref="A510:F510"/>
    <mergeCell ref="G510:K510"/>
    <mergeCell ref="A494:E494"/>
    <mergeCell ref="G494:K494"/>
    <mergeCell ref="A501:F501"/>
    <mergeCell ref="G501:K501"/>
    <mergeCell ref="A502:F502"/>
    <mergeCell ref="G502:K502"/>
    <mergeCell ref="A503:F503"/>
    <mergeCell ref="G503:K503"/>
    <mergeCell ref="A504:F504"/>
    <mergeCell ref="G504:K504"/>
    <mergeCell ref="A464:F464"/>
    <mergeCell ref="G464:K464"/>
    <mergeCell ref="A465:F465"/>
    <mergeCell ref="G465:K465"/>
    <mergeCell ref="A483:K483"/>
    <mergeCell ref="A484:K484"/>
    <mergeCell ref="A485:K485"/>
    <mergeCell ref="A486:E487"/>
    <mergeCell ref="G486:K487"/>
    <mergeCell ref="A457:F457"/>
    <mergeCell ref="G457:K457"/>
    <mergeCell ref="A458:F458"/>
    <mergeCell ref="G458:K458"/>
    <mergeCell ref="A459:F459"/>
    <mergeCell ref="G459:K459"/>
    <mergeCell ref="A460:F460"/>
    <mergeCell ref="G460:K460"/>
    <mergeCell ref="A463:F463"/>
    <mergeCell ref="G463:K463"/>
    <mergeCell ref="A438:K438"/>
    <mergeCell ref="A439:K439"/>
    <mergeCell ref="A440:K440"/>
    <mergeCell ref="A441:E442"/>
    <mergeCell ref="G441:K442"/>
    <mergeCell ref="A449:E449"/>
    <mergeCell ref="G449:K449"/>
    <mergeCell ref="A456:F456"/>
    <mergeCell ref="G456:K456"/>
    <mergeCell ref="A235:F235"/>
    <mergeCell ref="G235:K235"/>
    <mergeCell ref="A236:F236"/>
    <mergeCell ref="G236:K236"/>
    <mergeCell ref="A228:F228"/>
    <mergeCell ref="G228:K228"/>
    <mergeCell ref="A229:F229"/>
    <mergeCell ref="G229:K229"/>
    <mergeCell ref="A230:F230"/>
    <mergeCell ref="G230:K230"/>
    <mergeCell ref="A231:F231"/>
    <mergeCell ref="G231:K231"/>
    <mergeCell ref="A234:F234"/>
    <mergeCell ref="G234:K234"/>
    <mergeCell ref="A209:K209"/>
    <mergeCell ref="A210:K210"/>
    <mergeCell ref="A211:K211"/>
    <mergeCell ref="A212:E213"/>
    <mergeCell ref="G212:K213"/>
    <mergeCell ref="A220:E220"/>
    <mergeCell ref="G220:K220"/>
    <mergeCell ref="A227:F227"/>
    <mergeCell ref="G227:K227"/>
    <mergeCell ref="A181:F181"/>
    <mergeCell ref="G181:K181"/>
    <mergeCell ref="A182:F182"/>
    <mergeCell ref="G182:K182"/>
    <mergeCell ref="A185:F185"/>
    <mergeCell ref="G185:K185"/>
    <mergeCell ref="A186:F186"/>
    <mergeCell ref="G186:K186"/>
    <mergeCell ref="A187:F187"/>
    <mergeCell ref="G187:K187"/>
    <mergeCell ref="A163:E164"/>
    <mergeCell ref="G163:K164"/>
    <mergeCell ref="A171:E171"/>
    <mergeCell ref="G171:K171"/>
    <mergeCell ref="A178:F178"/>
    <mergeCell ref="G178:K178"/>
    <mergeCell ref="A179:F179"/>
    <mergeCell ref="G179:K179"/>
    <mergeCell ref="A180:F180"/>
    <mergeCell ref="G180:K180"/>
    <mergeCell ref="A160:K160"/>
    <mergeCell ref="A161:K161"/>
    <mergeCell ref="A162:K162"/>
    <mergeCell ref="A1:K1"/>
    <mergeCell ref="A2:K2"/>
    <mergeCell ref="A25:F25"/>
    <mergeCell ref="G24:K24"/>
    <mergeCell ref="G25:K25"/>
    <mergeCell ref="A24:F24"/>
    <mergeCell ref="A21:F21"/>
    <mergeCell ref="G21:K21"/>
    <mergeCell ref="A22:F22"/>
    <mergeCell ref="G22:K22"/>
    <mergeCell ref="A23:F23"/>
    <mergeCell ref="G23:K23"/>
    <mergeCell ref="A3:K3"/>
    <mergeCell ref="A4:E5"/>
    <mergeCell ref="G4:K5"/>
    <mergeCell ref="A26:F26"/>
    <mergeCell ref="G26:K26"/>
    <mergeCell ref="A27:F27"/>
    <mergeCell ref="G27:K27"/>
    <mergeCell ref="A28:F28"/>
    <mergeCell ref="G28:K28"/>
    <mergeCell ref="A12:E12"/>
    <mergeCell ref="G12:K12"/>
    <mergeCell ref="A19:F19"/>
    <mergeCell ref="G19:K19"/>
    <mergeCell ref="A20:F20"/>
    <mergeCell ref="G20:K20"/>
    <mergeCell ref="A73:F73"/>
    <mergeCell ref="G73:K73"/>
    <mergeCell ref="A56:E57"/>
    <mergeCell ref="G56:K57"/>
    <mergeCell ref="A64:E64"/>
    <mergeCell ref="G64:K64"/>
    <mergeCell ref="A71:F71"/>
    <mergeCell ref="G71:K71"/>
    <mergeCell ref="A72:F72"/>
    <mergeCell ref="G72:K72"/>
    <mergeCell ref="A53:K53"/>
    <mergeCell ref="A54:K54"/>
    <mergeCell ref="A55:K55"/>
    <mergeCell ref="A74:F74"/>
    <mergeCell ref="G74:K74"/>
    <mergeCell ref="A75:F75"/>
    <mergeCell ref="G75:K75"/>
    <mergeCell ref="A78:F78"/>
    <mergeCell ref="G78:K78"/>
    <mergeCell ref="A79:F79"/>
    <mergeCell ref="G79:K79"/>
    <mergeCell ref="A80:F80"/>
    <mergeCell ref="G80:K80"/>
    <mergeCell ref="A133:F133"/>
    <mergeCell ref="G133:K133"/>
    <mergeCell ref="A134:F134"/>
    <mergeCell ref="G134:K134"/>
    <mergeCell ref="A110:E111"/>
    <mergeCell ref="G110:K111"/>
    <mergeCell ref="A118:E118"/>
    <mergeCell ref="G118:K118"/>
    <mergeCell ref="A125:F125"/>
    <mergeCell ref="G125:K125"/>
    <mergeCell ref="A126:F126"/>
    <mergeCell ref="G126:K126"/>
    <mergeCell ref="A127:F127"/>
    <mergeCell ref="G127:K127"/>
    <mergeCell ref="A107:K107"/>
    <mergeCell ref="A108:K108"/>
    <mergeCell ref="A109:K109"/>
    <mergeCell ref="A128:F128"/>
    <mergeCell ref="G128:K128"/>
    <mergeCell ref="A129:F129"/>
    <mergeCell ref="G129:K129"/>
    <mergeCell ref="A132:F132"/>
    <mergeCell ref="G132:K132"/>
    <mergeCell ref="A254:K254"/>
    <mergeCell ref="A255:K255"/>
    <mergeCell ref="A256:K256"/>
    <mergeCell ref="A257:E258"/>
    <mergeCell ref="G257:K258"/>
    <mergeCell ref="A265:E265"/>
    <mergeCell ref="G265:K265"/>
    <mergeCell ref="A272:F272"/>
    <mergeCell ref="G272:K272"/>
    <mergeCell ref="A273:F273"/>
    <mergeCell ref="G273:K273"/>
    <mergeCell ref="A274:F274"/>
    <mergeCell ref="G274:K274"/>
    <mergeCell ref="A275:F275"/>
    <mergeCell ref="G275:K275"/>
    <mergeCell ref="A276:F276"/>
    <mergeCell ref="G276:K276"/>
    <mergeCell ref="A279:F279"/>
    <mergeCell ref="G279:K279"/>
    <mergeCell ref="A280:F280"/>
    <mergeCell ref="G280:K280"/>
    <mergeCell ref="A281:F281"/>
    <mergeCell ref="G281:K281"/>
    <mergeCell ref="A299:K299"/>
    <mergeCell ref="A300:K300"/>
    <mergeCell ref="A301:K301"/>
    <mergeCell ref="A302:E303"/>
    <mergeCell ref="G302:K303"/>
    <mergeCell ref="A310:E310"/>
    <mergeCell ref="G310:K310"/>
    <mergeCell ref="A317:F317"/>
    <mergeCell ref="G317:K317"/>
    <mergeCell ref="A318:F318"/>
    <mergeCell ref="G318:K318"/>
    <mergeCell ref="A319:F319"/>
    <mergeCell ref="G319:K319"/>
    <mergeCell ref="A320:F320"/>
    <mergeCell ref="G320:K320"/>
    <mergeCell ref="A321:F321"/>
    <mergeCell ref="G321:K321"/>
    <mergeCell ref="A324:F324"/>
    <mergeCell ref="G324:K324"/>
    <mergeCell ref="A325:F325"/>
    <mergeCell ref="G325:K325"/>
    <mergeCell ref="A326:F326"/>
    <mergeCell ref="G326:K326"/>
    <mergeCell ref="A344:K344"/>
    <mergeCell ref="A345:K345"/>
    <mergeCell ref="A346:K346"/>
    <mergeCell ref="A347:E348"/>
    <mergeCell ref="G347:K348"/>
    <mergeCell ref="A355:E355"/>
    <mergeCell ref="G355:K355"/>
    <mergeCell ref="A362:F362"/>
    <mergeCell ref="G362:K362"/>
    <mergeCell ref="A363:F363"/>
    <mergeCell ref="G363:K363"/>
    <mergeCell ref="A364:F364"/>
    <mergeCell ref="G364:K364"/>
    <mergeCell ref="A365:F365"/>
    <mergeCell ref="G365:K365"/>
    <mergeCell ref="A366:F366"/>
    <mergeCell ref="G366:K366"/>
    <mergeCell ref="A369:F369"/>
    <mergeCell ref="G369:K369"/>
    <mergeCell ref="A370:F370"/>
    <mergeCell ref="G370:K370"/>
    <mergeCell ref="A371:F371"/>
    <mergeCell ref="G371:K371"/>
    <mergeCell ref="A389:K389"/>
    <mergeCell ref="A390:K390"/>
    <mergeCell ref="A391:K391"/>
    <mergeCell ref="A392:E393"/>
    <mergeCell ref="G392:K393"/>
    <mergeCell ref="A400:E400"/>
    <mergeCell ref="G400:K400"/>
    <mergeCell ref="A414:F414"/>
    <mergeCell ref="G414:K414"/>
    <mergeCell ref="A415:F415"/>
    <mergeCell ref="G415:K415"/>
    <mergeCell ref="A416:F416"/>
    <mergeCell ref="G416:K416"/>
    <mergeCell ref="A407:F407"/>
    <mergeCell ref="G407:K407"/>
    <mergeCell ref="A408:F408"/>
    <mergeCell ref="G408:K408"/>
    <mergeCell ref="A409:F409"/>
    <mergeCell ref="G409:K409"/>
    <mergeCell ref="A410:F410"/>
    <mergeCell ref="G410:K410"/>
    <mergeCell ref="A411:F411"/>
    <mergeCell ref="G411:K411"/>
  </mergeCells>
  <pageMargins left="0.88" right="0.53" top="0.74803149606299213" bottom="0.74803149606299213" header="0.31496062992125984" footer="0.31496062992125984"/>
  <pageSetup scale="52" orientation="portrait" horizontalDpi="300" verticalDpi="300" r:id="rId1"/>
  <rowBreaks count="12" manualBreakCount="12">
    <brk id="52" max="16383" man="1"/>
    <brk id="106" max="16383" man="1"/>
    <brk id="159" max="16383" man="1"/>
    <brk id="208" max="16383" man="1"/>
    <brk id="253" max="16383" man="1"/>
    <brk id="298" max="16383" man="1"/>
    <brk id="343" max="16383" man="1"/>
    <brk id="388" max="16383" man="1"/>
    <brk id="437" max="16383" man="1"/>
    <brk id="482" max="16383" man="1"/>
    <brk id="532" max="16383" man="1"/>
    <brk id="6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772"/>
  <sheetViews>
    <sheetView view="pageBreakPreview" topLeftCell="E524" zoomScaleSheetLayoutView="100" workbookViewId="0">
      <selection activeCell="S520" sqref="S520"/>
    </sheetView>
  </sheetViews>
  <sheetFormatPr defaultColWidth="9.140625" defaultRowHeight="15"/>
  <cols>
    <col min="1" max="1" width="3.42578125" style="7" customWidth="1"/>
    <col min="2" max="4" width="9.140625" style="7"/>
    <col min="5" max="5" width="9.28515625" style="7" bestFit="1" customWidth="1"/>
    <col min="6" max="6" width="12.140625" style="7" customWidth="1"/>
    <col min="7" max="8" width="9.140625" style="7"/>
    <col min="9" max="9" width="12.140625" style="7" customWidth="1"/>
    <col min="10" max="10" width="2.85546875" style="7" customWidth="1"/>
    <col min="11" max="18" width="9.140625" style="7"/>
    <col min="19" max="19" width="11.5703125" style="7" customWidth="1"/>
    <col min="20" max="16384" width="9.140625" style="7"/>
  </cols>
  <sheetData>
    <row r="1" spans="1:20" ht="26.25">
      <c r="A1" s="1164" t="s">
        <v>50</v>
      </c>
      <c r="B1" s="1165"/>
      <c r="C1" s="1165"/>
      <c r="D1" s="1165"/>
      <c r="E1" s="1165"/>
      <c r="F1" s="1165"/>
      <c r="G1" s="1165"/>
      <c r="H1" s="1165"/>
      <c r="I1" s="1166"/>
      <c r="K1" s="1164" t="s">
        <v>50</v>
      </c>
      <c r="L1" s="1165"/>
      <c r="M1" s="1165"/>
      <c r="N1" s="1165"/>
      <c r="O1" s="1165"/>
      <c r="P1" s="1165"/>
      <c r="Q1" s="1165"/>
      <c r="R1" s="1165"/>
      <c r="S1" s="1166"/>
    </row>
    <row r="2" spans="1:20">
      <c r="A2" s="1157" t="s">
        <v>579</v>
      </c>
      <c r="B2" s="1158"/>
      <c r="C2" s="1158"/>
      <c r="D2" s="1158"/>
      <c r="E2" s="1158"/>
      <c r="F2" s="1158"/>
      <c r="G2" s="1158"/>
      <c r="H2" s="1158"/>
      <c r="I2" s="1159"/>
      <c r="K2" s="1157" t="str">
        <f>A2</f>
        <v>[Vide rule 78 (1) (b) of the Contract Labour (Regulation and Abolition) Central and Maharastra, 1971]</v>
      </c>
      <c r="L2" s="1158"/>
      <c r="M2" s="1158"/>
      <c r="N2" s="1158"/>
      <c r="O2" s="1158"/>
      <c r="P2" s="1158"/>
      <c r="Q2" s="1158"/>
      <c r="R2" s="1158"/>
      <c r="S2" s="1159"/>
    </row>
    <row r="3" spans="1:20">
      <c r="A3" s="515"/>
      <c r="I3" s="516"/>
      <c r="K3" s="515"/>
      <c r="S3" s="516"/>
    </row>
    <row r="4" spans="1:20">
      <c r="A4" s="517" t="s">
        <v>51</v>
      </c>
      <c r="B4" s="518"/>
      <c r="C4" s="518"/>
      <c r="D4" s="519" t="str">
        <f>'4-22MASTER'!G5</f>
        <v>Burgeon IT Services Pvt.Ltd.</v>
      </c>
      <c r="I4" s="516"/>
      <c r="K4" s="517" t="s">
        <v>51</v>
      </c>
      <c r="L4" s="518"/>
      <c r="M4" s="518"/>
      <c r="N4" s="519" t="str">
        <f>D4</f>
        <v>Burgeon IT Services Pvt.Ltd.</v>
      </c>
      <c r="S4" s="516"/>
    </row>
    <row r="5" spans="1:20">
      <c r="A5" s="517"/>
      <c r="B5" s="518" t="str">
        <f>'4-22MASTER'!G6</f>
        <v>Siri Mansion LIGB 436 Dr.A S Rao Nagar,Hyderabad</v>
      </c>
      <c r="C5" s="518"/>
      <c r="D5" s="518"/>
      <c r="I5" s="516"/>
      <c r="K5" s="517"/>
      <c r="L5" s="518" t="str">
        <f>B5</f>
        <v>Siri Mansion LIGB 436 Dr.A S Rao Nagar,Hyderabad</v>
      </c>
      <c r="M5" s="518"/>
      <c r="N5" s="518"/>
      <c r="S5" s="516"/>
      <c r="T5" s="7">
        <v>2</v>
      </c>
    </row>
    <row r="6" spans="1:20">
      <c r="A6" s="517"/>
      <c r="B6" s="518">
        <f>'4-22MASTER'!G719</f>
        <v>0</v>
      </c>
      <c r="C6" s="518"/>
      <c r="D6" s="518"/>
      <c r="E6" s="518"/>
      <c r="I6" s="516"/>
      <c r="K6" s="517"/>
      <c r="L6" s="518">
        <f>B6</f>
        <v>0</v>
      </c>
      <c r="M6" s="518"/>
      <c r="N6" s="518"/>
      <c r="O6" s="518"/>
      <c r="S6" s="516"/>
    </row>
    <row r="7" spans="1:20">
      <c r="A7" s="1160" t="s">
        <v>52</v>
      </c>
      <c r="B7" s="1155"/>
      <c r="C7" s="1155"/>
      <c r="D7" s="1155"/>
      <c r="E7" s="518"/>
      <c r="I7" s="516"/>
      <c r="K7" s="1160" t="s">
        <v>52</v>
      </c>
      <c r="L7" s="1155"/>
      <c r="M7" s="1155"/>
      <c r="N7" s="1155"/>
      <c r="O7" s="518"/>
      <c r="S7" s="516"/>
    </row>
    <row r="8" spans="1:20">
      <c r="A8" s="1160"/>
      <c r="B8" s="1155"/>
      <c r="C8" s="1155"/>
      <c r="D8" s="1155"/>
      <c r="E8" s="520" t="str">
        <f>'4-22MASTER'!C17</f>
        <v>Haneef</v>
      </c>
      <c r="F8" s="521"/>
      <c r="G8" s="521" t="str">
        <f>'4-22MASTER'!F17</f>
        <v>D.Subahan</v>
      </c>
      <c r="H8" s="521"/>
      <c r="I8" s="516"/>
      <c r="K8" s="1160"/>
      <c r="L8" s="1155"/>
      <c r="M8" s="1155"/>
      <c r="N8" s="1155"/>
      <c r="O8" s="520" t="str">
        <f>E8</f>
        <v>Haneef</v>
      </c>
      <c r="P8" s="521"/>
      <c r="Q8" s="521"/>
      <c r="R8" s="521" t="str">
        <f>G8</f>
        <v>D.Subahan</v>
      </c>
      <c r="S8" s="516"/>
    </row>
    <row r="9" spans="1:20">
      <c r="A9" s="517"/>
      <c r="B9" s="518"/>
      <c r="C9" s="518"/>
      <c r="D9" s="518"/>
      <c r="E9" s="518"/>
      <c r="I9" s="516"/>
      <c r="K9" s="517"/>
      <c r="L9" s="518"/>
      <c r="M9" s="518"/>
      <c r="N9" s="518"/>
      <c r="O9" s="518"/>
      <c r="S9" s="516"/>
    </row>
    <row r="10" spans="1:20">
      <c r="A10" s="1161" t="s">
        <v>53</v>
      </c>
      <c r="B10" s="1156"/>
      <c r="C10" s="1156"/>
      <c r="D10" s="1156"/>
      <c r="E10" s="520" t="str">
        <f>'4-22MASTER'!G8</f>
        <v>IT SUPPORTIVE SERVICES &amp; PUNE ASC SEZ</v>
      </c>
      <c r="F10" s="521"/>
      <c r="G10" s="521"/>
      <c r="H10" s="521"/>
      <c r="I10" s="516"/>
      <c r="K10" s="1161" t="s">
        <v>53</v>
      </c>
      <c r="L10" s="1156"/>
      <c r="M10" s="1156"/>
      <c r="N10" s="1156"/>
      <c r="O10" s="520" t="str">
        <f>E10</f>
        <v>IT SUPPORTIVE SERVICES &amp; PUNE ASC SEZ</v>
      </c>
      <c r="P10" s="521"/>
      <c r="Q10" s="521"/>
      <c r="R10" s="521"/>
      <c r="S10" s="516"/>
    </row>
    <row r="11" spans="1:20">
      <c r="A11" s="517"/>
      <c r="B11" s="518"/>
      <c r="C11" s="518"/>
      <c r="D11" s="518"/>
      <c r="E11" s="518"/>
      <c r="I11" s="516"/>
      <c r="K11" s="517"/>
      <c r="L11" s="518"/>
      <c r="M11" s="518"/>
      <c r="N11" s="518"/>
      <c r="O11" s="518"/>
      <c r="S11" s="516"/>
    </row>
    <row r="12" spans="1:20">
      <c r="A12" s="1161" t="s">
        <v>54</v>
      </c>
      <c r="B12" s="1156"/>
      <c r="C12" s="1156"/>
      <c r="D12" s="1156"/>
      <c r="E12" s="522">
        <f>'4-22MASTER'!E10</f>
        <v>44652</v>
      </c>
      <c r="F12" s="521"/>
      <c r="G12" s="521"/>
      <c r="H12" s="521"/>
      <c r="I12" s="516"/>
      <c r="K12" s="1161" t="s">
        <v>54</v>
      </c>
      <c r="L12" s="1156"/>
      <c r="M12" s="1156"/>
      <c r="N12" s="1156"/>
      <c r="O12" s="522">
        <f>E12</f>
        <v>44652</v>
      </c>
      <c r="P12" s="521"/>
      <c r="Q12" s="521"/>
      <c r="R12" s="521"/>
      <c r="S12" s="516"/>
    </row>
    <row r="13" spans="1:20">
      <c r="A13" s="517"/>
      <c r="B13" s="518"/>
      <c r="C13" s="518"/>
      <c r="D13" s="518"/>
      <c r="E13" s="518"/>
      <c r="I13" s="516"/>
      <c r="K13" s="517"/>
      <c r="L13" s="518"/>
      <c r="M13" s="518"/>
      <c r="N13" s="518"/>
      <c r="O13" s="518"/>
      <c r="S13" s="516"/>
    </row>
    <row r="14" spans="1:20">
      <c r="A14" s="523">
        <v>1</v>
      </c>
      <c r="B14" s="1156" t="s">
        <v>55</v>
      </c>
      <c r="C14" s="1156"/>
      <c r="D14" s="1156"/>
      <c r="E14" s="524">
        <f>'4-22MASTER'!X17</f>
        <v>30</v>
      </c>
      <c r="F14" s="521"/>
      <c r="G14" s="521"/>
      <c r="H14" s="521"/>
      <c r="I14" s="516"/>
      <c r="K14" s="523">
        <v>1</v>
      </c>
      <c r="L14" s="1156" t="s">
        <v>55</v>
      </c>
      <c r="M14" s="1156"/>
      <c r="N14" s="1156"/>
      <c r="O14" s="524">
        <f>E14</f>
        <v>30</v>
      </c>
      <c r="P14" s="521"/>
      <c r="Q14" s="521"/>
      <c r="R14" s="521"/>
      <c r="S14" s="516"/>
    </row>
    <row r="15" spans="1:20">
      <c r="A15" s="523"/>
      <c r="B15" s="518"/>
      <c r="C15" s="518"/>
      <c r="D15" s="518"/>
      <c r="E15" s="518"/>
      <c r="I15" s="516"/>
      <c r="K15" s="523"/>
      <c r="L15" s="518"/>
      <c r="M15" s="518"/>
      <c r="N15" s="518"/>
      <c r="O15" s="518"/>
      <c r="S15" s="516"/>
    </row>
    <row r="16" spans="1:20">
      <c r="A16" s="523">
        <v>2</v>
      </c>
      <c r="B16" s="1155" t="s">
        <v>56</v>
      </c>
      <c r="C16" s="1155"/>
      <c r="D16" s="1155"/>
      <c r="E16" s="518"/>
      <c r="I16" s="516"/>
      <c r="K16" s="523">
        <v>2</v>
      </c>
      <c r="L16" s="1155" t="s">
        <v>56</v>
      </c>
      <c r="M16" s="1155"/>
      <c r="N16" s="1155"/>
      <c r="O16" s="518"/>
      <c r="S16" s="516"/>
    </row>
    <row r="17" spans="1:19">
      <c r="A17" s="523"/>
      <c r="B17" s="1155"/>
      <c r="C17" s="1155"/>
      <c r="D17" s="1155"/>
      <c r="E17" s="525" t="s">
        <v>37</v>
      </c>
      <c r="F17" s="521"/>
      <c r="G17" s="521"/>
      <c r="H17" s="521"/>
      <c r="I17" s="516"/>
      <c r="K17" s="523"/>
      <c r="L17" s="1155"/>
      <c r="M17" s="1155"/>
      <c r="N17" s="1155"/>
      <c r="O17" s="525" t="s">
        <v>37</v>
      </c>
      <c r="P17" s="521"/>
      <c r="Q17" s="521"/>
      <c r="R17" s="521"/>
      <c r="S17" s="516"/>
    </row>
    <row r="18" spans="1:19">
      <c r="A18" s="523"/>
      <c r="B18" s="518"/>
      <c r="C18" s="518"/>
      <c r="D18" s="518"/>
      <c r="E18" s="518"/>
      <c r="I18" s="516"/>
      <c r="K18" s="523"/>
      <c r="L18" s="518"/>
      <c r="M18" s="518"/>
      <c r="N18" s="518"/>
      <c r="O18" s="518"/>
      <c r="S18" s="516"/>
    </row>
    <row r="19" spans="1:19">
      <c r="A19" s="523">
        <v>3</v>
      </c>
      <c r="B19" s="1156" t="s">
        <v>57</v>
      </c>
      <c r="C19" s="1156"/>
      <c r="D19" s="1156"/>
      <c r="E19" s="525" t="s">
        <v>37</v>
      </c>
      <c r="F19" s="521"/>
      <c r="G19" s="521"/>
      <c r="H19" s="521"/>
      <c r="I19" s="516"/>
      <c r="K19" s="523">
        <v>3</v>
      </c>
      <c r="L19" s="1156" t="s">
        <v>57</v>
      </c>
      <c r="M19" s="1156"/>
      <c r="N19" s="1156"/>
      <c r="O19" s="520" t="str">
        <f>E19</f>
        <v>N/A</v>
      </c>
      <c r="P19" s="521"/>
      <c r="Q19" s="521"/>
      <c r="R19" s="521"/>
      <c r="S19" s="516"/>
    </row>
    <row r="20" spans="1:19">
      <c r="A20" s="523"/>
      <c r="B20" s="518"/>
      <c r="C20" s="518"/>
      <c r="D20" s="518"/>
      <c r="E20" s="518"/>
      <c r="I20" s="516"/>
      <c r="K20" s="523"/>
      <c r="L20" s="518"/>
      <c r="M20" s="518"/>
      <c r="N20" s="518"/>
      <c r="O20" s="518"/>
      <c r="S20" s="516"/>
    </row>
    <row r="21" spans="1:19">
      <c r="A21" s="523">
        <v>4</v>
      </c>
      <c r="B21" s="1156" t="s">
        <v>58</v>
      </c>
      <c r="C21" s="1156"/>
      <c r="D21" s="1156"/>
      <c r="E21" s="525" t="s">
        <v>59</v>
      </c>
      <c r="F21" s="521"/>
      <c r="G21" s="521"/>
      <c r="H21" s="521"/>
      <c r="I21" s="516"/>
      <c r="K21" s="523">
        <v>4</v>
      </c>
      <c r="L21" s="1156" t="s">
        <v>58</v>
      </c>
      <c r="M21" s="1156"/>
      <c r="N21" s="1156"/>
      <c r="O21" s="525" t="s">
        <v>59</v>
      </c>
      <c r="P21" s="521"/>
      <c r="Q21" s="521"/>
      <c r="R21" s="521"/>
      <c r="S21" s="516"/>
    </row>
    <row r="22" spans="1:19">
      <c r="A22" s="523"/>
      <c r="B22" s="518"/>
      <c r="C22" s="518"/>
      <c r="D22" s="518"/>
      <c r="E22" s="518"/>
      <c r="I22" s="516"/>
      <c r="K22" s="523"/>
      <c r="L22" s="518"/>
      <c r="M22" s="518"/>
      <c r="N22" s="518"/>
      <c r="O22" s="518"/>
      <c r="S22" s="516"/>
    </row>
    <row r="23" spans="1:19">
      <c r="A23" s="523">
        <v>5</v>
      </c>
      <c r="B23" s="1156" t="s">
        <v>60</v>
      </c>
      <c r="C23" s="1156"/>
      <c r="D23" s="1156"/>
      <c r="E23" s="526">
        <f>'4-22MASTER'!AN17</f>
        <v>68276.425400000007</v>
      </c>
      <c r="I23" s="516"/>
      <c r="K23" s="523">
        <v>5</v>
      </c>
      <c r="L23" s="1156" t="s">
        <v>60</v>
      </c>
      <c r="M23" s="1156"/>
      <c r="N23" s="1156"/>
      <c r="O23" s="526">
        <f>E23</f>
        <v>68276.425400000007</v>
      </c>
      <c r="S23" s="516"/>
    </row>
    <row r="24" spans="1:19">
      <c r="A24" s="523"/>
      <c r="B24" s="518"/>
      <c r="C24" s="518"/>
      <c r="D24" s="527" t="s">
        <v>61</v>
      </c>
      <c r="E24" s="527" t="s">
        <v>31</v>
      </c>
      <c r="F24" s="527" t="s">
        <v>33</v>
      </c>
      <c r="G24" s="527" t="s">
        <v>34</v>
      </c>
      <c r="H24" s="527" t="s">
        <v>377</v>
      </c>
      <c r="I24" s="528" t="s">
        <v>378</v>
      </c>
      <c r="K24" s="523"/>
      <c r="L24" s="518"/>
      <c r="M24" s="518"/>
      <c r="N24" s="527" t="s">
        <v>61</v>
      </c>
      <c r="O24" s="527" t="s">
        <v>31</v>
      </c>
      <c r="P24" s="527" t="s">
        <v>33</v>
      </c>
      <c r="Q24" s="527" t="s">
        <v>34</v>
      </c>
      <c r="R24" s="527" t="s">
        <v>377</v>
      </c>
      <c r="S24" s="528" t="s">
        <v>378</v>
      </c>
    </row>
    <row r="25" spans="1:19">
      <c r="A25" s="523">
        <v>6</v>
      </c>
      <c r="B25" s="529" t="s">
        <v>62</v>
      </c>
      <c r="C25" s="529"/>
      <c r="D25" s="530">
        <f>'4-22MASTER'!AP17</f>
        <v>1800</v>
      </c>
      <c r="E25" s="530">
        <f>'4-22MASTER'!AO730</f>
        <v>0</v>
      </c>
      <c r="F25" s="531">
        <f>'4-22MASTER'!AQ17</f>
        <v>200</v>
      </c>
      <c r="G25" s="530">
        <f>'4-22MASTER'!AR17</f>
        <v>0</v>
      </c>
      <c r="H25" s="531">
        <f>'4-22MASTER'!AS17</f>
        <v>391.787848</v>
      </c>
      <c r="I25" s="531">
        <f>SUM(D25:H25)</f>
        <v>2391.7878479999999</v>
      </c>
      <c r="K25" s="523">
        <v>6</v>
      </c>
      <c r="L25" s="529" t="s">
        <v>62</v>
      </c>
      <c r="M25" s="529"/>
      <c r="N25" s="530">
        <f t="shared" ref="N25" si="0">D25</f>
        <v>1800</v>
      </c>
      <c r="O25" s="530">
        <f t="shared" ref="O25" si="1">E25</f>
        <v>0</v>
      </c>
      <c r="P25" s="531">
        <f t="shared" ref="P25" si="2">F25</f>
        <v>200</v>
      </c>
      <c r="Q25" s="530">
        <f t="shared" ref="Q25" si="3">G25</f>
        <v>0</v>
      </c>
      <c r="R25" s="531">
        <f t="shared" ref="R25" si="4">H25</f>
        <v>391.787848</v>
      </c>
      <c r="S25" s="531">
        <f t="shared" ref="S25" si="5">I25</f>
        <v>2391.7878479999999</v>
      </c>
    </row>
    <row r="26" spans="1:19">
      <c r="A26" s="523"/>
      <c r="B26" s="518"/>
      <c r="C26" s="518"/>
      <c r="D26" s="518"/>
      <c r="E26" s="518"/>
      <c r="I26" s="516"/>
      <c r="K26" s="523"/>
      <c r="L26" s="518"/>
      <c r="M26" s="518"/>
      <c r="N26" s="518"/>
      <c r="O26" s="518"/>
      <c r="S26" s="516"/>
    </row>
    <row r="27" spans="1:19">
      <c r="A27" s="523">
        <v>7</v>
      </c>
      <c r="B27" s="1156" t="s">
        <v>63</v>
      </c>
      <c r="C27" s="1156"/>
      <c r="D27" s="1156"/>
      <c r="E27" s="532">
        <f>E23-I25</f>
        <v>65884.637552</v>
      </c>
      <c r="F27" s="521"/>
      <c r="G27" s="521"/>
      <c r="H27" s="521"/>
      <c r="I27" s="516"/>
      <c r="K27" s="523">
        <v>7</v>
      </c>
      <c r="L27" s="1156" t="s">
        <v>63</v>
      </c>
      <c r="M27" s="1156"/>
      <c r="N27" s="1156"/>
      <c r="O27" s="532">
        <f>E27</f>
        <v>65884.637552</v>
      </c>
      <c r="P27" s="521"/>
      <c r="Q27" s="521"/>
      <c r="R27" s="521"/>
      <c r="S27" s="516"/>
    </row>
    <row r="28" spans="1:19">
      <c r="A28" s="515"/>
      <c r="I28" s="516"/>
      <c r="K28" s="515"/>
      <c r="S28" s="516"/>
    </row>
    <row r="29" spans="1:19">
      <c r="A29" s="515"/>
      <c r="I29" s="516"/>
      <c r="K29" s="515"/>
      <c r="S29" s="516"/>
    </row>
    <row r="30" spans="1:19" ht="15.75" thickBot="1">
      <c r="A30" s="515"/>
      <c r="F30" s="533"/>
      <c r="G30" s="533"/>
      <c r="H30" s="533"/>
      <c r="I30" s="534"/>
      <c r="K30" s="515"/>
      <c r="P30" s="533"/>
      <c r="Q30" s="533"/>
      <c r="R30" s="533"/>
      <c r="S30" s="534"/>
    </row>
    <row r="31" spans="1:19" ht="15.75" thickBot="1">
      <c r="A31" s="535"/>
      <c r="B31" s="533"/>
      <c r="C31" s="533"/>
      <c r="D31" s="533"/>
      <c r="E31" s="533"/>
      <c r="F31" s="1162" t="s">
        <v>64</v>
      </c>
      <c r="G31" s="1162"/>
      <c r="H31" s="1162"/>
      <c r="I31" s="1163"/>
      <c r="K31" s="535"/>
      <c r="L31" s="533"/>
      <c r="M31" s="533"/>
      <c r="N31" s="533"/>
      <c r="O31" s="533"/>
      <c r="P31" s="1162" t="s">
        <v>64</v>
      </c>
      <c r="Q31" s="1162"/>
      <c r="R31" s="1162"/>
      <c r="S31" s="1163"/>
    </row>
    <row r="45" spans="1:19" ht="15.75" thickBot="1"/>
    <row r="46" spans="1:19" ht="26.25">
      <c r="A46" s="1164" t="s">
        <v>50</v>
      </c>
      <c r="B46" s="1165"/>
      <c r="C46" s="1165"/>
      <c r="D46" s="1165"/>
      <c r="E46" s="1165"/>
      <c r="F46" s="1165"/>
      <c r="G46" s="1165"/>
      <c r="H46" s="1165"/>
      <c r="I46" s="1166"/>
      <c r="K46" s="1164" t="s">
        <v>50</v>
      </c>
      <c r="L46" s="1165"/>
      <c r="M46" s="1165"/>
      <c r="N46" s="1165"/>
      <c r="O46" s="1165"/>
      <c r="P46" s="1165"/>
      <c r="Q46" s="1165"/>
      <c r="R46" s="1165"/>
      <c r="S46" s="1166"/>
    </row>
    <row r="47" spans="1:19">
      <c r="A47" s="1157" t="s">
        <v>579</v>
      </c>
      <c r="B47" s="1158"/>
      <c r="C47" s="1158"/>
      <c r="D47" s="1158"/>
      <c r="E47" s="1158"/>
      <c r="F47" s="1158"/>
      <c r="G47" s="1158"/>
      <c r="H47" s="1158"/>
      <c r="I47" s="1159"/>
      <c r="K47" s="1157" t="str">
        <f>A47</f>
        <v>[Vide rule 78 (1) (b) of the Contract Labour (Regulation and Abolition) Central and Maharastra, 1971]</v>
      </c>
      <c r="L47" s="1158"/>
      <c r="M47" s="1158"/>
      <c r="N47" s="1158"/>
      <c r="O47" s="1158"/>
      <c r="P47" s="1158"/>
      <c r="Q47" s="1158"/>
      <c r="R47" s="1158"/>
      <c r="S47" s="1159"/>
    </row>
    <row r="48" spans="1:19">
      <c r="A48" s="515"/>
      <c r="I48" s="516"/>
      <c r="K48" s="515"/>
      <c r="S48" s="516"/>
    </row>
    <row r="49" spans="1:20">
      <c r="A49" s="517" t="s">
        <v>51</v>
      </c>
      <c r="B49" s="518"/>
      <c r="C49" s="518"/>
      <c r="D49" s="519" t="s">
        <v>381</v>
      </c>
      <c r="I49" s="516"/>
      <c r="K49" s="517" t="s">
        <v>51</v>
      </c>
      <c r="L49" s="518"/>
      <c r="M49" s="518"/>
      <c r="N49" s="519" t="str">
        <f>D49</f>
        <v>Burgeon IT Services Pvt.Ltd.</v>
      </c>
      <c r="S49" s="516"/>
    </row>
    <row r="50" spans="1:20">
      <c r="A50" s="517"/>
      <c r="B50" s="518" t="s">
        <v>382</v>
      </c>
      <c r="C50" s="518"/>
      <c r="D50" s="518"/>
      <c r="I50" s="516"/>
      <c r="K50" s="517"/>
      <c r="L50" s="518" t="str">
        <f>B50</f>
        <v>Siri Mansion LIGB 436 Dr.A S Rao Nagar,Hyderabad</v>
      </c>
      <c r="M50" s="518"/>
      <c r="N50" s="518"/>
      <c r="S50" s="516"/>
    </row>
    <row r="51" spans="1:20">
      <c r="A51" s="517"/>
      <c r="B51" s="518">
        <f>'4-22MASTER'!G887</f>
        <v>0</v>
      </c>
      <c r="C51" s="518"/>
      <c r="D51" s="518"/>
      <c r="E51" s="518"/>
      <c r="I51" s="516"/>
      <c r="K51" s="517"/>
      <c r="L51" s="518">
        <f>B51</f>
        <v>0</v>
      </c>
      <c r="M51" s="518"/>
      <c r="N51" s="518"/>
      <c r="O51" s="518"/>
      <c r="S51" s="516"/>
    </row>
    <row r="52" spans="1:20">
      <c r="A52" s="1160" t="s">
        <v>52</v>
      </c>
      <c r="B52" s="1155"/>
      <c r="C52" s="1155"/>
      <c r="D52" s="1155"/>
      <c r="E52" s="518"/>
      <c r="I52" s="516"/>
      <c r="K52" s="1160" t="s">
        <v>52</v>
      </c>
      <c r="L52" s="1155"/>
      <c r="M52" s="1155"/>
      <c r="N52" s="1155"/>
      <c r="O52" s="518"/>
      <c r="S52" s="516"/>
    </row>
    <row r="53" spans="1:20">
      <c r="A53" s="1160"/>
      <c r="B53" s="1155"/>
      <c r="C53" s="1155"/>
      <c r="D53" s="1155"/>
      <c r="E53" s="520" t="str">
        <f>'4-22MASTER'!C18</f>
        <v>Ved Prakash</v>
      </c>
      <c r="F53" s="521"/>
      <c r="G53" s="521" t="str">
        <f>'4-22MASTER'!F18</f>
        <v>J N Gupta</v>
      </c>
      <c r="H53" s="521"/>
      <c r="I53" s="516"/>
      <c r="K53" s="1160"/>
      <c r="L53" s="1155"/>
      <c r="M53" s="1155"/>
      <c r="N53" s="1155"/>
      <c r="O53" s="520" t="str">
        <f>E53</f>
        <v>Ved Prakash</v>
      </c>
      <c r="P53" s="521"/>
      <c r="Q53" s="521"/>
      <c r="R53" s="521" t="str">
        <f>G53</f>
        <v>J N Gupta</v>
      </c>
      <c r="S53" s="516"/>
    </row>
    <row r="54" spans="1:20">
      <c r="A54" s="517"/>
      <c r="B54" s="518"/>
      <c r="C54" s="518"/>
      <c r="D54" s="518"/>
      <c r="E54" s="518"/>
      <c r="I54" s="516"/>
      <c r="K54" s="517"/>
      <c r="L54" s="518"/>
      <c r="M54" s="518"/>
      <c r="N54" s="518"/>
      <c r="O54" s="518"/>
      <c r="S54" s="516"/>
    </row>
    <row r="55" spans="1:20">
      <c r="A55" s="1161" t="s">
        <v>53</v>
      </c>
      <c r="B55" s="1156"/>
      <c r="C55" s="1156"/>
      <c r="D55" s="1156"/>
      <c r="E55" s="520" t="str">
        <f>'4-22MASTER'!G8</f>
        <v>IT SUPPORTIVE SERVICES &amp; PUNE ASC SEZ</v>
      </c>
      <c r="F55" s="521"/>
      <c r="G55" s="521"/>
      <c r="H55" s="521"/>
      <c r="I55" s="516"/>
      <c r="K55" s="1161" t="s">
        <v>53</v>
      </c>
      <c r="L55" s="1156"/>
      <c r="M55" s="1156"/>
      <c r="N55" s="1156"/>
      <c r="O55" s="520" t="str">
        <f>E55</f>
        <v>IT SUPPORTIVE SERVICES &amp; PUNE ASC SEZ</v>
      </c>
      <c r="P55" s="521"/>
      <c r="Q55" s="521"/>
      <c r="R55" s="521"/>
      <c r="S55" s="516"/>
    </row>
    <row r="56" spans="1:20">
      <c r="A56" s="517"/>
      <c r="B56" s="518"/>
      <c r="C56" s="518"/>
      <c r="D56" s="518"/>
      <c r="E56" s="518"/>
      <c r="I56" s="516"/>
      <c r="K56" s="517"/>
      <c r="L56" s="518"/>
      <c r="M56" s="518"/>
      <c r="N56" s="518"/>
      <c r="O56" s="518"/>
      <c r="S56" s="516"/>
    </row>
    <row r="57" spans="1:20">
      <c r="A57" s="1161" t="s">
        <v>54</v>
      </c>
      <c r="B57" s="1156"/>
      <c r="C57" s="1156"/>
      <c r="D57" s="1156"/>
      <c r="E57" s="522">
        <f>'4-22MASTER'!E10</f>
        <v>44652</v>
      </c>
      <c r="F57" s="521"/>
      <c r="G57" s="521"/>
      <c r="H57" s="521"/>
      <c r="I57" s="516"/>
      <c r="K57" s="1161" t="s">
        <v>54</v>
      </c>
      <c r="L57" s="1156"/>
      <c r="M57" s="1156"/>
      <c r="N57" s="1156"/>
      <c r="O57" s="522">
        <f>E57</f>
        <v>44652</v>
      </c>
      <c r="P57" s="521"/>
      <c r="Q57" s="521"/>
      <c r="R57" s="521"/>
      <c r="S57" s="516"/>
    </row>
    <row r="58" spans="1:20">
      <c r="A58" s="517"/>
      <c r="B58" s="518"/>
      <c r="C58" s="518"/>
      <c r="D58" s="518"/>
      <c r="E58" s="518"/>
      <c r="I58" s="516"/>
      <c r="K58" s="517"/>
      <c r="L58" s="518"/>
      <c r="M58" s="518"/>
      <c r="N58" s="518"/>
      <c r="O58" s="518"/>
      <c r="S58" s="516"/>
    </row>
    <row r="59" spans="1:20">
      <c r="A59" s="523">
        <v>1</v>
      </c>
      <c r="B59" s="1156" t="s">
        <v>55</v>
      </c>
      <c r="C59" s="1156"/>
      <c r="D59" s="1156"/>
      <c r="E59" s="524">
        <f>'4-22MASTER'!X18</f>
        <v>20</v>
      </c>
      <c r="F59" s="521"/>
      <c r="G59" s="521"/>
      <c r="H59" s="521"/>
      <c r="I59" s="516"/>
      <c r="K59" s="523">
        <v>1</v>
      </c>
      <c r="L59" s="1156" t="s">
        <v>55</v>
      </c>
      <c r="M59" s="1156"/>
      <c r="N59" s="1156"/>
      <c r="O59" s="524">
        <f>E59</f>
        <v>20</v>
      </c>
      <c r="P59" s="521"/>
      <c r="Q59" s="521"/>
      <c r="R59" s="521"/>
      <c r="S59" s="516"/>
    </row>
    <row r="60" spans="1:20">
      <c r="A60" s="523"/>
      <c r="B60" s="518"/>
      <c r="C60" s="518"/>
      <c r="D60" s="518"/>
      <c r="E60" s="518"/>
      <c r="I60" s="516"/>
      <c r="K60" s="523"/>
      <c r="L60" s="518"/>
      <c r="M60" s="518"/>
      <c r="N60" s="518"/>
      <c r="O60" s="518"/>
      <c r="S60" s="516"/>
    </row>
    <row r="61" spans="1:20">
      <c r="A61" s="523">
        <v>2</v>
      </c>
      <c r="B61" s="1155" t="s">
        <v>56</v>
      </c>
      <c r="C61" s="1155"/>
      <c r="D61" s="1155"/>
      <c r="E61" s="518"/>
      <c r="I61" s="516"/>
      <c r="K61" s="523">
        <v>2</v>
      </c>
      <c r="L61" s="1155" t="s">
        <v>56</v>
      </c>
      <c r="M61" s="1155"/>
      <c r="N61" s="1155"/>
      <c r="O61" s="518"/>
      <c r="S61" s="516"/>
      <c r="T61" s="7">
        <v>7</v>
      </c>
    </row>
    <row r="62" spans="1:20">
      <c r="A62" s="523"/>
      <c r="B62" s="1155"/>
      <c r="C62" s="1155"/>
      <c r="D62" s="1155"/>
      <c r="E62" s="525" t="s">
        <v>37</v>
      </c>
      <c r="F62" s="521"/>
      <c r="G62" s="521"/>
      <c r="H62" s="521"/>
      <c r="I62" s="516"/>
      <c r="K62" s="523"/>
      <c r="L62" s="1155"/>
      <c r="M62" s="1155"/>
      <c r="N62" s="1155"/>
      <c r="O62" s="525" t="s">
        <v>37</v>
      </c>
      <c r="P62" s="521"/>
      <c r="Q62" s="521"/>
      <c r="R62" s="521"/>
      <c r="S62" s="516"/>
    </row>
    <row r="63" spans="1:20">
      <c r="A63" s="523"/>
      <c r="B63" s="518"/>
      <c r="C63" s="518"/>
      <c r="D63" s="518"/>
      <c r="E63" s="518"/>
      <c r="I63" s="516"/>
      <c r="K63" s="523"/>
      <c r="L63" s="518"/>
      <c r="M63" s="518"/>
      <c r="N63" s="518"/>
      <c r="O63" s="518"/>
      <c r="S63" s="516"/>
    </row>
    <row r="64" spans="1:20">
      <c r="A64" s="523">
        <v>3</v>
      </c>
      <c r="B64" s="1156" t="s">
        <v>57</v>
      </c>
      <c r="C64" s="1156"/>
      <c r="D64" s="1156"/>
      <c r="E64" s="525" t="s">
        <v>37</v>
      </c>
      <c r="F64" s="521"/>
      <c r="G64" s="521"/>
      <c r="H64" s="521"/>
      <c r="I64" s="516"/>
      <c r="K64" s="523">
        <v>3</v>
      </c>
      <c r="L64" s="1156" t="s">
        <v>57</v>
      </c>
      <c r="M64" s="1156"/>
      <c r="N64" s="1156"/>
      <c r="O64" s="520" t="str">
        <f>E64</f>
        <v>N/A</v>
      </c>
      <c r="P64" s="521"/>
      <c r="Q64" s="521"/>
      <c r="R64" s="521"/>
      <c r="S64" s="516"/>
    </row>
    <row r="65" spans="1:19">
      <c r="A65" s="523"/>
      <c r="B65" s="518"/>
      <c r="C65" s="518"/>
      <c r="D65" s="518"/>
      <c r="E65" s="518"/>
      <c r="I65" s="516"/>
      <c r="K65" s="523"/>
      <c r="L65" s="518"/>
      <c r="M65" s="518"/>
      <c r="N65" s="518"/>
      <c r="O65" s="518"/>
      <c r="S65" s="516"/>
    </row>
    <row r="66" spans="1:19">
      <c r="A66" s="523">
        <v>4</v>
      </c>
      <c r="B66" s="1156" t="s">
        <v>58</v>
      </c>
      <c r="C66" s="1156"/>
      <c r="D66" s="1156"/>
      <c r="E66" s="525" t="s">
        <v>59</v>
      </c>
      <c r="F66" s="521"/>
      <c r="G66" s="521"/>
      <c r="H66" s="521"/>
      <c r="I66" s="516"/>
      <c r="K66" s="523">
        <v>4</v>
      </c>
      <c r="L66" s="1156" t="s">
        <v>58</v>
      </c>
      <c r="M66" s="1156"/>
      <c r="N66" s="1156"/>
      <c r="O66" s="525" t="s">
        <v>59</v>
      </c>
      <c r="P66" s="521"/>
      <c r="Q66" s="521"/>
      <c r="R66" s="521"/>
      <c r="S66" s="516"/>
    </row>
    <row r="67" spans="1:19">
      <c r="A67" s="523"/>
      <c r="B67" s="518"/>
      <c r="C67" s="518"/>
      <c r="D67" s="518"/>
      <c r="E67" s="518"/>
      <c r="I67" s="516"/>
      <c r="K67" s="523"/>
      <c r="L67" s="518"/>
      <c r="M67" s="518"/>
      <c r="N67" s="518"/>
      <c r="O67" s="518"/>
      <c r="S67" s="516"/>
    </row>
    <row r="68" spans="1:19">
      <c r="A68" s="523">
        <v>5</v>
      </c>
      <c r="B68" s="1156" t="s">
        <v>60</v>
      </c>
      <c r="C68" s="1156"/>
      <c r="D68" s="1156"/>
      <c r="E68" s="526">
        <f>'4-22MASTER'!AN18</f>
        <v>52740.122159999999</v>
      </c>
      <c r="I68" s="516"/>
      <c r="K68" s="523">
        <v>5</v>
      </c>
      <c r="L68" s="1156" t="s">
        <v>60</v>
      </c>
      <c r="M68" s="1156"/>
      <c r="N68" s="1156"/>
      <c r="O68" s="526">
        <f>E68</f>
        <v>52740.122159999999</v>
      </c>
      <c r="S68" s="516"/>
    </row>
    <row r="69" spans="1:19">
      <c r="A69" s="523"/>
      <c r="B69" s="518"/>
      <c r="C69" s="518"/>
      <c r="D69" s="527" t="s">
        <v>61</v>
      </c>
      <c r="E69" s="527" t="s">
        <v>31</v>
      </c>
      <c r="F69" s="527" t="s">
        <v>33</v>
      </c>
      <c r="G69" s="527" t="s">
        <v>34</v>
      </c>
      <c r="H69" s="527" t="s">
        <v>377</v>
      </c>
      <c r="I69" s="528" t="s">
        <v>378</v>
      </c>
      <c r="K69" s="523"/>
      <c r="L69" s="518"/>
      <c r="M69" s="518"/>
      <c r="N69" s="527" t="s">
        <v>61</v>
      </c>
      <c r="O69" s="527" t="s">
        <v>31</v>
      </c>
      <c r="P69" s="527" t="s">
        <v>33</v>
      </c>
      <c r="Q69" s="527" t="s">
        <v>34</v>
      </c>
      <c r="R69" s="527" t="s">
        <v>377</v>
      </c>
      <c r="S69" s="528" t="s">
        <v>378</v>
      </c>
    </row>
    <row r="70" spans="1:19">
      <c r="A70" s="523">
        <v>6</v>
      </c>
      <c r="B70" s="529" t="s">
        <v>62</v>
      </c>
      <c r="C70" s="529"/>
      <c r="D70" s="530">
        <f>'4-22MASTER'!AP18</f>
        <v>1800</v>
      </c>
      <c r="E70" s="530">
        <f>'4-22MASTER'!AO898</f>
        <v>0</v>
      </c>
      <c r="F70" s="531">
        <f>'4-22MASTER'!AQ18</f>
        <v>200</v>
      </c>
      <c r="G70" s="530">
        <f>'4-22MASTER'!AR18</f>
        <v>0</v>
      </c>
      <c r="H70" s="531">
        <f>'4-22MASTER'!AS18</f>
        <v>440.76132899999999</v>
      </c>
      <c r="I70" s="531">
        <f>SUM(D70:H70)</f>
        <v>2440.7613289999999</v>
      </c>
      <c r="K70" s="523">
        <v>6</v>
      </c>
      <c r="L70" s="529" t="s">
        <v>62</v>
      </c>
      <c r="M70" s="529"/>
      <c r="N70" s="530">
        <f t="shared" ref="N70" si="6">D70</f>
        <v>1800</v>
      </c>
      <c r="O70" s="530">
        <f t="shared" ref="O70" si="7">E70</f>
        <v>0</v>
      </c>
      <c r="P70" s="531">
        <f t="shared" ref="P70" si="8">F70</f>
        <v>200</v>
      </c>
      <c r="Q70" s="530">
        <f t="shared" ref="Q70" si="9">G70</f>
        <v>0</v>
      </c>
      <c r="R70" s="531">
        <f t="shared" ref="R70" si="10">H70</f>
        <v>440.76132899999999</v>
      </c>
      <c r="S70" s="531">
        <f t="shared" ref="S70" si="11">I70</f>
        <v>2440.7613289999999</v>
      </c>
    </row>
    <row r="71" spans="1:19">
      <c r="A71" s="523"/>
      <c r="B71" s="518"/>
      <c r="C71" s="518"/>
      <c r="D71" s="518"/>
      <c r="E71" s="518"/>
      <c r="I71" s="516"/>
      <c r="K71" s="523"/>
      <c r="L71" s="518"/>
      <c r="M71" s="518"/>
      <c r="N71" s="518"/>
      <c r="O71" s="518"/>
      <c r="S71" s="516"/>
    </row>
    <row r="72" spans="1:19">
      <c r="A72" s="523">
        <v>7</v>
      </c>
      <c r="B72" s="1156" t="s">
        <v>63</v>
      </c>
      <c r="C72" s="1156"/>
      <c r="D72" s="1156"/>
      <c r="E72" s="532">
        <f>E68-I70</f>
        <v>50299.360830999998</v>
      </c>
      <c r="F72" s="521"/>
      <c r="G72" s="521"/>
      <c r="H72" s="521"/>
      <c r="I72" s="516"/>
      <c r="K72" s="523">
        <v>7</v>
      </c>
      <c r="L72" s="1156" t="s">
        <v>63</v>
      </c>
      <c r="M72" s="1156"/>
      <c r="N72" s="1156"/>
      <c r="O72" s="532">
        <f>E72</f>
        <v>50299.360830999998</v>
      </c>
      <c r="P72" s="521"/>
      <c r="Q72" s="521"/>
      <c r="R72" s="521"/>
      <c r="S72" s="516"/>
    </row>
    <row r="73" spans="1:19">
      <c r="A73" s="515"/>
      <c r="I73" s="516"/>
      <c r="K73" s="515"/>
      <c r="S73" s="516"/>
    </row>
    <row r="74" spans="1:19">
      <c r="A74" s="515"/>
      <c r="I74" s="516"/>
      <c r="K74" s="515"/>
      <c r="S74" s="516"/>
    </row>
    <row r="75" spans="1:19" ht="15.75" thickBot="1">
      <c r="A75" s="515"/>
      <c r="F75" s="533"/>
      <c r="G75" s="533"/>
      <c r="H75" s="533"/>
      <c r="I75" s="534"/>
      <c r="K75" s="515"/>
      <c r="P75" s="533"/>
      <c r="Q75" s="533"/>
      <c r="R75" s="533"/>
      <c r="S75" s="534"/>
    </row>
    <row r="76" spans="1:19" ht="15.75" thickBot="1">
      <c r="A76" s="535"/>
      <c r="B76" s="533"/>
      <c r="C76" s="533"/>
      <c r="D76" s="533"/>
      <c r="E76" s="533"/>
      <c r="F76" s="1162" t="s">
        <v>64</v>
      </c>
      <c r="G76" s="1162"/>
      <c r="H76" s="1162"/>
      <c r="I76" s="1163"/>
      <c r="K76" s="535"/>
      <c r="L76" s="533"/>
      <c r="M76" s="533"/>
      <c r="N76" s="533"/>
      <c r="O76" s="533"/>
      <c r="P76" s="1162" t="s">
        <v>64</v>
      </c>
      <c r="Q76" s="1162"/>
      <c r="R76" s="1162"/>
      <c r="S76" s="1163"/>
    </row>
    <row r="90" spans="1:19" ht="15.75" thickBot="1"/>
    <row r="91" spans="1:19" ht="26.25">
      <c r="A91" s="1164" t="s">
        <v>50</v>
      </c>
      <c r="B91" s="1165"/>
      <c r="C91" s="1165"/>
      <c r="D91" s="1165"/>
      <c r="E91" s="1165"/>
      <c r="F91" s="1165"/>
      <c r="G91" s="1165"/>
      <c r="H91" s="1165"/>
      <c r="I91" s="1166"/>
      <c r="J91" s="545"/>
      <c r="K91" s="1164" t="s">
        <v>50</v>
      </c>
      <c r="L91" s="1165"/>
      <c r="M91" s="1165"/>
      <c r="N91" s="1165"/>
      <c r="O91" s="1165"/>
      <c r="P91" s="1165"/>
      <c r="Q91" s="1165"/>
      <c r="R91" s="1165"/>
      <c r="S91" s="1166"/>
    </row>
    <row r="92" spans="1:19">
      <c r="A92" s="1167" t="s">
        <v>579</v>
      </c>
      <c r="B92" s="1168"/>
      <c r="C92" s="1168"/>
      <c r="D92" s="1168"/>
      <c r="E92" s="1168"/>
      <c r="F92" s="1168"/>
      <c r="G92" s="1168"/>
      <c r="H92" s="1168"/>
      <c r="I92" s="1169"/>
      <c r="J92" s="545"/>
      <c r="K92" s="1167" t="str">
        <f>A92</f>
        <v>[Vide rule 78 (1) (b) of the Contract Labour (Regulation and Abolition) Central and Maharastra, 1971]</v>
      </c>
      <c r="L92" s="1168"/>
      <c r="M92" s="1168"/>
      <c r="N92" s="1168"/>
      <c r="O92" s="1168"/>
      <c r="P92" s="1168"/>
      <c r="Q92" s="1168"/>
      <c r="R92" s="1168"/>
      <c r="S92" s="1169"/>
    </row>
    <row r="93" spans="1:19">
      <c r="A93" s="633"/>
      <c r="B93" s="545"/>
      <c r="C93" s="545"/>
      <c r="D93" s="545"/>
      <c r="E93" s="545"/>
      <c r="F93" s="545"/>
      <c r="G93" s="545"/>
      <c r="H93" s="545"/>
      <c r="I93" s="634"/>
      <c r="J93" s="545"/>
      <c r="K93" s="633"/>
      <c r="L93" s="545"/>
      <c r="M93" s="545"/>
      <c r="N93" s="545"/>
      <c r="O93" s="545"/>
      <c r="P93" s="545"/>
      <c r="Q93" s="545"/>
      <c r="R93" s="545"/>
      <c r="S93" s="634"/>
    </row>
    <row r="94" spans="1:19">
      <c r="A94" s="517" t="s">
        <v>51</v>
      </c>
      <c r="B94" s="518"/>
      <c r="C94" s="518"/>
      <c r="D94" s="519" t="s">
        <v>381</v>
      </c>
      <c r="E94" s="545"/>
      <c r="F94" s="545"/>
      <c r="G94" s="545"/>
      <c r="H94" s="545"/>
      <c r="I94" s="634"/>
      <c r="J94" s="545"/>
      <c r="K94" s="517" t="s">
        <v>51</v>
      </c>
      <c r="L94" s="518"/>
      <c r="M94" s="518"/>
      <c r="N94" s="519" t="str">
        <f>D94</f>
        <v>Burgeon IT Services Pvt.Ltd.</v>
      </c>
      <c r="O94" s="545"/>
      <c r="P94" s="545"/>
      <c r="Q94" s="545"/>
      <c r="R94" s="545"/>
      <c r="S94" s="634"/>
    </row>
    <row r="95" spans="1:19">
      <c r="A95" s="517"/>
      <c r="B95" s="518" t="s">
        <v>382</v>
      </c>
      <c r="C95" s="518"/>
      <c r="D95" s="518"/>
      <c r="E95" s="545"/>
      <c r="F95" s="545"/>
      <c r="G95" s="545"/>
      <c r="H95" s="545"/>
      <c r="I95" s="634"/>
      <c r="J95" s="545"/>
      <c r="K95" s="517"/>
      <c r="L95" s="518" t="str">
        <f>B95</f>
        <v>Siri Mansion LIGB 436 Dr.A S Rao Nagar,Hyderabad</v>
      </c>
      <c r="M95" s="518"/>
      <c r="N95" s="518"/>
      <c r="O95" s="545"/>
      <c r="P95" s="545"/>
      <c r="Q95" s="545"/>
      <c r="R95" s="545"/>
      <c r="S95" s="634"/>
    </row>
    <row r="96" spans="1:19">
      <c r="A96" s="517"/>
      <c r="B96" s="518">
        <f>'4-22MASTER'!G920</f>
        <v>0</v>
      </c>
      <c r="C96" s="518"/>
      <c r="D96" s="518"/>
      <c r="E96" s="518"/>
      <c r="F96" s="545"/>
      <c r="G96" s="545"/>
      <c r="H96" s="545"/>
      <c r="I96" s="634"/>
      <c r="J96" s="545"/>
      <c r="K96" s="517"/>
      <c r="L96" s="518">
        <f>B96</f>
        <v>0</v>
      </c>
      <c r="M96" s="518"/>
      <c r="N96" s="518"/>
      <c r="O96" s="518"/>
      <c r="P96" s="545"/>
      <c r="Q96" s="545"/>
      <c r="R96" s="545"/>
      <c r="S96" s="634"/>
    </row>
    <row r="97" spans="1:19">
      <c r="A97" s="1160" t="s">
        <v>52</v>
      </c>
      <c r="B97" s="1155"/>
      <c r="C97" s="1155"/>
      <c r="D97" s="1155"/>
      <c r="E97" s="518"/>
      <c r="F97" s="545"/>
      <c r="G97" s="545"/>
      <c r="H97" s="545"/>
      <c r="I97" s="634"/>
      <c r="J97" s="545"/>
      <c r="K97" s="1160" t="s">
        <v>52</v>
      </c>
      <c r="L97" s="1155"/>
      <c r="M97" s="1155"/>
      <c r="N97" s="1155"/>
      <c r="O97" s="518"/>
      <c r="P97" s="545"/>
      <c r="Q97" s="545"/>
      <c r="R97" s="545"/>
      <c r="S97" s="634"/>
    </row>
    <row r="98" spans="1:19">
      <c r="A98" s="1160"/>
      <c r="B98" s="1155"/>
      <c r="C98" s="1155"/>
      <c r="D98" s="1155"/>
      <c r="E98" s="520" t="str">
        <f>'4-22MASTER'!C19</f>
        <v>GauravVispute</v>
      </c>
      <c r="F98" s="635"/>
      <c r="G98" s="635" t="str">
        <f>'4-22MASTER'!V19</f>
        <v>GauravVispute</v>
      </c>
      <c r="H98" s="635"/>
      <c r="I98" s="634"/>
      <c r="J98" s="545"/>
      <c r="K98" s="1160"/>
      <c r="L98" s="1155"/>
      <c r="M98" s="1155"/>
      <c r="N98" s="1155"/>
      <c r="O98" s="520" t="str">
        <f>E98</f>
        <v>GauravVispute</v>
      </c>
      <c r="P98" s="635"/>
      <c r="Q98" s="635"/>
      <c r="R98" s="635" t="str">
        <f>G98</f>
        <v>GauravVispute</v>
      </c>
      <c r="S98" s="634"/>
    </row>
    <row r="99" spans="1:19">
      <c r="A99" s="517"/>
      <c r="B99" s="518"/>
      <c r="C99" s="518"/>
      <c r="D99" s="518"/>
      <c r="E99" s="518"/>
      <c r="F99" s="545"/>
      <c r="G99" s="545"/>
      <c r="H99" s="545"/>
      <c r="I99" s="634"/>
      <c r="J99" s="545"/>
      <c r="K99" s="517"/>
      <c r="L99" s="518"/>
      <c r="M99" s="518"/>
      <c r="N99" s="518"/>
      <c r="O99" s="518"/>
      <c r="P99" s="545"/>
      <c r="Q99" s="545"/>
      <c r="R99" s="545"/>
      <c r="S99" s="634"/>
    </row>
    <row r="100" spans="1:19">
      <c r="A100" s="1161" t="s">
        <v>53</v>
      </c>
      <c r="B100" s="1156"/>
      <c r="C100" s="1156"/>
      <c r="D100" s="1156"/>
      <c r="E100" s="520" t="str">
        <f>'4-22MASTER'!G8</f>
        <v>IT SUPPORTIVE SERVICES &amp; PUNE ASC SEZ</v>
      </c>
      <c r="F100" s="635"/>
      <c r="G100" s="635"/>
      <c r="H100" s="635"/>
      <c r="I100" s="634"/>
      <c r="J100" s="545"/>
      <c r="K100" s="1161" t="s">
        <v>53</v>
      </c>
      <c r="L100" s="1156"/>
      <c r="M100" s="1156"/>
      <c r="N100" s="1156"/>
      <c r="O100" s="520" t="str">
        <f>E100</f>
        <v>IT SUPPORTIVE SERVICES &amp; PUNE ASC SEZ</v>
      </c>
      <c r="P100" s="635"/>
      <c r="Q100" s="635"/>
      <c r="R100" s="635"/>
      <c r="S100" s="634"/>
    </row>
    <row r="101" spans="1:19">
      <c r="A101" s="517"/>
      <c r="B101" s="518"/>
      <c r="C101" s="518"/>
      <c r="D101" s="518"/>
      <c r="E101" s="518"/>
      <c r="F101" s="545"/>
      <c r="G101" s="545"/>
      <c r="H101" s="545"/>
      <c r="I101" s="634"/>
      <c r="J101" s="545"/>
      <c r="K101" s="517"/>
      <c r="L101" s="518"/>
      <c r="M101" s="518"/>
      <c r="N101" s="518"/>
      <c r="O101" s="518"/>
      <c r="P101" s="545"/>
      <c r="Q101" s="545"/>
      <c r="R101" s="545"/>
      <c r="S101" s="634"/>
    </row>
    <row r="102" spans="1:19">
      <c r="A102" s="1161" t="s">
        <v>54</v>
      </c>
      <c r="B102" s="1156"/>
      <c r="C102" s="1156"/>
      <c r="D102" s="1156"/>
      <c r="E102" s="522">
        <f>'4-22MASTER'!E10</f>
        <v>44652</v>
      </c>
      <c r="F102" s="635"/>
      <c r="G102" s="635"/>
      <c r="H102" s="635"/>
      <c r="I102" s="634"/>
      <c r="J102" s="545"/>
      <c r="K102" s="1161" t="s">
        <v>54</v>
      </c>
      <c r="L102" s="1156"/>
      <c r="M102" s="1156"/>
      <c r="N102" s="1156"/>
      <c r="O102" s="522">
        <f>E102</f>
        <v>44652</v>
      </c>
      <c r="P102" s="635"/>
      <c r="Q102" s="635"/>
      <c r="R102" s="635"/>
      <c r="S102" s="634"/>
    </row>
    <row r="103" spans="1:19">
      <c r="A103" s="517"/>
      <c r="B103" s="518"/>
      <c r="C103" s="518"/>
      <c r="D103" s="518"/>
      <c r="E103" s="518"/>
      <c r="F103" s="545"/>
      <c r="G103" s="545"/>
      <c r="H103" s="545"/>
      <c r="I103" s="634"/>
      <c r="J103" s="545"/>
      <c r="K103" s="517"/>
      <c r="L103" s="518"/>
      <c r="M103" s="518"/>
      <c r="N103" s="518"/>
      <c r="O103" s="518"/>
      <c r="P103" s="545"/>
      <c r="Q103" s="545"/>
      <c r="R103" s="545"/>
      <c r="S103" s="634"/>
    </row>
    <row r="104" spans="1:19">
      <c r="A104" s="523">
        <v>1</v>
      </c>
      <c r="B104" s="1156" t="s">
        <v>55</v>
      </c>
      <c r="C104" s="1156"/>
      <c r="D104" s="1156"/>
      <c r="E104" s="524">
        <f>'4-22MASTER'!X19</f>
        <v>29</v>
      </c>
      <c r="F104" s="635"/>
      <c r="G104" s="635"/>
      <c r="H104" s="635"/>
      <c r="I104" s="634"/>
      <c r="J104" s="545"/>
      <c r="K104" s="523">
        <v>1</v>
      </c>
      <c r="L104" s="1156" t="s">
        <v>55</v>
      </c>
      <c r="M104" s="1156"/>
      <c r="N104" s="1156"/>
      <c r="O104" s="524">
        <f>E104</f>
        <v>29</v>
      </c>
      <c r="P104" s="635"/>
      <c r="Q104" s="635"/>
      <c r="R104" s="635"/>
      <c r="S104" s="634"/>
    </row>
    <row r="105" spans="1:19">
      <c r="A105" s="523"/>
      <c r="B105" s="518"/>
      <c r="C105" s="518"/>
      <c r="D105" s="518"/>
      <c r="E105" s="518"/>
      <c r="F105" s="545"/>
      <c r="G105" s="545"/>
      <c r="H105" s="545"/>
      <c r="I105" s="634"/>
      <c r="J105" s="545"/>
      <c r="K105" s="523"/>
      <c r="L105" s="518"/>
      <c r="M105" s="518"/>
      <c r="N105" s="518"/>
      <c r="O105" s="518"/>
      <c r="P105" s="545"/>
      <c r="Q105" s="545"/>
      <c r="R105" s="545"/>
      <c r="S105" s="634"/>
    </row>
    <row r="106" spans="1:19">
      <c r="A106" s="523">
        <v>2</v>
      </c>
      <c r="B106" s="1155" t="s">
        <v>56</v>
      </c>
      <c r="C106" s="1155"/>
      <c r="D106" s="1155"/>
      <c r="E106" s="518"/>
      <c r="F106" s="545"/>
      <c r="G106" s="545"/>
      <c r="H106" s="545"/>
      <c r="I106" s="634"/>
      <c r="J106" s="545"/>
      <c r="K106" s="523">
        <v>2</v>
      </c>
      <c r="L106" s="1155" t="s">
        <v>56</v>
      </c>
      <c r="M106" s="1155"/>
      <c r="N106" s="1155"/>
      <c r="O106" s="518"/>
      <c r="P106" s="545"/>
      <c r="Q106" s="545"/>
      <c r="R106" s="545"/>
      <c r="S106" s="634"/>
    </row>
    <row r="107" spans="1:19">
      <c r="A107" s="523"/>
      <c r="B107" s="1155"/>
      <c r="C107" s="1155"/>
      <c r="D107" s="1155"/>
      <c r="E107" s="525" t="s">
        <v>37</v>
      </c>
      <c r="F107" s="635"/>
      <c r="G107" s="635"/>
      <c r="H107" s="635"/>
      <c r="I107" s="634"/>
      <c r="J107" s="545"/>
      <c r="K107" s="523"/>
      <c r="L107" s="1155"/>
      <c r="M107" s="1155"/>
      <c r="N107" s="1155"/>
      <c r="O107" s="525" t="s">
        <v>37</v>
      </c>
      <c r="P107" s="635"/>
      <c r="Q107" s="635"/>
      <c r="R107" s="635"/>
      <c r="S107" s="634"/>
    </row>
    <row r="108" spans="1:19">
      <c r="A108" s="523"/>
      <c r="B108" s="518"/>
      <c r="C108" s="518"/>
      <c r="D108" s="518"/>
      <c r="E108" s="518"/>
      <c r="F108" s="545"/>
      <c r="G108" s="545"/>
      <c r="H108" s="545"/>
      <c r="I108" s="634"/>
      <c r="J108" s="545"/>
      <c r="K108" s="523"/>
      <c r="L108" s="518"/>
      <c r="M108" s="518"/>
      <c r="N108" s="518"/>
      <c r="O108" s="518"/>
      <c r="P108" s="545"/>
      <c r="Q108" s="545"/>
      <c r="R108" s="545"/>
      <c r="S108" s="634"/>
    </row>
    <row r="109" spans="1:19">
      <c r="A109" s="523">
        <v>3</v>
      </c>
      <c r="B109" s="1156" t="s">
        <v>57</v>
      </c>
      <c r="C109" s="1156"/>
      <c r="D109" s="1156"/>
      <c r="E109" s="525" t="s">
        <v>37</v>
      </c>
      <c r="F109" s="635"/>
      <c r="G109" s="635"/>
      <c r="H109" s="635"/>
      <c r="I109" s="634"/>
      <c r="J109" s="545"/>
      <c r="K109" s="523">
        <v>3</v>
      </c>
      <c r="L109" s="1156" t="s">
        <v>57</v>
      </c>
      <c r="M109" s="1156"/>
      <c r="N109" s="1156"/>
      <c r="O109" s="520" t="str">
        <f>E109</f>
        <v>N/A</v>
      </c>
      <c r="P109" s="635"/>
      <c r="Q109" s="635"/>
      <c r="R109" s="635"/>
      <c r="S109" s="634"/>
    </row>
    <row r="110" spans="1:19">
      <c r="A110" s="523"/>
      <c r="B110" s="518"/>
      <c r="C110" s="518"/>
      <c r="D110" s="518"/>
      <c r="E110" s="518"/>
      <c r="F110" s="545"/>
      <c r="G110" s="545"/>
      <c r="H110" s="545"/>
      <c r="I110" s="634"/>
      <c r="J110" s="545"/>
      <c r="K110" s="523"/>
      <c r="L110" s="518"/>
      <c r="M110" s="518"/>
      <c r="N110" s="518"/>
      <c r="O110" s="518"/>
      <c r="P110" s="545"/>
      <c r="Q110" s="545"/>
      <c r="R110" s="545"/>
      <c r="S110" s="634"/>
    </row>
    <row r="111" spans="1:19">
      <c r="A111" s="523">
        <v>4</v>
      </c>
      <c r="B111" s="1156" t="s">
        <v>58</v>
      </c>
      <c r="C111" s="1156"/>
      <c r="D111" s="1156"/>
      <c r="E111" s="525" t="s">
        <v>59</v>
      </c>
      <c r="F111" s="635"/>
      <c r="G111" s="635"/>
      <c r="H111" s="635"/>
      <c r="I111" s="634"/>
      <c r="J111" s="545"/>
      <c r="K111" s="523">
        <v>4</v>
      </c>
      <c r="L111" s="1156" t="s">
        <v>58</v>
      </c>
      <c r="M111" s="1156"/>
      <c r="N111" s="1156"/>
      <c r="O111" s="525" t="s">
        <v>59</v>
      </c>
      <c r="P111" s="635"/>
      <c r="Q111" s="635"/>
      <c r="R111" s="635"/>
      <c r="S111" s="634"/>
    </row>
    <row r="112" spans="1:19">
      <c r="A112" s="523"/>
      <c r="B112" s="518"/>
      <c r="C112" s="518"/>
      <c r="D112" s="518"/>
      <c r="E112" s="518"/>
      <c r="F112" s="545"/>
      <c r="G112" s="545"/>
      <c r="H112" s="545"/>
      <c r="I112" s="634"/>
      <c r="J112" s="545"/>
      <c r="K112" s="523"/>
      <c r="L112" s="518"/>
      <c r="M112" s="518"/>
      <c r="N112" s="518"/>
      <c r="O112" s="518"/>
      <c r="P112" s="545"/>
      <c r="Q112" s="545"/>
      <c r="R112" s="545"/>
      <c r="S112" s="634"/>
    </row>
    <row r="113" spans="1:19">
      <c r="A113" s="523">
        <v>5</v>
      </c>
      <c r="B113" s="1156" t="s">
        <v>60</v>
      </c>
      <c r="C113" s="1156"/>
      <c r="D113" s="1156"/>
      <c r="E113" s="526">
        <f>'4-22MASTER'!AN19</f>
        <v>46722.888395999995</v>
      </c>
      <c r="F113" s="545"/>
      <c r="G113" s="545"/>
      <c r="H113" s="545"/>
      <c r="I113" s="634"/>
      <c r="J113" s="545"/>
      <c r="K113" s="523">
        <v>5</v>
      </c>
      <c r="L113" s="1156" t="s">
        <v>60</v>
      </c>
      <c r="M113" s="1156"/>
      <c r="N113" s="1156"/>
      <c r="O113" s="526">
        <f>E113</f>
        <v>46722.888395999995</v>
      </c>
      <c r="P113" s="545"/>
      <c r="Q113" s="545"/>
      <c r="R113" s="545"/>
      <c r="S113" s="634"/>
    </row>
    <row r="114" spans="1:19">
      <c r="A114" s="523"/>
      <c r="B114" s="518"/>
      <c r="C114" s="518"/>
      <c r="D114" s="527" t="s">
        <v>61</v>
      </c>
      <c r="E114" s="527" t="s">
        <v>31</v>
      </c>
      <c r="F114" s="527" t="s">
        <v>33</v>
      </c>
      <c r="G114" s="527" t="s">
        <v>34</v>
      </c>
      <c r="H114" s="527" t="s">
        <v>377</v>
      </c>
      <c r="I114" s="636" t="s">
        <v>378</v>
      </c>
      <c r="J114" s="545"/>
      <c r="K114" s="523"/>
      <c r="L114" s="518"/>
      <c r="M114" s="518"/>
      <c r="N114" s="527" t="s">
        <v>61</v>
      </c>
      <c r="O114" s="527" t="s">
        <v>31</v>
      </c>
      <c r="P114" s="527" t="s">
        <v>33</v>
      </c>
      <c r="Q114" s="527" t="s">
        <v>34</v>
      </c>
      <c r="R114" s="527" t="s">
        <v>377</v>
      </c>
      <c r="S114" s="636" t="s">
        <v>378</v>
      </c>
    </row>
    <row r="115" spans="1:19">
      <c r="A115" s="523">
        <v>6</v>
      </c>
      <c r="B115" s="623" t="s">
        <v>62</v>
      </c>
      <c r="C115" s="623"/>
      <c r="D115" s="530">
        <f>'4-22MASTER'!AP19</f>
        <v>1800</v>
      </c>
      <c r="E115" s="530">
        <f>'4-22MASTER'!AO931</f>
        <v>0</v>
      </c>
      <c r="F115" s="637">
        <f>'4-22MASTER'!AQ19</f>
        <v>200</v>
      </c>
      <c r="G115" s="530">
        <f>'4-22MASTER'!AR19</f>
        <v>0</v>
      </c>
      <c r="H115" s="637">
        <f>'4-22MASTER'!AS19</f>
        <v>391.787848</v>
      </c>
      <c r="I115" s="637">
        <f>SUM(D115:H115)</f>
        <v>2391.7878479999999</v>
      </c>
      <c r="J115" s="545"/>
      <c r="K115" s="523">
        <v>6</v>
      </c>
      <c r="L115" s="623" t="s">
        <v>62</v>
      </c>
      <c r="M115" s="623"/>
      <c r="N115" s="530">
        <f t="shared" ref="N115" si="12">D115</f>
        <v>1800</v>
      </c>
      <c r="O115" s="530">
        <f t="shared" ref="O115" si="13">E115</f>
        <v>0</v>
      </c>
      <c r="P115" s="637">
        <f t="shared" ref="P115" si="14">F115</f>
        <v>200</v>
      </c>
      <c r="Q115" s="530">
        <f t="shared" ref="Q115" si="15">G115</f>
        <v>0</v>
      </c>
      <c r="R115" s="637">
        <f t="shared" ref="R115" si="16">H115</f>
        <v>391.787848</v>
      </c>
      <c r="S115" s="637">
        <f t="shared" ref="S115" si="17">I115</f>
        <v>2391.7878479999999</v>
      </c>
    </row>
    <row r="116" spans="1:19">
      <c r="A116" s="523"/>
      <c r="B116" s="518"/>
      <c r="C116" s="518"/>
      <c r="D116" s="518"/>
      <c r="E116" s="518"/>
      <c r="F116" s="545"/>
      <c r="G116" s="545"/>
      <c r="H116" s="545"/>
      <c r="I116" s="634"/>
      <c r="J116" s="545"/>
      <c r="K116" s="523"/>
      <c r="L116" s="518"/>
      <c r="M116" s="518"/>
      <c r="N116" s="518"/>
      <c r="O116" s="518"/>
      <c r="P116" s="545"/>
      <c r="Q116" s="545"/>
      <c r="R116" s="545"/>
      <c r="S116" s="634"/>
    </row>
    <row r="117" spans="1:19">
      <c r="A117" s="523">
        <v>7</v>
      </c>
      <c r="B117" s="1156" t="s">
        <v>63</v>
      </c>
      <c r="C117" s="1156"/>
      <c r="D117" s="1156"/>
      <c r="E117" s="532">
        <f>E113-I115</f>
        <v>44331.100547999995</v>
      </c>
      <c r="F117" s="635"/>
      <c r="G117" s="635"/>
      <c r="H117" s="635"/>
      <c r="I117" s="634"/>
      <c r="J117" s="545"/>
      <c r="K117" s="523">
        <v>7</v>
      </c>
      <c r="L117" s="1156" t="s">
        <v>63</v>
      </c>
      <c r="M117" s="1156"/>
      <c r="N117" s="1156"/>
      <c r="O117" s="532">
        <f>E117</f>
        <v>44331.100547999995</v>
      </c>
      <c r="P117" s="635"/>
      <c r="Q117" s="635"/>
      <c r="R117" s="635"/>
      <c r="S117" s="634"/>
    </row>
    <row r="118" spans="1:19">
      <c r="A118" s="633"/>
      <c r="B118" s="545"/>
      <c r="C118" s="545"/>
      <c r="D118" s="545"/>
      <c r="E118" s="545"/>
      <c r="F118" s="545"/>
      <c r="G118" s="545"/>
      <c r="H118" s="545"/>
      <c r="I118" s="634"/>
      <c r="J118" s="545"/>
      <c r="K118" s="633"/>
      <c r="L118" s="545"/>
      <c r="M118" s="545"/>
      <c r="N118" s="545"/>
      <c r="O118" s="545"/>
      <c r="P118" s="545"/>
      <c r="Q118" s="545"/>
      <c r="R118" s="545"/>
      <c r="S118" s="634"/>
    </row>
    <row r="119" spans="1:19">
      <c r="A119" s="515"/>
      <c r="I119" s="516"/>
      <c r="K119" s="515"/>
      <c r="S119" s="516"/>
    </row>
    <row r="120" spans="1:19" ht="15.75" thickBot="1">
      <c r="A120" s="515"/>
      <c r="F120" s="533"/>
      <c r="G120" s="533"/>
      <c r="H120" s="533"/>
      <c r="I120" s="534"/>
      <c r="K120" s="515"/>
      <c r="P120" s="533"/>
      <c r="Q120" s="533"/>
      <c r="R120" s="533"/>
      <c r="S120" s="534"/>
    </row>
    <row r="121" spans="1:19" ht="15.75" thickBot="1">
      <c r="A121" s="535"/>
      <c r="B121" s="533"/>
      <c r="C121" s="533"/>
      <c r="D121" s="533"/>
      <c r="E121" s="533"/>
      <c r="F121" s="1162" t="s">
        <v>64</v>
      </c>
      <c r="G121" s="1162"/>
      <c r="H121" s="1162"/>
      <c r="I121" s="1163"/>
      <c r="K121" s="535"/>
      <c r="L121" s="533"/>
      <c r="M121" s="533"/>
      <c r="N121" s="533"/>
      <c r="O121" s="533"/>
      <c r="P121" s="1162" t="s">
        <v>64</v>
      </c>
      <c r="Q121" s="1162"/>
      <c r="R121" s="1162"/>
      <c r="S121" s="1163"/>
    </row>
    <row r="135" spans="1:19" ht="15.75" thickBot="1"/>
    <row r="136" spans="1:19" ht="26.25">
      <c r="A136" s="1164" t="s">
        <v>50</v>
      </c>
      <c r="B136" s="1165"/>
      <c r="C136" s="1165"/>
      <c r="D136" s="1165"/>
      <c r="E136" s="1165"/>
      <c r="F136" s="1165"/>
      <c r="G136" s="1165"/>
      <c r="H136" s="1165"/>
      <c r="I136" s="1166"/>
      <c r="K136" s="1164" t="s">
        <v>50</v>
      </c>
      <c r="L136" s="1165"/>
      <c r="M136" s="1165"/>
      <c r="N136" s="1165"/>
      <c r="O136" s="1165"/>
      <c r="P136" s="1165"/>
      <c r="Q136" s="1165"/>
      <c r="R136" s="1165"/>
      <c r="S136" s="1166"/>
    </row>
    <row r="137" spans="1:19">
      <c r="A137" s="1157" t="s">
        <v>579</v>
      </c>
      <c r="B137" s="1158"/>
      <c r="C137" s="1158"/>
      <c r="D137" s="1158"/>
      <c r="E137" s="1158"/>
      <c r="F137" s="1158"/>
      <c r="G137" s="1158"/>
      <c r="H137" s="1158"/>
      <c r="I137" s="1159"/>
      <c r="K137" s="1157" t="str">
        <f>A137</f>
        <v>[Vide rule 78 (1) (b) of the Contract Labour (Regulation and Abolition) Central and Maharastra, 1971]</v>
      </c>
      <c r="L137" s="1158"/>
      <c r="M137" s="1158"/>
      <c r="N137" s="1158"/>
      <c r="O137" s="1158"/>
      <c r="P137" s="1158"/>
      <c r="Q137" s="1158"/>
      <c r="R137" s="1158"/>
      <c r="S137" s="1159"/>
    </row>
    <row r="138" spans="1:19">
      <c r="A138" s="515"/>
      <c r="I138" s="516"/>
      <c r="K138" s="515"/>
      <c r="S138" s="516"/>
    </row>
    <row r="139" spans="1:19">
      <c r="A139" s="517" t="s">
        <v>51</v>
      </c>
      <c r="B139" s="518"/>
      <c r="C139" s="518"/>
      <c r="D139" s="519" t="s">
        <v>381</v>
      </c>
      <c r="I139" s="516"/>
      <c r="K139" s="517" t="s">
        <v>51</v>
      </c>
      <c r="L139" s="518"/>
      <c r="M139" s="518"/>
      <c r="N139" s="519" t="str">
        <f>D139</f>
        <v>Burgeon IT Services Pvt.Ltd.</v>
      </c>
      <c r="S139" s="516"/>
    </row>
    <row r="140" spans="1:19">
      <c r="A140" s="517"/>
      <c r="B140" s="518" t="s">
        <v>382</v>
      </c>
      <c r="C140" s="518"/>
      <c r="D140" s="518"/>
      <c r="I140" s="516"/>
      <c r="K140" s="517"/>
      <c r="L140" s="518" t="str">
        <f>B140</f>
        <v>Siri Mansion LIGB 436 Dr.A S Rao Nagar,Hyderabad</v>
      </c>
      <c r="M140" s="518"/>
      <c r="N140" s="518"/>
      <c r="S140" s="516"/>
    </row>
    <row r="141" spans="1:19">
      <c r="A141" s="517"/>
      <c r="B141" s="518">
        <f>'4-22MASTER'!G1371</f>
        <v>0</v>
      </c>
      <c r="C141" s="518"/>
      <c r="D141" s="518"/>
      <c r="E141" s="518"/>
      <c r="I141" s="516"/>
      <c r="K141" s="517"/>
      <c r="L141" s="518">
        <f>B141</f>
        <v>0</v>
      </c>
      <c r="M141" s="518"/>
      <c r="N141" s="518"/>
      <c r="O141" s="518"/>
      <c r="S141" s="516"/>
    </row>
    <row r="142" spans="1:19">
      <c r="A142" s="1160" t="s">
        <v>52</v>
      </c>
      <c r="B142" s="1155"/>
      <c r="C142" s="1155"/>
      <c r="D142" s="1155"/>
      <c r="E142" s="518"/>
      <c r="I142" s="516"/>
      <c r="K142" s="1160" t="s">
        <v>52</v>
      </c>
      <c r="L142" s="1155"/>
      <c r="M142" s="1155"/>
      <c r="N142" s="1155"/>
      <c r="O142" s="518"/>
      <c r="S142" s="516"/>
    </row>
    <row r="143" spans="1:19">
      <c r="A143" s="1160"/>
      <c r="B143" s="1155"/>
      <c r="C143" s="1155"/>
      <c r="D143" s="1155"/>
      <c r="E143" s="520" t="str">
        <f>'4-22MASTER'!C20</f>
        <v>Anjali Dubey</v>
      </c>
      <c r="F143" s="521"/>
      <c r="G143" s="521"/>
      <c r="H143" s="521" t="str">
        <f>'4-22MASTER'!F20</f>
        <v>Ravindra Nath Dubey</v>
      </c>
      <c r="I143" s="516"/>
      <c r="K143" s="1160"/>
      <c r="L143" s="1155"/>
      <c r="M143" s="1155"/>
      <c r="N143" s="1155"/>
      <c r="O143" s="520" t="str">
        <f>E143</f>
        <v>Anjali Dubey</v>
      </c>
      <c r="P143" s="521"/>
      <c r="Q143" s="521"/>
      <c r="R143" s="521" t="str">
        <f>H143</f>
        <v>Ravindra Nath Dubey</v>
      </c>
      <c r="S143" s="516"/>
    </row>
    <row r="144" spans="1:19">
      <c r="A144" s="517"/>
      <c r="B144" s="518"/>
      <c r="C144" s="518"/>
      <c r="D144" s="518"/>
      <c r="E144" s="518"/>
      <c r="I144" s="516"/>
      <c r="K144" s="517"/>
      <c r="L144" s="518"/>
      <c r="M144" s="518"/>
      <c r="N144" s="518"/>
      <c r="O144" s="518"/>
      <c r="S144" s="516"/>
    </row>
    <row r="145" spans="1:19">
      <c r="A145" s="1161" t="s">
        <v>53</v>
      </c>
      <c r="B145" s="1156"/>
      <c r="C145" s="1156"/>
      <c r="D145" s="1156"/>
      <c r="E145" s="520" t="s">
        <v>601</v>
      </c>
      <c r="F145" s="521"/>
      <c r="G145" s="521"/>
      <c r="H145" s="521"/>
      <c r="I145" s="516"/>
      <c r="K145" s="1161" t="s">
        <v>53</v>
      </c>
      <c r="L145" s="1156"/>
      <c r="M145" s="1156"/>
      <c r="N145" s="1156"/>
      <c r="O145" s="520" t="str">
        <f>E145</f>
        <v>IT SUPPORTIVE SERVICES &amp; PUNE ASC SEZ</v>
      </c>
      <c r="P145" s="521"/>
      <c r="Q145" s="521"/>
      <c r="R145" s="521"/>
      <c r="S145" s="516"/>
    </row>
    <row r="146" spans="1:19">
      <c r="A146" s="517"/>
      <c r="B146" s="518"/>
      <c r="C146" s="518"/>
      <c r="D146" s="518"/>
      <c r="E146" s="518"/>
      <c r="I146" s="516"/>
      <c r="K146" s="517"/>
      <c r="L146" s="518"/>
      <c r="M146" s="518"/>
      <c r="N146" s="518"/>
      <c r="O146" s="518"/>
      <c r="S146" s="516"/>
    </row>
    <row r="147" spans="1:19">
      <c r="A147" s="1161" t="s">
        <v>54</v>
      </c>
      <c r="B147" s="1156"/>
      <c r="C147" s="1156"/>
      <c r="D147" s="1156"/>
      <c r="E147" s="522">
        <f>'4-22MASTER'!E10</f>
        <v>44652</v>
      </c>
      <c r="F147" s="521"/>
      <c r="G147" s="521"/>
      <c r="H147" s="521"/>
      <c r="I147" s="516"/>
      <c r="K147" s="1161" t="s">
        <v>54</v>
      </c>
      <c r="L147" s="1156"/>
      <c r="M147" s="1156"/>
      <c r="N147" s="1156"/>
      <c r="O147" s="522">
        <f>E147</f>
        <v>44652</v>
      </c>
      <c r="P147" s="521"/>
      <c r="Q147" s="521"/>
      <c r="R147" s="521"/>
      <c r="S147" s="516"/>
    </row>
    <row r="148" spans="1:19">
      <c r="A148" s="517"/>
      <c r="B148" s="518"/>
      <c r="C148" s="518"/>
      <c r="D148" s="518"/>
      <c r="E148" s="518"/>
      <c r="I148" s="516"/>
      <c r="K148" s="517"/>
      <c r="L148" s="518"/>
      <c r="M148" s="518"/>
      <c r="N148" s="518"/>
      <c r="O148" s="518"/>
      <c r="S148" s="516"/>
    </row>
    <row r="149" spans="1:19">
      <c r="A149" s="523">
        <v>1</v>
      </c>
      <c r="B149" s="1156" t="s">
        <v>55</v>
      </c>
      <c r="C149" s="1156"/>
      <c r="D149" s="1156"/>
      <c r="E149" s="524">
        <f>'4-22MASTER'!X20</f>
        <v>28</v>
      </c>
      <c r="F149" s="521"/>
      <c r="G149" s="521"/>
      <c r="H149" s="521"/>
      <c r="I149" s="516"/>
      <c r="K149" s="523">
        <v>1</v>
      </c>
      <c r="L149" s="1156" t="s">
        <v>55</v>
      </c>
      <c r="M149" s="1156"/>
      <c r="N149" s="1156"/>
      <c r="O149" s="524">
        <f>E149</f>
        <v>28</v>
      </c>
      <c r="P149" s="521"/>
      <c r="Q149" s="521"/>
      <c r="R149" s="521"/>
      <c r="S149" s="516"/>
    </row>
    <row r="150" spans="1:19">
      <c r="A150" s="523"/>
      <c r="B150" s="518"/>
      <c r="C150" s="518"/>
      <c r="D150" s="518"/>
      <c r="E150" s="518"/>
      <c r="I150" s="516"/>
      <c r="K150" s="523"/>
      <c r="L150" s="518"/>
      <c r="M150" s="518"/>
      <c r="N150" s="518"/>
      <c r="O150" s="518"/>
      <c r="S150" s="516"/>
    </row>
    <row r="151" spans="1:19">
      <c r="A151" s="523">
        <v>2</v>
      </c>
      <c r="B151" s="1155" t="s">
        <v>56</v>
      </c>
      <c r="C151" s="1155"/>
      <c r="D151" s="1155"/>
      <c r="E151" s="518"/>
      <c r="I151" s="516"/>
      <c r="K151" s="523">
        <v>2</v>
      </c>
      <c r="L151" s="1155" t="s">
        <v>56</v>
      </c>
      <c r="M151" s="1155"/>
      <c r="N151" s="1155"/>
      <c r="O151" s="518"/>
      <c r="S151" s="516"/>
    </row>
    <row r="152" spans="1:19">
      <c r="A152" s="523"/>
      <c r="B152" s="1155"/>
      <c r="C152" s="1155"/>
      <c r="D152" s="1155"/>
      <c r="E152" s="525" t="s">
        <v>37</v>
      </c>
      <c r="F152" s="521"/>
      <c r="G152" s="521"/>
      <c r="H152" s="521"/>
      <c r="I152" s="516"/>
      <c r="K152" s="523"/>
      <c r="L152" s="1155"/>
      <c r="M152" s="1155"/>
      <c r="N152" s="1155"/>
      <c r="O152" s="525" t="s">
        <v>37</v>
      </c>
      <c r="P152" s="521"/>
      <c r="Q152" s="521"/>
      <c r="R152" s="521"/>
      <c r="S152" s="516"/>
    </row>
    <row r="153" spans="1:19">
      <c r="A153" s="523"/>
      <c r="B153" s="518"/>
      <c r="C153" s="518"/>
      <c r="D153" s="518"/>
      <c r="E153" s="518"/>
      <c r="I153" s="516"/>
      <c r="K153" s="523"/>
      <c r="L153" s="518"/>
      <c r="M153" s="518"/>
      <c r="N153" s="518"/>
      <c r="O153" s="518"/>
      <c r="S153" s="516"/>
    </row>
    <row r="154" spans="1:19">
      <c r="A154" s="523">
        <v>3</v>
      </c>
      <c r="B154" s="1156" t="s">
        <v>57</v>
      </c>
      <c r="C154" s="1156"/>
      <c r="D154" s="1156"/>
      <c r="E154" s="525" t="s">
        <v>37</v>
      </c>
      <c r="F154" s="521"/>
      <c r="G154" s="521"/>
      <c r="H154" s="521"/>
      <c r="I154" s="516"/>
      <c r="K154" s="523">
        <v>3</v>
      </c>
      <c r="L154" s="1156" t="s">
        <v>57</v>
      </c>
      <c r="M154" s="1156"/>
      <c r="N154" s="1156"/>
      <c r="O154" s="520" t="str">
        <f>E154</f>
        <v>N/A</v>
      </c>
      <c r="P154" s="521"/>
      <c r="Q154" s="521"/>
      <c r="R154" s="521"/>
      <c r="S154" s="516"/>
    </row>
    <row r="155" spans="1:19">
      <c r="A155" s="523"/>
      <c r="B155" s="518"/>
      <c r="C155" s="518"/>
      <c r="D155" s="518"/>
      <c r="E155" s="518"/>
      <c r="I155" s="516"/>
      <c r="K155" s="523"/>
      <c r="L155" s="518"/>
      <c r="M155" s="518"/>
      <c r="N155" s="518"/>
      <c r="O155" s="518"/>
      <c r="S155" s="516"/>
    </row>
    <row r="156" spans="1:19">
      <c r="A156" s="523">
        <v>4</v>
      </c>
      <c r="B156" s="1156" t="s">
        <v>58</v>
      </c>
      <c r="C156" s="1156"/>
      <c r="D156" s="1156"/>
      <c r="E156" s="525" t="s">
        <v>59</v>
      </c>
      <c r="F156" s="521"/>
      <c r="G156" s="521"/>
      <c r="H156" s="521"/>
      <c r="I156" s="516"/>
      <c r="K156" s="523">
        <v>4</v>
      </c>
      <c r="L156" s="1156" t="s">
        <v>58</v>
      </c>
      <c r="M156" s="1156"/>
      <c r="N156" s="1156"/>
      <c r="O156" s="525" t="s">
        <v>59</v>
      </c>
      <c r="P156" s="521"/>
      <c r="Q156" s="521"/>
      <c r="R156" s="521"/>
      <c r="S156" s="516"/>
    </row>
    <row r="157" spans="1:19">
      <c r="A157" s="523"/>
      <c r="B157" s="518"/>
      <c r="C157" s="518"/>
      <c r="D157" s="518"/>
      <c r="E157" s="518"/>
      <c r="I157" s="516"/>
      <c r="K157" s="523"/>
      <c r="L157" s="518"/>
      <c r="M157" s="518"/>
      <c r="N157" s="518"/>
      <c r="O157" s="518"/>
      <c r="S157" s="516"/>
    </row>
    <row r="158" spans="1:19">
      <c r="A158" s="523">
        <v>5</v>
      </c>
      <c r="B158" s="1156" t="s">
        <v>60</v>
      </c>
      <c r="C158" s="1156"/>
      <c r="D158" s="1156"/>
      <c r="E158" s="526"/>
      <c r="F158" s="7">
        <f>'4-22MASTER'!AN20</f>
        <v>61035.548623999995</v>
      </c>
      <c r="I158" s="516"/>
      <c r="K158" s="523">
        <v>5</v>
      </c>
      <c r="L158" s="1156" t="s">
        <v>60</v>
      </c>
      <c r="M158" s="1156"/>
      <c r="N158" s="1156"/>
      <c r="O158" s="526">
        <f>E158</f>
        <v>0</v>
      </c>
      <c r="S158" s="516"/>
    </row>
    <row r="159" spans="1:19">
      <c r="A159" s="523"/>
      <c r="B159" s="518"/>
      <c r="C159" s="518"/>
      <c r="D159" s="527" t="s">
        <v>61</v>
      </c>
      <c r="E159" s="527" t="s">
        <v>31</v>
      </c>
      <c r="F159" s="527" t="s">
        <v>33</v>
      </c>
      <c r="G159" s="527" t="s">
        <v>34</v>
      </c>
      <c r="H159" s="527" t="s">
        <v>377</v>
      </c>
      <c r="I159" s="528" t="s">
        <v>378</v>
      </c>
      <c r="K159" s="523"/>
      <c r="L159" s="518"/>
      <c r="M159" s="518"/>
      <c r="N159" s="527" t="s">
        <v>61</v>
      </c>
      <c r="O159" s="527" t="s">
        <v>31</v>
      </c>
      <c r="P159" s="527" t="s">
        <v>33</v>
      </c>
      <c r="Q159" s="527" t="s">
        <v>34</v>
      </c>
      <c r="R159" s="527" t="s">
        <v>377</v>
      </c>
      <c r="S159" s="528" t="s">
        <v>378</v>
      </c>
    </row>
    <row r="160" spans="1:19">
      <c r="A160" s="523">
        <v>6</v>
      </c>
      <c r="B160" s="623" t="s">
        <v>62</v>
      </c>
      <c r="C160" s="623"/>
      <c r="D160" s="530">
        <f>'4-22MASTER'!AP20</f>
        <v>1800</v>
      </c>
      <c r="E160" s="530">
        <f>'4-22MASTER'!AO1382</f>
        <v>0</v>
      </c>
      <c r="F160" s="531">
        <f>'4-22MASTER'!AQ20</f>
        <v>200</v>
      </c>
      <c r="G160" s="530">
        <f>'4-22MASTER'!AR20</f>
        <v>0</v>
      </c>
      <c r="H160" s="531">
        <f>'4-22MASTER'!AS20</f>
        <v>254</v>
      </c>
      <c r="I160" s="531">
        <f>SUM(D160:H160)</f>
        <v>2254</v>
      </c>
      <c r="K160" s="523">
        <v>6</v>
      </c>
      <c r="L160" s="623" t="s">
        <v>62</v>
      </c>
      <c r="M160" s="623"/>
      <c r="N160" s="530">
        <f t="shared" ref="N160" si="18">D160</f>
        <v>1800</v>
      </c>
      <c r="O160" s="530">
        <f t="shared" ref="O160" si="19">E160</f>
        <v>0</v>
      </c>
      <c r="P160" s="531">
        <f t="shared" ref="P160" si="20">F160</f>
        <v>200</v>
      </c>
      <c r="Q160" s="530">
        <f t="shared" ref="Q160" si="21">G160</f>
        <v>0</v>
      </c>
      <c r="R160" s="531">
        <f t="shared" ref="R160" si="22">H160</f>
        <v>254</v>
      </c>
      <c r="S160" s="531">
        <f t="shared" ref="S160" si="23">I160</f>
        <v>2254</v>
      </c>
    </row>
    <row r="161" spans="1:19">
      <c r="A161" s="523"/>
      <c r="B161" s="518"/>
      <c r="C161" s="518"/>
      <c r="D161" s="518"/>
      <c r="E161" s="518"/>
      <c r="I161" s="516"/>
      <c r="K161" s="523"/>
      <c r="L161" s="518"/>
      <c r="M161" s="518"/>
      <c r="N161" s="518"/>
      <c r="O161" s="518"/>
      <c r="S161" s="516"/>
    </row>
    <row r="162" spans="1:19">
      <c r="A162" s="523">
        <v>7</v>
      </c>
      <c r="B162" s="1156" t="s">
        <v>63</v>
      </c>
      <c r="C162" s="1156"/>
      <c r="D162" s="1156"/>
      <c r="E162" s="532">
        <f>F158-D160-F160-G160-H160</f>
        <v>58781.548623999995</v>
      </c>
      <c r="F162" s="521"/>
      <c r="G162" s="521"/>
      <c r="H162" s="521"/>
      <c r="I162" s="516"/>
      <c r="K162" s="523">
        <v>7</v>
      </c>
      <c r="L162" s="1156" t="s">
        <v>63</v>
      </c>
      <c r="M162" s="1156"/>
      <c r="N162" s="1156"/>
      <c r="O162" s="532">
        <f>E162</f>
        <v>58781.548623999995</v>
      </c>
      <c r="P162" s="521"/>
      <c r="Q162" s="521"/>
      <c r="R162" s="521"/>
      <c r="S162" s="516"/>
    </row>
    <row r="163" spans="1:19">
      <c r="A163" s="515"/>
      <c r="I163" s="516"/>
      <c r="K163" s="515"/>
      <c r="S163" s="516"/>
    </row>
    <row r="164" spans="1:19">
      <c r="A164" s="515"/>
      <c r="I164" s="516"/>
      <c r="K164" s="515"/>
      <c r="S164" s="516"/>
    </row>
    <row r="165" spans="1:19" ht="15.75" thickBot="1">
      <c r="A165" s="515"/>
      <c r="F165" s="533"/>
      <c r="G165" s="533"/>
      <c r="H165" s="533"/>
      <c r="I165" s="534"/>
      <c r="K165" s="515"/>
      <c r="P165" s="533"/>
      <c r="Q165" s="533"/>
      <c r="R165" s="533"/>
      <c r="S165" s="534"/>
    </row>
    <row r="166" spans="1:19" ht="15.75" thickBot="1">
      <c r="A166" s="535"/>
      <c r="B166" s="533"/>
      <c r="C166" s="533"/>
      <c r="D166" s="533"/>
      <c r="E166" s="533"/>
      <c r="F166" s="1162" t="s">
        <v>64</v>
      </c>
      <c r="G166" s="1162"/>
      <c r="H166" s="1162"/>
      <c r="I166" s="1163"/>
      <c r="K166" s="535"/>
      <c r="L166" s="533"/>
      <c r="M166" s="533"/>
      <c r="N166" s="533"/>
      <c r="O166" s="533"/>
      <c r="P166" s="1162" t="s">
        <v>64</v>
      </c>
      <c r="Q166" s="1162"/>
      <c r="R166" s="1162"/>
      <c r="S166" s="1163"/>
    </row>
    <row r="176" spans="1:19" ht="15.75" thickBot="1"/>
    <row r="177" spans="1:19" ht="26.25">
      <c r="A177" s="1164" t="s">
        <v>50</v>
      </c>
      <c r="B177" s="1165"/>
      <c r="C177" s="1165"/>
      <c r="D177" s="1165"/>
      <c r="E177" s="1165"/>
      <c r="F177" s="1165"/>
      <c r="G177" s="1165"/>
      <c r="H177" s="1165"/>
      <c r="I177" s="1166"/>
      <c r="K177" s="1164" t="s">
        <v>50</v>
      </c>
      <c r="L177" s="1165"/>
      <c r="M177" s="1165"/>
      <c r="N177" s="1165"/>
      <c r="O177" s="1165"/>
      <c r="P177" s="1165"/>
      <c r="Q177" s="1165"/>
      <c r="R177" s="1165"/>
      <c r="S177" s="1166"/>
    </row>
    <row r="178" spans="1:19">
      <c r="A178" s="1157" t="s">
        <v>579</v>
      </c>
      <c r="B178" s="1158"/>
      <c r="C178" s="1158"/>
      <c r="D178" s="1158"/>
      <c r="E178" s="1158"/>
      <c r="F178" s="1158"/>
      <c r="G178" s="1158"/>
      <c r="H178" s="1158"/>
      <c r="I178" s="1159"/>
      <c r="K178" s="1157" t="str">
        <f>A178</f>
        <v>[Vide rule 78 (1) (b) of the Contract Labour (Regulation and Abolition) Central and Maharastra, 1971]</v>
      </c>
      <c r="L178" s="1158"/>
      <c r="M178" s="1158"/>
      <c r="N178" s="1158"/>
      <c r="O178" s="1158"/>
      <c r="P178" s="1158"/>
      <c r="Q178" s="1158"/>
      <c r="R178" s="1158"/>
      <c r="S178" s="1159"/>
    </row>
    <row r="179" spans="1:19">
      <c r="A179" s="515"/>
      <c r="I179" s="516"/>
      <c r="K179" s="515"/>
      <c r="S179" s="516"/>
    </row>
    <row r="180" spans="1:19">
      <c r="A180" s="517" t="s">
        <v>51</v>
      </c>
      <c r="B180" s="518"/>
      <c r="C180" s="518"/>
      <c r="D180" s="519" t="s">
        <v>381</v>
      </c>
      <c r="I180" s="516"/>
      <c r="K180" s="517" t="s">
        <v>51</v>
      </c>
      <c r="L180" s="518"/>
      <c r="M180" s="518"/>
      <c r="N180" s="519" t="str">
        <f>D180</f>
        <v>Burgeon IT Services Pvt.Ltd.</v>
      </c>
      <c r="S180" s="516"/>
    </row>
    <row r="181" spans="1:19">
      <c r="A181" s="517"/>
      <c r="B181" s="518" t="s">
        <v>382</v>
      </c>
      <c r="C181" s="518"/>
      <c r="D181" s="518"/>
      <c r="I181" s="516"/>
      <c r="K181" s="517"/>
      <c r="L181" s="518" t="str">
        <f>B181</f>
        <v>Siri Mansion LIGB 436 Dr.A S Rao Nagar,Hyderabad</v>
      </c>
      <c r="M181" s="518"/>
      <c r="N181" s="518"/>
      <c r="S181" s="516"/>
    </row>
    <row r="182" spans="1:19">
      <c r="A182" s="517"/>
      <c r="B182" s="518">
        <f>'4-22MASTER'!G1488</f>
        <v>0</v>
      </c>
      <c r="C182" s="518"/>
      <c r="D182" s="518"/>
      <c r="E182" s="518"/>
      <c r="I182" s="516"/>
      <c r="K182" s="517"/>
      <c r="L182" s="518">
        <f>B182</f>
        <v>0</v>
      </c>
      <c r="M182" s="518"/>
      <c r="N182" s="518"/>
      <c r="O182" s="518"/>
      <c r="S182" s="516"/>
    </row>
    <row r="183" spans="1:19">
      <c r="A183" s="1160" t="s">
        <v>52</v>
      </c>
      <c r="B183" s="1155"/>
      <c r="C183" s="1155"/>
      <c r="D183" s="1155"/>
      <c r="E183" s="518"/>
      <c r="I183" s="516"/>
      <c r="K183" s="1160" t="s">
        <v>52</v>
      </c>
      <c r="L183" s="1155"/>
      <c r="M183" s="1155"/>
      <c r="N183" s="1155"/>
      <c r="O183" s="518"/>
      <c r="S183" s="516"/>
    </row>
    <row r="184" spans="1:19">
      <c r="A184" s="1160"/>
      <c r="B184" s="1155"/>
      <c r="C184" s="1155"/>
      <c r="D184" s="1155"/>
      <c r="E184" s="520" t="str">
        <f>'4-22MASTER'!C21</f>
        <v>TUSHAR UCHAGAONKAR</v>
      </c>
      <c r="F184" s="521"/>
      <c r="G184" s="521" t="str">
        <f>'4-22MASTER'!F21</f>
        <v>Pundalik Uchagaonkar</v>
      </c>
      <c r="H184" s="521"/>
      <c r="I184" s="516"/>
      <c r="K184" s="1160"/>
      <c r="L184" s="1155"/>
      <c r="M184" s="1155"/>
      <c r="N184" s="1155"/>
      <c r="O184" s="520" t="str">
        <f>E184</f>
        <v>TUSHAR UCHAGAONKAR</v>
      </c>
      <c r="P184" s="521"/>
      <c r="Q184" s="521"/>
      <c r="R184" s="521" t="str">
        <f>G184</f>
        <v>Pundalik Uchagaonkar</v>
      </c>
      <c r="S184" s="516"/>
    </row>
    <row r="185" spans="1:19">
      <c r="A185" s="517"/>
      <c r="B185" s="518"/>
      <c r="C185" s="518"/>
      <c r="D185" s="518"/>
      <c r="E185" s="518"/>
      <c r="I185" s="516"/>
      <c r="K185" s="517"/>
      <c r="L185" s="518"/>
      <c r="M185" s="518"/>
      <c r="N185" s="518"/>
      <c r="O185" s="518"/>
      <c r="S185" s="516"/>
    </row>
    <row r="186" spans="1:19">
      <c r="A186" s="1161" t="s">
        <v>53</v>
      </c>
      <c r="B186" s="1156"/>
      <c r="C186" s="1156"/>
      <c r="D186" s="1156"/>
      <c r="E186" s="520" t="s">
        <v>601</v>
      </c>
      <c r="F186" s="521"/>
      <c r="G186" s="521"/>
      <c r="H186" s="521"/>
      <c r="I186" s="516"/>
      <c r="K186" s="1161" t="s">
        <v>53</v>
      </c>
      <c r="L186" s="1156"/>
      <c r="M186" s="1156"/>
      <c r="N186" s="1156"/>
      <c r="O186" s="520" t="str">
        <f>E186</f>
        <v>IT SUPPORTIVE SERVICES &amp; PUNE ASC SEZ</v>
      </c>
      <c r="P186" s="521"/>
      <c r="Q186" s="521"/>
      <c r="R186" s="521"/>
      <c r="S186" s="516"/>
    </row>
    <row r="187" spans="1:19">
      <c r="A187" s="517"/>
      <c r="B187" s="518"/>
      <c r="C187" s="518"/>
      <c r="D187" s="518"/>
      <c r="E187" s="518"/>
      <c r="I187" s="516"/>
      <c r="K187" s="517"/>
      <c r="L187" s="518"/>
      <c r="M187" s="518"/>
      <c r="N187" s="518"/>
      <c r="O187" s="518"/>
      <c r="S187" s="516"/>
    </row>
    <row r="188" spans="1:19">
      <c r="A188" s="1161" t="s">
        <v>54</v>
      </c>
      <c r="B188" s="1156"/>
      <c r="C188" s="1156"/>
      <c r="D188" s="1156"/>
      <c r="E188" s="522">
        <f>'4-22MASTER'!E10</f>
        <v>44652</v>
      </c>
      <c r="F188" s="521"/>
      <c r="G188" s="521"/>
      <c r="H188" s="521"/>
      <c r="I188" s="516"/>
      <c r="K188" s="1161" t="s">
        <v>54</v>
      </c>
      <c r="L188" s="1156"/>
      <c r="M188" s="1156"/>
      <c r="N188" s="1156"/>
      <c r="O188" s="522">
        <f>E188</f>
        <v>44652</v>
      </c>
      <c r="P188" s="521"/>
      <c r="Q188" s="521"/>
      <c r="R188" s="521"/>
      <c r="S188" s="516"/>
    </row>
    <row r="189" spans="1:19">
      <c r="A189" s="517"/>
      <c r="B189" s="518"/>
      <c r="C189" s="518"/>
      <c r="D189" s="518"/>
      <c r="E189" s="518"/>
      <c r="I189" s="516"/>
      <c r="K189" s="517"/>
      <c r="L189" s="518"/>
      <c r="M189" s="518"/>
      <c r="N189" s="518"/>
      <c r="O189" s="518"/>
      <c r="S189" s="516"/>
    </row>
    <row r="190" spans="1:19">
      <c r="A190" s="523">
        <v>1</v>
      </c>
      <c r="B190" s="1156" t="s">
        <v>55</v>
      </c>
      <c r="C190" s="1156"/>
      <c r="D190" s="1156"/>
      <c r="E190" s="524">
        <f>'4-22MASTER'!X21</f>
        <v>30</v>
      </c>
      <c r="F190" s="521"/>
      <c r="G190" s="521"/>
      <c r="H190" s="521"/>
      <c r="I190" s="516"/>
      <c r="K190" s="523">
        <v>1</v>
      </c>
      <c r="L190" s="1156" t="s">
        <v>55</v>
      </c>
      <c r="M190" s="1156"/>
      <c r="N190" s="1156"/>
      <c r="O190" s="524">
        <f>E190</f>
        <v>30</v>
      </c>
      <c r="P190" s="521"/>
      <c r="Q190" s="521"/>
      <c r="R190" s="521"/>
      <c r="S190" s="516"/>
    </row>
    <row r="191" spans="1:19">
      <c r="A191" s="523"/>
      <c r="B191" s="518"/>
      <c r="C191" s="518"/>
      <c r="D191" s="518"/>
      <c r="E191" s="518"/>
      <c r="I191" s="516"/>
      <c r="K191" s="523"/>
      <c r="L191" s="518"/>
      <c r="M191" s="518"/>
      <c r="N191" s="518"/>
      <c r="O191" s="518"/>
      <c r="S191" s="516"/>
    </row>
    <row r="192" spans="1:19">
      <c r="A192" s="523">
        <v>2</v>
      </c>
      <c r="B192" s="1155" t="s">
        <v>56</v>
      </c>
      <c r="C192" s="1155"/>
      <c r="D192" s="1155"/>
      <c r="E192" s="518"/>
      <c r="I192" s="516"/>
      <c r="K192" s="523">
        <v>2</v>
      </c>
      <c r="L192" s="1155" t="s">
        <v>56</v>
      </c>
      <c r="M192" s="1155"/>
      <c r="N192" s="1155"/>
      <c r="O192" s="518"/>
      <c r="S192" s="516"/>
    </row>
    <row r="193" spans="1:19">
      <c r="A193" s="523"/>
      <c r="B193" s="1155"/>
      <c r="C193" s="1155"/>
      <c r="D193" s="1155"/>
      <c r="E193" s="525" t="s">
        <v>37</v>
      </c>
      <c r="F193" s="521"/>
      <c r="G193" s="521"/>
      <c r="H193" s="521"/>
      <c r="I193" s="516"/>
      <c r="K193" s="523"/>
      <c r="L193" s="1155"/>
      <c r="M193" s="1155"/>
      <c r="N193" s="1155"/>
      <c r="O193" s="525" t="s">
        <v>37</v>
      </c>
      <c r="P193" s="521"/>
      <c r="Q193" s="521"/>
      <c r="R193" s="521"/>
      <c r="S193" s="516"/>
    </row>
    <row r="194" spans="1:19">
      <c r="A194" s="523"/>
      <c r="B194" s="518"/>
      <c r="C194" s="518"/>
      <c r="D194" s="518"/>
      <c r="E194" s="518"/>
      <c r="I194" s="516"/>
      <c r="K194" s="523"/>
      <c r="L194" s="518"/>
      <c r="M194" s="518"/>
      <c r="N194" s="518"/>
      <c r="O194" s="518"/>
      <c r="S194" s="516"/>
    </row>
    <row r="195" spans="1:19">
      <c r="A195" s="523">
        <v>3</v>
      </c>
      <c r="B195" s="1156" t="s">
        <v>57</v>
      </c>
      <c r="C195" s="1156"/>
      <c r="D195" s="1156"/>
      <c r="E195" s="525" t="s">
        <v>37</v>
      </c>
      <c r="F195" s="521"/>
      <c r="G195" s="521"/>
      <c r="H195" s="521"/>
      <c r="I195" s="516"/>
      <c r="K195" s="523">
        <v>3</v>
      </c>
      <c r="L195" s="1156" t="s">
        <v>57</v>
      </c>
      <c r="M195" s="1156"/>
      <c r="N195" s="1156"/>
      <c r="O195" s="520" t="str">
        <f>E195</f>
        <v>N/A</v>
      </c>
      <c r="P195" s="521"/>
      <c r="Q195" s="521"/>
      <c r="R195" s="521"/>
      <c r="S195" s="516"/>
    </row>
    <row r="196" spans="1:19">
      <c r="A196" s="523"/>
      <c r="B196" s="518"/>
      <c r="C196" s="518"/>
      <c r="D196" s="518"/>
      <c r="E196" s="518"/>
      <c r="I196" s="516"/>
      <c r="K196" s="523"/>
      <c r="L196" s="518"/>
      <c r="M196" s="518"/>
      <c r="N196" s="518"/>
      <c r="O196" s="518"/>
      <c r="S196" s="516"/>
    </row>
    <row r="197" spans="1:19">
      <c r="A197" s="523">
        <v>4</v>
      </c>
      <c r="B197" s="1156" t="s">
        <v>58</v>
      </c>
      <c r="C197" s="1156"/>
      <c r="D197" s="1156"/>
      <c r="E197" s="525" t="s">
        <v>59</v>
      </c>
      <c r="F197" s="521"/>
      <c r="G197" s="521"/>
      <c r="H197" s="521"/>
      <c r="I197" s="516"/>
      <c r="K197" s="523">
        <v>4</v>
      </c>
      <c r="L197" s="1156" t="s">
        <v>58</v>
      </c>
      <c r="M197" s="1156"/>
      <c r="N197" s="1156"/>
      <c r="O197" s="525" t="s">
        <v>59</v>
      </c>
      <c r="P197" s="521"/>
      <c r="Q197" s="521"/>
      <c r="R197" s="521"/>
      <c r="S197" s="516"/>
    </row>
    <row r="198" spans="1:19">
      <c r="A198" s="523"/>
      <c r="B198" s="518"/>
      <c r="C198" s="518"/>
      <c r="D198" s="518"/>
      <c r="E198" s="518"/>
      <c r="I198" s="516"/>
      <c r="K198" s="523"/>
      <c r="L198" s="518"/>
      <c r="M198" s="518"/>
      <c r="N198" s="518"/>
      <c r="O198" s="518"/>
      <c r="S198" s="516"/>
    </row>
    <row r="199" spans="1:19">
      <c r="A199" s="523">
        <v>5</v>
      </c>
      <c r="B199" s="1156" t="s">
        <v>60</v>
      </c>
      <c r="C199" s="1156"/>
      <c r="D199" s="1156"/>
      <c r="E199" s="526">
        <f>'4-22MASTER'!AN21</f>
        <v>85276.022420000008</v>
      </c>
      <c r="I199" s="516"/>
      <c r="K199" s="523">
        <v>5</v>
      </c>
      <c r="L199" s="1156" t="s">
        <v>60</v>
      </c>
      <c r="M199" s="1156"/>
      <c r="N199" s="1156"/>
      <c r="O199" s="526">
        <f>E199</f>
        <v>85276.022420000008</v>
      </c>
      <c r="S199" s="516"/>
    </row>
    <row r="200" spans="1:19">
      <c r="A200" s="523"/>
      <c r="B200" s="518"/>
      <c r="C200" s="518"/>
      <c r="D200" s="527" t="s">
        <v>61</v>
      </c>
      <c r="E200" s="527" t="s">
        <v>31</v>
      </c>
      <c r="F200" s="527" t="s">
        <v>33</v>
      </c>
      <c r="G200" s="527" t="s">
        <v>34</v>
      </c>
      <c r="H200" s="527" t="s">
        <v>377</v>
      </c>
      <c r="I200" s="528" t="s">
        <v>378</v>
      </c>
      <c r="K200" s="523"/>
      <c r="L200" s="518"/>
      <c r="M200" s="518"/>
      <c r="N200" s="527" t="s">
        <v>61</v>
      </c>
      <c r="O200" s="527" t="s">
        <v>31</v>
      </c>
      <c r="P200" s="527" t="s">
        <v>33</v>
      </c>
      <c r="Q200" s="527" t="s">
        <v>34</v>
      </c>
      <c r="R200" s="527" t="s">
        <v>377</v>
      </c>
      <c r="S200" s="528" t="s">
        <v>378</v>
      </c>
    </row>
    <row r="201" spans="1:19">
      <c r="A201" s="523">
        <v>6</v>
      </c>
      <c r="B201" s="623" t="s">
        <v>62</v>
      </c>
      <c r="C201" s="623"/>
      <c r="D201" s="530">
        <f>'4-22MASTER'!AP21</f>
        <v>1800</v>
      </c>
      <c r="E201" s="530">
        <f>'4-22MASTER'!AO1499</f>
        <v>0</v>
      </c>
      <c r="F201" s="531">
        <f>'4-22MASTER'!AQ21</f>
        <v>200</v>
      </c>
      <c r="G201" s="530">
        <f>'4-22MASTER'!AR21</f>
        <v>0</v>
      </c>
      <c r="H201" s="531">
        <f>'4-22MASTER'!AS21</f>
        <v>283</v>
      </c>
      <c r="I201" s="531">
        <f>SUM(D201:H201)</f>
        <v>2283</v>
      </c>
      <c r="K201" s="523">
        <v>6</v>
      </c>
      <c r="L201" s="623" t="s">
        <v>62</v>
      </c>
      <c r="M201" s="623"/>
      <c r="N201" s="530">
        <f t="shared" ref="N201" si="24">D201</f>
        <v>1800</v>
      </c>
      <c r="O201" s="530">
        <f t="shared" ref="O201" si="25">E201</f>
        <v>0</v>
      </c>
      <c r="P201" s="531">
        <f t="shared" ref="P201" si="26">F201</f>
        <v>200</v>
      </c>
      <c r="Q201" s="530">
        <f t="shared" ref="Q201" si="27">G201</f>
        <v>0</v>
      </c>
      <c r="R201" s="531">
        <f t="shared" ref="R201" si="28">H201</f>
        <v>283</v>
      </c>
      <c r="S201" s="531">
        <f t="shared" ref="S201" si="29">I201</f>
        <v>2283</v>
      </c>
    </row>
    <row r="202" spans="1:19">
      <c r="A202" s="523"/>
      <c r="B202" s="518"/>
      <c r="C202" s="518"/>
      <c r="D202" s="518"/>
      <c r="E202" s="518"/>
      <c r="I202" s="516"/>
      <c r="K202" s="523"/>
      <c r="L202" s="518"/>
      <c r="M202" s="518"/>
      <c r="N202" s="518"/>
      <c r="O202" s="518"/>
      <c r="S202" s="516"/>
    </row>
    <row r="203" spans="1:19">
      <c r="A203" s="523">
        <v>7</v>
      </c>
      <c r="B203" s="1156" t="s">
        <v>63</v>
      </c>
      <c r="C203" s="1156"/>
      <c r="D203" s="1156"/>
      <c r="E203" s="532">
        <f>E199-I201</f>
        <v>82993.022420000008</v>
      </c>
      <c r="F203" s="521"/>
      <c r="G203" s="521"/>
      <c r="H203" s="521"/>
      <c r="I203" s="516"/>
      <c r="K203" s="523">
        <v>7</v>
      </c>
      <c r="L203" s="1156" t="s">
        <v>63</v>
      </c>
      <c r="M203" s="1156"/>
      <c r="N203" s="1156"/>
      <c r="O203" s="532">
        <f>E203</f>
        <v>82993.022420000008</v>
      </c>
      <c r="P203" s="521"/>
      <c r="Q203" s="521"/>
      <c r="R203" s="521"/>
      <c r="S203" s="516"/>
    </row>
    <row r="204" spans="1:19">
      <c r="A204" s="515"/>
      <c r="I204" s="516"/>
      <c r="K204" s="515"/>
      <c r="S204" s="516"/>
    </row>
    <row r="205" spans="1:19">
      <c r="A205" s="515"/>
      <c r="I205" s="516"/>
      <c r="K205" s="515"/>
      <c r="S205" s="516"/>
    </row>
    <row r="206" spans="1:19" ht="15.75" thickBot="1">
      <c r="A206" s="515"/>
      <c r="F206" s="533"/>
      <c r="G206" s="533"/>
      <c r="H206" s="533"/>
      <c r="I206" s="534"/>
      <c r="K206" s="515"/>
      <c r="P206" s="533"/>
      <c r="Q206" s="533"/>
      <c r="R206" s="533"/>
      <c r="S206" s="534"/>
    </row>
    <row r="207" spans="1:19" ht="15.75" thickBot="1">
      <c r="A207" s="535"/>
      <c r="B207" s="533"/>
      <c r="C207" s="533"/>
      <c r="D207" s="533"/>
      <c r="E207" s="533"/>
      <c r="F207" s="1162" t="s">
        <v>64</v>
      </c>
      <c r="G207" s="1162"/>
      <c r="H207" s="1162"/>
      <c r="I207" s="1163"/>
      <c r="K207" s="535"/>
      <c r="L207" s="533"/>
      <c r="M207" s="533"/>
      <c r="N207" s="533"/>
      <c r="O207" s="533"/>
      <c r="P207" s="1162" t="s">
        <v>64</v>
      </c>
      <c r="Q207" s="1162"/>
      <c r="R207" s="1162"/>
      <c r="S207" s="1163"/>
    </row>
    <row r="215" spans="1:19" ht="15.75" thickBot="1"/>
    <row r="216" spans="1:19" ht="26.25">
      <c r="A216" s="1164" t="s">
        <v>50</v>
      </c>
      <c r="B216" s="1165"/>
      <c r="C216" s="1165"/>
      <c r="D216" s="1165"/>
      <c r="E216" s="1165"/>
      <c r="F216" s="1165"/>
      <c r="G216" s="1165"/>
      <c r="H216" s="1165"/>
      <c r="I216" s="1166"/>
      <c r="K216" s="1164" t="s">
        <v>50</v>
      </c>
      <c r="L216" s="1165"/>
      <c r="M216" s="1165"/>
      <c r="N216" s="1165"/>
      <c r="O216" s="1165"/>
      <c r="P216" s="1165"/>
      <c r="Q216" s="1165"/>
      <c r="R216" s="1165"/>
      <c r="S216" s="1166"/>
    </row>
    <row r="217" spans="1:19">
      <c r="A217" s="1157" t="s">
        <v>579</v>
      </c>
      <c r="B217" s="1158"/>
      <c r="C217" s="1158"/>
      <c r="D217" s="1158"/>
      <c r="E217" s="1158"/>
      <c r="F217" s="1158"/>
      <c r="G217" s="1158"/>
      <c r="H217" s="1158"/>
      <c r="I217" s="1159"/>
      <c r="K217" s="1157" t="str">
        <f>A217</f>
        <v>[Vide rule 78 (1) (b) of the Contract Labour (Regulation and Abolition) Central and Maharastra, 1971]</v>
      </c>
      <c r="L217" s="1158"/>
      <c r="M217" s="1158"/>
      <c r="N217" s="1158"/>
      <c r="O217" s="1158"/>
      <c r="P217" s="1158"/>
      <c r="Q217" s="1158"/>
      <c r="R217" s="1158"/>
      <c r="S217" s="1159"/>
    </row>
    <row r="218" spans="1:19">
      <c r="A218" s="515"/>
      <c r="I218" s="516"/>
      <c r="K218" s="515"/>
      <c r="S218" s="516"/>
    </row>
    <row r="219" spans="1:19">
      <c r="A219" s="517" t="s">
        <v>51</v>
      </c>
      <c r="B219" s="518"/>
      <c r="C219" s="518"/>
      <c r="D219" s="519" t="s">
        <v>381</v>
      </c>
      <c r="I219" s="516"/>
      <c r="K219" s="517" t="s">
        <v>51</v>
      </c>
      <c r="L219" s="518"/>
      <c r="M219" s="518"/>
      <c r="N219" s="519" t="str">
        <f>D219</f>
        <v>Burgeon IT Services Pvt.Ltd.</v>
      </c>
      <c r="S219" s="516"/>
    </row>
    <row r="220" spans="1:19">
      <c r="A220" s="517"/>
      <c r="B220" s="518" t="s">
        <v>382</v>
      </c>
      <c r="C220" s="518"/>
      <c r="D220" s="518"/>
      <c r="I220" s="516"/>
      <c r="K220" s="517"/>
      <c r="L220" s="518" t="str">
        <f>B220</f>
        <v>Siri Mansion LIGB 436 Dr.A S Rao Nagar,Hyderabad</v>
      </c>
      <c r="M220" s="518"/>
      <c r="N220" s="518"/>
      <c r="S220" s="516"/>
    </row>
    <row r="221" spans="1:19">
      <c r="A221" s="517"/>
      <c r="B221" s="518">
        <f>'4-22MASTER'!G1527</f>
        <v>0</v>
      </c>
      <c r="C221" s="518"/>
      <c r="D221" s="518"/>
      <c r="E221" s="518"/>
      <c r="I221" s="516"/>
      <c r="K221" s="517"/>
      <c r="L221" s="518">
        <f>B221</f>
        <v>0</v>
      </c>
      <c r="M221" s="518"/>
      <c r="N221" s="518"/>
      <c r="O221" s="518"/>
      <c r="S221" s="516"/>
    </row>
    <row r="222" spans="1:19">
      <c r="A222" s="1160" t="s">
        <v>52</v>
      </c>
      <c r="B222" s="1155"/>
      <c r="C222" s="1155"/>
      <c r="D222" s="1155"/>
      <c r="E222" s="518"/>
      <c r="I222" s="516"/>
      <c r="K222" s="1160" t="s">
        <v>52</v>
      </c>
      <c r="L222" s="1155"/>
      <c r="M222" s="1155"/>
      <c r="N222" s="1155"/>
      <c r="O222" s="518"/>
      <c r="S222" s="516"/>
    </row>
    <row r="223" spans="1:19">
      <c r="A223" s="1160"/>
      <c r="B223" s="1155"/>
      <c r="C223" s="1155"/>
      <c r="D223" s="1155"/>
      <c r="E223" s="520" t="str">
        <f>'4-22MASTER'!C22</f>
        <v>Sneha Hande</v>
      </c>
      <c r="F223" s="521"/>
      <c r="G223" s="521"/>
      <c r="H223" s="521" t="str">
        <f>'4-22MASTER'!F22</f>
        <v>Ramchandra Nathu Hande</v>
      </c>
      <c r="I223" s="516"/>
      <c r="K223" s="1160"/>
      <c r="L223" s="1155"/>
      <c r="M223" s="1155"/>
      <c r="N223" s="1155"/>
      <c r="O223" s="520" t="str">
        <f>E223</f>
        <v>Sneha Hande</v>
      </c>
      <c r="P223" s="521"/>
      <c r="Q223" s="521"/>
      <c r="R223" s="521" t="str">
        <f>H223</f>
        <v>Ramchandra Nathu Hande</v>
      </c>
      <c r="S223" s="516"/>
    </row>
    <row r="224" spans="1:19">
      <c r="A224" s="517"/>
      <c r="B224" s="518"/>
      <c r="C224" s="518"/>
      <c r="D224" s="518"/>
      <c r="E224" s="518"/>
      <c r="I224" s="516"/>
      <c r="K224" s="517"/>
      <c r="L224" s="518"/>
      <c r="M224" s="518"/>
      <c r="N224" s="518"/>
      <c r="O224" s="518"/>
      <c r="S224" s="516"/>
    </row>
    <row r="225" spans="1:19">
      <c r="A225" s="1161" t="s">
        <v>53</v>
      </c>
      <c r="B225" s="1156"/>
      <c r="C225" s="1156"/>
      <c r="D225" s="1156"/>
      <c r="E225" s="520" t="s">
        <v>601</v>
      </c>
      <c r="F225" s="521"/>
      <c r="G225" s="521"/>
      <c r="H225" s="521"/>
      <c r="I225" s="516"/>
      <c r="K225" s="1161" t="s">
        <v>53</v>
      </c>
      <c r="L225" s="1156"/>
      <c r="M225" s="1156"/>
      <c r="N225" s="1156"/>
      <c r="O225" s="520" t="str">
        <f>E225</f>
        <v>IT SUPPORTIVE SERVICES &amp; PUNE ASC SEZ</v>
      </c>
      <c r="P225" s="521"/>
      <c r="Q225" s="521"/>
      <c r="R225" s="521"/>
      <c r="S225" s="516"/>
    </row>
    <row r="226" spans="1:19">
      <c r="A226" s="517"/>
      <c r="B226" s="518"/>
      <c r="C226" s="518"/>
      <c r="D226" s="518"/>
      <c r="E226" s="518"/>
      <c r="I226" s="516"/>
      <c r="K226" s="517"/>
      <c r="L226" s="518"/>
      <c r="M226" s="518"/>
      <c r="N226" s="518"/>
      <c r="O226" s="518"/>
      <c r="S226" s="516"/>
    </row>
    <row r="227" spans="1:19">
      <c r="A227" s="1161" t="s">
        <v>54</v>
      </c>
      <c r="B227" s="1156"/>
      <c r="C227" s="1156"/>
      <c r="D227" s="1156"/>
      <c r="E227" s="522">
        <f>'4-22MASTER'!E10</f>
        <v>44652</v>
      </c>
      <c r="F227" s="521"/>
      <c r="G227" s="521"/>
      <c r="H227" s="521"/>
      <c r="I227" s="516"/>
      <c r="K227" s="1161" t="s">
        <v>54</v>
      </c>
      <c r="L227" s="1156"/>
      <c r="M227" s="1156"/>
      <c r="N227" s="1156"/>
      <c r="O227" s="522">
        <f>E227</f>
        <v>44652</v>
      </c>
      <c r="P227" s="521"/>
      <c r="Q227" s="521"/>
      <c r="R227" s="521"/>
      <c r="S227" s="516"/>
    </row>
    <row r="228" spans="1:19">
      <c r="A228" s="517"/>
      <c r="B228" s="518"/>
      <c r="C228" s="518"/>
      <c r="D228" s="518"/>
      <c r="E228" s="518"/>
      <c r="I228" s="516"/>
      <c r="K228" s="517"/>
      <c r="L228" s="518"/>
      <c r="M228" s="518"/>
      <c r="N228" s="518"/>
      <c r="O228" s="518"/>
      <c r="S228" s="516"/>
    </row>
    <row r="229" spans="1:19">
      <c r="A229" s="523">
        <v>1</v>
      </c>
      <c r="B229" s="1156" t="s">
        <v>55</v>
      </c>
      <c r="C229" s="1156"/>
      <c r="D229" s="1156"/>
      <c r="E229" s="524">
        <f>'4-22MASTER'!X22</f>
        <v>30</v>
      </c>
      <c r="F229" s="521"/>
      <c r="G229" s="521"/>
      <c r="H229" s="521"/>
      <c r="I229" s="516"/>
      <c r="K229" s="523">
        <v>1</v>
      </c>
      <c r="L229" s="1156" t="s">
        <v>55</v>
      </c>
      <c r="M229" s="1156"/>
      <c r="N229" s="1156"/>
      <c r="O229" s="524">
        <f>E229</f>
        <v>30</v>
      </c>
      <c r="P229" s="521"/>
      <c r="Q229" s="521"/>
      <c r="R229" s="521"/>
      <c r="S229" s="516"/>
    </row>
    <row r="230" spans="1:19">
      <c r="A230" s="523"/>
      <c r="B230" s="518"/>
      <c r="C230" s="518"/>
      <c r="D230" s="518"/>
      <c r="E230" s="518"/>
      <c r="I230" s="516"/>
      <c r="K230" s="523"/>
      <c r="L230" s="518"/>
      <c r="M230" s="518"/>
      <c r="N230" s="518"/>
      <c r="O230" s="518"/>
      <c r="S230" s="516"/>
    </row>
    <row r="231" spans="1:19">
      <c r="A231" s="523">
        <v>2</v>
      </c>
      <c r="B231" s="1155" t="s">
        <v>56</v>
      </c>
      <c r="C231" s="1155"/>
      <c r="D231" s="1155"/>
      <c r="E231" s="518"/>
      <c r="I231" s="516"/>
      <c r="K231" s="523">
        <v>2</v>
      </c>
      <c r="L231" s="1155" t="s">
        <v>56</v>
      </c>
      <c r="M231" s="1155"/>
      <c r="N231" s="1155"/>
      <c r="O231" s="518"/>
      <c r="S231" s="516"/>
    </row>
    <row r="232" spans="1:19">
      <c r="A232" s="523"/>
      <c r="B232" s="1155"/>
      <c r="C232" s="1155"/>
      <c r="D232" s="1155"/>
      <c r="E232" s="525" t="s">
        <v>37</v>
      </c>
      <c r="F232" s="521"/>
      <c r="G232" s="521"/>
      <c r="H232" s="521"/>
      <c r="I232" s="516"/>
      <c r="K232" s="523"/>
      <c r="L232" s="1155"/>
      <c r="M232" s="1155"/>
      <c r="N232" s="1155"/>
      <c r="O232" s="525" t="s">
        <v>37</v>
      </c>
      <c r="P232" s="521"/>
      <c r="Q232" s="521"/>
      <c r="R232" s="521"/>
      <c r="S232" s="516"/>
    </row>
    <row r="233" spans="1:19">
      <c r="A233" s="523"/>
      <c r="B233" s="518"/>
      <c r="C233" s="518"/>
      <c r="D233" s="518"/>
      <c r="E233" s="518"/>
      <c r="I233" s="516"/>
      <c r="K233" s="523"/>
      <c r="L233" s="518"/>
      <c r="M233" s="518"/>
      <c r="N233" s="518"/>
      <c r="O233" s="518"/>
      <c r="S233" s="516"/>
    </row>
    <row r="234" spans="1:19">
      <c r="A234" s="523">
        <v>3</v>
      </c>
      <c r="B234" s="1156" t="s">
        <v>57</v>
      </c>
      <c r="C234" s="1156"/>
      <c r="D234" s="1156"/>
      <c r="E234" s="525" t="s">
        <v>37</v>
      </c>
      <c r="F234" s="521"/>
      <c r="G234" s="521"/>
      <c r="H234" s="521"/>
      <c r="I234" s="516"/>
      <c r="K234" s="523">
        <v>3</v>
      </c>
      <c r="L234" s="1156" t="s">
        <v>57</v>
      </c>
      <c r="M234" s="1156"/>
      <c r="N234" s="1156"/>
      <c r="O234" s="520" t="str">
        <f>E234</f>
        <v>N/A</v>
      </c>
      <c r="P234" s="521"/>
      <c r="Q234" s="521"/>
      <c r="R234" s="521"/>
      <c r="S234" s="516"/>
    </row>
    <row r="235" spans="1:19">
      <c r="A235" s="523"/>
      <c r="B235" s="518"/>
      <c r="C235" s="518"/>
      <c r="D235" s="518"/>
      <c r="E235" s="518"/>
      <c r="I235" s="516"/>
      <c r="K235" s="523"/>
      <c r="L235" s="518"/>
      <c r="M235" s="518"/>
      <c r="N235" s="518"/>
      <c r="O235" s="518"/>
      <c r="S235" s="516"/>
    </row>
    <row r="236" spans="1:19">
      <c r="A236" s="523">
        <v>4</v>
      </c>
      <c r="B236" s="1156" t="s">
        <v>58</v>
      </c>
      <c r="C236" s="1156"/>
      <c r="D236" s="1156"/>
      <c r="E236" s="525" t="s">
        <v>59</v>
      </c>
      <c r="F236" s="521"/>
      <c r="G236" s="521"/>
      <c r="H236" s="521"/>
      <c r="I236" s="516"/>
      <c r="K236" s="523">
        <v>4</v>
      </c>
      <c r="L236" s="1156" t="s">
        <v>58</v>
      </c>
      <c r="M236" s="1156"/>
      <c r="N236" s="1156"/>
      <c r="O236" s="525" t="s">
        <v>59</v>
      </c>
      <c r="P236" s="521"/>
      <c r="Q236" s="521"/>
      <c r="R236" s="521"/>
      <c r="S236" s="516"/>
    </row>
    <row r="237" spans="1:19">
      <c r="A237" s="523"/>
      <c r="B237" s="518"/>
      <c r="C237" s="518"/>
      <c r="D237" s="518"/>
      <c r="E237" s="518"/>
      <c r="I237" s="516"/>
      <c r="K237" s="523"/>
      <c r="L237" s="518"/>
      <c r="M237" s="518"/>
      <c r="N237" s="518"/>
      <c r="O237" s="518"/>
      <c r="S237" s="516"/>
    </row>
    <row r="238" spans="1:19">
      <c r="A238" s="523">
        <v>5</v>
      </c>
      <c r="B238" s="1156" t="s">
        <v>60</v>
      </c>
      <c r="C238" s="1156"/>
      <c r="D238" s="1156"/>
      <c r="E238" s="526">
        <f>'4-22MASTER'!AN22</f>
        <v>56276.265619999998</v>
      </c>
      <c r="I238" s="516"/>
      <c r="K238" s="523">
        <v>5</v>
      </c>
      <c r="L238" s="1156" t="s">
        <v>60</v>
      </c>
      <c r="M238" s="1156"/>
      <c r="N238" s="1156"/>
      <c r="O238" s="526">
        <f>E238</f>
        <v>56276.265619999998</v>
      </c>
      <c r="S238" s="516"/>
    </row>
    <row r="239" spans="1:19">
      <c r="A239" s="523"/>
      <c r="B239" s="518"/>
      <c r="C239" s="518"/>
      <c r="D239" s="527" t="s">
        <v>61</v>
      </c>
      <c r="E239" s="527" t="s">
        <v>31</v>
      </c>
      <c r="F239" s="527" t="s">
        <v>33</v>
      </c>
      <c r="G239" s="527" t="s">
        <v>34</v>
      </c>
      <c r="H239" s="527" t="s">
        <v>377</v>
      </c>
      <c r="I239" s="528" t="s">
        <v>378</v>
      </c>
      <c r="K239" s="523"/>
      <c r="L239" s="518"/>
      <c r="M239" s="518"/>
      <c r="N239" s="527" t="s">
        <v>61</v>
      </c>
      <c r="O239" s="527" t="s">
        <v>31</v>
      </c>
      <c r="P239" s="527" t="s">
        <v>33</v>
      </c>
      <c r="Q239" s="527" t="s">
        <v>34</v>
      </c>
      <c r="R239" s="527" t="s">
        <v>377</v>
      </c>
      <c r="S239" s="528" t="s">
        <v>378</v>
      </c>
    </row>
    <row r="240" spans="1:19">
      <c r="A240" s="523">
        <v>6</v>
      </c>
      <c r="B240" s="623" t="s">
        <v>62</v>
      </c>
      <c r="C240" s="623"/>
      <c r="D240" s="530">
        <f>'4-22MASTER'!AP22</f>
        <v>1800</v>
      </c>
      <c r="E240" s="530">
        <f>'4-22MASTER'!AO1538</f>
        <v>0</v>
      </c>
      <c r="F240" s="531">
        <f>'4-22MASTER'!AQ22</f>
        <v>200</v>
      </c>
      <c r="G240" s="530">
        <f>'4-22MASTER'!AR22</f>
        <v>0</v>
      </c>
      <c r="H240" s="531">
        <f>'4-22MASTER'!AS22</f>
        <v>283</v>
      </c>
      <c r="I240" s="531">
        <f>SUM(D240:H240)</f>
        <v>2283</v>
      </c>
      <c r="K240" s="523">
        <v>6</v>
      </c>
      <c r="L240" s="623" t="s">
        <v>62</v>
      </c>
      <c r="M240" s="623"/>
      <c r="N240" s="530">
        <f t="shared" ref="N240" si="30">D240</f>
        <v>1800</v>
      </c>
      <c r="O240" s="530">
        <f t="shared" ref="O240" si="31">E240</f>
        <v>0</v>
      </c>
      <c r="P240" s="531">
        <f t="shared" ref="P240" si="32">F240</f>
        <v>200</v>
      </c>
      <c r="Q240" s="530">
        <f t="shared" ref="Q240" si="33">G240</f>
        <v>0</v>
      </c>
      <c r="R240" s="531">
        <f t="shared" ref="R240" si="34">H240</f>
        <v>283</v>
      </c>
      <c r="S240" s="531">
        <f t="shared" ref="S240" si="35">I240</f>
        <v>2283</v>
      </c>
    </row>
    <row r="241" spans="1:19">
      <c r="A241" s="523"/>
      <c r="B241" s="518"/>
      <c r="C241" s="518"/>
      <c r="D241" s="518"/>
      <c r="E241" s="518"/>
      <c r="I241" s="516"/>
      <c r="K241" s="523"/>
      <c r="L241" s="518"/>
      <c r="M241" s="518"/>
      <c r="N241" s="518"/>
      <c r="O241" s="518"/>
      <c r="S241" s="516"/>
    </row>
    <row r="242" spans="1:19">
      <c r="A242" s="523">
        <v>7</v>
      </c>
      <c r="B242" s="1156" t="s">
        <v>63</v>
      </c>
      <c r="C242" s="1156"/>
      <c r="D242" s="1156"/>
      <c r="E242" s="532">
        <f>E238-I240</f>
        <v>53993.265619999998</v>
      </c>
      <c r="F242" s="521"/>
      <c r="G242" s="521"/>
      <c r="H242" s="521"/>
      <c r="I242" s="516"/>
      <c r="K242" s="523">
        <v>7</v>
      </c>
      <c r="L242" s="1156" t="s">
        <v>63</v>
      </c>
      <c r="M242" s="1156"/>
      <c r="N242" s="1156"/>
      <c r="O242" s="532">
        <f>E242</f>
        <v>53993.265619999998</v>
      </c>
      <c r="P242" s="521"/>
      <c r="Q242" s="521"/>
      <c r="R242" s="521"/>
      <c r="S242" s="516"/>
    </row>
    <row r="243" spans="1:19">
      <c r="A243" s="515"/>
      <c r="I243" s="516"/>
      <c r="K243" s="515"/>
      <c r="S243" s="516"/>
    </row>
    <row r="244" spans="1:19">
      <c r="A244" s="515"/>
      <c r="I244" s="516"/>
      <c r="K244" s="515"/>
      <c r="S244" s="516"/>
    </row>
    <row r="245" spans="1:19" ht="15.75" thickBot="1">
      <c r="A245" s="515"/>
      <c r="F245" s="533"/>
      <c r="G245" s="533"/>
      <c r="H245" s="533"/>
      <c r="I245" s="534"/>
      <c r="K245" s="515"/>
      <c r="P245" s="533"/>
      <c r="Q245" s="533"/>
      <c r="R245" s="533"/>
      <c r="S245" s="534"/>
    </row>
    <row r="246" spans="1:19" ht="15.75" thickBot="1">
      <c r="A246" s="535"/>
      <c r="B246" s="533"/>
      <c r="C246" s="533"/>
      <c r="D246" s="533"/>
      <c r="E246" s="533"/>
      <c r="F246" s="1162" t="s">
        <v>64</v>
      </c>
      <c r="G246" s="1162"/>
      <c r="H246" s="1162"/>
      <c r="I246" s="1163"/>
      <c r="K246" s="535"/>
      <c r="L246" s="533"/>
      <c r="M246" s="533"/>
      <c r="N246" s="533"/>
      <c r="O246" s="533"/>
      <c r="P246" s="1162" t="s">
        <v>64</v>
      </c>
      <c r="Q246" s="1162"/>
      <c r="R246" s="1162"/>
      <c r="S246" s="1163"/>
    </row>
    <row r="256" spans="1:19" ht="15.75" thickBot="1"/>
    <row r="257" spans="1:20" ht="26.25">
      <c r="A257" s="1164" t="s">
        <v>50</v>
      </c>
      <c r="B257" s="1165"/>
      <c r="C257" s="1165"/>
      <c r="D257" s="1165"/>
      <c r="E257" s="1165"/>
      <c r="F257" s="1165"/>
      <c r="G257" s="1165"/>
      <c r="H257" s="1165"/>
      <c r="I257" s="1166"/>
      <c r="K257" s="1164" t="s">
        <v>50</v>
      </c>
      <c r="L257" s="1165"/>
      <c r="M257" s="1165"/>
      <c r="N257" s="1165"/>
      <c r="O257" s="1165"/>
      <c r="P257" s="1165"/>
      <c r="Q257" s="1165"/>
      <c r="R257" s="1165"/>
      <c r="S257" s="1166"/>
    </row>
    <row r="258" spans="1:20">
      <c r="A258" s="1157" t="s">
        <v>579</v>
      </c>
      <c r="B258" s="1158"/>
      <c r="C258" s="1158"/>
      <c r="D258" s="1158"/>
      <c r="E258" s="1158"/>
      <c r="F258" s="1158"/>
      <c r="G258" s="1158"/>
      <c r="H258" s="1158"/>
      <c r="I258" s="1159"/>
      <c r="K258" s="1157" t="str">
        <f>A258</f>
        <v>[Vide rule 78 (1) (b) of the Contract Labour (Regulation and Abolition) Central and Maharastra, 1971]</v>
      </c>
      <c r="L258" s="1158"/>
      <c r="M258" s="1158"/>
      <c r="N258" s="1158"/>
      <c r="O258" s="1158"/>
      <c r="P258" s="1158"/>
      <c r="Q258" s="1158"/>
      <c r="R258" s="1158"/>
      <c r="S258" s="1159"/>
    </row>
    <row r="259" spans="1:20">
      <c r="A259" s="515"/>
      <c r="I259" s="516"/>
      <c r="K259" s="515"/>
      <c r="S259" s="516"/>
    </row>
    <row r="260" spans="1:20">
      <c r="A260" s="517" t="s">
        <v>51</v>
      </c>
      <c r="B260" s="518"/>
      <c r="C260" s="518"/>
      <c r="D260" s="519" t="s">
        <v>381</v>
      </c>
      <c r="I260" s="516"/>
      <c r="K260" s="517" t="s">
        <v>51</v>
      </c>
      <c r="L260" s="518"/>
      <c r="M260" s="518"/>
      <c r="N260" s="519" t="str">
        <f>D260</f>
        <v>Burgeon IT Services Pvt.Ltd.</v>
      </c>
      <c r="S260" s="516"/>
    </row>
    <row r="261" spans="1:20">
      <c r="A261" s="517"/>
      <c r="B261" s="518" t="s">
        <v>382</v>
      </c>
      <c r="C261" s="518"/>
      <c r="D261" s="518"/>
      <c r="I261" s="516"/>
      <c r="K261" s="517"/>
      <c r="L261" s="518" t="str">
        <f>B261</f>
        <v>Siri Mansion LIGB 436 Dr.A S Rao Nagar,Hyderabad</v>
      </c>
      <c r="M261" s="518"/>
      <c r="N261" s="518"/>
      <c r="S261" s="516"/>
    </row>
    <row r="262" spans="1:20">
      <c r="A262" s="517"/>
      <c r="B262" s="518">
        <f>'4-22MASTER'!G1568</f>
        <v>0</v>
      </c>
      <c r="C262" s="518"/>
      <c r="D262" s="518"/>
      <c r="E262" s="518"/>
      <c r="I262" s="516"/>
      <c r="K262" s="517"/>
      <c r="L262" s="518">
        <f>B262</f>
        <v>0</v>
      </c>
      <c r="M262" s="518"/>
      <c r="N262" s="518"/>
      <c r="O262" s="518"/>
      <c r="S262" s="516"/>
    </row>
    <row r="263" spans="1:20">
      <c r="A263" s="1160" t="s">
        <v>52</v>
      </c>
      <c r="B263" s="1155"/>
      <c r="C263" s="1155"/>
      <c r="D263" s="1155"/>
      <c r="E263" s="518"/>
      <c r="I263" s="516"/>
      <c r="K263" s="1160" t="s">
        <v>52</v>
      </c>
      <c r="L263" s="1155"/>
      <c r="M263" s="1155"/>
      <c r="N263" s="1155"/>
      <c r="O263" s="518"/>
      <c r="S263" s="516"/>
    </row>
    <row r="264" spans="1:20">
      <c r="A264" s="1160"/>
      <c r="B264" s="1155"/>
      <c r="C264" s="1155"/>
      <c r="D264" s="1155"/>
      <c r="E264" s="520" t="str">
        <f>'4-22MASTER'!C23</f>
        <v xml:space="preserve">Amol Gole </v>
      </c>
      <c r="F264" s="521"/>
      <c r="G264" s="521" t="str">
        <f>'4-22MASTER'!F23</f>
        <v>Harishchandra Gole</v>
      </c>
      <c r="H264" s="521"/>
      <c r="I264" s="516"/>
      <c r="K264" s="1160"/>
      <c r="L264" s="1155"/>
      <c r="M264" s="1155"/>
      <c r="N264" s="1155"/>
      <c r="O264" s="520" t="str">
        <f>E264</f>
        <v xml:space="preserve">Amol Gole </v>
      </c>
      <c r="P264" s="521"/>
      <c r="Q264" s="521"/>
      <c r="R264" s="521" t="str">
        <f>G264</f>
        <v>Harishchandra Gole</v>
      </c>
      <c r="S264" s="516"/>
      <c r="T264" s="7" t="s">
        <v>772</v>
      </c>
    </row>
    <row r="265" spans="1:20">
      <c r="A265" s="517"/>
      <c r="B265" s="518"/>
      <c r="C265" s="518"/>
      <c r="D265" s="518"/>
      <c r="E265" s="518"/>
      <c r="I265" s="516"/>
      <c r="K265" s="517"/>
      <c r="L265" s="518"/>
      <c r="M265" s="518"/>
      <c r="N265" s="518"/>
      <c r="O265" s="518"/>
      <c r="S265" s="516"/>
    </row>
    <row r="266" spans="1:20">
      <c r="A266" s="1161" t="s">
        <v>53</v>
      </c>
      <c r="B266" s="1156"/>
      <c r="C266" s="1156"/>
      <c r="D266" s="1156"/>
      <c r="E266" s="520" t="s">
        <v>601</v>
      </c>
      <c r="F266" s="521"/>
      <c r="G266" s="521"/>
      <c r="H266" s="521"/>
      <c r="I266" s="516"/>
      <c r="K266" s="1161" t="s">
        <v>53</v>
      </c>
      <c r="L266" s="1156"/>
      <c r="M266" s="1156"/>
      <c r="N266" s="1156"/>
      <c r="O266" s="520" t="str">
        <f>E266</f>
        <v>IT SUPPORTIVE SERVICES &amp; PUNE ASC SEZ</v>
      </c>
      <c r="P266" s="521"/>
      <c r="Q266" s="521"/>
      <c r="R266" s="521"/>
      <c r="S266" s="516"/>
    </row>
    <row r="267" spans="1:20">
      <c r="A267" s="517"/>
      <c r="B267" s="518"/>
      <c r="C267" s="518"/>
      <c r="D267" s="518"/>
      <c r="E267" s="518"/>
      <c r="I267" s="516"/>
      <c r="K267" s="517"/>
      <c r="L267" s="518"/>
      <c r="M267" s="518"/>
      <c r="N267" s="518"/>
      <c r="O267" s="518"/>
      <c r="S267" s="516"/>
    </row>
    <row r="268" spans="1:20">
      <c r="A268" s="1161" t="s">
        <v>54</v>
      </c>
      <c r="B268" s="1156"/>
      <c r="C268" s="1156"/>
      <c r="D268" s="1156"/>
      <c r="E268" s="522">
        <f>'4-22MASTER'!E10</f>
        <v>44652</v>
      </c>
      <c r="F268" s="521"/>
      <c r="G268" s="521"/>
      <c r="H268" s="521"/>
      <c r="I268" s="516"/>
      <c r="K268" s="1161" t="s">
        <v>54</v>
      </c>
      <c r="L268" s="1156"/>
      <c r="M268" s="1156"/>
      <c r="N268" s="1156"/>
      <c r="O268" s="522">
        <f>E268</f>
        <v>44652</v>
      </c>
      <c r="P268" s="521"/>
      <c r="Q268" s="521"/>
      <c r="R268" s="521"/>
      <c r="S268" s="516"/>
    </row>
    <row r="269" spans="1:20">
      <c r="A269" s="517"/>
      <c r="B269" s="518"/>
      <c r="C269" s="518"/>
      <c r="D269" s="518"/>
      <c r="E269" s="518"/>
      <c r="I269" s="516"/>
      <c r="K269" s="517"/>
      <c r="L269" s="518"/>
      <c r="M269" s="518"/>
      <c r="N269" s="518"/>
      <c r="O269" s="518"/>
      <c r="S269" s="516"/>
    </row>
    <row r="270" spans="1:20">
      <c r="A270" s="523">
        <v>1</v>
      </c>
      <c r="B270" s="1156" t="s">
        <v>55</v>
      </c>
      <c r="C270" s="1156"/>
      <c r="D270" s="1156"/>
      <c r="E270" s="524">
        <f>'4-22MASTER'!X23</f>
        <v>30</v>
      </c>
      <c r="F270" s="521"/>
      <c r="G270" s="521"/>
      <c r="H270" s="521"/>
      <c r="I270" s="516"/>
      <c r="K270" s="523">
        <v>1</v>
      </c>
      <c r="L270" s="1156" t="s">
        <v>55</v>
      </c>
      <c r="M270" s="1156"/>
      <c r="N270" s="1156"/>
      <c r="O270" s="524">
        <f>E270</f>
        <v>30</v>
      </c>
      <c r="P270" s="521"/>
      <c r="Q270" s="521"/>
      <c r="R270" s="521"/>
      <c r="S270" s="516"/>
    </row>
    <row r="271" spans="1:20">
      <c r="A271" s="523"/>
      <c r="B271" s="518"/>
      <c r="C271" s="518"/>
      <c r="D271" s="518"/>
      <c r="E271" s="518"/>
      <c r="I271" s="516"/>
      <c r="K271" s="523"/>
      <c r="L271" s="518"/>
      <c r="M271" s="518"/>
      <c r="N271" s="518"/>
      <c r="O271" s="518"/>
      <c r="S271" s="516"/>
    </row>
    <row r="272" spans="1:20">
      <c r="A272" s="523">
        <v>2</v>
      </c>
      <c r="B272" s="1155" t="s">
        <v>56</v>
      </c>
      <c r="C272" s="1155"/>
      <c r="D272" s="1155"/>
      <c r="E272" s="518"/>
      <c r="I272" s="516"/>
      <c r="K272" s="523">
        <v>2</v>
      </c>
      <c r="L272" s="1155" t="s">
        <v>56</v>
      </c>
      <c r="M272" s="1155"/>
      <c r="N272" s="1155"/>
      <c r="O272" s="518"/>
      <c r="S272" s="516"/>
    </row>
    <row r="273" spans="1:19">
      <c r="A273" s="523"/>
      <c r="B273" s="1155"/>
      <c r="C273" s="1155"/>
      <c r="D273" s="1155"/>
      <c r="E273" s="525" t="s">
        <v>37</v>
      </c>
      <c r="F273" s="521"/>
      <c r="G273" s="521"/>
      <c r="H273" s="521"/>
      <c r="I273" s="516"/>
      <c r="K273" s="523"/>
      <c r="L273" s="1155"/>
      <c r="M273" s="1155"/>
      <c r="N273" s="1155"/>
      <c r="O273" s="525" t="s">
        <v>37</v>
      </c>
      <c r="P273" s="521"/>
      <c r="Q273" s="521"/>
      <c r="R273" s="521"/>
      <c r="S273" s="516"/>
    </row>
    <row r="274" spans="1:19">
      <c r="A274" s="523"/>
      <c r="B274" s="518"/>
      <c r="C274" s="518"/>
      <c r="D274" s="518"/>
      <c r="E274" s="518"/>
      <c r="I274" s="516"/>
      <c r="K274" s="523"/>
      <c r="L274" s="518"/>
      <c r="M274" s="518"/>
      <c r="N274" s="518"/>
      <c r="O274" s="518"/>
      <c r="S274" s="516"/>
    </row>
    <row r="275" spans="1:19">
      <c r="A275" s="523">
        <v>3</v>
      </c>
      <c r="B275" s="1156" t="s">
        <v>57</v>
      </c>
      <c r="C275" s="1156"/>
      <c r="D275" s="1156"/>
      <c r="E275" s="525" t="s">
        <v>37</v>
      </c>
      <c r="F275" s="521"/>
      <c r="G275" s="521"/>
      <c r="H275" s="521"/>
      <c r="I275" s="516"/>
      <c r="K275" s="523">
        <v>3</v>
      </c>
      <c r="L275" s="1156" t="s">
        <v>57</v>
      </c>
      <c r="M275" s="1156"/>
      <c r="N275" s="1156"/>
      <c r="O275" s="520" t="str">
        <f>E275</f>
        <v>N/A</v>
      </c>
      <c r="P275" s="521"/>
      <c r="Q275" s="521"/>
      <c r="R275" s="521"/>
      <c r="S275" s="516"/>
    </row>
    <row r="276" spans="1:19">
      <c r="A276" s="523"/>
      <c r="B276" s="518"/>
      <c r="C276" s="518"/>
      <c r="D276" s="518"/>
      <c r="E276" s="518"/>
      <c r="I276" s="516"/>
      <c r="K276" s="523"/>
      <c r="L276" s="518"/>
      <c r="M276" s="518"/>
      <c r="N276" s="518"/>
      <c r="O276" s="518"/>
      <c r="S276" s="516"/>
    </row>
    <row r="277" spans="1:19">
      <c r="A277" s="523">
        <v>4</v>
      </c>
      <c r="B277" s="1156" t="s">
        <v>58</v>
      </c>
      <c r="C277" s="1156"/>
      <c r="D277" s="1156"/>
      <c r="E277" s="525" t="s">
        <v>59</v>
      </c>
      <c r="F277" s="521"/>
      <c r="G277" s="521"/>
      <c r="H277" s="521"/>
      <c r="I277" s="516"/>
      <c r="K277" s="523">
        <v>4</v>
      </c>
      <c r="L277" s="1156" t="s">
        <v>58</v>
      </c>
      <c r="M277" s="1156"/>
      <c r="N277" s="1156"/>
      <c r="O277" s="525" t="s">
        <v>59</v>
      </c>
      <c r="P277" s="521"/>
      <c r="Q277" s="521"/>
      <c r="R277" s="521"/>
      <c r="S277" s="516"/>
    </row>
    <row r="278" spans="1:19">
      <c r="A278" s="523"/>
      <c r="B278" s="518"/>
      <c r="C278" s="518"/>
      <c r="D278" s="518"/>
      <c r="E278" s="518"/>
      <c r="I278" s="516"/>
      <c r="K278" s="523"/>
      <c r="L278" s="518"/>
      <c r="M278" s="518"/>
      <c r="N278" s="518"/>
      <c r="O278" s="518"/>
      <c r="S278" s="516"/>
    </row>
    <row r="279" spans="1:19">
      <c r="A279" s="523">
        <v>5</v>
      </c>
      <c r="B279" s="1156" t="s">
        <v>60</v>
      </c>
      <c r="C279" s="1156"/>
      <c r="D279" s="1156"/>
      <c r="E279" s="526">
        <f>'4-22MASTER'!AN23</f>
        <v>73275.862639999992</v>
      </c>
      <c r="I279" s="516"/>
      <c r="K279" s="523">
        <v>5</v>
      </c>
      <c r="L279" s="1156" t="s">
        <v>60</v>
      </c>
      <c r="M279" s="1156"/>
      <c r="N279" s="1156"/>
      <c r="O279" s="526">
        <f>E279</f>
        <v>73275.862639999992</v>
      </c>
      <c r="S279" s="516"/>
    </row>
    <row r="280" spans="1:19">
      <c r="A280" s="523"/>
      <c r="B280" s="518"/>
      <c r="C280" s="518"/>
      <c r="D280" s="527" t="s">
        <v>61</v>
      </c>
      <c r="E280" s="527" t="s">
        <v>31</v>
      </c>
      <c r="F280" s="527" t="s">
        <v>33</v>
      </c>
      <c r="G280" s="527" t="s">
        <v>34</v>
      </c>
      <c r="H280" s="527" t="s">
        <v>377</v>
      </c>
      <c r="I280" s="528" t="s">
        <v>378</v>
      </c>
      <c r="K280" s="523"/>
      <c r="L280" s="518"/>
      <c r="M280" s="518"/>
      <c r="N280" s="527" t="s">
        <v>61</v>
      </c>
      <c r="O280" s="527" t="s">
        <v>31</v>
      </c>
      <c r="P280" s="527" t="s">
        <v>33</v>
      </c>
      <c r="Q280" s="527" t="s">
        <v>34</v>
      </c>
      <c r="R280" s="527" t="s">
        <v>377</v>
      </c>
      <c r="S280" s="528" t="s">
        <v>378</v>
      </c>
    </row>
    <row r="281" spans="1:19">
      <c r="A281" s="523">
        <v>6</v>
      </c>
      <c r="B281" s="623" t="s">
        <v>62</v>
      </c>
      <c r="C281" s="623"/>
      <c r="D281" s="530">
        <f>'4-22MASTER'!AP23</f>
        <v>1800</v>
      </c>
      <c r="E281" s="530">
        <f>'4-22MASTER'!AO1579</f>
        <v>0</v>
      </c>
      <c r="F281" s="531">
        <f>'4-22MASTER'!AQ23</f>
        <v>200</v>
      </c>
      <c r="G281" s="530">
        <f>'4-22MASTER'!AR23</f>
        <v>0</v>
      </c>
      <c r="H281" s="531">
        <f>'4-22MASTER'!AS23</f>
        <v>283</v>
      </c>
      <c r="I281" s="531">
        <f>SUM(D281:H281)</f>
        <v>2283</v>
      </c>
      <c r="K281" s="523">
        <v>6</v>
      </c>
      <c r="L281" s="623" t="s">
        <v>62</v>
      </c>
      <c r="M281" s="623"/>
      <c r="N281" s="530">
        <f t="shared" ref="N281" si="36">D281</f>
        <v>1800</v>
      </c>
      <c r="O281" s="530">
        <f t="shared" ref="O281" si="37">E281</f>
        <v>0</v>
      </c>
      <c r="P281" s="531">
        <f t="shared" ref="P281" si="38">F281</f>
        <v>200</v>
      </c>
      <c r="Q281" s="530">
        <f t="shared" ref="Q281" si="39">G281</f>
        <v>0</v>
      </c>
      <c r="R281" s="531">
        <f t="shared" ref="R281" si="40">H281</f>
        <v>283</v>
      </c>
      <c r="S281" s="531">
        <f t="shared" ref="S281" si="41">I281</f>
        <v>2283</v>
      </c>
    </row>
    <row r="282" spans="1:19">
      <c r="A282" s="523"/>
      <c r="B282" s="518"/>
      <c r="C282" s="518"/>
      <c r="D282" s="518"/>
      <c r="E282" s="518"/>
      <c r="I282" s="516"/>
      <c r="K282" s="523"/>
      <c r="L282" s="518"/>
      <c r="M282" s="518"/>
      <c r="N282" s="518"/>
      <c r="O282" s="518"/>
      <c r="S282" s="516"/>
    </row>
    <row r="283" spans="1:19">
      <c r="A283" s="523">
        <v>7</v>
      </c>
      <c r="B283" s="1156" t="s">
        <v>63</v>
      </c>
      <c r="C283" s="1156"/>
      <c r="D283" s="1156"/>
      <c r="E283" s="532">
        <f>E279-I281</f>
        <v>70992.862639999992</v>
      </c>
      <c r="F283" s="521"/>
      <c r="G283" s="521"/>
      <c r="H283" s="521"/>
      <c r="I283" s="516"/>
      <c r="K283" s="523">
        <v>7</v>
      </c>
      <c r="L283" s="1156" t="s">
        <v>63</v>
      </c>
      <c r="M283" s="1156"/>
      <c r="N283" s="1156"/>
      <c r="O283" s="532">
        <f>E283</f>
        <v>70992.862639999992</v>
      </c>
      <c r="P283" s="521"/>
      <c r="Q283" s="521"/>
      <c r="R283" s="521"/>
      <c r="S283" s="516"/>
    </row>
    <row r="284" spans="1:19">
      <c r="A284" s="515"/>
      <c r="I284" s="516"/>
      <c r="K284" s="515"/>
      <c r="S284" s="516"/>
    </row>
    <row r="285" spans="1:19">
      <c r="A285" s="515"/>
      <c r="I285" s="516"/>
      <c r="K285" s="515"/>
      <c r="S285" s="516"/>
    </row>
    <row r="286" spans="1:19" ht="15.75" thickBot="1">
      <c r="A286" s="515"/>
      <c r="F286" s="533"/>
      <c r="G286" s="533"/>
      <c r="H286" s="533"/>
      <c r="I286" s="534"/>
      <c r="K286" s="515"/>
      <c r="P286" s="533"/>
      <c r="Q286" s="533"/>
      <c r="R286" s="533"/>
      <c r="S286" s="534"/>
    </row>
    <row r="287" spans="1:19" ht="15.75" thickBot="1">
      <c r="A287" s="535"/>
      <c r="B287" s="533"/>
      <c r="C287" s="533"/>
      <c r="D287" s="533"/>
      <c r="E287" s="533"/>
      <c r="F287" s="1162" t="s">
        <v>64</v>
      </c>
      <c r="G287" s="1162"/>
      <c r="H287" s="1162"/>
      <c r="I287" s="1163"/>
      <c r="K287" s="535"/>
      <c r="L287" s="533"/>
      <c r="M287" s="533"/>
      <c r="N287" s="533"/>
      <c r="O287" s="533"/>
      <c r="P287" s="1162" t="s">
        <v>64</v>
      </c>
      <c r="Q287" s="1162"/>
      <c r="R287" s="1162"/>
      <c r="S287" s="1163"/>
    </row>
    <row r="290" spans="1:19" ht="15.75" thickBot="1"/>
    <row r="291" spans="1:19" ht="26.25">
      <c r="A291" s="1164" t="s">
        <v>50</v>
      </c>
      <c r="B291" s="1165"/>
      <c r="C291" s="1165"/>
      <c r="D291" s="1165"/>
      <c r="E291" s="1165"/>
      <c r="F291" s="1165"/>
      <c r="G291" s="1165"/>
      <c r="H291" s="1165"/>
      <c r="I291" s="1166"/>
      <c r="K291" s="1164" t="s">
        <v>50</v>
      </c>
      <c r="L291" s="1165"/>
      <c r="M291" s="1165"/>
      <c r="N291" s="1165"/>
      <c r="O291" s="1165"/>
      <c r="P291" s="1165"/>
      <c r="Q291" s="1165"/>
      <c r="R291" s="1165"/>
      <c r="S291" s="1166"/>
    </row>
    <row r="292" spans="1:19">
      <c r="A292" s="1157" t="s">
        <v>579</v>
      </c>
      <c r="B292" s="1158"/>
      <c r="C292" s="1158"/>
      <c r="D292" s="1158"/>
      <c r="E292" s="1158"/>
      <c r="F292" s="1158"/>
      <c r="G292" s="1158"/>
      <c r="H292" s="1158"/>
      <c r="I292" s="1159"/>
      <c r="K292" s="1157" t="str">
        <f>A292</f>
        <v>[Vide rule 78 (1) (b) of the Contract Labour (Regulation and Abolition) Central and Maharastra, 1971]</v>
      </c>
      <c r="L292" s="1158"/>
      <c r="M292" s="1158"/>
      <c r="N292" s="1158"/>
      <c r="O292" s="1158"/>
      <c r="P292" s="1158"/>
      <c r="Q292" s="1158"/>
      <c r="R292" s="1158"/>
      <c r="S292" s="1159"/>
    </row>
    <row r="293" spans="1:19">
      <c r="A293" s="515"/>
      <c r="I293" s="516"/>
      <c r="K293" s="515"/>
      <c r="S293" s="516"/>
    </row>
    <row r="294" spans="1:19">
      <c r="A294" s="517" t="s">
        <v>51</v>
      </c>
      <c r="B294" s="518"/>
      <c r="C294" s="518"/>
      <c r="D294" s="519" t="s">
        <v>381</v>
      </c>
      <c r="I294" s="516"/>
      <c r="K294" s="517" t="s">
        <v>51</v>
      </c>
      <c r="L294" s="518"/>
      <c r="M294" s="518"/>
      <c r="N294" s="519" t="str">
        <f>D294</f>
        <v>Burgeon IT Services Pvt.Ltd.</v>
      </c>
      <c r="S294" s="516"/>
    </row>
    <row r="295" spans="1:19">
      <c r="A295" s="517"/>
      <c r="B295" s="518" t="s">
        <v>382</v>
      </c>
      <c r="C295" s="518"/>
      <c r="D295" s="518"/>
      <c r="I295" s="516"/>
      <c r="K295" s="517"/>
      <c r="L295" s="518" t="str">
        <f>B295</f>
        <v>Siri Mansion LIGB 436 Dr.A S Rao Nagar,Hyderabad</v>
      </c>
      <c r="M295" s="518"/>
      <c r="N295" s="518"/>
      <c r="S295" s="516"/>
    </row>
    <row r="296" spans="1:19">
      <c r="A296" s="517"/>
      <c r="B296" s="518">
        <f>'4-22MASTER'!G1602</f>
        <v>0</v>
      </c>
      <c r="C296" s="518"/>
      <c r="D296" s="518"/>
      <c r="E296" s="518"/>
      <c r="I296" s="516"/>
      <c r="K296" s="517"/>
      <c r="L296" s="518">
        <f>B296</f>
        <v>0</v>
      </c>
      <c r="M296" s="518"/>
      <c r="N296" s="518"/>
      <c r="O296" s="518"/>
      <c r="S296" s="516"/>
    </row>
    <row r="297" spans="1:19">
      <c r="A297" s="1160" t="s">
        <v>52</v>
      </c>
      <c r="B297" s="1155"/>
      <c r="C297" s="1155"/>
      <c r="D297" s="1155"/>
      <c r="E297" s="518"/>
      <c r="I297" s="516"/>
      <c r="K297" s="1160" t="s">
        <v>52</v>
      </c>
      <c r="L297" s="1155"/>
      <c r="M297" s="1155"/>
      <c r="N297" s="1155"/>
      <c r="O297" s="518"/>
      <c r="S297" s="516"/>
    </row>
    <row r="298" spans="1:19">
      <c r="A298" s="1160"/>
      <c r="B298" s="1155"/>
      <c r="C298" s="1155"/>
      <c r="D298" s="1155"/>
      <c r="E298" s="520" t="str">
        <f>'4-22MASTER'!C24</f>
        <v>Sandeep Dixit</v>
      </c>
      <c r="F298" s="521"/>
      <c r="G298" s="521"/>
      <c r="H298" s="521" t="str">
        <f>'4-22MASTER'!F24</f>
        <v>Surendra Singh</v>
      </c>
      <c r="I298" s="516"/>
      <c r="K298" s="1160"/>
      <c r="L298" s="1155"/>
      <c r="M298" s="1155"/>
      <c r="N298" s="1155"/>
      <c r="O298" s="520" t="str">
        <f>E298</f>
        <v>Sandeep Dixit</v>
      </c>
      <c r="P298" s="521"/>
      <c r="Q298" s="521"/>
      <c r="R298" s="521" t="str">
        <f>H298</f>
        <v>Surendra Singh</v>
      </c>
      <c r="S298" s="516"/>
    </row>
    <row r="299" spans="1:19">
      <c r="A299" s="517"/>
      <c r="B299" s="518"/>
      <c r="C299" s="518"/>
      <c r="D299" s="518"/>
      <c r="E299" s="518"/>
      <c r="I299" s="516"/>
      <c r="K299" s="517"/>
      <c r="L299" s="518"/>
      <c r="M299" s="518"/>
      <c r="N299" s="518"/>
      <c r="O299" s="518"/>
      <c r="S299" s="516"/>
    </row>
    <row r="300" spans="1:19">
      <c r="A300" s="1161" t="s">
        <v>53</v>
      </c>
      <c r="B300" s="1156"/>
      <c r="C300" s="1156"/>
      <c r="D300" s="1156"/>
      <c r="E300" s="520" t="s">
        <v>601</v>
      </c>
      <c r="F300" s="521"/>
      <c r="G300" s="521"/>
      <c r="H300" s="521"/>
      <c r="I300" s="516"/>
      <c r="K300" s="1161" t="s">
        <v>53</v>
      </c>
      <c r="L300" s="1156"/>
      <c r="M300" s="1156"/>
      <c r="N300" s="1156"/>
      <c r="O300" s="520" t="str">
        <f>E300</f>
        <v>IT SUPPORTIVE SERVICES &amp; PUNE ASC SEZ</v>
      </c>
      <c r="P300" s="521"/>
      <c r="Q300" s="521"/>
      <c r="R300" s="521"/>
      <c r="S300" s="516"/>
    </row>
    <row r="301" spans="1:19">
      <c r="A301" s="517"/>
      <c r="B301" s="518"/>
      <c r="C301" s="518"/>
      <c r="D301" s="518"/>
      <c r="E301" s="518"/>
      <c r="I301" s="516"/>
      <c r="K301" s="517"/>
      <c r="L301" s="518"/>
      <c r="M301" s="518"/>
      <c r="N301" s="518"/>
      <c r="O301" s="518"/>
      <c r="S301" s="516"/>
    </row>
    <row r="302" spans="1:19">
      <c r="A302" s="1161" t="s">
        <v>54</v>
      </c>
      <c r="B302" s="1156"/>
      <c r="C302" s="1156"/>
      <c r="D302" s="1156"/>
      <c r="E302" s="522">
        <f>'4-22MASTER'!E10</f>
        <v>44652</v>
      </c>
      <c r="F302" s="521"/>
      <c r="G302" s="521"/>
      <c r="H302" s="521"/>
      <c r="I302" s="516"/>
      <c r="K302" s="1161" t="s">
        <v>54</v>
      </c>
      <c r="L302" s="1156"/>
      <c r="M302" s="1156"/>
      <c r="N302" s="1156"/>
      <c r="O302" s="522">
        <f>E302</f>
        <v>44652</v>
      </c>
      <c r="P302" s="521"/>
      <c r="Q302" s="521"/>
      <c r="R302" s="521"/>
      <c r="S302" s="516"/>
    </row>
    <row r="303" spans="1:19">
      <c r="A303" s="517"/>
      <c r="B303" s="518"/>
      <c r="C303" s="518"/>
      <c r="D303" s="518"/>
      <c r="E303" s="518"/>
      <c r="I303" s="516"/>
      <c r="K303" s="517"/>
      <c r="L303" s="518"/>
      <c r="M303" s="518"/>
      <c r="N303" s="518"/>
      <c r="O303" s="518"/>
      <c r="S303" s="516"/>
    </row>
    <row r="304" spans="1:19">
      <c r="A304" s="523">
        <v>1</v>
      </c>
      <c r="B304" s="1156" t="s">
        <v>55</v>
      </c>
      <c r="C304" s="1156"/>
      <c r="D304" s="1156"/>
      <c r="E304" s="524">
        <f>'4-22MASTER'!X24</f>
        <v>30</v>
      </c>
      <c r="F304" s="521"/>
      <c r="G304" s="521"/>
      <c r="H304" s="521"/>
      <c r="I304" s="516"/>
      <c r="K304" s="523">
        <v>1</v>
      </c>
      <c r="L304" s="1156" t="s">
        <v>55</v>
      </c>
      <c r="M304" s="1156"/>
      <c r="N304" s="1156"/>
      <c r="O304" s="524">
        <f>E304</f>
        <v>30</v>
      </c>
      <c r="P304" s="521"/>
      <c r="Q304" s="521"/>
      <c r="R304" s="521"/>
      <c r="S304" s="516"/>
    </row>
    <row r="305" spans="1:19">
      <c r="A305" s="523"/>
      <c r="B305" s="518"/>
      <c r="C305" s="518"/>
      <c r="D305" s="518"/>
      <c r="E305" s="518"/>
      <c r="I305" s="516"/>
      <c r="K305" s="523"/>
      <c r="L305" s="518"/>
      <c r="M305" s="518"/>
      <c r="N305" s="518"/>
      <c r="O305" s="518"/>
      <c r="S305" s="516"/>
    </row>
    <row r="306" spans="1:19">
      <c r="A306" s="523">
        <v>2</v>
      </c>
      <c r="B306" s="1155" t="s">
        <v>56</v>
      </c>
      <c r="C306" s="1155"/>
      <c r="D306" s="1155"/>
      <c r="E306" s="518"/>
      <c r="I306" s="516"/>
      <c r="K306" s="523">
        <v>2</v>
      </c>
      <c r="L306" s="1155" t="s">
        <v>56</v>
      </c>
      <c r="M306" s="1155"/>
      <c r="N306" s="1155"/>
      <c r="O306" s="518"/>
      <c r="S306" s="516"/>
    </row>
    <row r="307" spans="1:19">
      <c r="A307" s="523"/>
      <c r="B307" s="1155"/>
      <c r="C307" s="1155"/>
      <c r="D307" s="1155"/>
      <c r="E307" s="525" t="s">
        <v>37</v>
      </c>
      <c r="F307" s="521"/>
      <c r="G307" s="521"/>
      <c r="H307" s="521"/>
      <c r="I307" s="516"/>
      <c r="K307" s="523"/>
      <c r="L307" s="1155"/>
      <c r="M307" s="1155"/>
      <c r="N307" s="1155"/>
      <c r="O307" s="525" t="s">
        <v>37</v>
      </c>
      <c r="P307" s="521"/>
      <c r="Q307" s="521"/>
      <c r="R307" s="521"/>
      <c r="S307" s="516"/>
    </row>
    <row r="308" spans="1:19">
      <c r="A308" s="523"/>
      <c r="B308" s="518"/>
      <c r="C308" s="518"/>
      <c r="D308" s="518"/>
      <c r="E308" s="518"/>
      <c r="I308" s="516"/>
      <c r="K308" s="523"/>
      <c r="L308" s="518"/>
      <c r="M308" s="518"/>
      <c r="N308" s="518"/>
      <c r="O308" s="518"/>
      <c r="S308" s="516"/>
    </row>
    <row r="309" spans="1:19">
      <c r="A309" s="523">
        <v>3</v>
      </c>
      <c r="B309" s="1156" t="s">
        <v>57</v>
      </c>
      <c r="C309" s="1156"/>
      <c r="D309" s="1156"/>
      <c r="E309" s="525" t="s">
        <v>37</v>
      </c>
      <c r="F309" s="521"/>
      <c r="G309" s="521"/>
      <c r="H309" s="521"/>
      <c r="I309" s="516"/>
      <c r="K309" s="523">
        <v>3</v>
      </c>
      <c r="L309" s="1156" t="s">
        <v>57</v>
      </c>
      <c r="M309" s="1156"/>
      <c r="N309" s="1156"/>
      <c r="O309" s="520" t="str">
        <f>E309</f>
        <v>N/A</v>
      </c>
      <c r="P309" s="521"/>
      <c r="Q309" s="521"/>
      <c r="R309" s="521"/>
      <c r="S309" s="516"/>
    </row>
    <row r="310" spans="1:19">
      <c r="A310" s="523"/>
      <c r="B310" s="518"/>
      <c r="C310" s="518"/>
      <c r="D310" s="518"/>
      <c r="E310" s="518"/>
      <c r="I310" s="516"/>
      <c r="K310" s="523"/>
      <c r="L310" s="518"/>
      <c r="M310" s="518"/>
      <c r="N310" s="518"/>
      <c r="O310" s="518"/>
      <c r="S310" s="516"/>
    </row>
    <row r="311" spans="1:19">
      <c r="A311" s="523">
        <v>4</v>
      </c>
      <c r="B311" s="1156" t="s">
        <v>58</v>
      </c>
      <c r="C311" s="1156"/>
      <c r="D311" s="1156"/>
      <c r="E311" s="525" t="s">
        <v>59</v>
      </c>
      <c r="F311" s="521"/>
      <c r="G311" s="521"/>
      <c r="H311" s="521"/>
      <c r="I311" s="516"/>
      <c r="K311" s="523">
        <v>4</v>
      </c>
      <c r="L311" s="1156" t="s">
        <v>58</v>
      </c>
      <c r="M311" s="1156"/>
      <c r="N311" s="1156"/>
      <c r="O311" s="525" t="s">
        <v>59</v>
      </c>
      <c r="P311" s="521"/>
      <c r="Q311" s="521"/>
      <c r="R311" s="521"/>
      <c r="S311" s="516"/>
    </row>
    <row r="312" spans="1:19">
      <c r="A312" s="523"/>
      <c r="B312" s="518"/>
      <c r="C312" s="518"/>
      <c r="D312" s="518"/>
      <c r="E312" s="518"/>
      <c r="I312" s="516"/>
      <c r="K312" s="523"/>
      <c r="L312" s="518"/>
      <c r="M312" s="518"/>
      <c r="N312" s="518"/>
      <c r="O312" s="518"/>
      <c r="S312" s="516"/>
    </row>
    <row r="313" spans="1:19">
      <c r="A313" s="523">
        <v>5</v>
      </c>
      <c r="B313" s="1156" t="s">
        <v>60</v>
      </c>
      <c r="C313" s="1156"/>
      <c r="D313" s="1156"/>
      <c r="E313" s="526">
        <f>'4-22MASTER'!AN24</f>
        <v>188275.86547999998</v>
      </c>
      <c r="I313" s="516"/>
      <c r="K313" s="523">
        <v>5</v>
      </c>
      <c r="L313" s="1156" t="s">
        <v>60</v>
      </c>
      <c r="M313" s="1156"/>
      <c r="N313" s="1156"/>
      <c r="O313" s="526">
        <f>E313</f>
        <v>188275.86547999998</v>
      </c>
      <c r="S313" s="516"/>
    </row>
    <row r="314" spans="1:19">
      <c r="A314" s="523"/>
      <c r="B314" s="518"/>
      <c r="C314" s="518"/>
      <c r="D314" s="527" t="s">
        <v>61</v>
      </c>
      <c r="E314" s="527" t="s">
        <v>31</v>
      </c>
      <c r="F314" s="527" t="s">
        <v>33</v>
      </c>
      <c r="G314" s="527" t="s">
        <v>34</v>
      </c>
      <c r="H314" s="527" t="s">
        <v>377</v>
      </c>
      <c r="I314" s="528" t="s">
        <v>378</v>
      </c>
      <c r="K314" s="523"/>
      <c r="L314" s="518"/>
      <c r="M314" s="518"/>
      <c r="N314" s="527" t="s">
        <v>61</v>
      </c>
      <c r="O314" s="527" t="s">
        <v>31</v>
      </c>
      <c r="P314" s="527" t="s">
        <v>33</v>
      </c>
      <c r="Q314" s="527" t="s">
        <v>34</v>
      </c>
      <c r="R314" s="527" t="s">
        <v>377</v>
      </c>
      <c r="S314" s="528" t="s">
        <v>378</v>
      </c>
    </row>
    <row r="315" spans="1:19">
      <c r="A315" s="523">
        <v>6</v>
      </c>
      <c r="B315" s="623" t="s">
        <v>62</v>
      </c>
      <c r="C315" s="623"/>
      <c r="D315" s="530">
        <f>'4-22MASTER'!AP24</f>
        <v>1800</v>
      </c>
      <c r="E315" s="530">
        <f>'4-22MASTER'!AO1613</f>
        <v>0</v>
      </c>
      <c r="F315" s="531">
        <f>'4-22MASTER'!AQ24</f>
        <v>200</v>
      </c>
      <c r="G315" s="530">
        <f>'4-22MASTER'!AR24</f>
        <v>0</v>
      </c>
      <c r="H315" s="531">
        <f>'4-22MASTER'!AS24</f>
        <v>283</v>
      </c>
      <c r="I315" s="531">
        <f>SUM(D315:H315)</f>
        <v>2283</v>
      </c>
      <c r="K315" s="523">
        <v>6</v>
      </c>
      <c r="L315" s="623" t="s">
        <v>62</v>
      </c>
      <c r="M315" s="623"/>
      <c r="N315" s="530">
        <f t="shared" ref="N315" si="42">D315</f>
        <v>1800</v>
      </c>
      <c r="O315" s="530">
        <f t="shared" ref="O315" si="43">E315</f>
        <v>0</v>
      </c>
      <c r="P315" s="531">
        <f t="shared" ref="P315" si="44">F315</f>
        <v>200</v>
      </c>
      <c r="Q315" s="530">
        <f t="shared" ref="Q315" si="45">G315</f>
        <v>0</v>
      </c>
      <c r="R315" s="531">
        <f t="shared" ref="R315" si="46">H315</f>
        <v>283</v>
      </c>
      <c r="S315" s="531">
        <f t="shared" ref="S315" si="47">I315</f>
        <v>2283</v>
      </c>
    </row>
    <row r="316" spans="1:19">
      <c r="A316" s="523"/>
      <c r="B316" s="518"/>
      <c r="C316" s="518"/>
      <c r="D316" s="518"/>
      <c r="E316" s="518"/>
      <c r="I316" s="516"/>
      <c r="K316" s="523"/>
      <c r="L316" s="518"/>
      <c r="M316" s="518"/>
      <c r="N316" s="518"/>
      <c r="O316" s="518"/>
      <c r="S316" s="516"/>
    </row>
    <row r="317" spans="1:19">
      <c r="A317" s="523">
        <v>7</v>
      </c>
      <c r="B317" s="1156" t="s">
        <v>63</v>
      </c>
      <c r="C317" s="1156"/>
      <c r="D317" s="1156"/>
      <c r="E317" s="532">
        <f>E313-I315</f>
        <v>185992.86547999998</v>
      </c>
      <c r="F317" s="521"/>
      <c r="G317" s="521"/>
      <c r="H317" s="521"/>
      <c r="I317" s="516"/>
      <c r="K317" s="523">
        <v>7</v>
      </c>
      <c r="L317" s="1156" t="s">
        <v>63</v>
      </c>
      <c r="M317" s="1156"/>
      <c r="N317" s="1156"/>
      <c r="O317" s="532">
        <f>E317</f>
        <v>185992.86547999998</v>
      </c>
      <c r="P317" s="521"/>
      <c r="Q317" s="521"/>
      <c r="R317" s="521"/>
      <c r="S317" s="516"/>
    </row>
    <row r="318" spans="1:19">
      <c r="A318" s="515"/>
      <c r="I318" s="516"/>
      <c r="K318" s="515"/>
      <c r="S318" s="516"/>
    </row>
    <row r="319" spans="1:19">
      <c r="A319" s="515"/>
      <c r="I319" s="516"/>
      <c r="K319" s="515"/>
      <c r="S319" s="516"/>
    </row>
    <row r="320" spans="1:19" ht="15.75" thickBot="1">
      <c r="A320" s="515"/>
      <c r="F320" s="533"/>
      <c r="G320" s="533"/>
      <c r="H320" s="533"/>
      <c r="I320" s="534"/>
      <c r="K320" s="515"/>
      <c r="P320" s="533"/>
      <c r="Q320" s="533"/>
      <c r="R320" s="533"/>
      <c r="S320" s="534"/>
    </row>
    <row r="321" spans="1:19" ht="15.75" thickBot="1">
      <c r="A321" s="535"/>
      <c r="B321" s="533"/>
      <c r="C321" s="533"/>
      <c r="D321" s="533"/>
      <c r="E321" s="533"/>
      <c r="F321" s="1162" t="s">
        <v>64</v>
      </c>
      <c r="G321" s="1162"/>
      <c r="H321" s="1162"/>
      <c r="I321" s="1163"/>
      <c r="K321" s="535"/>
      <c r="L321" s="533"/>
      <c r="M321" s="533"/>
      <c r="N321" s="533"/>
      <c r="O321" s="533"/>
      <c r="P321" s="1162" t="s">
        <v>64</v>
      </c>
      <c r="Q321" s="1162"/>
      <c r="R321" s="1162"/>
      <c r="S321" s="1163"/>
    </row>
    <row r="331" spans="1:19" ht="15.75" thickBot="1"/>
    <row r="332" spans="1:19" ht="26.25">
      <c r="A332" s="1164" t="s">
        <v>50</v>
      </c>
      <c r="B332" s="1165"/>
      <c r="C332" s="1165"/>
      <c r="D332" s="1165"/>
      <c r="E332" s="1165"/>
      <c r="F332" s="1165"/>
      <c r="G332" s="1165"/>
      <c r="H332" s="1165"/>
      <c r="I332" s="1166"/>
      <c r="K332" s="1164" t="s">
        <v>50</v>
      </c>
      <c r="L332" s="1165"/>
      <c r="M332" s="1165"/>
      <c r="N332" s="1165"/>
      <c r="O332" s="1165"/>
      <c r="P332" s="1165"/>
      <c r="Q332" s="1165"/>
      <c r="R332" s="1165"/>
      <c r="S332" s="1166"/>
    </row>
    <row r="333" spans="1:19">
      <c r="A333" s="1157" t="s">
        <v>579</v>
      </c>
      <c r="B333" s="1158"/>
      <c r="C333" s="1158"/>
      <c r="D333" s="1158"/>
      <c r="E333" s="1158"/>
      <c r="F333" s="1158"/>
      <c r="G333" s="1158"/>
      <c r="H333" s="1158"/>
      <c r="I333" s="1159"/>
      <c r="K333" s="1157" t="str">
        <f>A333</f>
        <v>[Vide rule 78 (1) (b) of the Contract Labour (Regulation and Abolition) Central and Maharastra, 1971]</v>
      </c>
      <c r="L333" s="1158"/>
      <c r="M333" s="1158"/>
      <c r="N333" s="1158"/>
      <c r="O333" s="1158"/>
      <c r="P333" s="1158"/>
      <c r="Q333" s="1158"/>
      <c r="R333" s="1158"/>
      <c r="S333" s="1159"/>
    </row>
    <row r="334" spans="1:19">
      <c r="A334" s="515"/>
      <c r="I334" s="516"/>
      <c r="K334" s="515"/>
      <c r="S334" s="516"/>
    </row>
    <row r="335" spans="1:19">
      <c r="A335" s="517" t="s">
        <v>51</v>
      </c>
      <c r="B335" s="518"/>
      <c r="C335" s="518"/>
      <c r="D335" s="519" t="s">
        <v>381</v>
      </c>
      <c r="I335" s="516"/>
      <c r="K335" s="517" t="s">
        <v>51</v>
      </c>
      <c r="L335" s="518"/>
      <c r="M335" s="518"/>
      <c r="N335" s="519" t="str">
        <f>D335</f>
        <v>Burgeon IT Services Pvt.Ltd.</v>
      </c>
      <c r="S335" s="516"/>
    </row>
    <row r="336" spans="1:19">
      <c r="A336" s="517"/>
      <c r="B336" s="518" t="s">
        <v>382</v>
      </c>
      <c r="C336" s="518"/>
      <c r="D336" s="518"/>
      <c r="I336" s="516"/>
      <c r="K336" s="517"/>
      <c r="L336" s="518" t="str">
        <f>B336</f>
        <v>Siri Mansion LIGB 436 Dr.A S Rao Nagar,Hyderabad</v>
      </c>
      <c r="M336" s="518"/>
      <c r="N336" s="518"/>
      <c r="S336" s="516"/>
    </row>
    <row r="337" spans="1:19">
      <c r="A337" s="517"/>
      <c r="B337" s="518">
        <f>'4-22MASTER'!G1643</f>
        <v>0</v>
      </c>
      <c r="C337" s="518"/>
      <c r="D337" s="518"/>
      <c r="E337" s="518"/>
      <c r="I337" s="516"/>
      <c r="K337" s="517"/>
      <c r="L337" s="518">
        <f>B337</f>
        <v>0</v>
      </c>
      <c r="M337" s="518"/>
      <c r="N337" s="518"/>
      <c r="O337" s="518"/>
      <c r="S337" s="516"/>
    </row>
    <row r="338" spans="1:19">
      <c r="A338" s="1160" t="s">
        <v>52</v>
      </c>
      <c r="B338" s="1155"/>
      <c r="C338" s="1155"/>
      <c r="D338" s="1155"/>
      <c r="E338" s="518"/>
      <c r="I338" s="516"/>
      <c r="K338" s="1160" t="s">
        <v>52</v>
      </c>
      <c r="L338" s="1155"/>
      <c r="M338" s="1155"/>
      <c r="N338" s="1155"/>
      <c r="O338" s="518"/>
      <c r="S338" s="516"/>
    </row>
    <row r="339" spans="1:19">
      <c r="A339" s="1160"/>
      <c r="B339" s="1155"/>
      <c r="C339" s="1155"/>
      <c r="D339" s="1155"/>
      <c r="E339" s="520" t="str">
        <f>'4-22MASTER'!C25</f>
        <v>Jaikesh Upadhyay  </v>
      </c>
      <c r="F339" s="521"/>
      <c r="G339" s="521" t="str">
        <f>'4-22MASTER'!F25</f>
        <v>Ashok Upadhyay</v>
      </c>
      <c r="H339" s="521"/>
      <c r="I339" s="516"/>
      <c r="K339" s="1160"/>
      <c r="L339" s="1155"/>
      <c r="M339" s="1155"/>
      <c r="N339" s="1155"/>
      <c r="O339" s="520" t="str">
        <f>E339</f>
        <v>Jaikesh Upadhyay  </v>
      </c>
      <c r="P339" s="521"/>
      <c r="Q339" s="521"/>
      <c r="R339" s="521" t="str">
        <f>G339</f>
        <v>Ashok Upadhyay</v>
      </c>
      <c r="S339" s="516"/>
    </row>
    <row r="340" spans="1:19">
      <c r="A340" s="517"/>
      <c r="B340" s="518"/>
      <c r="C340" s="518"/>
      <c r="D340" s="518"/>
      <c r="E340" s="518"/>
      <c r="I340" s="516"/>
      <c r="K340" s="517"/>
      <c r="L340" s="518"/>
      <c r="M340" s="518"/>
      <c r="N340" s="518"/>
      <c r="O340" s="518"/>
      <c r="S340" s="516"/>
    </row>
    <row r="341" spans="1:19">
      <c r="A341" s="1161" t="s">
        <v>53</v>
      </c>
      <c r="B341" s="1156"/>
      <c r="C341" s="1156"/>
      <c r="D341" s="1156"/>
      <c r="E341" s="520" t="s">
        <v>601</v>
      </c>
      <c r="F341" s="521"/>
      <c r="G341" s="521"/>
      <c r="H341" s="521"/>
      <c r="I341" s="516"/>
      <c r="K341" s="1161" t="s">
        <v>53</v>
      </c>
      <c r="L341" s="1156"/>
      <c r="M341" s="1156"/>
      <c r="N341" s="1156"/>
      <c r="O341" s="520" t="str">
        <f>E341</f>
        <v>IT SUPPORTIVE SERVICES &amp; PUNE ASC SEZ</v>
      </c>
      <c r="P341" s="521"/>
      <c r="Q341" s="521"/>
      <c r="R341" s="521"/>
      <c r="S341" s="516"/>
    </row>
    <row r="342" spans="1:19">
      <c r="A342" s="517"/>
      <c r="B342" s="518"/>
      <c r="C342" s="518"/>
      <c r="D342" s="518"/>
      <c r="E342" s="518"/>
      <c r="I342" s="516"/>
      <c r="K342" s="517"/>
      <c r="L342" s="518"/>
      <c r="M342" s="518"/>
      <c r="N342" s="518"/>
      <c r="O342" s="518"/>
      <c r="S342" s="516"/>
    </row>
    <row r="343" spans="1:19">
      <c r="A343" s="1161" t="s">
        <v>54</v>
      </c>
      <c r="B343" s="1156"/>
      <c r="C343" s="1156"/>
      <c r="D343" s="1156"/>
      <c r="E343" s="522">
        <f>'4-22MASTER'!E10</f>
        <v>44652</v>
      </c>
      <c r="F343" s="521"/>
      <c r="G343" s="521"/>
      <c r="H343" s="521"/>
      <c r="I343" s="516"/>
      <c r="K343" s="1161" t="s">
        <v>54</v>
      </c>
      <c r="L343" s="1156"/>
      <c r="M343" s="1156"/>
      <c r="N343" s="1156"/>
      <c r="O343" s="522">
        <f>E343</f>
        <v>44652</v>
      </c>
      <c r="P343" s="521"/>
      <c r="Q343" s="521"/>
      <c r="R343" s="521"/>
      <c r="S343" s="516"/>
    </row>
    <row r="344" spans="1:19">
      <c r="A344" s="517"/>
      <c r="B344" s="518"/>
      <c r="C344" s="518"/>
      <c r="D344" s="518"/>
      <c r="E344" s="518"/>
      <c r="I344" s="516"/>
      <c r="K344" s="517"/>
      <c r="L344" s="518"/>
      <c r="M344" s="518"/>
      <c r="N344" s="518"/>
      <c r="O344" s="518"/>
      <c r="S344" s="516"/>
    </row>
    <row r="345" spans="1:19">
      <c r="A345" s="523">
        <v>1</v>
      </c>
      <c r="B345" s="1156" t="s">
        <v>55</v>
      </c>
      <c r="C345" s="1156"/>
      <c r="D345" s="1156"/>
      <c r="E345" s="524">
        <f>'4-22MASTER'!X25</f>
        <v>30</v>
      </c>
      <c r="F345" s="521"/>
      <c r="G345" s="521"/>
      <c r="H345" s="521"/>
      <c r="I345" s="516"/>
      <c r="K345" s="523">
        <v>1</v>
      </c>
      <c r="L345" s="1156" t="s">
        <v>55</v>
      </c>
      <c r="M345" s="1156"/>
      <c r="N345" s="1156"/>
      <c r="O345" s="524">
        <f>E345</f>
        <v>30</v>
      </c>
      <c r="P345" s="521"/>
      <c r="Q345" s="521"/>
      <c r="R345" s="521"/>
      <c r="S345" s="516"/>
    </row>
    <row r="346" spans="1:19">
      <c r="A346" s="523"/>
      <c r="B346" s="518"/>
      <c r="C346" s="518"/>
      <c r="D346" s="518"/>
      <c r="E346" s="518"/>
      <c r="I346" s="516"/>
      <c r="K346" s="523"/>
      <c r="L346" s="518"/>
      <c r="M346" s="518"/>
      <c r="N346" s="518"/>
      <c r="O346" s="518"/>
      <c r="S346" s="516"/>
    </row>
    <row r="347" spans="1:19">
      <c r="A347" s="523">
        <v>2</v>
      </c>
      <c r="B347" s="1155" t="s">
        <v>56</v>
      </c>
      <c r="C347" s="1155"/>
      <c r="D347" s="1155"/>
      <c r="E347" s="518"/>
      <c r="I347" s="516"/>
      <c r="K347" s="523">
        <v>2</v>
      </c>
      <c r="L347" s="1155" t="s">
        <v>56</v>
      </c>
      <c r="M347" s="1155"/>
      <c r="N347" s="1155"/>
      <c r="O347" s="518"/>
      <c r="S347" s="516"/>
    </row>
    <row r="348" spans="1:19">
      <c r="A348" s="523"/>
      <c r="B348" s="1155"/>
      <c r="C348" s="1155"/>
      <c r="D348" s="1155"/>
      <c r="E348" s="525" t="s">
        <v>37</v>
      </c>
      <c r="F348" s="521"/>
      <c r="G348" s="521"/>
      <c r="H348" s="521"/>
      <c r="I348" s="516"/>
      <c r="K348" s="523"/>
      <c r="L348" s="1155"/>
      <c r="M348" s="1155"/>
      <c r="N348" s="1155"/>
      <c r="O348" s="525" t="s">
        <v>37</v>
      </c>
      <c r="P348" s="521"/>
      <c r="Q348" s="521"/>
      <c r="R348" s="521"/>
      <c r="S348" s="516"/>
    </row>
    <row r="349" spans="1:19">
      <c r="A349" s="523"/>
      <c r="B349" s="518"/>
      <c r="C349" s="518"/>
      <c r="D349" s="518"/>
      <c r="E349" s="518"/>
      <c r="I349" s="516"/>
      <c r="K349" s="523"/>
      <c r="L349" s="518"/>
      <c r="M349" s="518"/>
      <c r="N349" s="518"/>
      <c r="O349" s="518"/>
      <c r="S349" s="516"/>
    </row>
    <row r="350" spans="1:19">
      <c r="A350" s="523">
        <v>3</v>
      </c>
      <c r="B350" s="1156" t="s">
        <v>57</v>
      </c>
      <c r="C350" s="1156"/>
      <c r="D350" s="1156"/>
      <c r="E350" s="525" t="s">
        <v>37</v>
      </c>
      <c r="F350" s="521"/>
      <c r="G350" s="521"/>
      <c r="H350" s="521"/>
      <c r="I350" s="516"/>
      <c r="K350" s="523">
        <v>3</v>
      </c>
      <c r="L350" s="1156" t="s">
        <v>57</v>
      </c>
      <c r="M350" s="1156"/>
      <c r="N350" s="1156"/>
      <c r="O350" s="520" t="str">
        <f>E350</f>
        <v>N/A</v>
      </c>
      <c r="P350" s="521"/>
      <c r="Q350" s="521"/>
      <c r="R350" s="521"/>
      <c r="S350" s="516"/>
    </row>
    <row r="351" spans="1:19">
      <c r="A351" s="523"/>
      <c r="B351" s="518"/>
      <c r="C351" s="518"/>
      <c r="D351" s="518"/>
      <c r="E351" s="518"/>
      <c r="I351" s="516"/>
      <c r="K351" s="523"/>
      <c r="L351" s="518"/>
      <c r="M351" s="518"/>
      <c r="N351" s="518"/>
      <c r="O351" s="518"/>
      <c r="S351" s="516"/>
    </row>
    <row r="352" spans="1:19">
      <c r="A352" s="523">
        <v>4</v>
      </c>
      <c r="B352" s="1156" t="s">
        <v>58</v>
      </c>
      <c r="C352" s="1156"/>
      <c r="D352" s="1156"/>
      <c r="E352" s="525" t="s">
        <v>59</v>
      </c>
      <c r="F352" s="521"/>
      <c r="G352" s="521"/>
      <c r="H352" s="521"/>
      <c r="I352" s="516"/>
      <c r="K352" s="523">
        <v>4</v>
      </c>
      <c r="L352" s="1156" t="s">
        <v>58</v>
      </c>
      <c r="M352" s="1156"/>
      <c r="N352" s="1156"/>
      <c r="O352" s="525" t="s">
        <v>59</v>
      </c>
      <c r="P352" s="521"/>
      <c r="Q352" s="521"/>
      <c r="R352" s="521"/>
      <c r="S352" s="516"/>
    </row>
    <row r="353" spans="1:19">
      <c r="A353" s="523"/>
      <c r="B353" s="518"/>
      <c r="C353" s="518"/>
      <c r="D353" s="518"/>
      <c r="E353" s="518"/>
      <c r="I353" s="516"/>
      <c r="K353" s="523"/>
      <c r="L353" s="518"/>
      <c r="M353" s="518"/>
      <c r="N353" s="518"/>
      <c r="O353" s="518"/>
      <c r="S353" s="516"/>
    </row>
    <row r="354" spans="1:19">
      <c r="A354" s="523">
        <v>5</v>
      </c>
      <c r="B354" s="1156" t="s">
        <v>60</v>
      </c>
      <c r="C354" s="1156"/>
      <c r="D354" s="1156"/>
      <c r="E354" s="526">
        <f>'4-22MASTER'!AN25</f>
        <v>123275.62934</v>
      </c>
      <c r="I354" s="516"/>
      <c r="K354" s="523">
        <v>5</v>
      </c>
      <c r="L354" s="1156" t="s">
        <v>60</v>
      </c>
      <c r="M354" s="1156"/>
      <c r="N354" s="1156"/>
      <c r="O354" s="526">
        <f>E354</f>
        <v>123275.62934</v>
      </c>
      <c r="S354" s="516"/>
    </row>
    <row r="355" spans="1:19">
      <c r="A355" s="523"/>
      <c r="B355" s="518"/>
      <c r="C355" s="518"/>
      <c r="D355" s="527" t="s">
        <v>61</v>
      </c>
      <c r="E355" s="527" t="s">
        <v>31</v>
      </c>
      <c r="F355" s="527" t="s">
        <v>33</v>
      </c>
      <c r="G355" s="527" t="s">
        <v>34</v>
      </c>
      <c r="H355" s="527" t="s">
        <v>377</v>
      </c>
      <c r="I355" s="528" t="s">
        <v>378</v>
      </c>
      <c r="K355" s="523"/>
      <c r="L355" s="518"/>
      <c r="M355" s="518"/>
      <c r="N355" s="527" t="s">
        <v>61</v>
      </c>
      <c r="O355" s="527" t="s">
        <v>31</v>
      </c>
      <c r="P355" s="527" t="s">
        <v>33</v>
      </c>
      <c r="Q355" s="527" t="s">
        <v>34</v>
      </c>
      <c r="R355" s="527" t="s">
        <v>377</v>
      </c>
      <c r="S355" s="528" t="s">
        <v>378</v>
      </c>
    </row>
    <row r="356" spans="1:19">
      <c r="A356" s="523">
        <v>6</v>
      </c>
      <c r="B356" s="623" t="s">
        <v>62</v>
      </c>
      <c r="C356" s="623"/>
      <c r="D356" s="530">
        <f>'4-22MASTER'!AP25</f>
        <v>1800</v>
      </c>
      <c r="E356" s="530">
        <f>'4-22MASTER'!AO1654</f>
        <v>0</v>
      </c>
      <c r="F356" s="531">
        <f>'4-22MASTER'!AQ25</f>
        <v>200</v>
      </c>
      <c r="G356" s="530">
        <f>'4-22MASTER'!AR25</f>
        <v>0</v>
      </c>
      <c r="H356" s="531">
        <f>'4-22MASTER'!AS25</f>
        <v>283</v>
      </c>
      <c r="I356" s="531">
        <f>SUM(D356:H356)</f>
        <v>2283</v>
      </c>
      <c r="K356" s="523">
        <v>6</v>
      </c>
      <c r="L356" s="623" t="s">
        <v>62</v>
      </c>
      <c r="M356" s="623"/>
      <c r="N356" s="530">
        <f t="shared" ref="N356" si="48">D356</f>
        <v>1800</v>
      </c>
      <c r="O356" s="530">
        <f t="shared" ref="O356" si="49">E356</f>
        <v>0</v>
      </c>
      <c r="P356" s="531">
        <f t="shared" ref="P356" si="50">F356</f>
        <v>200</v>
      </c>
      <c r="Q356" s="530">
        <f t="shared" ref="Q356" si="51">G356</f>
        <v>0</v>
      </c>
      <c r="R356" s="531">
        <f t="shared" ref="R356" si="52">H356</f>
        <v>283</v>
      </c>
      <c r="S356" s="531">
        <f t="shared" ref="S356" si="53">I356</f>
        <v>2283</v>
      </c>
    </row>
    <row r="357" spans="1:19">
      <c r="A357" s="523"/>
      <c r="B357" s="518"/>
      <c r="C357" s="518"/>
      <c r="D357" s="518"/>
      <c r="E357" s="518"/>
      <c r="I357" s="516"/>
      <c r="K357" s="523"/>
      <c r="L357" s="518"/>
      <c r="M357" s="518"/>
      <c r="N357" s="518"/>
      <c r="O357" s="518"/>
      <c r="S357" s="516"/>
    </row>
    <row r="358" spans="1:19">
      <c r="A358" s="523">
        <v>7</v>
      </c>
      <c r="B358" s="1156" t="s">
        <v>63</v>
      </c>
      <c r="C358" s="1156"/>
      <c r="D358" s="1156"/>
      <c r="E358" s="532">
        <f>E354-I356</f>
        <v>120992.62934</v>
      </c>
      <c r="F358" s="521"/>
      <c r="G358" s="521"/>
      <c r="H358" s="521"/>
      <c r="I358" s="516"/>
      <c r="K358" s="523">
        <v>7</v>
      </c>
      <c r="L358" s="1156" t="s">
        <v>63</v>
      </c>
      <c r="M358" s="1156"/>
      <c r="N358" s="1156"/>
      <c r="O358" s="532">
        <f>E358</f>
        <v>120992.62934</v>
      </c>
      <c r="P358" s="521"/>
      <c r="Q358" s="521"/>
      <c r="R358" s="521"/>
      <c r="S358" s="516"/>
    </row>
    <row r="359" spans="1:19">
      <c r="A359" s="515"/>
      <c r="I359" s="516"/>
      <c r="K359" s="515"/>
      <c r="S359" s="516"/>
    </row>
    <row r="360" spans="1:19">
      <c r="A360" s="515"/>
      <c r="I360" s="516"/>
      <c r="K360" s="515"/>
      <c r="S360" s="516"/>
    </row>
    <row r="361" spans="1:19" ht="15.75" thickBot="1">
      <c r="A361" s="515"/>
      <c r="F361" s="533"/>
      <c r="G361" s="533"/>
      <c r="H361" s="533"/>
      <c r="I361" s="534"/>
      <c r="K361" s="515"/>
      <c r="P361" s="533"/>
      <c r="Q361" s="533"/>
      <c r="R361" s="533"/>
      <c r="S361" s="534"/>
    </row>
    <row r="362" spans="1:19" ht="15.75" thickBot="1">
      <c r="A362" s="535"/>
      <c r="B362" s="533"/>
      <c r="C362" s="533"/>
      <c r="D362" s="533"/>
      <c r="E362" s="533"/>
      <c r="F362" s="1162" t="s">
        <v>64</v>
      </c>
      <c r="G362" s="1162"/>
      <c r="H362" s="1162"/>
      <c r="I362" s="1163"/>
      <c r="K362" s="535"/>
      <c r="L362" s="533"/>
      <c r="M362" s="533"/>
      <c r="N362" s="533"/>
      <c r="O362" s="533"/>
      <c r="P362" s="1162" t="s">
        <v>64</v>
      </c>
      <c r="Q362" s="1162"/>
      <c r="R362" s="1162"/>
      <c r="S362" s="1163"/>
    </row>
    <row r="365" spans="1:19" ht="15.75" thickBot="1"/>
    <row r="366" spans="1:19" ht="26.25">
      <c r="A366" s="1164" t="s">
        <v>50</v>
      </c>
      <c r="B366" s="1165"/>
      <c r="C366" s="1165"/>
      <c r="D366" s="1165"/>
      <c r="E366" s="1165"/>
      <c r="F366" s="1165"/>
      <c r="G366" s="1165"/>
      <c r="H366" s="1165"/>
      <c r="I366" s="1166"/>
      <c r="K366" s="1164" t="s">
        <v>50</v>
      </c>
      <c r="L366" s="1165"/>
      <c r="M366" s="1165"/>
      <c r="N366" s="1165"/>
      <c r="O366" s="1165"/>
      <c r="P366" s="1165"/>
      <c r="Q366" s="1165"/>
      <c r="R366" s="1165"/>
      <c r="S366" s="1166"/>
    </row>
    <row r="367" spans="1:19">
      <c r="A367" s="1157" t="s">
        <v>579</v>
      </c>
      <c r="B367" s="1158"/>
      <c r="C367" s="1158"/>
      <c r="D367" s="1158"/>
      <c r="E367" s="1158"/>
      <c r="F367" s="1158"/>
      <c r="G367" s="1158"/>
      <c r="H367" s="1158"/>
      <c r="I367" s="1159"/>
      <c r="K367" s="1157" t="str">
        <f>A367</f>
        <v>[Vide rule 78 (1) (b) of the Contract Labour (Regulation and Abolition) Central and Maharastra, 1971]</v>
      </c>
      <c r="L367" s="1158"/>
      <c r="M367" s="1158"/>
      <c r="N367" s="1158"/>
      <c r="O367" s="1158"/>
      <c r="P367" s="1158"/>
      <c r="Q367" s="1158"/>
      <c r="R367" s="1158"/>
      <c r="S367" s="1159"/>
    </row>
    <row r="368" spans="1:19">
      <c r="A368" s="515"/>
      <c r="I368" s="516"/>
      <c r="K368" s="515"/>
      <c r="S368" s="516"/>
    </row>
    <row r="369" spans="1:19">
      <c r="A369" s="517" t="s">
        <v>51</v>
      </c>
      <c r="B369" s="518"/>
      <c r="C369" s="518"/>
      <c r="D369" s="519" t="s">
        <v>381</v>
      </c>
      <c r="I369" s="516"/>
      <c r="K369" s="517" t="s">
        <v>51</v>
      </c>
      <c r="L369" s="518"/>
      <c r="M369" s="518"/>
      <c r="N369" s="519" t="str">
        <f>D369</f>
        <v>Burgeon IT Services Pvt.Ltd.</v>
      </c>
      <c r="S369" s="516"/>
    </row>
    <row r="370" spans="1:19">
      <c r="A370" s="517"/>
      <c r="B370" s="518" t="s">
        <v>382</v>
      </c>
      <c r="C370" s="518"/>
      <c r="D370" s="518"/>
      <c r="I370" s="516"/>
      <c r="K370" s="517"/>
      <c r="L370" s="518" t="str">
        <f>B370</f>
        <v>Siri Mansion LIGB 436 Dr.A S Rao Nagar,Hyderabad</v>
      </c>
      <c r="M370" s="518"/>
      <c r="N370" s="518"/>
      <c r="S370" s="516"/>
    </row>
    <row r="371" spans="1:19">
      <c r="A371" s="517"/>
      <c r="B371" s="518">
        <f>'4-22MASTER'!G1677</f>
        <v>0</v>
      </c>
      <c r="C371" s="518"/>
      <c r="D371" s="518"/>
      <c r="E371" s="518"/>
      <c r="I371" s="516"/>
      <c r="K371" s="517"/>
      <c r="L371" s="518">
        <f>B371</f>
        <v>0</v>
      </c>
      <c r="M371" s="518"/>
      <c r="N371" s="518"/>
      <c r="O371" s="518"/>
      <c r="S371" s="516"/>
    </row>
    <row r="372" spans="1:19">
      <c r="A372" s="1160" t="s">
        <v>52</v>
      </c>
      <c r="B372" s="1155"/>
      <c r="C372" s="1155"/>
      <c r="D372" s="1155"/>
      <c r="E372" s="518"/>
      <c r="I372" s="516"/>
      <c r="K372" s="1160" t="s">
        <v>52</v>
      </c>
      <c r="L372" s="1155"/>
      <c r="M372" s="1155"/>
      <c r="N372" s="1155"/>
      <c r="O372" s="518"/>
      <c r="S372" s="516"/>
    </row>
    <row r="373" spans="1:19">
      <c r="A373" s="1160"/>
      <c r="B373" s="1155"/>
      <c r="C373" s="1155"/>
      <c r="D373" s="1155"/>
      <c r="E373" s="520" t="str">
        <f>'4-22MASTER'!C26</f>
        <v>Jyoti Singh</v>
      </c>
      <c r="F373" s="521"/>
      <c r="G373" s="521"/>
      <c r="H373" s="521" t="str">
        <f>'4-22MASTER'!F26</f>
        <v>Ashok Kumar Singh</v>
      </c>
      <c r="I373" s="516"/>
      <c r="K373" s="1160"/>
      <c r="L373" s="1155"/>
      <c r="M373" s="1155"/>
      <c r="N373" s="1155"/>
      <c r="O373" s="520" t="str">
        <f>E373</f>
        <v>Jyoti Singh</v>
      </c>
      <c r="P373" s="521"/>
      <c r="Q373" s="521"/>
      <c r="R373" s="521" t="str">
        <f>H373</f>
        <v>Ashok Kumar Singh</v>
      </c>
      <c r="S373" s="516"/>
    </row>
    <row r="374" spans="1:19">
      <c r="A374" s="517"/>
      <c r="B374" s="518"/>
      <c r="C374" s="518"/>
      <c r="D374" s="518"/>
      <c r="E374" s="518"/>
      <c r="I374" s="516"/>
      <c r="K374" s="517"/>
      <c r="L374" s="518"/>
      <c r="M374" s="518"/>
      <c r="N374" s="518"/>
      <c r="O374" s="518"/>
      <c r="S374" s="516"/>
    </row>
    <row r="375" spans="1:19">
      <c r="A375" s="1161" t="s">
        <v>53</v>
      </c>
      <c r="B375" s="1156"/>
      <c r="C375" s="1156"/>
      <c r="D375" s="1156"/>
      <c r="E375" s="520" t="s">
        <v>601</v>
      </c>
      <c r="F375" s="521"/>
      <c r="G375" s="521"/>
      <c r="H375" s="521"/>
      <c r="I375" s="516"/>
      <c r="K375" s="1161" t="s">
        <v>53</v>
      </c>
      <c r="L375" s="1156"/>
      <c r="M375" s="1156"/>
      <c r="N375" s="1156"/>
      <c r="O375" s="520" t="str">
        <f>E375</f>
        <v>IT SUPPORTIVE SERVICES &amp; PUNE ASC SEZ</v>
      </c>
      <c r="P375" s="521"/>
      <c r="Q375" s="521"/>
      <c r="R375" s="521"/>
      <c r="S375" s="516"/>
    </row>
    <row r="376" spans="1:19">
      <c r="A376" s="517"/>
      <c r="B376" s="518"/>
      <c r="C376" s="518"/>
      <c r="D376" s="518"/>
      <c r="E376" s="518"/>
      <c r="I376" s="516"/>
      <c r="K376" s="517"/>
      <c r="L376" s="518"/>
      <c r="M376" s="518"/>
      <c r="N376" s="518"/>
      <c r="O376" s="518"/>
      <c r="S376" s="516"/>
    </row>
    <row r="377" spans="1:19">
      <c r="A377" s="1161" t="s">
        <v>54</v>
      </c>
      <c r="B377" s="1156"/>
      <c r="C377" s="1156"/>
      <c r="D377" s="1156"/>
      <c r="E377" s="522">
        <f>'4-22MASTER'!E10</f>
        <v>44652</v>
      </c>
      <c r="F377" s="521"/>
      <c r="G377" s="521"/>
      <c r="H377" s="521"/>
      <c r="I377" s="516"/>
      <c r="K377" s="1161" t="s">
        <v>54</v>
      </c>
      <c r="L377" s="1156"/>
      <c r="M377" s="1156"/>
      <c r="N377" s="1156"/>
      <c r="O377" s="522">
        <f>E377</f>
        <v>44652</v>
      </c>
      <c r="P377" s="521"/>
      <c r="Q377" s="521"/>
      <c r="R377" s="521"/>
      <c r="S377" s="516"/>
    </row>
    <row r="378" spans="1:19">
      <c r="A378" s="517"/>
      <c r="B378" s="518"/>
      <c r="C378" s="518"/>
      <c r="D378" s="518"/>
      <c r="E378" s="518"/>
      <c r="I378" s="516"/>
      <c r="K378" s="517"/>
      <c r="L378" s="518"/>
      <c r="M378" s="518"/>
      <c r="N378" s="518"/>
      <c r="O378" s="518"/>
      <c r="S378" s="516"/>
    </row>
    <row r="379" spans="1:19">
      <c r="A379" s="523">
        <v>1</v>
      </c>
      <c r="B379" s="1156" t="s">
        <v>55</v>
      </c>
      <c r="C379" s="1156"/>
      <c r="D379" s="1156"/>
      <c r="E379" s="524"/>
      <c r="F379" s="810">
        <f>'4-22MASTER'!X26</f>
        <v>30</v>
      </c>
      <c r="G379" s="521"/>
      <c r="H379" s="521"/>
      <c r="I379" s="516"/>
      <c r="K379" s="523">
        <v>1</v>
      </c>
      <c r="L379" s="1156" t="s">
        <v>55</v>
      </c>
      <c r="M379" s="1156"/>
      <c r="N379" s="1156"/>
      <c r="O379" s="524">
        <f>E379</f>
        <v>0</v>
      </c>
      <c r="P379" s="521"/>
      <c r="Q379" s="521"/>
      <c r="R379" s="521"/>
      <c r="S379" s="516"/>
    </row>
    <row r="380" spans="1:19">
      <c r="A380" s="523"/>
      <c r="B380" s="518"/>
      <c r="C380" s="518"/>
      <c r="D380" s="518"/>
      <c r="E380" s="518"/>
      <c r="I380" s="516"/>
      <c r="K380" s="523"/>
      <c r="L380" s="518"/>
      <c r="M380" s="518"/>
      <c r="N380" s="518"/>
      <c r="O380" s="518"/>
      <c r="S380" s="516"/>
    </row>
    <row r="381" spans="1:19">
      <c r="A381" s="523">
        <v>2</v>
      </c>
      <c r="B381" s="1155" t="s">
        <v>56</v>
      </c>
      <c r="C381" s="1155"/>
      <c r="D381" s="1155"/>
      <c r="E381" s="518"/>
      <c r="I381" s="516"/>
      <c r="K381" s="523">
        <v>2</v>
      </c>
      <c r="L381" s="1155" t="s">
        <v>56</v>
      </c>
      <c r="M381" s="1155"/>
      <c r="N381" s="1155"/>
      <c r="O381" s="518"/>
      <c r="S381" s="516"/>
    </row>
    <row r="382" spans="1:19">
      <c r="A382" s="523"/>
      <c r="B382" s="1155"/>
      <c r="C382" s="1155"/>
      <c r="D382" s="1155"/>
      <c r="E382" s="525" t="s">
        <v>37</v>
      </c>
      <c r="F382" s="521"/>
      <c r="G382" s="521"/>
      <c r="H382" s="521"/>
      <c r="I382" s="516"/>
      <c r="K382" s="523"/>
      <c r="L382" s="1155"/>
      <c r="M382" s="1155"/>
      <c r="N382" s="1155"/>
      <c r="O382" s="525" t="s">
        <v>37</v>
      </c>
      <c r="P382" s="521"/>
      <c r="Q382" s="521"/>
      <c r="R382" s="521"/>
      <c r="S382" s="516"/>
    </row>
    <row r="383" spans="1:19">
      <c r="A383" s="523"/>
      <c r="B383" s="518"/>
      <c r="C383" s="518"/>
      <c r="D383" s="518"/>
      <c r="E383" s="518"/>
      <c r="I383" s="516"/>
      <c r="K383" s="523"/>
      <c r="L383" s="518"/>
      <c r="M383" s="518"/>
      <c r="N383" s="518"/>
      <c r="O383" s="518"/>
      <c r="S383" s="516"/>
    </row>
    <row r="384" spans="1:19">
      <c r="A384" s="523">
        <v>3</v>
      </c>
      <c r="B384" s="1156" t="s">
        <v>57</v>
      </c>
      <c r="C384" s="1156"/>
      <c r="D384" s="1156"/>
      <c r="E384" s="525" t="s">
        <v>37</v>
      </c>
      <c r="F384" s="521"/>
      <c r="G384" s="521"/>
      <c r="H384" s="521"/>
      <c r="I384" s="516"/>
      <c r="K384" s="523">
        <v>3</v>
      </c>
      <c r="L384" s="1156" t="s">
        <v>57</v>
      </c>
      <c r="M384" s="1156"/>
      <c r="N384" s="1156"/>
      <c r="O384" s="520" t="str">
        <f>E384</f>
        <v>N/A</v>
      </c>
      <c r="P384" s="521"/>
      <c r="Q384" s="521"/>
      <c r="R384" s="521"/>
      <c r="S384" s="516"/>
    </row>
    <row r="385" spans="1:19">
      <c r="A385" s="523"/>
      <c r="B385" s="518"/>
      <c r="C385" s="518"/>
      <c r="D385" s="518"/>
      <c r="E385" s="518"/>
      <c r="I385" s="516"/>
      <c r="K385" s="523"/>
      <c r="L385" s="518"/>
      <c r="M385" s="518"/>
      <c r="N385" s="518"/>
      <c r="O385" s="518"/>
      <c r="S385" s="516"/>
    </row>
    <row r="386" spans="1:19">
      <c r="A386" s="523">
        <v>4</v>
      </c>
      <c r="B386" s="1156" t="s">
        <v>58</v>
      </c>
      <c r="C386" s="1156"/>
      <c r="D386" s="1156"/>
      <c r="E386" s="525" t="s">
        <v>59</v>
      </c>
      <c r="F386" s="521"/>
      <c r="G386" s="521"/>
      <c r="H386" s="521"/>
      <c r="I386" s="516"/>
      <c r="K386" s="523">
        <v>4</v>
      </c>
      <c r="L386" s="1156" t="s">
        <v>58</v>
      </c>
      <c r="M386" s="1156"/>
      <c r="N386" s="1156"/>
      <c r="O386" s="525" t="s">
        <v>59</v>
      </c>
      <c r="P386" s="521"/>
      <c r="Q386" s="521"/>
      <c r="R386" s="521"/>
      <c r="S386" s="516"/>
    </row>
    <row r="387" spans="1:19">
      <c r="A387" s="523"/>
      <c r="B387" s="518"/>
      <c r="C387" s="518"/>
      <c r="D387" s="518"/>
      <c r="E387" s="518"/>
      <c r="I387" s="516"/>
      <c r="K387" s="523"/>
      <c r="L387" s="518"/>
      <c r="M387" s="518"/>
      <c r="N387" s="518"/>
      <c r="O387" s="518"/>
      <c r="S387" s="516"/>
    </row>
    <row r="388" spans="1:19">
      <c r="A388" s="523">
        <v>5</v>
      </c>
      <c r="B388" s="1156" t="s">
        <v>60</v>
      </c>
      <c r="C388" s="1156"/>
      <c r="D388" s="1156"/>
      <c r="E388" s="526">
        <f>'4-22MASTER'!AN26</f>
        <v>113275.67599999999</v>
      </c>
      <c r="I388" s="516"/>
      <c r="K388" s="523">
        <v>5</v>
      </c>
      <c r="L388" s="1156" t="s">
        <v>60</v>
      </c>
      <c r="M388" s="1156"/>
      <c r="N388" s="1156"/>
      <c r="O388" s="526">
        <f>E388</f>
        <v>113275.67599999999</v>
      </c>
      <c r="S388" s="516"/>
    </row>
    <row r="389" spans="1:19">
      <c r="A389" s="523"/>
      <c r="B389" s="518"/>
      <c r="C389" s="518"/>
      <c r="D389" s="527" t="s">
        <v>61</v>
      </c>
      <c r="E389" s="527" t="s">
        <v>31</v>
      </c>
      <c r="F389" s="527" t="s">
        <v>33</v>
      </c>
      <c r="G389" s="527" t="s">
        <v>34</v>
      </c>
      <c r="H389" s="527" t="s">
        <v>377</v>
      </c>
      <c r="I389" s="528" t="s">
        <v>378</v>
      </c>
      <c r="K389" s="523"/>
      <c r="L389" s="518"/>
      <c r="M389" s="518"/>
      <c r="N389" s="527" t="s">
        <v>61</v>
      </c>
      <c r="O389" s="527" t="s">
        <v>31</v>
      </c>
      <c r="P389" s="527" t="s">
        <v>33</v>
      </c>
      <c r="Q389" s="527" t="s">
        <v>34</v>
      </c>
      <c r="R389" s="527" t="s">
        <v>377</v>
      </c>
      <c r="S389" s="528" t="s">
        <v>378</v>
      </c>
    </row>
    <row r="390" spans="1:19">
      <c r="A390" s="523">
        <v>6</v>
      </c>
      <c r="B390" s="840" t="s">
        <v>62</v>
      </c>
      <c r="C390" s="840"/>
      <c r="D390" s="530">
        <f>'4-22MASTER'!AP26</f>
        <v>0</v>
      </c>
      <c r="E390" s="530">
        <f>'4-22MASTER'!AO1688</f>
        <v>0</v>
      </c>
      <c r="F390" s="531">
        <f>'4-22MASTER'!AQ26</f>
        <v>200</v>
      </c>
      <c r="G390" s="530">
        <f>'4-22MASTER'!AR26</f>
        <v>0</v>
      </c>
      <c r="H390" s="531">
        <f>'4-22MASTER'!AS26</f>
        <v>283</v>
      </c>
      <c r="I390" s="531">
        <f>SUM(D390:H390)</f>
        <v>483</v>
      </c>
      <c r="K390" s="523">
        <v>6</v>
      </c>
      <c r="L390" s="840" t="s">
        <v>62</v>
      </c>
      <c r="M390" s="840"/>
      <c r="N390" s="530">
        <f t="shared" ref="N390" si="54">D390</f>
        <v>0</v>
      </c>
      <c r="O390" s="530">
        <f t="shared" ref="O390" si="55">E390</f>
        <v>0</v>
      </c>
      <c r="P390" s="531">
        <f t="shared" ref="P390" si="56">F390</f>
        <v>200</v>
      </c>
      <c r="Q390" s="530">
        <f t="shared" ref="Q390" si="57">G390</f>
        <v>0</v>
      </c>
      <c r="R390" s="531">
        <f t="shared" ref="R390" si="58">H390</f>
        <v>283</v>
      </c>
      <c r="S390" s="531">
        <f t="shared" ref="S390" si="59">I390</f>
        <v>483</v>
      </c>
    </row>
    <row r="391" spans="1:19">
      <c r="A391" s="523"/>
      <c r="B391" s="518"/>
      <c r="C391" s="518"/>
      <c r="D391" s="518"/>
      <c r="E391" s="518"/>
      <c r="I391" s="516"/>
      <c r="K391" s="523"/>
      <c r="L391" s="518"/>
      <c r="M391" s="518"/>
      <c r="N391" s="518"/>
      <c r="O391" s="518"/>
      <c r="S391" s="516"/>
    </row>
    <row r="392" spans="1:19">
      <c r="A392" s="523">
        <v>7</v>
      </c>
      <c r="B392" s="1156" t="s">
        <v>63</v>
      </c>
      <c r="C392" s="1156"/>
      <c r="D392" s="1156"/>
      <c r="E392" s="532">
        <f>E388-I390</f>
        <v>112792.67599999999</v>
      </c>
      <c r="F392" s="521"/>
      <c r="G392" s="521"/>
      <c r="H392" s="521"/>
      <c r="I392" s="516"/>
      <c r="K392" s="523">
        <v>7</v>
      </c>
      <c r="L392" s="1156" t="s">
        <v>63</v>
      </c>
      <c r="M392" s="1156"/>
      <c r="N392" s="1156"/>
      <c r="O392" s="532">
        <f>E392</f>
        <v>112792.67599999999</v>
      </c>
      <c r="P392" s="521"/>
      <c r="Q392" s="521"/>
      <c r="R392" s="521"/>
      <c r="S392" s="516"/>
    </row>
    <row r="393" spans="1:19">
      <c r="A393" s="515"/>
      <c r="I393" s="516"/>
      <c r="K393" s="515"/>
      <c r="S393" s="516"/>
    </row>
    <row r="394" spans="1:19">
      <c r="A394" s="515"/>
      <c r="I394" s="516"/>
      <c r="K394" s="515"/>
      <c r="S394" s="516"/>
    </row>
    <row r="395" spans="1:19" ht="15.75" thickBot="1">
      <c r="A395" s="515"/>
      <c r="F395" s="533"/>
      <c r="G395" s="533"/>
      <c r="H395" s="533"/>
      <c r="I395" s="534"/>
      <c r="K395" s="515"/>
      <c r="P395" s="533"/>
      <c r="Q395" s="533"/>
      <c r="R395" s="533"/>
      <c r="S395" s="534"/>
    </row>
    <row r="396" spans="1:19" ht="15.75" thickBot="1">
      <c r="A396" s="535"/>
      <c r="B396" s="533"/>
      <c r="C396" s="533"/>
      <c r="D396" s="533"/>
      <c r="E396" s="533"/>
      <c r="F396" s="1162" t="s">
        <v>64</v>
      </c>
      <c r="G396" s="1162"/>
      <c r="H396" s="1162"/>
      <c r="I396" s="1163"/>
      <c r="K396" s="535"/>
      <c r="L396" s="533"/>
      <c r="M396" s="533"/>
      <c r="N396" s="533"/>
      <c r="O396" s="533"/>
      <c r="P396" s="1162" t="s">
        <v>64</v>
      </c>
      <c r="Q396" s="1162"/>
      <c r="R396" s="1162"/>
      <c r="S396" s="1163"/>
    </row>
    <row r="406" spans="1:19" ht="15.75" thickBot="1"/>
    <row r="407" spans="1:19" ht="26.25">
      <c r="A407" s="1164" t="s">
        <v>50</v>
      </c>
      <c r="B407" s="1165"/>
      <c r="C407" s="1165"/>
      <c r="D407" s="1165"/>
      <c r="E407" s="1165"/>
      <c r="F407" s="1165"/>
      <c r="G407" s="1165"/>
      <c r="H407" s="1165"/>
      <c r="I407" s="1166"/>
      <c r="K407" s="1164" t="s">
        <v>50</v>
      </c>
      <c r="L407" s="1165"/>
      <c r="M407" s="1165"/>
      <c r="N407" s="1165"/>
      <c r="O407" s="1165"/>
      <c r="P407" s="1165"/>
      <c r="Q407" s="1165"/>
      <c r="R407" s="1165"/>
      <c r="S407" s="1166"/>
    </row>
    <row r="408" spans="1:19">
      <c r="A408" s="1157" t="s">
        <v>579</v>
      </c>
      <c r="B408" s="1158"/>
      <c r="C408" s="1158"/>
      <c r="D408" s="1158"/>
      <c r="E408" s="1158"/>
      <c r="F408" s="1158"/>
      <c r="G408" s="1158"/>
      <c r="H408" s="1158"/>
      <c r="I408" s="1159"/>
      <c r="K408" s="1157" t="str">
        <f>A408</f>
        <v>[Vide rule 78 (1) (b) of the Contract Labour (Regulation and Abolition) Central and Maharastra, 1971]</v>
      </c>
      <c r="L408" s="1158"/>
      <c r="M408" s="1158"/>
      <c r="N408" s="1158"/>
      <c r="O408" s="1158"/>
      <c r="P408" s="1158"/>
      <c r="Q408" s="1158"/>
      <c r="R408" s="1158"/>
      <c r="S408" s="1159"/>
    </row>
    <row r="409" spans="1:19">
      <c r="A409" s="515"/>
      <c r="I409" s="516"/>
      <c r="K409" s="515"/>
      <c r="S409" s="516"/>
    </row>
    <row r="410" spans="1:19">
      <c r="A410" s="517" t="s">
        <v>51</v>
      </c>
      <c r="B410" s="518"/>
      <c r="C410" s="518"/>
      <c r="D410" s="519" t="s">
        <v>381</v>
      </c>
      <c r="I410" s="516"/>
      <c r="K410" s="517" t="s">
        <v>51</v>
      </c>
      <c r="L410" s="518"/>
      <c r="M410" s="518"/>
      <c r="N410" s="519" t="str">
        <f>D410</f>
        <v>Burgeon IT Services Pvt.Ltd.</v>
      </c>
      <c r="S410" s="516"/>
    </row>
    <row r="411" spans="1:19">
      <c r="A411" s="517"/>
      <c r="B411" s="518" t="s">
        <v>382</v>
      </c>
      <c r="C411" s="518"/>
      <c r="D411" s="518"/>
      <c r="I411" s="516"/>
      <c r="K411" s="517"/>
      <c r="L411" s="518" t="str">
        <f>B411</f>
        <v>Siri Mansion LIGB 436 Dr.A S Rao Nagar,Hyderabad</v>
      </c>
      <c r="M411" s="518"/>
      <c r="N411" s="518"/>
      <c r="S411" s="516"/>
    </row>
    <row r="412" spans="1:19">
      <c r="A412" s="517"/>
      <c r="B412" s="518">
        <f>'4-22MASTER'!G1718</f>
        <v>0</v>
      </c>
      <c r="C412" s="518"/>
      <c r="D412" s="518"/>
      <c r="E412" s="518"/>
      <c r="I412" s="516"/>
      <c r="K412" s="517"/>
      <c r="L412" s="518">
        <f>B412</f>
        <v>0</v>
      </c>
      <c r="M412" s="518"/>
      <c r="N412" s="518"/>
      <c r="O412" s="518"/>
      <c r="S412" s="516"/>
    </row>
    <row r="413" spans="1:19">
      <c r="A413" s="1160" t="s">
        <v>52</v>
      </c>
      <c r="B413" s="1155"/>
      <c r="C413" s="1155"/>
      <c r="D413" s="1155"/>
      <c r="E413" s="518"/>
      <c r="I413" s="516"/>
      <c r="K413" s="1160" t="s">
        <v>52</v>
      </c>
      <c r="L413" s="1155"/>
      <c r="M413" s="1155"/>
      <c r="N413" s="1155"/>
      <c r="O413" s="518"/>
      <c r="S413" s="516"/>
    </row>
    <row r="414" spans="1:19">
      <c r="A414" s="1160"/>
      <c r="B414" s="1155"/>
      <c r="C414" s="1155"/>
      <c r="D414" s="1155"/>
      <c r="E414" s="520" t="str">
        <f>'4-22MASTER'!C27</f>
        <v>Chandrashekar Patil</v>
      </c>
      <c r="F414" s="521"/>
      <c r="G414" s="521" t="str">
        <f>'4-22MASTER'!F27</f>
        <v>Shivraj Patil</v>
      </c>
      <c r="H414" s="521"/>
      <c r="I414" s="516"/>
      <c r="K414" s="1160"/>
      <c r="L414" s="1155"/>
      <c r="M414" s="1155"/>
      <c r="N414" s="1155"/>
      <c r="O414" s="520" t="str">
        <f>E414</f>
        <v>Chandrashekar Patil</v>
      </c>
      <c r="P414" s="521"/>
      <c r="Q414" s="521"/>
      <c r="R414" s="521" t="str">
        <f>G414</f>
        <v>Shivraj Patil</v>
      </c>
      <c r="S414" s="516"/>
    </row>
    <row r="415" spans="1:19">
      <c r="A415" s="517"/>
      <c r="B415" s="518"/>
      <c r="C415" s="518"/>
      <c r="D415" s="518"/>
      <c r="E415" s="518"/>
      <c r="I415" s="516"/>
      <c r="K415" s="517"/>
      <c r="L415" s="518"/>
      <c r="M415" s="518"/>
      <c r="N415" s="518"/>
      <c r="O415" s="518"/>
      <c r="S415" s="516"/>
    </row>
    <row r="416" spans="1:19">
      <c r="A416" s="1161" t="s">
        <v>53</v>
      </c>
      <c r="B416" s="1156"/>
      <c r="C416" s="1156"/>
      <c r="D416" s="1156"/>
      <c r="E416" s="520" t="s">
        <v>601</v>
      </c>
      <c r="F416" s="521"/>
      <c r="G416" s="521"/>
      <c r="H416" s="521"/>
      <c r="I416" s="516"/>
      <c r="K416" s="1161" t="s">
        <v>53</v>
      </c>
      <c r="L416" s="1156"/>
      <c r="M416" s="1156"/>
      <c r="N416" s="1156"/>
      <c r="O416" s="520" t="str">
        <f>E416</f>
        <v>IT SUPPORTIVE SERVICES &amp; PUNE ASC SEZ</v>
      </c>
      <c r="P416" s="521"/>
      <c r="Q416" s="521"/>
      <c r="R416" s="521"/>
      <c r="S416" s="516"/>
    </row>
    <row r="417" spans="1:19">
      <c r="A417" s="517"/>
      <c r="B417" s="518"/>
      <c r="C417" s="518"/>
      <c r="D417" s="518"/>
      <c r="E417" s="518"/>
      <c r="I417" s="516"/>
      <c r="K417" s="517"/>
      <c r="L417" s="518"/>
      <c r="M417" s="518"/>
      <c r="N417" s="518"/>
      <c r="O417" s="518"/>
      <c r="S417" s="516"/>
    </row>
    <row r="418" spans="1:19">
      <c r="A418" s="1161" t="s">
        <v>54</v>
      </c>
      <c r="B418" s="1156"/>
      <c r="C418" s="1156"/>
      <c r="D418" s="1156"/>
      <c r="E418" s="522">
        <f>'4-22MASTER'!E10</f>
        <v>44652</v>
      </c>
      <c r="F418" s="521"/>
      <c r="G418" s="521"/>
      <c r="H418" s="521"/>
      <c r="I418" s="516"/>
      <c r="K418" s="1161" t="s">
        <v>54</v>
      </c>
      <c r="L418" s="1156"/>
      <c r="M418" s="1156"/>
      <c r="N418" s="1156"/>
      <c r="O418" s="522">
        <f>E418</f>
        <v>44652</v>
      </c>
      <c r="P418" s="521"/>
      <c r="Q418" s="521"/>
      <c r="R418" s="521"/>
      <c r="S418" s="516"/>
    </row>
    <row r="419" spans="1:19">
      <c r="A419" s="517"/>
      <c r="B419" s="518"/>
      <c r="C419" s="518"/>
      <c r="D419" s="518"/>
      <c r="E419" s="518"/>
      <c r="I419" s="516"/>
      <c r="K419" s="517"/>
      <c r="L419" s="518"/>
      <c r="M419" s="518"/>
      <c r="N419" s="518"/>
      <c r="O419" s="518"/>
      <c r="S419" s="516"/>
    </row>
    <row r="420" spans="1:19">
      <c r="A420" s="523">
        <v>1</v>
      </c>
      <c r="B420" s="1156" t="s">
        <v>55</v>
      </c>
      <c r="C420" s="1156"/>
      <c r="D420" s="1156"/>
      <c r="E420" s="524">
        <f>'4-22MASTER'!X27</f>
        <v>27</v>
      </c>
      <c r="F420" s="521"/>
      <c r="G420" s="521"/>
      <c r="H420" s="521"/>
      <c r="I420" s="516"/>
      <c r="K420" s="523">
        <v>1</v>
      </c>
      <c r="L420" s="1156" t="s">
        <v>55</v>
      </c>
      <c r="M420" s="1156"/>
      <c r="N420" s="1156"/>
      <c r="O420" s="524">
        <f>E420</f>
        <v>27</v>
      </c>
      <c r="P420" s="521"/>
      <c r="Q420" s="521"/>
      <c r="R420" s="521"/>
      <c r="S420" s="516"/>
    </row>
    <row r="421" spans="1:19">
      <c r="A421" s="523"/>
      <c r="B421" s="518"/>
      <c r="C421" s="518"/>
      <c r="D421" s="518"/>
      <c r="E421" s="518"/>
      <c r="I421" s="516"/>
      <c r="K421" s="523"/>
      <c r="L421" s="518"/>
      <c r="M421" s="518"/>
      <c r="N421" s="518"/>
      <c r="O421" s="518"/>
      <c r="S421" s="516"/>
    </row>
    <row r="422" spans="1:19">
      <c r="A422" s="523">
        <v>2</v>
      </c>
      <c r="B422" s="1155" t="s">
        <v>56</v>
      </c>
      <c r="C422" s="1155"/>
      <c r="D422" s="1155"/>
      <c r="E422" s="518"/>
      <c r="I422" s="516"/>
      <c r="K422" s="523">
        <v>2</v>
      </c>
      <c r="L422" s="1155" t="s">
        <v>56</v>
      </c>
      <c r="M422" s="1155"/>
      <c r="N422" s="1155"/>
      <c r="O422" s="518"/>
      <c r="S422" s="516"/>
    </row>
    <row r="423" spans="1:19">
      <c r="A423" s="523"/>
      <c r="B423" s="1155"/>
      <c r="C423" s="1155"/>
      <c r="D423" s="1155"/>
      <c r="E423" s="525" t="s">
        <v>37</v>
      </c>
      <c r="F423" s="521"/>
      <c r="G423" s="521"/>
      <c r="H423" s="521"/>
      <c r="I423" s="516"/>
      <c r="K423" s="523"/>
      <c r="L423" s="1155"/>
      <c r="M423" s="1155"/>
      <c r="N423" s="1155"/>
      <c r="O423" s="525" t="s">
        <v>37</v>
      </c>
      <c r="P423" s="521"/>
      <c r="Q423" s="521"/>
      <c r="R423" s="521"/>
      <c r="S423" s="516"/>
    </row>
    <row r="424" spans="1:19">
      <c r="A424" s="523"/>
      <c r="B424" s="518"/>
      <c r="C424" s="518"/>
      <c r="D424" s="518"/>
      <c r="E424" s="518"/>
      <c r="I424" s="516"/>
      <c r="K424" s="523"/>
      <c r="L424" s="518"/>
      <c r="M424" s="518"/>
      <c r="N424" s="518"/>
      <c r="O424" s="518"/>
      <c r="S424" s="516"/>
    </row>
    <row r="425" spans="1:19">
      <c r="A425" s="523">
        <v>3</v>
      </c>
      <c r="B425" s="1156" t="s">
        <v>57</v>
      </c>
      <c r="C425" s="1156"/>
      <c r="D425" s="1156"/>
      <c r="E425" s="525" t="s">
        <v>37</v>
      </c>
      <c r="F425" s="521"/>
      <c r="G425" s="521"/>
      <c r="H425" s="521"/>
      <c r="I425" s="516"/>
      <c r="K425" s="523">
        <v>3</v>
      </c>
      <c r="L425" s="1156" t="s">
        <v>57</v>
      </c>
      <c r="M425" s="1156"/>
      <c r="N425" s="1156"/>
      <c r="O425" s="520" t="str">
        <f>E425</f>
        <v>N/A</v>
      </c>
      <c r="P425" s="521"/>
      <c r="Q425" s="521"/>
      <c r="R425" s="521"/>
      <c r="S425" s="516"/>
    </row>
    <row r="426" spans="1:19">
      <c r="A426" s="523"/>
      <c r="B426" s="518"/>
      <c r="C426" s="518"/>
      <c r="D426" s="518"/>
      <c r="E426" s="518"/>
      <c r="I426" s="516"/>
      <c r="K426" s="523"/>
      <c r="L426" s="518"/>
      <c r="M426" s="518"/>
      <c r="N426" s="518"/>
      <c r="O426" s="518"/>
      <c r="S426" s="516"/>
    </row>
    <row r="427" spans="1:19">
      <c r="A427" s="523">
        <v>4</v>
      </c>
      <c r="B427" s="1156" t="s">
        <v>58</v>
      </c>
      <c r="C427" s="1156"/>
      <c r="D427" s="1156"/>
      <c r="E427" s="525" t="s">
        <v>59</v>
      </c>
      <c r="F427" s="521"/>
      <c r="G427" s="521"/>
      <c r="H427" s="521"/>
      <c r="I427" s="516"/>
      <c r="K427" s="523">
        <v>4</v>
      </c>
      <c r="L427" s="1156" t="s">
        <v>58</v>
      </c>
      <c r="M427" s="1156"/>
      <c r="N427" s="1156"/>
      <c r="O427" s="525" t="s">
        <v>59</v>
      </c>
      <c r="P427" s="521"/>
      <c r="Q427" s="521"/>
      <c r="R427" s="521"/>
      <c r="S427" s="516"/>
    </row>
    <row r="428" spans="1:19">
      <c r="A428" s="523"/>
      <c r="B428" s="518"/>
      <c r="C428" s="518"/>
      <c r="D428" s="518"/>
      <c r="E428" s="518"/>
      <c r="I428" s="516"/>
      <c r="K428" s="523"/>
      <c r="L428" s="518"/>
      <c r="M428" s="518"/>
      <c r="N428" s="518"/>
      <c r="O428" s="518"/>
      <c r="S428" s="516"/>
    </row>
    <row r="429" spans="1:19">
      <c r="A429" s="523">
        <v>5</v>
      </c>
      <c r="B429" s="1156" t="s">
        <v>60</v>
      </c>
      <c r="C429" s="1156"/>
      <c r="D429" s="1156"/>
      <c r="E429" s="526">
        <f>'4-22MASTER'!AN27</f>
        <v>73314.809486000013</v>
      </c>
      <c r="I429" s="516"/>
      <c r="K429" s="523">
        <v>5</v>
      </c>
      <c r="L429" s="1156" t="s">
        <v>60</v>
      </c>
      <c r="M429" s="1156"/>
      <c r="N429" s="1156"/>
      <c r="O429" s="526">
        <f>E429</f>
        <v>73314.809486000013</v>
      </c>
      <c r="S429" s="516"/>
    </row>
    <row r="430" spans="1:19">
      <c r="A430" s="523"/>
      <c r="B430" s="518"/>
      <c r="C430" s="518"/>
      <c r="D430" s="527" t="s">
        <v>61</v>
      </c>
      <c r="E430" s="527" t="s">
        <v>31</v>
      </c>
      <c r="F430" s="527" t="s">
        <v>33</v>
      </c>
      <c r="G430" s="527" t="s">
        <v>34</v>
      </c>
      <c r="H430" s="527" t="s">
        <v>377</v>
      </c>
      <c r="I430" s="528" t="s">
        <v>378</v>
      </c>
      <c r="K430" s="523"/>
      <c r="L430" s="518"/>
      <c r="M430" s="518"/>
      <c r="N430" s="527" t="s">
        <v>61</v>
      </c>
      <c r="O430" s="527" t="s">
        <v>31</v>
      </c>
      <c r="P430" s="527" t="s">
        <v>33</v>
      </c>
      <c r="Q430" s="527" t="s">
        <v>34</v>
      </c>
      <c r="R430" s="527" t="s">
        <v>377</v>
      </c>
      <c r="S430" s="528" t="s">
        <v>378</v>
      </c>
    </row>
    <row r="431" spans="1:19">
      <c r="A431" s="523">
        <v>6</v>
      </c>
      <c r="B431" s="840" t="s">
        <v>62</v>
      </c>
      <c r="C431" s="840"/>
      <c r="D431" s="530">
        <f>'4-22MASTER'!AP27</f>
        <v>1800</v>
      </c>
      <c r="E431" s="530">
        <f>'4-22MASTER'!AO1729</f>
        <v>0</v>
      </c>
      <c r="F431" s="531">
        <f>'4-22MASTER'!AQ28</f>
        <v>200</v>
      </c>
      <c r="G431" s="530">
        <f>'4-22MASTER'!AR570</f>
        <v>0</v>
      </c>
      <c r="H431" s="531">
        <f>'4-22MASTER'!AS27</f>
        <v>283</v>
      </c>
      <c r="I431" s="531">
        <f>SUM(D431:H431)</f>
        <v>2283</v>
      </c>
      <c r="K431" s="523">
        <v>6</v>
      </c>
      <c r="L431" s="840" t="s">
        <v>62</v>
      </c>
      <c r="M431" s="840"/>
      <c r="N431" s="530">
        <f t="shared" ref="N431" si="60">D431</f>
        <v>1800</v>
      </c>
      <c r="O431" s="530">
        <f t="shared" ref="O431" si="61">E431</f>
        <v>0</v>
      </c>
      <c r="P431" s="531">
        <f t="shared" ref="P431" si="62">F431</f>
        <v>200</v>
      </c>
      <c r="Q431" s="530">
        <f t="shared" ref="Q431" si="63">G431</f>
        <v>0</v>
      </c>
      <c r="R431" s="531">
        <f t="shared" ref="R431" si="64">H431</f>
        <v>283</v>
      </c>
      <c r="S431" s="531">
        <f t="shared" ref="S431" si="65">I431</f>
        <v>2283</v>
      </c>
    </row>
    <row r="432" spans="1:19">
      <c r="A432" s="523"/>
      <c r="B432" s="518"/>
      <c r="C432" s="518"/>
      <c r="D432" s="518"/>
      <c r="E432" s="518"/>
      <c r="I432" s="516"/>
      <c r="K432" s="523"/>
      <c r="L432" s="518"/>
      <c r="M432" s="518"/>
      <c r="N432" s="518"/>
      <c r="O432" s="518"/>
      <c r="S432" s="516"/>
    </row>
    <row r="433" spans="1:19">
      <c r="A433" s="523">
        <v>7</v>
      </c>
      <c r="B433" s="1156" t="s">
        <v>63</v>
      </c>
      <c r="C433" s="1156"/>
      <c r="D433" s="1156"/>
      <c r="E433" s="532">
        <f>E429-I431</f>
        <v>71031.809486000013</v>
      </c>
      <c r="F433" s="521"/>
      <c r="G433" s="521"/>
      <c r="H433" s="521"/>
      <c r="I433" s="516"/>
      <c r="K433" s="523">
        <v>7</v>
      </c>
      <c r="L433" s="1156" t="s">
        <v>63</v>
      </c>
      <c r="M433" s="1156"/>
      <c r="N433" s="1156"/>
      <c r="O433" s="532">
        <f>E433</f>
        <v>71031.809486000013</v>
      </c>
      <c r="P433" s="521"/>
      <c r="Q433" s="521"/>
      <c r="R433" s="521"/>
      <c r="S433" s="516"/>
    </row>
    <row r="434" spans="1:19">
      <c r="A434" s="515"/>
      <c r="I434" s="516"/>
      <c r="K434" s="515"/>
      <c r="S434" s="516"/>
    </row>
    <row r="435" spans="1:19">
      <c r="A435" s="515"/>
      <c r="I435" s="516"/>
      <c r="K435" s="515"/>
      <c r="S435" s="516"/>
    </row>
    <row r="436" spans="1:19" ht="15.75" thickBot="1">
      <c r="A436" s="515"/>
      <c r="F436" s="533"/>
      <c r="G436" s="533"/>
      <c r="H436" s="533"/>
      <c r="I436" s="534"/>
      <c r="K436" s="515"/>
      <c r="P436" s="533"/>
      <c r="Q436" s="533"/>
      <c r="R436" s="533"/>
      <c r="S436" s="534"/>
    </row>
    <row r="439" spans="1:19" ht="15.75" thickBot="1"/>
    <row r="440" spans="1:19" ht="26.25">
      <c r="A440" s="1164" t="s">
        <v>50</v>
      </c>
      <c r="B440" s="1165"/>
      <c r="C440" s="1165"/>
      <c r="D440" s="1165"/>
      <c r="E440" s="1165"/>
      <c r="F440" s="1165"/>
      <c r="G440" s="1165"/>
      <c r="H440" s="1165"/>
      <c r="I440" s="1166"/>
      <c r="K440" s="1164" t="s">
        <v>50</v>
      </c>
      <c r="L440" s="1165"/>
      <c r="M440" s="1165"/>
      <c r="N440" s="1165"/>
      <c r="O440" s="1165"/>
      <c r="P440" s="1165"/>
      <c r="Q440" s="1165"/>
      <c r="R440" s="1165"/>
      <c r="S440" s="1166"/>
    </row>
    <row r="441" spans="1:19">
      <c r="A441" s="1157" t="s">
        <v>579</v>
      </c>
      <c r="B441" s="1158"/>
      <c r="C441" s="1158"/>
      <c r="D441" s="1158"/>
      <c r="E441" s="1158"/>
      <c r="F441" s="1158"/>
      <c r="G441" s="1158"/>
      <c r="H441" s="1158"/>
      <c r="I441" s="1159"/>
      <c r="K441" s="1157" t="str">
        <f>A441</f>
        <v>[Vide rule 78 (1) (b) of the Contract Labour (Regulation and Abolition) Central and Maharastra, 1971]</v>
      </c>
      <c r="L441" s="1158"/>
      <c r="M441" s="1158"/>
      <c r="N441" s="1158"/>
      <c r="O441" s="1158"/>
      <c r="P441" s="1158"/>
      <c r="Q441" s="1158"/>
      <c r="R441" s="1158"/>
      <c r="S441" s="1159"/>
    </row>
    <row r="442" spans="1:19">
      <c r="A442" s="515"/>
      <c r="I442" s="516"/>
      <c r="K442" s="515"/>
      <c r="S442" s="516"/>
    </row>
    <row r="443" spans="1:19">
      <c r="A443" s="517" t="s">
        <v>51</v>
      </c>
      <c r="B443" s="518"/>
      <c r="C443" s="518"/>
      <c r="D443" s="519" t="s">
        <v>381</v>
      </c>
      <c r="I443" s="516"/>
      <c r="K443" s="517" t="s">
        <v>51</v>
      </c>
      <c r="L443" s="518"/>
      <c r="M443" s="518"/>
      <c r="N443" s="519" t="str">
        <f>D443</f>
        <v>Burgeon IT Services Pvt.Ltd.</v>
      </c>
      <c r="S443" s="516"/>
    </row>
    <row r="444" spans="1:19">
      <c r="A444" s="517"/>
      <c r="B444" s="518" t="s">
        <v>382</v>
      </c>
      <c r="C444" s="518"/>
      <c r="D444" s="518"/>
      <c r="I444" s="516"/>
      <c r="K444" s="517"/>
      <c r="L444" s="518" t="str">
        <f>B444</f>
        <v>Siri Mansion LIGB 436 Dr.A S Rao Nagar,Hyderabad</v>
      </c>
      <c r="M444" s="518"/>
      <c r="N444" s="518"/>
      <c r="S444" s="516"/>
    </row>
    <row r="445" spans="1:19">
      <c r="A445" s="517"/>
      <c r="B445" s="518">
        <f>'4-22MASTER'!G1751</f>
        <v>0</v>
      </c>
      <c r="C445" s="518"/>
      <c r="D445" s="518"/>
      <c r="E445" s="518"/>
      <c r="I445" s="516"/>
      <c r="K445" s="517"/>
      <c r="L445" s="518">
        <f>B445</f>
        <v>0</v>
      </c>
      <c r="M445" s="518"/>
      <c r="N445" s="518"/>
      <c r="O445" s="518"/>
      <c r="S445" s="516"/>
    </row>
    <row r="446" spans="1:19">
      <c r="A446" s="1160" t="s">
        <v>52</v>
      </c>
      <c r="B446" s="1155"/>
      <c r="C446" s="1155"/>
      <c r="D446" s="1155"/>
      <c r="E446" s="518"/>
      <c r="I446" s="516"/>
      <c r="K446" s="1160" t="s">
        <v>52</v>
      </c>
      <c r="L446" s="1155"/>
      <c r="M446" s="1155"/>
      <c r="N446" s="1155"/>
      <c r="O446" s="518"/>
      <c r="S446" s="516"/>
    </row>
    <row r="447" spans="1:19">
      <c r="A447" s="1160"/>
      <c r="B447" s="1155"/>
      <c r="C447" s="1155"/>
      <c r="D447" s="1155"/>
      <c r="E447" s="520" t="str">
        <f>'4-22MASTER'!C28</f>
        <v xml:space="preserve">ShaikFarooq Basha </v>
      </c>
      <c r="F447" s="521"/>
      <c r="G447" s="521"/>
      <c r="H447" s="521" t="str">
        <f>'4-22MASTER'!F28</f>
        <v>Shaik Mabu Subahan</v>
      </c>
      <c r="I447" s="516"/>
      <c r="K447" s="1160"/>
      <c r="L447" s="1155"/>
      <c r="M447" s="1155"/>
      <c r="N447" s="1155"/>
      <c r="O447" s="520" t="str">
        <f>E447</f>
        <v xml:space="preserve">ShaikFarooq Basha </v>
      </c>
      <c r="P447" s="521"/>
      <c r="Q447" s="521"/>
      <c r="R447" s="521" t="str">
        <f>H447</f>
        <v>Shaik Mabu Subahan</v>
      </c>
      <c r="S447" s="516"/>
    </row>
    <row r="448" spans="1:19">
      <c r="A448" s="517"/>
      <c r="B448" s="518"/>
      <c r="C448" s="518"/>
      <c r="D448" s="518"/>
      <c r="E448" s="518"/>
      <c r="I448" s="516"/>
      <c r="K448" s="517"/>
      <c r="L448" s="518"/>
      <c r="M448" s="518"/>
      <c r="N448" s="518"/>
      <c r="O448" s="518"/>
      <c r="S448" s="516"/>
    </row>
    <row r="449" spans="1:19">
      <c r="A449" s="1161" t="s">
        <v>53</v>
      </c>
      <c r="B449" s="1156"/>
      <c r="C449" s="1156"/>
      <c r="D449" s="1156"/>
      <c r="E449" s="520" t="s">
        <v>601</v>
      </c>
      <c r="F449" s="521"/>
      <c r="G449" s="521"/>
      <c r="H449" s="521"/>
      <c r="I449" s="516"/>
      <c r="K449" s="1161" t="s">
        <v>53</v>
      </c>
      <c r="L449" s="1156"/>
      <c r="M449" s="1156"/>
      <c r="N449" s="1156"/>
      <c r="O449" s="520" t="str">
        <f>E449</f>
        <v>IT SUPPORTIVE SERVICES &amp; PUNE ASC SEZ</v>
      </c>
      <c r="P449" s="521"/>
      <c r="Q449" s="521"/>
      <c r="R449" s="521"/>
      <c r="S449" s="516"/>
    </row>
    <row r="450" spans="1:19">
      <c r="A450" s="517"/>
      <c r="B450" s="518"/>
      <c r="C450" s="518"/>
      <c r="D450" s="518"/>
      <c r="E450" s="518"/>
      <c r="I450" s="516"/>
      <c r="K450" s="517"/>
      <c r="L450" s="518"/>
      <c r="M450" s="518"/>
      <c r="N450" s="518"/>
      <c r="O450" s="518"/>
      <c r="S450" s="516"/>
    </row>
    <row r="451" spans="1:19">
      <c r="A451" s="1161" t="s">
        <v>54</v>
      </c>
      <c r="B451" s="1156"/>
      <c r="C451" s="1156"/>
      <c r="D451" s="1156"/>
      <c r="E451" s="522">
        <f>'4-22MASTER'!E10</f>
        <v>44652</v>
      </c>
      <c r="F451" s="521"/>
      <c r="G451" s="521"/>
      <c r="H451" s="521"/>
      <c r="I451" s="516"/>
      <c r="K451" s="1161" t="s">
        <v>54</v>
      </c>
      <c r="L451" s="1156"/>
      <c r="M451" s="1156"/>
      <c r="N451" s="1156"/>
      <c r="O451" s="522">
        <f>E451</f>
        <v>44652</v>
      </c>
      <c r="P451" s="521"/>
      <c r="Q451" s="521"/>
      <c r="R451" s="521"/>
      <c r="S451" s="516"/>
    </row>
    <row r="452" spans="1:19">
      <c r="A452" s="517"/>
      <c r="B452" s="518"/>
      <c r="C452" s="518"/>
      <c r="D452" s="518"/>
      <c r="E452" s="518"/>
      <c r="I452" s="516"/>
      <c r="K452" s="517"/>
      <c r="L452" s="518"/>
      <c r="M452" s="518"/>
      <c r="N452" s="518"/>
      <c r="O452" s="518"/>
      <c r="S452" s="516"/>
    </row>
    <row r="453" spans="1:19">
      <c r="A453" s="523">
        <v>1</v>
      </c>
      <c r="B453" s="1156" t="s">
        <v>55</v>
      </c>
      <c r="C453" s="1156"/>
      <c r="D453" s="1156"/>
      <c r="E453" s="524">
        <f>'4-22MASTER'!X28</f>
        <v>30</v>
      </c>
      <c r="F453" s="521"/>
      <c r="G453" s="521"/>
      <c r="H453" s="521"/>
      <c r="I453" s="516"/>
      <c r="K453" s="523">
        <v>1</v>
      </c>
      <c r="L453" s="1156" t="s">
        <v>55</v>
      </c>
      <c r="M453" s="1156"/>
      <c r="N453" s="1156"/>
      <c r="O453" s="524">
        <f>E453</f>
        <v>30</v>
      </c>
      <c r="P453" s="521"/>
      <c r="Q453" s="521"/>
      <c r="R453" s="521"/>
      <c r="S453" s="516"/>
    </row>
    <row r="454" spans="1:19">
      <c r="A454" s="523"/>
      <c r="B454" s="518"/>
      <c r="C454" s="518"/>
      <c r="D454" s="518"/>
      <c r="E454" s="518"/>
      <c r="I454" s="516"/>
      <c r="K454" s="523"/>
      <c r="L454" s="518"/>
      <c r="M454" s="518"/>
      <c r="N454" s="518"/>
      <c r="O454" s="518"/>
      <c r="S454" s="516"/>
    </row>
    <row r="455" spans="1:19">
      <c r="A455" s="523">
        <v>2</v>
      </c>
      <c r="B455" s="1155" t="s">
        <v>56</v>
      </c>
      <c r="C455" s="1155"/>
      <c r="D455" s="1155"/>
      <c r="E455" s="518"/>
      <c r="I455" s="516"/>
      <c r="K455" s="523">
        <v>2</v>
      </c>
      <c r="L455" s="1155" t="s">
        <v>56</v>
      </c>
      <c r="M455" s="1155"/>
      <c r="N455" s="1155"/>
      <c r="O455" s="518"/>
      <c r="S455" s="516"/>
    </row>
    <row r="456" spans="1:19">
      <c r="A456" s="523"/>
      <c r="B456" s="1155"/>
      <c r="C456" s="1155"/>
      <c r="D456" s="1155"/>
      <c r="E456" s="525" t="s">
        <v>37</v>
      </c>
      <c r="F456" s="521"/>
      <c r="G456" s="521"/>
      <c r="H456" s="521"/>
      <c r="I456" s="516"/>
      <c r="K456" s="523"/>
      <c r="L456" s="1155"/>
      <c r="M456" s="1155"/>
      <c r="N456" s="1155"/>
      <c r="O456" s="525" t="s">
        <v>37</v>
      </c>
      <c r="P456" s="521"/>
      <c r="Q456" s="521"/>
      <c r="R456" s="521"/>
      <c r="S456" s="516"/>
    </row>
    <row r="457" spans="1:19">
      <c r="A457" s="523"/>
      <c r="B457" s="518"/>
      <c r="C457" s="518"/>
      <c r="D457" s="518"/>
      <c r="E457" s="518"/>
      <c r="I457" s="516"/>
      <c r="K457" s="523"/>
      <c r="L457" s="518"/>
      <c r="M457" s="518"/>
      <c r="N457" s="518"/>
      <c r="O457" s="518"/>
      <c r="S457" s="516"/>
    </row>
    <row r="458" spans="1:19">
      <c r="A458" s="523">
        <v>3</v>
      </c>
      <c r="B458" s="1156" t="s">
        <v>57</v>
      </c>
      <c r="C458" s="1156"/>
      <c r="D458" s="1156"/>
      <c r="E458" s="525" t="s">
        <v>37</v>
      </c>
      <c r="F458" s="521"/>
      <c r="G458" s="521"/>
      <c r="H458" s="521"/>
      <c r="I458" s="516"/>
      <c r="K458" s="523">
        <v>3</v>
      </c>
      <c r="L458" s="1156" t="s">
        <v>57</v>
      </c>
      <c r="M458" s="1156"/>
      <c r="N458" s="1156"/>
      <c r="O458" s="520" t="str">
        <f>E458</f>
        <v>N/A</v>
      </c>
      <c r="P458" s="521"/>
      <c r="Q458" s="521"/>
      <c r="R458" s="521"/>
      <c r="S458" s="516"/>
    </row>
    <row r="459" spans="1:19">
      <c r="A459" s="523"/>
      <c r="B459" s="518"/>
      <c r="C459" s="518"/>
      <c r="D459" s="518"/>
      <c r="E459" s="518"/>
      <c r="I459" s="516"/>
      <c r="K459" s="523"/>
      <c r="L459" s="518"/>
      <c r="M459" s="518"/>
      <c r="N459" s="518"/>
      <c r="O459" s="518"/>
      <c r="S459" s="516"/>
    </row>
    <row r="460" spans="1:19">
      <c r="A460" s="523">
        <v>4</v>
      </c>
      <c r="B460" s="1156" t="s">
        <v>58</v>
      </c>
      <c r="C460" s="1156"/>
      <c r="D460" s="1156"/>
      <c r="E460" s="525" t="s">
        <v>59</v>
      </c>
      <c r="F460" s="521"/>
      <c r="G460" s="521"/>
      <c r="H460" s="521"/>
      <c r="I460" s="516"/>
      <c r="K460" s="523">
        <v>4</v>
      </c>
      <c r="L460" s="1156" t="s">
        <v>58</v>
      </c>
      <c r="M460" s="1156"/>
      <c r="N460" s="1156"/>
      <c r="O460" s="525" t="s">
        <v>59</v>
      </c>
      <c r="P460" s="521"/>
      <c r="Q460" s="521"/>
      <c r="R460" s="521"/>
      <c r="S460" s="516"/>
    </row>
    <row r="461" spans="1:19">
      <c r="A461" s="523"/>
      <c r="B461" s="518"/>
      <c r="C461" s="518"/>
      <c r="D461" s="518"/>
      <c r="E461" s="518"/>
      <c r="I461" s="516"/>
      <c r="K461" s="523"/>
      <c r="L461" s="518"/>
      <c r="M461" s="518"/>
      <c r="N461" s="518"/>
      <c r="O461" s="518"/>
      <c r="S461" s="516"/>
    </row>
    <row r="462" spans="1:19">
      <c r="A462" s="523">
        <v>5</v>
      </c>
      <c r="B462" s="1156" t="s">
        <v>60</v>
      </c>
      <c r="C462" s="1156"/>
      <c r="D462" s="1156"/>
      <c r="E462" s="526">
        <f>'4-22MASTER'!AN28</f>
        <v>113275.67599999999</v>
      </c>
      <c r="I462" s="516"/>
      <c r="K462" s="523">
        <v>5</v>
      </c>
      <c r="L462" s="1156" t="s">
        <v>60</v>
      </c>
      <c r="M462" s="1156"/>
      <c r="N462" s="1156"/>
      <c r="O462" s="526">
        <f>E462</f>
        <v>113275.67599999999</v>
      </c>
      <c r="S462" s="516"/>
    </row>
    <row r="463" spans="1:19">
      <c r="A463" s="523"/>
      <c r="B463" s="518"/>
      <c r="C463" s="518"/>
      <c r="D463" s="527" t="s">
        <v>61</v>
      </c>
      <c r="E463" s="527" t="s">
        <v>31</v>
      </c>
      <c r="F463" s="527" t="s">
        <v>33</v>
      </c>
      <c r="G463" s="527" t="s">
        <v>34</v>
      </c>
      <c r="H463" s="527" t="s">
        <v>377</v>
      </c>
      <c r="I463" s="528" t="s">
        <v>378</v>
      </c>
      <c r="K463" s="523"/>
      <c r="L463" s="518"/>
      <c r="M463" s="518"/>
      <c r="N463" s="527" t="s">
        <v>61</v>
      </c>
      <c r="O463" s="527" t="s">
        <v>31</v>
      </c>
      <c r="P463" s="527" t="s">
        <v>33</v>
      </c>
      <c r="Q463" s="527" t="s">
        <v>34</v>
      </c>
      <c r="R463" s="527" t="s">
        <v>377</v>
      </c>
      <c r="S463" s="528" t="s">
        <v>378</v>
      </c>
    </row>
    <row r="464" spans="1:19">
      <c r="A464" s="523">
        <v>6</v>
      </c>
      <c r="B464" s="840" t="s">
        <v>62</v>
      </c>
      <c r="C464" s="840"/>
      <c r="D464" s="530">
        <f>'4-22MASTER'!AP28</f>
        <v>1800</v>
      </c>
      <c r="E464" s="530">
        <f>'4-22MASTER'!AO1762</f>
        <v>0</v>
      </c>
      <c r="F464" s="531">
        <f>'4-22MASTER'!AQ28</f>
        <v>200</v>
      </c>
      <c r="G464" s="530">
        <f>'4-22MASTER'!AR28</f>
        <v>7419</v>
      </c>
      <c r="H464" s="531">
        <f>'4-22MASTER'!AS28</f>
        <v>283</v>
      </c>
      <c r="I464" s="531">
        <f>SUM(D464:H464)</f>
        <v>9702</v>
      </c>
      <c r="K464" s="523">
        <v>6</v>
      </c>
      <c r="L464" s="840" t="s">
        <v>62</v>
      </c>
      <c r="M464" s="840"/>
      <c r="N464" s="530">
        <f t="shared" ref="N464" si="66">D464</f>
        <v>1800</v>
      </c>
      <c r="O464" s="530">
        <f t="shared" ref="O464" si="67">E464</f>
        <v>0</v>
      </c>
      <c r="P464" s="531">
        <f t="shared" ref="P464" si="68">F464</f>
        <v>200</v>
      </c>
      <c r="Q464" s="530">
        <f t="shared" ref="Q464" si="69">G464</f>
        <v>7419</v>
      </c>
      <c r="R464" s="531">
        <f t="shared" ref="R464" si="70">H464</f>
        <v>283</v>
      </c>
      <c r="S464" s="531">
        <f t="shared" ref="S464" si="71">I464</f>
        <v>9702</v>
      </c>
    </row>
    <row r="465" spans="1:19">
      <c r="A465" s="523"/>
      <c r="B465" s="518"/>
      <c r="C465" s="518"/>
      <c r="D465" s="518"/>
      <c r="E465" s="518"/>
      <c r="I465" s="516"/>
      <c r="K465" s="523"/>
      <c r="L465" s="518"/>
      <c r="M465" s="518"/>
      <c r="N465" s="518"/>
      <c r="O465" s="518"/>
      <c r="S465" s="516"/>
    </row>
    <row r="466" spans="1:19">
      <c r="A466" s="523">
        <v>7</v>
      </c>
      <c r="B466" s="1156" t="s">
        <v>63</v>
      </c>
      <c r="C466" s="1156"/>
      <c r="D466" s="1156"/>
      <c r="E466" s="532">
        <f>E462-I464</f>
        <v>103573.67599999999</v>
      </c>
      <c r="F466" s="521"/>
      <c r="G466" s="521"/>
      <c r="H466" s="521"/>
      <c r="I466" s="516"/>
      <c r="K466" s="523">
        <v>7</v>
      </c>
      <c r="L466" s="1156" t="s">
        <v>63</v>
      </c>
      <c r="M466" s="1156"/>
      <c r="N466" s="1156"/>
      <c r="O466" s="532">
        <f>E466</f>
        <v>103573.67599999999</v>
      </c>
      <c r="P466" s="521"/>
      <c r="Q466" s="521"/>
      <c r="R466" s="521"/>
      <c r="S466" s="516"/>
    </row>
    <row r="467" spans="1:19">
      <c r="A467" s="515"/>
      <c r="I467" s="516"/>
      <c r="K467" s="515"/>
      <c r="S467" s="516"/>
    </row>
    <row r="468" spans="1:19">
      <c r="A468" s="515"/>
      <c r="I468" s="516"/>
      <c r="K468" s="515"/>
      <c r="S468" s="516"/>
    </row>
    <row r="469" spans="1:19" ht="15.75" thickBot="1">
      <c r="A469" s="515"/>
      <c r="F469" s="533"/>
      <c r="G469" s="533"/>
      <c r="H469" s="533"/>
      <c r="I469" s="534"/>
      <c r="K469" s="515"/>
      <c r="P469" s="533"/>
      <c r="Q469" s="533"/>
      <c r="R469" s="533"/>
      <c r="S469" s="534"/>
    </row>
    <row r="470" spans="1:19" ht="15.75" thickBot="1">
      <c r="A470" s="535"/>
      <c r="B470" s="533"/>
      <c r="C470" s="533"/>
      <c r="D470" s="533"/>
      <c r="E470" s="533"/>
      <c r="F470" s="1162" t="s">
        <v>64</v>
      </c>
      <c r="G470" s="1162"/>
      <c r="H470" s="1162"/>
      <c r="I470" s="1163"/>
      <c r="K470" s="535"/>
      <c r="L470" s="533"/>
      <c r="M470" s="533"/>
      <c r="N470" s="533"/>
      <c r="O470" s="533"/>
      <c r="P470" s="1162" t="s">
        <v>64</v>
      </c>
      <c r="Q470" s="1162"/>
      <c r="R470" s="1162"/>
      <c r="S470" s="1163"/>
    </row>
    <row r="480" spans="1:19" ht="15.75" thickBot="1"/>
    <row r="481" spans="1:19" ht="26.25">
      <c r="A481" s="1164" t="s">
        <v>50</v>
      </c>
      <c r="B481" s="1165"/>
      <c r="C481" s="1165"/>
      <c r="D481" s="1165"/>
      <c r="E481" s="1165"/>
      <c r="F481" s="1165"/>
      <c r="G481" s="1165"/>
      <c r="H481" s="1165"/>
      <c r="I481" s="1166"/>
      <c r="K481" s="1164" t="s">
        <v>50</v>
      </c>
      <c r="L481" s="1165"/>
      <c r="M481" s="1165"/>
      <c r="N481" s="1165"/>
      <c r="O481" s="1165"/>
      <c r="P481" s="1165"/>
      <c r="Q481" s="1165"/>
      <c r="R481" s="1165"/>
      <c r="S481" s="1166"/>
    </row>
    <row r="482" spans="1:19">
      <c r="A482" s="1157" t="s">
        <v>579</v>
      </c>
      <c r="B482" s="1158"/>
      <c r="C482" s="1158"/>
      <c r="D482" s="1158"/>
      <c r="E482" s="1158"/>
      <c r="F482" s="1158"/>
      <c r="G482" s="1158"/>
      <c r="H482" s="1158"/>
      <c r="I482" s="1159"/>
      <c r="K482" s="1157" t="str">
        <f>A482</f>
        <v>[Vide rule 78 (1) (b) of the Contract Labour (Regulation and Abolition) Central and Maharastra, 1971]</v>
      </c>
      <c r="L482" s="1158"/>
      <c r="M482" s="1158"/>
      <c r="N482" s="1158"/>
      <c r="O482" s="1158"/>
      <c r="P482" s="1158"/>
      <c r="Q482" s="1158"/>
      <c r="R482" s="1158"/>
      <c r="S482" s="1159"/>
    </row>
    <row r="483" spans="1:19">
      <c r="A483" s="515"/>
      <c r="I483" s="516"/>
      <c r="K483" s="515"/>
      <c r="S483" s="516"/>
    </row>
    <row r="484" spans="1:19">
      <c r="A484" s="517" t="s">
        <v>51</v>
      </c>
      <c r="B484" s="518"/>
      <c r="C484" s="518"/>
      <c r="D484" s="519" t="s">
        <v>381</v>
      </c>
      <c r="I484" s="516"/>
      <c r="K484" s="517" t="s">
        <v>51</v>
      </c>
      <c r="L484" s="518"/>
      <c r="M484" s="518"/>
      <c r="N484" s="519" t="str">
        <f>D484</f>
        <v>Burgeon IT Services Pvt.Ltd.</v>
      </c>
      <c r="S484" s="516"/>
    </row>
    <row r="485" spans="1:19">
      <c r="A485" s="517"/>
      <c r="B485" s="518" t="s">
        <v>382</v>
      </c>
      <c r="C485" s="518"/>
      <c r="D485" s="518"/>
      <c r="I485" s="516"/>
      <c r="K485" s="517"/>
      <c r="L485" s="518" t="str">
        <f>B485</f>
        <v>Siri Mansion LIGB 436 Dr.A S Rao Nagar,Hyderabad</v>
      </c>
      <c r="M485" s="518"/>
      <c r="N485" s="518"/>
      <c r="S485" s="516"/>
    </row>
    <row r="486" spans="1:19">
      <c r="A486" s="517"/>
      <c r="B486" s="518">
        <f>'4-22MASTER'!G1792</f>
        <v>0</v>
      </c>
      <c r="C486" s="518"/>
      <c r="D486" s="518"/>
      <c r="E486" s="518"/>
      <c r="I486" s="516"/>
      <c r="K486" s="517"/>
      <c r="L486" s="518">
        <f>B486</f>
        <v>0</v>
      </c>
      <c r="M486" s="518"/>
      <c r="N486" s="518"/>
      <c r="O486" s="518"/>
      <c r="S486" s="516"/>
    </row>
    <row r="487" spans="1:19">
      <c r="A487" s="1160" t="s">
        <v>52</v>
      </c>
      <c r="B487" s="1155"/>
      <c r="C487" s="1155"/>
      <c r="D487" s="1155"/>
      <c r="E487" s="518"/>
      <c r="I487" s="516"/>
      <c r="K487" s="1160" t="s">
        <v>52</v>
      </c>
      <c r="L487" s="1155"/>
      <c r="M487" s="1155"/>
      <c r="N487" s="1155"/>
      <c r="O487" s="518"/>
      <c r="S487" s="516"/>
    </row>
    <row r="488" spans="1:19">
      <c r="A488" s="1160"/>
      <c r="B488" s="1155"/>
      <c r="C488" s="1155"/>
      <c r="D488" s="1155"/>
      <c r="E488" s="520" t="str">
        <f>'4-22MASTER'!C29</f>
        <v>NILOTPAL BHOWAL</v>
      </c>
      <c r="F488" s="521"/>
      <c r="G488" s="521" t="str">
        <f>'4-22MASTER'!F29</f>
        <v>Dwijendra Kumar Bhowal</v>
      </c>
      <c r="H488" s="521"/>
      <c r="I488" s="516"/>
      <c r="K488" s="1160"/>
      <c r="L488" s="1155"/>
      <c r="M488" s="1155"/>
      <c r="N488" s="1155"/>
      <c r="O488" s="520" t="str">
        <f>E488</f>
        <v>NILOTPAL BHOWAL</v>
      </c>
      <c r="P488" s="521"/>
      <c r="Q488" s="521"/>
      <c r="R488" s="521" t="str">
        <f>G488</f>
        <v>Dwijendra Kumar Bhowal</v>
      </c>
      <c r="S488" s="516"/>
    </row>
    <row r="489" spans="1:19">
      <c r="A489" s="517"/>
      <c r="B489" s="518"/>
      <c r="C489" s="518"/>
      <c r="D489" s="518"/>
      <c r="E489" s="518"/>
      <c r="I489" s="516"/>
      <c r="K489" s="517"/>
      <c r="L489" s="518"/>
      <c r="M489" s="518"/>
      <c r="N489" s="518"/>
      <c r="O489" s="518"/>
      <c r="S489" s="516"/>
    </row>
    <row r="490" spans="1:19">
      <c r="A490" s="1161" t="s">
        <v>53</v>
      </c>
      <c r="B490" s="1156"/>
      <c r="C490" s="1156"/>
      <c r="D490" s="1156"/>
      <c r="E490" s="520" t="s">
        <v>601</v>
      </c>
      <c r="F490" s="521"/>
      <c r="G490" s="521"/>
      <c r="H490" s="521"/>
      <c r="I490" s="516"/>
      <c r="K490" s="1161" t="s">
        <v>53</v>
      </c>
      <c r="L490" s="1156"/>
      <c r="M490" s="1156"/>
      <c r="N490" s="1156"/>
      <c r="O490" s="520" t="str">
        <f>E490</f>
        <v>IT SUPPORTIVE SERVICES &amp; PUNE ASC SEZ</v>
      </c>
      <c r="P490" s="521"/>
      <c r="Q490" s="521"/>
      <c r="R490" s="521"/>
      <c r="S490" s="516"/>
    </row>
    <row r="491" spans="1:19">
      <c r="A491" s="517"/>
      <c r="B491" s="518"/>
      <c r="C491" s="518"/>
      <c r="D491" s="518"/>
      <c r="E491" s="518"/>
      <c r="I491" s="516"/>
      <c r="K491" s="517"/>
      <c r="L491" s="518"/>
      <c r="M491" s="518"/>
      <c r="N491" s="518"/>
      <c r="O491" s="518"/>
      <c r="S491" s="516"/>
    </row>
    <row r="492" spans="1:19">
      <c r="A492" s="1161" t="s">
        <v>54</v>
      </c>
      <c r="B492" s="1156"/>
      <c r="C492" s="1156"/>
      <c r="D492" s="1156"/>
      <c r="E492" s="522">
        <f>'4-22MASTER'!E10</f>
        <v>44652</v>
      </c>
      <c r="F492" s="521"/>
      <c r="G492" s="521"/>
      <c r="H492" s="521"/>
      <c r="I492" s="516"/>
      <c r="K492" s="1161" t="s">
        <v>54</v>
      </c>
      <c r="L492" s="1156"/>
      <c r="M492" s="1156"/>
      <c r="N492" s="1156"/>
      <c r="O492" s="522">
        <f>E492</f>
        <v>44652</v>
      </c>
      <c r="P492" s="521"/>
      <c r="Q492" s="521"/>
      <c r="R492" s="521"/>
      <c r="S492" s="516"/>
    </row>
    <row r="493" spans="1:19">
      <c r="A493" s="517"/>
      <c r="B493" s="518"/>
      <c r="C493" s="518"/>
      <c r="D493" s="518"/>
      <c r="E493" s="518"/>
      <c r="I493" s="516"/>
      <c r="K493" s="517"/>
      <c r="L493" s="518"/>
      <c r="M493" s="518"/>
      <c r="N493" s="518"/>
      <c r="O493" s="518"/>
      <c r="S493" s="516"/>
    </row>
    <row r="494" spans="1:19">
      <c r="A494" s="523">
        <v>1</v>
      </c>
      <c r="B494" s="1156" t="s">
        <v>55</v>
      </c>
      <c r="C494" s="1156"/>
      <c r="D494" s="1156"/>
      <c r="E494" s="524">
        <f>'4-22MASTER'!X29</f>
        <v>30</v>
      </c>
      <c r="F494" s="521"/>
      <c r="G494" s="521"/>
      <c r="H494" s="521"/>
      <c r="I494" s="516"/>
      <c r="K494" s="523">
        <v>1</v>
      </c>
      <c r="L494" s="1156" t="s">
        <v>55</v>
      </c>
      <c r="M494" s="1156"/>
      <c r="N494" s="1156"/>
      <c r="O494" s="524">
        <f>E494</f>
        <v>30</v>
      </c>
      <c r="P494" s="521"/>
      <c r="Q494" s="521"/>
      <c r="R494" s="521"/>
      <c r="S494" s="516"/>
    </row>
    <row r="495" spans="1:19">
      <c r="A495" s="523"/>
      <c r="B495" s="518"/>
      <c r="C495" s="518"/>
      <c r="D495" s="518"/>
      <c r="E495" s="518"/>
      <c r="I495" s="516"/>
      <c r="K495" s="523"/>
      <c r="L495" s="518"/>
      <c r="M495" s="518"/>
      <c r="N495" s="518"/>
      <c r="O495" s="518"/>
      <c r="S495" s="516"/>
    </row>
    <row r="496" spans="1:19">
      <c r="A496" s="523">
        <v>2</v>
      </c>
      <c r="B496" s="1155" t="s">
        <v>56</v>
      </c>
      <c r="C496" s="1155"/>
      <c r="D496" s="1155"/>
      <c r="E496" s="518"/>
      <c r="I496" s="516"/>
      <c r="K496" s="523">
        <v>2</v>
      </c>
      <c r="L496" s="1155" t="s">
        <v>56</v>
      </c>
      <c r="M496" s="1155"/>
      <c r="N496" s="1155"/>
      <c r="O496" s="518"/>
      <c r="S496" s="516"/>
    </row>
    <row r="497" spans="1:19">
      <c r="A497" s="523"/>
      <c r="B497" s="1155"/>
      <c r="C497" s="1155"/>
      <c r="D497" s="1155"/>
      <c r="E497" s="525" t="s">
        <v>37</v>
      </c>
      <c r="F497" s="521"/>
      <c r="G497" s="521"/>
      <c r="H497" s="521"/>
      <c r="I497" s="516"/>
      <c r="K497" s="523"/>
      <c r="L497" s="1155"/>
      <c r="M497" s="1155"/>
      <c r="N497" s="1155"/>
      <c r="O497" s="525" t="s">
        <v>37</v>
      </c>
      <c r="P497" s="521"/>
      <c r="Q497" s="521"/>
      <c r="R497" s="521"/>
      <c r="S497" s="516"/>
    </row>
    <row r="498" spans="1:19">
      <c r="A498" s="523"/>
      <c r="B498" s="518"/>
      <c r="C498" s="518"/>
      <c r="D498" s="518"/>
      <c r="E498" s="518"/>
      <c r="I498" s="516"/>
      <c r="K498" s="523"/>
      <c r="L498" s="518"/>
      <c r="M498" s="518"/>
      <c r="N498" s="518"/>
      <c r="O498" s="518"/>
      <c r="S498" s="516"/>
    </row>
    <row r="499" spans="1:19">
      <c r="A499" s="523">
        <v>3</v>
      </c>
      <c r="B499" s="1156" t="s">
        <v>57</v>
      </c>
      <c r="C499" s="1156"/>
      <c r="D499" s="1156"/>
      <c r="E499" s="525" t="s">
        <v>37</v>
      </c>
      <c r="F499" s="521"/>
      <c r="G499" s="521"/>
      <c r="H499" s="521"/>
      <c r="I499" s="516"/>
      <c r="K499" s="523">
        <v>3</v>
      </c>
      <c r="L499" s="1156" t="s">
        <v>57</v>
      </c>
      <c r="M499" s="1156"/>
      <c r="N499" s="1156"/>
      <c r="O499" s="520" t="str">
        <f>E499</f>
        <v>N/A</v>
      </c>
      <c r="P499" s="521"/>
      <c r="Q499" s="521"/>
      <c r="R499" s="521"/>
      <c r="S499" s="516"/>
    </row>
    <row r="500" spans="1:19">
      <c r="A500" s="523"/>
      <c r="B500" s="518"/>
      <c r="C500" s="518"/>
      <c r="D500" s="518"/>
      <c r="E500" s="518"/>
      <c r="I500" s="516"/>
      <c r="K500" s="523"/>
      <c r="L500" s="518"/>
      <c r="M500" s="518"/>
      <c r="N500" s="518"/>
      <c r="O500" s="518"/>
      <c r="S500" s="516"/>
    </row>
    <row r="501" spans="1:19">
      <c r="A501" s="523">
        <v>4</v>
      </c>
      <c r="B501" s="1156" t="s">
        <v>58</v>
      </c>
      <c r="C501" s="1156"/>
      <c r="D501" s="1156"/>
      <c r="E501" s="525" t="s">
        <v>59</v>
      </c>
      <c r="F501" s="521"/>
      <c r="G501" s="521"/>
      <c r="H501" s="521"/>
      <c r="I501" s="516"/>
      <c r="K501" s="523">
        <v>4</v>
      </c>
      <c r="L501" s="1156" t="s">
        <v>58</v>
      </c>
      <c r="M501" s="1156"/>
      <c r="N501" s="1156"/>
      <c r="O501" s="525" t="s">
        <v>59</v>
      </c>
      <c r="P501" s="521"/>
      <c r="Q501" s="521"/>
      <c r="R501" s="521"/>
      <c r="S501" s="516"/>
    </row>
    <row r="502" spans="1:19">
      <c r="A502" s="523"/>
      <c r="B502" s="518"/>
      <c r="C502" s="518"/>
      <c r="D502" s="518"/>
      <c r="E502" s="518"/>
      <c r="I502" s="516"/>
      <c r="K502" s="523"/>
      <c r="L502" s="518"/>
      <c r="M502" s="518"/>
      <c r="N502" s="518"/>
      <c r="O502" s="518"/>
      <c r="S502" s="516"/>
    </row>
    <row r="503" spans="1:19">
      <c r="A503" s="523">
        <v>5</v>
      </c>
      <c r="B503" s="1156" t="s">
        <v>60</v>
      </c>
      <c r="C503" s="1156"/>
      <c r="D503" s="1156"/>
      <c r="E503" s="526">
        <f>'4-22MASTER'!AN29</f>
        <v>133275.58267999999</v>
      </c>
      <c r="I503" s="516"/>
      <c r="K503" s="523">
        <v>5</v>
      </c>
      <c r="L503" s="1156" t="s">
        <v>60</v>
      </c>
      <c r="M503" s="1156"/>
      <c r="N503" s="1156"/>
      <c r="O503" s="526">
        <f>E503</f>
        <v>133275.58267999999</v>
      </c>
      <c r="S503" s="516"/>
    </row>
    <row r="504" spans="1:19">
      <c r="A504" s="523"/>
      <c r="B504" s="518"/>
      <c r="C504" s="518"/>
      <c r="D504" s="527" t="s">
        <v>61</v>
      </c>
      <c r="E504" s="527" t="s">
        <v>31</v>
      </c>
      <c r="F504" s="527" t="s">
        <v>33</v>
      </c>
      <c r="G504" s="527" t="s">
        <v>34</v>
      </c>
      <c r="H504" s="527" t="s">
        <v>377</v>
      </c>
      <c r="I504" s="528" t="s">
        <v>378</v>
      </c>
      <c r="K504" s="523"/>
      <c r="L504" s="518"/>
      <c r="M504" s="518"/>
      <c r="N504" s="527" t="s">
        <v>61</v>
      </c>
      <c r="O504" s="527" t="s">
        <v>31</v>
      </c>
      <c r="P504" s="527" t="s">
        <v>33</v>
      </c>
      <c r="Q504" s="527" t="s">
        <v>34</v>
      </c>
      <c r="R504" s="527" t="s">
        <v>377</v>
      </c>
      <c r="S504" s="528" t="s">
        <v>378</v>
      </c>
    </row>
    <row r="505" spans="1:19">
      <c r="A505" s="523">
        <v>6</v>
      </c>
      <c r="B505" s="840" t="s">
        <v>62</v>
      </c>
      <c r="C505" s="840"/>
      <c r="D505" s="530">
        <f>'4-22MASTER'!AP29</f>
        <v>1800</v>
      </c>
      <c r="E505" s="530">
        <f>'4-22MASTER'!AO1803</f>
        <v>0</v>
      </c>
      <c r="F505" s="531">
        <f>'4-22MASTER'!AQ29</f>
        <v>200</v>
      </c>
      <c r="G505" s="530">
        <f>'4-22MASTER'!AR29</f>
        <v>0</v>
      </c>
      <c r="H505" s="531">
        <f>'4-22MASTER'!AS29</f>
        <v>283</v>
      </c>
      <c r="I505" s="531">
        <f>SUM(D505:H505)</f>
        <v>2283</v>
      </c>
      <c r="K505" s="523">
        <v>6</v>
      </c>
      <c r="L505" s="840" t="s">
        <v>62</v>
      </c>
      <c r="M505" s="840"/>
      <c r="N505" s="530">
        <f t="shared" ref="N505" si="72">D505</f>
        <v>1800</v>
      </c>
      <c r="O505" s="530">
        <f t="shared" ref="O505" si="73">E505</f>
        <v>0</v>
      </c>
      <c r="P505" s="531">
        <f t="shared" ref="P505" si="74">F505</f>
        <v>200</v>
      </c>
      <c r="Q505" s="530">
        <f t="shared" ref="Q505" si="75">G505</f>
        <v>0</v>
      </c>
      <c r="R505" s="531">
        <f t="shared" ref="R505" si="76">H505</f>
        <v>283</v>
      </c>
      <c r="S505" s="531">
        <f t="shared" ref="S505" si="77">I505</f>
        <v>2283</v>
      </c>
    </row>
    <row r="506" spans="1:19">
      <c r="A506" s="523"/>
      <c r="B506" s="518"/>
      <c r="C506" s="518"/>
      <c r="D506" s="518"/>
      <c r="E506" s="518"/>
      <c r="I506" s="516"/>
      <c r="K506" s="523"/>
      <c r="L506" s="518"/>
      <c r="M506" s="518"/>
      <c r="N506" s="518"/>
      <c r="O506" s="518"/>
      <c r="S506" s="516"/>
    </row>
    <row r="507" spans="1:19">
      <c r="A507" s="523">
        <v>7</v>
      </c>
      <c r="B507" s="1156" t="s">
        <v>63</v>
      </c>
      <c r="C507" s="1156"/>
      <c r="D507" s="1156"/>
      <c r="E507" s="532">
        <f>E503-I505</f>
        <v>130992.58267999999</v>
      </c>
      <c r="F507" s="521"/>
      <c r="G507" s="521"/>
      <c r="H507" s="521"/>
      <c r="I507" s="516"/>
      <c r="K507" s="523">
        <v>7</v>
      </c>
      <c r="L507" s="1156" t="s">
        <v>63</v>
      </c>
      <c r="M507" s="1156"/>
      <c r="N507" s="1156"/>
      <c r="O507" s="532">
        <f>E507</f>
        <v>130992.58267999999</v>
      </c>
      <c r="P507" s="521"/>
      <c r="Q507" s="521"/>
      <c r="R507" s="521"/>
      <c r="S507" s="516"/>
    </row>
    <row r="508" spans="1:19">
      <c r="A508" s="515"/>
      <c r="I508" s="516"/>
      <c r="K508" s="515"/>
      <c r="S508" s="516"/>
    </row>
    <row r="509" spans="1:19">
      <c r="A509" s="515"/>
      <c r="I509" s="516"/>
      <c r="K509" s="515"/>
      <c r="S509" s="516"/>
    </row>
    <row r="510" spans="1:19" ht="15.75" thickBot="1">
      <c r="A510" s="515"/>
      <c r="F510" s="533"/>
      <c r="G510" s="533"/>
      <c r="H510" s="533"/>
      <c r="I510" s="534"/>
      <c r="K510" s="515"/>
      <c r="P510" s="533"/>
      <c r="Q510" s="533"/>
      <c r="R510" s="533"/>
      <c r="S510" s="534"/>
    </row>
    <row r="513" spans="1:19" ht="15.75" thickBot="1"/>
    <row r="514" spans="1:19" ht="26.25">
      <c r="A514" s="1164" t="s">
        <v>50</v>
      </c>
      <c r="B514" s="1165"/>
      <c r="C514" s="1165"/>
      <c r="D514" s="1165"/>
      <c r="E514" s="1165"/>
      <c r="F514" s="1165"/>
      <c r="G514" s="1165"/>
      <c r="H514" s="1165"/>
      <c r="I514" s="1166"/>
      <c r="K514" s="1164" t="s">
        <v>50</v>
      </c>
      <c r="L514" s="1165"/>
      <c r="M514" s="1165"/>
      <c r="N514" s="1165"/>
      <c r="O514" s="1165"/>
      <c r="P514" s="1165"/>
      <c r="Q514" s="1165"/>
      <c r="R514" s="1165"/>
      <c r="S514" s="1166"/>
    </row>
    <row r="515" spans="1:19">
      <c r="A515" s="1157" t="s">
        <v>579</v>
      </c>
      <c r="B515" s="1158"/>
      <c r="C515" s="1158"/>
      <c r="D515" s="1158"/>
      <c r="E515" s="1158"/>
      <c r="F515" s="1158"/>
      <c r="G515" s="1158"/>
      <c r="H515" s="1158"/>
      <c r="I515" s="1159"/>
      <c r="K515" s="1157" t="str">
        <f>A515</f>
        <v>[Vide rule 78 (1) (b) of the Contract Labour (Regulation and Abolition) Central and Maharastra, 1971]</v>
      </c>
      <c r="L515" s="1158"/>
      <c r="M515" s="1158"/>
      <c r="N515" s="1158"/>
      <c r="O515" s="1158"/>
      <c r="P515" s="1158"/>
      <c r="Q515" s="1158"/>
      <c r="R515" s="1158"/>
      <c r="S515" s="1159"/>
    </row>
    <row r="516" spans="1:19">
      <c r="A516" s="515"/>
      <c r="I516" s="516"/>
      <c r="K516" s="515"/>
      <c r="S516" s="516"/>
    </row>
    <row r="517" spans="1:19">
      <c r="A517" s="517" t="s">
        <v>51</v>
      </c>
      <c r="B517" s="518"/>
      <c r="C517" s="518"/>
      <c r="D517" s="519" t="s">
        <v>381</v>
      </c>
      <c r="I517" s="516"/>
      <c r="K517" s="517" t="s">
        <v>51</v>
      </c>
      <c r="L517" s="518"/>
      <c r="M517" s="518"/>
      <c r="N517" s="519" t="str">
        <f>D517</f>
        <v>Burgeon IT Services Pvt.Ltd.</v>
      </c>
      <c r="S517" s="516"/>
    </row>
    <row r="518" spans="1:19">
      <c r="A518" s="517"/>
      <c r="B518" s="518" t="s">
        <v>382</v>
      </c>
      <c r="C518" s="518"/>
      <c r="D518" s="518"/>
      <c r="I518" s="516"/>
      <c r="K518" s="517"/>
      <c r="L518" s="518" t="str">
        <f>B518</f>
        <v>Siri Mansion LIGB 436 Dr.A S Rao Nagar,Hyderabad</v>
      </c>
      <c r="M518" s="518"/>
      <c r="N518" s="518"/>
      <c r="S518" s="516"/>
    </row>
    <row r="519" spans="1:19">
      <c r="A519" s="517"/>
      <c r="B519" s="518">
        <f>'4-22MASTER'!G1825</f>
        <v>0</v>
      </c>
      <c r="C519" s="518"/>
      <c r="D519" s="518"/>
      <c r="E519" s="518"/>
      <c r="I519" s="516"/>
      <c r="K519" s="517"/>
      <c r="L519" s="518">
        <f>B519</f>
        <v>0</v>
      </c>
      <c r="M519" s="518"/>
      <c r="N519" s="518"/>
      <c r="O519" s="518"/>
      <c r="S519" s="516"/>
    </row>
    <row r="520" spans="1:19">
      <c r="A520" s="1160" t="s">
        <v>52</v>
      </c>
      <c r="B520" s="1155"/>
      <c r="C520" s="1155"/>
      <c r="D520" s="1155"/>
      <c r="E520" s="518"/>
      <c r="I520" s="516"/>
      <c r="K520" s="1160" t="s">
        <v>52</v>
      </c>
      <c r="L520" s="1155"/>
      <c r="M520" s="1155"/>
      <c r="N520" s="1155"/>
      <c r="O520" s="518"/>
      <c r="S520" s="516"/>
    </row>
    <row r="521" spans="1:19">
      <c r="A521" s="1160"/>
      <c r="B521" s="1155"/>
      <c r="C521" s="1155"/>
      <c r="D521" s="1155"/>
      <c r="E521" s="520" t="str">
        <f>'4-22MASTER'!C30</f>
        <v>Varsha Amit Kadam</v>
      </c>
      <c r="F521" s="521"/>
      <c r="G521" s="521"/>
      <c r="H521" s="521" t="str">
        <f>'4-22MASTER'!F30</f>
        <v>Amit Kadam</v>
      </c>
      <c r="I521" s="516"/>
      <c r="K521" s="1160"/>
      <c r="L521" s="1155"/>
      <c r="M521" s="1155"/>
      <c r="N521" s="1155"/>
      <c r="O521" s="520" t="str">
        <f>E521</f>
        <v>Varsha Amit Kadam</v>
      </c>
      <c r="P521" s="521"/>
      <c r="Q521" s="521"/>
      <c r="R521" s="521" t="str">
        <f>H521</f>
        <v>Amit Kadam</v>
      </c>
      <c r="S521" s="516"/>
    </row>
    <row r="522" spans="1:19">
      <c r="A522" s="517"/>
      <c r="B522" s="518"/>
      <c r="C522" s="518"/>
      <c r="D522" s="518"/>
      <c r="E522" s="518"/>
      <c r="I522" s="516"/>
      <c r="K522" s="517"/>
      <c r="L522" s="518"/>
      <c r="M522" s="518"/>
      <c r="N522" s="518"/>
      <c r="O522" s="518"/>
      <c r="S522" s="516"/>
    </row>
    <row r="523" spans="1:19">
      <c r="A523" s="1161" t="s">
        <v>53</v>
      </c>
      <c r="B523" s="1156"/>
      <c r="C523" s="1156"/>
      <c r="D523" s="1156"/>
      <c r="E523" s="520" t="s">
        <v>601</v>
      </c>
      <c r="F523" s="521"/>
      <c r="G523" s="521"/>
      <c r="H523" s="521"/>
      <c r="I523" s="516"/>
      <c r="K523" s="1161" t="s">
        <v>53</v>
      </c>
      <c r="L523" s="1156"/>
      <c r="M523" s="1156"/>
      <c r="N523" s="1156"/>
      <c r="O523" s="520" t="str">
        <f>E523</f>
        <v>IT SUPPORTIVE SERVICES &amp; PUNE ASC SEZ</v>
      </c>
      <c r="P523" s="521"/>
      <c r="Q523" s="521"/>
      <c r="R523" s="521"/>
      <c r="S523" s="516"/>
    </row>
    <row r="524" spans="1:19">
      <c r="A524" s="517"/>
      <c r="B524" s="518"/>
      <c r="C524" s="518"/>
      <c r="D524" s="518"/>
      <c r="E524" s="518"/>
      <c r="I524" s="516"/>
      <c r="K524" s="517"/>
      <c r="L524" s="518"/>
      <c r="M524" s="518"/>
      <c r="N524" s="518"/>
      <c r="O524" s="518"/>
      <c r="S524" s="516"/>
    </row>
    <row r="525" spans="1:19">
      <c r="A525" s="1161" t="s">
        <v>54</v>
      </c>
      <c r="B525" s="1156"/>
      <c r="C525" s="1156"/>
      <c r="D525" s="1156"/>
      <c r="E525" s="522">
        <f>'4-22MASTER'!E10</f>
        <v>44652</v>
      </c>
      <c r="F525" s="521"/>
      <c r="G525" s="521"/>
      <c r="H525" s="521"/>
      <c r="I525" s="516"/>
      <c r="K525" s="1161" t="s">
        <v>54</v>
      </c>
      <c r="L525" s="1156"/>
      <c r="M525" s="1156"/>
      <c r="N525" s="1156"/>
      <c r="O525" s="522">
        <f>E525</f>
        <v>44652</v>
      </c>
      <c r="P525" s="521"/>
      <c r="Q525" s="521"/>
      <c r="R525" s="521"/>
      <c r="S525" s="516"/>
    </row>
    <row r="526" spans="1:19">
      <c r="A526" s="517"/>
      <c r="B526" s="518"/>
      <c r="C526" s="518"/>
      <c r="D526" s="518"/>
      <c r="E526" s="518"/>
      <c r="I526" s="516"/>
      <c r="K526" s="517"/>
      <c r="L526" s="518"/>
      <c r="M526" s="518"/>
      <c r="N526" s="518"/>
      <c r="O526" s="518"/>
      <c r="S526" s="516"/>
    </row>
    <row r="527" spans="1:19">
      <c r="A527" s="523">
        <v>1</v>
      </c>
      <c r="B527" s="1156" t="s">
        <v>55</v>
      </c>
      <c r="C527" s="1156"/>
      <c r="D527" s="1156"/>
      <c r="E527" s="524"/>
      <c r="F527" s="810">
        <f>'4-22MASTER'!X30</f>
        <v>6</v>
      </c>
      <c r="G527" s="521"/>
      <c r="H527" s="521"/>
      <c r="I527" s="516"/>
      <c r="K527" s="523">
        <v>1</v>
      </c>
      <c r="L527" s="1156" t="s">
        <v>55</v>
      </c>
      <c r="M527" s="1156"/>
      <c r="N527" s="1156"/>
      <c r="O527" s="524">
        <f>F527</f>
        <v>6</v>
      </c>
      <c r="P527" s="521"/>
      <c r="Q527" s="521"/>
      <c r="R527" s="521"/>
      <c r="S527" s="516"/>
    </row>
    <row r="528" spans="1:19">
      <c r="A528" s="523"/>
      <c r="B528" s="518"/>
      <c r="C528" s="518"/>
      <c r="D528" s="518"/>
      <c r="E528" s="518"/>
      <c r="I528" s="516"/>
      <c r="K528" s="523"/>
      <c r="L528" s="518"/>
      <c r="M528" s="518"/>
      <c r="N528" s="518"/>
      <c r="O528" s="518"/>
      <c r="S528" s="516"/>
    </row>
    <row r="529" spans="1:19">
      <c r="A529" s="523">
        <v>2</v>
      </c>
      <c r="B529" s="1155" t="s">
        <v>56</v>
      </c>
      <c r="C529" s="1155"/>
      <c r="D529" s="1155"/>
      <c r="E529" s="518"/>
      <c r="I529" s="516"/>
      <c r="K529" s="523">
        <v>2</v>
      </c>
      <c r="L529" s="1155" t="s">
        <v>56</v>
      </c>
      <c r="M529" s="1155"/>
      <c r="N529" s="1155"/>
      <c r="O529" s="518"/>
      <c r="S529" s="516"/>
    </row>
    <row r="530" spans="1:19">
      <c r="A530" s="523"/>
      <c r="B530" s="1155"/>
      <c r="C530" s="1155"/>
      <c r="D530" s="1155"/>
      <c r="E530" s="525" t="s">
        <v>37</v>
      </c>
      <c r="F530" s="521"/>
      <c r="G530" s="521"/>
      <c r="H530" s="521"/>
      <c r="I530" s="516"/>
      <c r="K530" s="523"/>
      <c r="L530" s="1155"/>
      <c r="M530" s="1155"/>
      <c r="N530" s="1155"/>
      <c r="O530" s="525" t="s">
        <v>37</v>
      </c>
      <c r="P530" s="521"/>
      <c r="Q530" s="521"/>
      <c r="R530" s="521"/>
      <c r="S530" s="516"/>
    </row>
    <row r="531" spans="1:19">
      <c r="A531" s="523"/>
      <c r="B531" s="518"/>
      <c r="C531" s="518"/>
      <c r="D531" s="518"/>
      <c r="E531" s="518"/>
      <c r="I531" s="516"/>
      <c r="K531" s="523"/>
      <c r="L531" s="518"/>
      <c r="M531" s="518"/>
      <c r="N531" s="518"/>
      <c r="O531" s="518"/>
      <c r="S531" s="516"/>
    </row>
    <row r="532" spans="1:19">
      <c r="A532" s="523">
        <v>3</v>
      </c>
      <c r="B532" s="1156" t="s">
        <v>57</v>
      </c>
      <c r="C532" s="1156"/>
      <c r="D532" s="1156"/>
      <c r="E532" s="525" t="s">
        <v>37</v>
      </c>
      <c r="F532" s="521"/>
      <c r="G532" s="521"/>
      <c r="H532" s="521"/>
      <c r="I532" s="516"/>
      <c r="K532" s="523">
        <v>3</v>
      </c>
      <c r="L532" s="1156" t="s">
        <v>57</v>
      </c>
      <c r="M532" s="1156"/>
      <c r="N532" s="1156"/>
      <c r="O532" s="520" t="str">
        <f>E532</f>
        <v>N/A</v>
      </c>
      <c r="P532" s="521"/>
      <c r="Q532" s="521"/>
      <c r="R532" s="521"/>
      <c r="S532" s="516"/>
    </row>
    <row r="533" spans="1:19">
      <c r="A533" s="523"/>
      <c r="B533" s="518"/>
      <c r="C533" s="518"/>
      <c r="D533" s="518"/>
      <c r="E533" s="518"/>
      <c r="I533" s="516"/>
      <c r="K533" s="523"/>
      <c r="L533" s="518"/>
      <c r="M533" s="518"/>
      <c r="N533" s="518"/>
      <c r="O533" s="518"/>
      <c r="S533" s="516"/>
    </row>
    <row r="534" spans="1:19">
      <c r="A534" s="523">
        <v>4</v>
      </c>
      <c r="B534" s="1156" t="s">
        <v>58</v>
      </c>
      <c r="C534" s="1156"/>
      <c r="D534" s="1156"/>
      <c r="E534" s="525" t="s">
        <v>59</v>
      </c>
      <c r="F534" s="521"/>
      <c r="G534" s="521"/>
      <c r="H534" s="521"/>
      <c r="I534" s="516"/>
      <c r="K534" s="523">
        <v>4</v>
      </c>
      <c r="L534" s="1156" t="s">
        <v>58</v>
      </c>
      <c r="M534" s="1156"/>
      <c r="N534" s="1156"/>
      <c r="O534" s="525" t="s">
        <v>59</v>
      </c>
      <c r="P534" s="521"/>
      <c r="Q534" s="521"/>
      <c r="R534" s="521"/>
      <c r="S534" s="516"/>
    </row>
    <row r="535" spans="1:19">
      <c r="A535" s="523"/>
      <c r="B535" s="518"/>
      <c r="C535" s="518"/>
      <c r="D535" s="518"/>
      <c r="E535" s="518"/>
      <c r="I535" s="516"/>
      <c r="K535" s="523"/>
      <c r="L535" s="518"/>
      <c r="M535" s="518"/>
      <c r="N535" s="518"/>
      <c r="O535" s="518"/>
      <c r="S535" s="516"/>
    </row>
    <row r="536" spans="1:19">
      <c r="A536" s="523">
        <v>5</v>
      </c>
      <c r="B536" s="1156" t="s">
        <v>60</v>
      </c>
      <c r="C536" s="1156"/>
      <c r="D536" s="1156"/>
      <c r="E536" s="526">
        <f>'4-22MASTER'!AN30</f>
        <v>13389.207128</v>
      </c>
      <c r="I536" s="516"/>
      <c r="K536" s="523">
        <v>5</v>
      </c>
      <c r="L536" s="1156" t="s">
        <v>60</v>
      </c>
      <c r="M536" s="1156"/>
      <c r="N536" s="1156"/>
      <c r="O536" s="526">
        <f>E536</f>
        <v>13389.207128</v>
      </c>
      <c r="S536" s="516"/>
    </row>
    <row r="537" spans="1:19">
      <c r="A537" s="523"/>
      <c r="B537" s="518"/>
      <c r="C537" s="518"/>
      <c r="D537" s="527" t="s">
        <v>61</v>
      </c>
      <c r="E537" s="527" t="s">
        <v>31</v>
      </c>
      <c r="F537" s="527" t="s">
        <v>33</v>
      </c>
      <c r="G537" s="527" t="s">
        <v>34</v>
      </c>
      <c r="H537" s="527" t="s">
        <v>377</v>
      </c>
      <c r="I537" s="528" t="s">
        <v>378</v>
      </c>
      <c r="K537" s="523"/>
      <c r="L537" s="518"/>
      <c r="M537" s="518"/>
      <c r="N537" s="527" t="s">
        <v>61</v>
      </c>
      <c r="O537" s="527" t="s">
        <v>31</v>
      </c>
      <c r="P537" s="527" t="s">
        <v>33</v>
      </c>
      <c r="Q537" s="527" t="s">
        <v>34</v>
      </c>
      <c r="R537" s="527" t="s">
        <v>377</v>
      </c>
      <c r="S537" s="528" t="s">
        <v>378</v>
      </c>
    </row>
    <row r="538" spans="1:19">
      <c r="A538" s="523">
        <v>6</v>
      </c>
      <c r="B538" s="840" t="s">
        <v>62</v>
      </c>
      <c r="C538" s="840"/>
      <c r="D538" s="530">
        <f>'4-22MASTER'!AP30</f>
        <v>782</v>
      </c>
      <c r="E538" s="530">
        <f>'4-22MASTER'!AO1836</f>
        <v>0</v>
      </c>
      <c r="F538" s="531">
        <f>'4-22MASTER'!AQ30</f>
        <v>0</v>
      </c>
      <c r="G538" s="530">
        <f>'4-22MASTER'!AR30</f>
        <v>0</v>
      </c>
      <c r="H538" s="531">
        <f>'4-22MASTER'!AS30</f>
        <v>0</v>
      </c>
      <c r="I538" s="531">
        <f>SUM(D538:H538)</f>
        <v>782</v>
      </c>
      <c r="K538" s="523">
        <v>6</v>
      </c>
      <c r="L538" s="840" t="s">
        <v>62</v>
      </c>
      <c r="M538" s="840"/>
      <c r="N538" s="530">
        <f t="shared" ref="N538" si="78">D538</f>
        <v>782</v>
      </c>
      <c r="O538" s="530">
        <f t="shared" ref="O538" si="79">E538</f>
        <v>0</v>
      </c>
      <c r="P538" s="531">
        <f t="shared" ref="P538" si="80">F538</f>
        <v>0</v>
      </c>
      <c r="Q538" s="530">
        <f t="shared" ref="Q538" si="81">G538</f>
        <v>0</v>
      </c>
      <c r="R538" s="531">
        <f t="shared" ref="R538" si="82">H538</f>
        <v>0</v>
      </c>
      <c r="S538" s="531">
        <f t="shared" ref="S538" si="83">I538</f>
        <v>782</v>
      </c>
    </row>
    <row r="539" spans="1:19">
      <c r="A539" s="523"/>
      <c r="B539" s="518"/>
      <c r="C539" s="518"/>
      <c r="D539" s="518"/>
      <c r="E539" s="518"/>
      <c r="I539" s="516"/>
      <c r="K539" s="523"/>
      <c r="L539" s="518"/>
      <c r="M539" s="518"/>
      <c r="N539" s="518"/>
      <c r="O539" s="518"/>
      <c r="S539" s="516"/>
    </row>
    <row r="540" spans="1:19">
      <c r="A540" s="523">
        <v>7</v>
      </c>
      <c r="B540" s="1156" t="s">
        <v>63</v>
      </c>
      <c r="C540" s="1156"/>
      <c r="D540" s="1156"/>
      <c r="E540" s="532">
        <f>E536-I538</f>
        <v>12607.207128</v>
      </c>
      <c r="F540" s="521"/>
      <c r="G540" s="521"/>
      <c r="H540" s="521"/>
      <c r="I540" s="516"/>
      <c r="K540" s="523">
        <v>7</v>
      </c>
      <c r="L540" s="1156" t="s">
        <v>63</v>
      </c>
      <c r="M540" s="1156"/>
      <c r="N540" s="1156"/>
      <c r="O540" s="532">
        <f>E540</f>
        <v>12607.207128</v>
      </c>
      <c r="P540" s="521"/>
      <c r="Q540" s="521"/>
      <c r="R540" s="521"/>
      <c r="S540" s="516"/>
    </row>
    <row r="541" spans="1:19">
      <c r="A541" s="515"/>
      <c r="I541" s="516"/>
      <c r="K541" s="515"/>
      <c r="S541" s="516"/>
    </row>
    <row r="542" spans="1:19">
      <c r="A542" s="515"/>
      <c r="I542" s="516"/>
      <c r="K542" s="515"/>
      <c r="S542" s="516"/>
    </row>
    <row r="543" spans="1:19" ht="15.75" thickBot="1">
      <c r="A543" s="515"/>
      <c r="F543" s="533"/>
      <c r="G543" s="533"/>
      <c r="H543" s="533"/>
      <c r="I543" s="534"/>
      <c r="K543" s="515"/>
      <c r="P543" s="533"/>
      <c r="Q543" s="533"/>
      <c r="R543" s="533"/>
      <c r="S543" s="534"/>
    </row>
    <row r="544" spans="1:19" ht="15.75" thickBot="1">
      <c r="A544" s="535"/>
      <c r="B544" s="533"/>
      <c r="C544" s="533"/>
      <c r="D544" s="533"/>
      <c r="E544" s="533"/>
      <c r="F544" s="1162" t="s">
        <v>64</v>
      </c>
      <c r="G544" s="1162"/>
      <c r="H544" s="1162"/>
      <c r="I544" s="1163"/>
      <c r="K544" s="535"/>
      <c r="L544" s="533"/>
      <c r="M544" s="533"/>
      <c r="N544" s="533"/>
      <c r="O544" s="533"/>
      <c r="P544" s="1162" t="s">
        <v>64</v>
      </c>
      <c r="Q544" s="1162"/>
      <c r="R544" s="1162"/>
      <c r="S544" s="1163"/>
    </row>
    <row r="554" spans="1:19" ht="15.75" thickBot="1"/>
    <row r="555" spans="1:19" ht="26.25">
      <c r="A555" s="1164" t="s">
        <v>50</v>
      </c>
      <c r="B555" s="1165"/>
      <c r="C555" s="1165"/>
      <c r="D555" s="1165"/>
      <c r="E555" s="1165"/>
      <c r="F555" s="1165"/>
      <c r="G555" s="1165"/>
      <c r="H555" s="1165"/>
      <c r="I555" s="1166"/>
      <c r="K555" s="1164" t="s">
        <v>50</v>
      </c>
      <c r="L555" s="1165"/>
      <c r="M555" s="1165"/>
      <c r="N555" s="1165"/>
      <c r="O555" s="1165"/>
      <c r="P555" s="1165"/>
      <c r="Q555" s="1165"/>
      <c r="R555" s="1165"/>
      <c r="S555" s="1166"/>
    </row>
    <row r="556" spans="1:19">
      <c r="A556" s="1157" t="s">
        <v>579</v>
      </c>
      <c r="B556" s="1158"/>
      <c r="C556" s="1158"/>
      <c r="D556" s="1158"/>
      <c r="E556" s="1158"/>
      <c r="F556" s="1158"/>
      <c r="G556" s="1158"/>
      <c r="H556" s="1158"/>
      <c r="I556" s="1159"/>
      <c r="K556" s="1157" t="str">
        <f>A556</f>
        <v>[Vide rule 78 (1) (b) of the Contract Labour (Regulation and Abolition) Central and Maharastra, 1971]</v>
      </c>
      <c r="L556" s="1158"/>
      <c r="M556" s="1158"/>
      <c r="N556" s="1158"/>
      <c r="O556" s="1158"/>
      <c r="P556" s="1158"/>
      <c r="Q556" s="1158"/>
      <c r="R556" s="1158"/>
      <c r="S556" s="1159"/>
    </row>
    <row r="557" spans="1:19">
      <c r="A557" s="515"/>
      <c r="I557" s="516"/>
      <c r="K557" s="515"/>
      <c r="S557" s="516"/>
    </row>
    <row r="558" spans="1:19">
      <c r="A558" s="517" t="s">
        <v>51</v>
      </c>
      <c r="B558" s="518"/>
      <c r="C558" s="518"/>
      <c r="D558" s="519" t="s">
        <v>381</v>
      </c>
      <c r="I558" s="516"/>
      <c r="K558" s="517" t="s">
        <v>51</v>
      </c>
      <c r="L558" s="518"/>
      <c r="M558" s="518"/>
      <c r="N558" s="519" t="str">
        <f>D558</f>
        <v>Burgeon IT Services Pvt.Ltd.</v>
      </c>
      <c r="S558" s="516"/>
    </row>
    <row r="559" spans="1:19">
      <c r="A559" s="517"/>
      <c r="B559" s="518" t="s">
        <v>382</v>
      </c>
      <c r="C559" s="518"/>
      <c r="D559" s="518"/>
      <c r="I559" s="516"/>
      <c r="K559" s="517"/>
      <c r="L559" s="518" t="str">
        <f>B559</f>
        <v>Siri Mansion LIGB 436 Dr.A S Rao Nagar,Hyderabad</v>
      </c>
      <c r="M559" s="518"/>
      <c r="N559" s="518"/>
      <c r="S559" s="516"/>
    </row>
    <row r="560" spans="1:19">
      <c r="A560" s="517"/>
      <c r="B560" s="518">
        <f>'4-22MASTER'!G1866</f>
        <v>0</v>
      </c>
      <c r="C560" s="518"/>
      <c r="D560" s="518"/>
      <c r="E560" s="518"/>
      <c r="I560" s="516"/>
      <c r="K560" s="517"/>
      <c r="L560" s="518">
        <f>B560</f>
        <v>0</v>
      </c>
      <c r="M560" s="518"/>
      <c r="N560" s="518"/>
      <c r="O560" s="518"/>
      <c r="S560" s="516"/>
    </row>
    <row r="561" spans="1:19">
      <c r="A561" s="1160" t="s">
        <v>52</v>
      </c>
      <c r="B561" s="1155"/>
      <c r="C561" s="1155"/>
      <c r="D561" s="1155"/>
      <c r="E561" s="518"/>
      <c r="I561" s="516"/>
      <c r="K561" s="1160" t="s">
        <v>52</v>
      </c>
      <c r="L561" s="1155"/>
      <c r="M561" s="1155"/>
      <c r="N561" s="1155"/>
      <c r="O561" s="518"/>
      <c r="S561" s="516"/>
    </row>
    <row r="562" spans="1:19">
      <c r="A562" s="1160"/>
      <c r="B562" s="1155"/>
      <c r="C562" s="1155"/>
      <c r="D562" s="1155"/>
      <c r="E562" s="520">
        <f>'4-22MASTER'!C246</f>
        <v>0</v>
      </c>
      <c r="F562" s="521"/>
      <c r="G562" s="521">
        <f>'4-22MASTER'!F246</f>
        <v>0</v>
      </c>
      <c r="H562" s="521"/>
      <c r="I562" s="516"/>
      <c r="K562" s="1160"/>
      <c r="L562" s="1155"/>
      <c r="M562" s="1155"/>
      <c r="N562" s="1155"/>
      <c r="O562" s="520">
        <f>E562</f>
        <v>0</v>
      </c>
      <c r="P562" s="521"/>
      <c r="Q562" s="521"/>
      <c r="R562" s="521"/>
      <c r="S562" s="516"/>
    </row>
    <row r="563" spans="1:19">
      <c r="A563" s="517"/>
      <c r="B563" s="518"/>
      <c r="C563" s="518"/>
      <c r="D563" s="518"/>
      <c r="E563" s="518"/>
      <c r="I563" s="516"/>
      <c r="K563" s="517"/>
      <c r="L563" s="518"/>
      <c r="M563" s="518"/>
      <c r="N563" s="518"/>
      <c r="O563" s="518"/>
      <c r="S563" s="516"/>
    </row>
    <row r="564" spans="1:19">
      <c r="A564" s="1161" t="s">
        <v>53</v>
      </c>
      <c r="B564" s="1156"/>
      <c r="C564" s="1156"/>
      <c r="D564" s="1156"/>
      <c r="E564" s="520" t="s">
        <v>601</v>
      </c>
      <c r="F564" s="521"/>
      <c r="G564" s="521"/>
      <c r="H564" s="521"/>
      <c r="I564" s="516"/>
      <c r="K564" s="1161" t="s">
        <v>53</v>
      </c>
      <c r="L564" s="1156"/>
      <c r="M564" s="1156"/>
      <c r="N564" s="1156"/>
      <c r="O564" s="520" t="str">
        <f>E564</f>
        <v>IT SUPPORTIVE SERVICES &amp; PUNE ASC SEZ</v>
      </c>
      <c r="P564" s="521"/>
      <c r="Q564" s="521"/>
      <c r="R564" s="521"/>
      <c r="S564" s="516"/>
    </row>
    <row r="565" spans="1:19">
      <c r="A565" s="517"/>
      <c r="B565" s="518"/>
      <c r="C565" s="518"/>
      <c r="D565" s="518"/>
      <c r="E565" s="518"/>
      <c r="I565" s="516"/>
      <c r="K565" s="517"/>
      <c r="L565" s="518"/>
      <c r="M565" s="518"/>
      <c r="N565" s="518"/>
      <c r="O565" s="518"/>
      <c r="S565" s="516"/>
    </row>
    <row r="566" spans="1:19">
      <c r="A566" s="1161" t="s">
        <v>54</v>
      </c>
      <c r="B566" s="1156"/>
      <c r="C566" s="1156"/>
      <c r="D566" s="1156"/>
      <c r="E566" s="522">
        <f>'4-22MASTER'!E228</f>
        <v>0</v>
      </c>
      <c r="F566" s="521"/>
      <c r="G566" s="521"/>
      <c r="H566" s="521"/>
      <c r="I566" s="516"/>
      <c r="K566" s="1161" t="s">
        <v>54</v>
      </c>
      <c r="L566" s="1156"/>
      <c r="M566" s="1156"/>
      <c r="N566" s="1156"/>
      <c r="O566" s="522">
        <f>E566</f>
        <v>0</v>
      </c>
      <c r="P566" s="521"/>
      <c r="Q566" s="521"/>
      <c r="R566" s="521"/>
      <c r="S566" s="516"/>
    </row>
    <row r="567" spans="1:19">
      <c r="A567" s="517"/>
      <c r="B567" s="518"/>
      <c r="C567" s="518"/>
      <c r="D567" s="518"/>
      <c r="E567" s="518"/>
      <c r="I567" s="516"/>
      <c r="K567" s="517"/>
      <c r="L567" s="518"/>
      <c r="M567" s="518"/>
      <c r="N567" s="518"/>
      <c r="O567" s="518"/>
      <c r="S567" s="516"/>
    </row>
    <row r="568" spans="1:19">
      <c r="A568" s="523">
        <v>1</v>
      </c>
      <c r="B568" s="1156" t="s">
        <v>55</v>
      </c>
      <c r="C568" s="1156"/>
      <c r="D568" s="1156"/>
      <c r="E568" s="524">
        <f>'4-22MASTER'!X246</f>
        <v>0</v>
      </c>
      <c r="F568" s="521"/>
      <c r="G568" s="521"/>
      <c r="H568" s="521"/>
      <c r="I568" s="516"/>
      <c r="K568" s="523">
        <v>1</v>
      </c>
      <c r="L568" s="1156" t="s">
        <v>55</v>
      </c>
      <c r="M568" s="1156"/>
      <c r="N568" s="1156"/>
      <c r="O568" s="524">
        <f>E568</f>
        <v>0</v>
      </c>
      <c r="P568" s="521"/>
      <c r="Q568" s="521"/>
      <c r="R568" s="521"/>
      <c r="S568" s="516"/>
    </row>
    <row r="569" spans="1:19">
      <c r="A569" s="523"/>
      <c r="B569" s="518"/>
      <c r="C569" s="518"/>
      <c r="D569" s="518"/>
      <c r="E569" s="518"/>
      <c r="I569" s="516"/>
      <c r="K569" s="523"/>
      <c r="L569" s="518"/>
      <c r="M569" s="518"/>
      <c r="N569" s="518"/>
      <c r="O569" s="518"/>
      <c r="S569" s="516"/>
    </row>
    <row r="570" spans="1:19">
      <c r="A570" s="523">
        <v>2</v>
      </c>
      <c r="B570" s="1155" t="s">
        <v>56</v>
      </c>
      <c r="C570" s="1155"/>
      <c r="D570" s="1155"/>
      <c r="E570" s="518"/>
      <c r="I570" s="516"/>
      <c r="K570" s="523">
        <v>2</v>
      </c>
      <c r="L570" s="1155" t="s">
        <v>56</v>
      </c>
      <c r="M570" s="1155"/>
      <c r="N570" s="1155"/>
      <c r="O570" s="518"/>
      <c r="S570" s="516"/>
    </row>
    <row r="571" spans="1:19">
      <c r="A571" s="523"/>
      <c r="B571" s="1155"/>
      <c r="C571" s="1155"/>
      <c r="D571" s="1155"/>
      <c r="E571" s="525" t="s">
        <v>37</v>
      </c>
      <c r="F571" s="521"/>
      <c r="G571" s="521"/>
      <c r="H571" s="521"/>
      <c r="I571" s="516"/>
      <c r="K571" s="523"/>
      <c r="L571" s="1155"/>
      <c r="M571" s="1155"/>
      <c r="N571" s="1155"/>
      <c r="O571" s="525" t="s">
        <v>37</v>
      </c>
      <c r="P571" s="521"/>
      <c r="Q571" s="521"/>
      <c r="R571" s="521"/>
      <c r="S571" s="516"/>
    </row>
    <row r="572" spans="1:19">
      <c r="A572" s="523"/>
      <c r="B572" s="518"/>
      <c r="C572" s="518"/>
      <c r="D572" s="518"/>
      <c r="E572" s="518"/>
      <c r="I572" s="516"/>
      <c r="K572" s="523"/>
      <c r="L572" s="518"/>
      <c r="M572" s="518"/>
      <c r="N572" s="518"/>
      <c r="O572" s="518"/>
      <c r="S572" s="516"/>
    </row>
    <row r="573" spans="1:19">
      <c r="A573" s="523">
        <v>3</v>
      </c>
      <c r="B573" s="1156" t="s">
        <v>57</v>
      </c>
      <c r="C573" s="1156"/>
      <c r="D573" s="1156"/>
      <c r="E573" s="525" t="s">
        <v>37</v>
      </c>
      <c r="F573" s="521"/>
      <c r="G573" s="521"/>
      <c r="H573" s="521"/>
      <c r="I573" s="516"/>
      <c r="K573" s="523">
        <v>3</v>
      </c>
      <c r="L573" s="1156" t="s">
        <v>57</v>
      </c>
      <c r="M573" s="1156"/>
      <c r="N573" s="1156"/>
      <c r="O573" s="520" t="str">
        <f>E573</f>
        <v>N/A</v>
      </c>
      <c r="P573" s="521"/>
      <c r="Q573" s="521"/>
      <c r="R573" s="521"/>
      <c r="S573" s="516"/>
    </row>
    <row r="574" spans="1:19">
      <c r="A574" s="523"/>
      <c r="B574" s="518"/>
      <c r="C574" s="518"/>
      <c r="D574" s="518"/>
      <c r="E574" s="518"/>
      <c r="I574" s="516"/>
      <c r="K574" s="523"/>
      <c r="L574" s="518"/>
      <c r="M574" s="518"/>
      <c r="N574" s="518"/>
      <c r="O574" s="518"/>
      <c r="S574" s="516"/>
    </row>
    <row r="575" spans="1:19">
      <c r="A575" s="523">
        <v>4</v>
      </c>
      <c r="B575" s="1156" t="s">
        <v>58</v>
      </c>
      <c r="C575" s="1156"/>
      <c r="D575" s="1156"/>
      <c r="E575" s="525" t="s">
        <v>59</v>
      </c>
      <c r="F575" s="521"/>
      <c r="G575" s="521"/>
      <c r="H575" s="521"/>
      <c r="I575" s="516"/>
      <c r="K575" s="523">
        <v>4</v>
      </c>
      <c r="L575" s="1156" t="s">
        <v>58</v>
      </c>
      <c r="M575" s="1156"/>
      <c r="N575" s="1156"/>
      <c r="O575" s="525" t="s">
        <v>59</v>
      </c>
      <c r="P575" s="521"/>
      <c r="Q575" s="521"/>
      <c r="R575" s="521"/>
      <c r="S575" s="516"/>
    </row>
    <row r="576" spans="1:19">
      <c r="A576" s="523"/>
      <c r="B576" s="518"/>
      <c r="C576" s="518"/>
      <c r="D576" s="518"/>
      <c r="E576" s="518"/>
      <c r="I576" s="516"/>
      <c r="K576" s="523"/>
      <c r="L576" s="518"/>
      <c r="M576" s="518"/>
      <c r="N576" s="518"/>
      <c r="O576" s="518"/>
      <c r="S576" s="516"/>
    </row>
    <row r="577" spans="1:19">
      <c r="A577" s="523">
        <v>5</v>
      </c>
      <c r="B577" s="1156" t="s">
        <v>60</v>
      </c>
      <c r="C577" s="1156"/>
      <c r="D577" s="1156"/>
      <c r="E577" s="526">
        <f>'4-22MASTER'!AN718</f>
        <v>0</v>
      </c>
      <c r="I577" s="516"/>
      <c r="K577" s="523">
        <v>5</v>
      </c>
      <c r="L577" s="1156" t="s">
        <v>60</v>
      </c>
      <c r="M577" s="1156"/>
      <c r="N577" s="1156"/>
      <c r="O577" s="526">
        <f>E577</f>
        <v>0</v>
      </c>
      <c r="S577" s="516"/>
    </row>
    <row r="578" spans="1:19">
      <c r="A578" s="523"/>
      <c r="B578" s="518"/>
      <c r="C578" s="518"/>
      <c r="D578" s="527" t="s">
        <v>61</v>
      </c>
      <c r="E578" s="527" t="s">
        <v>31</v>
      </c>
      <c r="F578" s="527" t="s">
        <v>33</v>
      </c>
      <c r="G578" s="527" t="s">
        <v>34</v>
      </c>
      <c r="H578" s="527" t="s">
        <v>377</v>
      </c>
      <c r="I578" s="528" t="s">
        <v>378</v>
      </c>
      <c r="K578" s="523"/>
      <c r="L578" s="518"/>
      <c r="M578" s="518"/>
      <c r="N578" s="527" t="s">
        <v>61</v>
      </c>
      <c r="O578" s="527" t="s">
        <v>31</v>
      </c>
      <c r="P578" s="527" t="s">
        <v>33</v>
      </c>
      <c r="Q578" s="527" t="s">
        <v>34</v>
      </c>
      <c r="R578" s="527" t="s">
        <v>377</v>
      </c>
      <c r="S578" s="528" t="s">
        <v>378</v>
      </c>
    </row>
    <row r="579" spans="1:19">
      <c r="A579" s="523">
        <v>6</v>
      </c>
      <c r="B579" s="840" t="s">
        <v>62</v>
      </c>
      <c r="C579" s="840"/>
      <c r="D579" s="530">
        <f>'4-22MASTER'!AP718</f>
        <v>0</v>
      </c>
      <c r="E579" s="530">
        <f>'4-22MASTER'!AO1877</f>
        <v>0</v>
      </c>
      <c r="F579" s="531">
        <f>'4-22MASTER'!AQ718</f>
        <v>0</v>
      </c>
      <c r="G579" s="530">
        <f>'4-22MASTER'!AR718</f>
        <v>0</v>
      </c>
      <c r="H579" s="531">
        <f>'4-22MASTER'!AS1877</f>
        <v>0</v>
      </c>
      <c r="I579" s="531">
        <f>SUM(D579:H579)</f>
        <v>0</v>
      </c>
      <c r="K579" s="523">
        <v>6</v>
      </c>
      <c r="L579" s="840" t="s">
        <v>62</v>
      </c>
      <c r="M579" s="840"/>
      <c r="N579" s="530">
        <f t="shared" ref="N579" si="84">D579</f>
        <v>0</v>
      </c>
      <c r="O579" s="530">
        <f t="shared" ref="O579" si="85">E579</f>
        <v>0</v>
      </c>
      <c r="P579" s="531">
        <f t="shared" ref="P579" si="86">F579</f>
        <v>0</v>
      </c>
      <c r="Q579" s="530">
        <f t="shared" ref="Q579" si="87">G579</f>
        <v>0</v>
      </c>
      <c r="R579" s="531">
        <f t="shared" ref="R579" si="88">H579</f>
        <v>0</v>
      </c>
      <c r="S579" s="531">
        <f t="shared" ref="S579" si="89">I579</f>
        <v>0</v>
      </c>
    </row>
    <row r="580" spans="1:19">
      <c r="A580" s="523"/>
      <c r="B580" s="518"/>
      <c r="C580" s="518"/>
      <c r="D580" s="518"/>
      <c r="E580" s="518"/>
      <c r="I580" s="516"/>
      <c r="K580" s="523"/>
      <c r="L580" s="518"/>
      <c r="M580" s="518"/>
      <c r="N580" s="518"/>
      <c r="O580" s="518"/>
      <c r="S580" s="516"/>
    </row>
    <row r="581" spans="1:19">
      <c r="A581" s="523">
        <v>7</v>
      </c>
      <c r="B581" s="1156" t="s">
        <v>63</v>
      </c>
      <c r="C581" s="1156"/>
      <c r="D581" s="1156"/>
      <c r="E581" s="532">
        <f>E577-I579</f>
        <v>0</v>
      </c>
      <c r="F581" s="521"/>
      <c r="G581" s="521"/>
      <c r="H581" s="521"/>
      <c r="I581" s="516"/>
      <c r="K581" s="523">
        <v>7</v>
      </c>
      <c r="L581" s="1156" t="s">
        <v>63</v>
      </c>
      <c r="M581" s="1156"/>
      <c r="N581" s="1156"/>
      <c r="O581" s="532">
        <f>E581</f>
        <v>0</v>
      </c>
      <c r="P581" s="521"/>
      <c r="Q581" s="521"/>
      <c r="R581" s="521"/>
      <c r="S581" s="516"/>
    </row>
    <row r="582" spans="1:19">
      <c r="A582" s="515"/>
      <c r="I582" s="516"/>
      <c r="K582" s="515"/>
      <c r="S582" s="516"/>
    </row>
    <row r="583" spans="1:19">
      <c r="A583" s="515"/>
      <c r="I583" s="516"/>
      <c r="K583" s="515"/>
      <c r="S583" s="516"/>
    </row>
    <row r="584" spans="1:19" ht="15.75" thickBot="1">
      <c r="A584" s="515"/>
      <c r="F584" s="533"/>
      <c r="G584" s="533"/>
      <c r="H584" s="533"/>
      <c r="I584" s="534"/>
      <c r="K584" s="515"/>
      <c r="P584" s="533"/>
      <c r="Q584" s="533"/>
      <c r="R584" s="533"/>
      <c r="S584" s="534"/>
    </row>
    <row r="594" spans="1:19" ht="15.75" thickBot="1"/>
    <row r="595" spans="1:19" ht="26.25">
      <c r="A595" s="1164" t="s">
        <v>50</v>
      </c>
      <c r="B595" s="1165"/>
      <c r="C595" s="1165"/>
      <c r="D595" s="1165"/>
      <c r="E595" s="1165"/>
      <c r="F595" s="1165"/>
      <c r="G595" s="1165"/>
      <c r="H595" s="1165"/>
      <c r="I595" s="1166"/>
      <c r="K595" s="1164" t="s">
        <v>50</v>
      </c>
      <c r="L595" s="1165"/>
      <c r="M595" s="1165"/>
      <c r="N595" s="1165"/>
      <c r="O595" s="1165"/>
      <c r="P595" s="1165"/>
      <c r="Q595" s="1165"/>
      <c r="R595" s="1165"/>
      <c r="S595" s="1166"/>
    </row>
    <row r="596" spans="1:19">
      <c r="A596" s="1157" t="s">
        <v>579</v>
      </c>
      <c r="B596" s="1158"/>
      <c r="C596" s="1158"/>
      <c r="D596" s="1158"/>
      <c r="E596" s="1158"/>
      <c r="F596" s="1158"/>
      <c r="G596" s="1158"/>
      <c r="H596" s="1158"/>
      <c r="I596" s="1159"/>
      <c r="K596" s="1157" t="str">
        <f>A596</f>
        <v>[Vide rule 78 (1) (b) of the Contract Labour (Regulation and Abolition) Central and Maharastra, 1971]</v>
      </c>
      <c r="L596" s="1158"/>
      <c r="M596" s="1158"/>
      <c r="N596" s="1158"/>
      <c r="O596" s="1158"/>
      <c r="P596" s="1158"/>
      <c r="Q596" s="1158"/>
      <c r="R596" s="1158"/>
      <c r="S596" s="1159"/>
    </row>
    <row r="597" spans="1:19">
      <c r="A597" s="515"/>
      <c r="I597" s="516"/>
      <c r="K597" s="515"/>
      <c r="S597" s="516"/>
    </row>
    <row r="598" spans="1:19">
      <c r="A598" s="517" t="s">
        <v>51</v>
      </c>
      <c r="B598" s="518"/>
      <c r="C598" s="518"/>
      <c r="D598" s="519" t="s">
        <v>381</v>
      </c>
      <c r="I598" s="516"/>
      <c r="K598" s="517" t="s">
        <v>51</v>
      </c>
      <c r="L598" s="518"/>
      <c r="M598" s="518"/>
      <c r="N598" s="519" t="str">
        <f>D598</f>
        <v>Burgeon IT Services Pvt.Ltd.</v>
      </c>
      <c r="S598" s="516"/>
    </row>
    <row r="599" spans="1:19">
      <c r="A599" s="517"/>
      <c r="B599" s="518" t="s">
        <v>382</v>
      </c>
      <c r="C599" s="518"/>
      <c r="D599" s="518"/>
      <c r="I599" s="516"/>
      <c r="K599" s="517"/>
      <c r="L599" s="518" t="str">
        <f>B599</f>
        <v>Siri Mansion LIGB 436 Dr.A S Rao Nagar,Hyderabad</v>
      </c>
      <c r="M599" s="518"/>
      <c r="N599" s="518"/>
      <c r="S599" s="516"/>
    </row>
    <row r="600" spans="1:19">
      <c r="A600" s="517"/>
      <c r="B600" s="518">
        <f>'4-22MASTER'!G1906</f>
        <v>0</v>
      </c>
      <c r="C600" s="518"/>
      <c r="D600" s="518"/>
      <c r="E600" s="518"/>
      <c r="I600" s="516"/>
      <c r="K600" s="517"/>
      <c r="L600" s="518">
        <f>B600</f>
        <v>0</v>
      </c>
      <c r="M600" s="518"/>
      <c r="N600" s="518"/>
      <c r="O600" s="518"/>
      <c r="S600" s="516"/>
    </row>
    <row r="601" spans="1:19">
      <c r="A601" s="1160" t="s">
        <v>52</v>
      </c>
      <c r="B601" s="1155"/>
      <c r="C601" s="1155"/>
      <c r="D601" s="1155"/>
      <c r="E601" s="518"/>
      <c r="I601" s="516"/>
      <c r="K601" s="1160" t="s">
        <v>52</v>
      </c>
      <c r="L601" s="1155"/>
      <c r="M601" s="1155"/>
      <c r="N601" s="1155"/>
      <c r="O601" s="518"/>
      <c r="S601" s="516"/>
    </row>
    <row r="602" spans="1:19">
      <c r="A602" s="1160"/>
      <c r="B602" s="1155"/>
      <c r="C602" s="1155"/>
      <c r="D602" s="1155"/>
      <c r="E602" s="520">
        <f>'4-22MASTER'!C286</f>
        <v>0</v>
      </c>
      <c r="F602" s="521"/>
      <c r="G602" s="521">
        <f>'4-22MASTER'!F286</f>
        <v>0</v>
      </c>
      <c r="H602" s="521"/>
      <c r="I602" s="516"/>
      <c r="K602" s="1160"/>
      <c r="L602" s="1155"/>
      <c r="M602" s="1155"/>
      <c r="N602" s="1155"/>
      <c r="O602" s="520">
        <f>E602</f>
        <v>0</v>
      </c>
      <c r="P602" s="521"/>
      <c r="Q602" s="521"/>
      <c r="R602" s="521"/>
      <c r="S602" s="516"/>
    </row>
    <row r="603" spans="1:19">
      <c r="A603" s="517"/>
      <c r="B603" s="518"/>
      <c r="C603" s="518"/>
      <c r="D603" s="518"/>
      <c r="E603" s="518"/>
      <c r="I603" s="516"/>
      <c r="K603" s="517"/>
      <c r="L603" s="518"/>
      <c r="M603" s="518"/>
      <c r="N603" s="518"/>
      <c r="O603" s="518"/>
      <c r="S603" s="516"/>
    </row>
    <row r="604" spans="1:19">
      <c r="A604" s="1161" t="s">
        <v>53</v>
      </c>
      <c r="B604" s="1156"/>
      <c r="C604" s="1156"/>
      <c r="D604" s="1156"/>
      <c r="E604" s="520" t="s">
        <v>601</v>
      </c>
      <c r="F604" s="521"/>
      <c r="G604" s="521"/>
      <c r="H604" s="521"/>
      <c r="I604" s="516"/>
      <c r="K604" s="1161" t="s">
        <v>53</v>
      </c>
      <c r="L604" s="1156"/>
      <c r="M604" s="1156"/>
      <c r="N604" s="1156"/>
      <c r="O604" s="520" t="str">
        <f>E604</f>
        <v>IT SUPPORTIVE SERVICES &amp; PUNE ASC SEZ</v>
      </c>
      <c r="P604" s="521"/>
      <c r="Q604" s="521"/>
      <c r="R604" s="521"/>
      <c r="S604" s="516"/>
    </row>
    <row r="605" spans="1:19">
      <c r="A605" s="517"/>
      <c r="B605" s="518"/>
      <c r="C605" s="518"/>
      <c r="D605" s="518"/>
      <c r="E605" s="518"/>
      <c r="I605" s="516"/>
      <c r="K605" s="517"/>
      <c r="L605" s="518"/>
      <c r="M605" s="518"/>
      <c r="N605" s="518"/>
      <c r="O605" s="518"/>
      <c r="S605" s="516"/>
    </row>
    <row r="606" spans="1:19">
      <c r="A606" s="1161" t="s">
        <v>54</v>
      </c>
      <c r="B606" s="1156"/>
      <c r="C606" s="1156"/>
      <c r="D606" s="1156"/>
      <c r="E606" s="522">
        <f>'4-22MASTER'!E268</f>
        <v>0</v>
      </c>
      <c r="F606" s="521"/>
      <c r="G606" s="521"/>
      <c r="H606" s="521"/>
      <c r="I606" s="516"/>
      <c r="K606" s="1161" t="s">
        <v>54</v>
      </c>
      <c r="L606" s="1156"/>
      <c r="M606" s="1156"/>
      <c r="N606" s="1156"/>
      <c r="O606" s="522">
        <f>E606</f>
        <v>0</v>
      </c>
      <c r="P606" s="521"/>
      <c r="Q606" s="521"/>
      <c r="R606" s="521"/>
      <c r="S606" s="516"/>
    </row>
    <row r="607" spans="1:19">
      <c r="A607" s="517"/>
      <c r="B607" s="518"/>
      <c r="C607" s="518"/>
      <c r="D607" s="518"/>
      <c r="E607" s="518"/>
      <c r="I607" s="516"/>
      <c r="K607" s="517"/>
      <c r="L607" s="518"/>
      <c r="M607" s="518"/>
      <c r="N607" s="518"/>
      <c r="O607" s="518"/>
      <c r="S607" s="516"/>
    </row>
    <row r="608" spans="1:19">
      <c r="A608" s="523">
        <v>1</v>
      </c>
      <c r="B608" s="1156" t="s">
        <v>55</v>
      </c>
      <c r="C608" s="1156"/>
      <c r="D608" s="1156"/>
      <c r="E608" s="524">
        <f>'4-22MASTER'!X286</f>
        <v>0</v>
      </c>
      <c r="F608" s="521"/>
      <c r="G608" s="521"/>
      <c r="H608" s="521"/>
      <c r="I608" s="516"/>
      <c r="K608" s="523">
        <v>1</v>
      </c>
      <c r="L608" s="1156" t="s">
        <v>55</v>
      </c>
      <c r="M608" s="1156"/>
      <c r="N608" s="1156"/>
      <c r="O608" s="524">
        <f>E608</f>
        <v>0</v>
      </c>
      <c r="P608" s="521"/>
      <c r="Q608" s="521"/>
      <c r="R608" s="521"/>
      <c r="S608" s="516"/>
    </row>
    <row r="609" spans="1:19">
      <c r="A609" s="523"/>
      <c r="B609" s="518"/>
      <c r="C609" s="518"/>
      <c r="D609" s="518"/>
      <c r="E609" s="518"/>
      <c r="I609" s="516"/>
      <c r="K609" s="523"/>
      <c r="L609" s="518"/>
      <c r="M609" s="518"/>
      <c r="N609" s="518"/>
      <c r="O609" s="518"/>
      <c r="S609" s="516"/>
    </row>
    <row r="610" spans="1:19">
      <c r="A610" s="523">
        <v>2</v>
      </c>
      <c r="B610" s="1155" t="s">
        <v>56</v>
      </c>
      <c r="C610" s="1155"/>
      <c r="D610" s="1155"/>
      <c r="E610" s="518"/>
      <c r="I610" s="516"/>
      <c r="K610" s="523">
        <v>2</v>
      </c>
      <c r="L610" s="1155" t="s">
        <v>56</v>
      </c>
      <c r="M610" s="1155"/>
      <c r="N610" s="1155"/>
      <c r="O610" s="518"/>
      <c r="S610" s="516"/>
    </row>
    <row r="611" spans="1:19">
      <c r="A611" s="523"/>
      <c r="B611" s="1155"/>
      <c r="C611" s="1155"/>
      <c r="D611" s="1155"/>
      <c r="E611" s="525" t="s">
        <v>37</v>
      </c>
      <c r="F611" s="521"/>
      <c r="G611" s="521"/>
      <c r="H611" s="521"/>
      <c r="I611" s="516"/>
      <c r="K611" s="523"/>
      <c r="L611" s="1155"/>
      <c r="M611" s="1155"/>
      <c r="N611" s="1155"/>
      <c r="O611" s="525" t="s">
        <v>37</v>
      </c>
      <c r="P611" s="521"/>
      <c r="Q611" s="521"/>
      <c r="R611" s="521"/>
      <c r="S611" s="516"/>
    </row>
    <row r="612" spans="1:19">
      <c r="A612" s="523"/>
      <c r="B612" s="518"/>
      <c r="C612" s="518"/>
      <c r="D612" s="518"/>
      <c r="E612" s="518"/>
      <c r="I612" s="516"/>
      <c r="K612" s="523"/>
      <c r="L612" s="518"/>
      <c r="M612" s="518"/>
      <c r="N612" s="518"/>
      <c r="O612" s="518"/>
      <c r="S612" s="516"/>
    </row>
    <row r="613" spans="1:19">
      <c r="A613" s="523">
        <v>3</v>
      </c>
      <c r="B613" s="1156" t="s">
        <v>57</v>
      </c>
      <c r="C613" s="1156"/>
      <c r="D613" s="1156"/>
      <c r="E613" s="525" t="s">
        <v>37</v>
      </c>
      <c r="F613" s="521"/>
      <c r="G613" s="521"/>
      <c r="H613" s="521"/>
      <c r="I613" s="516"/>
      <c r="K613" s="523">
        <v>3</v>
      </c>
      <c r="L613" s="1156" t="s">
        <v>57</v>
      </c>
      <c r="M613" s="1156"/>
      <c r="N613" s="1156"/>
      <c r="O613" s="520" t="str">
        <f>E613</f>
        <v>N/A</v>
      </c>
      <c r="P613" s="521"/>
      <c r="Q613" s="521"/>
      <c r="R613" s="521"/>
      <c r="S613" s="516"/>
    </row>
    <row r="614" spans="1:19">
      <c r="A614" s="523"/>
      <c r="B614" s="518"/>
      <c r="C614" s="518"/>
      <c r="D614" s="518"/>
      <c r="E614" s="518"/>
      <c r="I614" s="516"/>
      <c r="K614" s="523"/>
      <c r="L614" s="518"/>
      <c r="M614" s="518"/>
      <c r="N614" s="518"/>
      <c r="O614" s="518"/>
      <c r="S614" s="516"/>
    </row>
    <row r="615" spans="1:19">
      <c r="A615" s="523">
        <v>4</v>
      </c>
      <c r="B615" s="1156" t="s">
        <v>58</v>
      </c>
      <c r="C615" s="1156"/>
      <c r="D615" s="1156"/>
      <c r="E615" s="525" t="s">
        <v>59</v>
      </c>
      <c r="F615" s="521"/>
      <c r="G615" s="521"/>
      <c r="H615" s="521"/>
      <c r="I615" s="516"/>
      <c r="K615" s="523">
        <v>4</v>
      </c>
      <c r="L615" s="1156" t="s">
        <v>58</v>
      </c>
      <c r="M615" s="1156"/>
      <c r="N615" s="1156"/>
      <c r="O615" s="525" t="s">
        <v>59</v>
      </c>
      <c r="P615" s="521"/>
      <c r="Q615" s="521"/>
      <c r="R615" s="521"/>
      <c r="S615" s="516"/>
    </row>
    <row r="616" spans="1:19">
      <c r="A616" s="523"/>
      <c r="B616" s="518"/>
      <c r="C616" s="518"/>
      <c r="D616" s="518"/>
      <c r="E616" s="518"/>
      <c r="I616" s="516"/>
      <c r="K616" s="523"/>
      <c r="L616" s="518"/>
      <c r="M616" s="518"/>
      <c r="N616" s="518"/>
      <c r="O616" s="518"/>
      <c r="S616" s="516"/>
    </row>
    <row r="617" spans="1:19">
      <c r="A617" s="523">
        <v>5</v>
      </c>
      <c r="B617" s="1156" t="s">
        <v>60</v>
      </c>
      <c r="C617" s="1156"/>
      <c r="D617" s="1156"/>
      <c r="E617" s="526">
        <f>'4-22MASTER'!AN758</f>
        <v>0</v>
      </c>
      <c r="I617" s="516"/>
      <c r="K617" s="523">
        <v>5</v>
      </c>
      <c r="L617" s="1156" t="s">
        <v>60</v>
      </c>
      <c r="M617" s="1156"/>
      <c r="N617" s="1156"/>
      <c r="O617" s="526">
        <f>E617</f>
        <v>0</v>
      </c>
      <c r="S617" s="516"/>
    </row>
    <row r="618" spans="1:19">
      <c r="A618" s="523"/>
      <c r="B618" s="518"/>
      <c r="C618" s="518"/>
      <c r="D618" s="527" t="s">
        <v>61</v>
      </c>
      <c r="E618" s="527" t="s">
        <v>31</v>
      </c>
      <c r="F618" s="527" t="s">
        <v>33</v>
      </c>
      <c r="G618" s="527" t="s">
        <v>34</v>
      </c>
      <c r="H618" s="527" t="s">
        <v>377</v>
      </c>
      <c r="I618" s="528" t="s">
        <v>378</v>
      </c>
      <c r="K618" s="523"/>
      <c r="L618" s="518"/>
      <c r="M618" s="518"/>
      <c r="N618" s="527" t="s">
        <v>61</v>
      </c>
      <c r="O618" s="527" t="s">
        <v>31</v>
      </c>
      <c r="P618" s="527" t="s">
        <v>33</v>
      </c>
      <c r="Q618" s="527" t="s">
        <v>34</v>
      </c>
      <c r="R618" s="527" t="s">
        <v>377</v>
      </c>
      <c r="S618" s="528" t="s">
        <v>378</v>
      </c>
    </row>
    <row r="619" spans="1:19">
      <c r="A619" s="523">
        <v>6</v>
      </c>
      <c r="B619" s="897" t="s">
        <v>62</v>
      </c>
      <c r="C619" s="897"/>
      <c r="D619" s="530">
        <f>'4-22MASTER'!AP758</f>
        <v>0</v>
      </c>
      <c r="E619" s="530">
        <f>'4-22MASTER'!AO1917</f>
        <v>0</v>
      </c>
      <c r="F619" s="531">
        <f>'4-22MASTER'!AQ758</f>
        <v>0</v>
      </c>
      <c r="G619" s="530">
        <f>'4-22MASTER'!AR758</f>
        <v>0</v>
      </c>
      <c r="H619" s="531">
        <f>'4-22MASTER'!AS1917</f>
        <v>0</v>
      </c>
      <c r="I619" s="531">
        <f>SUM(D619:H619)</f>
        <v>0</v>
      </c>
      <c r="K619" s="523">
        <v>6</v>
      </c>
      <c r="L619" s="897" t="s">
        <v>62</v>
      </c>
      <c r="M619" s="897"/>
      <c r="N619" s="530">
        <f t="shared" ref="N619" si="90">D619</f>
        <v>0</v>
      </c>
      <c r="O619" s="530">
        <f t="shared" ref="O619" si="91">E619</f>
        <v>0</v>
      </c>
      <c r="P619" s="531">
        <f t="shared" ref="P619" si="92">F619</f>
        <v>0</v>
      </c>
      <c r="Q619" s="530">
        <f t="shared" ref="Q619" si="93">G619</f>
        <v>0</v>
      </c>
      <c r="R619" s="531">
        <f t="shared" ref="R619" si="94">H619</f>
        <v>0</v>
      </c>
      <c r="S619" s="531">
        <f t="shared" ref="S619" si="95">I619</f>
        <v>0</v>
      </c>
    </row>
    <row r="620" spans="1:19">
      <c r="A620" s="523"/>
      <c r="B620" s="518"/>
      <c r="C620" s="518"/>
      <c r="D620" s="518"/>
      <c r="E620" s="518"/>
      <c r="I620" s="516"/>
      <c r="K620" s="523"/>
      <c r="L620" s="518"/>
      <c r="M620" s="518"/>
      <c r="N620" s="518"/>
      <c r="O620" s="518"/>
      <c r="S620" s="516"/>
    </row>
    <row r="621" spans="1:19">
      <c r="A621" s="523">
        <v>7</v>
      </c>
      <c r="B621" s="1156" t="s">
        <v>63</v>
      </c>
      <c r="C621" s="1156"/>
      <c r="D621" s="1156"/>
      <c r="E621" s="532">
        <f>E617-I619</f>
        <v>0</v>
      </c>
      <c r="F621" s="521"/>
      <c r="G621" s="521"/>
      <c r="H621" s="521"/>
      <c r="I621" s="516"/>
      <c r="K621" s="523">
        <v>7</v>
      </c>
      <c r="L621" s="1156" t="s">
        <v>63</v>
      </c>
      <c r="M621" s="1156"/>
      <c r="N621" s="1156"/>
      <c r="O621" s="532">
        <f>E621</f>
        <v>0</v>
      </c>
      <c r="P621" s="521"/>
      <c r="Q621" s="521"/>
      <c r="R621" s="521"/>
      <c r="S621" s="516"/>
    </row>
    <row r="622" spans="1:19">
      <c r="A622" s="515"/>
      <c r="I622" s="516"/>
      <c r="K622" s="515"/>
      <c r="S622" s="516"/>
    </row>
    <row r="623" spans="1:19">
      <c r="A623" s="515"/>
      <c r="I623" s="516"/>
      <c r="K623" s="515"/>
      <c r="S623" s="516"/>
    </row>
    <row r="624" spans="1:19" ht="15.75" thickBot="1">
      <c r="A624" s="515"/>
      <c r="F624" s="533"/>
      <c r="G624" s="533"/>
      <c r="H624" s="533"/>
      <c r="I624" s="534"/>
      <c r="K624" s="515"/>
      <c r="P624" s="533"/>
      <c r="Q624" s="533"/>
      <c r="R624" s="533"/>
      <c r="S624" s="534"/>
    </row>
    <row r="627" spans="1:19" ht="15.75" thickBot="1"/>
    <row r="628" spans="1:19" ht="26.25">
      <c r="A628" s="1164" t="s">
        <v>50</v>
      </c>
      <c r="B628" s="1165"/>
      <c r="C628" s="1165"/>
      <c r="D628" s="1165"/>
      <c r="E628" s="1165"/>
      <c r="F628" s="1165"/>
      <c r="G628" s="1165"/>
      <c r="H628" s="1165"/>
      <c r="I628" s="1166"/>
      <c r="K628" s="1164" t="s">
        <v>50</v>
      </c>
      <c r="L628" s="1165"/>
      <c r="M628" s="1165"/>
      <c r="N628" s="1165"/>
      <c r="O628" s="1165"/>
      <c r="P628" s="1165"/>
      <c r="Q628" s="1165"/>
      <c r="R628" s="1165"/>
      <c r="S628" s="1166"/>
    </row>
    <row r="629" spans="1:19">
      <c r="A629" s="1157" t="s">
        <v>579</v>
      </c>
      <c r="B629" s="1158"/>
      <c r="C629" s="1158"/>
      <c r="D629" s="1158"/>
      <c r="E629" s="1158"/>
      <c r="F629" s="1158"/>
      <c r="G629" s="1158"/>
      <c r="H629" s="1158"/>
      <c r="I629" s="1159"/>
      <c r="K629" s="1157" t="str">
        <f>A629</f>
        <v>[Vide rule 78 (1) (b) of the Contract Labour (Regulation and Abolition) Central and Maharastra, 1971]</v>
      </c>
      <c r="L629" s="1158"/>
      <c r="M629" s="1158"/>
      <c r="N629" s="1158"/>
      <c r="O629" s="1158"/>
      <c r="P629" s="1158"/>
      <c r="Q629" s="1158"/>
      <c r="R629" s="1158"/>
      <c r="S629" s="1159"/>
    </row>
    <row r="630" spans="1:19">
      <c r="A630" s="515"/>
      <c r="I630" s="516"/>
      <c r="K630" s="515"/>
      <c r="S630" s="516"/>
    </row>
    <row r="631" spans="1:19">
      <c r="A631" s="517" t="s">
        <v>51</v>
      </c>
      <c r="B631" s="518"/>
      <c r="C631" s="518"/>
      <c r="D631" s="519" t="s">
        <v>381</v>
      </c>
      <c r="I631" s="516"/>
      <c r="K631" s="517" t="s">
        <v>51</v>
      </c>
      <c r="L631" s="518"/>
      <c r="M631" s="518"/>
      <c r="N631" s="519" t="str">
        <f>D631</f>
        <v>Burgeon IT Services Pvt.Ltd.</v>
      </c>
      <c r="S631" s="516"/>
    </row>
    <row r="632" spans="1:19">
      <c r="A632" s="517"/>
      <c r="B632" s="518" t="s">
        <v>382</v>
      </c>
      <c r="C632" s="518"/>
      <c r="D632" s="518"/>
      <c r="I632" s="516"/>
      <c r="K632" s="517"/>
      <c r="L632" s="518" t="str">
        <f>B632</f>
        <v>Siri Mansion LIGB 436 Dr.A S Rao Nagar,Hyderabad</v>
      </c>
      <c r="M632" s="518"/>
      <c r="N632" s="518"/>
      <c r="S632" s="516"/>
    </row>
    <row r="633" spans="1:19">
      <c r="A633" s="517"/>
      <c r="B633" s="518">
        <f>'4-22MASTER'!G1939</f>
        <v>0</v>
      </c>
      <c r="C633" s="518"/>
      <c r="D633" s="518"/>
      <c r="E633" s="518"/>
      <c r="I633" s="516"/>
      <c r="K633" s="517"/>
      <c r="L633" s="518">
        <f>B633</f>
        <v>0</v>
      </c>
      <c r="M633" s="518"/>
      <c r="N633" s="518"/>
      <c r="O633" s="518"/>
      <c r="S633" s="516"/>
    </row>
    <row r="634" spans="1:19">
      <c r="A634" s="1160" t="s">
        <v>52</v>
      </c>
      <c r="B634" s="1155"/>
      <c r="C634" s="1155"/>
      <c r="D634" s="1155"/>
      <c r="E634" s="518"/>
      <c r="I634" s="516"/>
      <c r="K634" s="1160" t="s">
        <v>52</v>
      </c>
      <c r="L634" s="1155"/>
      <c r="M634" s="1155"/>
      <c r="N634" s="1155"/>
      <c r="O634" s="518"/>
      <c r="S634" s="516"/>
    </row>
    <row r="635" spans="1:19">
      <c r="A635" s="1160"/>
      <c r="B635" s="1155"/>
      <c r="C635" s="1155"/>
      <c r="D635" s="1155"/>
      <c r="E635" s="520">
        <f>'4-22MASTER'!C359</f>
        <v>0</v>
      </c>
      <c r="F635" s="521"/>
      <c r="G635" s="521"/>
      <c r="H635" s="521">
        <f>'4-22MASTER'!F359</f>
        <v>0</v>
      </c>
      <c r="I635" s="516"/>
      <c r="K635" s="1160"/>
      <c r="L635" s="1155"/>
      <c r="M635" s="1155"/>
      <c r="N635" s="1155"/>
      <c r="O635" s="520">
        <f>E635</f>
        <v>0</v>
      </c>
      <c r="P635" s="521"/>
      <c r="Q635" s="521"/>
      <c r="R635" s="521"/>
      <c r="S635" s="516"/>
    </row>
    <row r="636" spans="1:19">
      <c r="A636" s="517"/>
      <c r="B636" s="518"/>
      <c r="C636" s="518"/>
      <c r="D636" s="518"/>
      <c r="E636" s="518"/>
      <c r="I636" s="516"/>
      <c r="K636" s="517"/>
      <c r="L636" s="518"/>
      <c r="M636" s="518"/>
      <c r="N636" s="518"/>
      <c r="O636" s="518"/>
      <c r="S636" s="516"/>
    </row>
    <row r="637" spans="1:19">
      <c r="A637" s="1161" t="s">
        <v>53</v>
      </c>
      <c r="B637" s="1156"/>
      <c r="C637" s="1156"/>
      <c r="D637" s="1156"/>
      <c r="E637" s="520" t="s">
        <v>601</v>
      </c>
      <c r="F637" s="521"/>
      <c r="G637" s="521"/>
      <c r="H637" s="521"/>
      <c r="I637" s="516"/>
      <c r="K637" s="1161" t="s">
        <v>53</v>
      </c>
      <c r="L637" s="1156"/>
      <c r="M637" s="1156"/>
      <c r="N637" s="1156"/>
      <c r="O637" s="520" t="str">
        <f>E637</f>
        <v>IT SUPPORTIVE SERVICES &amp; PUNE ASC SEZ</v>
      </c>
      <c r="P637" s="521"/>
      <c r="Q637" s="521"/>
      <c r="R637" s="521"/>
      <c r="S637" s="516"/>
    </row>
    <row r="638" spans="1:19">
      <c r="A638" s="517"/>
      <c r="B638" s="518"/>
      <c r="C638" s="518"/>
      <c r="D638" s="518"/>
      <c r="E638" s="518"/>
      <c r="I638" s="516"/>
      <c r="K638" s="517"/>
      <c r="L638" s="518"/>
      <c r="M638" s="518"/>
      <c r="N638" s="518"/>
      <c r="O638" s="518"/>
      <c r="S638" s="516"/>
    </row>
    <row r="639" spans="1:19">
      <c r="A639" s="1161" t="s">
        <v>54</v>
      </c>
      <c r="B639" s="1156"/>
      <c r="C639" s="1156"/>
      <c r="D639" s="1156"/>
      <c r="E639" s="522">
        <f>'4-22MASTER'!E342</f>
        <v>0</v>
      </c>
      <c r="F639" s="521"/>
      <c r="G639" s="521"/>
      <c r="H639" s="521"/>
      <c r="I639" s="516"/>
      <c r="K639" s="1161" t="s">
        <v>54</v>
      </c>
      <c r="L639" s="1156"/>
      <c r="M639" s="1156"/>
      <c r="N639" s="1156"/>
      <c r="O639" s="522">
        <f>E639</f>
        <v>0</v>
      </c>
      <c r="P639" s="521"/>
      <c r="Q639" s="521"/>
      <c r="R639" s="521"/>
      <c r="S639" s="516"/>
    </row>
    <row r="640" spans="1:19">
      <c r="A640" s="517"/>
      <c r="B640" s="518"/>
      <c r="C640" s="518"/>
      <c r="D640" s="518"/>
      <c r="E640" s="518"/>
      <c r="I640" s="516"/>
      <c r="K640" s="517"/>
      <c r="L640" s="518"/>
      <c r="M640" s="518"/>
      <c r="N640" s="518"/>
      <c r="O640" s="518"/>
      <c r="S640" s="516"/>
    </row>
    <row r="641" spans="1:19">
      <c r="A641" s="523">
        <v>1</v>
      </c>
      <c r="B641" s="1156" t="s">
        <v>55</v>
      </c>
      <c r="C641" s="1156"/>
      <c r="D641" s="1156"/>
      <c r="E641" s="524"/>
      <c r="F641" s="810">
        <f>'4-22MASTER'!X359</f>
        <v>0</v>
      </c>
      <c r="G641" s="521"/>
      <c r="H641" s="521"/>
      <c r="I641" s="516"/>
      <c r="K641" s="523">
        <v>1</v>
      </c>
      <c r="L641" s="1156" t="s">
        <v>55</v>
      </c>
      <c r="M641" s="1156"/>
      <c r="N641" s="1156"/>
      <c r="O641" s="524">
        <f>E641</f>
        <v>0</v>
      </c>
      <c r="P641" s="521"/>
      <c r="Q641" s="521"/>
      <c r="R641" s="521"/>
      <c r="S641" s="516"/>
    </row>
    <row r="642" spans="1:19">
      <c r="A642" s="523"/>
      <c r="B642" s="518"/>
      <c r="C642" s="518"/>
      <c r="D642" s="518"/>
      <c r="E642" s="518"/>
      <c r="I642" s="516"/>
      <c r="K642" s="523"/>
      <c r="L642" s="518"/>
      <c r="M642" s="518"/>
      <c r="N642" s="518"/>
      <c r="O642" s="518"/>
      <c r="S642" s="516"/>
    </row>
    <row r="643" spans="1:19">
      <c r="A643" s="523">
        <v>2</v>
      </c>
      <c r="B643" s="1155" t="s">
        <v>56</v>
      </c>
      <c r="C643" s="1155"/>
      <c r="D643" s="1155"/>
      <c r="E643" s="518"/>
      <c r="I643" s="516"/>
      <c r="K643" s="523">
        <v>2</v>
      </c>
      <c r="L643" s="1155" t="s">
        <v>56</v>
      </c>
      <c r="M643" s="1155"/>
      <c r="N643" s="1155"/>
      <c r="O643" s="518"/>
      <c r="S643" s="516"/>
    </row>
    <row r="644" spans="1:19">
      <c r="A644" s="523"/>
      <c r="B644" s="1155"/>
      <c r="C644" s="1155"/>
      <c r="D644" s="1155"/>
      <c r="E644" s="525" t="s">
        <v>37</v>
      </c>
      <c r="F644" s="521"/>
      <c r="G644" s="521"/>
      <c r="H644" s="521"/>
      <c r="I644" s="516"/>
      <c r="K644" s="523"/>
      <c r="L644" s="1155"/>
      <c r="M644" s="1155"/>
      <c r="N644" s="1155"/>
      <c r="O644" s="525" t="s">
        <v>37</v>
      </c>
      <c r="P644" s="521"/>
      <c r="Q644" s="521"/>
      <c r="R644" s="521"/>
      <c r="S644" s="516"/>
    </row>
    <row r="645" spans="1:19">
      <c r="A645" s="523"/>
      <c r="B645" s="518"/>
      <c r="C645" s="518"/>
      <c r="D645" s="518"/>
      <c r="E645" s="518"/>
      <c r="I645" s="516"/>
      <c r="K645" s="523"/>
      <c r="L645" s="518"/>
      <c r="M645" s="518"/>
      <c r="N645" s="518"/>
      <c r="O645" s="518"/>
      <c r="S645" s="516"/>
    </row>
    <row r="646" spans="1:19">
      <c r="A646" s="523">
        <v>3</v>
      </c>
      <c r="B646" s="1156" t="s">
        <v>57</v>
      </c>
      <c r="C646" s="1156"/>
      <c r="D646" s="1156"/>
      <c r="E646" s="525" t="s">
        <v>37</v>
      </c>
      <c r="F646" s="521"/>
      <c r="G646" s="521"/>
      <c r="H646" s="521"/>
      <c r="I646" s="516"/>
      <c r="K646" s="523">
        <v>3</v>
      </c>
      <c r="L646" s="1156" t="s">
        <v>57</v>
      </c>
      <c r="M646" s="1156"/>
      <c r="N646" s="1156"/>
      <c r="O646" s="520" t="str">
        <f>E646</f>
        <v>N/A</v>
      </c>
      <c r="P646" s="521"/>
      <c r="Q646" s="521"/>
      <c r="R646" s="521"/>
      <c r="S646" s="516"/>
    </row>
    <row r="647" spans="1:19">
      <c r="A647" s="523"/>
      <c r="B647" s="518"/>
      <c r="C647" s="518"/>
      <c r="D647" s="518"/>
      <c r="E647" s="518"/>
      <c r="I647" s="516"/>
      <c r="K647" s="523"/>
      <c r="L647" s="518"/>
      <c r="M647" s="518"/>
      <c r="N647" s="518"/>
      <c r="O647" s="518"/>
      <c r="S647" s="516"/>
    </row>
    <row r="648" spans="1:19">
      <c r="A648" s="523">
        <v>4</v>
      </c>
      <c r="B648" s="1156" t="s">
        <v>58</v>
      </c>
      <c r="C648" s="1156"/>
      <c r="D648" s="1156"/>
      <c r="E648" s="525" t="s">
        <v>59</v>
      </c>
      <c r="F648" s="521"/>
      <c r="G648" s="521"/>
      <c r="H648" s="521"/>
      <c r="I648" s="516"/>
      <c r="K648" s="523">
        <v>4</v>
      </c>
      <c r="L648" s="1156" t="s">
        <v>58</v>
      </c>
      <c r="M648" s="1156"/>
      <c r="N648" s="1156"/>
      <c r="O648" s="525" t="s">
        <v>59</v>
      </c>
      <c r="P648" s="521"/>
      <c r="Q648" s="521"/>
      <c r="R648" s="521"/>
      <c r="S648" s="516"/>
    </row>
    <row r="649" spans="1:19">
      <c r="A649" s="523"/>
      <c r="B649" s="518"/>
      <c r="C649" s="518"/>
      <c r="D649" s="518"/>
      <c r="E649" s="518"/>
      <c r="I649" s="516"/>
      <c r="K649" s="523"/>
      <c r="L649" s="518"/>
      <c r="M649" s="518"/>
      <c r="N649" s="518"/>
      <c r="O649" s="518"/>
      <c r="S649" s="516"/>
    </row>
    <row r="650" spans="1:19">
      <c r="A650" s="523">
        <v>5</v>
      </c>
      <c r="B650" s="1156" t="s">
        <v>60</v>
      </c>
      <c r="C650" s="1156"/>
      <c r="D650" s="1156"/>
      <c r="E650" s="526" t="e">
        <f>'4-22MASTER'!#REF!</f>
        <v>#REF!</v>
      </c>
      <c r="I650" s="516"/>
      <c r="K650" s="523">
        <v>5</v>
      </c>
      <c r="L650" s="1156" t="s">
        <v>60</v>
      </c>
      <c r="M650" s="1156"/>
      <c r="N650" s="1156"/>
      <c r="O650" s="526" t="e">
        <f>E650</f>
        <v>#REF!</v>
      </c>
      <c r="S650" s="516"/>
    </row>
    <row r="651" spans="1:19">
      <c r="A651" s="523"/>
      <c r="B651" s="518"/>
      <c r="C651" s="518"/>
      <c r="D651" s="527" t="s">
        <v>61</v>
      </c>
      <c r="E651" s="527" t="s">
        <v>31</v>
      </c>
      <c r="F651" s="527" t="s">
        <v>33</v>
      </c>
      <c r="G651" s="527" t="s">
        <v>34</v>
      </c>
      <c r="H651" s="527" t="s">
        <v>377</v>
      </c>
      <c r="I651" s="528" t="s">
        <v>378</v>
      </c>
      <c r="K651" s="523"/>
      <c r="L651" s="518"/>
      <c r="M651" s="518"/>
      <c r="N651" s="527" t="s">
        <v>61</v>
      </c>
      <c r="O651" s="527" t="s">
        <v>31</v>
      </c>
      <c r="P651" s="527" t="s">
        <v>33</v>
      </c>
      <c r="Q651" s="527" t="s">
        <v>34</v>
      </c>
      <c r="R651" s="527" t="s">
        <v>377</v>
      </c>
      <c r="S651" s="528" t="s">
        <v>378</v>
      </c>
    </row>
    <row r="652" spans="1:19">
      <c r="A652" s="523">
        <v>6</v>
      </c>
      <c r="B652" s="897" t="s">
        <v>62</v>
      </c>
      <c r="C652" s="897"/>
      <c r="D652" s="530" t="e">
        <f>'4-22MASTER'!#REF!</f>
        <v>#REF!</v>
      </c>
      <c r="E652" s="530">
        <f>'4-22MASTER'!AO1950</f>
        <v>0</v>
      </c>
      <c r="F652" s="531" t="e">
        <f>'4-22MASTER'!#REF!</f>
        <v>#REF!</v>
      </c>
      <c r="G652" s="530" t="e">
        <f>'4-22MASTER'!#REF!</f>
        <v>#REF!</v>
      </c>
      <c r="H652" s="531" t="e">
        <f>'4-22MASTER'!#REF!</f>
        <v>#REF!</v>
      </c>
      <c r="I652" s="531" t="e">
        <f>SUM(D652:H652)</f>
        <v>#REF!</v>
      </c>
      <c r="K652" s="523">
        <v>6</v>
      </c>
      <c r="L652" s="897" t="s">
        <v>62</v>
      </c>
      <c r="M652" s="897"/>
      <c r="N652" s="530" t="e">
        <f t="shared" ref="N652" si="96">D652</f>
        <v>#REF!</v>
      </c>
      <c r="O652" s="530">
        <f t="shared" ref="O652" si="97">E652</f>
        <v>0</v>
      </c>
      <c r="P652" s="531" t="e">
        <f t="shared" ref="P652" si="98">F652</f>
        <v>#REF!</v>
      </c>
      <c r="Q652" s="530" t="e">
        <f t="shared" ref="Q652" si="99">G652</f>
        <v>#REF!</v>
      </c>
      <c r="R652" s="531" t="e">
        <f t="shared" ref="R652" si="100">H652</f>
        <v>#REF!</v>
      </c>
      <c r="S652" s="531" t="e">
        <f t="shared" ref="S652" si="101">I652</f>
        <v>#REF!</v>
      </c>
    </row>
    <row r="653" spans="1:19">
      <c r="A653" s="523"/>
      <c r="B653" s="518"/>
      <c r="C653" s="518"/>
      <c r="D653" s="518"/>
      <c r="E653" s="518"/>
      <c r="I653" s="516"/>
      <c r="K653" s="523"/>
      <c r="L653" s="518"/>
      <c r="M653" s="518"/>
      <c r="N653" s="518"/>
      <c r="O653" s="518"/>
      <c r="S653" s="516"/>
    </row>
    <row r="654" spans="1:19">
      <c r="A654" s="523">
        <v>7</v>
      </c>
      <c r="B654" s="1156" t="s">
        <v>63</v>
      </c>
      <c r="C654" s="1156"/>
      <c r="D654" s="1156"/>
      <c r="E654" s="532" t="e">
        <f>E650-I652</f>
        <v>#REF!</v>
      </c>
      <c r="F654" s="521"/>
      <c r="G654" s="521"/>
      <c r="H654" s="521"/>
      <c r="I654" s="516"/>
      <c r="K654" s="523">
        <v>7</v>
      </c>
      <c r="L654" s="1156" t="s">
        <v>63</v>
      </c>
      <c r="M654" s="1156"/>
      <c r="N654" s="1156"/>
      <c r="O654" s="532" t="e">
        <f>E654</f>
        <v>#REF!</v>
      </c>
      <c r="P654" s="521"/>
      <c r="Q654" s="521"/>
      <c r="R654" s="521"/>
      <c r="S654" s="516"/>
    </row>
    <row r="655" spans="1:19">
      <c r="A655" s="515"/>
      <c r="I655" s="516"/>
      <c r="K655" s="515"/>
      <c r="S655" s="516"/>
    </row>
    <row r="656" spans="1:19">
      <c r="A656" s="515"/>
      <c r="I656" s="516"/>
      <c r="K656" s="515"/>
      <c r="S656" s="516"/>
    </row>
    <row r="657" spans="1:19" ht="15.75" thickBot="1">
      <c r="A657" s="515"/>
      <c r="F657" s="533"/>
      <c r="G657" s="533"/>
      <c r="H657" s="533"/>
      <c r="I657" s="534"/>
      <c r="K657" s="515"/>
      <c r="P657" s="533"/>
      <c r="Q657" s="533"/>
      <c r="R657" s="533"/>
      <c r="S657" s="534"/>
    </row>
    <row r="658" spans="1:19" ht="15.75" thickBot="1">
      <c r="A658" s="535"/>
      <c r="B658" s="533"/>
      <c r="C658" s="533"/>
      <c r="D658" s="533"/>
      <c r="E658" s="533"/>
      <c r="F658" s="1162" t="s">
        <v>64</v>
      </c>
      <c r="G658" s="1162"/>
      <c r="H658" s="1162"/>
      <c r="I658" s="1163"/>
      <c r="K658" s="535"/>
      <c r="L658" s="533"/>
      <c r="M658" s="533"/>
      <c r="N658" s="533"/>
      <c r="O658" s="533"/>
      <c r="P658" s="1162" t="s">
        <v>64</v>
      </c>
      <c r="Q658" s="1162"/>
      <c r="R658" s="1162"/>
      <c r="S658" s="1163"/>
    </row>
    <row r="668" spans="1:19" ht="15.75" thickBot="1"/>
    <row r="669" spans="1:19" ht="26.25">
      <c r="A669" s="1164" t="s">
        <v>50</v>
      </c>
      <c r="B669" s="1165"/>
      <c r="C669" s="1165"/>
      <c r="D669" s="1165"/>
      <c r="E669" s="1165"/>
      <c r="F669" s="1165"/>
      <c r="G669" s="1165"/>
      <c r="H669" s="1165"/>
      <c r="I669" s="1166"/>
      <c r="K669" s="1164" t="s">
        <v>50</v>
      </c>
      <c r="L669" s="1165"/>
      <c r="M669" s="1165"/>
      <c r="N669" s="1165"/>
      <c r="O669" s="1165"/>
      <c r="P669" s="1165"/>
      <c r="Q669" s="1165"/>
      <c r="R669" s="1165"/>
      <c r="S669" s="1166"/>
    </row>
    <row r="670" spans="1:19">
      <c r="A670" s="1157" t="s">
        <v>579</v>
      </c>
      <c r="B670" s="1158"/>
      <c r="C670" s="1158"/>
      <c r="D670" s="1158"/>
      <c r="E670" s="1158"/>
      <c r="F670" s="1158"/>
      <c r="G670" s="1158"/>
      <c r="H670" s="1158"/>
      <c r="I670" s="1159"/>
      <c r="K670" s="1157" t="str">
        <f>A670</f>
        <v>[Vide rule 78 (1) (b) of the Contract Labour (Regulation and Abolition) Central and Maharastra, 1971]</v>
      </c>
      <c r="L670" s="1158"/>
      <c r="M670" s="1158"/>
      <c r="N670" s="1158"/>
      <c r="O670" s="1158"/>
      <c r="P670" s="1158"/>
      <c r="Q670" s="1158"/>
      <c r="R670" s="1158"/>
      <c r="S670" s="1159"/>
    </row>
    <row r="671" spans="1:19">
      <c r="A671" s="515"/>
      <c r="I671" s="516"/>
      <c r="K671" s="515"/>
      <c r="S671" s="516"/>
    </row>
    <row r="672" spans="1:19">
      <c r="A672" s="517" t="s">
        <v>51</v>
      </c>
      <c r="B672" s="518"/>
      <c r="C672" s="518"/>
      <c r="D672" s="519" t="s">
        <v>381</v>
      </c>
      <c r="I672" s="516"/>
      <c r="K672" s="517" t="s">
        <v>51</v>
      </c>
      <c r="L672" s="518"/>
      <c r="M672" s="518"/>
      <c r="N672" s="519" t="str">
        <f>D672</f>
        <v>Burgeon IT Services Pvt.Ltd.</v>
      </c>
      <c r="S672" s="516"/>
    </row>
    <row r="673" spans="1:19">
      <c r="A673" s="517"/>
      <c r="B673" s="518" t="s">
        <v>382</v>
      </c>
      <c r="C673" s="518"/>
      <c r="D673" s="518"/>
      <c r="I673" s="516"/>
      <c r="K673" s="517"/>
      <c r="L673" s="518" t="str">
        <f>B673</f>
        <v>Siri Mansion LIGB 436 Dr.A S Rao Nagar,Hyderabad</v>
      </c>
      <c r="M673" s="518"/>
      <c r="N673" s="518"/>
      <c r="S673" s="516"/>
    </row>
    <row r="674" spans="1:19">
      <c r="A674" s="517"/>
      <c r="B674" s="518">
        <f>'4-22MASTER'!G1980</f>
        <v>0</v>
      </c>
      <c r="C674" s="518"/>
      <c r="D674" s="518"/>
      <c r="E674" s="518"/>
      <c r="I674" s="516"/>
      <c r="K674" s="517"/>
      <c r="L674" s="518">
        <f>B674</f>
        <v>0</v>
      </c>
      <c r="M674" s="518"/>
      <c r="N674" s="518"/>
      <c r="O674" s="518"/>
      <c r="S674" s="516"/>
    </row>
    <row r="675" spans="1:19">
      <c r="A675" s="1160" t="s">
        <v>52</v>
      </c>
      <c r="B675" s="1155"/>
      <c r="C675" s="1155"/>
      <c r="D675" s="1155"/>
      <c r="E675" s="518"/>
      <c r="I675" s="516"/>
      <c r="K675" s="1160" t="s">
        <v>52</v>
      </c>
      <c r="L675" s="1155"/>
      <c r="M675" s="1155"/>
      <c r="N675" s="1155"/>
      <c r="O675" s="518"/>
      <c r="S675" s="516"/>
    </row>
    <row r="676" spans="1:19">
      <c r="A676" s="1160"/>
      <c r="B676" s="1155"/>
      <c r="C676" s="1155"/>
      <c r="D676" s="1155"/>
      <c r="E676" s="520">
        <f>'4-22MASTER'!C360</f>
        <v>0</v>
      </c>
      <c r="F676" s="521"/>
      <c r="G676" s="521">
        <f>'4-22MASTER'!F360</f>
        <v>0</v>
      </c>
      <c r="H676" s="521"/>
      <c r="I676" s="516"/>
      <c r="K676" s="1160"/>
      <c r="L676" s="1155"/>
      <c r="M676" s="1155"/>
      <c r="N676" s="1155"/>
      <c r="O676" s="520">
        <f>E676</f>
        <v>0</v>
      </c>
      <c r="P676" s="521"/>
      <c r="Q676" s="521"/>
      <c r="R676" s="521"/>
      <c r="S676" s="516"/>
    </row>
    <row r="677" spans="1:19">
      <c r="A677" s="517"/>
      <c r="B677" s="518"/>
      <c r="C677" s="518"/>
      <c r="D677" s="518"/>
      <c r="E677" s="518"/>
      <c r="I677" s="516"/>
      <c r="K677" s="517"/>
      <c r="L677" s="518"/>
      <c r="M677" s="518"/>
      <c r="N677" s="518"/>
      <c r="O677" s="518"/>
      <c r="S677" s="516"/>
    </row>
    <row r="678" spans="1:19">
      <c r="A678" s="1161" t="s">
        <v>53</v>
      </c>
      <c r="B678" s="1156"/>
      <c r="C678" s="1156"/>
      <c r="D678" s="1156"/>
      <c r="E678" s="520" t="s">
        <v>601</v>
      </c>
      <c r="F678" s="521"/>
      <c r="G678" s="521"/>
      <c r="H678" s="521"/>
      <c r="I678" s="516"/>
      <c r="K678" s="1161" t="s">
        <v>53</v>
      </c>
      <c r="L678" s="1156"/>
      <c r="M678" s="1156"/>
      <c r="N678" s="1156"/>
      <c r="O678" s="520" t="str">
        <f>E678</f>
        <v>IT SUPPORTIVE SERVICES &amp; PUNE ASC SEZ</v>
      </c>
      <c r="P678" s="521"/>
      <c r="Q678" s="521"/>
      <c r="R678" s="521"/>
      <c r="S678" s="516"/>
    </row>
    <row r="679" spans="1:19">
      <c r="A679" s="517"/>
      <c r="B679" s="518"/>
      <c r="C679" s="518"/>
      <c r="D679" s="518"/>
      <c r="E679" s="518"/>
      <c r="I679" s="516"/>
      <c r="K679" s="517"/>
      <c r="L679" s="518"/>
      <c r="M679" s="518"/>
      <c r="N679" s="518"/>
      <c r="O679" s="518"/>
      <c r="S679" s="516"/>
    </row>
    <row r="680" spans="1:19">
      <c r="A680" s="1161" t="s">
        <v>54</v>
      </c>
      <c r="B680" s="1156"/>
      <c r="C680" s="1156"/>
      <c r="D680" s="1156"/>
      <c r="E680" s="522">
        <f>'4-22MASTER'!E342</f>
        <v>0</v>
      </c>
      <c r="F680" s="521"/>
      <c r="G680" s="521"/>
      <c r="H680" s="521"/>
      <c r="I680" s="516"/>
      <c r="K680" s="1161" t="s">
        <v>54</v>
      </c>
      <c r="L680" s="1156"/>
      <c r="M680" s="1156"/>
      <c r="N680" s="1156"/>
      <c r="O680" s="522">
        <f>E680</f>
        <v>0</v>
      </c>
      <c r="P680" s="521"/>
      <c r="Q680" s="521"/>
      <c r="R680" s="521"/>
      <c r="S680" s="516"/>
    </row>
    <row r="681" spans="1:19">
      <c r="A681" s="517"/>
      <c r="B681" s="518"/>
      <c r="C681" s="518"/>
      <c r="D681" s="518"/>
      <c r="E681" s="518"/>
      <c r="I681" s="516"/>
      <c r="K681" s="517"/>
      <c r="L681" s="518"/>
      <c r="M681" s="518"/>
      <c r="N681" s="518"/>
      <c r="O681" s="518"/>
      <c r="S681" s="516"/>
    </row>
    <row r="682" spans="1:19">
      <c r="A682" s="523">
        <v>1</v>
      </c>
      <c r="B682" s="1156" t="s">
        <v>55</v>
      </c>
      <c r="C682" s="1156"/>
      <c r="D682" s="1156"/>
      <c r="E682" s="524">
        <f>'4-22MASTER'!X360</f>
        <v>0</v>
      </c>
      <c r="F682" s="521"/>
      <c r="G682" s="521"/>
      <c r="H682" s="521"/>
      <c r="I682" s="516"/>
      <c r="K682" s="523">
        <v>1</v>
      </c>
      <c r="L682" s="1156" t="s">
        <v>55</v>
      </c>
      <c r="M682" s="1156"/>
      <c r="N682" s="1156"/>
      <c r="O682" s="524">
        <f>E682</f>
        <v>0</v>
      </c>
      <c r="P682" s="521"/>
      <c r="Q682" s="521"/>
      <c r="R682" s="521"/>
      <c r="S682" s="516"/>
    </row>
    <row r="683" spans="1:19">
      <c r="A683" s="523"/>
      <c r="B683" s="518"/>
      <c r="C683" s="518"/>
      <c r="D683" s="518"/>
      <c r="E683" s="518"/>
      <c r="I683" s="516"/>
      <c r="K683" s="523"/>
      <c r="L683" s="518"/>
      <c r="M683" s="518"/>
      <c r="N683" s="518"/>
      <c r="O683" s="518"/>
      <c r="S683" s="516"/>
    </row>
    <row r="684" spans="1:19">
      <c r="A684" s="523">
        <v>2</v>
      </c>
      <c r="B684" s="1155" t="s">
        <v>56</v>
      </c>
      <c r="C684" s="1155"/>
      <c r="D684" s="1155"/>
      <c r="E684" s="518"/>
      <c r="I684" s="516"/>
      <c r="K684" s="523">
        <v>2</v>
      </c>
      <c r="L684" s="1155" t="s">
        <v>56</v>
      </c>
      <c r="M684" s="1155"/>
      <c r="N684" s="1155"/>
      <c r="O684" s="518"/>
      <c r="S684" s="516"/>
    </row>
    <row r="685" spans="1:19">
      <c r="A685" s="523"/>
      <c r="B685" s="1155"/>
      <c r="C685" s="1155"/>
      <c r="D685" s="1155"/>
      <c r="E685" s="525" t="s">
        <v>37</v>
      </c>
      <c r="F685" s="521"/>
      <c r="G685" s="521"/>
      <c r="H685" s="521"/>
      <c r="I685" s="516"/>
      <c r="K685" s="523"/>
      <c r="L685" s="1155"/>
      <c r="M685" s="1155"/>
      <c r="N685" s="1155"/>
      <c r="O685" s="525" t="s">
        <v>37</v>
      </c>
      <c r="P685" s="521"/>
      <c r="Q685" s="521"/>
      <c r="R685" s="521"/>
      <c r="S685" s="516"/>
    </row>
    <row r="686" spans="1:19">
      <c r="A686" s="523"/>
      <c r="B686" s="518"/>
      <c r="C686" s="518"/>
      <c r="D686" s="518"/>
      <c r="E686" s="518"/>
      <c r="I686" s="516"/>
      <c r="K686" s="523"/>
      <c r="L686" s="518"/>
      <c r="M686" s="518"/>
      <c r="N686" s="518"/>
      <c r="O686" s="518"/>
      <c r="S686" s="516"/>
    </row>
    <row r="687" spans="1:19">
      <c r="A687" s="523">
        <v>3</v>
      </c>
      <c r="B687" s="1156" t="s">
        <v>57</v>
      </c>
      <c r="C687" s="1156"/>
      <c r="D687" s="1156"/>
      <c r="E687" s="525" t="s">
        <v>37</v>
      </c>
      <c r="F687" s="521"/>
      <c r="G687" s="521"/>
      <c r="H687" s="521"/>
      <c r="I687" s="516"/>
      <c r="K687" s="523">
        <v>3</v>
      </c>
      <c r="L687" s="1156" t="s">
        <v>57</v>
      </c>
      <c r="M687" s="1156"/>
      <c r="N687" s="1156"/>
      <c r="O687" s="520" t="str">
        <f>E687</f>
        <v>N/A</v>
      </c>
      <c r="P687" s="521"/>
      <c r="Q687" s="521"/>
      <c r="R687" s="521"/>
      <c r="S687" s="516"/>
    </row>
    <row r="688" spans="1:19">
      <c r="A688" s="523"/>
      <c r="B688" s="518"/>
      <c r="C688" s="518"/>
      <c r="D688" s="518"/>
      <c r="E688" s="518"/>
      <c r="I688" s="516"/>
      <c r="K688" s="523"/>
      <c r="L688" s="518"/>
      <c r="M688" s="518"/>
      <c r="N688" s="518"/>
      <c r="O688" s="518"/>
      <c r="S688" s="516"/>
    </row>
    <row r="689" spans="1:19">
      <c r="A689" s="523">
        <v>4</v>
      </c>
      <c r="B689" s="1156" t="s">
        <v>58</v>
      </c>
      <c r="C689" s="1156"/>
      <c r="D689" s="1156"/>
      <c r="E689" s="525" t="s">
        <v>59</v>
      </c>
      <c r="F689" s="521"/>
      <c r="G689" s="521"/>
      <c r="H689" s="521"/>
      <c r="I689" s="516"/>
      <c r="K689" s="523">
        <v>4</v>
      </c>
      <c r="L689" s="1156" t="s">
        <v>58</v>
      </c>
      <c r="M689" s="1156"/>
      <c r="N689" s="1156"/>
      <c r="O689" s="525" t="s">
        <v>59</v>
      </c>
      <c r="P689" s="521"/>
      <c r="Q689" s="521"/>
      <c r="R689" s="521"/>
      <c r="S689" s="516"/>
    </row>
    <row r="690" spans="1:19">
      <c r="A690" s="523"/>
      <c r="B690" s="518"/>
      <c r="C690" s="518"/>
      <c r="D690" s="518"/>
      <c r="E690" s="518"/>
      <c r="I690" s="516"/>
      <c r="K690" s="523"/>
      <c r="L690" s="518"/>
      <c r="M690" s="518"/>
      <c r="N690" s="518"/>
      <c r="O690" s="518"/>
      <c r="S690" s="516"/>
    </row>
    <row r="691" spans="1:19">
      <c r="A691" s="523">
        <v>5</v>
      </c>
      <c r="B691" s="1156" t="s">
        <v>60</v>
      </c>
      <c r="C691" s="1156"/>
      <c r="D691" s="1156"/>
      <c r="E691" s="526">
        <f>'4-22MASTER'!AN832</f>
        <v>0</v>
      </c>
      <c r="I691" s="516"/>
      <c r="K691" s="523">
        <v>5</v>
      </c>
      <c r="L691" s="1156" t="s">
        <v>60</v>
      </c>
      <c r="M691" s="1156"/>
      <c r="N691" s="1156"/>
      <c r="O691" s="526">
        <f>E691</f>
        <v>0</v>
      </c>
      <c r="S691" s="516"/>
    </row>
    <row r="692" spans="1:19">
      <c r="A692" s="523"/>
      <c r="B692" s="518"/>
      <c r="C692" s="518"/>
      <c r="D692" s="527" t="s">
        <v>61</v>
      </c>
      <c r="E692" s="527" t="s">
        <v>31</v>
      </c>
      <c r="F692" s="527" t="s">
        <v>33</v>
      </c>
      <c r="G692" s="527" t="s">
        <v>34</v>
      </c>
      <c r="H692" s="527" t="s">
        <v>377</v>
      </c>
      <c r="I692" s="528" t="s">
        <v>378</v>
      </c>
      <c r="K692" s="523"/>
      <c r="L692" s="518"/>
      <c r="M692" s="518"/>
      <c r="N692" s="527" t="s">
        <v>61</v>
      </c>
      <c r="O692" s="527" t="s">
        <v>31</v>
      </c>
      <c r="P692" s="527" t="s">
        <v>33</v>
      </c>
      <c r="Q692" s="527" t="s">
        <v>34</v>
      </c>
      <c r="R692" s="527" t="s">
        <v>377</v>
      </c>
      <c r="S692" s="528" t="s">
        <v>378</v>
      </c>
    </row>
    <row r="693" spans="1:19">
      <c r="A693" s="523">
        <v>6</v>
      </c>
      <c r="B693" s="897" t="s">
        <v>62</v>
      </c>
      <c r="C693" s="897"/>
      <c r="D693" s="530">
        <f>'4-22MASTER'!AP832</f>
        <v>0</v>
      </c>
      <c r="E693" s="530">
        <f>'4-22MASTER'!AO1991</f>
        <v>0</v>
      </c>
      <c r="F693" s="531">
        <f>'4-22MASTER'!AQ832</f>
        <v>0</v>
      </c>
      <c r="G693" s="530">
        <f>'4-22MASTER'!AR832</f>
        <v>0</v>
      </c>
      <c r="H693" s="531">
        <f>'4-22MASTER'!AS1991</f>
        <v>0</v>
      </c>
      <c r="I693" s="531">
        <f>SUM(D693:H693)</f>
        <v>0</v>
      </c>
      <c r="K693" s="523">
        <v>6</v>
      </c>
      <c r="L693" s="897" t="s">
        <v>62</v>
      </c>
      <c r="M693" s="897"/>
      <c r="N693" s="530">
        <f t="shared" ref="N693" si="102">D693</f>
        <v>0</v>
      </c>
      <c r="O693" s="530">
        <f t="shared" ref="O693" si="103">E693</f>
        <v>0</v>
      </c>
      <c r="P693" s="531">
        <f t="shared" ref="P693" si="104">F693</f>
        <v>0</v>
      </c>
      <c r="Q693" s="530">
        <f t="shared" ref="Q693" si="105">G693</f>
        <v>0</v>
      </c>
      <c r="R693" s="531">
        <f t="shared" ref="R693" si="106">H693</f>
        <v>0</v>
      </c>
      <c r="S693" s="531">
        <f t="shared" ref="S693" si="107">I693</f>
        <v>0</v>
      </c>
    </row>
    <row r="694" spans="1:19">
      <c r="A694" s="523"/>
      <c r="B694" s="518"/>
      <c r="C694" s="518"/>
      <c r="D694" s="518"/>
      <c r="E694" s="518"/>
      <c r="I694" s="516"/>
      <c r="K694" s="523"/>
      <c r="L694" s="518"/>
      <c r="M694" s="518"/>
      <c r="N694" s="518"/>
      <c r="O694" s="518"/>
      <c r="S694" s="516"/>
    </row>
    <row r="695" spans="1:19">
      <c r="A695" s="523">
        <v>7</v>
      </c>
      <c r="B695" s="1156" t="s">
        <v>63</v>
      </c>
      <c r="C695" s="1156"/>
      <c r="D695" s="1156"/>
      <c r="E695" s="532">
        <f>E691-I693</f>
        <v>0</v>
      </c>
      <c r="F695" s="521"/>
      <c r="G695" s="521"/>
      <c r="H695" s="521"/>
      <c r="I695" s="516"/>
      <c r="K695" s="523">
        <v>7</v>
      </c>
      <c r="L695" s="1156" t="s">
        <v>63</v>
      </c>
      <c r="M695" s="1156"/>
      <c r="N695" s="1156"/>
      <c r="O695" s="532">
        <f>E695</f>
        <v>0</v>
      </c>
      <c r="P695" s="521"/>
      <c r="Q695" s="521"/>
      <c r="R695" s="521"/>
      <c r="S695" s="516"/>
    </row>
    <row r="696" spans="1:19">
      <c r="A696" s="515"/>
      <c r="I696" s="516"/>
      <c r="K696" s="515"/>
      <c r="S696" s="516"/>
    </row>
    <row r="697" spans="1:19">
      <c r="A697" s="515"/>
      <c r="I697" s="516"/>
      <c r="K697" s="515"/>
      <c r="S697" s="516"/>
    </row>
    <row r="698" spans="1:19" ht="15.75" thickBot="1">
      <c r="A698" s="515"/>
      <c r="F698" s="533"/>
      <c r="G698" s="533"/>
      <c r="H698" s="533"/>
      <c r="I698" s="534"/>
      <c r="K698" s="515"/>
      <c r="P698" s="533"/>
      <c r="Q698" s="533"/>
      <c r="R698" s="533"/>
      <c r="S698" s="534"/>
    </row>
    <row r="701" spans="1:19" ht="15.75" thickBot="1"/>
    <row r="702" spans="1:19" ht="26.25">
      <c r="A702" s="1164" t="s">
        <v>50</v>
      </c>
      <c r="B702" s="1165"/>
      <c r="C702" s="1165"/>
      <c r="D702" s="1165"/>
      <c r="E702" s="1165"/>
      <c r="F702" s="1165"/>
      <c r="G702" s="1165"/>
      <c r="H702" s="1165"/>
      <c r="I702" s="1166"/>
      <c r="K702" s="1164" t="s">
        <v>50</v>
      </c>
      <c r="L702" s="1165"/>
      <c r="M702" s="1165"/>
      <c r="N702" s="1165"/>
      <c r="O702" s="1165"/>
      <c r="P702" s="1165"/>
      <c r="Q702" s="1165"/>
      <c r="R702" s="1165"/>
      <c r="S702" s="1166"/>
    </row>
    <row r="703" spans="1:19">
      <c r="A703" s="1157" t="s">
        <v>579</v>
      </c>
      <c r="B703" s="1158"/>
      <c r="C703" s="1158"/>
      <c r="D703" s="1158"/>
      <c r="E703" s="1158"/>
      <c r="F703" s="1158"/>
      <c r="G703" s="1158"/>
      <c r="H703" s="1158"/>
      <c r="I703" s="1159"/>
      <c r="K703" s="1157" t="str">
        <f>A703</f>
        <v>[Vide rule 78 (1) (b) of the Contract Labour (Regulation and Abolition) Central and Maharastra, 1971]</v>
      </c>
      <c r="L703" s="1158"/>
      <c r="M703" s="1158"/>
      <c r="N703" s="1158"/>
      <c r="O703" s="1158"/>
      <c r="P703" s="1158"/>
      <c r="Q703" s="1158"/>
      <c r="R703" s="1158"/>
      <c r="S703" s="1159"/>
    </row>
    <row r="704" spans="1:19">
      <c r="A704" s="515"/>
      <c r="I704" s="516"/>
      <c r="K704" s="515"/>
      <c r="S704" s="516"/>
    </row>
    <row r="705" spans="1:19">
      <c r="A705" s="517" t="s">
        <v>51</v>
      </c>
      <c r="B705" s="518"/>
      <c r="C705" s="518"/>
      <c r="D705" s="519" t="s">
        <v>381</v>
      </c>
      <c r="I705" s="516"/>
      <c r="K705" s="517" t="s">
        <v>51</v>
      </c>
      <c r="L705" s="518"/>
      <c r="M705" s="518"/>
      <c r="N705" s="519" t="str">
        <f>D705</f>
        <v>Burgeon IT Services Pvt.Ltd.</v>
      </c>
      <c r="S705" s="516"/>
    </row>
    <row r="706" spans="1:19">
      <c r="A706" s="517"/>
      <c r="B706" s="518" t="s">
        <v>382</v>
      </c>
      <c r="C706" s="518"/>
      <c r="D706" s="518"/>
      <c r="I706" s="516"/>
      <c r="K706" s="517"/>
      <c r="L706" s="518" t="str">
        <f>B706</f>
        <v>Siri Mansion LIGB 436 Dr.A S Rao Nagar,Hyderabad</v>
      </c>
      <c r="M706" s="518"/>
      <c r="N706" s="518"/>
      <c r="S706" s="516"/>
    </row>
    <row r="707" spans="1:19">
      <c r="A707" s="517"/>
      <c r="B707" s="518">
        <f>'4-22MASTER'!G2013</f>
        <v>0</v>
      </c>
      <c r="C707" s="518"/>
      <c r="D707" s="518"/>
      <c r="E707" s="518"/>
      <c r="I707" s="516"/>
      <c r="K707" s="517"/>
      <c r="L707" s="518">
        <f>B707</f>
        <v>0</v>
      </c>
      <c r="M707" s="518"/>
      <c r="N707" s="518"/>
      <c r="O707" s="518"/>
      <c r="S707" s="516"/>
    </row>
    <row r="708" spans="1:19">
      <c r="A708" s="1160" t="s">
        <v>52</v>
      </c>
      <c r="B708" s="1155"/>
      <c r="C708" s="1155"/>
      <c r="D708" s="1155"/>
      <c r="E708" s="518"/>
      <c r="I708" s="516"/>
      <c r="K708" s="1160" t="s">
        <v>52</v>
      </c>
      <c r="L708" s="1155"/>
      <c r="M708" s="1155"/>
      <c r="N708" s="1155"/>
      <c r="O708" s="518"/>
      <c r="S708" s="516"/>
    </row>
    <row r="709" spans="1:19">
      <c r="A709" s="1160"/>
      <c r="B709" s="1155"/>
      <c r="C709" s="1155"/>
      <c r="D709" s="1155"/>
      <c r="E709" s="520">
        <f>'4-22MASTER'!C433</f>
        <v>0</v>
      </c>
      <c r="F709" s="521"/>
      <c r="G709" s="521"/>
      <c r="H709" s="521">
        <f>'4-22MASTER'!F433</f>
        <v>0</v>
      </c>
      <c r="I709" s="516"/>
      <c r="K709" s="1160"/>
      <c r="L709" s="1155"/>
      <c r="M709" s="1155"/>
      <c r="N709" s="1155"/>
      <c r="O709" s="520">
        <f>E709</f>
        <v>0</v>
      </c>
      <c r="P709" s="521"/>
      <c r="Q709" s="521"/>
      <c r="R709" s="521"/>
      <c r="S709" s="516"/>
    </row>
    <row r="710" spans="1:19">
      <c r="A710" s="517"/>
      <c r="B710" s="518"/>
      <c r="C710" s="518"/>
      <c r="D710" s="518"/>
      <c r="E710" s="518"/>
      <c r="I710" s="516"/>
      <c r="K710" s="517"/>
      <c r="L710" s="518"/>
      <c r="M710" s="518"/>
      <c r="N710" s="518"/>
      <c r="O710" s="518"/>
      <c r="S710" s="516"/>
    </row>
    <row r="711" spans="1:19">
      <c r="A711" s="1161" t="s">
        <v>53</v>
      </c>
      <c r="B711" s="1156"/>
      <c r="C711" s="1156"/>
      <c r="D711" s="1156"/>
      <c r="E711" s="520" t="s">
        <v>601</v>
      </c>
      <c r="F711" s="521"/>
      <c r="G711" s="521"/>
      <c r="H711" s="521"/>
      <c r="I711" s="516"/>
      <c r="K711" s="1161" t="s">
        <v>53</v>
      </c>
      <c r="L711" s="1156"/>
      <c r="M711" s="1156"/>
      <c r="N711" s="1156"/>
      <c r="O711" s="520" t="str">
        <f>E711</f>
        <v>IT SUPPORTIVE SERVICES &amp; PUNE ASC SEZ</v>
      </c>
      <c r="P711" s="521"/>
      <c r="Q711" s="521"/>
      <c r="R711" s="521"/>
      <c r="S711" s="516"/>
    </row>
    <row r="712" spans="1:19">
      <c r="A712" s="517"/>
      <c r="B712" s="518"/>
      <c r="C712" s="518"/>
      <c r="D712" s="518"/>
      <c r="E712" s="518"/>
      <c r="I712" s="516"/>
      <c r="K712" s="517"/>
      <c r="L712" s="518"/>
      <c r="M712" s="518"/>
      <c r="N712" s="518"/>
      <c r="O712" s="518"/>
      <c r="S712" s="516"/>
    </row>
    <row r="713" spans="1:19">
      <c r="A713" s="1161" t="s">
        <v>54</v>
      </c>
      <c r="B713" s="1156"/>
      <c r="C713" s="1156"/>
      <c r="D713" s="1156"/>
      <c r="E713" s="522">
        <f>'4-22MASTER'!E416</f>
        <v>0</v>
      </c>
      <c r="F713" s="521"/>
      <c r="G713" s="521"/>
      <c r="H713" s="521"/>
      <c r="I713" s="516"/>
      <c r="K713" s="1161" t="s">
        <v>54</v>
      </c>
      <c r="L713" s="1156"/>
      <c r="M713" s="1156"/>
      <c r="N713" s="1156"/>
      <c r="O713" s="522">
        <f>E713</f>
        <v>0</v>
      </c>
      <c r="P713" s="521"/>
      <c r="Q713" s="521"/>
      <c r="R713" s="521"/>
      <c r="S713" s="516"/>
    </row>
    <row r="714" spans="1:19">
      <c r="A714" s="517"/>
      <c r="B714" s="518"/>
      <c r="C714" s="518"/>
      <c r="D714" s="518"/>
      <c r="E714" s="518"/>
      <c r="I714" s="516"/>
      <c r="K714" s="517"/>
      <c r="L714" s="518"/>
      <c r="M714" s="518"/>
      <c r="N714" s="518"/>
      <c r="O714" s="518"/>
      <c r="S714" s="516"/>
    </row>
    <row r="715" spans="1:19">
      <c r="A715" s="523">
        <v>1</v>
      </c>
      <c r="B715" s="1156" t="s">
        <v>55</v>
      </c>
      <c r="C715" s="1156"/>
      <c r="D715" s="1156"/>
      <c r="E715" s="524"/>
      <c r="F715" s="810">
        <f>'4-22MASTER'!X433</f>
        <v>0</v>
      </c>
      <c r="G715" s="521"/>
      <c r="H715" s="521"/>
      <c r="I715" s="516"/>
      <c r="K715" s="523">
        <v>1</v>
      </c>
      <c r="L715" s="1156" t="s">
        <v>55</v>
      </c>
      <c r="M715" s="1156"/>
      <c r="N715" s="1156"/>
      <c r="O715" s="524">
        <f>E715</f>
        <v>0</v>
      </c>
      <c r="P715" s="521"/>
      <c r="Q715" s="521"/>
      <c r="R715" s="521"/>
      <c r="S715" s="516"/>
    </row>
    <row r="716" spans="1:19">
      <c r="A716" s="523"/>
      <c r="B716" s="518"/>
      <c r="C716" s="518"/>
      <c r="D716" s="518"/>
      <c r="E716" s="518"/>
      <c r="I716" s="516"/>
      <c r="K716" s="523"/>
      <c r="L716" s="518"/>
      <c r="M716" s="518"/>
      <c r="N716" s="518"/>
      <c r="O716" s="518"/>
      <c r="S716" s="516"/>
    </row>
    <row r="717" spans="1:19">
      <c r="A717" s="523">
        <v>2</v>
      </c>
      <c r="B717" s="1155" t="s">
        <v>56</v>
      </c>
      <c r="C717" s="1155"/>
      <c r="D717" s="1155"/>
      <c r="E717" s="518"/>
      <c r="I717" s="516"/>
      <c r="K717" s="523">
        <v>2</v>
      </c>
      <c r="L717" s="1155" t="s">
        <v>56</v>
      </c>
      <c r="M717" s="1155"/>
      <c r="N717" s="1155"/>
      <c r="O717" s="518"/>
      <c r="S717" s="516"/>
    </row>
    <row r="718" spans="1:19">
      <c r="A718" s="523"/>
      <c r="B718" s="1155"/>
      <c r="C718" s="1155"/>
      <c r="D718" s="1155"/>
      <c r="E718" s="525" t="s">
        <v>37</v>
      </c>
      <c r="F718" s="521"/>
      <c r="G718" s="521"/>
      <c r="H718" s="521"/>
      <c r="I718" s="516"/>
      <c r="K718" s="523"/>
      <c r="L718" s="1155"/>
      <c r="M718" s="1155"/>
      <c r="N718" s="1155"/>
      <c r="O718" s="525" t="s">
        <v>37</v>
      </c>
      <c r="P718" s="521"/>
      <c r="Q718" s="521"/>
      <c r="R718" s="521"/>
      <c r="S718" s="516"/>
    </row>
    <row r="719" spans="1:19">
      <c r="A719" s="523"/>
      <c r="B719" s="518"/>
      <c r="C719" s="518"/>
      <c r="D719" s="518"/>
      <c r="E719" s="518"/>
      <c r="I719" s="516"/>
      <c r="K719" s="523"/>
      <c r="L719" s="518"/>
      <c r="M719" s="518"/>
      <c r="N719" s="518"/>
      <c r="O719" s="518"/>
      <c r="S719" s="516"/>
    </row>
    <row r="720" spans="1:19">
      <c r="A720" s="523">
        <v>3</v>
      </c>
      <c r="B720" s="1156" t="s">
        <v>57</v>
      </c>
      <c r="C720" s="1156"/>
      <c r="D720" s="1156"/>
      <c r="E720" s="525" t="s">
        <v>37</v>
      </c>
      <c r="F720" s="521"/>
      <c r="G720" s="521"/>
      <c r="H720" s="521"/>
      <c r="I720" s="516"/>
      <c r="K720" s="523">
        <v>3</v>
      </c>
      <c r="L720" s="1156" t="s">
        <v>57</v>
      </c>
      <c r="M720" s="1156"/>
      <c r="N720" s="1156"/>
      <c r="O720" s="520" t="str">
        <f>E720</f>
        <v>N/A</v>
      </c>
      <c r="P720" s="521"/>
      <c r="Q720" s="521"/>
      <c r="R720" s="521"/>
      <c r="S720" s="516"/>
    </row>
    <row r="721" spans="1:19">
      <c r="A721" s="523"/>
      <c r="B721" s="518"/>
      <c r="C721" s="518"/>
      <c r="D721" s="518"/>
      <c r="E721" s="518"/>
      <c r="I721" s="516"/>
      <c r="K721" s="523"/>
      <c r="L721" s="518"/>
      <c r="M721" s="518"/>
      <c r="N721" s="518"/>
      <c r="O721" s="518"/>
      <c r="S721" s="516"/>
    </row>
    <row r="722" spans="1:19">
      <c r="A722" s="523">
        <v>4</v>
      </c>
      <c r="B722" s="1156" t="s">
        <v>58</v>
      </c>
      <c r="C722" s="1156"/>
      <c r="D722" s="1156"/>
      <c r="E722" s="525" t="s">
        <v>59</v>
      </c>
      <c r="F722" s="521"/>
      <c r="G722" s="521"/>
      <c r="H722" s="521"/>
      <c r="I722" s="516"/>
      <c r="K722" s="523">
        <v>4</v>
      </c>
      <c r="L722" s="1156" t="s">
        <v>58</v>
      </c>
      <c r="M722" s="1156"/>
      <c r="N722" s="1156"/>
      <c r="O722" s="525" t="s">
        <v>59</v>
      </c>
      <c r="P722" s="521"/>
      <c r="Q722" s="521"/>
      <c r="R722" s="521"/>
      <c r="S722" s="516"/>
    </row>
    <row r="723" spans="1:19">
      <c r="A723" s="523"/>
      <c r="B723" s="518"/>
      <c r="C723" s="518"/>
      <c r="D723" s="518"/>
      <c r="E723" s="518"/>
      <c r="I723" s="516"/>
      <c r="K723" s="523"/>
      <c r="L723" s="518"/>
      <c r="M723" s="518"/>
      <c r="N723" s="518"/>
      <c r="O723" s="518"/>
      <c r="S723" s="516"/>
    </row>
    <row r="724" spans="1:19">
      <c r="A724" s="523">
        <v>5</v>
      </c>
      <c r="B724" s="1156" t="s">
        <v>60</v>
      </c>
      <c r="C724" s="1156"/>
      <c r="D724" s="1156"/>
      <c r="E724" s="526" t="e">
        <f>'4-22MASTER'!#REF!</f>
        <v>#REF!</v>
      </c>
      <c r="I724" s="516"/>
      <c r="K724" s="523">
        <v>5</v>
      </c>
      <c r="L724" s="1156" t="s">
        <v>60</v>
      </c>
      <c r="M724" s="1156"/>
      <c r="N724" s="1156"/>
      <c r="O724" s="526" t="e">
        <f>E724</f>
        <v>#REF!</v>
      </c>
      <c r="S724" s="516"/>
    </row>
    <row r="725" spans="1:19">
      <c r="A725" s="523"/>
      <c r="B725" s="518"/>
      <c r="C725" s="518"/>
      <c r="D725" s="527" t="s">
        <v>61</v>
      </c>
      <c r="E725" s="527" t="s">
        <v>31</v>
      </c>
      <c r="F725" s="527" t="s">
        <v>33</v>
      </c>
      <c r="G725" s="527" t="s">
        <v>34</v>
      </c>
      <c r="H725" s="527" t="s">
        <v>377</v>
      </c>
      <c r="I725" s="528" t="s">
        <v>378</v>
      </c>
      <c r="K725" s="523"/>
      <c r="L725" s="518"/>
      <c r="M725" s="518"/>
      <c r="N725" s="527" t="s">
        <v>61</v>
      </c>
      <c r="O725" s="527" t="s">
        <v>31</v>
      </c>
      <c r="P725" s="527" t="s">
        <v>33</v>
      </c>
      <c r="Q725" s="527" t="s">
        <v>34</v>
      </c>
      <c r="R725" s="527" t="s">
        <v>377</v>
      </c>
      <c r="S725" s="528" t="s">
        <v>378</v>
      </c>
    </row>
    <row r="726" spans="1:19">
      <c r="A726" s="523">
        <v>6</v>
      </c>
      <c r="B726" s="897" t="s">
        <v>62</v>
      </c>
      <c r="C726" s="897"/>
      <c r="D726" s="530" t="e">
        <f>'4-22MASTER'!#REF!</f>
        <v>#REF!</v>
      </c>
      <c r="E726" s="530">
        <f>'4-22MASTER'!AO2024</f>
        <v>0</v>
      </c>
      <c r="F726" s="531" t="e">
        <f>'4-22MASTER'!#REF!</f>
        <v>#REF!</v>
      </c>
      <c r="G726" s="530" t="e">
        <f>'4-22MASTER'!#REF!</f>
        <v>#REF!</v>
      </c>
      <c r="H726" s="531" t="e">
        <f>'4-22MASTER'!#REF!</f>
        <v>#REF!</v>
      </c>
      <c r="I726" s="531" t="e">
        <f>SUM(D726:H726)</f>
        <v>#REF!</v>
      </c>
      <c r="K726" s="523">
        <v>6</v>
      </c>
      <c r="L726" s="897" t="s">
        <v>62</v>
      </c>
      <c r="M726" s="897"/>
      <c r="N726" s="530" t="e">
        <f t="shared" ref="N726" si="108">D726</f>
        <v>#REF!</v>
      </c>
      <c r="O726" s="530">
        <f t="shared" ref="O726" si="109">E726</f>
        <v>0</v>
      </c>
      <c r="P726" s="531" t="e">
        <f t="shared" ref="P726" si="110">F726</f>
        <v>#REF!</v>
      </c>
      <c r="Q726" s="530" t="e">
        <f t="shared" ref="Q726" si="111">G726</f>
        <v>#REF!</v>
      </c>
      <c r="R726" s="531" t="e">
        <f t="shared" ref="R726" si="112">H726</f>
        <v>#REF!</v>
      </c>
      <c r="S726" s="531" t="e">
        <f t="shared" ref="S726" si="113">I726</f>
        <v>#REF!</v>
      </c>
    </row>
    <row r="727" spans="1:19">
      <c r="A727" s="523"/>
      <c r="B727" s="518"/>
      <c r="C727" s="518"/>
      <c r="D727" s="518"/>
      <c r="E727" s="518"/>
      <c r="I727" s="516"/>
      <c r="K727" s="523"/>
      <c r="L727" s="518"/>
      <c r="M727" s="518"/>
      <c r="N727" s="518"/>
      <c r="O727" s="518"/>
      <c r="S727" s="516"/>
    </row>
    <row r="728" spans="1:19">
      <c r="A728" s="523">
        <v>7</v>
      </c>
      <c r="B728" s="1156" t="s">
        <v>63</v>
      </c>
      <c r="C728" s="1156"/>
      <c r="D728" s="1156"/>
      <c r="E728" s="532" t="e">
        <f>E724-I726</f>
        <v>#REF!</v>
      </c>
      <c r="F728" s="521"/>
      <c r="G728" s="521"/>
      <c r="H728" s="521"/>
      <c r="I728" s="516"/>
      <c r="K728" s="523">
        <v>7</v>
      </c>
      <c r="L728" s="1156" t="s">
        <v>63</v>
      </c>
      <c r="M728" s="1156"/>
      <c r="N728" s="1156"/>
      <c r="O728" s="532" t="e">
        <f>E728</f>
        <v>#REF!</v>
      </c>
      <c r="P728" s="521"/>
      <c r="Q728" s="521"/>
      <c r="R728" s="521"/>
      <c r="S728" s="516"/>
    </row>
    <row r="729" spans="1:19">
      <c r="A729" s="515"/>
      <c r="I729" s="516"/>
      <c r="K729" s="515"/>
      <c r="S729" s="516"/>
    </row>
    <row r="730" spans="1:19">
      <c r="A730" s="515"/>
      <c r="I730" s="516"/>
      <c r="K730" s="515"/>
      <c r="S730" s="516"/>
    </row>
    <row r="731" spans="1:19" ht="15.75" thickBot="1">
      <c r="A731" s="515"/>
      <c r="F731" s="533"/>
      <c r="G731" s="533"/>
      <c r="H731" s="533"/>
      <c r="I731" s="534"/>
      <c r="K731" s="515"/>
      <c r="P731" s="533"/>
      <c r="Q731" s="533"/>
      <c r="R731" s="533"/>
      <c r="S731" s="534"/>
    </row>
    <row r="732" spans="1:19" ht="15.75" thickBot="1">
      <c r="A732" s="535"/>
      <c r="B732" s="533"/>
      <c r="C732" s="533"/>
      <c r="D732" s="533"/>
      <c r="E732" s="533"/>
      <c r="F732" s="1162" t="s">
        <v>64</v>
      </c>
      <c r="G732" s="1162"/>
      <c r="H732" s="1162"/>
      <c r="I732" s="1163"/>
      <c r="K732" s="535"/>
      <c r="L732" s="533"/>
      <c r="M732" s="533"/>
      <c r="N732" s="533"/>
      <c r="O732" s="533"/>
      <c r="P732" s="1162" t="s">
        <v>64</v>
      </c>
      <c r="Q732" s="1162"/>
      <c r="R732" s="1162"/>
      <c r="S732" s="1163"/>
    </row>
    <row r="742" spans="1:19" ht="15.75" thickBot="1"/>
    <row r="743" spans="1:19" ht="26.25">
      <c r="A743" s="1164" t="s">
        <v>50</v>
      </c>
      <c r="B743" s="1165"/>
      <c r="C743" s="1165"/>
      <c r="D743" s="1165"/>
      <c r="E743" s="1165"/>
      <c r="F743" s="1165"/>
      <c r="G743" s="1165"/>
      <c r="H743" s="1165"/>
      <c r="I743" s="1166"/>
      <c r="K743" s="1164" t="s">
        <v>50</v>
      </c>
      <c r="L743" s="1165"/>
      <c r="M743" s="1165"/>
      <c r="N743" s="1165"/>
      <c r="O743" s="1165"/>
      <c r="P743" s="1165"/>
      <c r="Q743" s="1165"/>
      <c r="R743" s="1165"/>
      <c r="S743" s="1166"/>
    </row>
    <row r="744" spans="1:19">
      <c r="A744" s="1157" t="s">
        <v>579</v>
      </c>
      <c r="B744" s="1158"/>
      <c r="C744" s="1158"/>
      <c r="D744" s="1158"/>
      <c r="E744" s="1158"/>
      <c r="F744" s="1158"/>
      <c r="G744" s="1158"/>
      <c r="H744" s="1158"/>
      <c r="I744" s="1159"/>
      <c r="K744" s="1157" t="str">
        <f>A744</f>
        <v>[Vide rule 78 (1) (b) of the Contract Labour (Regulation and Abolition) Central and Maharastra, 1971]</v>
      </c>
      <c r="L744" s="1158"/>
      <c r="M744" s="1158"/>
      <c r="N744" s="1158"/>
      <c r="O744" s="1158"/>
      <c r="P744" s="1158"/>
      <c r="Q744" s="1158"/>
      <c r="R744" s="1158"/>
      <c r="S744" s="1159"/>
    </row>
    <row r="745" spans="1:19">
      <c r="A745" s="515"/>
      <c r="I745" s="516"/>
      <c r="K745" s="515"/>
      <c r="S745" s="516"/>
    </row>
    <row r="746" spans="1:19">
      <c r="A746" s="517" t="s">
        <v>51</v>
      </c>
      <c r="B746" s="518"/>
      <c r="C746" s="518"/>
      <c r="D746" s="519" t="s">
        <v>381</v>
      </c>
      <c r="I746" s="516"/>
      <c r="K746" s="517" t="s">
        <v>51</v>
      </c>
      <c r="L746" s="518"/>
      <c r="M746" s="518"/>
      <c r="N746" s="519" t="str">
        <f>D746</f>
        <v>Burgeon IT Services Pvt.Ltd.</v>
      </c>
      <c r="S746" s="516"/>
    </row>
    <row r="747" spans="1:19">
      <c r="A747" s="517"/>
      <c r="B747" s="518" t="s">
        <v>382</v>
      </c>
      <c r="C747" s="518"/>
      <c r="D747" s="518"/>
      <c r="I747" s="516"/>
      <c r="K747" s="517"/>
      <c r="L747" s="518" t="str">
        <f>B747</f>
        <v>Siri Mansion LIGB 436 Dr.A S Rao Nagar,Hyderabad</v>
      </c>
      <c r="M747" s="518"/>
      <c r="N747" s="518"/>
      <c r="S747" s="516"/>
    </row>
    <row r="748" spans="1:19">
      <c r="A748" s="517"/>
      <c r="B748" s="518">
        <f>'4-22MASTER'!G2054</f>
        <v>0</v>
      </c>
      <c r="C748" s="518"/>
      <c r="D748" s="518"/>
      <c r="E748" s="518"/>
      <c r="I748" s="516"/>
      <c r="K748" s="517"/>
      <c r="L748" s="518">
        <f>B748</f>
        <v>0</v>
      </c>
      <c r="M748" s="518"/>
      <c r="N748" s="518"/>
      <c r="O748" s="518"/>
      <c r="S748" s="516"/>
    </row>
    <row r="749" spans="1:19">
      <c r="A749" s="1160" t="s">
        <v>52</v>
      </c>
      <c r="B749" s="1155"/>
      <c r="C749" s="1155"/>
      <c r="D749" s="1155"/>
      <c r="E749" s="518"/>
      <c r="I749" s="516"/>
      <c r="K749" s="1160" t="s">
        <v>52</v>
      </c>
      <c r="L749" s="1155"/>
      <c r="M749" s="1155"/>
      <c r="N749" s="1155"/>
      <c r="O749" s="518"/>
      <c r="S749" s="516"/>
    </row>
    <row r="750" spans="1:19">
      <c r="A750" s="1160"/>
      <c r="B750" s="1155"/>
      <c r="C750" s="1155"/>
      <c r="D750" s="1155"/>
      <c r="E750" s="520">
        <f>'4-22MASTER'!C434</f>
        <v>0</v>
      </c>
      <c r="F750" s="521"/>
      <c r="G750" s="521">
        <f>'4-22MASTER'!F434</f>
        <v>0</v>
      </c>
      <c r="H750" s="521"/>
      <c r="I750" s="516"/>
      <c r="K750" s="1160"/>
      <c r="L750" s="1155"/>
      <c r="M750" s="1155"/>
      <c r="N750" s="1155"/>
      <c r="O750" s="520">
        <f>E750</f>
        <v>0</v>
      </c>
      <c r="P750" s="521"/>
      <c r="Q750" s="521"/>
      <c r="R750" s="521"/>
      <c r="S750" s="516"/>
    </row>
    <row r="751" spans="1:19">
      <c r="A751" s="517"/>
      <c r="B751" s="518"/>
      <c r="C751" s="518"/>
      <c r="D751" s="518"/>
      <c r="E751" s="518"/>
      <c r="I751" s="516"/>
      <c r="K751" s="517"/>
      <c r="L751" s="518"/>
      <c r="M751" s="518"/>
      <c r="N751" s="518"/>
      <c r="O751" s="518"/>
      <c r="S751" s="516"/>
    </row>
    <row r="752" spans="1:19">
      <c r="A752" s="1161" t="s">
        <v>53</v>
      </c>
      <c r="B752" s="1156"/>
      <c r="C752" s="1156"/>
      <c r="D752" s="1156"/>
      <c r="E752" s="520" t="s">
        <v>601</v>
      </c>
      <c r="F752" s="521"/>
      <c r="G752" s="521"/>
      <c r="H752" s="521"/>
      <c r="I752" s="516"/>
      <c r="K752" s="1161" t="s">
        <v>53</v>
      </c>
      <c r="L752" s="1156"/>
      <c r="M752" s="1156"/>
      <c r="N752" s="1156"/>
      <c r="O752" s="520" t="str">
        <f>E752</f>
        <v>IT SUPPORTIVE SERVICES &amp; PUNE ASC SEZ</v>
      </c>
      <c r="P752" s="521"/>
      <c r="Q752" s="521"/>
      <c r="R752" s="521"/>
      <c r="S752" s="516"/>
    </row>
    <row r="753" spans="1:19">
      <c r="A753" s="517"/>
      <c r="B753" s="518"/>
      <c r="C753" s="518"/>
      <c r="D753" s="518"/>
      <c r="E753" s="518"/>
      <c r="I753" s="516"/>
      <c r="K753" s="517"/>
      <c r="L753" s="518"/>
      <c r="M753" s="518"/>
      <c r="N753" s="518"/>
      <c r="O753" s="518"/>
      <c r="S753" s="516"/>
    </row>
    <row r="754" spans="1:19">
      <c r="A754" s="1161" t="s">
        <v>54</v>
      </c>
      <c r="B754" s="1156"/>
      <c r="C754" s="1156"/>
      <c r="D754" s="1156"/>
      <c r="E754" s="522">
        <f>'4-22MASTER'!E416</f>
        <v>0</v>
      </c>
      <c r="F754" s="521"/>
      <c r="G754" s="521"/>
      <c r="H754" s="521"/>
      <c r="I754" s="516"/>
      <c r="K754" s="1161" t="s">
        <v>54</v>
      </c>
      <c r="L754" s="1156"/>
      <c r="M754" s="1156"/>
      <c r="N754" s="1156"/>
      <c r="O754" s="522">
        <f>E754</f>
        <v>0</v>
      </c>
      <c r="P754" s="521"/>
      <c r="Q754" s="521"/>
      <c r="R754" s="521"/>
      <c r="S754" s="516"/>
    </row>
    <row r="755" spans="1:19">
      <c r="A755" s="517"/>
      <c r="B755" s="518"/>
      <c r="C755" s="518"/>
      <c r="D755" s="518"/>
      <c r="E755" s="518"/>
      <c r="I755" s="516"/>
      <c r="K755" s="517"/>
      <c r="L755" s="518"/>
      <c r="M755" s="518"/>
      <c r="N755" s="518"/>
      <c r="O755" s="518"/>
      <c r="S755" s="516"/>
    </row>
    <row r="756" spans="1:19">
      <c r="A756" s="523">
        <v>1</v>
      </c>
      <c r="B756" s="1156" t="s">
        <v>55</v>
      </c>
      <c r="C756" s="1156"/>
      <c r="D756" s="1156"/>
      <c r="E756" s="524">
        <f>'4-22MASTER'!X434</f>
        <v>0</v>
      </c>
      <c r="F756" s="521"/>
      <c r="G756" s="521"/>
      <c r="H756" s="521"/>
      <c r="I756" s="516"/>
      <c r="K756" s="523">
        <v>1</v>
      </c>
      <c r="L756" s="1156" t="s">
        <v>55</v>
      </c>
      <c r="M756" s="1156"/>
      <c r="N756" s="1156"/>
      <c r="O756" s="524">
        <f>E756</f>
        <v>0</v>
      </c>
      <c r="P756" s="521"/>
      <c r="Q756" s="521"/>
      <c r="R756" s="521"/>
      <c r="S756" s="516"/>
    </row>
    <row r="757" spans="1:19">
      <c r="A757" s="523"/>
      <c r="B757" s="518"/>
      <c r="C757" s="518"/>
      <c r="D757" s="518"/>
      <c r="E757" s="518"/>
      <c r="I757" s="516"/>
      <c r="K757" s="523"/>
      <c r="L757" s="518"/>
      <c r="M757" s="518"/>
      <c r="N757" s="518"/>
      <c r="O757" s="518"/>
      <c r="S757" s="516"/>
    </row>
    <row r="758" spans="1:19">
      <c r="A758" s="523">
        <v>2</v>
      </c>
      <c r="B758" s="1155" t="s">
        <v>56</v>
      </c>
      <c r="C758" s="1155"/>
      <c r="D758" s="1155"/>
      <c r="E758" s="518"/>
      <c r="I758" s="516"/>
      <c r="K758" s="523">
        <v>2</v>
      </c>
      <c r="L758" s="1155" t="s">
        <v>56</v>
      </c>
      <c r="M758" s="1155"/>
      <c r="N758" s="1155"/>
      <c r="O758" s="518"/>
      <c r="S758" s="516"/>
    </row>
    <row r="759" spans="1:19">
      <c r="A759" s="523"/>
      <c r="B759" s="1155"/>
      <c r="C759" s="1155"/>
      <c r="D759" s="1155"/>
      <c r="E759" s="525" t="s">
        <v>37</v>
      </c>
      <c r="F759" s="521"/>
      <c r="G759" s="521"/>
      <c r="H759" s="521"/>
      <c r="I759" s="516"/>
      <c r="K759" s="523"/>
      <c r="L759" s="1155"/>
      <c r="M759" s="1155"/>
      <c r="N759" s="1155"/>
      <c r="O759" s="525" t="s">
        <v>37</v>
      </c>
      <c r="P759" s="521"/>
      <c r="Q759" s="521"/>
      <c r="R759" s="521"/>
      <c r="S759" s="516"/>
    </row>
    <row r="760" spans="1:19">
      <c r="A760" s="523"/>
      <c r="B760" s="518"/>
      <c r="C760" s="518"/>
      <c r="D760" s="518"/>
      <c r="E760" s="518"/>
      <c r="I760" s="516"/>
      <c r="K760" s="523"/>
      <c r="L760" s="518"/>
      <c r="M760" s="518"/>
      <c r="N760" s="518"/>
      <c r="O760" s="518"/>
      <c r="S760" s="516"/>
    </row>
    <row r="761" spans="1:19">
      <c r="A761" s="523">
        <v>3</v>
      </c>
      <c r="B761" s="1156" t="s">
        <v>57</v>
      </c>
      <c r="C761" s="1156"/>
      <c r="D761" s="1156"/>
      <c r="E761" s="525" t="s">
        <v>37</v>
      </c>
      <c r="F761" s="521"/>
      <c r="G761" s="521"/>
      <c r="H761" s="521"/>
      <c r="I761" s="516"/>
      <c r="K761" s="523">
        <v>3</v>
      </c>
      <c r="L761" s="1156" t="s">
        <v>57</v>
      </c>
      <c r="M761" s="1156"/>
      <c r="N761" s="1156"/>
      <c r="O761" s="520" t="str">
        <f>E761</f>
        <v>N/A</v>
      </c>
      <c r="P761" s="521"/>
      <c r="Q761" s="521"/>
      <c r="R761" s="521"/>
      <c r="S761" s="516"/>
    </row>
    <row r="762" spans="1:19">
      <c r="A762" s="523"/>
      <c r="B762" s="518"/>
      <c r="C762" s="518"/>
      <c r="D762" s="518"/>
      <c r="E762" s="518"/>
      <c r="I762" s="516"/>
      <c r="K762" s="523"/>
      <c r="L762" s="518"/>
      <c r="M762" s="518"/>
      <c r="N762" s="518"/>
      <c r="O762" s="518"/>
      <c r="S762" s="516"/>
    </row>
    <row r="763" spans="1:19">
      <c r="A763" s="523">
        <v>4</v>
      </c>
      <c r="B763" s="1156" t="s">
        <v>58</v>
      </c>
      <c r="C763" s="1156"/>
      <c r="D763" s="1156"/>
      <c r="E763" s="525" t="s">
        <v>59</v>
      </c>
      <c r="F763" s="521"/>
      <c r="G763" s="521"/>
      <c r="H763" s="521"/>
      <c r="I763" s="516"/>
      <c r="K763" s="523">
        <v>4</v>
      </c>
      <c r="L763" s="1156" t="s">
        <v>58</v>
      </c>
      <c r="M763" s="1156"/>
      <c r="N763" s="1156"/>
      <c r="O763" s="525" t="s">
        <v>59</v>
      </c>
      <c r="P763" s="521"/>
      <c r="Q763" s="521"/>
      <c r="R763" s="521"/>
      <c r="S763" s="516"/>
    </row>
    <row r="764" spans="1:19">
      <c r="A764" s="523"/>
      <c r="B764" s="518"/>
      <c r="C764" s="518"/>
      <c r="D764" s="518"/>
      <c r="E764" s="518"/>
      <c r="I764" s="516"/>
      <c r="K764" s="523"/>
      <c r="L764" s="518"/>
      <c r="M764" s="518"/>
      <c r="N764" s="518"/>
      <c r="O764" s="518"/>
      <c r="S764" s="516"/>
    </row>
    <row r="765" spans="1:19">
      <c r="A765" s="523">
        <v>5</v>
      </c>
      <c r="B765" s="1156" t="s">
        <v>60</v>
      </c>
      <c r="C765" s="1156"/>
      <c r="D765" s="1156"/>
      <c r="E765" s="526">
        <f>'4-22MASTER'!AN906</f>
        <v>0</v>
      </c>
      <c r="I765" s="516"/>
      <c r="K765" s="523">
        <v>5</v>
      </c>
      <c r="L765" s="1156" t="s">
        <v>60</v>
      </c>
      <c r="M765" s="1156"/>
      <c r="N765" s="1156"/>
      <c r="O765" s="526">
        <f>E765</f>
        <v>0</v>
      </c>
      <c r="S765" s="516"/>
    </row>
    <row r="766" spans="1:19">
      <c r="A766" s="523"/>
      <c r="B766" s="518"/>
      <c r="C766" s="518"/>
      <c r="D766" s="527" t="s">
        <v>61</v>
      </c>
      <c r="E766" s="527" t="s">
        <v>31</v>
      </c>
      <c r="F766" s="527" t="s">
        <v>33</v>
      </c>
      <c r="G766" s="527" t="s">
        <v>34</v>
      </c>
      <c r="H766" s="527" t="s">
        <v>377</v>
      </c>
      <c r="I766" s="528" t="s">
        <v>378</v>
      </c>
      <c r="K766" s="523"/>
      <c r="L766" s="518"/>
      <c r="M766" s="518"/>
      <c r="N766" s="527" t="s">
        <v>61</v>
      </c>
      <c r="O766" s="527" t="s">
        <v>31</v>
      </c>
      <c r="P766" s="527" t="s">
        <v>33</v>
      </c>
      <c r="Q766" s="527" t="s">
        <v>34</v>
      </c>
      <c r="R766" s="527" t="s">
        <v>377</v>
      </c>
      <c r="S766" s="528" t="s">
        <v>378</v>
      </c>
    </row>
    <row r="767" spans="1:19">
      <c r="A767" s="523">
        <v>6</v>
      </c>
      <c r="B767" s="897" t="s">
        <v>62</v>
      </c>
      <c r="C767" s="897"/>
      <c r="D767" s="530">
        <f>'4-22MASTER'!AP906</f>
        <v>0</v>
      </c>
      <c r="E767" s="530">
        <f>'4-22MASTER'!AO2065</f>
        <v>0</v>
      </c>
      <c r="F767" s="531">
        <f>'4-22MASTER'!AQ906</f>
        <v>0</v>
      </c>
      <c r="G767" s="530">
        <f>'4-22MASTER'!AR906</f>
        <v>0</v>
      </c>
      <c r="H767" s="531">
        <f>'4-22MASTER'!AS2065</f>
        <v>0</v>
      </c>
      <c r="I767" s="531">
        <f>SUM(D767:H767)</f>
        <v>0</v>
      </c>
      <c r="K767" s="523">
        <v>6</v>
      </c>
      <c r="L767" s="897" t="s">
        <v>62</v>
      </c>
      <c r="M767" s="897"/>
      <c r="N767" s="530">
        <f t="shared" ref="N767" si="114">D767</f>
        <v>0</v>
      </c>
      <c r="O767" s="530">
        <f t="shared" ref="O767" si="115">E767</f>
        <v>0</v>
      </c>
      <c r="P767" s="531">
        <f t="shared" ref="P767" si="116">F767</f>
        <v>0</v>
      </c>
      <c r="Q767" s="530">
        <f t="shared" ref="Q767" si="117">G767</f>
        <v>0</v>
      </c>
      <c r="R767" s="531">
        <f t="shared" ref="R767" si="118">H767</f>
        <v>0</v>
      </c>
      <c r="S767" s="531">
        <f t="shared" ref="S767" si="119">I767</f>
        <v>0</v>
      </c>
    </row>
    <row r="768" spans="1:19">
      <c r="A768" s="523"/>
      <c r="B768" s="518"/>
      <c r="C768" s="518"/>
      <c r="D768" s="518"/>
      <c r="E768" s="518"/>
      <c r="I768" s="516"/>
      <c r="K768" s="523"/>
      <c r="L768" s="518"/>
      <c r="M768" s="518"/>
      <c r="N768" s="518"/>
      <c r="O768" s="518"/>
      <c r="S768" s="516"/>
    </row>
    <row r="769" spans="1:19">
      <c r="A769" s="523">
        <v>7</v>
      </c>
      <c r="B769" s="1156" t="s">
        <v>63</v>
      </c>
      <c r="C769" s="1156"/>
      <c r="D769" s="1156"/>
      <c r="E769" s="532">
        <f>E765-I767</f>
        <v>0</v>
      </c>
      <c r="F769" s="521"/>
      <c r="G769" s="521"/>
      <c r="H769" s="521"/>
      <c r="I769" s="516"/>
      <c r="K769" s="523">
        <v>7</v>
      </c>
      <c r="L769" s="1156" t="s">
        <v>63</v>
      </c>
      <c r="M769" s="1156"/>
      <c r="N769" s="1156"/>
      <c r="O769" s="532">
        <f>E769</f>
        <v>0</v>
      </c>
      <c r="P769" s="521"/>
      <c r="Q769" s="521"/>
      <c r="R769" s="521"/>
      <c r="S769" s="516"/>
    </row>
    <row r="770" spans="1:19">
      <c r="A770" s="515"/>
      <c r="I770" s="516"/>
      <c r="K770" s="515"/>
      <c r="S770" s="516"/>
    </row>
    <row r="771" spans="1:19">
      <c r="A771" s="515"/>
      <c r="I771" s="516"/>
      <c r="K771" s="515"/>
      <c r="S771" s="516"/>
    </row>
    <row r="772" spans="1:19" ht="15.75" thickBot="1">
      <c r="A772" s="515"/>
      <c r="F772" s="533"/>
      <c r="G772" s="533"/>
      <c r="H772" s="533"/>
      <c r="I772" s="534"/>
      <c r="K772" s="515"/>
      <c r="P772" s="533"/>
      <c r="Q772" s="533"/>
      <c r="R772" s="533"/>
      <c r="S772" s="534"/>
    </row>
  </sheetData>
  <mergeCells count="468">
    <mergeCell ref="B765:D765"/>
    <mergeCell ref="L765:N765"/>
    <mergeCell ref="B769:D769"/>
    <mergeCell ref="L769:N769"/>
    <mergeCell ref="A754:D754"/>
    <mergeCell ref="K754:N754"/>
    <mergeCell ref="B756:D756"/>
    <mergeCell ref="L756:N756"/>
    <mergeCell ref="B758:D759"/>
    <mergeCell ref="L758:N759"/>
    <mergeCell ref="B761:D761"/>
    <mergeCell ref="L761:N761"/>
    <mergeCell ref="B763:D763"/>
    <mergeCell ref="L763:N763"/>
    <mergeCell ref="F732:I732"/>
    <mergeCell ref="P732:S732"/>
    <mergeCell ref="A743:I743"/>
    <mergeCell ref="K743:S743"/>
    <mergeCell ref="A744:I744"/>
    <mergeCell ref="K744:S744"/>
    <mergeCell ref="A749:D750"/>
    <mergeCell ref="K749:N750"/>
    <mergeCell ref="A752:D752"/>
    <mergeCell ref="K752:N752"/>
    <mergeCell ref="B717:D718"/>
    <mergeCell ref="L717:N718"/>
    <mergeCell ref="B720:D720"/>
    <mergeCell ref="L720:N720"/>
    <mergeCell ref="B722:D722"/>
    <mergeCell ref="L722:N722"/>
    <mergeCell ref="B724:D724"/>
    <mergeCell ref="L724:N724"/>
    <mergeCell ref="B728:D728"/>
    <mergeCell ref="L728:N728"/>
    <mergeCell ref="A703:I703"/>
    <mergeCell ref="K703:S703"/>
    <mergeCell ref="A708:D709"/>
    <mergeCell ref="K708:N709"/>
    <mergeCell ref="A711:D711"/>
    <mergeCell ref="K711:N711"/>
    <mergeCell ref="A713:D713"/>
    <mergeCell ref="K713:N713"/>
    <mergeCell ref="B715:D715"/>
    <mergeCell ref="L715:N715"/>
    <mergeCell ref="B687:D687"/>
    <mergeCell ref="L687:N687"/>
    <mergeCell ref="B689:D689"/>
    <mergeCell ref="L689:N689"/>
    <mergeCell ref="B691:D691"/>
    <mergeCell ref="L691:N691"/>
    <mergeCell ref="B695:D695"/>
    <mergeCell ref="L695:N695"/>
    <mergeCell ref="A702:I702"/>
    <mergeCell ref="K702:S702"/>
    <mergeCell ref="A675:D676"/>
    <mergeCell ref="K675:N676"/>
    <mergeCell ref="A678:D678"/>
    <mergeCell ref="K678:N678"/>
    <mergeCell ref="A680:D680"/>
    <mergeCell ref="K680:N680"/>
    <mergeCell ref="B682:D682"/>
    <mergeCell ref="L682:N682"/>
    <mergeCell ref="B684:D685"/>
    <mergeCell ref="L684:N685"/>
    <mergeCell ref="B650:D650"/>
    <mergeCell ref="L650:N650"/>
    <mergeCell ref="B654:D654"/>
    <mergeCell ref="L654:N654"/>
    <mergeCell ref="F658:I658"/>
    <mergeCell ref="P658:S658"/>
    <mergeCell ref="A669:I669"/>
    <mergeCell ref="K669:S669"/>
    <mergeCell ref="A670:I670"/>
    <mergeCell ref="K670:S670"/>
    <mergeCell ref="A639:D639"/>
    <mergeCell ref="K639:N639"/>
    <mergeCell ref="B641:D641"/>
    <mergeCell ref="L641:N641"/>
    <mergeCell ref="B643:D644"/>
    <mergeCell ref="L643:N644"/>
    <mergeCell ref="B646:D646"/>
    <mergeCell ref="L646:N646"/>
    <mergeCell ref="B648:D648"/>
    <mergeCell ref="L648:N648"/>
    <mergeCell ref="B621:D621"/>
    <mergeCell ref="L621:N621"/>
    <mergeCell ref="A628:I628"/>
    <mergeCell ref="K628:S628"/>
    <mergeCell ref="A629:I629"/>
    <mergeCell ref="K629:S629"/>
    <mergeCell ref="A634:D635"/>
    <mergeCell ref="K634:N635"/>
    <mergeCell ref="A637:D637"/>
    <mergeCell ref="K637:N637"/>
    <mergeCell ref="B608:D608"/>
    <mergeCell ref="L608:N608"/>
    <mergeCell ref="B610:D611"/>
    <mergeCell ref="L610:N611"/>
    <mergeCell ref="B613:D613"/>
    <mergeCell ref="L613:N613"/>
    <mergeCell ref="B615:D615"/>
    <mergeCell ref="L615:N615"/>
    <mergeCell ref="B617:D617"/>
    <mergeCell ref="L617:N617"/>
    <mergeCell ref="A595:I595"/>
    <mergeCell ref="K595:S595"/>
    <mergeCell ref="A596:I596"/>
    <mergeCell ref="K596:S596"/>
    <mergeCell ref="A601:D602"/>
    <mergeCell ref="K601:N602"/>
    <mergeCell ref="A604:D604"/>
    <mergeCell ref="K604:N604"/>
    <mergeCell ref="A606:D606"/>
    <mergeCell ref="K606:N606"/>
    <mergeCell ref="P362:S362"/>
    <mergeCell ref="A343:D343"/>
    <mergeCell ref="K343:N343"/>
    <mergeCell ref="B345:D345"/>
    <mergeCell ref="L345:N345"/>
    <mergeCell ref="B347:D348"/>
    <mergeCell ref="L347:N348"/>
    <mergeCell ref="B350:D350"/>
    <mergeCell ref="L350:N350"/>
    <mergeCell ref="B352:D352"/>
    <mergeCell ref="L352:N352"/>
    <mergeCell ref="A338:D339"/>
    <mergeCell ref="K338:N339"/>
    <mergeCell ref="A341:D341"/>
    <mergeCell ref="K341:N341"/>
    <mergeCell ref="B354:D354"/>
    <mergeCell ref="L354:N354"/>
    <mergeCell ref="B358:D358"/>
    <mergeCell ref="L358:N358"/>
    <mergeCell ref="F362:I362"/>
    <mergeCell ref="B313:D313"/>
    <mergeCell ref="L313:N313"/>
    <mergeCell ref="B317:D317"/>
    <mergeCell ref="L317:N317"/>
    <mergeCell ref="F321:I321"/>
    <mergeCell ref="P321:S321"/>
    <mergeCell ref="A332:I332"/>
    <mergeCell ref="K332:S332"/>
    <mergeCell ref="A333:I333"/>
    <mergeCell ref="K333:S333"/>
    <mergeCell ref="A302:D302"/>
    <mergeCell ref="K302:N302"/>
    <mergeCell ref="B304:D304"/>
    <mergeCell ref="L304:N304"/>
    <mergeCell ref="B306:D307"/>
    <mergeCell ref="L306:N307"/>
    <mergeCell ref="B309:D309"/>
    <mergeCell ref="L309:N309"/>
    <mergeCell ref="B311:D311"/>
    <mergeCell ref="L311:N311"/>
    <mergeCell ref="F287:I287"/>
    <mergeCell ref="P287:S287"/>
    <mergeCell ref="A291:I291"/>
    <mergeCell ref="K291:S291"/>
    <mergeCell ref="A292:I292"/>
    <mergeCell ref="K292:S292"/>
    <mergeCell ref="A297:D298"/>
    <mergeCell ref="K297:N298"/>
    <mergeCell ref="A300:D300"/>
    <mergeCell ref="K300:N300"/>
    <mergeCell ref="B272:D273"/>
    <mergeCell ref="L272:N273"/>
    <mergeCell ref="B275:D275"/>
    <mergeCell ref="L275:N275"/>
    <mergeCell ref="B277:D277"/>
    <mergeCell ref="L277:N277"/>
    <mergeCell ref="B279:D279"/>
    <mergeCell ref="L279:N279"/>
    <mergeCell ref="B283:D283"/>
    <mergeCell ref="L283:N283"/>
    <mergeCell ref="A258:I258"/>
    <mergeCell ref="K258:S258"/>
    <mergeCell ref="A263:D264"/>
    <mergeCell ref="K263:N264"/>
    <mergeCell ref="A266:D266"/>
    <mergeCell ref="K266:N266"/>
    <mergeCell ref="A268:D268"/>
    <mergeCell ref="K268:N268"/>
    <mergeCell ref="B270:D270"/>
    <mergeCell ref="L270:N270"/>
    <mergeCell ref="B236:D236"/>
    <mergeCell ref="L236:N236"/>
    <mergeCell ref="B238:D238"/>
    <mergeCell ref="L238:N238"/>
    <mergeCell ref="B242:D242"/>
    <mergeCell ref="L242:N242"/>
    <mergeCell ref="F246:I246"/>
    <mergeCell ref="P246:S246"/>
    <mergeCell ref="A257:I257"/>
    <mergeCell ref="K257:S257"/>
    <mergeCell ref="A225:D225"/>
    <mergeCell ref="K225:N225"/>
    <mergeCell ref="A227:D227"/>
    <mergeCell ref="K227:N227"/>
    <mergeCell ref="B229:D229"/>
    <mergeCell ref="L229:N229"/>
    <mergeCell ref="B231:D232"/>
    <mergeCell ref="L231:N232"/>
    <mergeCell ref="B234:D234"/>
    <mergeCell ref="L234:N234"/>
    <mergeCell ref="B203:D203"/>
    <mergeCell ref="L203:N203"/>
    <mergeCell ref="F207:I207"/>
    <mergeCell ref="P207:S207"/>
    <mergeCell ref="A216:I216"/>
    <mergeCell ref="K216:S216"/>
    <mergeCell ref="A217:I217"/>
    <mergeCell ref="K217:S217"/>
    <mergeCell ref="A222:D223"/>
    <mergeCell ref="K222:N223"/>
    <mergeCell ref="B190:D190"/>
    <mergeCell ref="L190:N190"/>
    <mergeCell ref="B192:D193"/>
    <mergeCell ref="L192:N193"/>
    <mergeCell ref="B195:D195"/>
    <mergeCell ref="L195:N195"/>
    <mergeCell ref="B197:D197"/>
    <mergeCell ref="L197:N197"/>
    <mergeCell ref="B199:D199"/>
    <mergeCell ref="L199:N199"/>
    <mergeCell ref="A177:I177"/>
    <mergeCell ref="K177:S177"/>
    <mergeCell ref="A178:I178"/>
    <mergeCell ref="K178:S178"/>
    <mergeCell ref="A183:D184"/>
    <mergeCell ref="K183:N184"/>
    <mergeCell ref="A186:D186"/>
    <mergeCell ref="K186:N186"/>
    <mergeCell ref="A188:D188"/>
    <mergeCell ref="K188:N188"/>
    <mergeCell ref="B162:D162"/>
    <mergeCell ref="L162:N162"/>
    <mergeCell ref="F166:I166"/>
    <mergeCell ref="P166:S166"/>
    <mergeCell ref="B149:D149"/>
    <mergeCell ref="L149:N149"/>
    <mergeCell ref="B151:D152"/>
    <mergeCell ref="L151:N152"/>
    <mergeCell ref="B154:D154"/>
    <mergeCell ref="L154:N154"/>
    <mergeCell ref="B156:D156"/>
    <mergeCell ref="L156:N156"/>
    <mergeCell ref="B158:D158"/>
    <mergeCell ref="L158:N158"/>
    <mergeCell ref="A136:I136"/>
    <mergeCell ref="K136:S136"/>
    <mergeCell ref="A137:I137"/>
    <mergeCell ref="K137:S137"/>
    <mergeCell ref="A142:D143"/>
    <mergeCell ref="K142:N143"/>
    <mergeCell ref="A145:D145"/>
    <mergeCell ref="K145:N145"/>
    <mergeCell ref="A147:D147"/>
    <mergeCell ref="K147:N147"/>
    <mergeCell ref="P31:S31"/>
    <mergeCell ref="B23:D23"/>
    <mergeCell ref="L23:N23"/>
    <mergeCell ref="B27:D27"/>
    <mergeCell ref="L27:N27"/>
    <mergeCell ref="F31:I31"/>
    <mergeCell ref="B16:D17"/>
    <mergeCell ref="L16:N17"/>
    <mergeCell ref="B19:D19"/>
    <mergeCell ref="L19:N19"/>
    <mergeCell ref="B21:D21"/>
    <mergeCell ref="L21:N21"/>
    <mergeCell ref="A10:D10"/>
    <mergeCell ref="K10:N10"/>
    <mergeCell ref="A12:D12"/>
    <mergeCell ref="K12:N12"/>
    <mergeCell ref="B14:D14"/>
    <mergeCell ref="L14:N14"/>
    <mergeCell ref="A1:I1"/>
    <mergeCell ref="K1:S1"/>
    <mergeCell ref="A2:I2"/>
    <mergeCell ref="K2:S2"/>
    <mergeCell ref="A7:D8"/>
    <mergeCell ref="K7:N8"/>
    <mergeCell ref="B104:D104"/>
    <mergeCell ref="L104:N104"/>
    <mergeCell ref="B106:D107"/>
    <mergeCell ref="L106:N107"/>
    <mergeCell ref="B111:D111"/>
    <mergeCell ref="L111:N111"/>
    <mergeCell ref="P76:S76"/>
    <mergeCell ref="A91:I91"/>
    <mergeCell ref="K91:S91"/>
    <mergeCell ref="A92:I92"/>
    <mergeCell ref="K92:S92"/>
    <mergeCell ref="A97:D98"/>
    <mergeCell ref="K97:N98"/>
    <mergeCell ref="A100:D100"/>
    <mergeCell ref="K100:N100"/>
    <mergeCell ref="B66:D66"/>
    <mergeCell ref="L66:N66"/>
    <mergeCell ref="B68:D68"/>
    <mergeCell ref="L68:N68"/>
    <mergeCell ref="B72:D72"/>
    <mergeCell ref="L72:N72"/>
    <mergeCell ref="F76:I76"/>
    <mergeCell ref="A102:D102"/>
    <mergeCell ref="K102:N102"/>
    <mergeCell ref="P121:S121"/>
    <mergeCell ref="B59:D59"/>
    <mergeCell ref="L59:N59"/>
    <mergeCell ref="B61:D62"/>
    <mergeCell ref="L61:N62"/>
    <mergeCell ref="A46:I46"/>
    <mergeCell ref="K46:S46"/>
    <mergeCell ref="A47:I47"/>
    <mergeCell ref="K47:S47"/>
    <mergeCell ref="A52:D53"/>
    <mergeCell ref="K52:N53"/>
    <mergeCell ref="A55:D55"/>
    <mergeCell ref="K55:N55"/>
    <mergeCell ref="A57:D57"/>
    <mergeCell ref="K57:N57"/>
    <mergeCell ref="B109:D109"/>
    <mergeCell ref="L109:N109"/>
    <mergeCell ref="B113:D113"/>
    <mergeCell ref="L113:N113"/>
    <mergeCell ref="B117:D117"/>
    <mergeCell ref="L117:N117"/>
    <mergeCell ref="F121:I121"/>
    <mergeCell ref="B64:D64"/>
    <mergeCell ref="L64:N64"/>
    <mergeCell ref="A366:I366"/>
    <mergeCell ref="K366:S366"/>
    <mergeCell ref="A367:I367"/>
    <mergeCell ref="K367:S367"/>
    <mergeCell ref="A372:D373"/>
    <mergeCell ref="K372:N373"/>
    <mergeCell ref="A375:D375"/>
    <mergeCell ref="K375:N375"/>
    <mergeCell ref="A377:D377"/>
    <mergeCell ref="K377:N377"/>
    <mergeCell ref="B379:D379"/>
    <mergeCell ref="L379:N379"/>
    <mergeCell ref="B381:D382"/>
    <mergeCell ref="L381:N382"/>
    <mergeCell ref="B384:D384"/>
    <mergeCell ref="L384:N384"/>
    <mergeCell ref="B386:D386"/>
    <mergeCell ref="L386:N386"/>
    <mergeCell ref="B388:D388"/>
    <mergeCell ref="L388:N388"/>
    <mergeCell ref="B392:D392"/>
    <mergeCell ref="L392:N392"/>
    <mergeCell ref="F396:I396"/>
    <mergeCell ref="P396:S396"/>
    <mergeCell ref="A407:I407"/>
    <mergeCell ref="K407:S407"/>
    <mergeCell ref="A408:I408"/>
    <mergeCell ref="K408:S408"/>
    <mergeCell ref="A413:D414"/>
    <mergeCell ref="K413:N414"/>
    <mergeCell ref="A416:D416"/>
    <mergeCell ref="K416:N416"/>
    <mergeCell ref="A418:D418"/>
    <mergeCell ref="K418:N418"/>
    <mergeCell ref="B420:D420"/>
    <mergeCell ref="L420:N420"/>
    <mergeCell ref="B422:D423"/>
    <mergeCell ref="L422:N423"/>
    <mergeCell ref="B425:D425"/>
    <mergeCell ref="L425:N425"/>
    <mergeCell ref="B427:D427"/>
    <mergeCell ref="L427:N427"/>
    <mergeCell ref="B429:D429"/>
    <mergeCell ref="L429:N429"/>
    <mergeCell ref="B433:D433"/>
    <mergeCell ref="L433:N433"/>
    <mergeCell ref="A440:I440"/>
    <mergeCell ref="K440:S440"/>
    <mergeCell ref="A441:I441"/>
    <mergeCell ref="K441:S441"/>
    <mergeCell ref="A446:D447"/>
    <mergeCell ref="K446:N447"/>
    <mergeCell ref="A449:D449"/>
    <mergeCell ref="K449:N449"/>
    <mergeCell ref="A451:D451"/>
    <mergeCell ref="K451:N451"/>
    <mergeCell ref="B453:D453"/>
    <mergeCell ref="L453:N453"/>
    <mergeCell ref="B455:D456"/>
    <mergeCell ref="L455:N456"/>
    <mergeCell ref="B458:D458"/>
    <mergeCell ref="L458:N458"/>
    <mergeCell ref="B460:D460"/>
    <mergeCell ref="L460:N460"/>
    <mergeCell ref="B462:D462"/>
    <mergeCell ref="L462:N462"/>
    <mergeCell ref="B466:D466"/>
    <mergeCell ref="L466:N466"/>
    <mergeCell ref="F470:I470"/>
    <mergeCell ref="P470:S470"/>
    <mergeCell ref="A481:I481"/>
    <mergeCell ref="K481:S481"/>
    <mergeCell ref="A482:I482"/>
    <mergeCell ref="K482:S482"/>
    <mergeCell ref="A487:D488"/>
    <mergeCell ref="K487:N488"/>
    <mergeCell ref="A490:D490"/>
    <mergeCell ref="K490:N490"/>
    <mergeCell ref="A492:D492"/>
    <mergeCell ref="K492:N492"/>
    <mergeCell ref="B494:D494"/>
    <mergeCell ref="L494:N494"/>
    <mergeCell ref="B496:D497"/>
    <mergeCell ref="L496:N497"/>
    <mergeCell ref="B499:D499"/>
    <mergeCell ref="L499:N499"/>
    <mergeCell ref="B501:D501"/>
    <mergeCell ref="L501:N501"/>
    <mergeCell ref="B503:D503"/>
    <mergeCell ref="L503:N503"/>
    <mergeCell ref="B507:D507"/>
    <mergeCell ref="L507:N507"/>
    <mergeCell ref="A514:I514"/>
    <mergeCell ref="K514:S514"/>
    <mergeCell ref="A515:I515"/>
    <mergeCell ref="K515:S515"/>
    <mergeCell ref="A520:D521"/>
    <mergeCell ref="K520:N521"/>
    <mergeCell ref="A523:D523"/>
    <mergeCell ref="K523:N523"/>
    <mergeCell ref="A525:D525"/>
    <mergeCell ref="K525:N525"/>
    <mergeCell ref="B527:D527"/>
    <mergeCell ref="L527:N527"/>
    <mergeCell ref="B529:D530"/>
    <mergeCell ref="L529:N530"/>
    <mergeCell ref="B532:D532"/>
    <mergeCell ref="L532:N532"/>
    <mergeCell ref="B534:D534"/>
    <mergeCell ref="L534:N534"/>
    <mergeCell ref="B536:D536"/>
    <mergeCell ref="L536:N536"/>
    <mergeCell ref="B540:D540"/>
    <mergeCell ref="L540:N540"/>
    <mergeCell ref="F544:I544"/>
    <mergeCell ref="P544:S544"/>
    <mergeCell ref="A555:I555"/>
    <mergeCell ref="K555:S555"/>
    <mergeCell ref="A556:I556"/>
    <mergeCell ref="K556:S556"/>
    <mergeCell ref="A561:D562"/>
    <mergeCell ref="K561:N562"/>
    <mergeCell ref="A564:D564"/>
    <mergeCell ref="K564:N564"/>
    <mergeCell ref="A566:D566"/>
    <mergeCell ref="K566:N566"/>
    <mergeCell ref="B568:D568"/>
    <mergeCell ref="L568:N568"/>
    <mergeCell ref="B570:D571"/>
    <mergeCell ref="L570:N571"/>
    <mergeCell ref="B573:D573"/>
    <mergeCell ref="L573:N573"/>
    <mergeCell ref="B575:D575"/>
    <mergeCell ref="L575:N575"/>
    <mergeCell ref="B577:D577"/>
    <mergeCell ref="L577:N577"/>
    <mergeCell ref="B581:D581"/>
    <mergeCell ref="L581:N581"/>
  </mergeCells>
  <pageMargins left="0.48" right="0.46" top="0.75" bottom="0.75" header="0.31" footer="0.3"/>
  <pageSetup scale="75" orientation="landscape" horizontalDpi="300" verticalDpi="300" r:id="rId1"/>
  <rowBreaks count="12" manualBreakCount="12">
    <brk id="135" max="16383" man="1"/>
    <brk id="176" max="16383" man="1"/>
    <brk id="215" max="16383" man="1"/>
    <brk id="246" max="16383" man="1"/>
    <brk id="290" max="16383" man="1"/>
    <brk id="331" max="16383" man="1"/>
    <brk id="365" max="16383" man="1"/>
    <brk id="406" max="16383" man="1"/>
    <brk id="439" max="16383" man="1"/>
    <brk id="480" max="16383" man="1"/>
    <brk id="513" max="16383" man="1"/>
    <brk id="55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45"/>
  <sheetViews>
    <sheetView tabSelected="1" topLeftCell="A7" zoomScale="115" zoomScaleNormal="115" workbookViewId="0">
      <selection activeCell="C23" sqref="C23"/>
    </sheetView>
  </sheetViews>
  <sheetFormatPr defaultRowHeight="15"/>
  <cols>
    <col min="1" max="1" width="7.140625" customWidth="1"/>
    <col min="2" max="2" width="29.42578125" customWidth="1"/>
    <col min="3" max="3" width="18" customWidth="1"/>
    <col min="4" max="4" width="8.85546875" customWidth="1"/>
    <col min="5" max="5" width="23.28515625" customWidth="1"/>
    <col min="15" max="15" width="17.85546875" bestFit="1" customWidth="1"/>
    <col min="16" max="16" width="16" customWidth="1"/>
    <col min="17" max="17" width="24.5703125" bestFit="1" customWidth="1"/>
  </cols>
  <sheetData>
    <row r="1" spans="1:18" ht="18.75">
      <c r="A1" s="1172" t="s">
        <v>138</v>
      </c>
      <c r="B1" s="1172"/>
      <c r="C1" s="1172"/>
      <c r="D1" s="1172"/>
      <c r="E1" s="1172"/>
      <c r="F1" s="1172"/>
      <c r="G1" s="1172"/>
      <c r="H1" s="1172"/>
      <c r="I1" s="1172"/>
      <c r="J1" s="1172"/>
      <c r="K1" s="1172"/>
      <c r="L1" s="1172"/>
      <c r="M1" s="1172"/>
      <c r="N1" s="1172"/>
      <c r="O1" s="1172"/>
      <c r="P1" s="1172"/>
      <c r="Q1" s="90"/>
    </row>
    <row r="2" spans="1:18">
      <c r="A2" s="4"/>
      <c r="B2" s="10"/>
      <c r="E2" s="4"/>
      <c r="F2" s="4"/>
      <c r="G2" s="4"/>
    </row>
    <row r="3" spans="1:18" ht="15.75">
      <c r="A3" s="1173" t="s">
        <v>139</v>
      </c>
      <c r="B3" s="1173"/>
      <c r="C3" s="1173"/>
      <c r="D3" s="1173"/>
      <c r="E3" s="1173"/>
      <c r="F3" s="1173"/>
      <c r="G3" s="1173"/>
      <c r="H3" s="1173"/>
      <c r="I3" s="1173"/>
      <c r="J3" s="1173"/>
      <c r="K3" s="1173"/>
      <c r="L3" s="1173"/>
      <c r="M3" s="1173"/>
      <c r="N3" s="1173"/>
      <c r="O3" s="1173"/>
      <c r="P3" s="1173"/>
      <c r="Q3" s="91"/>
    </row>
    <row r="4" spans="1:18">
      <c r="A4" s="4"/>
      <c r="B4" s="10"/>
      <c r="E4" s="4"/>
      <c r="F4" s="4"/>
      <c r="G4" s="4"/>
      <c r="K4" s="2" t="s">
        <v>383</v>
      </c>
      <c r="L4" s="5">
        <f>'4-22MASTER'!E10</f>
        <v>44652</v>
      </c>
    </row>
    <row r="5" spans="1:18" ht="15.75">
      <c r="A5" s="92" t="s">
        <v>140</v>
      </c>
      <c r="B5" s="93"/>
      <c r="D5" t="str">
        <f>'4-22MASTER'!G5</f>
        <v>Burgeon IT Services Pvt.Ltd.</v>
      </c>
      <c r="E5" s="94"/>
      <c r="F5" s="94"/>
      <c r="G5" s="94"/>
      <c r="H5" s="94"/>
      <c r="I5" s="94"/>
      <c r="J5" s="94"/>
      <c r="K5" s="92" t="s">
        <v>141</v>
      </c>
      <c r="L5" s="94"/>
      <c r="M5" s="94" t="s">
        <v>749</v>
      </c>
      <c r="N5" s="94"/>
      <c r="O5" s="94"/>
      <c r="P5" s="94"/>
      <c r="Q5" s="94"/>
      <c r="R5" s="94"/>
    </row>
    <row r="6" spans="1:18">
      <c r="A6" s="95" t="str">
        <f>'4-22MASTER'!G6</f>
        <v>Siri Mansion LIGB 436 Dr.A S Rao Nagar,Hyderabad</v>
      </c>
      <c r="B6" s="96"/>
      <c r="C6" s="97"/>
      <c r="D6" s="97"/>
      <c r="E6" s="95"/>
      <c r="F6" s="95"/>
      <c r="G6" s="95"/>
      <c r="H6" s="97"/>
      <c r="I6" s="97"/>
      <c r="J6" s="97"/>
      <c r="K6" s="97"/>
      <c r="L6" s="97"/>
      <c r="M6" s="97"/>
      <c r="N6" s="97"/>
      <c r="O6" s="97"/>
      <c r="P6" s="97"/>
      <c r="Q6" s="97"/>
      <c r="R6" s="97"/>
    </row>
    <row r="7" spans="1:18">
      <c r="A7" s="1174" t="s">
        <v>142</v>
      </c>
      <c r="B7" s="1176" t="s">
        <v>143</v>
      </c>
      <c r="C7" s="1176" t="s">
        <v>144</v>
      </c>
      <c r="D7" s="1177" t="s">
        <v>145</v>
      </c>
      <c r="E7" s="1177" t="s">
        <v>146</v>
      </c>
      <c r="F7" s="1177" t="s">
        <v>147</v>
      </c>
      <c r="G7" s="1178" t="s">
        <v>469</v>
      </c>
      <c r="H7" s="1177" t="s">
        <v>148</v>
      </c>
      <c r="I7" s="1180" t="s">
        <v>149</v>
      </c>
      <c r="J7" s="1180"/>
      <c r="K7" s="1180"/>
      <c r="L7" s="1181" t="s">
        <v>150</v>
      </c>
      <c r="M7" s="1181" t="s">
        <v>151</v>
      </c>
      <c r="N7" s="1170" t="s">
        <v>152</v>
      </c>
      <c r="O7" s="1170" t="s">
        <v>153</v>
      </c>
      <c r="P7" s="1170" t="s">
        <v>154</v>
      </c>
      <c r="Q7" s="98"/>
      <c r="R7" s="99"/>
    </row>
    <row r="8" spans="1:18" ht="96">
      <c r="A8" s="1175"/>
      <c r="B8" s="1176"/>
      <c r="C8" s="1176"/>
      <c r="D8" s="1177"/>
      <c r="E8" s="1177"/>
      <c r="F8" s="1177"/>
      <c r="G8" s="1179"/>
      <c r="H8" s="1177"/>
      <c r="I8" s="100" t="s">
        <v>155</v>
      </c>
      <c r="J8" s="100" t="s">
        <v>156</v>
      </c>
      <c r="K8" s="100" t="s">
        <v>157</v>
      </c>
      <c r="L8" s="1181"/>
      <c r="M8" s="1181"/>
      <c r="N8" s="1171"/>
      <c r="O8" s="1171"/>
      <c r="P8" s="1171"/>
      <c r="Q8" s="101" t="s">
        <v>158</v>
      </c>
      <c r="R8" s="102"/>
    </row>
    <row r="9" spans="1:18">
      <c r="A9" s="103">
        <v>1</v>
      </c>
      <c r="B9" s="104">
        <v>2</v>
      </c>
      <c r="C9" s="103">
        <v>3</v>
      </c>
      <c r="D9" s="103">
        <v>4</v>
      </c>
      <c r="E9" s="103">
        <v>5</v>
      </c>
      <c r="F9" s="103">
        <v>6</v>
      </c>
      <c r="G9" s="103"/>
      <c r="H9" s="103">
        <v>8</v>
      </c>
      <c r="I9" s="103">
        <v>9</v>
      </c>
      <c r="J9" s="103">
        <v>10</v>
      </c>
      <c r="K9" s="103">
        <v>11</v>
      </c>
      <c r="L9" s="103">
        <v>12</v>
      </c>
      <c r="M9" s="103">
        <v>13</v>
      </c>
      <c r="N9" s="103">
        <v>14</v>
      </c>
      <c r="O9" s="103">
        <v>15</v>
      </c>
      <c r="P9" s="103">
        <v>16</v>
      </c>
      <c r="Q9" s="105"/>
      <c r="R9" s="4"/>
    </row>
    <row r="10" spans="1:18" ht="15.75">
      <c r="A10" s="106">
        <v>1</v>
      </c>
      <c r="B10" s="955" t="s">
        <v>553</v>
      </c>
      <c r="C10" s="107" t="s">
        <v>561</v>
      </c>
      <c r="D10" s="106" t="s">
        <v>159</v>
      </c>
      <c r="E10" s="386" t="s">
        <v>566</v>
      </c>
      <c r="F10" s="108">
        <v>30</v>
      </c>
      <c r="G10" s="108">
        <v>61853</v>
      </c>
      <c r="H10" s="108">
        <v>1555</v>
      </c>
      <c r="I10" s="106" t="s">
        <v>37</v>
      </c>
      <c r="J10" s="106" t="s">
        <v>37</v>
      </c>
      <c r="K10" s="106" t="s">
        <v>37</v>
      </c>
      <c r="L10" s="106" t="s">
        <v>37</v>
      </c>
      <c r="M10" s="108">
        <f t="shared" ref="M10" si="0">H10</f>
        <v>1555</v>
      </c>
      <c r="N10" s="108">
        <f t="shared" ref="N10" si="1">H10</f>
        <v>1555</v>
      </c>
      <c r="O10" s="293" t="str">
        <f>'4-22MASTER'!AV17</f>
        <v>05.05.2022</v>
      </c>
      <c r="P10" s="109" t="str">
        <f>'4-22MASTER'!AW17</f>
        <v>SBI</v>
      </c>
      <c r="Q10" s="292" t="str">
        <f>'4-22MASTER'!AX17</f>
        <v>A/C'20434252219</v>
      </c>
    </row>
    <row r="11" spans="1:18" ht="15.75">
      <c r="A11" s="106">
        <v>2</v>
      </c>
      <c r="B11" s="954" t="s">
        <v>581</v>
      </c>
      <c r="C11" s="107" t="s">
        <v>588</v>
      </c>
      <c r="D11" s="106" t="s">
        <v>159</v>
      </c>
      <c r="E11" s="386" t="s">
        <v>565</v>
      </c>
      <c r="F11" s="108">
        <v>20</v>
      </c>
      <c r="G11" s="108">
        <v>47452.333333333336</v>
      </c>
      <c r="H11" s="108">
        <v>1555</v>
      </c>
      <c r="I11" s="106" t="s">
        <v>37</v>
      </c>
      <c r="J11" s="106" t="s">
        <v>37</v>
      </c>
      <c r="K11" s="106" t="s">
        <v>37</v>
      </c>
      <c r="L11" s="106" t="s">
        <v>37</v>
      </c>
      <c r="M11" s="108">
        <f t="shared" ref="M11:M23" si="2">H11</f>
        <v>1555</v>
      </c>
      <c r="N11" s="108">
        <f t="shared" ref="N11:N23" si="3">H11</f>
        <v>1555</v>
      </c>
      <c r="O11" s="293" t="str">
        <f>'4-22MASTER'!AV18</f>
        <v>05.05.2022</v>
      </c>
      <c r="P11" s="109" t="str">
        <f>'4-22MASTER'!AW18</f>
        <v>HDFC</v>
      </c>
      <c r="Q11" s="292" t="str">
        <f>'4-22MASTER'!AX18</f>
        <v>A/C'50100052341452</v>
      </c>
    </row>
    <row r="12" spans="1:18" ht="15.75">
      <c r="A12" s="106">
        <v>3</v>
      </c>
      <c r="B12" s="955" t="s">
        <v>603</v>
      </c>
      <c r="C12" s="107" t="s">
        <v>614</v>
      </c>
      <c r="D12" s="106" t="s">
        <v>159</v>
      </c>
      <c r="E12" s="386" t="s">
        <v>626</v>
      </c>
      <c r="F12" s="108">
        <v>29</v>
      </c>
      <c r="G12" s="108">
        <v>41874.933333333334</v>
      </c>
      <c r="H12" s="108">
        <v>1555</v>
      </c>
      <c r="I12" s="106" t="s">
        <v>37</v>
      </c>
      <c r="J12" s="106" t="s">
        <v>37</v>
      </c>
      <c r="K12" s="106" t="s">
        <v>37</v>
      </c>
      <c r="L12" s="106" t="s">
        <v>37</v>
      </c>
      <c r="M12" s="108">
        <f t="shared" si="2"/>
        <v>1555</v>
      </c>
      <c r="N12" s="108">
        <f t="shared" si="3"/>
        <v>1555</v>
      </c>
      <c r="O12" s="293" t="str">
        <f>'4-22MASTER'!AV19</f>
        <v>05.05.2022</v>
      </c>
      <c r="P12" s="109" t="str">
        <f>'4-22MASTER'!AW19</f>
        <v>SBI</v>
      </c>
      <c r="Q12" s="292" t="str">
        <f>'4-22MASTER'!AX19</f>
        <v>A/C'31443937313</v>
      </c>
    </row>
    <row r="13" spans="1:18" ht="30">
      <c r="A13" s="106">
        <v>4</v>
      </c>
      <c r="B13" s="955" t="s">
        <v>630</v>
      </c>
      <c r="C13" s="107" t="s">
        <v>637</v>
      </c>
      <c r="D13" s="106" t="s">
        <v>159</v>
      </c>
      <c r="E13" s="386" t="s">
        <v>639</v>
      </c>
      <c r="F13" s="108">
        <v>28</v>
      </c>
      <c r="G13" s="108">
        <v>55141.4</v>
      </c>
      <c r="H13" s="108">
        <v>1555</v>
      </c>
      <c r="I13" s="106" t="s">
        <v>37</v>
      </c>
      <c r="J13" s="106" t="s">
        <v>37</v>
      </c>
      <c r="K13" s="106" t="s">
        <v>37</v>
      </c>
      <c r="L13" s="106" t="s">
        <v>37</v>
      </c>
      <c r="M13" s="108">
        <f t="shared" si="2"/>
        <v>1555</v>
      </c>
      <c r="N13" s="108">
        <f t="shared" si="3"/>
        <v>1555</v>
      </c>
      <c r="O13" s="293" t="str">
        <f>'4-22MASTER'!AV20</f>
        <v>05.05.2022</v>
      </c>
      <c r="P13" s="109" t="str">
        <f>'4-22MASTER'!AW20</f>
        <v>Union bank of India</v>
      </c>
      <c r="Q13" s="292" t="str">
        <f>'4-22MASTER'!AX20</f>
        <v>631302010000771</v>
      </c>
    </row>
    <row r="14" spans="1:18" ht="30">
      <c r="A14" s="106">
        <v>5</v>
      </c>
      <c r="B14" s="955" t="s">
        <v>669</v>
      </c>
      <c r="C14" s="107" t="s">
        <v>671</v>
      </c>
      <c r="D14" s="106" t="s">
        <v>159</v>
      </c>
      <c r="E14" s="386" t="s">
        <v>674</v>
      </c>
      <c r="F14" s="108">
        <v>30</v>
      </c>
      <c r="G14" s="108">
        <v>77610</v>
      </c>
      <c r="H14" s="108">
        <v>1555</v>
      </c>
      <c r="I14" s="106" t="s">
        <v>37</v>
      </c>
      <c r="J14" s="106" t="s">
        <v>37</v>
      </c>
      <c r="K14" s="106" t="s">
        <v>37</v>
      </c>
      <c r="L14" s="106" t="s">
        <v>37</v>
      </c>
      <c r="M14" s="108">
        <f t="shared" si="2"/>
        <v>1555</v>
      </c>
      <c r="N14" s="108">
        <f t="shared" si="3"/>
        <v>1555</v>
      </c>
      <c r="O14" s="293" t="str">
        <f>'4-22MASTER'!AV21</f>
        <v>05.05.2022</v>
      </c>
      <c r="P14" s="109" t="str">
        <f>'4-22MASTER'!AW21</f>
        <v xml:space="preserve">ICICI BANK </v>
      </c>
      <c r="Q14" s="292" t="str">
        <f>'4-22MASTER'!AX21</f>
        <v>042401536750</v>
      </c>
    </row>
    <row r="15" spans="1:18" ht="30">
      <c r="A15" s="106">
        <v>6</v>
      </c>
      <c r="B15" s="960" t="s">
        <v>676</v>
      </c>
      <c r="C15" s="107" t="s">
        <v>691</v>
      </c>
      <c r="D15" s="106" t="s">
        <v>159</v>
      </c>
      <c r="E15" s="386" t="s">
        <v>680</v>
      </c>
      <c r="F15" s="108">
        <v>30</v>
      </c>
      <c r="G15" s="108">
        <v>50730</v>
      </c>
      <c r="H15" s="108">
        <v>1555</v>
      </c>
      <c r="I15" s="106" t="s">
        <v>37</v>
      </c>
      <c r="J15" s="106" t="s">
        <v>37</v>
      </c>
      <c r="K15" s="106" t="s">
        <v>37</v>
      </c>
      <c r="L15" s="106" t="s">
        <v>37</v>
      </c>
      <c r="M15" s="108">
        <f t="shared" si="2"/>
        <v>1555</v>
      </c>
      <c r="N15" s="108">
        <f t="shared" si="3"/>
        <v>1555</v>
      </c>
      <c r="O15" s="293" t="str">
        <f>'4-22MASTER'!AV22</f>
        <v>05.05.2022</v>
      </c>
      <c r="P15" s="109" t="str">
        <f>'4-22MASTER'!AW22</f>
        <v xml:space="preserve">ICICI BANK </v>
      </c>
      <c r="Q15" s="292" t="str">
        <f>'4-22MASTER'!AX22</f>
        <v>148001513263</v>
      </c>
    </row>
    <row r="16" spans="1:18" ht="15" customHeight="1">
      <c r="A16" s="106">
        <v>7</v>
      </c>
      <c r="B16" s="961" t="s">
        <v>677</v>
      </c>
      <c r="C16" s="107" t="s">
        <v>686</v>
      </c>
      <c r="D16" s="106" t="s">
        <v>159</v>
      </c>
      <c r="E16" s="386" t="s">
        <v>565</v>
      </c>
      <c r="F16" s="108">
        <v>30</v>
      </c>
      <c r="G16" s="108">
        <v>66487</v>
      </c>
      <c r="H16" s="108">
        <v>1555</v>
      </c>
      <c r="I16" s="106" t="s">
        <v>37</v>
      </c>
      <c r="J16" s="106" t="s">
        <v>37</v>
      </c>
      <c r="K16" s="106" t="s">
        <v>37</v>
      </c>
      <c r="L16" s="106" t="s">
        <v>37</v>
      </c>
      <c r="M16" s="108">
        <f t="shared" si="2"/>
        <v>1555</v>
      </c>
      <c r="N16" s="108">
        <f t="shared" si="3"/>
        <v>1555</v>
      </c>
      <c r="O16" s="293" t="str">
        <f>'4-22MASTER'!AV23</f>
        <v>05.05.2022</v>
      </c>
      <c r="P16" s="109" t="str">
        <f>'4-22MASTER'!AW23</f>
        <v xml:space="preserve">ICICI BANK </v>
      </c>
      <c r="Q16" s="292" t="str">
        <f>'4-22MASTER'!AX23</f>
        <v>623901548420</v>
      </c>
    </row>
    <row r="17" spans="1:20" ht="15" customHeight="1">
      <c r="A17" s="106">
        <v>8</v>
      </c>
      <c r="B17" s="960" t="s">
        <v>694</v>
      </c>
      <c r="C17" s="107" t="s">
        <v>705</v>
      </c>
      <c r="D17" s="106" t="s">
        <v>159</v>
      </c>
      <c r="E17" s="386" t="s">
        <v>700</v>
      </c>
      <c r="F17" s="108">
        <v>30</v>
      </c>
      <c r="G17" s="108">
        <v>173081</v>
      </c>
      <c r="H17" s="108">
        <v>1555</v>
      </c>
      <c r="I17" s="106" t="s">
        <v>37</v>
      </c>
      <c r="J17" s="106" t="s">
        <v>37</v>
      </c>
      <c r="K17" s="106" t="s">
        <v>37</v>
      </c>
      <c r="L17" s="106" t="s">
        <v>37</v>
      </c>
      <c r="M17" s="108">
        <f t="shared" si="2"/>
        <v>1555</v>
      </c>
      <c r="N17" s="108">
        <f t="shared" si="3"/>
        <v>1555</v>
      </c>
      <c r="O17" s="293" t="str">
        <f>'4-22MASTER'!AV24</f>
        <v>05.05.2022</v>
      </c>
      <c r="P17" s="109" t="str">
        <f>'4-22MASTER'!AW24</f>
        <v>Punjab National Bank</v>
      </c>
      <c r="Q17" s="292" t="str">
        <f>'4-22MASTER'!AX24</f>
        <v>12372191001001</v>
      </c>
    </row>
    <row r="18" spans="1:20" ht="15" customHeight="1">
      <c r="A18" s="106">
        <v>9</v>
      </c>
      <c r="B18" s="960" t="s">
        <v>695</v>
      </c>
      <c r="C18" s="107" t="s">
        <v>710</v>
      </c>
      <c r="D18" s="106" t="s">
        <v>159</v>
      </c>
      <c r="E18" s="386" t="s">
        <v>711</v>
      </c>
      <c r="F18" s="108">
        <v>30</v>
      </c>
      <c r="G18" s="108">
        <v>112832</v>
      </c>
      <c r="H18" s="108">
        <v>1555</v>
      </c>
      <c r="I18" s="106" t="s">
        <v>37</v>
      </c>
      <c r="J18" s="106" t="s">
        <v>37</v>
      </c>
      <c r="K18" s="106" t="s">
        <v>37</v>
      </c>
      <c r="L18" s="106" t="s">
        <v>37</v>
      </c>
      <c r="M18" s="108">
        <f t="shared" si="2"/>
        <v>1555</v>
      </c>
      <c r="N18" s="108">
        <f t="shared" si="3"/>
        <v>1555</v>
      </c>
      <c r="O18" s="293" t="str">
        <f>'4-22MASTER'!AV25</f>
        <v>05.05.2022</v>
      </c>
      <c r="P18" s="109" t="str">
        <f>'4-22MASTER'!AW25</f>
        <v xml:space="preserve">ICICI BANK </v>
      </c>
      <c r="Q18" s="292" t="str">
        <f>'4-22MASTER'!AX25</f>
        <v>338201500480</v>
      </c>
    </row>
    <row r="19" spans="1:20" ht="15" customHeight="1">
      <c r="A19" s="106">
        <v>10</v>
      </c>
      <c r="B19" s="960" t="s">
        <v>696</v>
      </c>
      <c r="C19" s="107" t="s">
        <v>719</v>
      </c>
      <c r="D19" s="106" t="s">
        <v>159</v>
      </c>
      <c r="E19" s="386" t="s">
        <v>723</v>
      </c>
      <c r="F19" s="108">
        <v>30</v>
      </c>
      <c r="G19" s="108">
        <v>103563</v>
      </c>
      <c r="H19" s="108">
        <v>1555</v>
      </c>
      <c r="I19" s="106" t="s">
        <v>37</v>
      </c>
      <c r="J19" s="106" t="s">
        <v>37</v>
      </c>
      <c r="K19" s="106" t="s">
        <v>37</v>
      </c>
      <c r="L19" s="106" t="s">
        <v>37</v>
      </c>
      <c r="M19" s="108">
        <f t="shared" si="2"/>
        <v>1555</v>
      </c>
      <c r="N19" s="108">
        <f t="shared" si="3"/>
        <v>1555</v>
      </c>
      <c r="O19" s="293" t="str">
        <f>'4-22MASTER'!AV26</f>
        <v>05.05.2022</v>
      </c>
      <c r="P19" s="109" t="str">
        <f>'4-22MASTER'!AW26</f>
        <v xml:space="preserve">ICICI BANK </v>
      </c>
      <c r="Q19" s="292" t="str">
        <f>'4-22MASTER'!AX26</f>
        <v>341901505420</v>
      </c>
    </row>
    <row r="20" spans="1:20" ht="15.75">
      <c r="A20" s="106">
        <v>11</v>
      </c>
      <c r="B20" s="960" t="s">
        <v>725</v>
      </c>
      <c r="C20" s="107" t="s">
        <v>734</v>
      </c>
      <c r="D20" s="106" t="s">
        <v>159</v>
      </c>
      <c r="E20" s="386" t="s">
        <v>565</v>
      </c>
      <c r="F20" s="108">
        <v>27</v>
      </c>
      <c r="G20" s="108">
        <v>66523.100000000006</v>
      </c>
      <c r="H20" s="108">
        <v>1555</v>
      </c>
      <c r="I20" s="106" t="s">
        <v>37</v>
      </c>
      <c r="J20" s="106" t="s">
        <v>37</v>
      </c>
      <c r="K20" s="106" t="s">
        <v>37</v>
      </c>
      <c r="L20" s="106" t="s">
        <v>37</v>
      </c>
      <c r="M20" s="108">
        <f t="shared" si="2"/>
        <v>1555</v>
      </c>
      <c r="N20" s="108">
        <f t="shared" si="3"/>
        <v>1555</v>
      </c>
      <c r="O20" s="293" t="str">
        <f>'4-22MASTER'!AV27</f>
        <v>05.05.2022</v>
      </c>
      <c r="P20" s="109" t="str">
        <f>'4-22MASTER'!AW27</f>
        <v>HDFC</v>
      </c>
      <c r="Q20" s="292" t="str">
        <f>'4-22MASTER'!AX27</f>
        <v>100783283673</v>
      </c>
    </row>
    <row r="21" spans="1:20" ht="30">
      <c r="A21" s="106">
        <v>12</v>
      </c>
      <c r="B21" s="962" t="s">
        <v>726</v>
      </c>
      <c r="C21" s="107" t="s">
        <v>742</v>
      </c>
      <c r="D21" s="106" t="s">
        <v>159</v>
      </c>
      <c r="E21" s="386" t="s">
        <v>744</v>
      </c>
      <c r="F21" s="108">
        <v>30</v>
      </c>
      <c r="G21" s="108">
        <v>103563</v>
      </c>
      <c r="H21" s="108">
        <v>1555</v>
      </c>
      <c r="I21" s="106" t="s">
        <v>37</v>
      </c>
      <c r="J21" s="106" t="s">
        <v>37</v>
      </c>
      <c r="K21" s="106" t="s">
        <v>37</v>
      </c>
      <c r="L21" s="106" t="s">
        <v>37</v>
      </c>
      <c r="M21" s="108">
        <f t="shared" si="2"/>
        <v>1555</v>
      </c>
      <c r="N21" s="108">
        <f t="shared" si="3"/>
        <v>1555</v>
      </c>
      <c r="O21" s="293" t="str">
        <f>'4-22MASTER'!AV28</f>
        <v>05.05.2022</v>
      </c>
      <c r="P21" s="109" t="str">
        <f>'4-22MASTER'!AW28</f>
        <v>HDFC</v>
      </c>
      <c r="Q21" s="292" t="str">
        <f>'4-22MASTER'!AX28</f>
        <v>50100383537784</v>
      </c>
    </row>
    <row r="22" spans="1:20" s="392" customFormat="1" ht="30">
      <c r="A22" s="106">
        <v>13</v>
      </c>
      <c r="B22" s="957" t="s">
        <v>727</v>
      </c>
      <c r="C22" s="107" t="s">
        <v>748</v>
      </c>
      <c r="D22" s="106" t="s">
        <v>159</v>
      </c>
      <c r="E22" s="386" t="s">
        <v>745</v>
      </c>
      <c r="F22" s="108">
        <v>30</v>
      </c>
      <c r="G22" s="108">
        <v>122101</v>
      </c>
      <c r="H22" s="108">
        <v>1555</v>
      </c>
      <c r="I22" s="106" t="s">
        <v>37</v>
      </c>
      <c r="J22" s="106" t="s">
        <v>37</v>
      </c>
      <c r="K22" s="106" t="s">
        <v>37</v>
      </c>
      <c r="L22" s="106" t="s">
        <v>37</v>
      </c>
      <c r="M22" s="108">
        <f t="shared" si="2"/>
        <v>1555</v>
      </c>
      <c r="N22" s="108">
        <f t="shared" si="3"/>
        <v>1555</v>
      </c>
      <c r="O22" s="293" t="str">
        <f>'4-22MASTER'!AV29</f>
        <v>05.05.2022</v>
      </c>
      <c r="P22" s="109" t="str">
        <f>'4-22MASTER'!AW29</f>
        <v>ICICI bank</v>
      </c>
      <c r="Q22" s="292" t="str">
        <f>'4-22MASTER'!AX29</f>
        <v>272301504703</v>
      </c>
      <c r="R22" s="478"/>
      <c r="S22" s="482"/>
      <c r="T22" s="482"/>
    </row>
    <row r="23" spans="1:20" s="392" customFormat="1" ht="15.75">
      <c r="A23" s="106">
        <v>14</v>
      </c>
      <c r="B23" s="963" t="s">
        <v>759</v>
      </c>
      <c r="C23" s="107" t="str">
        <f>'4-22MASTER'!F30</f>
        <v>Amit Kadam</v>
      </c>
      <c r="D23" s="106" t="s">
        <v>159</v>
      </c>
      <c r="E23" s="386" t="s">
        <v>544</v>
      </c>
      <c r="F23" s="108">
        <v>6</v>
      </c>
      <c r="G23" s="108">
        <v>10977.8</v>
      </c>
      <c r="H23" s="108">
        <v>1555</v>
      </c>
      <c r="I23" s="106" t="s">
        <v>37</v>
      </c>
      <c r="J23" s="106" t="s">
        <v>37</v>
      </c>
      <c r="K23" s="106" t="s">
        <v>37</v>
      </c>
      <c r="L23" s="106" t="s">
        <v>37</v>
      </c>
      <c r="M23" s="108">
        <f t="shared" si="2"/>
        <v>1555</v>
      </c>
      <c r="N23" s="108">
        <f t="shared" si="3"/>
        <v>1555</v>
      </c>
      <c r="O23" s="293" t="str">
        <f>'4-22MASTER'!AV30</f>
        <v>05.05.2022</v>
      </c>
      <c r="P23" s="109" t="str">
        <f>'4-22MASTER'!AW30</f>
        <v>Kotak Mahindra Bank</v>
      </c>
      <c r="Q23" s="292" t="str">
        <f>'4-22MASTER'!AX30</f>
        <v>7311156365</v>
      </c>
      <c r="R23" s="478"/>
      <c r="S23" s="482"/>
      <c r="T23" s="482"/>
    </row>
    <row r="24" spans="1:20" s="392" customFormat="1" ht="15.75">
      <c r="A24" s="106"/>
      <c r="B24" s="109"/>
      <c r="C24" s="107"/>
      <c r="D24" s="106"/>
      <c r="E24" s="386"/>
      <c r="F24" s="108">
        <f>SUM(F10:F23)</f>
        <v>380</v>
      </c>
      <c r="G24" s="108"/>
      <c r="H24" s="108"/>
      <c r="I24" s="106"/>
      <c r="J24" s="106"/>
      <c r="K24" s="106"/>
      <c r="L24" s="106"/>
      <c r="M24" s="108"/>
      <c r="N24" s="108"/>
      <c r="O24" s="293"/>
      <c r="P24" s="109"/>
      <c r="Q24" s="292"/>
    </row>
    <row r="25" spans="1:20" s="392" customFormat="1" ht="15.75">
      <c r="A25" s="106"/>
      <c r="B25" s="109"/>
      <c r="C25" s="107"/>
      <c r="D25" s="106"/>
      <c r="E25" s="386"/>
      <c r="F25" s="108"/>
      <c r="G25" s="108"/>
      <c r="H25" s="108"/>
      <c r="I25" s="106"/>
      <c r="J25" s="106"/>
      <c r="K25" s="106"/>
      <c r="L25" s="106"/>
      <c r="M25" s="108"/>
      <c r="N25" s="108"/>
      <c r="O25" s="293"/>
      <c r="P25" s="109"/>
      <c r="Q25" s="292"/>
    </row>
    <row r="26" spans="1:20" s="392" customFormat="1" ht="15.75">
      <c r="A26" s="478"/>
      <c r="B26" s="479"/>
      <c r="C26" s="480"/>
      <c r="D26" s="478"/>
      <c r="E26" s="481"/>
      <c r="F26" s="482"/>
      <c r="G26" s="482"/>
      <c r="H26" s="482"/>
      <c r="I26" s="478"/>
      <c r="J26" s="478"/>
      <c r="K26" s="478"/>
      <c r="L26" s="478"/>
      <c r="M26" s="482"/>
      <c r="N26" s="482"/>
      <c r="O26" s="483"/>
      <c r="P26" s="479"/>
      <c r="Q26" s="484"/>
    </row>
    <row r="27" spans="1:20" s="392" customFormat="1" ht="15.75">
      <c r="A27" s="478"/>
      <c r="B27" s="479"/>
      <c r="C27" s="480"/>
      <c r="D27" s="478"/>
      <c r="E27" s="481"/>
      <c r="F27" s="482"/>
      <c r="G27" s="482"/>
      <c r="H27" s="482"/>
      <c r="I27" s="478"/>
      <c r="J27" s="478"/>
      <c r="K27" s="478"/>
      <c r="L27" s="478"/>
      <c r="M27" s="482"/>
      <c r="N27" s="482"/>
      <c r="O27" s="483"/>
      <c r="P27" s="479"/>
      <c r="Q27" s="484"/>
    </row>
    <row r="28" spans="1:20" ht="15.75">
      <c r="A28" s="478"/>
      <c r="B28" s="479"/>
      <c r="C28" s="480"/>
      <c r="D28" s="478"/>
      <c r="E28" s="481"/>
      <c r="F28" s="482"/>
      <c r="G28" s="482"/>
      <c r="H28" s="482"/>
      <c r="I28" s="478"/>
      <c r="J28" s="478"/>
      <c r="K28" s="478"/>
      <c r="L28" s="478"/>
      <c r="M28" s="482"/>
      <c r="N28" s="482"/>
      <c r="O28" s="483"/>
      <c r="P28" s="479"/>
      <c r="Q28" s="484"/>
    </row>
    <row r="29" spans="1:20">
      <c r="A29" s="4"/>
      <c r="B29" s="10"/>
      <c r="E29" s="4"/>
      <c r="F29" s="4"/>
      <c r="G29" s="4"/>
    </row>
    <row r="30" spans="1:20">
      <c r="A30" s="4"/>
      <c r="B30" s="10"/>
      <c r="E30" s="4"/>
      <c r="F30" s="4"/>
      <c r="G30" s="4"/>
    </row>
    <row r="31" spans="1:20">
      <c r="A31" s="4"/>
      <c r="B31" s="10"/>
      <c r="E31" s="4"/>
      <c r="F31" s="4"/>
      <c r="G31" s="4"/>
    </row>
    <row r="32" spans="1:20">
      <c r="A32" s="4"/>
      <c r="B32" s="10"/>
      <c r="E32" s="4"/>
      <c r="F32" s="4"/>
      <c r="G32" s="4"/>
    </row>
    <row r="33" spans="1:12">
      <c r="A33" s="4"/>
      <c r="B33" s="10"/>
      <c r="E33" s="4"/>
      <c r="F33" s="4"/>
      <c r="G33" s="4"/>
    </row>
    <row r="34" spans="1:12">
      <c r="A34" s="4"/>
      <c r="B34" s="10"/>
      <c r="E34" s="4"/>
      <c r="F34" s="4"/>
      <c r="G34" s="4"/>
      <c r="L34" t="s">
        <v>38</v>
      </c>
    </row>
    <row r="35" spans="1:12">
      <c r="A35" s="4"/>
      <c r="B35" s="10"/>
      <c r="E35" s="4"/>
      <c r="F35" s="4"/>
      <c r="G35" s="4"/>
    </row>
    <row r="36" spans="1:12">
      <c r="A36" s="4"/>
      <c r="B36" s="10"/>
      <c r="E36" s="4"/>
      <c r="F36" s="4"/>
      <c r="G36" s="4"/>
    </row>
    <row r="37" spans="1:12">
      <c r="A37" s="4"/>
      <c r="B37" s="10"/>
      <c r="E37" s="4"/>
      <c r="F37" s="4"/>
      <c r="G37" s="4"/>
    </row>
    <row r="38" spans="1:12">
      <c r="A38" s="4"/>
      <c r="B38" s="10"/>
      <c r="E38" s="4"/>
      <c r="F38" s="4"/>
      <c r="G38" s="4"/>
    </row>
    <row r="39" spans="1:12">
      <c r="A39" s="4"/>
      <c r="B39" s="10"/>
      <c r="E39" s="4"/>
      <c r="F39" s="4"/>
      <c r="G39" s="4"/>
    </row>
    <row r="40" spans="1:12">
      <c r="A40" s="4"/>
      <c r="B40" s="10"/>
      <c r="E40" s="4"/>
      <c r="F40" s="4"/>
      <c r="G40" s="4"/>
    </row>
    <row r="41" spans="1:12">
      <c r="A41" s="4"/>
      <c r="B41" s="10"/>
      <c r="E41" s="4"/>
      <c r="F41" s="4"/>
      <c r="G41" s="4"/>
    </row>
    <row r="42" spans="1:12">
      <c r="A42" s="4"/>
      <c r="B42" s="10"/>
      <c r="E42" s="4"/>
      <c r="F42" s="4"/>
      <c r="G42" s="4"/>
    </row>
    <row r="43" spans="1:12">
      <c r="A43" s="4"/>
      <c r="B43" s="10"/>
      <c r="E43" s="4"/>
      <c r="F43" s="4"/>
      <c r="G43" s="4"/>
    </row>
    <row r="44" spans="1:12">
      <c r="A44" s="4"/>
      <c r="B44" s="10"/>
      <c r="E44" s="4"/>
      <c r="F44" s="4"/>
      <c r="G44" s="4"/>
    </row>
    <row r="45" spans="1:12">
      <c r="A45" s="4"/>
      <c r="B45" s="10"/>
      <c r="E45" s="4"/>
      <c r="F45" s="4"/>
      <c r="G45" s="4"/>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60"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workbookViewId="0">
      <selection activeCell="F15" sqref="F15"/>
    </sheetView>
  </sheetViews>
  <sheetFormatPr defaultRowHeight="15"/>
  <cols>
    <col min="1" max="1" width="5.28515625" customWidth="1"/>
    <col min="3" max="3" width="12.5703125" customWidth="1"/>
    <col min="4" max="4" width="44.28515625" customWidth="1"/>
    <col min="13" max="13" width="16.7109375" customWidth="1"/>
  </cols>
  <sheetData>
    <row r="1" spans="1:13">
      <c r="A1" s="1184" t="s">
        <v>463</v>
      </c>
      <c r="B1" s="1184"/>
      <c r="C1" s="1184"/>
      <c r="D1" s="1184"/>
      <c r="E1" s="1184"/>
      <c r="F1" s="1184"/>
      <c r="G1" s="1184"/>
      <c r="H1" s="1184"/>
      <c r="I1" s="1184"/>
      <c r="J1" s="1184"/>
      <c r="K1" s="1184"/>
      <c r="L1" s="1184"/>
      <c r="M1" s="1184"/>
    </row>
    <row r="2" spans="1:13">
      <c r="A2" s="1184"/>
      <c r="B2" s="1184"/>
      <c r="C2" s="1184"/>
      <c r="D2" s="1184"/>
      <c r="E2" s="1184"/>
      <c r="F2" s="1184"/>
      <c r="G2" s="1184"/>
      <c r="H2" s="1184"/>
      <c r="I2" s="1184"/>
      <c r="J2" s="1184"/>
      <c r="K2" s="1184"/>
      <c r="L2" s="1184"/>
      <c r="M2" s="1184"/>
    </row>
    <row r="3" spans="1:13">
      <c r="A3" s="1185" t="s">
        <v>464</v>
      </c>
      <c r="B3" s="1185"/>
      <c r="C3" s="1185"/>
      <c r="D3" s="1185"/>
      <c r="E3" s="1185"/>
      <c r="F3" s="1185"/>
      <c r="G3" s="1185"/>
      <c r="H3" s="1185"/>
      <c r="I3" s="1185"/>
      <c r="J3" s="1185"/>
      <c r="K3" s="1185"/>
      <c r="L3" s="1185"/>
      <c r="M3" s="1185"/>
    </row>
    <row r="4" spans="1:13" ht="15" customHeight="1">
      <c r="A4" s="20" t="s">
        <v>65</v>
      </c>
      <c r="B4" s="21"/>
      <c r="C4" s="21"/>
      <c r="D4" s="22" t="str">
        <f>'4-22MASTER'!G5</f>
        <v>Burgeon IT Services Pvt.Ltd.</v>
      </c>
      <c r="E4" s="55" t="s">
        <v>80</v>
      </c>
      <c r="F4" s="56"/>
      <c r="G4" s="56"/>
      <c r="H4" s="56"/>
      <c r="I4" s="56"/>
      <c r="J4" s="56"/>
      <c r="K4" s="56"/>
      <c r="L4" s="56"/>
      <c r="M4" s="54"/>
    </row>
    <row r="5" spans="1:13">
      <c r="A5" s="23"/>
      <c r="B5" s="24" t="str">
        <f>'4-22MASTER'!G6</f>
        <v>Siri Mansion LIGB 436 Dr.A S Rao Nagar,Hyderabad</v>
      </c>
      <c r="C5" s="24"/>
      <c r="D5" s="25"/>
      <c r="E5" s="38"/>
      <c r="F5" s="53"/>
      <c r="G5" s="53"/>
      <c r="H5" s="53"/>
      <c r="I5" s="53"/>
      <c r="J5" s="53"/>
      <c r="K5" s="53"/>
      <c r="L5" s="53"/>
      <c r="M5" s="54"/>
    </row>
    <row r="6" spans="1:13">
      <c r="A6" s="26"/>
      <c r="B6" s="27">
        <f>'4-22MASTER'!G7</f>
        <v>0</v>
      </c>
      <c r="C6" s="27"/>
      <c r="D6" s="28"/>
      <c r="E6" s="25"/>
      <c r="F6" s="27"/>
      <c r="G6" s="27"/>
      <c r="H6" s="27"/>
      <c r="I6" s="27"/>
      <c r="J6" s="27"/>
      <c r="K6" s="27"/>
      <c r="L6" s="27"/>
      <c r="M6" s="28"/>
    </row>
    <row r="7" spans="1:13">
      <c r="A7" s="29" t="s">
        <v>79</v>
      </c>
      <c r="B7" s="21"/>
      <c r="C7" s="21"/>
      <c r="D7" s="22" t="str">
        <f>'4-22MASTER'!G8</f>
        <v>IT SUPPORTIVE SERVICES &amp; PUNE ASC SEZ</v>
      </c>
      <c r="E7" s="29" t="s">
        <v>66</v>
      </c>
      <c r="F7" s="21"/>
      <c r="G7" s="21"/>
      <c r="H7" s="21"/>
      <c r="I7" s="21"/>
      <c r="J7" s="21"/>
      <c r="K7" s="21"/>
      <c r="L7" s="21"/>
      <c r="M7" s="22"/>
    </row>
    <row r="8" spans="1:13">
      <c r="A8" s="23"/>
      <c r="B8" s="24"/>
      <c r="C8" s="24"/>
      <c r="D8" s="25"/>
      <c r="E8" s="30" t="str">
        <f>'4-22MASTER'!AQ10</f>
        <v>INFOSYS  LTD.IL Ascendas SEZ Unit,Building Juniper</v>
      </c>
      <c r="F8" s="24"/>
      <c r="G8" s="24"/>
      <c r="H8" s="24"/>
      <c r="I8" s="24"/>
      <c r="J8" s="24"/>
      <c r="K8" s="24"/>
      <c r="L8" s="24"/>
      <c r="M8" s="25"/>
    </row>
    <row r="9" spans="1:13">
      <c r="A9" s="23"/>
      <c r="B9" s="24"/>
      <c r="C9" s="24"/>
      <c r="D9" s="25"/>
      <c r="E9" s="23" t="str">
        <f>'4-22MASTER'!AQ11</f>
        <v>International Tech Park,Rajiv Gandhi Infotech Park,Hinjawadi,Pune,Maharashtra</v>
      </c>
      <c r="F9" s="24"/>
      <c r="G9" s="24"/>
      <c r="H9" s="24"/>
      <c r="I9" s="24"/>
      <c r="J9" s="24"/>
      <c r="K9" s="24"/>
      <c r="L9" s="24"/>
      <c r="M9" s="25"/>
    </row>
    <row r="10" spans="1:13">
      <c r="A10" s="26"/>
      <c r="B10" s="27"/>
      <c r="C10" s="27"/>
      <c r="D10" s="28"/>
      <c r="E10" s="26"/>
      <c r="F10" s="27"/>
      <c r="G10" s="27"/>
      <c r="H10" s="27"/>
      <c r="I10" s="27"/>
      <c r="J10" s="27"/>
      <c r="K10" s="27"/>
      <c r="L10" s="27"/>
      <c r="M10" s="28"/>
    </row>
    <row r="11" spans="1:13" ht="38.25">
      <c r="A11" s="1183" t="s">
        <v>5</v>
      </c>
      <c r="B11" s="1183" t="s">
        <v>67</v>
      </c>
      <c r="C11" s="31" t="s">
        <v>68</v>
      </c>
      <c r="D11" s="1182" t="s">
        <v>69</v>
      </c>
      <c r="E11" s="1182" t="s">
        <v>70</v>
      </c>
      <c r="F11" s="1182" t="s">
        <v>71</v>
      </c>
      <c r="G11" s="1182" t="s">
        <v>72</v>
      </c>
      <c r="H11" s="1182" t="s">
        <v>73</v>
      </c>
      <c r="I11" s="1182" t="s">
        <v>74</v>
      </c>
      <c r="J11" s="1183" t="s">
        <v>75</v>
      </c>
      <c r="K11" s="1183"/>
      <c r="L11" s="1183"/>
      <c r="M11" s="32" t="s">
        <v>40</v>
      </c>
    </row>
    <row r="12" spans="1:13" ht="38.25">
      <c r="A12" s="1183"/>
      <c r="B12" s="1183"/>
      <c r="C12" s="33"/>
      <c r="D12" s="1182"/>
      <c r="E12" s="1182"/>
      <c r="F12" s="1182"/>
      <c r="G12" s="1182"/>
      <c r="H12" s="1182"/>
      <c r="I12" s="1182"/>
      <c r="J12" s="34" t="s">
        <v>76</v>
      </c>
      <c r="K12" s="34" t="s">
        <v>77</v>
      </c>
      <c r="L12" s="34" t="s">
        <v>78</v>
      </c>
      <c r="M12" s="35"/>
    </row>
    <row r="13" spans="1:13">
      <c r="A13" s="36">
        <v>1</v>
      </c>
      <c r="B13" s="36">
        <v>2</v>
      </c>
      <c r="C13" s="36">
        <v>3</v>
      </c>
      <c r="D13" s="36">
        <v>4</v>
      </c>
      <c r="E13" s="36">
        <v>5</v>
      </c>
      <c r="F13" s="36">
        <v>6</v>
      </c>
      <c r="G13" s="36">
        <v>7</v>
      </c>
      <c r="H13" s="36">
        <v>8</v>
      </c>
      <c r="I13" s="36">
        <v>9</v>
      </c>
      <c r="J13" s="36">
        <v>10</v>
      </c>
      <c r="K13" s="36">
        <v>11</v>
      </c>
      <c r="L13" s="36">
        <v>12</v>
      </c>
      <c r="M13" s="36">
        <v>13</v>
      </c>
    </row>
    <row r="14" spans="1:13">
      <c r="A14" s="37"/>
      <c r="B14" s="37"/>
      <c r="C14" s="37"/>
      <c r="D14" s="37"/>
      <c r="E14" s="37"/>
      <c r="F14" s="37"/>
      <c r="G14" s="37"/>
      <c r="H14" s="37"/>
      <c r="I14" s="37"/>
      <c r="J14" s="37"/>
      <c r="K14" s="37"/>
      <c r="L14" s="37"/>
      <c r="M14" s="37"/>
    </row>
    <row r="15" spans="1:13" ht="15.75" thickBot="1">
      <c r="A15" s="37"/>
      <c r="B15" s="40"/>
      <c r="C15" s="40"/>
      <c r="D15" s="40"/>
      <c r="E15" s="40"/>
      <c r="F15" s="40"/>
      <c r="G15" s="40"/>
      <c r="H15" s="40"/>
      <c r="I15" s="40"/>
      <c r="J15" s="40"/>
      <c r="K15" s="40"/>
      <c r="L15" s="40"/>
      <c r="M15" s="40"/>
    </row>
    <row r="16" spans="1:13" ht="15.75" thickBot="1">
      <c r="A16" s="39"/>
      <c r="B16" s="42" t="s">
        <v>376</v>
      </c>
      <c r="C16" s="448"/>
      <c r="D16" s="448"/>
      <c r="E16" s="448"/>
      <c r="F16" s="448"/>
      <c r="G16" s="449"/>
      <c r="H16" s="450">
        <f>'4-22MASTER'!E10</f>
        <v>44652</v>
      </c>
      <c r="I16" s="37"/>
      <c r="J16" s="37"/>
      <c r="K16" s="37"/>
      <c r="L16" s="37"/>
      <c r="M16" s="37"/>
    </row>
    <row r="17" spans="1:13">
      <c r="A17" s="37"/>
      <c r="B17" s="447"/>
      <c r="C17" s="447"/>
      <c r="D17" s="447"/>
      <c r="E17" s="447"/>
      <c r="F17" s="447"/>
      <c r="G17" s="447"/>
      <c r="H17" s="447"/>
      <c r="I17" s="41"/>
      <c r="J17" s="41"/>
      <c r="K17" s="41"/>
      <c r="L17" s="41"/>
      <c r="M17" s="41"/>
    </row>
    <row r="18" spans="1:13" ht="15.75" thickBot="1">
      <c r="A18" s="37"/>
      <c r="B18" s="443"/>
      <c r="C18" s="443"/>
      <c r="D18" s="443"/>
      <c r="E18" s="443"/>
      <c r="F18" s="443"/>
      <c r="G18" s="443"/>
      <c r="H18" s="443"/>
      <c r="I18" s="37"/>
      <c r="J18" s="37"/>
      <c r="K18" s="37"/>
      <c r="L18" s="37"/>
      <c r="M18" s="37"/>
    </row>
    <row r="19" spans="1:13" ht="15.75" thickBot="1">
      <c r="A19" s="37"/>
      <c r="B19" s="443"/>
      <c r="C19" s="448"/>
      <c r="D19" s="443"/>
      <c r="E19" s="443"/>
      <c r="F19" s="443"/>
      <c r="G19" s="443"/>
      <c r="H19" s="443"/>
      <c r="I19" s="37"/>
      <c r="J19" s="37"/>
      <c r="K19" s="37"/>
      <c r="L19" s="37"/>
      <c r="M19" s="37"/>
    </row>
    <row r="20" spans="1:13" ht="15.75" thickBot="1">
      <c r="A20" s="37"/>
      <c r="B20" s="451"/>
      <c r="C20" s="443"/>
      <c r="D20" s="443"/>
      <c r="E20" s="443"/>
      <c r="F20" s="443"/>
      <c r="G20" s="443"/>
      <c r="H20" s="443"/>
      <c r="I20" s="37"/>
      <c r="J20" s="37"/>
      <c r="K20" s="37"/>
      <c r="L20" s="37"/>
      <c r="M20" s="37"/>
    </row>
    <row r="21" spans="1:13" ht="15.75" thickBot="1">
      <c r="A21" s="37"/>
      <c r="B21" s="42"/>
      <c r="C21" s="443"/>
      <c r="D21" s="443"/>
      <c r="E21" s="443"/>
      <c r="F21" s="443"/>
      <c r="G21" s="443"/>
      <c r="H21" s="450"/>
      <c r="I21" s="37"/>
      <c r="J21" s="37"/>
      <c r="K21" s="37"/>
      <c r="L21" s="37"/>
      <c r="M21" s="37"/>
    </row>
    <row r="22" spans="1:13">
      <c r="A22" s="37"/>
      <c r="B22" s="443"/>
      <c r="C22" s="443"/>
      <c r="D22" s="443"/>
      <c r="E22" s="443"/>
      <c r="F22" s="443"/>
      <c r="G22" s="443"/>
      <c r="H22" s="443"/>
      <c r="I22" s="37"/>
      <c r="J22" s="37"/>
      <c r="K22" s="37"/>
      <c r="L22" s="37"/>
      <c r="M22" s="37"/>
    </row>
    <row r="23" spans="1:13">
      <c r="A23" s="37"/>
      <c r="B23" s="443"/>
      <c r="C23" s="443"/>
      <c r="D23" s="443"/>
      <c r="E23" s="443"/>
      <c r="F23" s="443"/>
      <c r="G23" s="443"/>
      <c r="H23" s="443"/>
      <c r="I23" s="37"/>
      <c r="J23" s="37"/>
      <c r="K23" s="37"/>
      <c r="L23" s="37"/>
      <c r="M23" s="37"/>
    </row>
    <row r="24" spans="1:13">
      <c r="A24" s="37"/>
      <c r="B24" s="443"/>
      <c r="C24" s="443"/>
      <c r="D24" s="443"/>
      <c r="E24" s="443"/>
      <c r="F24" s="443"/>
      <c r="G24" s="443"/>
      <c r="H24" s="443"/>
      <c r="I24" s="37"/>
      <c r="J24" s="37"/>
      <c r="K24" s="37"/>
      <c r="L24" s="37"/>
      <c r="M24" s="37"/>
    </row>
    <row r="25" spans="1:13" ht="15.75" thickBot="1">
      <c r="A25" s="37"/>
      <c r="B25" s="443"/>
      <c r="C25" s="443"/>
      <c r="D25" s="443"/>
      <c r="E25" s="443"/>
      <c r="F25" s="443"/>
      <c r="G25" s="443"/>
      <c r="H25" s="443"/>
      <c r="I25" s="37"/>
      <c r="J25" s="37"/>
      <c r="K25" s="37"/>
      <c r="L25" s="37"/>
      <c r="M25" s="37"/>
    </row>
    <row r="26" spans="1:13" ht="15.75" thickBot="1">
      <c r="A26" s="37"/>
      <c r="B26" s="42"/>
      <c r="C26" s="443"/>
      <c r="D26" s="443"/>
      <c r="E26" s="443"/>
      <c r="F26" s="443"/>
      <c r="G26" s="443"/>
      <c r="H26" s="450"/>
      <c r="I26" s="37"/>
      <c r="J26" s="37"/>
      <c r="K26" s="37"/>
      <c r="L26" s="37"/>
      <c r="M26" s="37"/>
    </row>
    <row r="27" spans="1:13">
      <c r="A27" s="37"/>
      <c r="B27" s="443"/>
      <c r="C27" s="443"/>
      <c r="D27" s="443"/>
      <c r="E27" s="443"/>
      <c r="F27" s="443"/>
      <c r="G27" s="443"/>
      <c r="H27" s="443"/>
      <c r="I27" s="37"/>
      <c r="J27" s="37"/>
      <c r="K27" s="37"/>
      <c r="L27" s="37"/>
      <c r="M27" s="37"/>
    </row>
    <row r="28" spans="1:13">
      <c r="A28" s="37"/>
      <c r="B28" s="443"/>
      <c r="C28" s="443"/>
      <c r="D28" s="443"/>
      <c r="E28" s="443"/>
      <c r="F28" s="443"/>
      <c r="G28" s="443"/>
      <c r="H28" s="443"/>
      <c r="I28" s="37"/>
      <c r="J28" s="37"/>
      <c r="K28" s="37"/>
      <c r="L28" s="37"/>
      <c r="M28" s="37"/>
    </row>
    <row r="29" spans="1:13">
      <c r="A29" s="37"/>
      <c r="B29" s="443"/>
      <c r="C29" s="443"/>
      <c r="D29" s="443"/>
      <c r="E29" s="443"/>
      <c r="F29" s="443"/>
      <c r="G29" s="443"/>
      <c r="H29" s="443"/>
      <c r="I29" s="37"/>
      <c r="J29" s="37"/>
      <c r="K29" s="37"/>
      <c r="L29" s="37"/>
      <c r="M29" s="37"/>
    </row>
    <row r="30" spans="1:13">
      <c r="A30" s="37"/>
      <c r="B30" s="443"/>
      <c r="C30" s="443"/>
      <c r="D30" s="443"/>
      <c r="E30" s="443"/>
      <c r="F30" s="443"/>
      <c r="G30" s="443"/>
      <c r="H30" s="443"/>
      <c r="I30" s="37"/>
      <c r="J30" s="37"/>
      <c r="K30" s="37"/>
      <c r="L30" s="37"/>
      <c r="M30" s="37"/>
    </row>
    <row r="31" spans="1:13">
      <c r="A31" s="37"/>
      <c r="B31" s="37"/>
      <c r="C31" s="37"/>
      <c r="D31" s="37"/>
      <c r="E31" s="37"/>
      <c r="F31" s="37"/>
      <c r="G31" s="37"/>
      <c r="H31" s="37"/>
      <c r="I31" s="37"/>
      <c r="J31" s="37"/>
      <c r="K31" s="37"/>
      <c r="L31" s="37"/>
      <c r="M31" s="37"/>
    </row>
    <row r="32" spans="1:13">
      <c r="A32" s="37"/>
      <c r="B32" s="37"/>
      <c r="C32" s="37"/>
      <c r="D32" s="37"/>
      <c r="E32" s="37"/>
      <c r="F32" s="37"/>
      <c r="G32" s="37"/>
      <c r="H32" s="37"/>
      <c r="I32" s="37"/>
      <c r="J32" s="37"/>
      <c r="K32" s="37"/>
      <c r="L32" s="37"/>
      <c r="M32" s="37"/>
    </row>
    <row r="33" spans="1:13">
      <c r="A33" s="37"/>
      <c r="B33" s="37"/>
      <c r="C33" s="37"/>
      <c r="D33" s="37"/>
      <c r="E33" s="37"/>
      <c r="F33" s="37"/>
      <c r="G33" s="37"/>
      <c r="H33" s="37"/>
      <c r="I33" s="37"/>
      <c r="J33" s="37"/>
      <c r="K33" s="37"/>
      <c r="L33" s="37"/>
      <c r="M33" s="37"/>
    </row>
    <row r="41" spans="1:13">
      <c r="F41"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0"/>
  <sheetViews>
    <sheetView topLeftCell="A10" workbookViewId="0">
      <selection activeCell="B21" sqref="B21:G21"/>
    </sheetView>
  </sheetViews>
  <sheetFormatPr defaultRowHeight="15"/>
  <cols>
    <col min="1" max="1" width="7" customWidth="1"/>
    <col min="4" max="4" width="42.42578125" customWidth="1"/>
    <col min="10" max="10" width="12.140625" customWidth="1"/>
    <col min="11" max="11" width="11.28515625" customWidth="1"/>
    <col min="12" max="12" width="14.5703125" customWidth="1"/>
  </cols>
  <sheetData>
    <row r="1" spans="1:12">
      <c r="A1" s="1192" t="s">
        <v>465</v>
      </c>
      <c r="B1" s="1192"/>
      <c r="C1" s="1192"/>
      <c r="D1" s="1192"/>
      <c r="E1" s="1192"/>
      <c r="F1" s="1192"/>
      <c r="G1" s="1192"/>
      <c r="H1" s="1192"/>
      <c r="I1" s="1192"/>
      <c r="J1" s="1192"/>
      <c r="K1" s="1192"/>
      <c r="L1" s="1192"/>
    </row>
    <row r="2" spans="1:12">
      <c r="A2" s="1192"/>
      <c r="B2" s="1192"/>
      <c r="C2" s="1192"/>
      <c r="D2" s="1192"/>
      <c r="E2" s="1192"/>
      <c r="F2" s="1192"/>
      <c r="G2" s="1192"/>
      <c r="H2" s="1192"/>
      <c r="I2" s="1192"/>
      <c r="J2" s="1192"/>
      <c r="K2" s="1192"/>
      <c r="L2" s="1192"/>
    </row>
    <row r="3" spans="1:12">
      <c r="A3" s="1185" t="s">
        <v>466</v>
      </c>
      <c r="B3" s="1185"/>
      <c r="C3" s="1185"/>
      <c r="D3" s="1185"/>
      <c r="E3" s="1185"/>
      <c r="F3" s="1185"/>
      <c r="G3" s="1185"/>
      <c r="H3" s="1185"/>
      <c r="I3" s="1185"/>
      <c r="J3" s="1185"/>
      <c r="K3" s="1185"/>
      <c r="L3" s="1185"/>
    </row>
    <row r="4" spans="1:12" ht="15" customHeight="1">
      <c r="A4" s="20" t="s">
        <v>375</v>
      </c>
      <c r="B4" s="21"/>
      <c r="C4" s="21"/>
      <c r="D4" s="22" t="str">
        <f>'4-22MASTER'!G5</f>
        <v>Burgeon IT Services Pvt.Ltd.</v>
      </c>
      <c r="E4" s="29" t="s">
        <v>80</v>
      </c>
      <c r="F4" s="21"/>
      <c r="G4" s="21"/>
      <c r="H4" s="21"/>
      <c r="I4" s="21"/>
      <c r="J4" s="21"/>
      <c r="K4" s="21"/>
      <c r="L4" s="50"/>
    </row>
    <row r="5" spans="1:12">
      <c r="A5" s="23"/>
      <c r="B5" s="24" t="str">
        <f>'4-22MASTER'!G6</f>
        <v>Siri Mansion LIGB 436 Dr.A S Rao Nagar,Hyderabad</v>
      </c>
      <c r="C5" s="24"/>
      <c r="D5" s="25"/>
      <c r="E5" s="38"/>
      <c r="F5" s="53"/>
      <c r="G5" s="53"/>
      <c r="H5" s="53"/>
      <c r="I5" s="53"/>
      <c r="J5" s="53"/>
      <c r="K5" s="53"/>
      <c r="L5" s="54"/>
    </row>
    <row r="6" spans="1:12">
      <c r="A6" s="26"/>
      <c r="B6" s="27">
        <f>'4-22MASTER'!G7</f>
        <v>0</v>
      </c>
      <c r="C6" s="27"/>
      <c r="D6" s="28"/>
      <c r="E6" s="52"/>
      <c r="F6" s="27"/>
      <c r="G6" s="27"/>
      <c r="H6" s="27"/>
      <c r="I6" s="27"/>
      <c r="J6" s="27"/>
      <c r="K6" s="27"/>
      <c r="L6" s="28"/>
    </row>
    <row r="7" spans="1:12">
      <c r="A7" s="29" t="s">
        <v>79</v>
      </c>
      <c r="B7" s="21"/>
      <c r="C7" s="21"/>
      <c r="D7" s="22" t="str">
        <f>'4-22MASTER'!G8</f>
        <v>IT SUPPORTIVE SERVICES &amp; PUNE ASC SEZ</v>
      </c>
      <c r="E7" s="29" t="s">
        <v>66</v>
      </c>
      <c r="F7" s="21"/>
      <c r="G7" s="21"/>
      <c r="H7" s="21"/>
      <c r="I7" s="21"/>
      <c r="J7" s="21"/>
      <c r="K7" s="21"/>
      <c r="L7" s="22"/>
    </row>
    <row r="8" spans="1:12">
      <c r="A8" s="23"/>
      <c r="B8" s="24"/>
      <c r="C8" s="24"/>
      <c r="D8" s="25"/>
      <c r="E8" s="30" t="str">
        <f>'4-22MASTER'!AQ10</f>
        <v>INFOSYS  LTD.IL Ascendas SEZ Unit,Building Juniper</v>
      </c>
      <c r="F8" s="24"/>
      <c r="G8" s="24"/>
      <c r="H8" s="24"/>
      <c r="I8" s="24"/>
      <c r="J8" s="24"/>
      <c r="K8" s="24"/>
      <c r="L8" s="25"/>
    </row>
    <row r="9" spans="1:12">
      <c r="A9" s="23"/>
      <c r="B9" s="24"/>
      <c r="C9" s="24"/>
      <c r="D9" s="25"/>
      <c r="E9" s="23" t="str">
        <f>'4-22MASTER'!AQ11</f>
        <v>International Tech Park,Rajiv Gandhi Infotech Park,Hinjawadi,Pune,Maharashtra</v>
      </c>
      <c r="F9" s="24"/>
      <c r="G9" s="24"/>
      <c r="H9" s="24"/>
      <c r="I9" s="24"/>
      <c r="J9" s="24"/>
      <c r="K9" s="24"/>
      <c r="L9" s="25"/>
    </row>
    <row r="10" spans="1:12" ht="15.75" thickBot="1">
      <c r="A10" s="23"/>
      <c r="B10" s="24"/>
      <c r="C10" s="24"/>
      <c r="D10" s="25"/>
      <c r="E10" s="23"/>
      <c r="F10" s="24"/>
      <c r="G10" s="24"/>
      <c r="H10" s="24"/>
      <c r="I10" s="24"/>
      <c r="J10" s="24"/>
      <c r="K10" s="24"/>
      <c r="L10" s="25"/>
    </row>
    <row r="11" spans="1:12" ht="51" customHeight="1">
      <c r="A11" s="1190" t="s">
        <v>5</v>
      </c>
      <c r="B11" s="1190" t="s">
        <v>67</v>
      </c>
      <c r="C11" s="45" t="s">
        <v>68</v>
      </c>
      <c r="D11" s="1193" t="s">
        <v>69</v>
      </c>
      <c r="E11" s="1193" t="s">
        <v>81</v>
      </c>
      <c r="F11" s="1193" t="s">
        <v>82</v>
      </c>
      <c r="G11" s="1193" t="s">
        <v>83</v>
      </c>
      <c r="H11" s="1193" t="s">
        <v>73</v>
      </c>
      <c r="I11" s="1193" t="s">
        <v>84</v>
      </c>
      <c r="J11" s="45" t="s">
        <v>85</v>
      </c>
      <c r="K11" s="1190" t="s">
        <v>86</v>
      </c>
      <c r="L11" s="1190" t="s">
        <v>40</v>
      </c>
    </row>
    <row r="12" spans="1:12" ht="15" customHeight="1" thickBot="1">
      <c r="A12" s="1191"/>
      <c r="B12" s="1191"/>
      <c r="C12" s="49"/>
      <c r="D12" s="1194"/>
      <c r="E12" s="1194"/>
      <c r="F12" s="1194"/>
      <c r="G12" s="1194"/>
      <c r="H12" s="1194"/>
      <c r="I12" s="1194"/>
      <c r="J12" s="44"/>
      <c r="K12" s="1191"/>
      <c r="L12" s="1191"/>
    </row>
    <row r="13" spans="1:12" ht="15" customHeight="1">
      <c r="A13" s="43">
        <v>1</v>
      </c>
      <c r="B13" s="43">
        <v>2</v>
      </c>
      <c r="C13" s="43">
        <v>3</v>
      </c>
      <c r="D13" s="43">
        <v>4</v>
      </c>
      <c r="E13" s="43">
        <v>5</v>
      </c>
      <c r="F13" s="43">
        <v>6</v>
      </c>
      <c r="G13" s="43">
        <v>7</v>
      </c>
      <c r="H13" s="43">
        <v>8</v>
      </c>
      <c r="I13" s="43">
        <v>9</v>
      </c>
      <c r="J13" s="46">
        <v>10</v>
      </c>
      <c r="K13" s="47">
        <v>11</v>
      </c>
      <c r="L13" s="48">
        <v>12</v>
      </c>
    </row>
    <row r="14" spans="1:12">
      <c r="A14" s="37"/>
      <c r="B14" s="37"/>
      <c r="C14" s="37"/>
      <c r="D14" s="37"/>
      <c r="E14" s="37"/>
      <c r="F14" s="37"/>
      <c r="G14" s="37"/>
      <c r="H14" s="37"/>
      <c r="I14" s="37"/>
      <c r="J14" s="37"/>
      <c r="K14" s="41"/>
      <c r="L14" s="37"/>
    </row>
    <row r="15" spans="1:12" ht="15.75" thickBot="1">
      <c r="A15" s="37"/>
      <c r="B15" s="40"/>
      <c r="C15" s="40"/>
      <c r="D15" s="40"/>
      <c r="E15" s="40"/>
      <c r="F15" s="40"/>
      <c r="G15" s="40"/>
      <c r="H15" s="40"/>
      <c r="I15" s="40"/>
      <c r="J15" s="40"/>
      <c r="K15" s="40"/>
      <c r="L15" s="40"/>
    </row>
    <row r="16" spans="1:12" ht="15.75" thickBot="1">
      <c r="A16" s="39"/>
      <c r="B16" s="1187" t="s">
        <v>87</v>
      </c>
      <c r="C16" s="1188"/>
      <c r="D16" s="1188"/>
      <c r="E16" s="1188"/>
      <c r="F16" s="1188"/>
      <c r="G16" s="1189"/>
      <c r="H16" s="450">
        <f>'4-22MASTER'!E10</f>
        <v>44652</v>
      </c>
      <c r="I16" s="37"/>
      <c r="J16" s="37"/>
      <c r="K16" s="37"/>
      <c r="L16" s="37"/>
    </row>
    <row r="17" spans="1:12">
      <c r="A17" s="37"/>
      <c r="B17" s="447"/>
      <c r="C17" s="447"/>
      <c r="D17" s="447"/>
      <c r="E17" s="447"/>
      <c r="F17" s="447"/>
      <c r="G17" s="447"/>
      <c r="H17" s="447"/>
      <c r="I17" s="41"/>
      <c r="J17" s="41"/>
      <c r="K17" s="41"/>
      <c r="L17" s="41"/>
    </row>
    <row r="18" spans="1:12">
      <c r="A18" s="37"/>
      <c r="B18" s="443"/>
      <c r="C18" s="443"/>
      <c r="D18" s="443"/>
      <c r="E18" s="443"/>
      <c r="F18" s="443"/>
      <c r="G18" s="443"/>
      <c r="H18" s="443"/>
      <c r="I18" s="37"/>
      <c r="J18" s="37"/>
      <c r="K18" s="37"/>
      <c r="L18" s="37"/>
    </row>
    <row r="19" spans="1:12">
      <c r="A19" s="37"/>
      <c r="B19" s="443"/>
      <c r="C19" s="443"/>
      <c r="D19" s="443"/>
      <c r="E19" s="443"/>
      <c r="F19" s="443"/>
      <c r="G19" s="443"/>
      <c r="H19" s="443"/>
      <c r="I19" s="37"/>
      <c r="J19" s="37"/>
      <c r="K19" s="37"/>
      <c r="L19" s="37"/>
    </row>
    <row r="20" spans="1:12">
      <c r="A20" s="37"/>
      <c r="B20" s="457"/>
      <c r="C20" s="445"/>
      <c r="D20" s="445"/>
      <c r="E20" s="445"/>
      <c r="F20" s="445"/>
      <c r="G20" s="445"/>
      <c r="H20" s="445"/>
      <c r="I20" s="458"/>
      <c r="J20" s="37"/>
      <c r="K20" s="37"/>
      <c r="L20" s="37"/>
    </row>
    <row r="21" spans="1:12">
      <c r="A21" s="456"/>
      <c r="B21" s="1186"/>
      <c r="C21" s="1186"/>
      <c r="D21" s="1186"/>
      <c r="E21" s="1186"/>
      <c r="F21" s="1186"/>
      <c r="G21" s="1186"/>
      <c r="H21" s="459"/>
      <c r="I21" s="460"/>
      <c r="J21" s="37"/>
      <c r="K21" s="37"/>
      <c r="L21" s="37"/>
    </row>
    <row r="22" spans="1:12">
      <c r="A22" s="456"/>
      <c r="B22" s="443"/>
      <c r="C22" s="443"/>
      <c r="D22" s="443"/>
      <c r="E22" s="443"/>
      <c r="F22" s="443"/>
      <c r="G22" s="443"/>
      <c r="H22" s="443"/>
      <c r="I22" s="460"/>
      <c r="J22" s="37"/>
      <c r="K22" s="37"/>
      <c r="L22" s="37"/>
    </row>
    <row r="23" spans="1:12">
      <c r="A23" s="456"/>
      <c r="B23" s="443"/>
      <c r="C23" s="443"/>
      <c r="D23" s="443"/>
      <c r="E23" s="443"/>
      <c r="F23" s="443"/>
      <c r="G23" s="443"/>
      <c r="H23" s="443"/>
      <c r="I23" s="460"/>
      <c r="J23" s="37"/>
      <c r="K23" s="37"/>
      <c r="L23" s="37"/>
    </row>
    <row r="24" spans="1:12">
      <c r="A24" s="456"/>
      <c r="B24" s="443"/>
      <c r="C24" s="443"/>
      <c r="D24" s="443"/>
      <c r="E24" s="443"/>
      <c r="F24" s="443"/>
      <c r="G24" s="443"/>
      <c r="H24" s="443"/>
      <c r="I24" s="460"/>
      <c r="J24" s="37"/>
      <c r="K24" s="37"/>
      <c r="L24" s="37"/>
    </row>
    <row r="25" spans="1:12">
      <c r="A25" s="456"/>
      <c r="B25" s="443"/>
      <c r="C25" s="443"/>
      <c r="D25" s="443"/>
      <c r="E25" s="443"/>
      <c r="F25" s="443"/>
      <c r="G25" s="443"/>
      <c r="H25" s="443"/>
      <c r="I25" s="460"/>
      <c r="J25" s="37"/>
      <c r="K25" s="37"/>
      <c r="L25" s="37"/>
    </row>
    <row r="26" spans="1:12">
      <c r="A26" s="456"/>
      <c r="B26" s="1186"/>
      <c r="C26" s="1186"/>
      <c r="D26" s="1186"/>
      <c r="E26" s="1186"/>
      <c r="F26" s="1186"/>
      <c r="G26" s="1186"/>
      <c r="H26" s="459"/>
      <c r="I26" s="460"/>
      <c r="J26" s="37"/>
      <c r="K26" s="37"/>
      <c r="L26" s="37"/>
    </row>
    <row r="27" spans="1:12">
      <c r="A27" s="456"/>
      <c r="B27" s="460"/>
      <c r="C27" s="460"/>
      <c r="D27" s="460"/>
      <c r="E27" s="460"/>
      <c r="F27" s="460"/>
      <c r="G27" s="460"/>
      <c r="H27" s="460"/>
      <c r="I27" s="460"/>
      <c r="J27" s="37"/>
      <c r="K27" s="37"/>
      <c r="L27" s="37"/>
    </row>
    <row r="28" spans="1:12">
      <c r="A28" s="37"/>
      <c r="B28" s="37"/>
      <c r="C28" s="37"/>
      <c r="D28" s="37"/>
      <c r="E28" s="37"/>
      <c r="F28" s="37"/>
      <c r="G28" s="37"/>
      <c r="H28" s="37"/>
      <c r="I28" s="37"/>
      <c r="J28" s="37"/>
      <c r="K28" s="37"/>
      <c r="L28" s="37"/>
    </row>
    <row r="29" spans="1:12">
      <c r="A29" s="37"/>
      <c r="B29" s="37"/>
      <c r="C29" s="37"/>
      <c r="D29" s="37"/>
      <c r="E29" s="37"/>
      <c r="F29" s="37"/>
      <c r="G29" s="37"/>
      <c r="H29" s="37"/>
      <c r="I29" s="37"/>
      <c r="J29" s="37"/>
      <c r="K29" s="37"/>
      <c r="L29" s="37"/>
    </row>
    <row r="30" spans="1:12">
      <c r="A30" s="37"/>
      <c r="B30" s="37"/>
      <c r="C30" s="37"/>
      <c r="D30" s="37"/>
      <c r="E30" s="37"/>
      <c r="F30" s="37"/>
      <c r="G30" s="37"/>
      <c r="H30" s="37"/>
      <c r="I30" s="37"/>
      <c r="J30" s="37"/>
      <c r="K30" s="37"/>
      <c r="L30" s="37"/>
    </row>
    <row r="31" spans="1:12">
      <c r="A31" s="37"/>
      <c r="B31" s="37"/>
      <c r="C31" s="37"/>
      <c r="D31" s="37"/>
      <c r="E31" s="37"/>
      <c r="F31" s="37"/>
      <c r="G31" s="37"/>
      <c r="H31" s="37"/>
      <c r="I31" s="37"/>
      <c r="J31" s="37"/>
      <c r="K31" s="37"/>
      <c r="L31" s="37"/>
    </row>
    <row r="32" spans="1:12">
      <c r="A32" s="37"/>
      <c r="B32" s="37"/>
      <c r="C32" s="37"/>
      <c r="D32" s="37"/>
      <c r="E32" s="37"/>
      <c r="F32" s="37"/>
      <c r="G32" s="37"/>
      <c r="H32" s="37"/>
      <c r="I32" s="37"/>
      <c r="J32" s="37"/>
      <c r="K32" s="37"/>
      <c r="L32" s="37"/>
    </row>
    <row r="33" spans="1:12">
      <c r="A33" s="37"/>
      <c r="B33" s="37"/>
      <c r="C33" s="37"/>
      <c r="D33" s="37"/>
      <c r="E33" s="37"/>
      <c r="F33" s="37"/>
      <c r="G33" s="37"/>
      <c r="H33" s="37"/>
      <c r="I33" s="37"/>
      <c r="J33" s="37"/>
      <c r="K33" s="37"/>
      <c r="L33" s="37"/>
    </row>
    <row r="40" spans="1:12">
      <c r="F40" t="s">
        <v>38</v>
      </c>
    </row>
  </sheetData>
  <protectedRanges>
    <protectedRange password="CA4D" sqref="E5 A1:D13 E6:L10 E1:L3 L11:L13 E13:J13" name="Range1"/>
  </protectedRanges>
  <mergeCells count="15">
    <mergeCell ref="A1:L2"/>
    <mergeCell ref="A3:L3"/>
    <mergeCell ref="A11:A12"/>
    <mergeCell ref="B11:B12"/>
    <mergeCell ref="D11:D12"/>
    <mergeCell ref="E11:E12"/>
    <mergeCell ref="F11:F12"/>
    <mergeCell ref="G11:G12"/>
    <mergeCell ref="H11:H12"/>
    <mergeCell ref="I11:I12"/>
    <mergeCell ref="B21:G21"/>
    <mergeCell ref="B26:G26"/>
    <mergeCell ref="B16:G16"/>
    <mergeCell ref="K11:K12"/>
    <mergeCell ref="L11:L12"/>
  </mergeCells>
  <pageMargins left="0.94" right="0.7" top="0.75" bottom="0.75" header="0.3" footer="0.3"/>
  <pageSetup scale="8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9"/>
  <sheetViews>
    <sheetView workbookViewId="0">
      <selection sqref="A1:K2"/>
    </sheetView>
  </sheetViews>
  <sheetFormatPr defaultRowHeight="15"/>
  <cols>
    <col min="3" max="3" width="9.85546875" customWidth="1"/>
    <col min="4" max="4" width="44.7109375" customWidth="1"/>
    <col min="10" max="10" width="26" customWidth="1"/>
    <col min="11" max="11" width="14.7109375" customWidth="1"/>
  </cols>
  <sheetData>
    <row r="1" spans="1:11">
      <c r="A1" s="1184" t="s">
        <v>467</v>
      </c>
      <c r="B1" s="1184"/>
      <c r="C1" s="1184"/>
      <c r="D1" s="1184"/>
      <c r="E1" s="1184"/>
      <c r="F1" s="1184"/>
      <c r="G1" s="1184"/>
      <c r="H1" s="1184"/>
      <c r="I1" s="1184"/>
      <c r="J1" s="1184"/>
      <c r="K1" s="1184"/>
    </row>
    <row r="2" spans="1:11">
      <c r="A2" s="1184"/>
      <c r="B2" s="1184"/>
      <c r="C2" s="1184"/>
      <c r="D2" s="1184"/>
      <c r="E2" s="1184"/>
      <c r="F2" s="1184"/>
      <c r="G2" s="1184"/>
      <c r="H2" s="1184"/>
      <c r="I2" s="1184"/>
      <c r="J2" s="1184"/>
      <c r="K2" s="1184"/>
    </row>
    <row r="3" spans="1:11">
      <c r="A3" s="1185" t="s">
        <v>466</v>
      </c>
      <c r="B3" s="1185"/>
      <c r="C3" s="1185"/>
      <c r="D3" s="1185"/>
      <c r="E3" s="1198"/>
      <c r="F3" s="1198"/>
      <c r="G3" s="1198"/>
      <c r="H3" s="1198"/>
      <c r="I3" s="1198"/>
      <c r="J3" s="1198"/>
      <c r="K3" s="1198"/>
    </row>
    <row r="4" spans="1:11" ht="15" customHeight="1">
      <c r="A4" s="20" t="s">
        <v>374</v>
      </c>
      <c r="B4" s="21"/>
      <c r="C4" s="21"/>
      <c r="D4" s="22" t="str">
        <f>'4-22MASTER'!G5</f>
        <v>Burgeon IT Services Pvt.Ltd.</v>
      </c>
      <c r="E4" s="55" t="s">
        <v>80</v>
      </c>
      <c r="F4" s="56"/>
      <c r="G4" s="56"/>
      <c r="H4" s="56"/>
      <c r="I4" s="56"/>
      <c r="J4" s="56"/>
      <c r="K4" s="57"/>
    </row>
    <row r="5" spans="1:11">
      <c r="A5" s="23"/>
      <c r="B5" s="24" t="str">
        <f>'4-22MASTER'!G6</f>
        <v>Siri Mansion LIGB 436 Dr.A S Rao Nagar,Hyderabad</v>
      </c>
      <c r="C5" s="24"/>
      <c r="D5" s="25"/>
      <c r="E5" s="38"/>
      <c r="F5" s="53"/>
      <c r="G5" s="53"/>
      <c r="H5" s="53"/>
      <c r="I5" s="53"/>
      <c r="J5" s="53"/>
      <c r="K5" s="54"/>
    </row>
    <row r="6" spans="1:11">
      <c r="A6" s="26"/>
      <c r="B6" s="27"/>
      <c r="C6" s="27"/>
      <c r="D6" s="28"/>
      <c r="E6" s="38"/>
      <c r="F6" s="56"/>
      <c r="G6" s="56"/>
      <c r="H6" s="56"/>
      <c r="I6" s="56"/>
      <c r="J6" s="56"/>
      <c r="K6" s="57"/>
    </row>
    <row r="7" spans="1:11">
      <c r="A7" s="29" t="s">
        <v>79</v>
      </c>
      <c r="B7" s="21"/>
      <c r="C7" s="21"/>
      <c r="D7" s="22" t="str">
        <f>'4-22MASTER'!G8</f>
        <v>IT SUPPORTIVE SERVICES &amp; PUNE ASC SEZ</v>
      </c>
      <c r="E7" s="29" t="s">
        <v>66</v>
      </c>
      <c r="F7" s="21"/>
      <c r="G7" s="21"/>
      <c r="H7" s="21"/>
      <c r="I7" s="21"/>
      <c r="J7" s="21"/>
      <c r="K7" s="22"/>
    </row>
    <row r="8" spans="1:11">
      <c r="A8" s="23"/>
      <c r="B8" s="24"/>
      <c r="C8" s="24"/>
      <c r="D8" s="25"/>
      <c r="E8" s="30" t="str">
        <f>'4-22MASTER'!AQ10</f>
        <v>INFOSYS  LTD.IL Ascendas SEZ Unit,Building Juniper</v>
      </c>
      <c r="F8" s="24"/>
      <c r="G8" s="24"/>
      <c r="H8" s="24"/>
      <c r="I8" s="24"/>
      <c r="J8" s="24"/>
      <c r="K8" s="25"/>
    </row>
    <row r="9" spans="1:11">
      <c r="A9" s="23"/>
      <c r="B9" s="24"/>
      <c r="C9" s="24"/>
      <c r="D9" s="25"/>
      <c r="E9" s="23" t="str">
        <f>'4-22MASTER'!AQ11</f>
        <v>International Tech Park,Rajiv Gandhi Infotech Park,Hinjawadi,Pune,Maharashtra</v>
      </c>
      <c r="F9" s="24"/>
      <c r="G9" s="24"/>
      <c r="H9" s="24"/>
      <c r="I9" s="24"/>
      <c r="J9" s="24"/>
      <c r="K9" s="25"/>
    </row>
    <row r="10" spans="1:11">
      <c r="A10" s="23"/>
      <c r="B10" s="24"/>
      <c r="C10" s="24"/>
      <c r="D10" s="25"/>
      <c r="E10" s="26"/>
      <c r="F10" s="27"/>
      <c r="G10" s="27"/>
      <c r="H10" s="27"/>
      <c r="I10" s="27"/>
      <c r="J10" s="27"/>
      <c r="K10" s="28"/>
    </row>
    <row r="11" spans="1:11">
      <c r="A11" s="1183" t="s">
        <v>5</v>
      </c>
      <c r="B11" s="1183" t="s">
        <v>67</v>
      </c>
      <c r="C11" s="1183" t="s">
        <v>68</v>
      </c>
      <c r="D11" s="1182" t="s">
        <v>69</v>
      </c>
      <c r="E11" s="1199" t="s">
        <v>88</v>
      </c>
      <c r="F11" s="1199" t="s">
        <v>89</v>
      </c>
      <c r="G11" s="1199" t="s">
        <v>90</v>
      </c>
      <c r="H11" s="1199" t="s">
        <v>91</v>
      </c>
      <c r="I11" s="1199" t="s">
        <v>92</v>
      </c>
      <c r="J11" s="1200" t="s">
        <v>93</v>
      </c>
      <c r="K11" s="1201" t="s">
        <v>40</v>
      </c>
    </row>
    <row r="12" spans="1:11" ht="65.25" customHeight="1">
      <c r="A12" s="1183"/>
      <c r="B12" s="1183"/>
      <c r="C12" s="1183"/>
      <c r="D12" s="1182"/>
      <c r="E12" s="1182"/>
      <c r="F12" s="1182"/>
      <c r="G12" s="1182"/>
      <c r="H12" s="1182"/>
      <c r="I12" s="1182"/>
      <c r="J12" s="1183"/>
      <c r="K12" s="1200"/>
    </row>
    <row r="13" spans="1:11">
      <c r="A13" s="36">
        <v>1</v>
      </c>
      <c r="B13" s="36">
        <v>2</v>
      </c>
      <c r="C13" s="36">
        <v>3</v>
      </c>
      <c r="D13" s="36">
        <v>4</v>
      </c>
      <c r="E13" s="36">
        <v>5</v>
      </c>
      <c r="F13" s="36">
        <v>6</v>
      </c>
      <c r="G13" s="36">
        <v>7</v>
      </c>
      <c r="H13" s="36">
        <v>8</v>
      </c>
      <c r="I13" s="36">
        <v>9</v>
      </c>
      <c r="J13" s="36">
        <v>10</v>
      </c>
      <c r="K13" s="36">
        <v>11</v>
      </c>
    </row>
    <row r="14" spans="1:11">
      <c r="A14" s="38"/>
      <c r="B14" s="38"/>
      <c r="C14" s="38"/>
      <c r="D14" s="38"/>
      <c r="E14" s="38"/>
      <c r="F14" s="38"/>
      <c r="G14" s="38"/>
      <c r="H14" s="38"/>
      <c r="I14" s="38"/>
      <c r="J14" s="38"/>
      <c r="K14" s="38"/>
    </row>
    <row r="15" spans="1:11">
      <c r="A15" s="38"/>
      <c r="B15" s="51"/>
      <c r="C15" s="51"/>
      <c r="D15" s="51"/>
      <c r="E15" s="51"/>
      <c r="F15" s="38"/>
      <c r="G15" s="38"/>
      <c r="H15" s="38"/>
      <c r="I15" s="38"/>
      <c r="J15" s="38"/>
      <c r="K15" s="38"/>
    </row>
    <row r="16" spans="1:11">
      <c r="A16" s="55"/>
      <c r="B16" s="1195" t="s">
        <v>94</v>
      </c>
      <c r="C16" s="1196"/>
      <c r="D16" s="1196"/>
      <c r="E16" s="1197"/>
      <c r="F16" s="450">
        <f>'4-22MASTER'!E10</f>
        <v>44652</v>
      </c>
      <c r="G16" s="38"/>
      <c r="H16" s="38"/>
      <c r="I16" s="38"/>
      <c r="J16" s="38"/>
      <c r="K16" s="38"/>
    </row>
    <row r="17" spans="1:11">
      <c r="A17" s="38"/>
      <c r="B17" s="447"/>
      <c r="C17" s="447"/>
      <c r="D17" s="447"/>
      <c r="E17" s="447"/>
      <c r="F17" s="447"/>
      <c r="G17" s="38"/>
      <c r="H17" s="38"/>
      <c r="I17" s="38"/>
      <c r="J17" s="38"/>
      <c r="K17" s="38"/>
    </row>
    <row r="18" spans="1:11">
      <c r="A18" s="58"/>
      <c r="B18" s="443"/>
      <c r="C18" s="443"/>
      <c r="D18" s="443"/>
      <c r="E18" s="443"/>
      <c r="F18" s="443"/>
      <c r="G18" s="38"/>
      <c r="H18" s="38"/>
      <c r="I18" s="38"/>
      <c r="J18" s="38"/>
      <c r="K18" s="38"/>
    </row>
    <row r="19" spans="1:11">
      <c r="A19" s="38"/>
      <c r="B19" s="443"/>
      <c r="C19" s="443"/>
      <c r="D19" s="443"/>
      <c r="E19" s="443"/>
      <c r="F19" s="443"/>
      <c r="G19" s="38"/>
      <c r="H19" s="38"/>
      <c r="I19" s="38"/>
      <c r="J19" s="38"/>
      <c r="K19" s="38"/>
    </row>
    <row r="20" spans="1:11">
      <c r="A20" s="38"/>
      <c r="B20" s="443"/>
      <c r="C20" s="443"/>
      <c r="D20" s="443"/>
      <c r="E20" s="443"/>
      <c r="F20" s="443"/>
      <c r="G20" s="38"/>
      <c r="H20" s="38"/>
      <c r="I20" s="38"/>
      <c r="J20" s="38"/>
      <c r="K20" s="38"/>
    </row>
    <row r="21" spans="1:11">
      <c r="A21" s="38"/>
      <c r="B21" s="1195"/>
      <c r="C21" s="1196"/>
      <c r="D21" s="1196"/>
      <c r="E21" s="1197"/>
      <c r="F21" s="450"/>
      <c r="G21" s="38"/>
      <c r="H21" s="38"/>
      <c r="I21" s="38"/>
      <c r="J21" s="38"/>
      <c r="K21" s="38"/>
    </row>
    <row r="22" spans="1:11">
      <c r="A22" s="38"/>
      <c r="B22" s="443"/>
      <c r="C22" s="443"/>
      <c r="D22" s="443"/>
      <c r="E22" s="443"/>
      <c r="F22" s="443"/>
      <c r="G22" s="38"/>
      <c r="H22" s="38"/>
      <c r="I22" s="38"/>
      <c r="J22" s="38"/>
      <c r="K22" s="38"/>
    </row>
    <row r="23" spans="1:11">
      <c r="A23" s="38"/>
      <c r="B23" s="443"/>
      <c r="C23" s="443"/>
      <c r="D23" s="443"/>
      <c r="E23" s="443"/>
      <c r="F23" s="443"/>
      <c r="G23" s="38"/>
      <c r="H23" s="38"/>
      <c r="I23" s="38"/>
      <c r="J23" s="38"/>
      <c r="K23" s="38"/>
    </row>
    <row r="24" spans="1:11">
      <c r="A24" s="38"/>
      <c r="B24" s="443"/>
      <c r="C24" s="443"/>
      <c r="D24" s="443"/>
      <c r="E24" s="443"/>
      <c r="F24" s="443"/>
      <c r="G24" s="38"/>
      <c r="H24" s="38"/>
      <c r="I24" s="38"/>
      <c r="J24" s="38"/>
      <c r="K24" s="38"/>
    </row>
    <row r="25" spans="1:11">
      <c r="A25" s="38"/>
      <c r="B25" s="443"/>
      <c r="C25" s="443"/>
      <c r="D25" s="443"/>
      <c r="E25" s="443"/>
      <c r="F25" s="443"/>
      <c r="G25" s="38"/>
      <c r="H25" s="38"/>
      <c r="I25" s="38"/>
      <c r="J25" s="38"/>
      <c r="K25" s="38"/>
    </row>
    <row r="26" spans="1:11">
      <c r="A26" s="38"/>
      <c r="B26" s="1195"/>
      <c r="C26" s="1196"/>
      <c r="D26" s="1196"/>
      <c r="E26" s="1197"/>
      <c r="F26" s="450"/>
      <c r="G26" s="38"/>
      <c r="H26" s="38"/>
      <c r="I26" s="38"/>
      <c r="J26" s="38"/>
      <c r="K26" s="38"/>
    </row>
    <row r="27" spans="1:11">
      <c r="A27" s="38"/>
      <c r="B27" s="443"/>
      <c r="C27" s="443"/>
      <c r="D27" s="443"/>
      <c r="E27" s="443"/>
      <c r="F27" s="443"/>
      <c r="G27" s="38"/>
      <c r="H27" s="38"/>
      <c r="I27" s="38"/>
      <c r="J27" s="38"/>
      <c r="K27" s="38"/>
    </row>
    <row r="28" spans="1:11">
      <c r="A28" s="38"/>
      <c r="B28" s="443"/>
      <c r="C28" s="443"/>
      <c r="D28" s="443"/>
      <c r="E28" s="443"/>
      <c r="F28" s="443"/>
      <c r="G28" s="38"/>
      <c r="H28" s="38"/>
      <c r="I28" s="38"/>
      <c r="J28" s="38"/>
      <c r="K28" s="38"/>
    </row>
    <row r="29" spans="1:11">
      <c r="A29" s="38"/>
      <c r="B29" s="38"/>
      <c r="C29" s="38"/>
      <c r="D29" s="38"/>
      <c r="E29" s="38"/>
      <c r="F29" s="38"/>
      <c r="G29" s="38"/>
      <c r="H29" s="38"/>
      <c r="I29" s="38"/>
      <c r="J29" s="38"/>
      <c r="K29" s="38"/>
    </row>
    <row r="30" spans="1:11">
      <c r="A30" s="38"/>
      <c r="B30" s="38"/>
      <c r="C30" s="38"/>
      <c r="D30" s="38"/>
      <c r="E30" s="38"/>
      <c r="F30" s="38"/>
      <c r="G30" s="38"/>
      <c r="H30" s="38"/>
      <c r="I30" s="38"/>
      <c r="J30" s="38"/>
      <c r="K30" s="38"/>
    </row>
    <row r="31" spans="1:11">
      <c r="A31" s="38"/>
      <c r="B31" s="38"/>
      <c r="C31" s="38"/>
      <c r="D31" s="38"/>
      <c r="E31" s="38"/>
      <c r="F31" s="38"/>
      <c r="G31" s="38"/>
      <c r="H31" s="38"/>
      <c r="I31" s="38"/>
      <c r="J31" s="38"/>
      <c r="K31" s="38"/>
    </row>
    <row r="32" spans="1:11">
      <c r="A32" s="38"/>
      <c r="B32" s="38"/>
      <c r="C32" s="38"/>
      <c r="D32" s="38"/>
      <c r="E32" s="38"/>
      <c r="F32" s="38"/>
      <c r="G32" s="38"/>
      <c r="H32" s="38"/>
      <c r="I32" s="38"/>
      <c r="J32" s="38"/>
      <c r="K32" s="38"/>
    </row>
    <row r="33" spans="1:11">
      <c r="A33" s="38"/>
      <c r="B33" s="38"/>
      <c r="C33" s="38"/>
      <c r="D33" s="38"/>
      <c r="E33" s="38"/>
      <c r="F33" s="38"/>
      <c r="G33" s="38"/>
      <c r="H33" s="38"/>
      <c r="I33" s="38"/>
      <c r="J33" s="38"/>
      <c r="K33" s="38"/>
    </row>
    <row r="34" spans="1:11">
      <c r="A34" s="38"/>
      <c r="B34" s="38"/>
      <c r="C34" s="38"/>
      <c r="D34" s="38"/>
      <c r="E34" s="38"/>
      <c r="F34" s="38"/>
      <c r="G34" s="38"/>
      <c r="H34" s="38"/>
      <c r="I34" s="38"/>
      <c r="J34" s="38"/>
      <c r="K34" s="38"/>
    </row>
    <row r="35" spans="1:11">
      <c r="A35" s="38"/>
      <c r="B35" s="38"/>
      <c r="C35" s="38"/>
      <c r="D35" s="38"/>
      <c r="E35" s="38"/>
      <c r="F35" s="38"/>
      <c r="G35" s="38"/>
      <c r="H35" s="38"/>
      <c r="I35" s="38"/>
      <c r="J35" s="38"/>
      <c r="K35" s="38"/>
    </row>
    <row r="36" spans="1:11">
      <c r="A36" s="38"/>
      <c r="B36" s="38"/>
      <c r="C36" s="38"/>
      <c r="D36" s="38"/>
      <c r="E36" s="38"/>
      <c r="F36" s="38"/>
      <c r="G36" s="38"/>
      <c r="H36" s="38"/>
      <c r="I36" s="38"/>
      <c r="J36" s="38"/>
      <c r="K36" s="38"/>
    </row>
    <row r="37" spans="1:11">
      <c r="A37" s="38"/>
      <c r="B37" s="38"/>
      <c r="C37" s="38"/>
      <c r="D37" s="38"/>
      <c r="E37" s="38"/>
      <c r="F37" s="38"/>
      <c r="G37" s="38"/>
      <c r="H37" s="38"/>
      <c r="I37" s="38"/>
      <c r="J37" s="38"/>
      <c r="K37" s="38"/>
    </row>
    <row r="38" spans="1:11">
      <c r="A38" s="38"/>
      <c r="B38" s="38"/>
      <c r="C38" s="38"/>
      <c r="D38" s="38"/>
      <c r="E38" s="38"/>
      <c r="F38" s="38"/>
      <c r="G38" s="38"/>
      <c r="H38" s="38"/>
      <c r="I38" s="38"/>
      <c r="J38" s="38"/>
      <c r="K38" s="38"/>
    </row>
    <row r="39" spans="1:11">
      <c r="G39" t="s">
        <v>38</v>
      </c>
    </row>
  </sheetData>
  <protectedRanges>
    <protectedRange password="CA4D" sqref="A1:K3 A11:K13" name="Range1"/>
    <protectedRange password="CA4D" sqref="E5 A4:D10 E6:K10" name="Range1_5"/>
  </protectedRanges>
  <mergeCells count="16">
    <mergeCell ref="B21:E21"/>
    <mergeCell ref="B26:E26"/>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8"/>
  <sheetViews>
    <sheetView topLeftCell="A7" workbookViewId="0">
      <selection sqref="A1:L2"/>
    </sheetView>
  </sheetViews>
  <sheetFormatPr defaultRowHeight="15"/>
  <cols>
    <col min="5" max="5" width="33.85546875" customWidth="1"/>
    <col min="12" max="12" width="10.42578125" customWidth="1"/>
  </cols>
  <sheetData>
    <row r="1" spans="1:12" ht="14.45" customHeight="1">
      <c r="A1" s="1205" t="s">
        <v>468</v>
      </c>
      <c r="B1" s="1206"/>
      <c r="C1" s="1206"/>
      <c r="D1" s="1206"/>
      <c r="E1" s="1206"/>
      <c r="F1" s="1206"/>
      <c r="G1" s="1206"/>
      <c r="H1" s="1206"/>
      <c r="I1" s="1206"/>
      <c r="J1" s="1206"/>
      <c r="K1" s="1206"/>
      <c r="L1" s="1207"/>
    </row>
    <row r="2" spans="1:12" ht="14.45" customHeight="1">
      <c r="A2" s="1208"/>
      <c r="B2" s="1209"/>
      <c r="C2" s="1209"/>
      <c r="D2" s="1209"/>
      <c r="E2" s="1209"/>
      <c r="F2" s="1209"/>
      <c r="G2" s="1209"/>
      <c r="H2" s="1209"/>
      <c r="I2" s="1209"/>
      <c r="J2" s="1209"/>
      <c r="K2" s="1209"/>
      <c r="L2" s="1210"/>
    </row>
    <row r="3" spans="1:12">
      <c r="A3" s="1211" t="s">
        <v>466</v>
      </c>
      <c r="B3" s="1212"/>
      <c r="C3" s="1212"/>
      <c r="D3" s="1212"/>
      <c r="E3" s="1212"/>
      <c r="F3" s="1212"/>
      <c r="G3" s="1212"/>
      <c r="H3" s="1212"/>
      <c r="I3" s="1212"/>
      <c r="J3" s="1212"/>
      <c r="K3" s="1212"/>
      <c r="L3" s="1213"/>
    </row>
    <row r="4" spans="1:12" ht="15" customHeight="1">
      <c r="A4" s="424" t="s">
        <v>95</v>
      </c>
      <c r="B4" s="425"/>
      <c r="C4" s="425"/>
      <c r="D4" s="425" t="str">
        <f>'4-22MASTER'!G5</f>
        <v>Burgeon IT Services Pvt.Ltd.</v>
      </c>
      <c r="E4" s="426"/>
      <c r="F4" s="427" t="s">
        <v>103</v>
      </c>
      <c r="G4" s="425"/>
      <c r="H4" s="425"/>
      <c r="I4" s="425"/>
      <c r="J4" s="425"/>
      <c r="K4" s="425"/>
      <c r="L4" s="428"/>
    </row>
    <row r="5" spans="1:12">
      <c r="A5" s="429"/>
      <c r="B5" s="430" t="str">
        <f>'4-22MASTER'!G6</f>
        <v>Siri Mansion LIGB 436 Dr.A S Rao Nagar,Hyderabad</v>
      </c>
      <c r="C5" s="430"/>
      <c r="D5" s="430"/>
      <c r="E5" s="25"/>
      <c r="F5" s="387"/>
      <c r="G5" s="430"/>
      <c r="H5" s="430"/>
      <c r="I5" s="430"/>
      <c r="J5" s="430"/>
      <c r="K5" s="430"/>
      <c r="L5" s="431"/>
    </row>
    <row r="6" spans="1:12">
      <c r="A6" s="432"/>
      <c r="B6" s="433"/>
      <c r="C6" s="433"/>
      <c r="D6" s="433"/>
      <c r="E6" s="28"/>
      <c r="F6" s="26"/>
      <c r="G6" s="433"/>
      <c r="H6" s="433"/>
      <c r="I6" s="433"/>
      <c r="J6" s="433"/>
      <c r="K6" s="433"/>
      <c r="L6" s="434"/>
    </row>
    <row r="7" spans="1:12">
      <c r="A7" s="424" t="s">
        <v>79</v>
      </c>
      <c r="B7" s="425"/>
      <c r="C7" s="425"/>
      <c r="D7" s="425" t="str">
        <f>'4-22MASTER'!G8</f>
        <v>IT SUPPORTIVE SERVICES &amp; PUNE ASC SEZ</v>
      </c>
      <c r="E7" s="426"/>
      <c r="F7" s="427" t="s">
        <v>66</v>
      </c>
      <c r="G7" s="425"/>
      <c r="H7" s="425"/>
      <c r="I7" s="425"/>
      <c r="J7" s="425"/>
      <c r="K7" s="425"/>
      <c r="L7" s="428"/>
    </row>
    <row r="8" spans="1:12">
      <c r="A8" s="429"/>
      <c r="B8" s="430"/>
      <c r="C8" s="430"/>
      <c r="D8" s="430"/>
      <c r="E8" s="25"/>
      <c r="F8" s="435" t="str">
        <f>'4-22MASTER'!AQ10</f>
        <v>INFOSYS  LTD.IL Ascendas SEZ Unit,Building Juniper</v>
      </c>
      <c r="G8" s="430"/>
      <c r="H8" s="430"/>
      <c r="I8" s="430"/>
      <c r="J8" s="430"/>
      <c r="K8" s="430"/>
      <c r="L8" s="431"/>
    </row>
    <row r="9" spans="1:12">
      <c r="A9" s="429"/>
      <c r="B9" s="430"/>
      <c r="C9" s="430"/>
      <c r="D9" s="430"/>
      <c r="E9" s="25"/>
      <c r="F9" s="387" t="str">
        <f>'4-22MASTER'!AQ11</f>
        <v>International Tech Park,Rajiv Gandhi Infotech Park,Hinjawadi,Pune,Maharashtra</v>
      </c>
      <c r="G9" s="430"/>
      <c r="H9" s="430"/>
      <c r="I9" s="430"/>
      <c r="J9" s="430"/>
      <c r="K9" s="430"/>
      <c r="L9" s="431"/>
    </row>
    <row r="10" spans="1:12">
      <c r="A10" s="432"/>
      <c r="B10" s="433"/>
      <c r="C10" s="433"/>
      <c r="D10" s="433"/>
      <c r="E10" s="28"/>
      <c r="F10" s="26"/>
      <c r="G10" s="433"/>
      <c r="H10" s="433"/>
      <c r="I10" s="433"/>
      <c r="J10" s="433"/>
      <c r="K10" s="433"/>
      <c r="L10" s="434"/>
    </row>
    <row r="11" spans="1:12">
      <c r="A11" s="1214" t="s">
        <v>5</v>
      </c>
      <c r="B11" s="1215" t="s">
        <v>67</v>
      </c>
      <c r="C11" s="1216" t="s">
        <v>68</v>
      </c>
      <c r="D11" s="436" t="s">
        <v>39</v>
      </c>
      <c r="E11" s="1217" t="s">
        <v>69</v>
      </c>
      <c r="F11" s="1218" t="s">
        <v>96</v>
      </c>
      <c r="G11" s="1218" t="s">
        <v>97</v>
      </c>
      <c r="H11" s="1218" t="s">
        <v>98</v>
      </c>
      <c r="I11" s="1218" t="s">
        <v>99</v>
      </c>
      <c r="J11" s="1218" t="s">
        <v>100</v>
      </c>
      <c r="K11" s="1215" t="s">
        <v>101</v>
      </c>
      <c r="L11" s="1219" t="s">
        <v>40</v>
      </c>
    </row>
    <row r="12" spans="1:12">
      <c r="A12" s="1214"/>
      <c r="B12" s="1215"/>
      <c r="C12" s="1216"/>
      <c r="D12" s="437"/>
      <c r="E12" s="1217"/>
      <c r="F12" s="1218"/>
      <c r="G12" s="1218"/>
      <c r="H12" s="1218"/>
      <c r="I12" s="1218"/>
      <c r="J12" s="1218"/>
      <c r="K12" s="1215"/>
      <c r="L12" s="1220"/>
    </row>
    <row r="13" spans="1:12">
      <c r="A13" s="438">
        <v>1</v>
      </c>
      <c r="B13" s="439">
        <v>2</v>
      </c>
      <c r="C13" s="439">
        <v>3</v>
      </c>
      <c r="D13" s="440">
        <v>4</v>
      </c>
      <c r="E13" s="439">
        <v>5</v>
      </c>
      <c r="F13" s="439">
        <v>6</v>
      </c>
      <c r="G13" s="439">
        <v>7</v>
      </c>
      <c r="H13" s="439">
        <v>8</v>
      </c>
      <c r="I13" s="439">
        <v>9</v>
      </c>
      <c r="J13" s="439">
        <v>10</v>
      </c>
      <c r="K13" s="439">
        <v>11</v>
      </c>
      <c r="L13" s="441">
        <v>12</v>
      </c>
    </row>
    <row r="14" spans="1:12">
      <c r="A14" s="442"/>
      <c r="B14" s="443"/>
      <c r="C14" s="443"/>
      <c r="D14" s="443"/>
      <c r="E14" s="443"/>
      <c r="F14" s="443"/>
      <c r="G14" s="443"/>
      <c r="H14" s="443"/>
      <c r="I14" s="443"/>
      <c r="J14" s="443"/>
      <c r="K14" s="443"/>
      <c r="L14" s="444"/>
    </row>
    <row r="15" spans="1:12">
      <c r="A15" s="442"/>
      <c r="B15" s="445"/>
      <c r="C15" s="445"/>
      <c r="D15" s="445"/>
      <c r="E15" s="445"/>
      <c r="F15" s="443"/>
      <c r="G15" s="443"/>
      <c r="H15" s="443"/>
      <c r="I15" s="443"/>
      <c r="J15" s="443"/>
      <c r="K15" s="443"/>
      <c r="L15" s="444"/>
    </row>
    <row r="16" spans="1:12">
      <c r="A16" s="446"/>
      <c r="B16" s="1202" t="s">
        <v>102</v>
      </c>
      <c r="C16" s="1203"/>
      <c r="D16" s="1203"/>
      <c r="E16" s="1204"/>
      <c r="F16" s="450">
        <f>'4-22MASTER'!E10</f>
        <v>44652</v>
      </c>
      <c r="G16" s="443"/>
      <c r="H16" s="443"/>
      <c r="I16" s="443"/>
      <c r="J16" s="443"/>
      <c r="K16" s="443"/>
      <c r="L16" s="444"/>
    </row>
    <row r="17" spans="1:12">
      <c r="A17" s="442"/>
      <c r="B17" s="447"/>
      <c r="C17" s="447"/>
      <c r="D17" s="447"/>
      <c r="E17" s="447"/>
      <c r="F17" s="447"/>
      <c r="G17" s="443"/>
      <c r="H17" s="443"/>
      <c r="I17" s="443"/>
      <c r="J17" s="443"/>
      <c r="K17" s="443"/>
      <c r="L17" s="444"/>
    </row>
    <row r="18" spans="1:12">
      <c r="A18" s="442"/>
      <c r="B18" s="443"/>
      <c r="C18" s="443"/>
      <c r="D18" s="443"/>
      <c r="E18" s="443"/>
      <c r="F18" s="443"/>
      <c r="G18" s="443"/>
      <c r="H18" s="443"/>
      <c r="I18" s="443"/>
      <c r="J18" s="443"/>
      <c r="K18" s="443"/>
      <c r="L18" s="444"/>
    </row>
    <row r="19" spans="1:12">
      <c r="A19" s="442"/>
      <c r="B19" s="443"/>
      <c r="C19" s="443"/>
      <c r="D19" s="443"/>
      <c r="E19" s="443"/>
      <c r="F19" s="443"/>
      <c r="G19" s="443"/>
      <c r="H19" s="443"/>
      <c r="I19" s="443"/>
      <c r="J19" s="443"/>
      <c r="K19" s="443"/>
      <c r="L19" s="444"/>
    </row>
    <row r="20" spans="1:12">
      <c r="A20" s="442"/>
      <c r="B20" s="443"/>
      <c r="C20" s="443"/>
      <c r="D20" s="443"/>
      <c r="E20" s="443"/>
      <c r="F20" s="443"/>
      <c r="G20" s="443"/>
      <c r="H20" s="443"/>
      <c r="I20" s="443"/>
      <c r="J20" s="443"/>
      <c r="K20" s="443"/>
      <c r="L20" s="444"/>
    </row>
    <row r="21" spans="1:12">
      <c r="A21" s="442"/>
      <c r="B21" s="1202"/>
      <c r="C21" s="1203"/>
      <c r="D21" s="1203"/>
      <c r="E21" s="1204"/>
      <c r="F21" s="450"/>
      <c r="G21" s="443"/>
      <c r="H21" s="443"/>
      <c r="I21" s="443"/>
      <c r="J21" s="443"/>
      <c r="K21" s="443"/>
      <c r="L21" s="444"/>
    </row>
    <row r="22" spans="1:12">
      <c r="A22" s="442"/>
      <c r="B22" s="443"/>
      <c r="C22" s="443"/>
      <c r="D22" s="443"/>
      <c r="E22" s="443"/>
      <c r="F22" s="443"/>
      <c r="G22" s="443"/>
      <c r="H22" s="443"/>
      <c r="I22" s="443"/>
      <c r="J22" s="443"/>
      <c r="K22" s="443"/>
      <c r="L22" s="444"/>
    </row>
    <row r="23" spans="1:12">
      <c r="A23" s="442"/>
      <c r="B23" s="443"/>
      <c r="C23" s="443"/>
      <c r="D23" s="443"/>
      <c r="E23" s="443"/>
      <c r="F23" s="443"/>
      <c r="G23" s="443"/>
      <c r="H23" s="443"/>
      <c r="I23" s="443"/>
      <c r="J23" s="443"/>
      <c r="K23" s="443"/>
      <c r="L23" s="444"/>
    </row>
    <row r="24" spans="1:12">
      <c r="A24" s="442"/>
      <c r="B24" s="443"/>
      <c r="C24" s="443"/>
      <c r="D24" s="443"/>
      <c r="E24" s="443"/>
      <c r="F24" s="443"/>
      <c r="G24" s="443"/>
      <c r="H24" s="443"/>
      <c r="I24" s="443"/>
      <c r="J24" s="443"/>
      <c r="K24" s="443"/>
      <c r="L24" s="444"/>
    </row>
    <row r="25" spans="1:12">
      <c r="A25" s="442"/>
      <c r="B25" s="443"/>
      <c r="C25" s="443"/>
      <c r="D25" s="443"/>
      <c r="E25" s="443"/>
      <c r="F25" s="443"/>
      <c r="G25" s="443"/>
      <c r="H25" s="443"/>
      <c r="I25" s="443"/>
      <c r="J25" s="443"/>
      <c r="K25" s="443"/>
      <c r="L25" s="444"/>
    </row>
    <row r="26" spans="1:12">
      <c r="A26" s="442"/>
      <c r="B26" s="1202"/>
      <c r="C26" s="1203"/>
      <c r="D26" s="1203"/>
      <c r="E26" s="1204"/>
      <c r="F26" s="450"/>
      <c r="G26" s="443"/>
      <c r="H26" s="443"/>
      <c r="I26" s="443"/>
      <c r="J26" s="443"/>
      <c r="K26" s="443"/>
      <c r="L26" s="444"/>
    </row>
    <row r="27" spans="1:12">
      <c r="A27" s="442"/>
      <c r="B27" s="443"/>
      <c r="C27" s="443"/>
      <c r="D27" s="443"/>
      <c r="E27" s="443"/>
      <c r="F27" s="443"/>
      <c r="G27" s="443"/>
      <c r="H27" s="443"/>
      <c r="I27" s="443"/>
      <c r="J27" s="443"/>
      <c r="K27" s="443"/>
      <c r="L27" s="444"/>
    </row>
    <row r="28" spans="1:12">
      <c r="A28" s="442"/>
      <c r="B28" s="443"/>
      <c r="C28" s="443"/>
      <c r="D28" s="443"/>
      <c r="E28" s="443"/>
      <c r="F28" s="443"/>
      <c r="G28" s="443"/>
      <c r="H28" s="443"/>
      <c r="I28" s="443"/>
      <c r="J28" s="443"/>
      <c r="K28" s="443"/>
      <c r="L28" s="444"/>
    </row>
    <row r="29" spans="1:12">
      <c r="A29" s="442"/>
      <c r="B29" s="443"/>
      <c r="C29" s="443"/>
      <c r="D29" s="443"/>
      <c r="E29" s="443"/>
      <c r="F29" s="443"/>
      <c r="G29" s="443"/>
      <c r="H29" s="443"/>
      <c r="I29" s="443"/>
      <c r="J29" s="443"/>
      <c r="K29" s="443"/>
      <c r="L29" s="444"/>
    </row>
    <row r="30" spans="1:12">
      <c r="A30" s="442"/>
      <c r="B30" s="443"/>
      <c r="C30" s="443"/>
      <c r="D30" s="443"/>
      <c r="E30" s="443"/>
      <c r="F30" s="443"/>
      <c r="G30" s="443"/>
      <c r="H30" s="443"/>
      <c r="I30" s="443"/>
      <c r="J30" s="443"/>
      <c r="K30" s="443"/>
      <c r="L30" s="444"/>
    </row>
    <row r="31" spans="1:12">
      <c r="A31" s="442"/>
      <c r="B31" s="443"/>
      <c r="C31" s="443"/>
      <c r="D31" s="443"/>
      <c r="E31" s="443"/>
      <c r="F31" s="443"/>
      <c r="G31" s="443"/>
      <c r="H31" s="443"/>
      <c r="I31" s="443"/>
      <c r="J31" s="443"/>
      <c r="K31" s="443"/>
      <c r="L31" s="444"/>
    </row>
    <row r="32" spans="1:12">
      <c r="A32" s="442"/>
      <c r="B32" s="443"/>
      <c r="C32" s="443"/>
      <c r="D32" s="443"/>
      <c r="E32" s="443"/>
      <c r="F32" s="443"/>
      <c r="G32" s="443"/>
      <c r="H32" s="443"/>
      <c r="I32" s="443"/>
      <c r="J32" s="443"/>
      <c r="K32" s="443"/>
      <c r="L32" s="444"/>
    </row>
    <row r="33" spans="1:12">
      <c r="A33" s="442"/>
      <c r="B33" s="443"/>
      <c r="C33" s="443"/>
      <c r="D33" s="443"/>
      <c r="E33" s="443"/>
      <c r="F33" s="443"/>
      <c r="G33" s="443"/>
      <c r="H33" s="443"/>
      <c r="I33" s="443"/>
      <c r="J33" s="443"/>
      <c r="K33" s="443"/>
      <c r="L33" s="444"/>
    </row>
    <row r="34" spans="1:12">
      <c r="A34" s="429"/>
      <c r="B34" s="430"/>
      <c r="C34" s="430"/>
      <c r="D34" s="430"/>
      <c r="E34" s="430"/>
      <c r="F34" s="430"/>
      <c r="G34" s="430"/>
      <c r="H34" s="430"/>
      <c r="I34" s="430"/>
      <c r="J34" s="430"/>
      <c r="K34" s="430"/>
      <c r="L34" s="431"/>
    </row>
    <row r="35" spans="1:12">
      <c r="A35" s="429"/>
      <c r="B35" s="430"/>
      <c r="C35" s="430"/>
      <c r="D35" s="430"/>
      <c r="E35" s="430"/>
      <c r="F35" s="430"/>
      <c r="G35" s="430"/>
      <c r="H35" s="430"/>
      <c r="I35" s="430"/>
      <c r="J35" s="430"/>
      <c r="K35" s="430"/>
      <c r="L35" s="431"/>
    </row>
    <row r="36" spans="1:12">
      <c r="A36" s="429"/>
      <c r="B36" s="430"/>
      <c r="C36" s="430"/>
      <c r="D36" s="430"/>
      <c r="E36" s="430"/>
      <c r="F36" s="430"/>
      <c r="G36" s="430"/>
      <c r="H36" s="430"/>
      <c r="I36" s="430"/>
      <c r="J36" s="430"/>
      <c r="K36" s="430"/>
      <c r="L36" s="431"/>
    </row>
    <row r="37" spans="1:12">
      <c r="A37" s="11"/>
      <c r="B37" s="392"/>
      <c r="C37" s="392"/>
      <c r="D37" s="392"/>
      <c r="E37" s="392"/>
      <c r="F37" s="392"/>
      <c r="G37" s="392" t="s">
        <v>38</v>
      </c>
      <c r="H37" s="392"/>
      <c r="I37" s="392"/>
      <c r="J37" s="392"/>
      <c r="K37" s="392"/>
      <c r="L37" s="12"/>
    </row>
    <row r="38" spans="1:12">
      <c r="A38" s="59"/>
      <c r="B38" s="13"/>
      <c r="C38" s="13"/>
      <c r="D38" s="13"/>
      <c r="E38" s="13"/>
      <c r="F38" s="13"/>
      <c r="G38" s="13"/>
      <c r="H38" s="13"/>
      <c r="I38" s="13"/>
      <c r="J38" s="13"/>
      <c r="K38" s="13"/>
      <c r="L38" s="60"/>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6">
    <mergeCell ref="B21:E21"/>
    <mergeCell ref="B26:E26"/>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0"/>
  <sheetViews>
    <sheetView topLeftCell="A7" workbookViewId="0">
      <selection activeCell="G13" sqref="G13"/>
    </sheetView>
  </sheetViews>
  <sheetFormatPr defaultRowHeight="15"/>
  <cols>
    <col min="1" max="1" width="7" customWidth="1"/>
    <col min="2" max="2" width="16" customWidth="1"/>
    <col min="3" max="3" width="9.42578125" customWidth="1"/>
    <col min="4" max="4" width="8.42578125" customWidth="1"/>
    <col min="5" max="5" width="21.28515625" customWidth="1"/>
    <col min="6" max="6" width="7.42578125" customWidth="1"/>
    <col min="7" max="7" width="9.42578125" customWidth="1"/>
    <col min="9" max="18" width="9.42578125" customWidth="1"/>
  </cols>
  <sheetData>
    <row r="1" spans="1:18" ht="14.45" customHeight="1">
      <c r="A1" s="1221" t="s">
        <v>522</v>
      </c>
      <c r="B1" s="1222"/>
      <c r="C1" s="1222"/>
      <c r="D1" s="1222"/>
      <c r="E1" s="1222"/>
      <c r="F1" s="1222"/>
      <c r="G1" s="1222"/>
      <c r="H1" s="1222"/>
      <c r="I1" s="1222"/>
      <c r="J1" s="1222"/>
      <c r="K1" s="1222"/>
      <c r="L1" s="1222"/>
      <c r="M1" s="1222"/>
      <c r="N1" s="1222"/>
      <c r="O1" s="1222"/>
      <c r="P1" s="1222"/>
      <c r="Q1" s="1222"/>
      <c r="R1" s="1223"/>
    </row>
    <row r="2" spans="1:18" ht="14.45" customHeight="1">
      <c r="A2" s="1224"/>
      <c r="B2" s="1225"/>
      <c r="C2" s="1225"/>
      <c r="D2" s="1225"/>
      <c r="E2" s="1225"/>
      <c r="F2" s="1225"/>
      <c r="G2" s="1225"/>
      <c r="H2" s="1225"/>
      <c r="I2" s="1225"/>
      <c r="J2" s="1225"/>
      <c r="K2" s="1225"/>
      <c r="L2" s="1225"/>
      <c r="M2" s="1225"/>
      <c r="N2" s="1225"/>
      <c r="O2" s="1225"/>
      <c r="P2" s="1225"/>
      <c r="Q2" s="1225"/>
      <c r="R2" s="1226"/>
    </row>
    <row r="3" spans="1:18">
      <c r="A3" s="1227" t="s">
        <v>523</v>
      </c>
      <c r="B3" s="1227"/>
      <c r="C3" s="1227"/>
      <c r="D3" s="1227"/>
      <c r="E3" s="1227"/>
      <c r="F3" s="1227"/>
      <c r="G3" s="1227"/>
      <c r="H3" s="1227"/>
      <c r="I3" s="1227"/>
      <c r="J3" s="1227"/>
      <c r="K3" s="1227"/>
      <c r="L3" s="1227"/>
      <c r="M3" s="1227"/>
      <c r="N3" s="1227"/>
      <c r="O3" s="1227"/>
      <c r="P3" s="1227"/>
      <c r="Q3" s="1227"/>
      <c r="R3" s="1227"/>
    </row>
    <row r="4" spans="1:18" ht="15" customHeight="1">
      <c r="A4" s="1227" t="s">
        <v>524</v>
      </c>
      <c r="B4" s="1227"/>
      <c r="C4" s="1227"/>
      <c r="D4" s="1227"/>
      <c r="E4" s="1227"/>
      <c r="F4" s="1227"/>
      <c r="G4" s="1227"/>
      <c r="H4" s="1227"/>
      <c r="I4" s="1227"/>
      <c r="J4" s="1227"/>
      <c r="K4" s="1227"/>
      <c r="L4" s="1227"/>
      <c r="M4" s="1227"/>
      <c r="N4" s="1227"/>
      <c r="O4" s="1227"/>
      <c r="P4" s="1227"/>
      <c r="Q4" s="1227"/>
      <c r="R4" s="1227"/>
    </row>
    <row r="5" spans="1:18">
      <c r="A5" s="408"/>
      <c r="B5" s="1227" t="s">
        <v>525</v>
      </c>
      <c r="C5" s="1227"/>
      <c r="D5" s="1227"/>
      <c r="E5" s="1227"/>
      <c r="F5" s="1227"/>
      <c r="G5" s="1227"/>
      <c r="H5" s="1227"/>
      <c r="I5" s="1227"/>
      <c r="J5" s="1227"/>
      <c r="K5" s="1227"/>
      <c r="L5" s="1227"/>
      <c r="M5" s="1227"/>
      <c r="N5" s="1227"/>
      <c r="O5" s="1227"/>
      <c r="P5" s="1227"/>
      <c r="Q5" s="1227"/>
      <c r="R5" s="1227"/>
    </row>
    <row r="6" spans="1:18">
      <c r="A6" s="1228"/>
      <c r="B6" s="1228"/>
      <c r="C6" s="1228"/>
      <c r="D6" s="1229"/>
      <c r="E6" s="1228"/>
      <c r="F6" s="326"/>
      <c r="G6" s="409"/>
      <c r="H6" s="409"/>
      <c r="I6" s="306"/>
      <c r="J6" s="306"/>
      <c r="K6" s="306"/>
      <c r="L6" s="306"/>
      <c r="M6" s="306"/>
      <c r="N6" s="306"/>
      <c r="O6" s="306"/>
      <c r="P6" s="409"/>
      <c r="Q6" s="409"/>
      <c r="R6" s="410"/>
    </row>
    <row r="7" spans="1:18">
      <c r="A7" s="1230" t="s">
        <v>5</v>
      </c>
      <c r="B7" s="1233" t="s">
        <v>526</v>
      </c>
      <c r="C7" s="1233" t="s">
        <v>527</v>
      </c>
      <c r="D7" s="1236" t="s">
        <v>528</v>
      </c>
      <c r="E7" s="1233" t="s">
        <v>39</v>
      </c>
      <c r="F7" s="1233" t="s">
        <v>104</v>
      </c>
      <c r="G7" s="411"/>
      <c r="H7" s="1236" t="s">
        <v>106</v>
      </c>
      <c r="I7" s="1239" t="s">
        <v>529</v>
      </c>
      <c r="J7" s="1240"/>
      <c r="K7" s="1240"/>
      <c r="L7" s="1240"/>
      <c r="M7" s="390"/>
      <c r="N7" s="390"/>
      <c r="O7" s="390"/>
      <c r="P7" s="1243" t="s">
        <v>530</v>
      </c>
      <c r="Q7" s="1244" t="s">
        <v>107</v>
      </c>
      <c r="R7" s="1236" t="s">
        <v>531</v>
      </c>
    </row>
    <row r="8" spans="1:18" ht="171.75">
      <c r="A8" s="1231"/>
      <c r="B8" s="1234"/>
      <c r="C8" s="1234"/>
      <c r="D8" s="1237"/>
      <c r="E8" s="1234"/>
      <c r="F8" s="1234"/>
      <c r="G8" s="1234" t="s">
        <v>105</v>
      </c>
      <c r="H8" s="1237"/>
      <c r="I8" s="1241"/>
      <c r="J8" s="1242"/>
      <c r="K8" s="1242"/>
      <c r="L8" s="1242"/>
      <c r="M8" s="391"/>
      <c r="N8" s="412" t="s">
        <v>532</v>
      </c>
      <c r="O8" s="412" t="s">
        <v>533</v>
      </c>
      <c r="P8" s="1243"/>
      <c r="Q8" s="1244"/>
      <c r="R8" s="1238"/>
    </row>
    <row r="9" spans="1:18" ht="45.6" customHeight="1">
      <c r="A9" s="1232"/>
      <c r="B9" s="1235"/>
      <c r="C9" s="1235"/>
      <c r="D9" s="1238"/>
      <c r="E9" s="1235"/>
      <c r="F9" s="1235"/>
      <c r="G9" s="1235"/>
      <c r="H9" s="1238"/>
      <c r="I9" s="413" t="s">
        <v>534</v>
      </c>
      <c r="J9" s="414" t="s">
        <v>535</v>
      </c>
      <c r="K9" s="415" t="s">
        <v>536</v>
      </c>
      <c r="L9" s="415" t="s">
        <v>537</v>
      </c>
      <c r="M9" s="415" t="s">
        <v>197</v>
      </c>
      <c r="N9" s="415"/>
      <c r="O9" s="415"/>
      <c r="P9" s="416"/>
      <c r="Q9" s="416"/>
      <c r="R9" s="416"/>
    </row>
    <row r="10" spans="1:18" ht="17.45" customHeight="1">
      <c r="A10" s="417">
        <v>1</v>
      </c>
      <c r="B10" s="417">
        <v>2</v>
      </c>
      <c r="C10" s="417">
        <v>3</v>
      </c>
      <c r="D10" s="417">
        <v>4</v>
      </c>
      <c r="E10" s="417">
        <v>5</v>
      </c>
      <c r="F10" s="417">
        <v>6</v>
      </c>
      <c r="G10" s="418">
        <v>7</v>
      </c>
      <c r="H10" s="418">
        <v>8</v>
      </c>
      <c r="I10" s="417">
        <v>9</v>
      </c>
      <c r="J10" s="417">
        <v>10</v>
      </c>
      <c r="K10" s="417">
        <v>11</v>
      </c>
      <c r="L10" s="417">
        <v>12</v>
      </c>
      <c r="M10" s="417">
        <v>13</v>
      </c>
      <c r="N10" s="417">
        <v>14</v>
      </c>
      <c r="O10" s="417">
        <v>15</v>
      </c>
      <c r="P10" s="417">
        <v>16</v>
      </c>
      <c r="Q10" s="417">
        <v>17</v>
      </c>
      <c r="R10" s="417">
        <v>18</v>
      </c>
    </row>
    <row r="11" spans="1:18" ht="15" customHeight="1" thickBot="1">
      <c r="A11" s="351"/>
      <c r="B11" s="419"/>
      <c r="C11" s="419"/>
      <c r="D11" s="419"/>
      <c r="E11" s="419"/>
      <c r="F11" s="351"/>
      <c r="G11" s="351"/>
      <c r="H11" s="351"/>
      <c r="I11" s="351"/>
      <c r="J11" s="351"/>
      <c r="K11" s="351"/>
      <c r="L11" s="351"/>
      <c r="M11" s="351"/>
      <c r="N11" s="351"/>
      <c r="O11" s="351"/>
      <c r="P11" s="351"/>
      <c r="Q11" s="351"/>
      <c r="R11" s="351"/>
    </row>
    <row r="12" spans="1:18" ht="15.75" thickBot="1">
      <c r="A12" s="351"/>
      <c r="B12" s="420" t="s">
        <v>108</v>
      </c>
      <c r="C12" s="421"/>
      <c r="D12" s="421"/>
      <c r="E12" s="422"/>
      <c r="F12" s="450">
        <f>'4-22MASTER'!E10</f>
        <v>44652</v>
      </c>
      <c r="G12" s="351"/>
      <c r="H12" s="351"/>
      <c r="I12" s="351"/>
      <c r="J12" s="351"/>
      <c r="K12" s="351"/>
      <c r="L12" s="351"/>
      <c r="M12" s="351"/>
      <c r="N12" s="351"/>
      <c r="O12" s="351"/>
      <c r="P12" s="351"/>
      <c r="Q12" s="351"/>
      <c r="R12" s="351"/>
    </row>
    <row r="13" spans="1:18">
      <c r="A13" s="351"/>
      <c r="B13" s="423"/>
      <c r="C13" s="423"/>
      <c r="D13" s="423"/>
      <c r="E13" s="423"/>
      <c r="F13" s="447"/>
      <c r="G13" s="351"/>
      <c r="H13" s="351"/>
      <c r="I13" s="351"/>
      <c r="J13" s="351"/>
      <c r="K13" s="351"/>
      <c r="L13" s="351"/>
      <c r="M13" s="351"/>
      <c r="N13" s="351"/>
      <c r="O13" s="351"/>
      <c r="P13" s="351"/>
      <c r="Q13" s="351"/>
      <c r="R13" s="351"/>
    </row>
    <row r="14" spans="1:18">
      <c r="A14" s="351"/>
      <c r="B14" s="351"/>
      <c r="C14" s="351"/>
      <c r="D14" s="351"/>
      <c r="E14" s="351"/>
      <c r="F14" s="443"/>
      <c r="G14" s="351"/>
      <c r="H14" s="351"/>
      <c r="I14" s="351"/>
      <c r="J14" s="351"/>
      <c r="K14" s="351"/>
      <c r="L14" s="351"/>
      <c r="M14" s="351"/>
      <c r="N14" s="351"/>
      <c r="O14" s="351"/>
      <c r="P14" s="351"/>
      <c r="Q14" s="351"/>
      <c r="R14" s="351"/>
    </row>
    <row r="15" spans="1:18">
      <c r="A15" s="351"/>
      <c r="B15" s="351"/>
      <c r="C15" s="351"/>
      <c r="D15" s="351"/>
      <c r="E15" s="351"/>
      <c r="F15" s="443"/>
      <c r="G15" s="351"/>
      <c r="H15" s="351"/>
      <c r="I15" s="351"/>
      <c r="J15" s="351"/>
      <c r="K15" s="351"/>
      <c r="L15" s="351"/>
      <c r="M15" s="351"/>
      <c r="N15" s="351"/>
      <c r="O15" s="351"/>
      <c r="P15" s="351"/>
      <c r="Q15" s="351"/>
      <c r="R15" s="351"/>
    </row>
    <row r="16" spans="1:18">
      <c r="A16" s="351"/>
      <c r="B16" s="419"/>
      <c r="C16" s="419"/>
      <c r="D16" s="419"/>
      <c r="E16" s="419"/>
      <c r="F16" s="445"/>
      <c r="G16" s="351"/>
      <c r="H16" s="351"/>
      <c r="I16" s="351"/>
      <c r="J16" s="351"/>
      <c r="K16" s="351"/>
      <c r="L16" s="351"/>
      <c r="M16" s="351"/>
      <c r="N16" s="351"/>
      <c r="O16" s="351"/>
      <c r="P16" s="351"/>
      <c r="Q16" s="351"/>
      <c r="R16" s="351"/>
    </row>
    <row r="17" spans="1:18">
      <c r="A17" s="461"/>
      <c r="B17" s="351"/>
      <c r="C17" s="351"/>
      <c r="D17" s="351"/>
      <c r="E17" s="351"/>
      <c r="F17" s="459"/>
      <c r="G17" s="351"/>
      <c r="H17" s="351"/>
      <c r="I17" s="351"/>
      <c r="J17" s="351"/>
      <c r="K17" s="351"/>
      <c r="L17" s="351"/>
      <c r="M17" s="351"/>
      <c r="N17" s="351"/>
      <c r="O17" s="351"/>
      <c r="P17" s="351"/>
      <c r="Q17" s="351"/>
      <c r="R17" s="351"/>
    </row>
    <row r="18" spans="1:18">
      <c r="A18" s="461"/>
      <c r="B18" s="351"/>
      <c r="C18" s="351"/>
      <c r="D18" s="351"/>
      <c r="E18" s="351"/>
      <c r="F18" s="443"/>
      <c r="G18" s="351"/>
      <c r="H18" s="351"/>
      <c r="I18" s="351"/>
      <c r="J18" s="351"/>
      <c r="K18" s="351"/>
      <c r="L18" s="351"/>
      <c r="M18" s="351"/>
      <c r="N18" s="351"/>
      <c r="O18" s="351"/>
      <c r="P18" s="351"/>
      <c r="Q18" s="351"/>
      <c r="R18" s="351"/>
    </row>
    <row r="19" spans="1:18">
      <c r="A19" s="461"/>
      <c r="B19" s="351"/>
      <c r="C19" s="351"/>
      <c r="D19" s="351"/>
      <c r="E19" s="351"/>
      <c r="F19" s="443"/>
      <c r="G19" s="351"/>
      <c r="H19" s="351"/>
      <c r="I19" s="351"/>
      <c r="J19" s="351"/>
      <c r="K19" s="351"/>
      <c r="L19" s="351"/>
      <c r="M19" s="351"/>
      <c r="N19" s="351"/>
      <c r="O19" s="351"/>
      <c r="P19" s="351"/>
      <c r="Q19" s="351"/>
      <c r="R19" s="351"/>
    </row>
    <row r="20" spans="1:18">
      <c r="A20" s="461"/>
      <c r="B20" s="351"/>
      <c r="C20" s="351"/>
      <c r="D20" s="351"/>
      <c r="E20" s="351"/>
      <c r="F20" s="443"/>
      <c r="G20" s="351"/>
      <c r="H20" s="351"/>
      <c r="I20" s="351"/>
      <c r="J20" s="351"/>
      <c r="K20" s="351"/>
      <c r="L20" s="351"/>
      <c r="M20" s="351"/>
      <c r="N20" s="351"/>
      <c r="O20" s="351"/>
      <c r="P20" s="351"/>
      <c r="Q20" s="351"/>
      <c r="R20" s="351"/>
    </row>
    <row r="21" spans="1:18">
      <c r="A21" s="461"/>
      <c r="B21" s="351"/>
      <c r="C21" s="351"/>
      <c r="D21" s="351"/>
      <c r="E21" s="351"/>
      <c r="F21" s="443"/>
      <c r="G21" s="351"/>
      <c r="H21" s="351"/>
      <c r="I21" s="351"/>
      <c r="J21" s="351"/>
      <c r="K21" s="351"/>
      <c r="L21" s="351"/>
      <c r="M21" s="351"/>
      <c r="N21" s="351"/>
      <c r="O21" s="351"/>
      <c r="P21" s="351"/>
      <c r="Q21" s="351"/>
      <c r="R21" s="351"/>
    </row>
    <row r="22" spans="1:18">
      <c r="A22" s="461"/>
      <c r="B22" s="351"/>
      <c r="C22" s="351"/>
      <c r="D22" s="351"/>
      <c r="E22" s="351"/>
      <c r="F22" s="459"/>
      <c r="G22" s="351"/>
      <c r="H22" s="351"/>
      <c r="I22" s="351"/>
      <c r="J22" s="351"/>
      <c r="K22" s="351"/>
      <c r="L22" s="351"/>
      <c r="M22" s="351"/>
      <c r="N22" s="351"/>
      <c r="O22" s="351"/>
      <c r="P22" s="351"/>
      <c r="Q22" s="351"/>
      <c r="R22" s="351"/>
    </row>
    <row r="23" spans="1:18" s="392" customFormat="1">
      <c r="A23" s="430"/>
      <c r="B23" s="430"/>
      <c r="C23" s="430"/>
      <c r="D23" s="430"/>
      <c r="E23" s="430"/>
      <c r="F23" s="430"/>
      <c r="G23" s="430"/>
      <c r="H23" s="430"/>
      <c r="I23" s="430"/>
      <c r="J23" s="430"/>
      <c r="K23" s="430"/>
      <c r="L23" s="430"/>
      <c r="M23" s="430"/>
      <c r="N23" s="430"/>
      <c r="O23" s="430"/>
    </row>
    <row r="24" spans="1:18" s="392" customFormat="1">
      <c r="A24" s="430"/>
      <c r="B24" s="430"/>
      <c r="C24" s="430"/>
      <c r="D24" s="430"/>
      <c r="E24" s="430"/>
      <c r="F24" s="430"/>
      <c r="G24" s="430"/>
      <c r="H24" s="430"/>
      <c r="I24" s="430"/>
      <c r="J24" s="430"/>
      <c r="K24" s="430"/>
      <c r="L24" s="430"/>
      <c r="M24" s="430"/>
      <c r="N24" s="430"/>
      <c r="O24" s="430"/>
    </row>
    <row r="25" spans="1:18" s="392" customFormat="1">
      <c r="A25" s="430"/>
      <c r="B25" s="430"/>
      <c r="C25" s="430"/>
      <c r="D25" s="430"/>
      <c r="E25" s="430"/>
      <c r="F25" s="430"/>
      <c r="G25" s="430"/>
      <c r="H25" s="430"/>
      <c r="I25" s="430"/>
      <c r="J25" s="430"/>
      <c r="K25" s="430"/>
      <c r="L25" s="430"/>
      <c r="M25" s="430"/>
      <c r="N25" s="430"/>
      <c r="O25" s="430"/>
    </row>
    <row r="26" spans="1:18" s="392" customFormat="1"/>
    <row r="30" spans="1:18">
      <c r="J30" t="s">
        <v>38</v>
      </c>
    </row>
  </sheetData>
  <protectedRanges>
    <protectedRange password="CA4D" sqref="A6:E6 A9:R9 A7:A8 A1:R5 C7:R8" name="Range1_5"/>
    <protectedRange password="CA4D" sqref="F6:R6" name="Range1_4_1"/>
    <protectedRange password="CA4D" sqref="B7:B8" name="Range1_3_1"/>
  </protectedRanges>
  <mergeCells count="17">
    <mergeCell ref="R7:R8"/>
    <mergeCell ref="G8:G9"/>
    <mergeCell ref="F7:F9"/>
    <mergeCell ref="H7:H9"/>
    <mergeCell ref="I7:L8"/>
    <mergeCell ref="P7:P8"/>
    <mergeCell ref="Q7:Q8"/>
    <mergeCell ref="A7:A9"/>
    <mergeCell ref="B7:B9"/>
    <mergeCell ref="C7:C9"/>
    <mergeCell ref="D7:D9"/>
    <mergeCell ref="E7:E9"/>
    <mergeCell ref="A1:R2"/>
    <mergeCell ref="A3:R3"/>
    <mergeCell ref="A4:R4"/>
    <mergeCell ref="B5:R5"/>
    <mergeCell ref="A6:E6"/>
  </mergeCells>
  <pageMargins left="0.7" right="0.7" top="0.75" bottom="0.75" header="0.3" footer="0.3"/>
  <pageSetup scale="65"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22"/>
  <sheetViews>
    <sheetView workbookViewId="0">
      <selection activeCell="F14" sqref="F14"/>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c r="E1" s="2"/>
    </row>
    <row r="2" spans="2:7">
      <c r="B2" s="150"/>
      <c r="C2" s="150"/>
      <c r="D2" s="150"/>
      <c r="E2" s="150"/>
      <c r="F2" s="150"/>
      <c r="G2" s="150"/>
    </row>
    <row r="3" spans="2:7">
      <c r="B3" s="9"/>
      <c r="C3" s="17"/>
      <c r="D3" s="17"/>
      <c r="E3" s="9"/>
      <c r="F3" s="9"/>
      <c r="G3" s="9"/>
    </row>
    <row r="4" spans="2:7">
      <c r="B4" s="9"/>
      <c r="C4" s="17"/>
      <c r="D4" s="17"/>
      <c r="E4" s="9"/>
      <c r="F4" s="9"/>
      <c r="G4" s="9"/>
    </row>
    <row r="5" spans="2:7">
      <c r="B5" s="9"/>
      <c r="C5" s="17"/>
      <c r="D5" s="17"/>
      <c r="E5" s="9"/>
      <c r="F5" s="9"/>
      <c r="G5" s="9"/>
    </row>
    <row r="6" spans="2:7">
      <c r="B6" s="9"/>
      <c r="C6" s="17"/>
      <c r="D6" s="17"/>
      <c r="E6" s="9"/>
      <c r="F6" s="9"/>
      <c r="G6" s="9"/>
    </row>
    <row r="7" spans="2:7">
      <c r="B7" s="9"/>
      <c r="C7" s="17"/>
      <c r="D7" s="17"/>
      <c r="E7" s="9"/>
      <c r="F7" s="9"/>
      <c r="G7" s="9"/>
    </row>
    <row r="8" spans="2:7">
      <c r="B8" s="9"/>
      <c r="C8" s="17"/>
      <c r="D8" s="17"/>
      <c r="E8" s="9"/>
      <c r="F8" s="9"/>
      <c r="G8" s="9"/>
    </row>
    <row r="9" spans="2:7">
      <c r="B9" s="9"/>
      <c r="C9" s="17"/>
      <c r="D9" s="17"/>
      <c r="E9" s="9"/>
      <c r="F9" s="9"/>
      <c r="G9" s="9"/>
    </row>
    <row r="10" spans="2:7">
      <c r="B10" s="9"/>
      <c r="C10" s="17"/>
      <c r="D10" s="17"/>
      <c r="E10" s="9"/>
      <c r="F10" s="9"/>
      <c r="G10" s="9"/>
    </row>
    <row r="11" spans="2:7">
      <c r="B11" s="9"/>
      <c r="C11" s="17"/>
      <c r="D11" s="17"/>
      <c r="E11" s="9"/>
      <c r="F11" s="9"/>
      <c r="G11" s="9"/>
    </row>
    <row r="12" spans="2:7">
      <c r="B12" s="9"/>
      <c r="C12" s="17"/>
      <c r="D12" s="17"/>
      <c r="E12" s="9"/>
      <c r="F12" s="9"/>
      <c r="G12" s="9"/>
    </row>
    <row r="13" spans="2:7">
      <c r="B13" s="9"/>
      <c r="C13" s="17"/>
      <c r="D13" s="17"/>
      <c r="E13" s="9"/>
      <c r="F13" s="9"/>
      <c r="G13" s="9"/>
    </row>
    <row r="14" spans="2:7">
      <c r="B14" s="9"/>
      <c r="C14" s="17"/>
      <c r="D14" s="17"/>
      <c r="E14" s="9"/>
      <c r="F14" s="9"/>
      <c r="G14" s="9"/>
    </row>
    <row r="15" spans="2:7">
      <c r="B15" s="9"/>
      <c r="C15" s="17"/>
      <c r="D15" s="17"/>
      <c r="E15" s="9"/>
      <c r="F15" s="9"/>
      <c r="G15" s="9"/>
    </row>
    <row r="16" spans="2:7">
      <c r="B16" s="9"/>
      <c r="C16" s="17"/>
      <c r="D16" s="17"/>
      <c r="E16" s="9"/>
      <c r="F16" s="9"/>
      <c r="G16" s="9"/>
    </row>
    <row r="17" spans="2:7">
      <c r="B17" s="9"/>
      <c r="C17" s="17"/>
      <c r="D17" s="17"/>
      <c r="E17" s="9"/>
      <c r="F17" s="9"/>
      <c r="G17" s="9"/>
    </row>
    <row r="18" spans="2:7">
      <c r="B18" s="9"/>
      <c r="C18" s="17"/>
      <c r="D18" s="17"/>
      <c r="E18" s="9"/>
      <c r="F18" s="9"/>
      <c r="G18" s="9"/>
    </row>
    <row r="19" spans="2:7">
      <c r="B19" s="9"/>
      <c r="C19" s="17"/>
      <c r="D19" s="17"/>
      <c r="E19" s="9"/>
      <c r="F19" s="9"/>
      <c r="G19" s="9"/>
    </row>
    <row r="20" spans="2:7">
      <c r="B20" s="9"/>
      <c r="C20" s="17"/>
      <c r="D20" s="17"/>
      <c r="E20" s="9"/>
      <c r="F20" s="9"/>
      <c r="G20" s="9"/>
    </row>
    <row r="21" spans="2:7">
      <c r="B21" s="9"/>
      <c r="C21" s="17"/>
      <c r="D21" s="17"/>
      <c r="E21" s="9"/>
      <c r="F21" s="9"/>
      <c r="G21" s="9"/>
    </row>
    <row r="22" spans="2:7">
      <c r="B22" s="9"/>
      <c r="C22" s="17"/>
      <c r="D22" s="17"/>
      <c r="E22" s="9"/>
      <c r="F22" s="9"/>
      <c r="G22" s="9"/>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63"/>
  <sheetViews>
    <sheetView topLeftCell="A10" workbookViewId="0">
      <selection activeCell="H20" sqref="H20:L20"/>
    </sheetView>
  </sheetViews>
  <sheetFormatPr defaultRowHeight="15"/>
  <cols>
    <col min="6" max="6" width="16.85546875" customWidth="1"/>
    <col min="10" max="10" width="14.5703125" customWidth="1"/>
    <col min="12" max="12" width="22.7109375" customWidth="1"/>
  </cols>
  <sheetData>
    <row r="1" spans="1:12" ht="29.25" customHeight="1">
      <c r="A1" s="61"/>
      <c r="B1" s="1246" t="s">
        <v>181</v>
      </c>
      <c r="C1" s="1125"/>
      <c r="D1" s="1125"/>
      <c r="E1" s="1125"/>
      <c r="F1" s="1125"/>
      <c r="G1" s="1125"/>
      <c r="H1" s="1125"/>
      <c r="I1" s="1125"/>
      <c r="J1" s="1125"/>
      <c r="K1" s="1125"/>
      <c r="L1" s="1126"/>
    </row>
    <row r="2" spans="1:12" ht="23.25">
      <c r="A2" s="11"/>
      <c r="B2" s="1255" t="s">
        <v>182</v>
      </c>
      <c r="C2" s="1255"/>
      <c r="D2" s="1255"/>
      <c r="E2" s="1255"/>
      <c r="F2" s="1255"/>
      <c r="G2" s="1255"/>
      <c r="H2" s="1255"/>
      <c r="I2" s="1255"/>
      <c r="J2" s="1255"/>
      <c r="K2" s="1255"/>
      <c r="L2" s="1129"/>
    </row>
    <row r="3" spans="1:12" ht="12.75" customHeight="1" thickBot="1">
      <c r="A3" s="16"/>
      <c r="B3" s="1131" t="s">
        <v>183</v>
      </c>
      <c r="C3" s="1131"/>
      <c r="D3" s="1131"/>
      <c r="E3" s="1131"/>
      <c r="F3" s="1131"/>
      <c r="G3" s="1131"/>
      <c r="H3" s="1131"/>
      <c r="I3" s="1131"/>
      <c r="J3" s="1131"/>
      <c r="K3" s="1131"/>
      <c r="L3" s="1132"/>
    </row>
    <row r="4" spans="1:12">
      <c r="A4" s="11"/>
      <c r="B4" s="1256" t="s">
        <v>111</v>
      </c>
      <c r="C4" s="1256"/>
      <c r="D4" s="1256"/>
      <c r="E4" s="1256"/>
      <c r="F4" s="1256"/>
      <c r="H4" s="1257" t="s">
        <v>112</v>
      </c>
      <c r="I4" s="1257"/>
      <c r="J4" s="1257"/>
      <c r="K4" s="1257"/>
      <c r="L4" s="1136"/>
    </row>
    <row r="5" spans="1:12" ht="15.75" thickBot="1">
      <c r="A5" s="11"/>
      <c r="B5" s="1256"/>
      <c r="C5" s="1256"/>
      <c r="D5" s="1256"/>
      <c r="E5" s="1256"/>
      <c r="F5" s="1256"/>
      <c r="H5" s="1257"/>
      <c r="I5" s="1257"/>
      <c r="J5" s="1257"/>
      <c r="K5" s="1257"/>
      <c r="L5" s="1136"/>
    </row>
    <row r="6" spans="1:12">
      <c r="A6" s="11"/>
      <c r="B6" s="61"/>
      <c r="C6" s="62"/>
      <c r="D6" s="62"/>
      <c r="E6" s="62"/>
      <c r="F6" s="63"/>
      <c r="H6" s="61"/>
      <c r="I6" s="62"/>
      <c r="J6" s="62"/>
      <c r="K6" s="62"/>
      <c r="L6" s="63"/>
    </row>
    <row r="7" spans="1:12">
      <c r="A7" s="11"/>
      <c r="B7" s="64" t="e">
        <f>#REF!</f>
        <v>#REF!</v>
      </c>
      <c r="F7" s="12"/>
      <c r="H7" s="64" t="e">
        <f>#REF!</f>
        <v>#REF!</v>
      </c>
      <c r="L7" s="12"/>
    </row>
    <row r="8" spans="1:12">
      <c r="A8" s="11"/>
      <c r="B8" s="11"/>
      <c r="F8" s="12"/>
      <c r="H8" s="11"/>
      <c r="L8" s="12"/>
    </row>
    <row r="9" spans="1:12">
      <c r="A9" s="11"/>
      <c r="B9" s="64" t="e">
        <f>#REF!</f>
        <v>#REF!</v>
      </c>
      <c r="F9" s="12"/>
      <c r="H9" s="64" t="e">
        <f>#REF!</f>
        <v>#REF!</v>
      </c>
      <c r="L9" s="12"/>
    </row>
    <row r="10" spans="1:12" ht="15.75" thickBot="1">
      <c r="A10" s="11"/>
      <c r="B10" s="16"/>
      <c r="C10" s="14"/>
      <c r="D10" s="14"/>
      <c r="E10" s="14"/>
      <c r="F10" s="15"/>
      <c r="H10" s="16"/>
      <c r="I10" s="14"/>
      <c r="J10" s="14"/>
      <c r="K10" s="14"/>
      <c r="L10" s="15"/>
    </row>
    <row r="11" spans="1:12">
      <c r="A11" s="11"/>
      <c r="J11" t="s">
        <v>113</v>
      </c>
      <c r="L11" s="12"/>
    </row>
    <row r="12" spans="1:12">
      <c r="A12" s="11"/>
      <c r="B12" s="1258" t="s">
        <v>114</v>
      </c>
      <c r="C12" s="1258"/>
      <c r="D12" s="1258"/>
      <c r="E12" s="1258"/>
      <c r="F12" s="1258"/>
      <c r="H12" s="1258" t="s">
        <v>4</v>
      </c>
      <c r="I12" s="1258"/>
      <c r="J12" s="1258"/>
      <c r="K12" s="1258"/>
      <c r="L12" s="1139"/>
    </row>
    <row r="13" spans="1:12" ht="15.75" thickBot="1">
      <c r="A13" s="11"/>
      <c r="L13" s="12"/>
    </row>
    <row r="14" spans="1:12">
      <c r="A14" s="11"/>
      <c r="B14" s="61"/>
      <c r="C14" s="62"/>
      <c r="D14" s="62"/>
      <c r="E14" s="62"/>
      <c r="F14" s="63"/>
      <c r="H14" s="65"/>
      <c r="I14" s="66"/>
      <c r="J14" s="66"/>
      <c r="K14" s="66"/>
      <c r="L14" s="67"/>
    </row>
    <row r="15" spans="1:12">
      <c r="A15" s="11"/>
      <c r="B15" s="11"/>
      <c r="F15" s="12"/>
      <c r="H15" s="64" t="e">
        <f>#REF!</f>
        <v>#REF!</v>
      </c>
      <c r="I15" s="2"/>
      <c r="J15" s="2"/>
      <c r="K15" s="2"/>
      <c r="L15" s="68"/>
    </row>
    <row r="16" spans="1:12">
      <c r="A16" s="11"/>
      <c r="B16" s="64" t="e">
        <f>#REF!</f>
        <v>#REF!</v>
      </c>
      <c r="F16" s="12"/>
      <c r="H16" s="64"/>
      <c r="I16" s="2"/>
      <c r="J16" s="2"/>
      <c r="K16" s="2"/>
      <c r="L16" s="68"/>
    </row>
    <row r="17" spans="1:12">
      <c r="A17" s="11"/>
      <c r="B17" s="11"/>
      <c r="F17" s="12"/>
      <c r="H17" s="64" t="e">
        <f>#REF!</f>
        <v>#REF!</v>
      </c>
      <c r="I17" s="2"/>
      <c r="J17" s="2"/>
      <c r="K17" s="2"/>
      <c r="L17" s="68"/>
    </row>
    <row r="18" spans="1:12" ht="15.75" thickBot="1">
      <c r="A18" s="11"/>
      <c r="B18" s="16"/>
      <c r="C18" s="14"/>
      <c r="D18" s="14"/>
      <c r="E18" s="14"/>
      <c r="F18" s="15"/>
      <c r="H18" s="69"/>
      <c r="I18" s="70"/>
      <c r="J18" s="70"/>
      <c r="K18" s="70"/>
      <c r="L18" s="71"/>
    </row>
    <row r="19" spans="1:12" ht="27.95" customHeight="1">
      <c r="A19" s="72"/>
      <c r="B19" s="1245" t="s">
        <v>184</v>
      </c>
      <c r="C19" s="1245"/>
      <c r="D19" s="1245"/>
      <c r="E19" s="1245"/>
      <c r="F19" s="1245"/>
      <c r="G19" s="1245"/>
      <c r="H19" s="1268" t="e">
        <f>'4-22MASTER'!#REF!</f>
        <v>#REF!</v>
      </c>
      <c r="I19" s="1260"/>
      <c r="J19" s="1260"/>
      <c r="K19" s="1260"/>
      <c r="L19" s="1110"/>
    </row>
    <row r="20" spans="1:12" ht="27.95" customHeight="1">
      <c r="A20" s="72"/>
      <c r="B20" s="1269" t="s">
        <v>185</v>
      </c>
      <c r="C20" s="1269"/>
      <c r="D20" s="1269"/>
      <c r="E20" s="1269"/>
      <c r="F20" s="1269"/>
      <c r="G20" s="1269"/>
      <c r="H20" s="1268" t="e">
        <f>'4-22MASTER'!#REF!</f>
        <v>#REF!</v>
      </c>
      <c r="I20" s="1260"/>
      <c r="J20" s="1260"/>
      <c r="K20" s="1260"/>
      <c r="L20" s="1110"/>
    </row>
    <row r="21" spans="1:12" ht="27.95" customHeight="1">
      <c r="A21" s="72"/>
      <c r="B21" s="1245" t="s">
        <v>186</v>
      </c>
      <c r="C21" s="1245"/>
      <c r="D21" s="1245"/>
      <c r="E21" s="1245"/>
      <c r="F21" s="1245"/>
      <c r="G21" s="1245"/>
      <c r="H21" s="1268" t="e">
        <f>'4-22MASTER'!#REF!</f>
        <v>#REF!</v>
      </c>
      <c r="I21" s="1260"/>
      <c r="J21" s="1260"/>
      <c r="K21" s="1260"/>
      <c r="L21" s="1110"/>
    </row>
    <row r="22" spans="1:12" ht="27.95" customHeight="1">
      <c r="A22" s="72"/>
      <c r="B22" s="1245" t="s">
        <v>187</v>
      </c>
      <c r="C22" s="1245"/>
      <c r="D22" s="1245"/>
      <c r="E22" s="1245"/>
      <c r="F22" s="1245"/>
      <c r="G22" s="1245"/>
      <c r="H22" s="1259" t="e">
        <f>'4-22MASTER'!#REF!</f>
        <v>#REF!</v>
      </c>
      <c r="I22" s="1260"/>
      <c r="J22" s="1260"/>
      <c r="K22" s="1260"/>
      <c r="L22" s="1110"/>
    </row>
    <row r="23" spans="1:12" ht="27.95" customHeight="1">
      <c r="A23" s="72"/>
      <c r="B23" s="73" t="s">
        <v>188</v>
      </c>
      <c r="C23" s="74"/>
      <c r="D23" s="74"/>
      <c r="E23" s="74"/>
      <c r="F23" s="74"/>
      <c r="G23" s="74"/>
      <c r="H23" s="1261" t="s">
        <v>189</v>
      </c>
      <c r="I23" s="1262"/>
      <c r="J23" s="1262"/>
      <c r="K23" s="1262"/>
      <c r="L23" s="1263"/>
    </row>
    <row r="24" spans="1:12" ht="27.95" customHeight="1">
      <c r="A24" s="72"/>
      <c r="B24" s="73" t="s">
        <v>190</v>
      </c>
      <c r="C24" s="74"/>
      <c r="D24" s="74"/>
      <c r="E24" s="74"/>
      <c r="F24" s="74"/>
      <c r="G24" s="74"/>
      <c r="H24" s="75"/>
      <c r="I24" s="76"/>
      <c r="J24" s="171"/>
      <c r="K24" s="76"/>
      <c r="L24" s="81"/>
    </row>
    <row r="25" spans="1:12" ht="27.95" customHeight="1">
      <c r="A25" s="72"/>
      <c r="B25" s="1264" t="s">
        <v>191</v>
      </c>
      <c r="C25" s="1264"/>
      <c r="D25" s="1264"/>
      <c r="E25" s="1264"/>
      <c r="F25" s="1264"/>
      <c r="G25" s="1264"/>
      <c r="H25" s="1265" t="e">
        <f>'4-22MASTER'!#REF!</f>
        <v>#REF!</v>
      </c>
      <c r="I25" s="1266"/>
      <c r="J25" s="1266"/>
      <c r="K25" s="1266"/>
      <c r="L25" s="1105"/>
    </row>
    <row r="26" spans="1:12" ht="27.95" customHeight="1">
      <c r="A26" s="72"/>
      <c r="B26" s="1245"/>
      <c r="C26" s="1245"/>
      <c r="D26" s="1245"/>
      <c r="E26" s="1245"/>
      <c r="F26" s="1245"/>
      <c r="G26" s="1245"/>
      <c r="H26" s="1267" t="e">
        <f>'4-22MASTER'!#REF!</f>
        <v>#REF!</v>
      </c>
      <c r="I26" s="1260"/>
      <c r="J26" s="1260"/>
      <c r="K26" s="1260"/>
      <c r="L26" s="1110"/>
    </row>
    <row r="27" spans="1:12" ht="27.95" customHeight="1">
      <c r="A27" s="11"/>
      <c r="B27" s="1245"/>
      <c r="C27" s="1245"/>
      <c r="D27" s="1245"/>
      <c r="E27" s="1245"/>
      <c r="F27" s="1245"/>
      <c r="G27" s="1245"/>
      <c r="H27" s="1268" t="e">
        <f>'4-22MASTER'!#REF!</f>
        <v>#REF!</v>
      </c>
      <c r="I27" s="1260"/>
      <c r="J27" s="1260"/>
      <c r="K27" s="1260"/>
      <c r="L27" s="1110"/>
    </row>
    <row r="28" spans="1:12" ht="27.95" customHeight="1">
      <c r="A28" s="11"/>
      <c r="B28" s="73" t="s">
        <v>192</v>
      </c>
      <c r="C28" s="74"/>
      <c r="D28" s="74"/>
      <c r="E28" s="74"/>
      <c r="F28" s="74"/>
      <c r="G28" s="77"/>
      <c r="H28" s="1247" t="e">
        <f>'4-22MASTER'!#REF!</f>
        <v>#REF!</v>
      </c>
      <c r="I28" s="1248"/>
      <c r="J28" s="1248"/>
      <c r="K28" s="1248"/>
      <c r="L28" s="1249"/>
    </row>
    <row r="29" spans="1:12" ht="27.95" customHeight="1">
      <c r="A29" s="11"/>
      <c r="B29" s="73"/>
      <c r="C29" s="74"/>
      <c r="D29" s="74"/>
      <c r="E29" s="74"/>
      <c r="F29" s="74"/>
      <c r="G29" s="77"/>
      <c r="H29" s="1247" t="e">
        <f>'4-22MASTER'!#REF!</f>
        <v>#REF!</v>
      </c>
      <c r="I29" s="1248"/>
      <c r="J29" s="1248"/>
      <c r="K29" s="1248"/>
      <c r="L29" s="1249"/>
    </row>
    <row r="30" spans="1:12" ht="27.95" customHeight="1">
      <c r="A30" s="11"/>
      <c r="B30" s="73"/>
      <c r="C30" s="74"/>
      <c r="D30" s="74"/>
      <c r="E30" s="74"/>
      <c r="F30" s="74"/>
      <c r="G30" s="77"/>
      <c r="H30" s="1247" t="e">
        <f>'4-22MASTER'!#REF!</f>
        <v>#REF!</v>
      </c>
      <c r="I30" s="1248"/>
      <c r="J30" s="1248"/>
      <c r="K30" s="1248"/>
      <c r="L30" s="1249"/>
    </row>
    <row r="31" spans="1:12" ht="27.95" customHeight="1">
      <c r="A31" s="11"/>
      <c r="B31" s="73" t="s">
        <v>199</v>
      </c>
      <c r="C31" s="74"/>
      <c r="D31" s="74"/>
      <c r="E31" s="74"/>
      <c r="F31" s="74"/>
      <c r="G31" s="77"/>
      <c r="H31" s="75"/>
      <c r="I31" s="76"/>
      <c r="J31" s="76"/>
      <c r="K31" s="76"/>
      <c r="L31" s="81"/>
    </row>
    <row r="32" spans="1:12" ht="27.95" customHeight="1">
      <c r="A32" s="11"/>
      <c r="B32" s="83" t="s">
        <v>200</v>
      </c>
      <c r="C32" s="152"/>
      <c r="D32" s="152"/>
      <c r="E32" s="152"/>
      <c r="F32" s="152"/>
      <c r="G32" s="153"/>
      <c r="H32" s="154"/>
      <c r="I32" s="155"/>
      <c r="J32" s="156"/>
      <c r="K32" s="155"/>
      <c r="L32" s="157"/>
    </row>
    <row r="33" spans="1:12" ht="49.5" customHeight="1">
      <c r="A33" s="11"/>
      <c r="B33" s="73" t="s">
        <v>203</v>
      </c>
      <c r="C33" s="74"/>
      <c r="D33" s="76"/>
      <c r="E33" s="164" t="s">
        <v>205</v>
      </c>
      <c r="F33" s="54"/>
      <c r="G33" s="1250" t="s">
        <v>204</v>
      </c>
      <c r="H33" s="1251"/>
      <c r="I33" s="168" t="s">
        <v>201</v>
      </c>
      <c r="J33" s="166" t="s">
        <v>206</v>
      </c>
      <c r="K33" s="1250" t="s">
        <v>202</v>
      </c>
      <c r="L33" s="1252"/>
    </row>
    <row r="34" spans="1:12" ht="27.95" customHeight="1">
      <c r="A34" s="11"/>
      <c r="B34" s="167">
        <v>1</v>
      </c>
      <c r="C34" s="74"/>
      <c r="D34" s="74"/>
      <c r="E34" s="170">
        <v>2</v>
      </c>
      <c r="F34" s="77"/>
      <c r="G34" s="170">
        <v>3</v>
      </c>
      <c r="H34" s="186"/>
      <c r="I34" s="186">
        <v>4</v>
      </c>
      <c r="J34" s="88">
        <v>5</v>
      </c>
      <c r="K34" s="79"/>
      <c r="L34" s="80">
        <v>6</v>
      </c>
    </row>
    <row r="35" spans="1:12" ht="27.95" customHeight="1">
      <c r="A35" s="11"/>
      <c r="B35" s="284" t="e">
        <f>'4-22MASTER'!#REF!</f>
        <v>#REF!</v>
      </c>
      <c r="C35" s="182"/>
      <c r="D35" s="183"/>
      <c r="E35" s="185" t="s">
        <v>362</v>
      </c>
      <c r="F35" s="183"/>
      <c r="G35" s="185" t="s">
        <v>363</v>
      </c>
      <c r="H35" s="54"/>
      <c r="I35" s="9" t="s">
        <v>364</v>
      </c>
      <c r="J35" s="283">
        <v>1</v>
      </c>
      <c r="K35" s="1253" t="s">
        <v>37</v>
      </c>
      <c r="L35" s="1254"/>
    </row>
    <row r="36" spans="1:12" ht="27.95" customHeight="1">
      <c r="A36" s="11"/>
      <c r="B36" s="73"/>
      <c r="C36" s="182"/>
      <c r="D36" s="183"/>
      <c r="E36" s="184"/>
      <c r="F36" s="183"/>
      <c r="G36" s="184"/>
      <c r="H36" s="54"/>
      <c r="I36" s="9"/>
      <c r="J36" s="9"/>
      <c r="K36" s="185"/>
      <c r="L36" s="54"/>
    </row>
    <row r="37" spans="1:12" ht="26.25" customHeight="1">
      <c r="A37" s="11"/>
      <c r="B37" s="73"/>
      <c r="C37" s="182"/>
      <c r="D37" s="183"/>
      <c r="E37" s="184"/>
      <c r="F37" s="183"/>
      <c r="G37" s="184"/>
      <c r="H37" s="54"/>
      <c r="I37" s="9"/>
      <c r="J37" s="9"/>
      <c r="K37" s="185"/>
      <c r="L37" s="54"/>
    </row>
    <row r="38" spans="1:12" ht="27.75" customHeight="1">
      <c r="A38" s="11"/>
      <c r="B38" s="59"/>
      <c r="C38" s="13"/>
      <c r="D38" s="60"/>
      <c r="E38" s="184"/>
      <c r="F38" s="183"/>
      <c r="G38" s="184"/>
      <c r="H38" s="54"/>
      <c r="I38" s="9"/>
      <c r="J38" s="9"/>
      <c r="K38" s="185"/>
      <c r="L38" s="54"/>
    </row>
    <row r="39" spans="1:12">
      <c r="A39" s="11"/>
      <c r="B39" t="s">
        <v>207</v>
      </c>
      <c r="L39" s="12"/>
    </row>
    <row r="40" spans="1:12">
      <c r="A40" s="11"/>
      <c r="B40" t="s">
        <v>208</v>
      </c>
      <c r="L40" s="12"/>
    </row>
    <row r="41" spans="1:12">
      <c r="A41" s="11"/>
      <c r="B41" t="s">
        <v>209</v>
      </c>
      <c r="L41" s="12"/>
    </row>
    <row r="42" spans="1:12">
      <c r="A42" s="11"/>
      <c r="L42" s="12"/>
    </row>
    <row r="43" spans="1:12">
      <c r="A43" s="11"/>
      <c r="I43" t="s">
        <v>210</v>
      </c>
      <c r="L43" s="12"/>
    </row>
    <row r="44" spans="1:12" ht="18.75">
      <c r="A44" s="11"/>
      <c r="F44" s="172" t="s">
        <v>193</v>
      </c>
      <c r="L44" s="12"/>
    </row>
    <row r="45" spans="1:12">
      <c r="A45" s="11" t="s">
        <v>194</v>
      </c>
      <c r="K45" s="222" t="e">
        <f>'4-22MASTER'!#REF!</f>
        <v>#REF!</v>
      </c>
      <c r="L45" s="12"/>
    </row>
    <row r="46" spans="1:12">
      <c r="A46" s="11" t="s">
        <v>195</v>
      </c>
      <c r="L46" s="12"/>
    </row>
    <row r="47" spans="1:12">
      <c r="A47" s="11"/>
      <c r="L47" s="12"/>
    </row>
    <row r="48" spans="1:12">
      <c r="A48" s="11"/>
      <c r="L48" s="12"/>
    </row>
    <row r="49" spans="1:12">
      <c r="A49" s="11"/>
      <c r="F49" t="s">
        <v>196</v>
      </c>
      <c r="L49" s="12"/>
    </row>
    <row r="50" spans="1:12">
      <c r="A50" s="11" t="s">
        <v>197</v>
      </c>
      <c r="B50" t="s">
        <v>361</v>
      </c>
      <c r="F50" t="str">
        <f>'4-22MASTER'!AQ5</f>
        <v>Burgeon IT Services Pvt.Ltd.</v>
      </c>
      <c r="L50" s="12"/>
    </row>
    <row r="51" spans="1:12">
      <c r="A51" s="11" t="s">
        <v>198</v>
      </c>
      <c r="B51" s="282" t="e">
        <f>'4-22MASTER'!#REF!</f>
        <v>#REF!</v>
      </c>
      <c r="F51" t="str">
        <f>'4-22MASTER'!AQ6</f>
        <v>Siri Mansion LIGB 436 Dr.A S Rao Nagar,Hyderabad</v>
      </c>
      <c r="L51" s="12"/>
    </row>
    <row r="52" spans="1:12" ht="15.75" thickBot="1">
      <c r="A52" s="16"/>
      <c r="B52" s="14"/>
      <c r="C52" s="14"/>
      <c r="D52" s="14"/>
      <c r="E52" s="14"/>
      <c r="F52" s="14"/>
      <c r="G52" s="14"/>
      <c r="H52" s="14"/>
      <c r="I52" s="14"/>
      <c r="J52" s="14"/>
      <c r="K52" s="14"/>
      <c r="L52" s="15"/>
    </row>
    <row r="53" spans="1:12" ht="27.95" customHeight="1">
      <c r="A53" s="61"/>
      <c r="B53" s="1246" t="s">
        <v>181</v>
      </c>
      <c r="C53" s="1125"/>
      <c r="D53" s="1125"/>
      <c r="E53" s="1125"/>
      <c r="F53" s="1125"/>
      <c r="G53" s="1125"/>
      <c r="H53" s="1125"/>
      <c r="I53" s="1125"/>
      <c r="J53" s="1125"/>
      <c r="K53" s="1125"/>
      <c r="L53" s="1126"/>
    </row>
    <row r="54" spans="1:12" ht="27.95" customHeight="1">
      <c r="A54" s="11"/>
      <c r="B54" s="1255" t="s">
        <v>182</v>
      </c>
      <c r="C54" s="1255"/>
      <c r="D54" s="1255"/>
      <c r="E54" s="1255"/>
      <c r="F54" s="1255"/>
      <c r="G54" s="1255"/>
      <c r="H54" s="1255"/>
      <c r="I54" s="1255"/>
      <c r="J54" s="1255"/>
      <c r="K54" s="1255"/>
      <c r="L54" s="1129"/>
    </row>
    <row r="55" spans="1:12" ht="27.95" customHeight="1" thickBot="1">
      <c r="A55" s="16"/>
      <c r="B55" s="1131" t="s">
        <v>183</v>
      </c>
      <c r="C55" s="1131"/>
      <c r="D55" s="1131"/>
      <c r="E55" s="1131"/>
      <c r="F55" s="1131"/>
      <c r="G55" s="1131"/>
      <c r="H55" s="1131"/>
      <c r="I55" s="1131"/>
      <c r="J55" s="1131"/>
      <c r="K55" s="1131"/>
      <c r="L55" s="1132"/>
    </row>
    <row r="56" spans="1:12" ht="27.95" customHeight="1">
      <c r="A56" s="11"/>
      <c r="B56" s="1256" t="s">
        <v>111</v>
      </c>
      <c r="C56" s="1256"/>
      <c r="D56" s="1256"/>
      <c r="E56" s="1256"/>
      <c r="F56" s="1256"/>
      <c r="H56" s="1257" t="s">
        <v>112</v>
      </c>
      <c r="I56" s="1257"/>
      <c r="J56" s="1257"/>
      <c r="K56" s="1257"/>
      <c r="L56" s="1136"/>
    </row>
    <row r="57" spans="1:12" ht="27.95" customHeight="1" thickBot="1">
      <c r="A57" s="11"/>
      <c r="B57" s="1256"/>
      <c r="C57" s="1256"/>
      <c r="D57" s="1256"/>
      <c r="E57" s="1256"/>
      <c r="F57" s="1256"/>
      <c r="H57" s="1257"/>
      <c r="I57" s="1257"/>
      <c r="J57" s="1257"/>
      <c r="K57" s="1257"/>
      <c r="L57" s="1136"/>
    </row>
    <row r="58" spans="1:12" ht="27.95" customHeight="1">
      <c r="A58" s="11"/>
      <c r="B58" s="61"/>
      <c r="C58" s="62"/>
      <c r="D58" s="62"/>
      <c r="E58" s="62"/>
      <c r="F58" s="63"/>
      <c r="H58" s="61"/>
      <c r="I58" s="62"/>
      <c r="J58" s="62"/>
      <c r="K58" s="62"/>
      <c r="L58" s="63"/>
    </row>
    <row r="59" spans="1:12">
      <c r="A59" s="11"/>
      <c r="B59" s="64" t="str">
        <f>'4-22MASTER'!G5</f>
        <v>Burgeon IT Services Pvt.Ltd.</v>
      </c>
      <c r="F59" s="12"/>
      <c r="H59" s="64" t="str">
        <f>'4-22MASTER'!AQ5</f>
        <v>Burgeon IT Services Pvt.Ltd.</v>
      </c>
      <c r="L59" s="12"/>
    </row>
    <row r="60" spans="1:12">
      <c r="A60" s="11"/>
      <c r="B60" s="11"/>
      <c r="F60" s="12"/>
      <c r="H60" s="11"/>
      <c r="L60" s="12"/>
    </row>
    <row r="61" spans="1:12">
      <c r="A61" s="11"/>
      <c r="B61" s="64" t="str">
        <f>'4-22MASTER'!G6</f>
        <v>Siri Mansion LIGB 436 Dr.A S Rao Nagar,Hyderabad</v>
      </c>
      <c r="F61" s="12"/>
      <c r="H61" s="64" t="str">
        <f>'4-22MASTER'!AQ6</f>
        <v>Siri Mansion LIGB 436 Dr.A S Rao Nagar,Hyderabad</v>
      </c>
      <c r="L61" s="12"/>
    </row>
    <row r="62" spans="1:12" ht="15.75" thickBot="1">
      <c r="A62" s="11"/>
      <c r="B62" s="16"/>
      <c r="C62" s="14"/>
      <c r="D62" s="14"/>
      <c r="E62" s="14"/>
      <c r="F62" s="15"/>
      <c r="H62" s="16"/>
      <c r="I62" s="14"/>
      <c r="J62" s="14"/>
      <c r="K62" s="14"/>
      <c r="L62" s="15"/>
    </row>
    <row r="63" spans="1:12">
      <c r="A63" s="11"/>
      <c r="J63" t="s">
        <v>113</v>
      </c>
      <c r="L63" s="12"/>
    </row>
    <row r="64" spans="1:12">
      <c r="A64" s="11"/>
      <c r="B64" s="1258" t="s">
        <v>114</v>
      </c>
      <c r="C64" s="1258"/>
      <c r="D64" s="1258"/>
      <c r="E64" s="1258"/>
      <c r="F64" s="1258"/>
      <c r="H64" s="1258" t="s">
        <v>4</v>
      </c>
      <c r="I64" s="1258"/>
      <c r="J64" s="1258"/>
      <c r="K64" s="1258"/>
      <c r="L64" s="1139"/>
    </row>
    <row r="65" spans="1:12" ht="15.75" thickBot="1">
      <c r="A65" s="11"/>
      <c r="L65" s="12"/>
    </row>
    <row r="66" spans="1:12">
      <c r="A66" s="11"/>
      <c r="B66" s="61"/>
      <c r="C66" s="62"/>
      <c r="D66" s="62"/>
      <c r="E66" s="62"/>
      <c r="F66" s="63"/>
      <c r="H66" s="65"/>
      <c r="I66" s="66"/>
      <c r="J66" s="66"/>
      <c r="K66" s="66"/>
      <c r="L66" s="67"/>
    </row>
    <row r="67" spans="1:12">
      <c r="A67" s="11"/>
      <c r="B67" s="11"/>
      <c r="F67" s="12"/>
      <c r="H67" s="64" t="str">
        <f>'4-22MASTER'!AQ10</f>
        <v>INFOSYS  LTD.IL Ascendas SEZ Unit,Building Juniper</v>
      </c>
      <c r="I67" s="2"/>
      <c r="J67" s="2"/>
      <c r="K67" s="2"/>
      <c r="L67" s="68"/>
    </row>
    <row r="68" spans="1:12">
      <c r="A68" s="11"/>
      <c r="B68" s="64" t="str">
        <f>'4-22MASTER'!G8</f>
        <v>IT SUPPORTIVE SERVICES &amp; PUNE ASC SEZ</v>
      </c>
      <c r="F68" s="12"/>
      <c r="H68" s="64"/>
      <c r="I68" s="2"/>
      <c r="J68" s="2"/>
      <c r="K68" s="2"/>
      <c r="L68" s="68"/>
    </row>
    <row r="69" spans="1:12">
      <c r="A69" s="11"/>
      <c r="B69" s="11"/>
      <c r="F69" s="12"/>
      <c r="H69" s="64" t="str">
        <f>'4-22MASTER'!AQ11</f>
        <v>International Tech Park,Rajiv Gandhi Infotech Park,Hinjawadi,Pune,Maharashtra</v>
      </c>
      <c r="I69" s="2"/>
      <c r="J69" s="2"/>
      <c r="K69" s="2"/>
      <c r="L69" s="68"/>
    </row>
    <row r="70" spans="1:12" ht="15.75" thickBot="1">
      <c r="A70" s="11"/>
      <c r="B70" s="16"/>
      <c r="C70" s="14"/>
      <c r="D70" s="14"/>
      <c r="E70" s="14"/>
      <c r="F70" s="15"/>
      <c r="H70" s="69"/>
      <c r="I70" s="70"/>
      <c r="J70" s="70"/>
      <c r="K70" s="70"/>
      <c r="L70" s="71"/>
    </row>
    <row r="71" spans="1:12">
      <c r="A71" s="72"/>
      <c r="B71" s="1245" t="s">
        <v>184</v>
      </c>
      <c r="C71" s="1245"/>
      <c r="D71" s="1245"/>
      <c r="E71" s="1245"/>
      <c r="F71" s="1245"/>
      <c r="G71" s="1245"/>
      <c r="H71" s="1268" t="e">
        <f>'4-22MASTER'!#REF!</f>
        <v>#REF!</v>
      </c>
      <c r="I71" s="1260"/>
      <c r="J71" s="1260"/>
      <c r="K71" s="1260"/>
      <c r="L71" s="1110"/>
    </row>
    <row r="72" spans="1:12">
      <c r="A72" s="72"/>
      <c r="B72" s="1269" t="s">
        <v>185</v>
      </c>
      <c r="C72" s="1269"/>
      <c r="D72" s="1269"/>
      <c r="E72" s="1269"/>
      <c r="F72" s="1269"/>
      <c r="G72" s="1269"/>
      <c r="H72" s="1268" t="e">
        <f>'4-22MASTER'!#REF!</f>
        <v>#REF!</v>
      </c>
      <c r="I72" s="1260"/>
      <c r="J72" s="1260"/>
      <c r="K72" s="1260"/>
      <c r="L72" s="1110"/>
    </row>
    <row r="73" spans="1:12">
      <c r="A73" s="72"/>
      <c r="B73" s="1245" t="s">
        <v>186</v>
      </c>
      <c r="C73" s="1245"/>
      <c r="D73" s="1245"/>
      <c r="E73" s="1245"/>
      <c r="F73" s="1245"/>
      <c r="G73" s="1245"/>
      <c r="H73" s="1268" t="e">
        <f>'4-22MASTER'!#REF!</f>
        <v>#REF!</v>
      </c>
      <c r="I73" s="1260"/>
      <c r="J73" s="1260"/>
      <c r="K73" s="1260"/>
      <c r="L73" s="1110"/>
    </row>
    <row r="74" spans="1:12">
      <c r="A74" s="72"/>
      <c r="B74" s="1245" t="s">
        <v>187</v>
      </c>
      <c r="C74" s="1245"/>
      <c r="D74" s="1245"/>
      <c r="E74" s="1245"/>
      <c r="F74" s="1245"/>
      <c r="G74" s="1245"/>
      <c r="H74" s="1259" t="e">
        <f>'4-22MASTER'!#REF!</f>
        <v>#REF!</v>
      </c>
      <c r="I74" s="1260"/>
      <c r="J74" s="1260"/>
      <c r="K74" s="1260"/>
      <c r="L74" s="1110"/>
    </row>
    <row r="75" spans="1:12">
      <c r="A75" s="72"/>
      <c r="B75" s="73" t="s">
        <v>188</v>
      </c>
      <c r="C75" s="74"/>
      <c r="D75" s="74"/>
      <c r="E75" s="74"/>
      <c r="F75" s="74"/>
      <c r="G75" s="74"/>
      <c r="H75" s="1261" t="s">
        <v>189</v>
      </c>
      <c r="I75" s="1262"/>
      <c r="J75" s="1262"/>
      <c r="K75" s="1262"/>
      <c r="L75" s="1263"/>
    </row>
    <row r="76" spans="1:12">
      <c r="A76" s="72"/>
      <c r="B76" s="73" t="s">
        <v>190</v>
      </c>
      <c r="C76" s="74"/>
      <c r="D76" s="74"/>
      <c r="E76" s="74"/>
      <c r="F76" s="74"/>
      <c r="G76" s="74"/>
      <c r="H76" s="75"/>
      <c r="I76" s="76"/>
      <c r="J76" s="171"/>
      <c r="K76" s="76"/>
      <c r="L76" s="81"/>
    </row>
    <row r="77" spans="1:12">
      <c r="A77" s="72"/>
      <c r="B77" s="1264" t="s">
        <v>191</v>
      </c>
      <c r="C77" s="1264"/>
      <c r="D77" s="1264"/>
      <c r="E77" s="1264"/>
      <c r="F77" s="1264"/>
      <c r="G77" s="1264"/>
      <c r="H77" s="1265" t="e">
        <f>'4-22MASTER'!#REF!</f>
        <v>#REF!</v>
      </c>
      <c r="I77" s="1266"/>
      <c r="J77" s="1266"/>
      <c r="K77" s="1266"/>
      <c r="L77" s="1105"/>
    </row>
    <row r="78" spans="1:12">
      <c r="A78" s="72"/>
      <c r="B78" s="1245"/>
      <c r="C78" s="1245"/>
      <c r="D78" s="1245"/>
      <c r="E78" s="1245"/>
      <c r="F78" s="1245"/>
      <c r="G78" s="1245"/>
      <c r="H78" s="1267" t="e">
        <f>'4-22MASTER'!#REF!</f>
        <v>#REF!</v>
      </c>
      <c r="I78" s="1260"/>
      <c r="J78" s="1260"/>
      <c r="K78" s="1260"/>
      <c r="L78" s="1110"/>
    </row>
    <row r="79" spans="1:12">
      <c r="A79" s="11"/>
      <c r="B79" s="1245"/>
      <c r="C79" s="1245"/>
      <c r="D79" s="1245"/>
      <c r="E79" s="1245"/>
      <c r="F79" s="1245"/>
      <c r="G79" s="1245"/>
      <c r="H79" s="1268" t="e">
        <f>'4-22MASTER'!#REF!</f>
        <v>#REF!</v>
      </c>
      <c r="I79" s="1260"/>
      <c r="J79" s="1260"/>
      <c r="K79" s="1260"/>
      <c r="L79" s="1110"/>
    </row>
    <row r="80" spans="1:12" ht="15" customHeight="1">
      <c r="A80" s="11"/>
      <c r="B80" s="73" t="s">
        <v>192</v>
      </c>
      <c r="C80" s="74"/>
      <c r="D80" s="74"/>
      <c r="E80" s="74"/>
      <c r="F80" s="74"/>
      <c r="G80" s="77"/>
      <c r="H80" s="1247" t="e">
        <f>'4-22MASTER'!#REF!</f>
        <v>#REF!</v>
      </c>
      <c r="I80" s="1248"/>
      <c r="J80" s="1248"/>
      <c r="K80" s="1248"/>
      <c r="L80" s="1249"/>
    </row>
    <row r="81" spans="1:12">
      <c r="A81" s="11"/>
      <c r="B81" s="73"/>
      <c r="C81" s="74"/>
      <c r="D81" s="74"/>
      <c r="E81" s="74"/>
      <c r="F81" s="74"/>
      <c r="G81" s="77"/>
      <c r="H81" s="1247" t="e">
        <f>'4-22MASTER'!#REF!</f>
        <v>#REF!</v>
      </c>
      <c r="I81" s="1248"/>
      <c r="J81" s="1248"/>
      <c r="K81" s="1248"/>
      <c r="L81" s="1249"/>
    </row>
    <row r="82" spans="1:12">
      <c r="A82" s="11"/>
      <c r="B82" s="73"/>
      <c r="C82" s="74"/>
      <c r="D82" s="74"/>
      <c r="E82" s="74"/>
      <c r="F82" s="74"/>
      <c r="G82" s="77"/>
      <c r="H82" s="1247" t="e">
        <f>'4-22MASTER'!#REF!</f>
        <v>#REF!</v>
      </c>
      <c r="I82" s="1248"/>
      <c r="J82" s="1248"/>
      <c r="K82" s="1248"/>
      <c r="L82" s="1249"/>
    </row>
    <row r="83" spans="1:12">
      <c r="A83" s="11"/>
      <c r="B83" s="73" t="s">
        <v>199</v>
      </c>
      <c r="C83" s="74"/>
      <c r="D83" s="74"/>
      <c r="E83" s="74"/>
      <c r="F83" s="74"/>
      <c r="G83" s="77"/>
      <c r="H83" s="75"/>
      <c r="I83" s="76"/>
      <c r="J83" s="76"/>
      <c r="K83" s="76"/>
      <c r="L83" s="81"/>
    </row>
    <row r="84" spans="1:12">
      <c r="A84" s="11"/>
      <c r="B84" s="83" t="s">
        <v>200</v>
      </c>
      <c r="C84" s="152"/>
      <c r="D84" s="152"/>
      <c r="E84" s="152"/>
      <c r="F84" s="152"/>
      <c r="G84" s="153"/>
      <c r="H84" s="154"/>
      <c r="I84" s="155"/>
      <c r="J84" s="156"/>
      <c r="K84" s="155"/>
      <c r="L84" s="157"/>
    </row>
    <row r="85" spans="1:12" ht="45">
      <c r="A85" s="11"/>
      <c r="B85" s="73" t="s">
        <v>203</v>
      </c>
      <c r="C85" s="74"/>
      <c r="D85" s="76"/>
      <c r="E85" s="164" t="s">
        <v>205</v>
      </c>
      <c r="F85" s="54"/>
      <c r="G85" s="1250" t="s">
        <v>204</v>
      </c>
      <c r="H85" s="1251"/>
      <c r="I85" s="168" t="s">
        <v>201</v>
      </c>
      <c r="J85" s="166" t="s">
        <v>206</v>
      </c>
      <c r="K85" s="1250" t="s">
        <v>202</v>
      </c>
      <c r="L85" s="1252"/>
    </row>
    <row r="86" spans="1:12">
      <c r="A86" s="11"/>
      <c r="B86" s="167">
        <v>1</v>
      </c>
      <c r="C86" s="74"/>
      <c r="D86" s="74"/>
      <c r="E86" s="170">
        <v>2</v>
      </c>
      <c r="F86" s="77"/>
      <c r="G86" s="170">
        <v>3</v>
      </c>
      <c r="H86" s="186"/>
      <c r="I86" s="186">
        <v>4</v>
      </c>
      <c r="J86" s="88">
        <v>5</v>
      </c>
      <c r="K86" s="79"/>
      <c r="L86" s="80">
        <v>6</v>
      </c>
    </row>
    <row r="87" spans="1:12">
      <c r="A87" s="11"/>
      <c r="B87" s="284" t="e">
        <f>'4-22MASTER'!#REF!</f>
        <v>#REF!</v>
      </c>
      <c r="C87" s="182"/>
      <c r="D87" s="183"/>
      <c r="E87" s="185" t="s">
        <v>362</v>
      </c>
      <c r="F87" s="183"/>
      <c r="G87" s="185" t="s">
        <v>363</v>
      </c>
      <c r="H87" s="54"/>
      <c r="I87" s="9" t="s">
        <v>364</v>
      </c>
      <c r="J87" s="283">
        <v>1</v>
      </c>
      <c r="K87" s="1253" t="s">
        <v>37</v>
      </c>
      <c r="L87" s="1254"/>
    </row>
    <row r="88" spans="1:12">
      <c r="A88" s="11"/>
      <c r="B88" s="73"/>
      <c r="C88" s="182"/>
      <c r="D88" s="183"/>
      <c r="E88" s="184"/>
      <c r="F88" s="183"/>
      <c r="G88" s="184"/>
      <c r="H88" s="54"/>
      <c r="I88" s="9"/>
      <c r="J88" s="9"/>
      <c r="K88" s="185"/>
      <c r="L88" s="54"/>
    </row>
    <row r="89" spans="1:12">
      <c r="A89" s="11"/>
      <c r="B89" s="73"/>
      <c r="C89" s="182"/>
      <c r="D89" s="183"/>
      <c r="E89" s="184"/>
      <c r="F89" s="183"/>
      <c r="G89" s="184"/>
      <c r="H89" s="54"/>
      <c r="I89" s="9"/>
      <c r="J89" s="9"/>
      <c r="K89" s="185"/>
      <c r="L89" s="54"/>
    </row>
    <row r="90" spans="1:12">
      <c r="A90" s="11"/>
      <c r="B90" s="59"/>
      <c r="C90" s="13"/>
      <c r="D90" s="60"/>
      <c r="E90" s="184"/>
      <c r="F90" s="183"/>
      <c r="G90" s="184"/>
      <c r="H90" s="54"/>
      <c r="I90" s="9"/>
      <c r="J90" s="9"/>
      <c r="K90" s="185"/>
      <c r="L90" s="54"/>
    </row>
    <row r="91" spans="1:12">
      <c r="A91" s="11"/>
      <c r="B91" t="s">
        <v>207</v>
      </c>
      <c r="L91" s="12"/>
    </row>
    <row r="92" spans="1:12">
      <c r="A92" s="11"/>
      <c r="B92" t="s">
        <v>208</v>
      </c>
      <c r="L92" s="12"/>
    </row>
    <row r="93" spans="1:12">
      <c r="A93" s="11"/>
      <c r="B93" t="s">
        <v>209</v>
      </c>
      <c r="L93" s="12"/>
    </row>
    <row r="94" spans="1:12">
      <c r="A94" s="11"/>
      <c r="L94" s="12"/>
    </row>
    <row r="95" spans="1:12" ht="27.95" customHeight="1">
      <c r="A95" s="11"/>
      <c r="I95" t="s">
        <v>210</v>
      </c>
      <c r="L95" s="12"/>
    </row>
    <row r="96" spans="1:12" ht="27.95" customHeight="1">
      <c r="A96" s="11"/>
      <c r="F96" s="172" t="s">
        <v>193</v>
      </c>
      <c r="L96" s="12"/>
    </row>
    <row r="97" spans="1:12" ht="27.95" customHeight="1">
      <c r="A97" s="11" t="s">
        <v>194</v>
      </c>
      <c r="K97" s="222" t="e">
        <f>'4-22MASTER'!#REF!</f>
        <v>#REF!</v>
      </c>
      <c r="L97" s="12"/>
    </row>
    <row r="98" spans="1:12" ht="27.95" customHeight="1">
      <c r="A98" s="11" t="s">
        <v>195</v>
      </c>
      <c r="L98" s="12"/>
    </row>
    <row r="99" spans="1:12" ht="27.95" customHeight="1">
      <c r="A99" s="11"/>
      <c r="L99" s="12"/>
    </row>
    <row r="100" spans="1:12" ht="27.95" customHeight="1">
      <c r="A100" s="11"/>
      <c r="L100" s="12"/>
    </row>
    <row r="101" spans="1:12" ht="27.95" customHeight="1">
      <c r="A101" s="11"/>
      <c r="F101" t="s">
        <v>196</v>
      </c>
      <c r="L101" s="12"/>
    </row>
    <row r="102" spans="1:12" ht="27.95" customHeight="1">
      <c r="A102" s="11" t="s">
        <v>197</v>
      </c>
      <c r="B102" t="s">
        <v>361</v>
      </c>
      <c r="F102" t="str">
        <f>'4-22MASTER'!G5</f>
        <v>Burgeon IT Services Pvt.Ltd.</v>
      </c>
      <c r="L102" s="12"/>
    </row>
    <row r="103" spans="1:12" ht="27.95" customHeight="1">
      <c r="A103" s="11" t="s">
        <v>198</v>
      </c>
      <c r="B103" s="282" t="e">
        <f>'4-22MASTER'!#REF!</f>
        <v>#REF!</v>
      </c>
      <c r="F103" t="str">
        <f>'4-22MASTER'!G6</f>
        <v>Siri Mansion LIGB 436 Dr.A S Rao Nagar,Hyderabad</v>
      </c>
      <c r="L103" s="12"/>
    </row>
    <row r="104" spans="1:12" ht="27.95" customHeight="1" thickBot="1">
      <c r="A104" s="16"/>
      <c r="B104" s="14"/>
      <c r="C104" s="14"/>
      <c r="D104" s="14"/>
      <c r="E104" s="14"/>
      <c r="F104" s="14"/>
      <c r="G104" s="14"/>
      <c r="H104" s="14"/>
      <c r="I104" s="14"/>
      <c r="J104" s="14"/>
      <c r="K104" s="14"/>
      <c r="L104" s="15"/>
    </row>
    <row r="105" spans="1:12" ht="27.95" customHeight="1">
      <c r="B105" s="173"/>
      <c r="C105" s="169"/>
      <c r="D105" s="169"/>
      <c r="E105" s="169"/>
      <c r="F105" s="169"/>
      <c r="G105" s="169"/>
      <c r="H105" s="1270"/>
      <c r="I105" s="1271"/>
      <c r="J105" s="1271"/>
      <c r="K105" s="1271"/>
      <c r="L105" s="1271"/>
    </row>
    <row r="106" spans="1:12" ht="27.95" customHeight="1" thickBot="1">
      <c r="B106" s="173"/>
      <c r="C106" s="169"/>
      <c r="D106" s="169"/>
      <c r="E106" s="169"/>
      <c r="F106" s="169"/>
      <c r="G106" s="169"/>
      <c r="H106" s="1270"/>
      <c r="I106" s="1271"/>
      <c r="J106" s="1271"/>
      <c r="K106" s="1271"/>
      <c r="L106" s="1271"/>
    </row>
    <row r="107" spans="1:12" ht="27.95" customHeight="1">
      <c r="A107" s="61"/>
      <c r="B107" s="1246" t="s">
        <v>181</v>
      </c>
      <c r="C107" s="1125"/>
      <c r="D107" s="1125"/>
      <c r="E107" s="1125"/>
      <c r="F107" s="1125"/>
      <c r="G107" s="1125"/>
      <c r="H107" s="1125"/>
      <c r="I107" s="1125"/>
      <c r="J107" s="1125"/>
      <c r="K107" s="1125"/>
      <c r="L107" s="1126"/>
    </row>
    <row r="108" spans="1:12" ht="27.95" customHeight="1">
      <c r="A108" s="11"/>
      <c r="B108" s="1255" t="s">
        <v>182</v>
      </c>
      <c r="C108" s="1255"/>
      <c r="D108" s="1255"/>
      <c r="E108" s="1255"/>
      <c r="F108" s="1255"/>
      <c r="G108" s="1255"/>
      <c r="H108" s="1255"/>
      <c r="I108" s="1255"/>
      <c r="J108" s="1255"/>
      <c r="K108" s="1255"/>
      <c r="L108" s="1129"/>
    </row>
    <row r="109" spans="1:12" ht="27.95" customHeight="1" thickBot="1">
      <c r="A109" s="16"/>
      <c r="B109" s="1131" t="s">
        <v>183</v>
      </c>
      <c r="C109" s="1131"/>
      <c r="D109" s="1131"/>
      <c r="E109" s="1131"/>
      <c r="F109" s="1131"/>
      <c r="G109" s="1131"/>
      <c r="H109" s="1131"/>
      <c r="I109" s="1131"/>
      <c r="J109" s="1131"/>
      <c r="K109" s="1131"/>
      <c r="L109" s="1132"/>
    </row>
    <row r="110" spans="1:12" ht="27.95" customHeight="1">
      <c r="A110" s="11"/>
      <c r="B110" s="1256" t="s">
        <v>111</v>
      </c>
      <c r="C110" s="1256"/>
      <c r="D110" s="1256"/>
      <c r="E110" s="1256"/>
      <c r="F110" s="1256"/>
      <c r="H110" s="1257" t="s">
        <v>112</v>
      </c>
      <c r="I110" s="1257"/>
      <c r="J110" s="1257"/>
      <c r="K110" s="1257"/>
      <c r="L110" s="1136"/>
    </row>
    <row r="111" spans="1:12" ht="27.95" customHeight="1" thickBot="1">
      <c r="A111" s="11"/>
      <c r="B111" s="1256"/>
      <c r="C111" s="1256"/>
      <c r="D111" s="1256"/>
      <c r="E111" s="1256"/>
      <c r="F111" s="1256"/>
      <c r="H111" s="1257"/>
      <c r="I111" s="1257"/>
      <c r="J111" s="1257"/>
      <c r="K111" s="1257"/>
      <c r="L111" s="1136"/>
    </row>
    <row r="112" spans="1:12" ht="27.95" customHeight="1">
      <c r="A112" s="11"/>
      <c r="B112" s="61"/>
      <c r="C112" s="62"/>
      <c r="D112" s="62"/>
      <c r="E112" s="62"/>
      <c r="F112" s="63"/>
      <c r="H112" s="61"/>
      <c r="I112" s="62"/>
      <c r="J112" s="62"/>
      <c r="K112" s="62"/>
      <c r="L112" s="63"/>
    </row>
    <row r="113" spans="1:12">
      <c r="A113" s="11"/>
      <c r="B113" s="64" t="str">
        <f>'4-22MASTER'!G5</f>
        <v>Burgeon IT Services Pvt.Ltd.</v>
      </c>
      <c r="F113" s="12"/>
      <c r="H113" s="64" t="str">
        <f>'4-22MASTER'!AQ5</f>
        <v>Burgeon IT Services Pvt.Ltd.</v>
      </c>
      <c r="L113" s="12"/>
    </row>
    <row r="114" spans="1:12">
      <c r="A114" s="11"/>
      <c r="B114" s="11"/>
      <c r="F114" s="12"/>
      <c r="H114" s="11"/>
      <c r="L114" s="12"/>
    </row>
    <row r="115" spans="1:12">
      <c r="A115" s="11"/>
      <c r="B115" s="64" t="str">
        <f>'4-22MASTER'!G6</f>
        <v>Siri Mansion LIGB 436 Dr.A S Rao Nagar,Hyderabad</v>
      </c>
      <c r="F115" s="12"/>
      <c r="H115" s="64" t="str">
        <f>'4-22MASTER'!AQ6</f>
        <v>Siri Mansion LIGB 436 Dr.A S Rao Nagar,Hyderabad</v>
      </c>
      <c r="L115" s="12"/>
    </row>
    <row r="116" spans="1:12" ht="15.75" thickBot="1">
      <c r="A116" s="11"/>
      <c r="B116" s="16"/>
      <c r="C116" s="14"/>
      <c r="D116" s="14"/>
      <c r="E116" s="14"/>
      <c r="F116" s="15"/>
      <c r="H116" s="16"/>
      <c r="I116" s="14"/>
      <c r="J116" s="14"/>
      <c r="K116" s="14"/>
      <c r="L116" s="15"/>
    </row>
    <row r="117" spans="1:12">
      <c r="A117" s="11"/>
      <c r="J117" t="s">
        <v>113</v>
      </c>
      <c r="L117" s="12"/>
    </row>
    <row r="118" spans="1:12">
      <c r="A118" s="11"/>
      <c r="B118" s="1258" t="s">
        <v>114</v>
      </c>
      <c r="C118" s="1258"/>
      <c r="D118" s="1258"/>
      <c r="E118" s="1258"/>
      <c r="F118" s="1258"/>
      <c r="H118" s="1258" t="s">
        <v>4</v>
      </c>
      <c r="I118" s="1258"/>
      <c r="J118" s="1258"/>
      <c r="K118" s="1258"/>
      <c r="L118" s="1139"/>
    </row>
    <row r="119" spans="1:12" ht="15.75" thickBot="1">
      <c r="A119" s="11"/>
      <c r="L119" s="12"/>
    </row>
    <row r="120" spans="1:12">
      <c r="A120" s="11"/>
      <c r="B120" s="61"/>
      <c r="C120" s="62"/>
      <c r="D120" s="62"/>
      <c r="E120" s="62"/>
      <c r="F120" s="63"/>
      <c r="H120" s="65"/>
      <c r="I120" s="66"/>
      <c r="J120" s="66"/>
      <c r="K120" s="66"/>
      <c r="L120" s="67"/>
    </row>
    <row r="121" spans="1:12">
      <c r="A121" s="11"/>
      <c r="B121" s="11"/>
      <c r="F121" s="12"/>
      <c r="H121" s="64" t="str">
        <f>'4-22MASTER'!AQ10</f>
        <v>INFOSYS  LTD.IL Ascendas SEZ Unit,Building Juniper</v>
      </c>
      <c r="I121" s="2"/>
      <c r="J121" s="2"/>
      <c r="K121" s="2"/>
      <c r="L121" s="68"/>
    </row>
    <row r="122" spans="1:12">
      <c r="A122" s="11"/>
      <c r="B122" s="64" t="str">
        <f>'4-22MASTER'!G8</f>
        <v>IT SUPPORTIVE SERVICES &amp; PUNE ASC SEZ</v>
      </c>
      <c r="F122" s="12"/>
      <c r="H122" s="64"/>
      <c r="I122" s="2"/>
      <c r="J122" s="2"/>
      <c r="K122" s="2"/>
      <c r="L122" s="68"/>
    </row>
    <row r="123" spans="1:12">
      <c r="A123" s="11"/>
      <c r="B123" s="11"/>
      <c r="F123" s="12"/>
      <c r="H123" s="64" t="str">
        <f>'4-22MASTER'!AQ11</f>
        <v>International Tech Park,Rajiv Gandhi Infotech Park,Hinjawadi,Pune,Maharashtra</v>
      </c>
      <c r="I123" s="2"/>
      <c r="J123" s="2"/>
      <c r="K123" s="2"/>
      <c r="L123" s="68"/>
    </row>
    <row r="124" spans="1:12" ht="15.75" thickBot="1">
      <c r="A124" s="11"/>
      <c r="B124" s="16"/>
      <c r="C124" s="14"/>
      <c r="D124" s="14"/>
      <c r="E124" s="14"/>
      <c r="F124" s="15"/>
      <c r="H124" s="69"/>
      <c r="I124" s="70"/>
      <c r="J124" s="70"/>
      <c r="K124" s="70"/>
      <c r="L124" s="71"/>
    </row>
    <row r="125" spans="1:12">
      <c r="A125" s="72"/>
      <c r="B125" s="1245" t="s">
        <v>184</v>
      </c>
      <c r="C125" s="1245"/>
      <c r="D125" s="1245"/>
      <c r="E125" s="1245"/>
      <c r="F125" s="1245"/>
      <c r="G125" s="1245"/>
      <c r="H125" s="1268" t="e">
        <f>'4-22MASTER'!#REF!</f>
        <v>#REF!</v>
      </c>
      <c r="I125" s="1260"/>
      <c r="J125" s="1260"/>
      <c r="K125" s="1260"/>
      <c r="L125" s="1110"/>
    </row>
    <row r="126" spans="1:12">
      <c r="A126" s="72"/>
      <c r="B126" s="1269" t="s">
        <v>185</v>
      </c>
      <c r="C126" s="1269"/>
      <c r="D126" s="1269"/>
      <c r="E126" s="1269"/>
      <c r="F126" s="1269"/>
      <c r="G126" s="1269"/>
      <c r="H126" s="1268" t="e">
        <f>'4-22MASTER'!#REF!</f>
        <v>#REF!</v>
      </c>
      <c r="I126" s="1260"/>
      <c r="J126" s="1260"/>
      <c r="K126" s="1260"/>
      <c r="L126" s="1110"/>
    </row>
    <row r="127" spans="1:12">
      <c r="A127" s="72"/>
      <c r="B127" s="1245" t="s">
        <v>186</v>
      </c>
      <c r="C127" s="1245"/>
      <c r="D127" s="1245"/>
      <c r="E127" s="1245"/>
      <c r="F127" s="1245"/>
      <c r="G127" s="1245"/>
      <c r="H127" s="1268" t="e">
        <f>'4-22MASTER'!#REF!</f>
        <v>#REF!</v>
      </c>
      <c r="I127" s="1260"/>
      <c r="J127" s="1260"/>
      <c r="K127" s="1260"/>
      <c r="L127" s="1110"/>
    </row>
    <row r="128" spans="1:12">
      <c r="A128" s="72"/>
      <c r="B128" s="1245" t="s">
        <v>187</v>
      </c>
      <c r="C128" s="1245"/>
      <c r="D128" s="1245"/>
      <c r="E128" s="1245"/>
      <c r="F128" s="1245"/>
      <c r="G128" s="1245"/>
      <c r="H128" s="1259" t="e">
        <f>'4-22MASTER'!#REF!</f>
        <v>#REF!</v>
      </c>
      <c r="I128" s="1260"/>
      <c r="J128" s="1260"/>
      <c r="K128" s="1260"/>
      <c r="L128" s="1110"/>
    </row>
    <row r="129" spans="1:12">
      <c r="A129" s="72"/>
      <c r="B129" s="73" t="s">
        <v>188</v>
      </c>
      <c r="C129" s="74"/>
      <c r="D129" s="74"/>
      <c r="E129" s="74"/>
      <c r="F129" s="74"/>
      <c r="G129" s="74"/>
      <c r="H129" s="1261" t="s">
        <v>189</v>
      </c>
      <c r="I129" s="1262"/>
      <c r="J129" s="1262"/>
      <c r="K129" s="1262"/>
      <c r="L129" s="1263"/>
    </row>
    <row r="130" spans="1:12">
      <c r="A130" s="72"/>
      <c r="B130" s="73" t="s">
        <v>190</v>
      </c>
      <c r="C130" s="74"/>
      <c r="D130" s="74"/>
      <c r="E130" s="74"/>
      <c r="F130" s="74"/>
      <c r="G130" s="74"/>
      <c r="H130" s="75"/>
      <c r="I130" s="76"/>
      <c r="J130" s="171"/>
      <c r="K130" s="76"/>
      <c r="L130" s="81"/>
    </row>
    <row r="131" spans="1:12">
      <c r="A131" s="72"/>
      <c r="B131" s="1264" t="s">
        <v>191</v>
      </c>
      <c r="C131" s="1264"/>
      <c r="D131" s="1264"/>
      <c r="E131" s="1264"/>
      <c r="F131" s="1264"/>
      <c r="G131" s="1264"/>
      <c r="H131" s="1265" t="e">
        <f>'4-22MASTER'!#REF!</f>
        <v>#REF!</v>
      </c>
      <c r="I131" s="1266"/>
      <c r="J131" s="1266"/>
      <c r="K131" s="1266"/>
      <c r="L131" s="1105"/>
    </row>
    <row r="132" spans="1:12">
      <c r="A132" s="72"/>
      <c r="B132" s="1245"/>
      <c r="C132" s="1245"/>
      <c r="D132" s="1245"/>
      <c r="E132" s="1245"/>
      <c r="F132" s="1245"/>
      <c r="G132" s="1245"/>
      <c r="H132" s="1267" t="e">
        <f>'4-22MASTER'!#REF!</f>
        <v>#REF!</v>
      </c>
      <c r="I132" s="1260"/>
      <c r="J132" s="1260"/>
      <c r="K132" s="1260"/>
      <c r="L132" s="1110"/>
    </row>
    <row r="133" spans="1:12">
      <c r="A133" s="11"/>
      <c r="B133" s="1245"/>
      <c r="C133" s="1245"/>
      <c r="D133" s="1245"/>
      <c r="E133" s="1245"/>
      <c r="F133" s="1245"/>
      <c r="G133" s="1245"/>
      <c r="H133" s="1268" t="e">
        <f>'4-22MASTER'!#REF!</f>
        <v>#REF!</v>
      </c>
      <c r="I133" s="1260"/>
      <c r="J133" s="1260"/>
      <c r="K133" s="1260"/>
      <c r="L133" s="1110"/>
    </row>
    <row r="134" spans="1:12">
      <c r="A134" s="11"/>
      <c r="B134" s="73" t="s">
        <v>192</v>
      </c>
      <c r="C134" s="74"/>
      <c r="D134" s="74"/>
      <c r="E134" s="74"/>
      <c r="F134" s="74"/>
      <c r="G134" s="77"/>
      <c r="H134" s="1247" t="e">
        <f>'4-22MASTER'!#REF!</f>
        <v>#REF!</v>
      </c>
      <c r="I134" s="1248"/>
      <c r="J134" s="1248"/>
      <c r="K134" s="1248"/>
      <c r="L134" s="1249"/>
    </row>
    <row r="135" spans="1:12">
      <c r="A135" s="11"/>
      <c r="B135" s="73"/>
      <c r="C135" s="74"/>
      <c r="D135" s="74"/>
      <c r="E135" s="74"/>
      <c r="F135" s="74"/>
      <c r="G135" s="77"/>
      <c r="H135" s="1247" t="e">
        <f>'4-22MASTER'!#REF!</f>
        <v>#REF!</v>
      </c>
      <c r="I135" s="1248"/>
      <c r="J135" s="1248"/>
      <c r="K135" s="1248"/>
      <c r="L135" s="1249"/>
    </row>
    <row r="136" spans="1:12">
      <c r="A136" s="11"/>
      <c r="B136" s="73"/>
      <c r="C136" s="74"/>
      <c r="D136" s="74"/>
      <c r="E136" s="74"/>
      <c r="F136" s="74"/>
      <c r="G136" s="77"/>
      <c r="H136" s="1247" t="e">
        <f>'4-22MASTER'!#REF!</f>
        <v>#REF!</v>
      </c>
      <c r="I136" s="1248"/>
      <c r="J136" s="1248"/>
      <c r="K136" s="1248"/>
      <c r="L136" s="1249"/>
    </row>
    <row r="137" spans="1:12">
      <c r="A137" s="11"/>
      <c r="B137" s="73" t="s">
        <v>199</v>
      </c>
      <c r="C137" s="74"/>
      <c r="D137" s="74"/>
      <c r="E137" s="74"/>
      <c r="F137" s="74"/>
      <c r="G137" s="77"/>
      <c r="H137" s="75"/>
      <c r="I137" s="76"/>
      <c r="J137" s="76"/>
      <c r="K137" s="76"/>
      <c r="L137" s="81"/>
    </row>
    <row r="138" spans="1:12">
      <c r="A138" s="11"/>
      <c r="B138" s="83" t="s">
        <v>200</v>
      </c>
      <c r="C138" s="152"/>
      <c r="D138" s="152"/>
      <c r="E138" s="152"/>
      <c r="F138" s="152"/>
      <c r="G138" s="153"/>
      <c r="H138" s="154"/>
      <c r="I138" s="155"/>
      <c r="J138" s="156"/>
      <c r="K138" s="155"/>
      <c r="L138" s="157"/>
    </row>
    <row r="139" spans="1:12" ht="45">
      <c r="A139" s="11"/>
      <c r="B139" s="73" t="s">
        <v>203</v>
      </c>
      <c r="C139" s="74"/>
      <c r="D139" s="76"/>
      <c r="E139" s="164" t="s">
        <v>205</v>
      </c>
      <c r="F139" s="54"/>
      <c r="G139" s="1250" t="s">
        <v>204</v>
      </c>
      <c r="H139" s="1251"/>
      <c r="I139" s="168" t="s">
        <v>201</v>
      </c>
      <c r="J139" s="166" t="s">
        <v>206</v>
      </c>
      <c r="K139" s="1250" t="s">
        <v>202</v>
      </c>
      <c r="L139" s="1252"/>
    </row>
    <row r="140" spans="1:12">
      <c r="A140" s="11"/>
      <c r="B140" s="167">
        <v>1</v>
      </c>
      <c r="C140" s="74"/>
      <c r="D140" s="74"/>
      <c r="E140" s="170">
        <v>2</v>
      </c>
      <c r="F140" s="77"/>
      <c r="G140" s="170">
        <v>3</v>
      </c>
      <c r="H140" s="186"/>
      <c r="I140" s="186">
        <v>4</v>
      </c>
      <c r="J140" s="88">
        <v>5</v>
      </c>
      <c r="K140" s="79"/>
      <c r="L140" s="80">
        <v>6</v>
      </c>
    </row>
    <row r="141" spans="1:12">
      <c r="A141" s="11"/>
      <c r="B141" s="284" t="e">
        <f>'4-22MASTER'!#REF!</f>
        <v>#REF!</v>
      </c>
      <c r="C141" s="182"/>
      <c r="D141" s="183"/>
      <c r="E141" s="185" t="s">
        <v>362</v>
      </c>
      <c r="F141" s="183"/>
      <c r="G141" s="185" t="s">
        <v>363</v>
      </c>
      <c r="H141" s="54"/>
      <c r="I141" s="9" t="s">
        <v>364</v>
      </c>
      <c r="J141" s="283">
        <v>1</v>
      </c>
      <c r="K141" s="1253" t="s">
        <v>37</v>
      </c>
      <c r="L141" s="1254"/>
    </row>
    <row r="142" spans="1:12">
      <c r="A142" s="11"/>
      <c r="B142" s="73"/>
      <c r="C142" s="182"/>
      <c r="D142" s="183"/>
      <c r="E142" s="184"/>
      <c r="F142" s="183"/>
      <c r="G142" s="184"/>
      <c r="H142" s="54"/>
      <c r="I142" s="9"/>
      <c r="J142" s="9"/>
      <c r="K142" s="185"/>
      <c r="L142" s="54"/>
    </row>
    <row r="143" spans="1:12">
      <c r="A143" s="11"/>
      <c r="B143" s="73"/>
      <c r="C143" s="182"/>
      <c r="D143" s="183"/>
      <c r="E143" s="184"/>
      <c r="F143" s="183"/>
      <c r="G143" s="184"/>
      <c r="H143" s="54"/>
      <c r="I143" s="9"/>
      <c r="J143" s="9"/>
      <c r="K143" s="185"/>
      <c r="L143" s="54"/>
    </row>
    <row r="144" spans="1:12">
      <c r="A144" s="11"/>
      <c r="B144" s="59"/>
      <c r="C144" s="13"/>
      <c r="D144" s="60"/>
      <c r="E144" s="184"/>
      <c r="F144" s="183"/>
      <c r="G144" s="184"/>
      <c r="H144" s="54"/>
      <c r="I144" s="9"/>
      <c r="J144" s="9"/>
      <c r="K144" s="185"/>
      <c r="L144" s="54"/>
    </row>
    <row r="145" spans="1:12">
      <c r="A145" s="11"/>
      <c r="B145" t="s">
        <v>207</v>
      </c>
      <c r="L145" s="12"/>
    </row>
    <row r="146" spans="1:12">
      <c r="A146" s="11"/>
      <c r="B146" t="s">
        <v>208</v>
      </c>
      <c r="L146" s="12"/>
    </row>
    <row r="147" spans="1:12">
      <c r="A147" s="11"/>
      <c r="B147" t="s">
        <v>209</v>
      </c>
      <c r="L147" s="12"/>
    </row>
    <row r="148" spans="1:12" ht="27.95" customHeight="1">
      <c r="A148" s="11"/>
      <c r="L148" s="12"/>
    </row>
    <row r="149" spans="1:12" ht="27.95" customHeight="1">
      <c r="A149" s="11"/>
      <c r="I149" t="s">
        <v>210</v>
      </c>
      <c r="L149" s="12"/>
    </row>
    <row r="150" spans="1:12" ht="27.95" customHeight="1">
      <c r="A150" s="11"/>
      <c r="F150" s="172" t="s">
        <v>193</v>
      </c>
      <c r="L150" s="12"/>
    </row>
    <row r="151" spans="1:12" ht="27.95" customHeight="1">
      <c r="A151" s="11" t="s">
        <v>194</v>
      </c>
      <c r="K151" s="222" t="e">
        <f>'4-22MASTER'!#REF!</f>
        <v>#REF!</v>
      </c>
      <c r="L151" s="12"/>
    </row>
    <row r="152" spans="1:12" ht="27.95" customHeight="1">
      <c r="A152" s="11" t="s">
        <v>195</v>
      </c>
      <c r="L152" s="12"/>
    </row>
    <row r="153" spans="1:12" ht="27.95" customHeight="1">
      <c r="A153" s="11"/>
      <c r="L153" s="12"/>
    </row>
    <row r="154" spans="1:12" ht="27.95" customHeight="1">
      <c r="A154" s="11"/>
      <c r="L154" s="12"/>
    </row>
    <row r="155" spans="1:12" ht="27.95" customHeight="1">
      <c r="A155" s="11"/>
      <c r="F155" t="s">
        <v>196</v>
      </c>
      <c r="L155" s="12"/>
    </row>
    <row r="156" spans="1:12" ht="27.95" customHeight="1">
      <c r="A156" s="11" t="s">
        <v>197</v>
      </c>
      <c r="B156" t="s">
        <v>361</v>
      </c>
      <c r="F156" t="str">
        <f>'4-22MASTER'!G5</f>
        <v>Burgeon IT Services Pvt.Ltd.</v>
      </c>
      <c r="L156" s="12"/>
    </row>
    <row r="157" spans="1:12" ht="27.95" customHeight="1">
      <c r="A157" s="11" t="s">
        <v>198</v>
      </c>
      <c r="B157" s="282" t="e">
        <f>'4-22MASTER'!#REF!</f>
        <v>#REF!</v>
      </c>
      <c r="F157" t="str">
        <f>'4-22MASTER'!G6</f>
        <v>Siri Mansion LIGB 436 Dr.A S Rao Nagar,Hyderabad</v>
      </c>
      <c r="L157" s="12"/>
    </row>
    <row r="158" spans="1:12" ht="27.95" customHeight="1" thickBot="1">
      <c r="A158" s="16"/>
      <c r="B158" s="14"/>
      <c r="C158" s="14"/>
      <c r="D158" s="14"/>
      <c r="E158" s="14"/>
      <c r="F158" s="14"/>
      <c r="G158" s="14"/>
      <c r="H158" s="14"/>
      <c r="I158" s="14"/>
      <c r="J158" s="14"/>
      <c r="K158" s="14"/>
      <c r="L158" s="15"/>
    </row>
    <row r="159" spans="1:12" ht="27.95" customHeight="1" thickBot="1">
      <c r="B159" s="173"/>
      <c r="C159" s="169"/>
      <c r="D159" s="169"/>
      <c r="E159" s="169"/>
      <c r="F159" s="169"/>
      <c r="G159" s="169"/>
      <c r="H159" s="158"/>
      <c r="I159" s="158"/>
      <c r="J159" s="159"/>
      <c r="K159" s="158"/>
      <c r="L159" s="158"/>
    </row>
    <row r="160" spans="1:12" ht="27.95" customHeight="1">
      <c r="A160" s="61"/>
      <c r="B160" s="1246" t="s">
        <v>181</v>
      </c>
      <c r="C160" s="1125"/>
      <c r="D160" s="1125"/>
      <c r="E160" s="1125"/>
      <c r="F160" s="1125"/>
      <c r="G160" s="1125"/>
      <c r="H160" s="1125"/>
      <c r="I160" s="1125"/>
      <c r="J160" s="1125"/>
      <c r="K160" s="1125"/>
      <c r="L160" s="1126"/>
    </row>
    <row r="161" spans="1:12" ht="27.95" customHeight="1">
      <c r="A161" s="11"/>
      <c r="B161" s="1255" t="s">
        <v>182</v>
      </c>
      <c r="C161" s="1255"/>
      <c r="D161" s="1255"/>
      <c r="E161" s="1255"/>
      <c r="F161" s="1255"/>
      <c r="G161" s="1255"/>
      <c r="H161" s="1255"/>
      <c r="I161" s="1255"/>
      <c r="J161" s="1255"/>
      <c r="K161" s="1255"/>
      <c r="L161" s="1129"/>
    </row>
    <row r="162" spans="1:12" ht="27.95" customHeight="1" thickBot="1">
      <c r="A162" s="16"/>
      <c r="B162" s="1131" t="s">
        <v>183</v>
      </c>
      <c r="C162" s="1131"/>
      <c r="D162" s="1131"/>
      <c r="E162" s="1131"/>
      <c r="F162" s="1131"/>
      <c r="G162" s="1131"/>
      <c r="H162" s="1131"/>
      <c r="I162" s="1131"/>
      <c r="J162" s="1131"/>
      <c r="K162" s="1131"/>
      <c r="L162" s="1132"/>
    </row>
    <row r="163" spans="1:12" ht="27.95" customHeight="1">
      <c r="A163" s="11"/>
      <c r="B163" s="1256" t="s">
        <v>111</v>
      </c>
      <c r="C163" s="1256"/>
      <c r="D163" s="1256"/>
      <c r="E163" s="1256"/>
      <c r="F163" s="1256"/>
      <c r="H163" s="1257" t="s">
        <v>112</v>
      </c>
      <c r="I163" s="1257"/>
      <c r="J163" s="1257"/>
      <c r="K163" s="1257"/>
      <c r="L163" s="1136"/>
    </row>
    <row r="164" spans="1:12" ht="27.95" customHeight="1" thickBot="1">
      <c r="A164" s="11"/>
      <c r="B164" s="1256"/>
      <c r="C164" s="1256"/>
      <c r="D164" s="1256"/>
      <c r="E164" s="1256"/>
      <c r="F164" s="1256"/>
      <c r="H164" s="1257"/>
      <c r="I164" s="1257"/>
      <c r="J164" s="1257"/>
      <c r="K164" s="1257"/>
      <c r="L164" s="1136"/>
    </row>
    <row r="165" spans="1:12" ht="27.95" customHeight="1">
      <c r="A165" s="11"/>
      <c r="B165" s="61"/>
      <c r="C165" s="62"/>
      <c r="D165" s="62"/>
      <c r="E165" s="62"/>
      <c r="F165" s="63"/>
      <c r="H165" s="61"/>
      <c r="I165" s="62"/>
      <c r="J165" s="62"/>
      <c r="K165" s="62"/>
      <c r="L165" s="63"/>
    </row>
    <row r="166" spans="1:12">
      <c r="A166" s="11"/>
      <c r="B166" s="64" t="str">
        <f>'4-22MASTER'!G5</f>
        <v>Burgeon IT Services Pvt.Ltd.</v>
      </c>
      <c r="F166" s="12"/>
      <c r="H166" s="64" t="str">
        <f>'4-22MASTER'!AQ5</f>
        <v>Burgeon IT Services Pvt.Ltd.</v>
      </c>
      <c r="L166" s="12"/>
    </row>
    <row r="167" spans="1:12">
      <c r="A167" s="11"/>
      <c r="B167" s="11"/>
      <c r="F167" s="12"/>
      <c r="H167" s="11"/>
      <c r="L167" s="12"/>
    </row>
    <row r="168" spans="1:12">
      <c r="A168" s="11"/>
      <c r="B168" s="64" t="str">
        <f>'4-22MASTER'!G6</f>
        <v>Siri Mansion LIGB 436 Dr.A S Rao Nagar,Hyderabad</v>
      </c>
      <c r="F168" s="12"/>
      <c r="H168" s="64" t="str">
        <f>'4-22MASTER'!AQ6</f>
        <v>Siri Mansion LIGB 436 Dr.A S Rao Nagar,Hyderabad</v>
      </c>
      <c r="L168" s="12"/>
    </row>
    <row r="169" spans="1:12" ht="15.75" thickBot="1">
      <c r="A169" s="11"/>
      <c r="B169" s="16"/>
      <c r="C169" s="14"/>
      <c r="D169" s="14"/>
      <c r="E169" s="14"/>
      <c r="F169" s="15"/>
      <c r="H169" s="16"/>
      <c r="I169" s="14"/>
      <c r="J169" s="14"/>
      <c r="K169" s="14"/>
      <c r="L169" s="15"/>
    </row>
    <row r="170" spans="1:12">
      <c r="A170" s="11"/>
      <c r="J170" t="s">
        <v>113</v>
      </c>
      <c r="L170" s="12"/>
    </row>
    <row r="171" spans="1:12">
      <c r="A171" s="11"/>
      <c r="B171" s="1258" t="s">
        <v>114</v>
      </c>
      <c r="C171" s="1258"/>
      <c r="D171" s="1258"/>
      <c r="E171" s="1258"/>
      <c r="F171" s="1258"/>
      <c r="H171" s="1258" t="s">
        <v>4</v>
      </c>
      <c r="I171" s="1258"/>
      <c r="J171" s="1258"/>
      <c r="K171" s="1258"/>
      <c r="L171" s="1139"/>
    </row>
    <row r="172" spans="1:12" ht="15.75" thickBot="1">
      <c r="A172" s="11"/>
      <c r="L172" s="12"/>
    </row>
    <row r="173" spans="1:12">
      <c r="A173" s="11"/>
      <c r="B173" s="61"/>
      <c r="C173" s="62"/>
      <c r="D173" s="62"/>
      <c r="E173" s="62"/>
      <c r="F173" s="63"/>
      <c r="H173" s="65"/>
      <c r="I173" s="66"/>
      <c r="J173" s="66"/>
      <c r="K173" s="66"/>
      <c r="L173" s="67"/>
    </row>
    <row r="174" spans="1:12">
      <c r="A174" s="11"/>
      <c r="B174" s="11"/>
      <c r="F174" s="12"/>
      <c r="H174" s="64" t="str">
        <f>'4-22MASTER'!AQ10</f>
        <v>INFOSYS  LTD.IL Ascendas SEZ Unit,Building Juniper</v>
      </c>
      <c r="I174" s="2"/>
      <c r="J174" s="2"/>
      <c r="K174" s="2"/>
      <c r="L174" s="68"/>
    </row>
    <row r="175" spans="1:12">
      <c r="A175" s="11"/>
      <c r="B175" s="64" t="str">
        <f>'4-22MASTER'!G8</f>
        <v>IT SUPPORTIVE SERVICES &amp; PUNE ASC SEZ</v>
      </c>
      <c r="F175" s="12"/>
      <c r="H175" s="64"/>
      <c r="I175" s="2"/>
      <c r="J175" s="2"/>
      <c r="K175" s="2"/>
      <c r="L175" s="68"/>
    </row>
    <row r="176" spans="1:12">
      <c r="A176" s="11"/>
      <c r="B176" s="11"/>
      <c r="F176" s="12"/>
      <c r="H176" s="64" t="str">
        <f>'4-22MASTER'!AQ11</f>
        <v>International Tech Park,Rajiv Gandhi Infotech Park,Hinjawadi,Pune,Maharashtra</v>
      </c>
      <c r="I176" s="2"/>
      <c r="J176" s="2"/>
      <c r="K176" s="2"/>
      <c r="L176" s="68"/>
    </row>
    <row r="177" spans="1:12" ht="15.75" thickBot="1">
      <c r="A177" s="11"/>
      <c r="B177" s="16"/>
      <c r="C177" s="14"/>
      <c r="D177" s="14"/>
      <c r="E177" s="14"/>
      <c r="F177" s="15"/>
      <c r="H177" s="69"/>
      <c r="I177" s="70"/>
      <c r="J177" s="70"/>
      <c r="K177" s="70"/>
      <c r="L177" s="71"/>
    </row>
    <row r="178" spans="1:12">
      <c r="A178" s="72"/>
      <c r="B178" s="1245" t="s">
        <v>184</v>
      </c>
      <c r="C178" s="1245"/>
      <c r="D178" s="1245"/>
      <c r="E178" s="1245"/>
      <c r="F178" s="1245"/>
      <c r="G178" s="1245"/>
      <c r="H178" s="1268" t="e">
        <f>'4-22MASTER'!#REF!</f>
        <v>#REF!</v>
      </c>
      <c r="I178" s="1260"/>
      <c r="J178" s="1260"/>
      <c r="K178" s="1260"/>
      <c r="L178" s="1110"/>
    </row>
    <row r="179" spans="1:12">
      <c r="A179" s="72"/>
      <c r="B179" s="1269" t="s">
        <v>185</v>
      </c>
      <c r="C179" s="1269"/>
      <c r="D179" s="1269"/>
      <c r="E179" s="1269"/>
      <c r="F179" s="1269"/>
      <c r="G179" s="1269"/>
      <c r="H179" s="1268" t="e">
        <f>'4-22MASTER'!#REF!</f>
        <v>#REF!</v>
      </c>
      <c r="I179" s="1260"/>
      <c r="J179" s="1260"/>
      <c r="K179" s="1260"/>
      <c r="L179" s="1110"/>
    </row>
    <row r="180" spans="1:12">
      <c r="A180" s="72"/>
      <c r="B180" s="1245" t="s">
        <v>186</v>
      </c>
      <c r="C180" s="1245"/>
      <c r="D180" s="1245"/>
      <c r="E180" s="1245"/>
      <c r="F180" s="1245"/>
      <c r="G180" s="1245"/>
      <c r="H180" s="1268" t="e">
        <f>'4-22MASTER'!#REF!</f>
        <v>#REF!</v>
      </c>
      <c r="I180" s="1260"/>
      <c r="J180" s="1260"/>
      <c r="K180" s="1260"/>
      <c r="L180" s="1110"/>
    </row>
    <row r="181" spans="1:12">
      <c r="A181" s="72"/>
      <c r="B181" s="1245" t="s">
        <v>187</v>
      </c>
      <c r="C181" s="1245"/>
      <c r="D181" s="1245"/>
      <c r="E181" s="1245"/>
      <c r="F181" s="1245"/>
      <c r="G181" s="1245"/>
      <c r="H181" s="1259" t="e">
        <f>'4-22MASTER'!#REF!</f>
        <v>#REF!</v>
      </c>
      <c r="I181" s="1260"/>
      <c r="J181" s="1260"/>
      <c r="K181" s="1260"/>
      <c r="L181" s="1110"/>
    </row>
    <row r="182" spans="1:12">
      <c r="A182" s="72"/>
      <c r="B182" s="73" t="s">
        <v>188</v>
      </c>
      <c r="C182" s="74"/>
      <c r="D182" s="74"/>
      <c r="E182" s="74"/>
      <c r="F182" s="74"/>
      <c r="G182" s="74"/>
      <c r="H182" s="1261" t="s">
        <v>189</v>
      </c>
      <c r="I182" s="1262"/>
      <c r="J182" s="1262"/>
      <c r="K182" s="1262"/>
      <c r="L182" s="1263"/>
    </row>
    <row r="183" spans="1:12">
      <c r="A183" s="72"/>
      <c r="B183" s="73" t="s">
        <v>190</v>
      </c>
      <c r="C183" s="74"/>
      <c r="D183" s="74"/>
      <c r="E183" s="74"/>
      <c r="F183" s="74"/>
      <c r="G183" s="74"/>
      <c r="H183" s="75"/>
      <c r="I183" s="76"/>
      <c r="J183" s="171"/>
      <c r="K183" s="76"/>
      <c r="L183" s="81"/>
    </row>
    <row r="184" spans="1:12">
      <c r="A184" s="72"/>
      <c r="B184" s="1264" t="s">
        <v>191</v>
      </c>
      <c r="C184" s="1264"/>
      <c r="D184" s="1264"/>
      <c r="E184" s="1264"/>
      <c r="F184" s="1264"/>
      <c r="G184" s="1264"/>
      <c r="H184" s="1265" t="e">
        <f>'4-22MASTER'!#REF!</f>
        <v>#REF!</v>
      </c>
      <c r="I184" s="1266"/>
      <c r="J184" s="1266"/>
      <c r="K184" s="1266"/>
      <c r="L184" s="1105"/>
    </row>
    <row r="185" spans="1:12">
      <c r="A185" s="72"/>
      <c r="B185" s="1245"/>
      <c r="C185" s="1245"/>
      <c r="D185" s="1245"/>
      <c r="E185" s="1245"/>
      <c r="F185" s="1245"/>
      <c r="G185" s="1245"/>
      <c r="H185" s="1267" t="e">
        <f>'4-22MASTER'!#REF!</f>
        <v>#REF!</v>
      </c>
      <c r="I185" s="1260"/>
      <c r="J185" s="1260"/>
      <c r="K185" s="1260"/>
      <c r="L185" s="1110"/>
    </row>
    <row r="186" spans="1:12">
      <c r="A186" s="11"/>
      <c r="B186" s="1245"/>
      <c r="C186" s="1245"/>
      <c r="D186" s="1245"/>
      <c r="E186" s="1245"/>
      <c r="F186" s="1245"/>
      <c r="G186" s="1245"/>
      <c r="H186" s="1268" t="e">
        <f>'4-22MASTER'!#REF!</f>
        <v>#REF!</v>
      </c>
      <c r="I186" s="1260"/>
      <c r="J186" s="1260"/>
      <c r="K186" s="1260"/>
      <c r="L186" s="1110"/>
    </row>
    <row r="187" spans="1:12">
      <c r="A187" s="11"/>
      <c r="B187" s="73" t="s">
        <v>192</v>
      </c>
      <c r="C187" s="74"/>
      <c r="D187" s="74"/>
      <c r="E187" s="74"/>
      <c r="F187" s="74"/>
      <c r="G187" s="77"/>
      <c r="H187" s="1247" t="e">
        <f>'4-22MASTER'!#REF!</f>
        <v>#REF!</v>
      </c>
      <c r="I187" s="1248"/>
      <c r="J187" s="1248"/>
      <c r="K187" s="1248"/>
      <c r="L187" s="1249"/>
    </row>
    <row r="188" spans="1:12">
      <c r="A188" s="11"/>
      <c r="B188" s="73"/>
      <c r="C188" s="74"/>
      <c r="D188" s="74"/>
      <c r="E188" s="74"/>
      <c r="F188" s="74"/>
      <c r="G188" s="77"/>
      <c r="H188" s="1247" t="e">
        <f>'4-22MASTER'!#REF!</f>
        <v>#REF!</v>
      </c>
      <c r="I188" s="1248"/>
      <c r="J188" s="1248"/>
      <c r="K188" s="1248"/>
      <c r="L188" s="1249"/>
    </row>
    <row r="189" spans="1:12">
      <c r="A189" s="11"/>
      <c r="B189" s="73"/>
      <c r="C189" s="74"/>
      <c r="D189" s="74"/>
      <c r="E189" s="74"/>
      <c r="F189" s="74"/>
      <c r="G189" s="77"/>
      <c r="H189" s="1247" t="e">
        <f>'4-22MASTER'!#REF!</f>
        <v>#REF!</v>
      </c>
      <c r="I189" s="1248"/>
      <c r="J189" s="1248"/>
      <c r="K189" s="1248"/>
      <c r="L189" s="1249"/>
    </row>
    <row r="190" spans="1:12">
      <c r="A190" s="11"/>
      <c r="B190" s="73" t="s">
        <v>199</v>
      </c>
      <c r="C190" s="74"/>
      <c r="D190" s="74"/>
      <c r="E190" s="74"/>
      <c r="F190" s="74"/>
      <c r="G190" s="77"/>
      <c r="H190" s="75"/>
      <c r="I190" s="76"/>
      <c r="J190" s="76"/>
      <c r="K190" s="76"/>
      <c r="L190" s="81"/>
    </row>
    <row r="191" spans="1:12">
      <c r="A191" s="11"/>
      <c r="B191" s="83" t="s">
        <v>200</v>
      </c>
      <c r="C191" s="152"/>
      <c r="D191" s="152"/>
      <c r="E191" s="152"/>
      <c r="F191" s="152"/>
      <c r="G191" s="153"/>
      <c r="H191" s="154"/>
      <c r="I191" s="155"/>
      <c r="J191" s="156"/>
      <c r="K191" s="155"/>
      <c r="L191" s="157"/>
    </row>
    <row r="192" spans="1:12" ht="45">
      <c r="A192" s="11"/>
      <c r="B192" s="73" t="s">
        <v>203</v>
      </c>
      <c r="C192" s="74"/>
      <c r="D192" s="76"/>
      <c r="E192" s="164" t="s">
        <v>205</v>
      </c>
      <c r="F192" s="54"/>
      <c r="G192" s="1250" t="s">
        <v>204</v>
      </c>
      <c r="H192" s="1251"/>
      <c r="I192" s="168" t="s">
        <v>201</v>
      </c>
      <c r="J192" s="166" t="s">
        <v>206</v>
      </c>
      <c r="K192" s="1250" t="s">
        <v>202</v>
      </c>
      <c r="L192" s="1252"/>
    </row>
    <row r="193" spans="1:12">
      <c r="A193" s="11"/>
      <c r="B193" s="167">
        <v>1</v>
      </c>
      <c r="C193" s="74"/>
      <c r="D193" s="74"/>
      <c r="E193" s="170">
        <v>2</v>
      </c>
      <c r="F193" s="77"/>
      <c r="G193" s="170">
        <v>3</v>
      </c>
      <c r="H193" s="186"/>
      <c r="I193" s="186">
        <v>4</v>
      </c>
      <c r="J193" s="88">
        <v>5</v>
      </c>
      <c r="K193" s="79"/>
      <c r="L193" s="80">
        <v>6</v>
      </c>
    </row>
    <row r="194" spans="1:12">
      <c r="A194" s="11"/>
      <c r="B194" s="284" t="e">
        <f>'4-22MASTER'!#REF!</f>
        <v>#REF!</v>
      </c>
      <c r="C194" s="182"/>
      <c r="D194" s="183"/>
      <c r="E194" s="185" t="s">
        <v>362</v>
      </c>
      <c r="F194" s="183"/>
      <c r="G194" s="185" t="s">
        <v>363</v>
      </c>
      <c r="H194" s="54"/>
      <c r="I194" s="9" t="s">
        <v>364</v>
      </c>
      <c r="J194" s="283">
        <v>1</v>
      </c>
      <c r="K194" s="1253" t="s">
        <v>37</v>
      </c>
      <c r="L194" s="1254"/>
    </row>
    <row r="195" spans="1:12">
      <c r="A195" s="11"/>
      <c r="B195" s="73"/>
      <c r="C195" s="182"/>
      <c r="D195" s="183"/>
      <c r="E195" s="184"/>
      <c r="F195" s="183"/>
      <c r="G195" s="184"/>
      <c r="H195" s="54"/>
      <c r="I195" s="9"/>
      <c r="J195" s="9"/>
      <c r="K195" s="185"/>
      <c r="L195" s="54"/>
    </row>
    <row r="196" spans="1:12">
      <c r="A196" s="11"/>
      <c r="B196" s="73"/>
      <c r="C196" s="182"/>
      <c r="D196" s="183"/>
      <c r="E196" s="184"/>
      <c r="F196" s="183"/>
      <c r="G196" s="184"/>
      <c r="H196" s="54"/>
      <c r="I196" s="9"/>
      <c r="J196" s="9"/>
      <c r="K196" s="185"/>
      <c r="L196" s="54"/>
    </row>
    <row r="197" spans="1:12">
      <c r="A197" s="11"/>
      <c r="B197" s="59"/>
      <c r="C197" s="13"/>
      <c r="D197" s="60"/>
      <c r="E197" s="184"/>
      <c r="F197" s="183"/>
      <c r="G197" s="184"/>
      <c r="H197" s="54"/>
      <c r="I197" s="9"/>
      <c r="J197" s="9"/>
      <c r="K197" s="185"/>
      <c r="L197" s="54"/>
    </row>
    <row r="198" spans="1:12">
      <c r="A198" s="11"/>
      <c r="B198" t="s">
        <v>207</v>
      </c>
      <c r="L198" s="12"/>
    </row>
    <row r="199" spans="1:12">
      <c r="A199" s="11"/>
      <c r="B199" t="s">
        <v>208</v>
      </c>
      <c r="L199" s="12"/>
    </row>
    <row r="200" spans="1:12">
      <c r="A200" s="11"/>
      <c r="B200" t="s">
        <v>209</v>
      </c>
      <c r="L200" s="12"/>
    </row>
    <row r="201" spans="1:12" ht="27.95" customHeight="1">
      <c r="A201" s="11"/>
      <c r="L201" s="12"/>
    </row>
    <row r="202" spans="1:12" ht="27.95" customHeight="1">
      <c r="A202" s="11"/>
      <c r="I202" t="s">
        <v>210</v>
      </c>
      <c r="L202" s="12"/>
    </row>
    <row r="203" spans="1:12" ht="27.95" customHeight="1">
      <c r="A203" s="11"/>
      <c r="F203" s="172" t="s">
        <v>193</v>
      </c>
      <c r="L203" s="12"/>
    </row>
    <row r="204" spans="1:12" ht="27.95" customHeight="1">
      <c r="A204" s="11" t="s">
        <v>194</v>
      </c>
      <c r="K204" s="222" t="e">
        <f>'4-22MASTER'!#REF!</f>
        <v>#REF!</v>
      </c>
      <c r="L204" s="12"/>
    </row>
    <row r="205" spans="1:12" ht="27.95" customHeight="1">
      <c r="A205" s="11" t="s">
        <v>195</v>
      </c>
      <c r="L205" s="12"/>
    </row>
    <row r="206" spans="1:12" ht="27.95" customHeight="1">
      <c r="A206" s="11"/>
      <c r="L206" s="12"/>
    </row>
    <row r="207" spans="1:12" ht="27.95" customHeight="1">
      <c r="A207" s="11"/>
      <c r="L207" s="12"/>
    </row>
    <row r="208" spans="1:12" ht="27.95" customHeight="1">
      <c r="A208" s="11"/>
      <c r="F208" t="s">
        <v>196</v>
      </c>
      <c r="L208" s="12"/>
    </row>
    <row r="209" spans="1:12" ht="27.95" customHeight="1">
      <c r="A209" s="11" t="s">
        <v>197</v>
      </c>
      <c r="B209" t="s">
        <v>361</v>
      </c>
      <c r="F209" t="str">
        <f>'4-22MASTER'!G5</f>
        <v>Burgeon IT Services Pvt.Ltd.</v>
      </c>
      <c r="L209" s="12"/>
    </row>
    <row r="210" spans="1:12" ht="27.95" customHeight="1">
      <c r="A210" s="11" t="s">
        <v>198</v>
      </c>
      <c r="B210" s="282" t="e">
        <f>'4-22MASTER'!#REF!</f>
        <v>#REF!</v>
      </c>
      <c r="F210" t="str">
        <f>'4-22MASTER'!G6</f>
        <v>Siri Mansion LIGB 436 Dr.A S Rao Nagar,Hyderabad</v>
      </c>
      <c r="L210" s="12"/>
    </row>
    <row r="211" spans="1:12" ht="27.95" customHeight="1" thickBot="1">
      <c r="A211" s="16"/>
      <c r="B211" s="14"/>
      <c r="C211" s="14"/>
      <c r="D211" s="14"/>
      <c r="E211" s="14"/>
      <c r="F211" s="14"/>
      <c r="G211" s="14"/>
      <c r="H211" s="14"/>
      <c r="I211" s="14"/>
      <c r="J211" s="14"/>
      <c r="K211" s="14"/>
      <c r="L211" s="15"/>
    </row>
    <row r="212" spans="1:12" ht="27.95" customHeight="1" thickBot="1">
      <c r="B212" s="173"/>
      <c r="C212" s="169"/>
      <c r="D212" s="169"/>
      <c r="E212" s="169"/>
      <c r="F212" s="169"/>
      <c r="G212" s="169"/>
      <c r="H212" s="158"/>
      <c r="I212" s="158"/>
      <c r="J212" s="159"/>
      <c r="K212" s="158"/>
      <c r="L212" s="158"/>
    </row>
    <row r="213" spans="1:12" ht="27.95" customHeight="1">
      <c r="A213" s="61"/>
      <c r="B213" s="1246" t="s">
        <v>181</v>
      </c>
      <c r="C213" s="1125"/>
      <c r="D213" s="1125"/>
      <c r="E213" s="1125"/>
      <c r="F213" s="1125"/>
      <c r="G213" s="1125"/>
      <c r="H213" s="1125"/>
      <c r="I213" s="1125"/>
      <c r="J213" s="1125"/>
      <c r="K213" s="1125"/>
      <c r="L213" s="1126"/>
    </row>
    <row r="214" spans="1:12" ht="27.95" customHeight="1">
      <c r="A214" s="11"/>
      <c r="B214" s="1255" t="s">
        <v>182</v>
      </c>
      <c r="C214" s="1255"/>
      <c r="D214" s="1255"/>
      <c r="E214" s="1255"/>
      <c r="F214" s="1255"/>
      <c r="G214" s="1255"/>
      <c r="H214" s="1255"/>
      <c r="I214" s="1255"/>
      <c r="J214" s="1255"/>
      <c r="K214" s="1255"/>
      <c r="L214" s="1129"/>
    </row>
    <row r="215" spans="1:12" ht="27.95" customHeight="1" thickBot="1">
      <c r="A215" s="16"/>
      <c r="B215" s="1131" t="s">
        <v>183</v>
      </c>
      <c r="C215" s="1131"/>
      <c r="D215" s="1131"/>
      <c r="E215" s="1131"/>
      <c r="F215" s="1131"/>
      <c r="G215" s="1131"/>
      <c r="H215" s="1131"/>
      <c r="I215" s="1131"/>
      <c r="J215" s="1131"/>
      <c r="K215" s="1131"/>
      <c r="L215" s="1132"/>
    </row>
    <row r="216" spans="1:12" ht="27.95" customHeight="1">
      <c r="A216" s="11"/>
      <c r="B216" s="1256" t="s">
        <v>111</v>
      </c>
      <c r="C216" s="1256"/>
      <c r="D216" s="1256"/>
      <c r="E216" s="1256"/>
      <c r="F216" s="1256"/>
      <c r="H216" s="1257" t="s">
        <v>112</v>
      </c>
      <c r="I216" s="1257"/>
      <c r="J216" s="1257"/>
      <c r="K216" s="1257"/>
      <c r="L216" s="1136"/>
    </row>
    <row r="217" spans="1:12" ht="27.95" customHeight="1" thickBot="1">
      <c r="A217" s="11"/>
      <c r="B217" s="1256"/>
      <c r="C217" s="1256"/>
      <c r="D217" s="1256"/>
      <c r="E217" s="1256"/>
      <c r="F217" s="1256"/>
      <c r="H217" s="1257"/>
      <c r="I217" s="1257"/>
      <c r="J217" s="1257"/>
      <c r="K217" s="1257"/>
      <c r="L217" s="1136"/>
    </row>
    <row r="218" spans="1:12" ht="27.95" customHeight="1">
      <c r="A218" s="11"/>
      <c r="B218" s="61"/>
      <c r="C218" s="62"/>
      <c r="D218" s="62"/>
      <c r="E218" s="62"/>
      <c r="F218" s="63"/>
      <c r="H218" s="61"/>
      <c r="I218" s="62"/>
      <c r="J218" s="62"/>
      <c r="K218" s="62"/>
      <c r="L218" s="63"/>
    </row>
    <row r="219" spans="1:12">
      <c r="A219" s="11"/>
      <c r="B219" s="64" t="str">
        <f>'4-22MASTER'!G5</f>
        <v>Burgeon IT Services Pvt.Ltd.</v>
      </c>
      <c r="F219" s="12"/>
      <c r="H219" s="64" t="str">
        <f>'4-22MASTER'!AQ5</f>
        <v>Burgeon IT Services Pvt.Ltd.</v>
      </c>
      <c r="L219" s="12"/>
    </row>
    <row r="220" spans="1:12">
      <c r="A220" s="11"/>
      <c r="B220" s="11"/>
      <c r="F220" s="12"/>
      <c r="H220" s="11"/>
      <c r="L220" s="12"/>
    </row>
    <row r="221" spans="1:12">
      <c r="A221" s="11"/>
      <c r="B221" s="64" t="str">
        <f>'4-22MASTER'!G6</f>
        <v>Siri Mansion LIGB 436 Dr.A S Rao Nagar,Hyderabad</v>
      </c>
      <c r="F221" s="12"/>
      <c r="H221" s="64" t="str">
        <f>'4-22MASTER'!AQ6</f>
        <v>Siri Mansion LIGB 436 Dr.A S Rao Nagar,Hyderabad</v>
      </c>
      <c r="L221" s="12"/>
    </row>
    <row r="222" spans="1:12" ht="15.75" thickBot="1">
      <c r="A222" s="11"/>
      <c r="B222" s="16"/>
      <c r="C222" s="14"/>
      <c r="D222" s="14"/>
      <c r="E222" s="14"/>
      <c r="F222" s="15"/>
      <c r="H222" s="16"/>
      <c r="I222" s="14"/>
      <c r="J222" s="14"/>
      <c r="K222" s="14"/>
      <c r="L222" s="15"/>
    </row>
    <row r="223" spans="1:12">
      <c r="A223" s="11"/>
      <c r="J223" t="s">
        <v>113</v>
      </c>
      <c r="L223" s="12"/>
    </row>
    <row r="224" spans="1:12">
      <c r="A224" s="11"/>
      <c r="B224" s="1258" t="s">
        <v>114</v>
      </c>
      <c r="C224" s="1258"/>
      <c r="D224" s="1258"/>
      <c r="E224" s="1258"/>
      <c r="F224" s="1258"/>
      <c r="H224" s="1258" t="s">
        <v>4</v>
      </c>
      <c r="I224" s="1258"/>
      <c r="J224" s="1258"/>
      <c r="K224" s="1258"/>
      <c r="L224" s="1139"/>
    </row>
    <row r="225" spans="1:12" ht="15.75" thickBot="1">
      <c r="A225" s="11"/>
      <c r="L225" s="12"/>
    </row>
    <row r="226" spans="1:12">
      <c r="A226" s="11"/>
      <c r="B226" s="61"/>
      <c r="C226" s="62"/>
      <c r="D226" s="62"/>
      <c r="E226" s="62"/>
      <c r="F226" s="63"/>
      <c r="H226" s="65"/>
      <c r="I226" s="66"/>
      <c r="J226" s="66"/>
      <c r="K226" s="66"/>
      <c r="L226" s="67"/>
    </row>
    <row r="227" spans="1:12">
      <c r="A227" s="11"/>
      <c r="B227" s="11"/>
      <c r="F227" s="12"/>
      <c r="H227" s="64" t="str">
        <f>'4-22MASTER'!AQ10</f>
        <v>INFOSYS  LTD.IL Ascendas SEZ Unit,Building Juniper</v>
      </c>
      <c r="I227" s="2"/>
      <c r="J227" s="2"/>
      <c r="K227" s="2"/>
      <c r="L227" s="68"/>
    </row>
    <row r="228" spans="1:12">
      <c r="A228" s="11"/>
      <c r="B228" s="64" t="str">
        <f>'4-22MASTER'!G8</f>
        <v>IT SUPPORTIVE SERVICES &amp; PUNE ASC SEZ</v>
      </c>
      <c r="F228" s="12"/>
      <c r="H228" s="64"/>
      <c r="I228" s="2"/>
      <c r="J228" s="2"/>
      <c r="K228" s="2"/>
      <c r="L228" s="68"/>
    </row>
    <row r="229" spans="1:12">
      <c r="A229" s="11"/>
      <c r="B229" s="11"/>
      <c r="F229" s="12"/>
      <c r="H229" s="64" t="str">
        <f>'4-22MASTER'!AQ11</f>
        <v>International Tech Park,Rajiv Gandhi Infotech Park,Hinjawadi,Pune,Maharashtra</v>
      </c>
      <c r="I229" s="2"/>
      <c r="J229" s="2"/>
      <c r="K229" s="2"/>
      <c r="L229" s="68"/>
    </row>
    <row r="230" spans="1:12" ht="15.75" thickBot="1">
      <c r="A230" s="11"/>
      <c r="B230" s="16"/>
      <c r="C230" s="14"/>
      <c r="D230" s="14"/>
      <c r="E230" s="14"/>
      <c r="F230" s="15"/>
      <c r="H230" s="69"/>
      <c r="I230" s="70"/>
      <c r="J230" s="70"/>
      <c r="K230" s="70"/>
      <c r="L230" s="71"/>
    </row>
    <row r="231" spans="1:12">
      <c r="A231" s="72"/>
      <c r="B231" s="1245" t="s">
        <v>184</v>
      </c>
      <c r="C231" s="1245"/>
      <c r="D231" s="1245"/>
      <c r="E231" s="1245"/>
      <c r="F231" s="1245"/>
      <c r="G231" s="1245"/>
      <c r="H231" s="1268" t="e">
        <f>'4-22MASTER'!#REF!</f>
        <v>#REF!</v>
      </c>
      <c r="I231" s="1260"/>
      <c r="J231" s="1260"/>
      <c r="K231" s="1260"/>
      <c r="L231" s="1110"/>
    </row>
    <row r="232" spans="1:12">
      <c r="A232" s="72"/>
      <c r="B232" s="1269" t="s">
        <v>185</v>
      </c>
      <c r="C232" s="1269"/>
      <c r="D232" s="1269"/>
      <c r="E232" s="1269"/>
      <c r="F232" s="1269"/>
      <c r="G232" s="1269"/>
      <c r="H232" s="1268" t="e">
        <f>'4-22MASTER'!#REF!</f>
        <v>#REF!</v>
      </c>
      <c r="I232" s="1260"/>
      <c r="J232" s="1260"/>
      <c r="K232" s="1260"/>
      <c r="L232" s="1110"/>
    </row>
    <row r="233" spans="1:12">
      <c r="A233" s="72"/>
      <c r="B233" s="1245" t="s">
        <v>186</v>
      </c>
      <c r="C233" s="1245"/>
      <c r="D233" s="1245"/>
      <c r="E233" s="1245"/>
      <c r="F233" s="1245"/>
      <c r="G233" s="1245"/>
      <c r="H233" s="1268" t="e">
        <f>'4-22MASTER'!#REF!</f>
        <v>#REF!</v>
      </c>
      <c r="I233" s="1260"/>
      <c r="J233" s="1260"/>
      <c r="K233" s="1260"/>
      <c r="L233" s="1110"/>
    </row>
    <row r="234" spans="1:12">
      <c r="A234" s="72"/>
      <c r="B234" s="1245" t="s">
        <v>187</v>
      </c>
      <c r="C234" s="1245"/>
      <c r="D234" s="1245"/>
      <c r="E234" s="1245"/>
      <c r="F234" s="1245"/>
      <c r="G234" s="1245"/>
      <c r="H234" s="1259" t="e">
        <f>'4-22MASTER'!#REF!</f>
        <v>#REF!</v>
      </c>
      <c r="I234" s="1260"/>
      <c r="J234" s="1260"/>
      <c r="K234" s="1260"/>
      <c r="L234" s="1110"/>
    </row>
    <row r="235" spans="1:12">
      <c r="A235" s="72"/>
      <c r="B235" s="73" t="s">
        <v>188</v>
      </c>
      <c r="C235" s="74"/>
      <c r="D235" s="74"/>
      <c r="E235" s="74"/>
      <c r="F235" s="74"/>
      <c r="G235" s="74"/>
      <c r="H235" s="1261" t="s">
        <v>189</v>
      </c>
      <c r="I235" s="1262"/>
      <c r="J235" s="1262"/>
      <c r="K235" s="1262"/>
      <c r="L235" s="1263"/>
    </row>
    <row r="236" spans="1:12">
      <c r="A236" s="72"/>
      <c r="B236" s="73" t="s">
        <v>190</v>
      </c>
      <c r="C236" s="74"/>
      <c r="D236" s="74"/>
      <c r="E236" s="74"/>
      <c r="F236" s="74"/>
      <c r="G236" s="74"/>
      <c r="H236" s="75"/>
      <c r="I236" s="76"/>
      <c r="J236" s="171"/>
      <c r="K236" s="76"/>
      <c r="L236" s="81"/>
    </row>
    <row r="237" spans="1:12">
      <c r="A237" s="72"/>
      <c r="B237" s="1264" t="s">
        <v>191</v>
      </c>
      <c r="C237" s="1264"/>
      <c r="D237" s="1264"/>
      <c r="E237" s="1264"/>
      <c r="F237" s="1264"/>
      <c r="G237" s="1264"/>
      <c r="H237" s="1265" t="e">
        <f>'4-22MASTER'!#REF!</f>
        <v>#REF!</v>
      </c>
      <c r="I237" s="1266"/>
      <c r="J237" s="1266"/>
      <c r="K237" s="1266"/>
      <c r="L237" s="1105"/>
    </row>
    <row r="238" spans="1:12">
      <c r="A238" s="72"/>
      <c r="B238" s="1245"/>
      <c r="C238" s="1245"/>
      <c r="D238" s="1245"/>
      <c r="E238" s="1245"/>
      <c r="F238" s="1245"/>
      <c r="G238" s="1245"/>
      <c r="H238" s="1267" t="e">
        <f>'4-22MASTER'!#REF!</f>
        <v>#REF!</v>
      </c>
      <c r="I238" s="1260"/>
      <c r="J238" s="1260"/>
      <c r="K238" s="1260"/>
      <c r="L238" s="1110"/>
    </row>
    <row r="239" spans="1:12">
      <c r="A239" s="11"/>
      <c r="B239" s="1245"/>
      <c r="C239" s="1245"/>
      <c r="D239" s="1245"/>
      <c r="E239" s="1245"/>
      <c r="F239" s="1245"/>
      <c r="G239" s="1245"/>
      <c r="H239" s="1268" t="e">
        <f>'4-22MASTER'!#REF!</f>
        <v>#REF!</v>
      </c>
      <c r="I239" s="1260"/>
      <c r="J239" s="1260"/>
      <c r="K239" s="1260"/>
      <c r="L239" s="1110"/>
    </row>
    <row r="240" spans="1:12">
      <c r="A240" s="11"/>
      <c r="B240" s="73" t="s">
        <v>192</v>
      </c>
      <c r="C240" s="74"/>
      <c r="D240" s="74"/>
      <c r="E240" s="74"/>
      <c r="F240" s="74"/>
      <c r="G240" s="77"/>
      <c r="H240" s="1247" t="e">
        <f>'4-22MASTER'!#REF!</f>
        <v>#REF!</v>
      </c>
      <c r="I240" s="1248"/>
      <c r="J240" s="1248"/>
      <c r="K240" s="1248"/>
      <c r="L240" s="1249"/>
    </row>
    <row r="241" spans="1:12">
      <c r="A241" s="11"/>
      <c r="B241" s="73"/>
      <c r="C241" s="74"/>
      <c r="D241" s="74"/>
      <c r="E241" s="74"/>
      <c r="F241" s="74"/>
      <c r="G241" s="77"/>
      <c r="H241" s="1247" t="e">
        <f>'4-22MASTER'!#REF!</f>
        <v>#REF!</v>
      </c>
      <c r="I241" s="1248"/>
      <c r="J241" s="1248"/>
      <c r="K241" s="1248"/>
      <c r="L241" s="1249"/>
    </row>
    <row r="242" spans="1:12">
      <c r="A242" s="11"/>
      <c r="B242" s="73"/>
      <c r="C242" s="74"/>
      <c r="D242" s="74"/>
      <c r="E242" s="74"/>
      <c r="F242" s="74"/>
      <c r="G242" s="77"/>
      <c r="H242" s="1247" t="e">
        <f>'4-22MASTER'!#REF!</f>
        <v>#REF!</v>
      </c>
      <c r="I242" s="1248"/>
      <c r="J242" s="1248"/>
      <c r="K242" s="1248"/>
      <c r="L242" s="1249"/>
    </row>
    <row r="243" spans="1:12">
      <c r="A243" s="11"/>
      <c r="B243" s="73" t="s">
        <v>199</v>
      </c>
      <c r="C243" s="74"/>
      <c r="D243" s="74"/>
      <c r="E243" s="74"/>
      <c r="F243" s="74"/>
      <c r="G243" s="77"/>
      <c r="H243" s="75"/>
      <c r="I243" s="76"/>
      <c r="J243" s="76"/>
      <c r="K243" s="76"/>
      <c r="L243" s="81"/>
    </row>
    <row r="244" spans="1:12">
      <c r="A244" s="11"/>
      <c r="B244" s="83" t="s">
        <v>200</v>
      </c>
      <c r="C244" s="152"/>
      <c r="D244" s="152"/>
      <c r="E244" s="152"/>
      <c r="F244" s="152"/>
      <c r="G244" s="153"/>
      <c r="H244" s="154"/>
      <c r="I244" s="155"/>
      <c r="J244" s="156"/>
      <c r="K244" s="155"/>
      <c r="L244" s="157"/>
    </row>
    <row r="245" spans="1:12" ht="45">
      <c r="A245" s="11"/>
      <c r="B245" s="73" t="s">
        <v>203</v>
      </c>
      <c r="C245" s="74"/>
      <c r="D245" s="76"/>
      <c r="E245" s="164" t="s">
        <v>205</v>
      </c>
      <c r="F245" s="54"/>
      <c r="G245" s="1250" t="s">
        <v>204</v>
      </c>
      <c r="H245" s="1251"/>
      <c r="I245" s="168" t="s">
        <v>201</v>
      </c>
      <c r="J245" s="166" t="s">
        <v>206</v>
      </c>
      <c r="K245" s="1250" t="s">
        <v>202</v>
      </c>
      <c r="L245" s="1252"/>
    </row>
    <row r="246" spans="1:12">
      <c r="A246" s="11"/>
      <c r="B246" s="167">
        <v>1</v>
      </c>
      <c r="C246" s="74"/>
      <c r="D246" s="74"/>
      <c r="E246" s="170">
        <v>2</v>
      </c>
      <c r="F246" s="77"/>
      <c r="G246" s="170">
        <v>3</v>
      </c>
      <c r="H246" s="186"/>
      <c r="I246" s="186">
        <v>4</v>
      </c>
      <c r="J246" s="88">
        <v>5</v>
      </c>
      <c r="K246" s="79"/>
      <c r="L246" s="80">
        <v>6</v>
      </c>
    </row>
    <row r="247" spans="1:12">
      <c r="A247" s="11"/>
      <c r="B247" s="284" t="e">
        <f>'4-22MASTER'!#REF!</f>
        <v>#REF!</v>
      </c>
      <c r="C247" s="182"/>
      <c r="D247" s="183"/>
      <c r="E247" s="185" t="s">
        <v>362</v>
      </c>
      <c r="F247" s="183"/>
      <c r="G247" s="185" t="s">
        <v>363</v>
      </c>
      <c r="H247" s="54"/>
      <c r="I247" s="9" t="s">
        <v>364</v>
      </c>
      <c r="J247" s="283">
        <v>1</v>
      </c>
      <c r="K247" s="1253" t="s">
        <v>37</v>
      </c>
      <c r="L247" s="1254"/>
    </row>
    <row r="248" spans="1:12">
      <c r="A248" s="11"/>
      <c r="B248" s="73"/>
      <c r="C248" s="182"/>
      <c r="D248" s="183"/>
      <c r="E248" s="184"/>
      <c r="F248" s="183"/>
      <c r="G248" s="184"/>
      <c r="H248" s="54"/>
      <c r="I248" s="9"/>
      <c r="J248" s="9"/>
      <c r="K248" s="185"/>
      <c r="L248" s="54"/>
    </row>
    <row r="249" spans="1:12">
      <c r="A249" s="11"/>
      <c r="B249" s="73"/>
      <c r="C249" s="182"/>
      <c r="D249" s="183"/>
      <c r="E249" s="184"/>
      <c r="F249" s="183"/>
      <c r="G249" s="184"/>
      <c r="H249" s="54"/>
      <c r="I249" s="9"/>
      <c r="J249" s="9"/>
      <c r="K249" s="185"/>
      <c r="L249" s="54"/>
    </row>
    <row r="250" spans="1:12">
      <c r="A250" s="11"/>
      <c r="B250" s="59"/>
      <c r="C250" s="13"/>
      <c r="D250" s="60"/>
      <c r="E250" s="184"/>
      <c r="F250" s="183"/>
      <c r="G250" s="184"/>
      <c r="H250" s="54"/>
      <c r="I250" s="9"/>
      <c r="J250" s="9"/>
      <c r="K250" s="185"/>
      <c r="L250" s="54"/>
    </row>
    <row r="251" spans="1:12">
      <c r="A251" s="11"/>
      <c r="B251" t="s">
        <v>207</v>
      </c>
      <c r="L251" s="12"/>
    </row>
    <row r="252" spans="1:12">
      <c r="A252" s="11"/>
      <c r="B252" t="s">
        <v>208</v>
      </c>
      <c r="L252" s="12"/>
    </row>
    <row r="253" spans="1:12">
      <c r="A253" s="11"/>
      <c r="B253" t="s">
        <v>209</v>
      </c>
      <c r="L253" s="12"/>
    </row>
    <row r="254" spans="1:12" ht="27.95" customHeight="1">
      <c r="A254" s="11"/>
      <c r="L254" s="12"/>
    </row>
    <row r="255" spans="1:12" ht="27.95" customHeight="1">
      <c r="A255" s="11"/>
      <c r="I255" t="s">
        <v>210</v>
      </c>
      <c r="L255" s="12"/>
    </row>
    <row r="256" spans="1:12" ht="27.95" customHeight="1">
      <c r="A256" s="11"/>
      <c r="F256" s="172" t="s">
        <v>193</v>
      </c>
      <c r="L256" s="12"/>
    </row>
    <row r="257" spans="1:12" ht="27.95" customHeight="1">
      <c r="A257" s="11" t="s">
        <v>194</v>
      </c>
      <c r="K257" s="222" t="e">
        <f>'4-22MASTER'!#REF!</f>
        <v>#REF!</v>
      </c>
      <c r="L257" s="12"/>
    </row>
    <row r="258" spans="1:12" ht="27.95" customHeight="1">
      <c r="A258" s="11" t="s">
        <v>195</v>
      </c>
      <c r="L258" s="12"/>
    </row>
    <row r="259" spans="1:12" ht="27.95" customHeight="1">
      <c r="A259" s="11"/>
      <c r="L259" s="12"/>
    </row>
    <row r="260" spans="1:12" ht="27.95" customHeight="1">
      <c r="A260" s="11"/>
      <c r="L260" s="12"/>
    </row>
    <row r="261" spans="1:12" ht="27.95" customHeight="1">
      <c r="A261" s="11"/>
      <c r="F261" t="s">
        <v>196</v>
      </c>
      <c r="L261" s="12"/>
    </row>
    <row r="262" spans="1:12" ht="27.95" customHeight="1">
      <c r="A262" s="11" t="s">
        <v>197</v>
      </c>
      <c r="B262" t="s">
        <v>361</v>
      </c>
      <c r="F262" t="str">
        <f>'4-22MASTER'!G5</f>
        <v>Burgeon IT Services Pvt.Ltd.</v>
      </c>
      <c r="L262" s="12"/>
    </row>
    <row r="263" spans="1:12" ht="27.95" customHeight="1">
      <c r="A263" s="11" t="s">
        <v>198</v>
      </c>
      <c r="B263" s="282" t="e">
        <f>'4-22MASTER'!#REF!</f>
        <v>#REF!</v>
      </c>
      <c r="F263" t="str">
        <f>'4-22MASTER'!G6</f>
        <v>Siri Mansion LIGB 436 Dr.A S Rao Nagar,Hyderabad</v>
      </c>
      <c r="L263" s="12"/>
    </row>
    <row r="264" spans="1:12" ht="27.95" customHeight="1" thickBot="1">
      <c r="A264" s="16"/>
      <c r="B264" s="14"/>
      <c r="C264" s="14"/>
      <c r="D264" s="14"/>
      <c r="E264" s="14"/>
      <c r="F264" s="14"/>
      <c r="G264" s="14"/>
      <c r="H264" s="14"/>
      <c r="I264" s="14"/>
      <c r="J264" s="14"/>
      <c r="K264" s="14"/>
      <c r="L264" s="15"/>
    </row>
    <row r="265" spans="1:12" ht="27.95" customHeight="1" thickBot="1">
      <c r="B265" s="173"/>
      <c r="C265" s="169"/>
      <c r="D265" s="169"/>
      <c r="E265" s="169"/>
      <c r="F265" s="169"/>
      <c r="G265" s="169"/>
      <c r="H265" s="158"/>
      <c r="I265" s="158"/>
      <c r="J265" s="159"/>
      <c r="K265" s="158"/>
      <c r="L265" s="158"/>
    </row>
    <row r="266" spans="1:12" ht="27.95" customHeight="1">
      <c r="A266" s="61"/>
      <c r="B266" s="1246" t="s">
        <v>181</v>
      </c>
      <c r="C266" s="1125"/>
      <c r="D266" s="1125"/>
      <c r="E266" s="1125"/>
      <c r="F266" s="1125"/>
      <c r="G266" s="1125"/>
      <c r="H266" s="1125"/>
      <c r="I266" s="1125"/>
      <c r="J266" s="1125"/>
      <c r="K266" s="1125"/>
      <c r="L266" s="1126"/>
    </row>
    <row r="267" spans="1:12" ht="27.95" customHeight="1">
      <c r="A267" s="11"/>
      <c r="B267" s="1255" t="s">
        <v>182</v>
      </c>
      <c r="C267" s="1255"/>
      <c r="D267" s="1255"/>
      <c r="E267" s="1255"/>
      <c r="F267" s="1255"/>
      <c r="G267" s="1255"/>
      <c r="H267" s="1255"/>
      <c r="I267" s="1255"/>
      <c r="J267" s="1255"/>
      <c r="K267" s="1255"/>
      <c r="L267" s="1129"/>
    </row>
    <row r="268" spans="1:12" ht="27.95" customHeight="1" thickBot="1">
      <c r="A268" s="16"/>
      <c r="B268" s="1131" t="s">
        <v>183</v>
      </c>
      <c r="C268" s="1131"/>
      <c r="D268" s="1131"/>
      <c r="E268" s="1131"/>
      <c r="F268" s="1131"/>
      <c r="G268" s="1131"/>
      <c r="H268" s="1131"/>
      <c r="I268" s="1131"/>
      <c r="J268" s="1131"/>
      <c r="K268" s="1131"/>
      <c r="L268" s="1132"/>
    </row>
    <row r="269" spans="1:12" ht="27.95" customHeight="1">
      <c r="A269" s="11"/>
      <c r="B269" s="1256" t="s">
        <v>111</v>
      </c>
      <c r="C269" s="1256"/>
      <c r="D269" s="1256"/>
      <c r="E269" s="1256"/>
      <c r="F269" s="1256"/>
      <c r="H269" s="1257" t="s">
        <v>112</v>
      </c>
      <c r="I269" s="1257"/>
      <c r="J269" s="1257"/>
      <c r="K269" s="1257"/>
      <c r="L269" s="1136"/>
    </row>
    <row r="270" spans="1:12" ht="27.95" customHeight="1" thickBot="1">
      <c r="A270" s="11"/>
      <c r="B270" s="1256"/>
      <c r="C270" s="1256"/>
      <c r="D270" s="1256"/>
      <c r="E270" s="1256"/>
      <c r="F270" s="1256"/>
      <c r="H270" s="1257"/>
      <c r="I270" s="1257"/>
      <c r="J270" s="1257"/>
      <c r="K270" s="1257"/>
      <c r="L270" s="1136"/>
    </row>
    <row r="271" spans="1:12" ht="27.95" customHeight="1">
      <c r="A271" s="11"/>
      <c r="B271" s="61"/>
      <c r="C271" s="62"/>
      <c r="D271" s="62"/>
      <c r="E271" s="62"/>
      <c r="F271" s="63"/>
      <c r="H271" s="61"/>
      <c r="I271" s="62"/>
      <c r="J271" s="62"/>
      <c r="K271" s="62"/>
      <c r="L271" s="63"/>
    </row>
    <row r="272" spans="1:12">
      <c r="A272" s="11"/>
      <c r="B272" s="64" t="str">
        <f>'4-22MASTER'!G5</f>
        <v>Burgeon IT Services Pvt.Ltd.</v>
      </c>
      <c r="F272" s="12"/>
      <c r="H272" s="64" t="str">
        <f>'4-22MASTER'!AQ5</f>
        <v>Burgeon IT Services Pvt.Ltd.</v>
      </c>
      <c r="L272" s="12"/>
    </row>
    <row r="273" spans="1:12">
      <c r="A273" s="11"/>
      <c r="B273" s="11"/>
      <c r="F273" s="12"/>
      <c r="H273" s="11"/>
      <c r="L273" s="12"/>
    </row>
    <row r="274" spans="1:12">
      <c r="A274" s="11"/>
      <c r="B274" s="64" t="str">
        <f>'4-22MASTER'!G6</f>
        <v>Siri Mansion LIGB 436 Dr.A S Rao Nagar,Hyderabad</v>
      </c>
      <c r="F274" s="12"/>
      <c r="H274" s="64" t="str">
        <f>'4-22MASTER'!AQ6</f>
        <v>Siri Mansion LIGB 436 Dr.A S Rao Nagar,Hyderabad</v>
      </c>
      <c r="L274" s="12"/>
    </row>
    <row r="275" spans="1:12" ht="15.75" thickBot="1">
      <c r="A275" s="11"/>
      <c r="B275" s="16"/>
      <c r="C275" s="14"/>
      <c r="D275" s="14"/>
      <c r="E275" s="14"/>
      <c r="F275" s="15"/>
      <c r="H275" s="16"/>
      <c r="I275" s="14"/>
      <c r="J275" s="14"/>
      <c r="K275" s="14"/>
      <c r="L275" s="15"/>
    </row>
    <row r="276" spans="1:12">
      <c r="A276" s="11"/>
      <c r="J276" t="s">
        <v>113</v>
      </c>
      <c r="L276" s="12"/>
    </row>
    <row r="277" spans="1:12">
      <c r="A277" s="11"/>
      <c r="B277" s="1258" t="s">
        <v>114</v>
      </c>
      <c r="C277" s="1258"/>
      <c r="D277" s="1258"/>
      <c r="E277" s="1258"/>
      <c r="F277" s="1258"/>
      <c r="H277" s="1258" t="s">
        <v>4</v>
      </c>
      <c r="I277" s="1258"/>
      <c r="J277" s="1258"/>
      <c r="K277" s="1258"/>
      <c r="L277" s="1139"/>
    </row>
    <row r="278" spans="1:12" ht="15.75" thickBot="1">
      <c r="A278" s="11"/>
      <c r="L278" s="12"/>
    </row>
    <row r="279" spans="1:12">
      <c r="A279" s="11"/>
      <c r="B279" s="61"/>
      <c r="C279" s="62"/>
      <c r="D279" s="62"/>
      <c r="E279" s="62"/>
      <c r="F279" s="63"/>
      <c r="H279" s="65"/>
      <c r="I279" s="66"/>
      <c r="J279" s="66"/>
      <c r="K279" s="66"/>
      <c r="L279" s="67"/>
    </row>
    <row r="280" spans="1:12">
      <c r="A280" s="11"/>
      <c r="B280" s="11"/>
      <c r="F280" s="12"/>
      <c r="H280" s="64" t="str">
        <f>'4-22MASTER'!AQ10</f>
        <v>INFOSYS  LTD.IL Ascendas SEZ Unit,Building Juniper</v>
      </c>
      <c r="I280" s="2"/>
      <c r="J280" s="2"/>
      <c r="K280" s="2"/>
      <c r="L280" s="68"/>
    </row>
    <row r="281" spans="1:12">
      <c r="A281" s="11"/>
      <c r="B281" s="64" t="str">
        <f>'4-22MASTER'!G8</f>
        <v>IT SUPPORTIVE SERVICES &amp; PUNE ASC SEZ</v>
      </c>
      <c r="F281" s="12"/>
      <c r="H281" s="64"/>
      <c r="I281" s="2"/>
      <c r="J281" s="2"/>
      <c r="K281" s="2"/>
      <c r="L281" s="68"/>
    </row>
    <row r="282" spans="1:12">
      <c r="A282" s="11"/>
      <c r="B282" s="11"/>
      <c r="F282" s="12"/>
      <c r="H282" s="64" t="str">
        <f>'4-22MASTER'!AQ11</f>
        <v>International Tech Park,Rajiv Gandhi Infotech Park,Hinjawadi,Pune,Maharashtra</v>
      </c>
      <c r="I282" s="2"/>
      <c r="J282" s="2"/>
      <c r="K282" s="2"/>
      <c r="L282" s="68"/>
    </row>
    <row r="283" spans="1:12" ht="15.75" thickBot="1">
      <c r="A283" s="11"/>
      <c r="B283" s="16"/>
      <c r="C283" s="14"/>
      <c r="D283" s="14"/>
      <c r="E283" s="14"/>
      <c r="F283" s="15"/>
      <c r="H283" s="69"/>
      <c r="I283" s="70"/>
      <c r="J283" s="70"/>
      <c r="K283" s="70"/>
      <c r="L283" s="71"/>
    </row>
    <row r="284" spans="1:12">
      <c r="A284" s="72"/>
      <c r="B284" s="1245" t="s">
        <v>184</v>
      </c>
      <c r="C284" s="1245"/>
      <c r="D284" s="1245"/>
      <c r="E284" s="1245"/>
      <c r="F284" s="1245"/>
      <c r="G284" s="1245"/>
      <c r="H284" s="1268" t="e">
        <f>'4-22MASTER'!#REF!</f>
        <v>#REF!</v>
      </c>
      <c r="I284" s="1260"/>
      <c r="J284" s="1260"/>
      <c r="K284" s="1260"/>
      <c r="L284" s="1110"/>
    </row>
    <row r="285" spans="1:12">
      <c r="A285" s="72"/>
      <c r="B285" s="1269" t="s">
        <v>185</v>
      </c>
      <c r="C285" s="1269"/>
      <c r="D285" s="1269"/>
      <c r="E285" s="1269"/>
      <c r="F285" s="1269"/>
      <c r="G285" s="1269"/>
      <c r="H285" s="1268" t="e">
        <f>'4-22MASTER'!#REF!</f>
        <v>#REF!</v>
      </c>
      <c r="I285" s="1260"/>
      <c r="J285" s="1260"/>
      <c r="K285" s="1260"/>
      <c r="L285" s="1110"/>
    </row>
    <row r="286" spans="1:12">
      <c r="A286" s="72"/>
      <c r="B286" s="1245" t="s">
        <v>186</v>
      </c>
      <c r="C286" s="1245"/>
      <c r="D286" s="1245"/>
      <c r="E286" s="1245"/>
      <c r="F286" s="1245"/>
      <c r="G286" s="1245"/>
      <c r="H286" s="1268" t="e">
        <f>'4-22MASTER'!#REF!</f>
        <v>#REF!</v>
      </c>
      <c r="I286" s="1260"/>
      <c r="J286" s="1260"/>
      <c r="K286" s="1260"/>
      <c r="L286" s="1110"/>
    </row>
    <row r="287" spans="1:12">
      <c r="A287" s="72"/>
      <c r="B287" s="1245" t="s">
        <v>187</v>
      </c>
      <c r="C287" s="1245"/>
      <c r="D287" s="1245"/>
      <c r="E287" s="1245"/>
      <c r="F287" s="1245"/>
      <c r="G287" s="1245"/>
      <c r="H287" s="1259" t="e">
        <f>'4-22MASTER'!#REF!</f>
        <v>#REF!</v>
      </c>
      <c r="I287" s="1260"/>
      <c r="J287" s="1260"/>
      <c r="K287" s="1260"/>
      <c r="L287" s="1110"/>
    </row>
    <row r="288" spans="1:12">
      <c r="A288" s="72"/>
      <c r="B288" s="73" t="s">
        <v>188</v>
      </c>
      <c r="C288" s="74"/>
      <c r="D288" s="74"/>
      <c r="E288" s="74"/>
      <c r="F288" s="74"/>
      <c r="G288" s="74"/>
      <c r="H288" s="1261" t="s">
        <v>189</v>
      </c>
      <c r="I288" s="1262"/>
      <c r="J288" s="1262"/>
      <c r="K288" s="1262"/>
      <c r="L288" s="1263"/>
    </row>
    <row r="289" spans="1:12">
      <c r="A289" s="72"/>
      <c r="B289" s="73" t="s">
        <v>190</v>
      </c>
      <c r="C289" s="74"/>
      <c r="D289" s="74"/>
      <c r="E289" s="74"/>
      <c r="F289" s="74"/>
      <c r="G289" s="74"/>
      <c r="H289" s="75"/>
      <c r="I289" s="76"/>
      <c r="J289" s="171"/>
      <c r="K289" s="76"/>
      <c r="L289" s="81"/>
    </row>
    <row r="290" spans="1:12">
      <c r="A290" s="72"/>
      <c r="B290" s="1264" t="s">
        <v>191</v>
      </c>
      <c r="C290" s="1264"/>
      <c r="D290" s="1264"/>
      <c r="E290" s="1264"/>
      <c r="F290" s="1264"/>
      <c r="G290" s="1264"/>
      <c r="H290" s="1265" t="e">
        <f>'4-22MASTER'!#REF!</f>
        <v>#REF!</v>
      </c>
      <c r="I290" s="1266"/>
      <c r="J290" s="1266"/>
      <c r="K290" s="1266"/>
      <c r="L290" s="1105"/>
    </row>
    <row r="291" spans="1:12">
      <c r="A291" s="72"/>
      <c r="B291" s="1245"/>
      <c r="C291" s="1245"/>
      <c r="D291" s="1245"/>
      <c r="E291" s="1245"/>
      <c r="F291" s="1245"/>
      <c r="G291" s="1245"/>
      <c r="H291" s="1267" t="e">
        <f>'4-22MASTER'!#REF!</f>
        <v>#REF!</v>
      </c>
      <c r="I291" s="1260"/>
      <c r="J291" s="1260"/>
      <c r="K291" s="1260"/>
      <c r="L291" s="1110"/>
    </row>
    <row r="292" spans="1:12">
      <c r="A292" s="11"/>
      <c r="B292" s="1245"/>
      <c r="C292" s="1245"/>
      <c r="D292" s="1245"/>
      <c r="E292" s="1245"/>
      <c r="F292" s="1245"/>
      <c r="G292" s="1245"/>
      <c r="H292" s="1268" t="e">
        <f>'4-22MASTER'!#REF!</f>
        <v>#REF!</v>
      </c>
      <c r="I292" s="1260"/>
      <c r="J292" s="1260"/>
      <c r="K292" s="1260"/>
      <c r="L292" s="1110"/>
    </row>
    <row r="293" spans="1:12">
      <c r="A293" s="11"/>
      <c r="B293" s="73" t="s">
        <v>192</v>
      </c>
      <c r="C293" s="74"/>
      <c r="D293" s="74"/>
      <c r="E293" s="74"/>
      <c r="F293" s="74"/>
      <c r="G293" s="77"/>
      <c r="H293" s="1247" t="e">
        <f>'4-22MASTER'!#REF!</f>
        <v>#REF!</v>
      </c>
      <c r="I293" s="1248"/>
      <c r="J293" s="1248"/>
      <c r="K293" s="1248"/>
      <c r="L293" s="1249"/>
    </row>
    <row r="294" spans="1:12">
      <c r="A294" s="11"/>
      <c r="B294" s="73"/>
      <c r="C294" s="74"/>
      <c r="D294" s="74"/>
      <c r="E294" s="74"/>
      <c r="F294" s="74"/>
      <c r="G294" s="77"/>
      <c r="H294" s="1247" t="e">
        <f>'4-22MASTER'!#REF!</f>
        <v>#REF!</v>
      </c>
      <c r="I294" s="1248"/>
      <c r="J294" s="1248"/>
      <c r="K294" s="1248"/>
      <c r="L294" s="1249"/>
    </row>
    <row r="295" spans="1:12">
      <c r="A295" s="11"/>
      <c r="B295" s="73"/>
      <c r="C295" s="74"/>
      <c r="D295" s="74"/>
      <c r="E295" s="74"/>
      <c r="F295" s="74"/>
      <c r="G295" s="77"/>
      <c r="H295" s="1247" t="e">
        <f>'4-22MASTER'!#REF!</f>
        <v>#REF!</v>
      </c>
      <c r="I295" s="1248"/>
      <c r="J295" s="1248"/>
      <c r="K295" s="1248"/>
      <c r="L295" s="1249"/>
    </row>
    <row r="296" spans="1:12">
      <c r="A296" s="11"/>
      <c r="B296" s="73" t="s">
        <v>199</v>
      </c>
      <c r="C296" s="74"/>
      <c r="D296" s="74"/>
      <c r="E296" s="74"/>
      <c r="F296" s="74"/>
      <c r="G296" s="77"/>
      <c r="H296" s="75"/>
      <c r="I296" s="76"/>
      <c r="J296" s="76"/>
      <c r="K296" s="76"/>
      <c r="L296" s="81"/>
    </row>
    <row r="297" spans="1:12">
      <c r="A297" s="11"/>
      <c r="B297" s="83" t="s">
        <v>200</v>
      </c>
      <c r="C297" s="152"/>
      <c r="D297" s="152"/>
      <c r="E297" s="152"/>
      <c r="F297" s="152"/>
      <c r="G297" s="153"/>
      <c r="H297" s="154"/>
      <c r="I297" s="155"/>
      <c r="J297" s="156"/>
      <c r="K297" s="155"/>
      <c r="L297" s="157"/>
    </row>
    <row r="298" spans="1:12" ht="45">
      <c r="A298" s="11"/>
      <c r="B298" s="73" t="s">
        <v>203</v>
      </c>
      <c r="C298" s="74"/>
      <c r="D298" s="76"/>
      <c r="E298" s="164" t="s">
        <v>205</v>
      </c>
      <c r="F298" s="54"/>
      <c r="G298" s="1250" t="s">
        <v>204</v>
      </c>
      <c r="H298" s="1251"/>
      <c r="I298" s="168" t="s">
        <v>201</v>
      </c>
      <c r="J298" s="166" t="s">
        <v>206</v>
      </c>
      <c r="K298" s="1250" t="s">
        <v>202</v>
      </c>
      <c r="L298" s="1252"/>
    </row>
    <row r="299" spans="1:12">
      <c r="A299" s="11"/>
      <c r="B299" s="167">
        <v>1</v>
      </c>
      <c r="C299" s="74"/>
      <c r="D299" s="74"/>
      <c r="E299" s="170">
        <v>2</v>
      </c>
      <c r="F299" s="77"/>
      <c r="G299" s="170">
        <v>3</v>
      </c>
      <c r="H299" s="186"/>
      <c r="I299" s="186">
        <v>4</v>
      </c>
      <c r="J299" s="88">
        <v>5</v>
      </c>
      <c r="K299" s="79"/>
      <c r="L299" s="80">
        <v>6</v>
      </c>
    </row>
    <row r="300" spans="1:12">
      <c r="A300" s="11"/>
      <c r="B300" s="284" t="e">
        <f>'4-22MASTER'!#REF!</f>
        <v>#REF!</v>
      </c>
      <c r="C300" s="182"/>
      <c r="D300" s="183"/>
      <c r="E300" s="185" t="s">
        <v>362</v>
      </c>
      <c r="F300" s="183"/>
      <c r="G300" s="185" t="s">
        <v>363</v>
      </c>
      <c r="H300" s="54"/>
      <c r="I300" s="9" t="s">
        <v>364</v>
      </c>
      <c r="J300" s="283">
        <v>1</v>
      </c>
      <c r="K300" s="1253" t="s">
        <v>37</v>
      </c>
      <c r="L300" s="1254"/>
    </row>
    <row r="301" spans="1:12">
      <c r="A301" s="11"/>
      <c r="B301" s="73"/>
      <c r="C301" s="182"/>
      <c r="D301" s="183"/>
      <c r="E301" s="184"/>
      <c r="F301" s="183"/>
      <c r="G301" s="184"/>
      <c r="H301" s="54"/>
      <c r="I301" s="9"/>
      <c r="J301" s="9"/>
      <c r="K301" s="185"/>
      <c r="L301" s="54"/>
    </row>
    <row r="302" spans="1:12">
      <c r="A302" s="11"/>
      <c r="B302" s="73"/>
      <c r="C302" s="182"/>
      <c r="D302" s="183"/>
      <c r="E302" s="184"/>
      <c r="F302" s="183"/>
      <c r="G302" s="184"/>
      <c r="H302" s="54"/>
      <c r="I302" s="9"/>
      <c r="J302" s="9"/>
      <c r="K302" s="185"/>
      <c r="L302" s="54"/>
    </row>
    <row r="303" spans="1:12">
      <c r="A303" s="11"/>
      <c r="B303" s="59"/>
      <c r="C303" s="13"/>
      <c r="D303" s="60"/>
      <c r="E303" s="184"/>
      <c r="F303" s="183"/>
      <c r="G303" s="184"/>
      <c r="H303" s="54"/>
      <c r="I303" s="9"/>
      <c r="J303" s="9"/>
      <c r="K303" s="185"/>
      <c r="L303" s="54"/>
    </row>
    <row r="304" spans="1:12">
      <c r="A304" s="11"/>
      <c r="B304" t="s">
        <v>207</v>
      </c>
      <c r="L304" s="12"/>
    </row>
    <row r="305" spans="1:12">
      <c r="A305" s="11"/>
      <c r="B305" t="s">
        <v>208</v>
      </c>
      <c r="L305" s="12"/>
    </row>
    <row r="306" spans="1:12">
      <c r="A306" s="11"/>
      <c r="B306" t="s">
        <v>209</v>
      </c>
      <c r="L306" s="12"/>
    </row>
    <row r="307" spans="1:12" ht="27.95" customHeight="1">
      <c r="A307" s="11"/>
      <c r="L307" s="12"/>
    </row>
    <row r="308" spans="1:12" ht="27.95" customHeight="1">
      <c r="A308" s="11"/>
      <c r="I308" t="s">
        <v>210</v>
      </c>
      <c r="L308" s="12"/>
    </row>
    <row r="309" spans="1:12" ht="27.95" customHeight="1">
      <c r="A309" s="11"/>
      <c r="F309" s="172" t="s">
        <v>193</v>
      </c>
      <c r="L309" s="12"/>
    </row>
    <row r="310" spans="1:12" ht="27.95" customHeight="1">
      <c r="A310" s="11" t="s">
        <v>194</v>
      </c>
      <c r="K310" s="222" t="e">
        <f>'4-22MASTER'!#REF!</f>
        <v>#REF!</v>
      </c>
      <c r="L310" s="12"/>
    </row>
    <row r="311" spans="1:12" ht="27.95" customHeight="1">
      <c r="A311" s="11" t="s">
        <v>195</v>
      </c>
      <c r="L311" s="12"/>
    </row>
    <row r="312" spans="1:12" ht="27.95" customHeight="1">
      <c r="A312" s="11"/>
      <c r="L312" s="12"/>
    </row>
    <row r="313" spans="1:12" ht="27.95" customHeight="1">
      <c r="A313" s="11"/>
      <c r="L313" s="12"/>
    </row>
    <row r="314" spans="1:12" ht="27.95" customHeight="1">
      <c r="A314" s="11"/>
      <c r="F314" t="s">
        <v>196</v>
      </c>
      <c r="L314" s="12"/>
    </row>
    <row r="315" spans="1:12" ht="27.95" customHeight="1">
      <c r="A315" s="11" t="s">
        <v>197</v>
      </c>
      <c r="B315" t="s">
        <v>361</v>
      </c>
      <c r="F315" t="str">
        <f>'4-22MASTER'!G5</f>
        <v>Burgeon IT Services Pvt.Ltd.</v>
      </c>
      <c r="L315" s="12"/>
    </row>
    <row r="316" spans="1:12" ht="27.95" customHeight="1">
      <c r="A316" s="11" t="s">
        <v>198</v>
      </c>
      <c r="B316" s="282" t="e">
        <f>'4-22MASTER'!#REF!</f>
        <v>#REF!</v>
      </c>
      <c r="F316" t="str">
        <f>'4-22MASTER'!G6</f>
        <v>Siri Mansion LIGB 436 Dr.A S Rao Nagar,Hyderabad</v>
      </c>
      <c r="L316" s="12"/>
    </row>
    <row r="317" spans="1:12" ht="27.95" customHeight="1" thickBot="1">
      <c r="A317" s="16"/>
      <c r="B317" s="14"/>
      <c r="C317" s="14"/>
      <c r="D317" s="14"/>
      <c r="E317" s="14"/>
      <c r="F317" s="14"/>
      <c r="G317" s="14"/>
      <c r="H317" s="14"/>
      <c r="I317" s="14"/>
      <c r="J317" s="14"/>
      <c r="K317" s="14"/>
      <c r="L317" s="15"/>
    </row>
    <row r="318" spans="1:12" ht="27.95" customHeight="1" thickBot="1">
      <c r="B318" s="173"/>
      <c r="C318" s="169"/>
      <c r="D318" s="169"/>
      <c r="E318" s="169"/>
      <c r="F318" s="169"/>
      <c r="G318" s="169"/>
      <c r="H318" s="158"/>
      <c r="I318" s="158"/>
      <c r="J318" s="159"/>
      <c r="K318" s="158"/>
      <c r="L318" s="158"/>
    </row>
    <row r="319" spans="1:12" ht="27.95" customHeight="1">
      <c r="A319" s="61"/>
      <c r="B319" s="1246" t="s">
        <v>181</v>
      </c>
      <c r="C319" s="1125"/>
      <c r="D319" s="1125"/>
      <c r="E319" s="1125"/>
      <c r="F319" s="1125"/>
      <c r="G319" s="1125"/>
      <c r="H319" s="1125"/>
      <c r="I319" s="1125"/>
      <c r="J319" s="1125"/>
      <c r="K319" s="1125"/>
      <c r="L319" s="1126"/>
    </row>
    <row r="320" spans="1:12" ht="27.95" customHeight="1">
      <c r="A320" s="11"/>
      <c r="B320" s="1255" t="s">
        <v>182</v>
      </c>
      <c r="C320" s="1255"/>
      <c r="D320" s="1255"/>
      <c r="E320" s="1255"/>
      <c r="F320" s="1255"/>
      <c r="G320" s="1255"/>
      <c r="H320" s="1255"/>
      <c r="I320" s="1255"/>
      <c r="J320" s="1255"/>
      <c r="K320" s="1255"/>
      <c r="L320" s="1129"/>
    </row>
    <row r="321" spans="1:12" ht="27.95" customHeight="1" thickBot="1">
      <c r="A321" s="16"/>
      <c r="B321" s="1131" t="s">
        <v>183</v>
      </c>
      <c r="C321" s="1131"/>
      <c r="D321" s="1131"/>
      <c r="E321" s="1131"/>
      <c r="F321" s="1131"/>
      <c r="G321" s="1131"/>
      <c r="H321" s="1131"/>
      <c r="I321" s="1131"/>
      <c r="J321" s="1131"/>
      <c r="K321" s="1131"/>
      <c r="L321" s="1132"/>
    </row>
    <row r="322" spans="1:12" ht="27.95" customHeight="1">
      <c r="A322" s="11"/>
      <c r="B322" s="1256" t="s">
        <v>111</v>
      </c>
      <c r="C322" s="1256"/>
      <c r="D322" s="1256"/>
      <c r="E322" s="1256"/>
      <c r="F322" s="1256"/>
      <c r="H322" s="1257" t="s">
        <v>112</v>
      </c>
      <c r="I322" s="1257"/>
      <c r="J322" s="1257"/>
      <c r="K322" s="1257"/>
      <c r="L322" s="1136"/>
    </row>
    <row r="323" spans="1:12" ht="27.95" customHeight="1" thickBot="1">
      <c r="A323" s="11"/>
      <c r="B323" s="1256"/>
      <c r="C323" s="1256"/>
      <c r="D323" s="1256"/>
      <c r="E323" s="1256"/>
      <c r="F323" s="1256"/>
      <c r="H323" s="1257"/>
      <c r="I323" s="1257"/>
      <c r="J323" s="1257"/>
      <c r="K323" s="1257"/>
      <c r="L323" s="1136"/>
    </row>
    <row r="324" spans="1:12" ht="27.95" customHeight="1">
      <c r="A324" s="11"/>
      <c r="B324" s="61"/>
      <c r="C324" s="62"/>
      <c r="D324" s="62"/>
      <c r="E324" s="62"/>
      <c r="F324" s="63"/>
      <c r="H324" s="61"/>
      <c r="I324" s="62"/>
      <c r="J324" s="62"/>
      <c r="K324" s="62"/>
      <c r="L324" s="63"/>
    </row>
    <row r="325" spans="1:12">
      <c r="A325" s="11"/>
      <c r="B325" s="151" t="str">
        <f>'4-22MASTER'!G5</f>
        <v>Burgeon IT Services Pvt.Ltd.</v>
      </c>
      <c r="F325" s="12"/>
      <c r="H325" s="64" t="str">
        <f>'4-22MASTER'!AQ5</f>
        <v>Burgeon IT Services Pvt.Ltd.</v>
      </c>
      <c r="L325" s="12"/>
    </row>
    <row r="326" spans="1:12">
      <c r="A326" s="11"/>
      <c r="B326" s="11"/>
      <c r="F326" s="12"/>
      <c r="H326" s="11"/>
      <c r="L326" s="12"/>
    </row>
    <row r="327" spans="1:12">
      <c r="A327" s="11"/>
      <c r="B327" s="64" t="str">
        <f>'4-22MASTER'!G6</f>
        <v>Siri Mansion LIGB 436 Dr.A S Rao Nagar,Hyderabad</v>
      </c>
      <c r="F327" s="12"/>
      <c r="H327" s="64" t="str">
        <f>'4-22MASTER'!AQ6</f>
        <v>Siri Mansion LIGB 436 Dr.A S Rao Nagar,Hyderabad</v>
      </c>
      <c r="L327" s="12"/>
    </row>
    <row r="328" spans="1:12" ht="15.75" thickBot="1">
      <c r="A328" s="11"/>
      <c r="B328" s="16"/>
      <c r="C328" s="14"/>
      <c r="D328" s="14"/>
      <c r="E328" s="14"/>
      <c r="F328" s="15"/>
      <c r="H328" s="16"/>
      <c r="I328" s="14"/>
      <c r="J328" s="14"/>
      <c r="K328" s="14"/>
      <c r="L328" s="15"/>
    </row>
    <row r="329" spans="1:12">
      <c r="A329" s="11"/>
      <c r="J329" t="s">
        <v>113</v>
      </c>
      <c r="L329" s="12"/>
    </row>
    <row r="330" spans="1:12">
      <c r="A330" s="11"/>
      <c r="B330" s="1258" t="s">
        <v>114</v>
      </c>
      <c r="C330" s="1258"/>
      <c r="D330" s="1258"/>
      <c r="E330" s="1258"/>
      <c r="F330" s="1258"/>
      <c r="H330" s="1258" t="s">
        <v>4</v>
      </c>
      <c r="I330" s="1258"/>
      <c r="J330" s="1258"/>
      <c r="K330" s="1258"/>
      <c r="L330" s="1139"/>
    </row>
    <row r="331" spans="1:12" ht="15.75" thickBot="1">
      <c r="A331" s="11"/>
      <c r="L331" s="12"/>
    </row>
    <row r="332" spans="1:12">
      <c r="A332" s="11"/>
      <c r="B332" s="61"/>
      <c r="C332" s="62"/>
      <c r="D332" s="62"/>
      <c r="E332" s="62"/>
      <c r="F332" s="63"/>
      <c r="H332" s="65"/>
      <c r="I332" s="66"/>
      <c r="J332" s="66"/>
      <c r="K332" s="66"/>
      <c r="L332" s="67"/>
    </row>
    <row r="333" spans="1:12">
      <c r="A333" s="11"/>
      <c r="B333" s="11"/>
      <c r="F333" s="12"/>
      <c r="H333" s="64" t="str">
        <f>'4-22MASTER'!AQ10</f>
        <v>INFOSYS  LTD.IL Ascendas SEZ Unit,Building Juniper</v>
      </c>
      <c r="I333" s="2"/>
      <c r="J333" s="2"/>
      <c r="K333" s="2"/>
      <c r="L333" s="68"/>
    </row>
    <row r="334" spans="1:12">
      <c r="A334" s="11"/>
      <c r="B334" s="64" t="str">
        <f>'4-22MASTER'!G8</f>
        <v>IT SUPPORTIVE SERVICES &amp; PUNE ASC SEZ</v>
      </c>
      <c r="F334" s="12"/>
      <c r="H334" s="64"/>
      <c r="I334" s="2"/>
      <c r="J334" s="2"/>
      <c r="K334" s="2"/>
      <c r="L334" s="68"/>
    </row>
    <row r="335" spans="1:12">
      <c r="A335" s="11"/>
      <c r="B335" s="11"/>
      <c r="F335" s="12"/>
      <c r="H335" s="64" t="str">
        <f>'4-22MASTER'!AQ11</f>
        <v>International Tech Park,Rajiv Gandhi Infotech Park,Hinjawadi,Pune,Maharashtra</v>
      </c>
      <c r="I335" s="2"/>
      <c r="J335" s="2"/>
      <c r="K335" s="2"/>
      <c r="L335" s="68"/>
    </row>
    <row r="336" spans="1:12" ht="15.75" thickBot="1">
      <c r="A336" s="11"/>
      <c r="B336" s="16"/>
      <c r="C336" s="14"/>
      <c r="D336" s="14"/>
      <c r="E336" s="14"/>
      <c r="F336" s="15"/>
      <c r="H336" s="69"/>
      <c r="I336" s="70"/>
      <c r="J336" s="70"/>
      <c r="K336" s="70"/>
      <c r="L336" s="71"/>
    </row>
    <row r="337" spans="1:12">
      <c r="A337" s="72"/>
      <c r="B337" s="1245" t="s">
        <v>184</v>
      </c>
      <c r="C337" s="1245"/>
      <c r="D337" s="1245"/>
      <c r="E337" s="1245"/>
      <c r="F337" s="1245"/>
      <c r="G337" s="1245"/>
      <c r="H337" s="1268" t="e">
        <f>'4-22MASTER'!#REF!</f>
        <v>#REF!</v>
      </c>
      <c r="I337" s="1260"/>
      <c r="J337" s="1260"/>
      <c r="K337" s="1260"/>
      <c r="L337" s="1110"/>
    </row>
    <row r="338" spans="1:12">
      <c r="A338" s="72"/>
      <c r="B338" s="1269" t="s">
        <v>185</v>
      </c>
      <c r="C338" s="1269"/>
      <c r="D338" s="1269"/>
      <c r="E338" s="1269"/>
      <c r="F338" s="1269"/>
      <c r="G338" s="1269"/>
      <c r="H338" s="1268" t="e">
        <f>'4-22MASTER'!#REF!</f>
        <v>#REF!</v>
      </c>
      <c r="I338" s="1260"/>
      <c r="J338" s="1260"/>
      <c r="K338" s="1260"/>
      <c r="L338" s="1110"/>
    </row>
    <row r="339" spans="1:12">
      <c r="A339" s="72"/>
      <c r="B339" s="1245" t="s">
        <v>186</v>
      </c>
      <c r="C339" s="1245"/>
      <c r="D339" s="1245"/>
      <c r="E339" s="1245"/>
      <c r="F339" s="1245"/>
      <c r="G339" s="1245"/>
      <c r="H339" s="1268" t="e">
        <f>'4-22MASTER'!#REF!</f>
        <v>#REF!</v>
      </c>
      <c r="I339" s="1260"/>
      <c r="J339" s="1260"/>
      <c r="K339" s="1260"/>
      <c r="L339" s="1110"/>
    </row>
    <row r="340" spans="1:12">
      <c r="A340" s="72"/>
      <c r="B340" s="1245" t="s">
        <v>187</v>
      </c>
      <c r="C340" s="1245"/>
      <c r="D340" s="1245"/>
      <c r="E340" s="1245"/>
      <c r="F340" s="1245"/>
      <c r="G340" s="1245"/>
      <c r="H340" s="1259" t="e">
        <f>'4-22MASTER'!#REF!</f>
        <v>#REF!</v>
      </c>
      <c r="I340" s="1260"/>
      <c r="J340" s="1260"/>
      <c r="K340" s="1260"/>
      <c r="L340" s="1110"/>
    </row>
    <row r="341" spans="1:12">
      <c r="A341" s="72"/>
      <c r="B341" s="73" t="s">
        <v>188</v>
      </c>
      <c r="C341" s="74"/>
      <c r="D341" s="74"/>
      <c r="E341" s="74"/>
      <c r="F341" s="74"/>
      <c r="G341" s="74"/>
      <c r="H341" s="1261" t="s">
        <v>189</v>
      </c>
      <c r="I341" s="1262"/>
      <c r="J341" s="1262"/>
      <c r="K341" s="1262"/>
      <c r="L341" s="1263"/>
    </row>
    <row r="342" spans="1:12">
      <c r="A342" s="72"/>
      <c r="B342" s="73" t="s">
        <v>190</v>
      </c>
      <c r="C342" s="74"/>
      <c r="D342" s="74"/>
      <c r="E342" s="74"/>
      <c r="F342" s="74"/>
      <c r="G342" s="74"/>
      <c r="H342" s="75"/>
      <c r="I342" s="76"/>
      <c r="J342" s="171"/>
      <c r="K342" s="76"/>
      <c r="L342" s="81"/>
    </row>
    <row r="343" spans="1:12">
      <c r="A343" s="72"/>
      <c r="B343" s="1264" t="s">
        <v>191</v>
      </c>
      <c r="C343" s="1264"/>
      <c r="D343" s="1264"/>
      <c r="E343" s="1264"/>
      <c r="F343" s="1264"/>
      <c r="G343" s="1264"/>
      <c r="H343" s="1265" t="e">
        <f>'4-22MASTER'!#REF!</f>
        <v>#REF!</v>
      </c>
      <c r="I343" s="1266"/>
      <c r="J343" s="1266"/>
      <c r="K343" s="1266"/>
      <c r="L343" s="1105"/>
    </row>
    <row r="344" spans="1:12">
      <c r="A344" s="72"/>
      <c r="B344" s="1245"/>
      <c r="C344" s="1245"/>
      <c r="D344" s="1245"/>
      <c r="E344" s="1245"/>
      <c r="F344" s="1245"/>
      <c r="G344" s="1245"/>
      <c r="H344" s="1267" t="e">
        <f>'4-22MASTER'!#REF!</f>
        <v>#REF!</v>
      </c>
      <c r="I344" s="1260"/>
      <c r="J344" s="1260"/>
      <c r="K344" s="1260"/>
      <c r="L344" s="1110"/>
    </row>
    <row r="345" spans="1:12">
      <c r="A345" s="11"/>
      <c r="B345" s="1245"/>
      <c r="C345" s="1245"/>
      <c r="D345" s="1245"/>
      <c r="E345" s="1245"/>
      <c r="F345" s="1245"/>
      <c r="G345" s="1245"/>
      <c r="H345" s="1268" t="e">
        <f>'4-22MASTER'!#REF!</f>
        <v>#REF!</v>
      </c>
      <c r="I345" s="1260"/>
      <c r="J345" s="1260"/>
      <c r="K345" s="1260"/>
      <c r="L345" s="1110"/>
    </row>
    <row r="346" spans="1:12">
      <c r="A346" s="11"/>
      <c r="B346" s="73" t="s">
        <v>192</v>
      </c>
      <c r="C346" s="74"/>
      <c r="D346" s="74"/>
      <c r="E346" s="74"/>
      <c r="F346" s="74"/>
      <c r="G346" s="77"/>
      <c r="H346" s="1247" t="e">
        <f>'4-22MASTER'!#REF!</f>
        <v>#REF!</v>
      </c>
      <c r="I346" s="1248"/>
      <c r="J346" s="1248"/>
      <c r="K346" s="1248"/>
      <c r="L346" s="1249"/>
    </row>
    <row r="347" spans="1:12">
      <c r="A347" s="11"/>
      <c r="B347" s="73"/>
      <c r="C347" s="74"/>
      <c r="D347" s="74"/>
      <c r="E347" s="74"/>
      <c r="F347" s="74"/>
      <c r="G347" s="77"/>
      <c r="H347" s="1247" t="e">
        <f>'4-22MASTER'!#REF!</f>
        <v>#REF!</v>
      </c>
      <c r="I347" s="1248"/>
      <c r="J347" s="1248"/>
      <c r="K347" s="1248"/>
      <c r="L347" s="1249"/>
    </row>
    <row r="348" spans="1:12">
      <c r="A348" s="11"/>
      <c r="B348" s="73"/>
      <c r="C348" s="74"/>
      <c r="D348" s="74"/>
      <c r="E348" s="74"/>
      <c r="F348" s="74"/>
      <c r="G348" s="77"/>
      <c r="H348" s="1247" t="e">
        <f>'4-22MASTER'!#REF!</f>
        <v>#REF!</v>
      </c>
      <c r="I348" s="1248"/>
      <c r="J348" s="1248"/>
      <c r="K348" s="1248"/>
      <c r="L348" s="1249"/>
    </row>
    <row r="349" spans="1:12">
      <c r="A349" s="11"/>
      <c r="B349" s="73" t="s">
        <v>199</v>
      </c>
      <c r="C349" s="74"/>
      <c r="D349" s="74"/>
      <c r="E349" s="74"/>
      <c r="F349" s="74"/>
      <c r="G349" s="77"/>
      <c r="H349" s="75"/>
      <c r="I349" s="76"/>
      <c r="J349" s="76"/>
      <c r="K349" s="76"/>
      <c r="L349" s="81"/>
    </row>
    <row r="350" spans="1:12">
      <c r="A350" s="11"/>
      <c r="B350" s="83" t="s">
        <v>200</v>
      </c>
      <c r="C350" s="152"/>
      <c r="D350" s="152"/>
      <c r="E350" s="152"/>
      <c r="F350" s="152"/>
      <c r="G350" s="153"/>
      <c r="H350" s="154"/>
      <c r="I350" s="155"/>
      <c r="J350" s="156"/>
      <c r="K350" s="155"/>
      <c r="L350" s="157"/>
    </row>
    <row r="351" spans="1:12" ht="45">
      <c r="A351" s="11"/>
      <c r="B351" s="73" t="s">
        <v>203</v>
      </c>
      <c r="C351" s="74"/>
      <c r="D351" s="76"/>
      <c r="E351" s="164" t="s">
        <v>205</v>
      </c>
      <c r="F351" s="54"/>
      <c r="G351" s="1250" t="s">
        <v>204</v>
      </c>
      <c r="H351" s="1251"/>
      <c r="I351" s="168" t="s">
        <v>201</v>
      </c>
      <c r="J351" s="166" t="s">
        <v>206</v>
      </c>
      <c r="K351" s="1250" t="s">
        <v>202</v>
      </c>
      <c r="L351" s="1252"/>
    </row>
    <row r="352" spans="1:12">
      <c r="A352" s="11"/>
      <c r="B352" s="167">
        <v>1</v>
      </c>
      <c r="C352" s="74"/>
      <c r="D352" s="74"/>
      <c r="E352" s="170">
        <v>2</v>
      </c>
      <c r="F352" s="77"/>
      <c r="G352" s="170">
        <v>3</v>
      </c>
      <c r="H352" s="186"/>
      <c r="I352" s="186">
        <v>4</v>
      </c>
      <c r="J352" s="88">
        <v>5</v>
      </c>
      <c r="K352" s="79"/>
      <c r="L352" s="80">
        <v>6</v>
      </c>
    </row>
    <row r="353" spans="1:12">
      <c r="A353" s="11"/>
      <c r="B353" s="284" t="e">
        <f>'4-22MASTER'!#REF!</f>
        <v>#REF!</v>
      </c>
      <c r="C353" s="182"/>
      <c r="D353" s="183"/>
      <c r="E353" s="185" t="s">
        <v>362</v>
      </c>
      <c r="F353" s="183"/>
      <c r="G353" s="185" t="s">
        <v>363</v>
      </c>
      <c r="H353" s="54"/>
      <c r="I353" s="9" t="s">
        <v>364</v>
      </c>
      <c r="J353" s="283">
        <v>1</v>
      </c>
      <c r="K353" s="1253" t="s">
        <v>37</v>
      </c>
      <c r="L353" s="1254"/>
    </row>
    <row r="354" spans="1:12">
      <c r="A354" s="11"/>
      <c r="B354" s="73"/>
      <c r="C354" s="182"/>
      <c r="D354" s="183"/>
      <c r="E354" s="184"/>
      <c r="F354" s="183"/>
      <c r="G354" s="184"/>
      <c r="H354" s="54"/>
      <c r="I354" s="9"/>
      <c r="J354" s="9"/>
      <c r="K354" s="185"/>
      <c r="L354" s="54"/>
    </row>
    <row r="355" spans="1:12">
      <c r="A355" s="11"/>
      <c r="B355" s="73"/>
      <c r="C355" s="182"/>
      <c r="D355" s="183"/>
      <c r="E355" s="184"/>
      <c r="F355" s="183"/>
      <c r="G355" s="184"/>
      <c r="H355" s="54"/>
      <c r="I355" s="9"/>
      <c r="J355" s="9"/>
      <c r="K355" s="185"/>
      <c r="L355" s="54"/>
    </row>
    <row r="356" spans="1:12">
      <c r="A356" s="11"/>
      <c r="B356" s="59"/>
      <c r="C356" s="13"/>
      <c r="D356" s="60"/>
      <c r="E356" s="184"/>
      <c r="F356" s="183"/>
      <c r="G356" s="184"/>
      <c r="H356" s="54"/>
      <c r="I356" s="9"/>
      <c r="J356" s="9"/>
      <c r="K356" s="185"/>
      <c r="L356" s="54"/>
    </row>
    <row r="357" spans="1:12">
      <c r="A357" s="11"/>
      <c r="B357" t="s">
        <v>207</v>
      </c>
      <c r="L357" s="12"/>
    </row>
    <row r="358" spans="1:12">
      <c r="A358" s="11"/>
      <c r="B358" t="s">
        <v>208</v>
      </c>
      <c r="L358" s="12"/>
    </row>
    <row r="359" spans="1:12">
      <c r="A359" s="11"/>
      <c r="B359" t="s">
        <v>209</v>
      </c>
      <c r="L359" s="12"/>
    </row>
    <row r="360" spans="1:12" ht="27.95" customHeight="1">
      <c r="A360" s="11"/>
      <c r="L360" s="12"/>
    </row>
    <row r="361" spans="1:12" ht="27.95" customHeight="1">
      <c r="A361" s="11"/>
      <c r="I361" t="s">
        <v>210</v>
      </c>
      <c r="L361" s="12"/>
    </row>
    <row r="362" spans="1:12" ht="27.95" customHeight="1">
      <c r="A362" s="11"/>
      <c r="F362" s="172" t="s">
        <v>193</v>
      </c>
      <c r="L362" s="12"/>
    </row>
    <row r="363" spans="1:12" ht="27.95" customHeight="1">
      <c r="A363" s="11" t="s">
        <v>194</v>
      </c>
      <c r="K363" s="222" t="e">
        <f>'4-22MASTER'!#REF!</f>
        <v>#REF!</v>
      </c>
      <c r="L363" s="12"/>
    </row>
    <row r="364" spans="1:12" ht="27.95" customHeight="1">
      <c r="A364" s="11" t="s">
        <v>195</v>
      </c>
      <c r="L364" s="12"/>
    </row>
    <row r="365" spans="1:12" ht="27.95" customHeight="1">
      <c r="A365" s="11"/>
      <c r="L365" s="12"/>
    </row>
    <row r="366" spans="1:12" ht="27.95" customHeight="1">
      <c r="A366" s="11"/>
      <c r="L366" s="12"/>
    </row>
    <row r="367" spans="1:12" ht="27.95" customHeight="1">
      <c r="A367" s="11"/>
      <c r="F367" t="s">
        <v>196</v>
      </c>
      <c r="L367" s="12"/>
    </row>
    <row r="368" spans="1:12" ht="27.95" customHeight="1">
      <c r="A368" s="11" t="s">
        <v>197</v>
      </c>
      <c r="B368" t="s">
        <v>361</v>
      </c>
      <c r="F368" t="str">
        <f>'4-22MASTER'!G5</f>
        <v>Burgeon IT Services Pvt.Ltd.</v>
      </c>
      <c r="L368" s="12"/>
    </row>
    <row r="369" spans="1:12" ht="27.95" customHeight="1">
      <c r="A369" s="11" t="s">
        <v>198</v>
      </c>
      <c r="B369" s="282" t="e">
        <f>'4-22MASTER'!#REF!</f>
        <v>#REF!</v>
      </c>
      <c r="F369" t="str">
        <f>'4-22MASTER'!G6</f>
        <v>Siri Mansion LIGB 436 Dr.A S Rao Nagar,Hyderabad</v>
      </c>
      <c r="L369" s="12"/>
    </row>
    <row r="370" spans="1:12" ht="27.95" customHeight="1" thickBot="1">
      <c r="A370" s="16"/>
      <c r="B370" s="14"/>
      <c r="C370" s="14"/>
      <c r="D370" s="14"/>
      <c r="E370" s="14"/>
      <c r="F370" s="14"/>
      <c r="G370" s="14"/>
      <c r="H370" s="14"/>
      <c r="I370" s="14"/>
      <c r="J370" s="14"/>
      <c r="K370" s="14"/>
      <c r="L370" s="15"/>
    </row>
    <row r="371" spans="1:12" ht="27.95" customHeight="1" thickBot="1">
      <c r="B371" s="173"/>
      <c r="C371" s="169"/>
      <c r="D371" s="169"/>
      <c r="E371" s="169"/>
      <c r="F371" s="169"/>
      <c r="G371" s="169"/>
      <c r="H371" s="158"/>
      <c r="I371" s="158"/>
      <c r="J371" s="159"/>
      <c r="K371" s="158"/>
      <c r="L371" s="158"/>
    </row>
    <row r="372" spans="1:12" ht="27.95" customHeight="1">
      <c r="A372" s="61"/>
      <c r="B372" s="1246" t="s">
        <v>181</v>
      </c>
      <c r="C372" s="1125"/>
      <c r="D372" s="1125"/>
      <c r="E372" s="1125"/>
      <c r="F372" s="1125"/>
      <c r="G372" s="1125"/>
      <c r="H372" s="1125"/>
      <c r="I372" s="1125"/>
      <c r="J372" s="1125"/>
      <c r="K372" s="1125"/>
      <c r="L372" s="1126"/>
    </row>
    <row r="373" spans="1:12" ht="27.95" customHeight="1">
      <c r="A373" s="11"/>
      <c r="B373" s="1255" t="s">
        <v>182</v>
      </c>
      <c r="C373" s="1255"/>
      <c r="D373" s="1255"/>
      <c r="E373" s="1255"/>
      <c r="F373" s="1255"/>
      <c r="G373" s="1255"/>
      <c r="H373" s="1255"/>
      <c r="I373" s="1255"/>
      <c r="J373" s="1255"/>
      <c r="K373" s="1255"/>
      <c r="L373" s="1129"/>
    </row>
    <row r="374" spans="1:12" ht="27.95" customHeight="1" thickBot="1">
      <c r="A374" s="16"/>
      <c r="B374" s="1131" t="s">
        <v>183</v>
      </c>
      <c r="C374" s="1131"/>
      <c r="D374" s="1131"/>
      <c r="E374" s="1131"/>
      <c r="F374" s="1131"/>
      <c r="G374" s="1131"/>
      <c r="H374" s="1131"/>
      <c r="I374" s="1131"/>
      <c r="J374" s="1131"/>
      <c r="K374" s="1131"/>
      <c r="L374" s="1132"/>
    </row>
    <row r="375" spans="1:12" ht="27.95" customHeight="1">
      <c r="A375" s="11"/>
      <c r="B375" s="1256" t="s">
        <v>111</v>
      </c>
      <c r="C375" s="1256"/>
      <c r="D375" s="1256"/>
      <c r="E375" s="1256"/>
      <c r="F375" s="1256"/>
      <c r="H375" s="1257" t="s">
        <v>112</v>
      </c>
      <c r="I375" s="1257"/>
      <c r="J375" s="1257"/>
      <c r="K375" s="1257"/>
      <c r="L375" s="1136"/>
    </row>
    <row r="376" spans="1:12" ht="27.95" customHeight="1" thickBot="1">
      <c r="A376" s="11"/>
      <c r="B376" s="1256"/>
      <c r="C376" s="1256"/>
      <c r="D376" s="1256"/>
      <c r="E376" s="1256"/>
      <c r="F376" s="1256"/>
      <c r="H376" s="1257"/>
      <c r="I376" s="1257"/>
      <c r="J376" s="1257"/>
      <c r="K376" s="1257"/>
      <c r="L376" s="1136"/>
    </row>
    <row r="377" spans="1:12" ht="27.95" customHeight="1">
      <c r="A377" s="11"/>
      <c r="B377" s="61"/>
      <c r="C377" s="62"/>
      <c r="D377" s="62"/>
      <c r="E377" s="62"/>
      <c r="F377" s="63"/>
      <c r="H377" s="61"/>
      <c r="I377" s="62"/>
      <c r="J377" s="62"/>
      <c r="K377" s="62"/>
      <c r="L377" s="63"/>
    </row>
    <row r="378" spans="1:12">
      <c r="A378" s="11"/>
      <c r="B378" s="64" t="str">
        <f>'4-22MASTER'!G5</f>
        <v>Burgeon IT Services Pvt.Ltd.</v>
      </c>
      <c r="F378" s="12"/>
      <c r="H378" s="64" t="str">
        <f>'4-22MASTER'!AQ5</f>
        <v>Burgeon IT Services Pvt.Ltd.</v>
      </c>
      <c r="L378" s="12"/>
    </row>
    <row r="379" spans="1:12">
      <c r="A379" s="11"/>
      <c r="B379" s="11"/>
      <c r="F379" s="12"/>
      <c r="H379" s="11"/>
      <c r="L379" s="12"/>
    </row>
    <row r="380" spans="1:12">
      <c r="A380" s="11"/>
      <c r="B380" s="64" t="str">
        <f>'4-22MASTER'!G6</f>
        <v>Siri Mansion LIGB 436 Dr.A S Rao Nagar,Hyderabad</v>
      </c>
      <c r="F380" s="12"/>
      <c r="H380" s="64" t="str">
        <f>'4-22MASTER'!AQ6</f>
        <v>Siri Mansion LIGB 436 Dr.A S Rao Nagar,Hyderabad</v>
      </c>
      <c r="L380" s="12"/>
    </row>
    <row r="381" spans="1:12" ht="15.75" thickBot="1">
      <c r="A381" s="11"/>
      <c r="B381" s="16"/>
      <c r="C381" s="14"/>
      <c r="D381" s="14"/>
      <c r="E381" s="14"/>
      <c r="F381" s="15"/>
      <c r="H381" s="16"/>
      <c r="I381" s="14"/>
      <c r="J381" s="14"/>
      <c r="K381" s="14"/>
      <c r="L381" s="15"/>
    </row>
    <row r="382" spans="1:12">
      <c r="A382" s="11"/>
      <c r="J382" t="s">
        <v>113</v>
      </c>
      <c r="L382" s="12"/>
    </row>
    <row r="383" spans="1:12">
      <c r="A383" s="11"/>
      <c r="B383" s="1258" t="s">
        <v>114</v>
      </c>
      <c r="C383" s="1258"/>
      <c r="D383" s="1258"/>
      <c r="E383" s="1258"/>
      <c r="F383" s="1258"/>
      <c r="H383" s="1258" t="s">
        <v>4</v>
      </c>
      <c r="I383" s="1258"/>
      <c r="J383" s="1258"/>
      <c r="K383" s="1258"/>
      <c r="L383" s="1139"/>
    </row>
    <row r="384" spans="1:12" ht="15" customHeight="1" thickBot="1">
      <c r="A384" s="11"/>
      <c r="L384" s="12"/>
    </row>
    <row r="385" spans="1:12">
      <c r="A385" s="11"/>
      <c r="B385" s="61"/>
      <c r="C385" s="62"/>
      <c r="D385" s="62"/>
      <c r="E385" s="62"/>
      <c r="F385" s="63"/>
      <c r="H385" s="65"/>
      <c r="I385" s="66"/>
      <c r="J385" s="66"/>
      <c r="K385" s="66"/>
      <c r="L385" s="67"/>
    </row>
    <row r="386" spans="1:12">
      <c r="A386" s="11"/>
      <c r="B386" s="11"/>
      <c r="F386" s="12"/>
      <c r="H386" s="64" t="str">
        <f>'4-22MASTER'!AQ10</f>
        <v>INFOSYS  LTD.IL Ascendas SEZ Unit,Building Juniper</v>
      </c>
      <c r="I386" s="2"/>
      <c r="J386" s="2"/>
      <c r="K386" s="2"/>
      <c r="L386" s="68"/>
    </row>
    <row r="387" spans="1:12">
      <c r="A387" s="11"/>
      <c r="B387" s="64" t="str">
        <f>'4-22MASTER'!G8</f>
        <v>IT SUPPORTIVE SERVICES &amp; PUNE ASC SEZ</v>
      </c>
      <c r="F387" s="12"/>
      <c r="H387" s="64"/>
      <c r="I387" s="2"/>
      <c r="J387" s="2"/>
      <c r="K387" s="2"/>
      <c r="L387" s="68"/>
    </row>
    <row r="388" spans="1:12">
      <c r="A388" s="11"/>
      <c r="B388" s="11"/>
      <c r="F388" s="12"/>
      <c r="H388" s="64" t="str">
        <f>'4-22MASTER'!AQ11</f>
        <v>International Tech Park,Rajiv Gandhi Infotech Park,Hinjawadi,Pune,Maharashtra</v>
      </c>
      <c r="I388" s="2"/>
      <c r="J388" s="2"/>
      <c r="K388" s="2"/>
      <c r="L388" s="68"/>
    </row>
    <row r="389" spans="1:12" ht="15.75" thickBot="1">
      <c r="A389" s="11"/>
      <c r="B389" s="16"/>
      <c r="C389" s="14"/>
      <c r="D389" s="14"/>
      <c r="E389" s="14"/>
      <c r="F389" s="15"/>
      <c r="H389" s="69"/>
      <c r="I389" s="70"/>
      <c r="J389" s="70"/>
      <c r="K389" s="70"/>
      <c r="L389" s="71"/>
    </row>
    <row r="390" spans="1:12">
      <c r="A390" s="72"/>
      <c r="B390" s="1245" t="s">
        <v>184</v>
      </c>
      <c r="C390" s="1245"/>
      <c r="D390" s="1245"/>
      <c r="E390" s="1245"/>
      <c r="F390" s="1245"/>
      <c r="G390" s="1245"/>
      <c r="H390" s="1268" t="e">
        <f>'4-22MASTER'!#REF!</f>
        <v>#REF!</v>
      </c>
      <c r="I390" s="1260"/>
      <c r="J390" s="1260"/>
      <c r="K390" s="1260"/>
      <c r="L390" s="1110"/>
    </row>
    <row r="391" spans="1:12">
      <c r="A391" s="72"/>
      <c r="B391" s="1269" t="s">
        <v>185</v>
      </c>
      <c r="C391" s="1269"/>
      <c r="D391" s="1269"/>
      <c r="E391" s="1269"/>
      <c r="F391" s="1269"/>
      <c r="G391" s="1269"/>
      <c r="H391" s="1268" t="e">
        <f>'4-22MASTER'!#REF!</f>
        <v>#REF!</v>
      </c>
      <c r="I391" s="1260"/>
      <c r="J391" s="1260"/>
      <c r="K391" s="1260"/>
      <c r="L391" s="1110"/>
    </row>
    <row r="392" spans="1:12">
      <c r="A392" s="72"/>
      <c r="B392" s="1245" t="s">
        <v>186</v>
      </c>
      <c r="C392" s="1245"/>
      <c r="D392" s="1245"/>
      <c r="E392" s="1245"/>
      <c r="F392" s="1245"/>
      <c r="G392" s="1245"/>
      <c r="H392" s="1268" t="e">
        <f>'4-22MASTER'!#REF!</f>
        <v>#REF!</v>
      </c>
      <c r="I392" s="1260"/>
      <c r="J392" s="1260"/>
      <c r="K392" s="1260"/>
      <c r="L392" s="1110"/>
    </row>
    <row r="393" spans="1:12">
      <c r="A393" s="72"/>
      <c r="B393" s="1245" t="s">
        <v>187</v>
      </c>
      <c r="C393" s="1245"/>
      <c r="D393" s="1245"/>
      <c r="E393" s="1245"/>
      <c r="F393" s="1245"/>
      <c r="G393" s="1245"/>
      <c r="H393" s="1259" t="e">
        <f>'4-22MASTER'!#REF!</f>
        <v>#REF!</v>
      </c>
      <c r="I393" s="1260"/>
      <c r="J393" s="1260"/>
      <c r="K393" s="1260"/>
      <c r="L393" s="1110"/>
    </row>
    <row r="394" spans="1:12">
      <c r="A394" s="72"/>
      <c r="B394" s="73" t="s">
        <v>188</v>
      </c>
      <c r="C394" s="74"/>
      <c r="D394" s="74"/>
      <c r="E394" s="74"/>
      <c r="F394" s="74"/>
      <c r="G394" s="74"/>
      <c r="H394" s="1261" t="s">
        <v>189</v>
      </c>
      <c r="I394" s="1262"/>
      <c r="J394" s="1262"/>
      <c r="K394" s="1262"/>
      <c r="L394" s="1263"/>
    </row>
    <row r="395" spans="1:12">
      <c r="A395" s="72"/>
      <c r="B395" s="73" t="s">
        <v>190</v>
      </c>
      <c r="C395" s="74"/>
      <c r="D395" s="74"/>
      <c r="E395" s="74"/>
      <c r="F395" s="74"/>
      <c r="G395" s="74"/>
      <c r="H395" s="75"/>
      <c r="I395" s="76"/>
      <c r="J395" s="171"/>
      <c r="K395" s="76"/>
      <c r="L395" s="81"/>
    </row>
    <row r="396" spans="1:12">
      <c r="A396" s="72"/>
      <c r="B396" s="1264" t="s">
        <v>191</v>
      </c>
      <c r="C396" s="1264"/>
      <c r="D396" s="1264"/>
      <c r="E396" s="1264"/>
      <c r="F396" s="1264"/>
      <c r="G396" s="1264"/>
      <c r="H396" s="1265" t="e">
        <f>'4-22MASTER'!#REF!</f>
        <v>#REF!</v>
      </c>
      <c r="I396" s="1266"/>
      <c r="J396" s="1266"/>
      <c r="K396" s="1266"/>
      <c r="L396" s="1105"/>
    </row>
    <row r="397" spans="1:12">
      <c r="A397" s="72"/>
      <c r="B397" s="1245"/>
      <c r="C397" s="1245"/>
      <c r="D397" s="1245"/>
      <c r="E397" s="1245"/>
      <c r="F397" s="1245"/>
      <c r="G397" s="1245"/>
      <c r="H397" s="1267" t="e">
        <f>'4-22MASTER'!#REF!</f>
        <v>#REF!</v>
      </c>
      <c r="I397" s="1260"/>
      <c r="J397" s="1260"/>
      <c r="K397" s="1260"/>
      <c r="L397" s="1110"/>
    </row>
    <row r="398" spans="1:12">
      <c r="A398" s="11"/>
      <c r="B398" s="1245"/>
      <c r="C398" s="1245"/>
      <c r="D398" s="1245"/>
      <c r="E398" s="1245"/>
      <c r="F398" s="1245"/>
      <c r="G398" s="1245"/>
      <c r="H398" s="1268" t="e">
        <f>'4-22MASTER'!#REF!</f>
        <v>#REF!</v>
      </c>
      <c r="I398" s="1260"/>
      <c r="J398" s="1260"/>
      <c r="K398" s="1260"/>
      <c r="L398" s="1110"/>
    </row>
    <row r="399" spans="1:12" ht="27.95" customHeight="1">
      <c r="A399" s="11"/>
      <c r="B399" s="73" t="s">
        <v>192</v>
      </c>
      <c r="C399" s="74"/>
      <c r="D399" s="74"/>
      <c r="E399" s="74"/>
      <c r="F399" s="74"/>
      <c r="G399" s="77"/>
      <c r="H399" s="1247" t="e">
        <f>'4-22MASTER'!#REF!</f>
        <v>#REF!</v>
      </c>
      <c r="I399" s="1248"/>
      <c r="J399" s="1248"/>
      <c r="K399" s="1248"/>
      <c r="L399" s="1249"/>
    </row>
    <row r="400" spans="1:12" ht="27.95" customHeight="1">
      <c r="A400" s="11"/>
      <c r="B400" s="73"/>
      <c r="C400" s="74"/>
      <c r="D400" s="74"/>
      <c r="E400" s="74"/>
      <c r="F400" s="74"/>
      <c r="G400" s="77"/>
      <c r="H400" s="1247" t="e">
        <f>'4-22MASTER'!#REF!</f>
        <v>#REF!</v>
      </c>
      <c r="I400" s="1248"/>
      <c r="J400" s="1248"/>
      <c r="K400" s="1248"/>
      <c r="L400" s="1249"/>
    </row>
    <row r="401" spans="1:12" ht="27.95" customHeight="1">
      <c r="A401" s="11"/>
      <c r="B401" s="73"/>
      <c r="C401" s="74"/>
      <c r="D401" s="74"/>
      <c r="E401" s="74"/>
      <c r="F401" s="74"/>
      <c r="G401" s="77"/>
      <c r="H401" s="1247" t="e">
        <f>'4-22MASTER'!#REF!</f>
        <v>#REF!</v>
      </c>
      <c r="I401" s="1248"/>
      <c r="J401" s="1248"/>
      <c r="K401" s="1248"/>
      <c r="L401" s="1249"/>
    </row>
    <row r="402" spans="1:12" ht="27.95" customHeight="1">
      <c r="A402" s="11"/>
      <c r="B402" s="73" t="s">
        <v>199</v>
      </c>
      <c r="C402" s="74"/>
      <c r="D402" s="74"/>
      <c r="E402" s="74"/>
      <c r="F402" s="74"/>
      <c r="G402" s="77"/>
      <c r="H402" s="75"/>
      <c r="I402" s="76"/>
      <c r="J402" s="76"/>
      <c r="K402" s="76"/>
      <c r="L402" s="81"/>
    </row>
    <row r="403" spans="1:12" ht="27.95" customHeight="1">
      <c r="A403" s="11"/>
      <c r="B403" s="83" t="s">
        <v>200</v>
      </c>
      <c r="C403" s="152"/>
      <c r="D403" s="152"/>
      <c r="E403" s="152"/>
      <c r="F403" s="152"/>
      <c r="G403" s="153"/>
      <c r="H403" s="154"/>
      <c r="I403" s="155"/>
      <c r="J403" s="156"/>
      <c r="K403" s="155"/>
      <c r="L403" s="157"/>
    </row>
    <row r="404" spans="1:12" ht="27.95" customHeight="1">
      <c r="A404" s="11"/>
      <c r="B404" s="73" t="s">
        <v>203</v>
      </c>
      <c r="C404" s="74"/>
      <c r="D404" s="76"/>
      <c r="E404" s="164" t="s">
        <v>205</v>
      </c>
      <c r="F404" s="54"/>
      <c r="G404" s="1250" t="s">
        <v>204</v>
      </c>
      <c r="H404" s="1251"/>
      <c r="I404" s="168" t="s">
        <v>201</v>
      </c>
      <c r="J404" s="166" t="s">
        <v>206</v>
      </c>
      <c r="K404" s="1250" t="s">
        <v>202</v>
      </c>
      <c r="L404" s="1252"/>
    </row>
    <row r="405" spans="1:12" ht="27.95" customHeight="1">
      <c r="A405" s="11"/>
      <c r="B405" s="167">
        <v>1</v>
      </c>
      <c r="C405" s="74"/>
      <c r="D405" s="74"/>
      <c r="E405" s="170">
        <v>2</v>
      </c>
      <c r="F405" s="77"/>
      <c r="G405" s="170">
        <v>3</v>
      </c>
      <c r="H405" s="186"/>
      <c r="I405" s="186">
        <v>4</v>
      </c>
      <c r="J405" s="88">
        <v>5</v>
      </c>
      <c r="K405" s="79"/>
      <c r="L405" s="80">
        <v>6</v>
      </c>
    </row>
    <row r="406" spans="1:12" ht="27.95" customHeight="1">
      <c r="A406" s="11"/>
      <c r="B406" s="284" t="e">
        <f>'4-22MASTER'!#REF!</f>
        <v>#REF!</v>
      </c>
      <c r="C406" s="182"/>
      <c r="D406" s="183"/>
      <c r="E406" s="185" t="s">
        <v>362</v>
      </c>
      <c r="F406" s="183"/>
      <c r="G406" s="185" t="s">
        <v>363</v>
      </c>
      <c r="H406" s="54"/>
      <c r="I406" s="9" t="s">
        <v>364</v>
      </c>
      <c r="J406" s="283">
        <v>1</v>
      </c>
      <c r="K406" s="1253" t="s">
        <v>37</v>
      </c>
      <c r="L406" s="1254"/>
    </row>
    <row r="407" spans="1:12" ht="27.95" customHeight="1">
      <c r="A407" s="11"/>
      <c r="B407" s="73"/>
      <c r="C407" s="182"/>
      <c r="D407" s="183"/>
      <c r="E407" s="184"/>
      <c r="F407" s="183"/>
      <c r="G407" s="184"/>
      <c r="H407" s="54"/>
      <c r="I407" s="9"/>
      <c r="J407" s="9"/>
      <c r="K407" s="185"/>
      <c r="L407" s="54"/>
    </row>
    <row r="408" spans="1:12" ht="27.95" customHeight="1">
      <c r="A408" s="11"/>
      <c r="B408" s="73"/>
      <c r="C408" s="182"/>
      <c r="D408" s="183"/>
      <c r="E408" s="184"/>
      <c r="F408" s="183"/>
      <c r="G408" s="184"/>
      <c r="H408" s="54"/>
      <c r="I408" s="9"/>
      <c r="J408" s="9"/>
      <c r="K408" s="185"/>
      <c r="L408" s="54"/>
    </row>
    <row r="409" spans="1:12" ht="27.95" customHeight="1">
      <c r="A409" s="11"/>
      <c r="B409" s="59"/>
      <c r="C409" s="13"/>
      <c r="D409" s="60"/>
      <c r="E409" s="184"/>
      <c r="F409" s="183"/>
      <c r="G409" s="184"/>
      <c r="H409" s="54"/>
      <c r="I409" s="9"/>
      <c r="J409" s="9"/>
      <c r="K409" s="185"/>
      <c r="L409" s="54"/>
    </row>
    <row r="410" spans="1:12" ht="27.95" customHeight="1">
      <c r="A410" s="11"/>
      <c r="B410" t="s">
        <v>207</v>
      </c>
      <c r="L410" s="12"/>
    </row>
    <row r="411" spans="1:12" ht="27.95" customHeight="1">
      <c r="A411" s="11"/>
      <c r="B411" t="s">
        <v>208</v>
      </c>
      <c r="L411" s="12"/>
    </row>
    <row r="412" spans="1:12" ht="27.95" customHeight="1">
      <c r="A412" s="11"/>
      <c r="B412" t="s">
        <v>209</v>
      </c>
      <c r="L412" s="12"/>
    </row>
    <row r="413" spans="1:12" ht="27.95" customHeight="1">
      <c r="A413" s="11"/>
      <c r="I413" t="s">
        <v>210</v>
      </c>
      <c r="L413" s="12"/>
    </row>
    <row r="414" spans="1:12" ht="27.95" customHeight="1">
      <c r="A414" s="11"/>
      <c r="F414" s="172" t="s">
        <v>193</v>
      </c>
      <c r="L414" s="12"/>
    </row>
    <row r="415" spans="1:12" ht="27.95" customHeight="1">
      <c r="A415" s="11" t="s">
        <v>194</v>
      </c>
      <c r="K415" s="222" t="e">
        <f>'4-22MASTER'!#REF!</f>
        <v>#REF!</v>
      </c>
      <c r="L415" s="12"/>
    </row>
    <row r="416" spans="1:12">
      <c r="A416" s="11" t="s">
        <v>195</v>
      </c>
      <c r="L416" s="12"/>
    </row>
    <row r="417" spans="1:12">
      <c r="A417" s="11"/>
      <c r="L417" s="12"/>
    </row>
    <row r="418" spans="1:12">
      <c r="A418" s="11"/>
      <c r="L418" s="12"/>
    </row>
    <row r="419" spans="1:12">
      <c r="A419" s="11"/>
      <c r="F419" t="s">
        <v>196</v>
      </c>
      <c r="L419" s="12"/>
    </row>
    <row r="420" spans="1:12">
      <c r="A420" s="11" t="s">
        <v>197</v>
      </c>
      <c r="B420" t="s">
        <v>361</v>
      </c>
      <c r="F420" t="str">
        <f>'4-22MASTER'!G5</f>
        <v>Burgeon IT Services Pvt.Ltd.</v>
      </c>
      <c r="L420" s="12"/>
    </row>
    <row r="421" spans="1:12">
      <c r="A421" s="11" t="s">
        <v>198</v>
      </c>
      <c r="B421" s="282" t="e">
        <f>'4-22MASTER'!#REF!</f>
        <v>#REF!</v>
      </c>
      <c r="F421" t="str">
        <f>'4-22MASTER'!G6</f>
        <v>Siri Mansion LIGB 436 Dr.A S Rao Nagar,Hyderabad</v>
      </c>
      <c r="L421" s="12"/>
    </row>
    <row r="422" spans="1:12" ht="15" customHeight="1" thickBot="1">
      <c r="A422" s="16"/>
      <c r="B422" s="14"/>
      <c r="C422" s="14"/>
      <c r="D422" s="14"/>
      <c r="E422" s="14"/>
      <c r="F422" s="14"/>
      <c r="G422" s="14"/>
      <c r="H422" s="14"/>
      <c r="I422" s="14"/>
      <c r="J422" s="14"/>
      <c r="K422" s="14"/>
      <c r="L422" s="15"/>
    </row>
    <row r="423" spans="1:12" ht="15.75" thickBot="1">
      <c r="B423" s="173"/>
      <c r="C423" s="169"/>
      <c r="D423" s="169"/>
      <c r="E423" s="169"/>
      <c r="F423" s="169"/>
      <c r="G423" s="169"/>
      <c r="H423" s="158"/>
      <c r="I423" s="158"/>
      <c r="J423" s="159"/>
      <c r="K423" s="158"/>
      <c r="L423" s="158"/>
    </row>
    <row r="424" spans="1:12" ht="32.25">
      <c r="A424" s="61"/>
      <c r="B424" s="1246" t="s">
        <v>181</v>
      </c>
      <c r="C424" s="1125"/>
      <c r="D424" s="1125"/>
      <c r="E424" s="1125"/>
      <c r="F424" s="1125"/>
      <c r="G424" s="1125"/>
      <c r="H424" s="1125"/>
      <c r="I424" s="1125"/>
      <c r="J424" s="1125"/>
      <c r="K424" s="1125"/>
      <c r="L424" s="1126"/>
    </row>
    <row r="425" spans="1:12" ht="23.25">
      <c r="A425" s="11"/>
      <c r="B425" s="1255" t="s">
        <v>182</v>
      </c>
      <c r="C425" s="1255"/>
      <c r="D425" s="1255"/>
      <c r="E425" s="1255"/>
      <c r="F425" s="1255"/>
      <c r="G425" s="1255"/>
      <c r="H425" s="1255"/>
      <c r="I425" s="1255"/>
      <c r="J425" s="1255"/>
      <c r="K425" s="1255"/>
      <c r="L425" s="1129"/>
    </row>
    <row r="426" spans="1:12" ht="16.5" thickBot="1">
      <c r="A426" s="16"/>
      <c r="B426" s="1131" t="s">
        <v>183</v>
      </c>
      <c r="C426" s="1131"/>
      <c r="D426" s="1131"/>
      <c r="E426" s="1131"/>
      <c r="F426" s="1131"/>
      <c r="G426" s="1131"/>
      <c r="H426" s="1131"/>
      <c r="I426" s="1131"/>
      <c r="J426" s="1131"/>
      <c r="K426" s="1131"/>
      <c r="L426" s="1132"/>
    </row>
    <row r="427" spans="1:12">
      <c r="A427" s="11"/>
      <c r="B427" s="1256" t="s">
        <v>111</v>
      </c>
      <c r="C427" s="1256"/>
      <c r="D427" s="1256"/>
      <c r="E427" s="1256"/>
      <c r="F427" s="1256"/>
      <c r="H427" s="1257" t="s">
        <v>112</v>
      </c>
      <c r="I427" s="1257"/>
      <c r="J427" s="1257"/>
      <c r="K427" s="1257"/>
      <c r="L427" s="1136"/>
    </row>
    <row r="428" spans="1:12" ht="15.75" thickBot="1">
      <c r="A428" s="11"/>
      <c r="B428" s="1256"/>
      <c r="C428" s="1256"/>
      <c r="D428" s="1256"/>
      <c r="E428" s="1256"/>
      <c r="F428" s="1256"/>
      <c r="H428" s="1257"/>
      <c r="I428" s="1257"/>
      <c r="J428" s="1257"/>
      <c r="K428" s="1257"/>
      <c r="L428" s="1136"/>
    </row>
    <row r="429" spans="1:12">
      <c r="A429" s="11"/>
      <c r="B429" s="61"/>
      <c r="C429" s="62"/>
      <c r="D429" s="62"/>
      <c r="E429" s="62"/>
      <c r="F429" s="63"/>
      <c r="H429" s="61"/>
      <c r="I429" s="62"/>
      <c r="J429" s="62"/>
      <c r="K429" s="62"/>
      <c r="L429" s="63"/>
    </row>
    <row r="430" spans="1:12">
      <c r="A430" s="11"/>
      <c r="B430" s="64" t="str">
        <f>'4-22MASTER'!G5</f>
        <v>Burgeon IT Services Pvt.Ltd.</v>
      </c>
      <c r="F430" s="12"/>
      <c r="H430" s="64" t="str">
        <f>'4-22MASTER'!AQ5</f>
        <v>Burgeon IT Services Pvt.Ltd.</v>
      </c>
      <c r="L430" s="12"/>
    </row>
    <row r="431" spans="1:12">
      <c r="A431" s="11"/>
      <c r="B431" s="11"/>
      <c r="F431" s="12"/>
      <c r="H431" s="11"/>
      <c r="L431" s="12"/>
    </row>
    <row r="432" spans="1:12">
      <c r="A432" s="11"/>
      <c r="B432" s="64" t="str">
        <f>'4-22MASTER'!G6</f>
        <v>Siri Mansion LIGB 436 Dr.A S Rao Nagar,Hyderabad</v>
      </c>
      <c r="F432" s="12"/>
      <c r="H432" s="64" t="str">
        <f>'4-22MASTER'!AQ6</f>
        <v>Siri Mansion LIGB 436 Dr.A S Rao Nagar,Hyderabad</v>
      </c>
      <c r="L432" s="12"/>
    </row>
    <row r="433" spans="1:12" ht="15.75" thickBot="1">
      <c r="A433" s="11"/>
      <c r="B433" s="16"/>
      <c r="C433" s="14"/>
      <c r="D433" s="14"/>
      <c r="E433" s="14"/>
      <c r="F433" s="15"/>
      <c r="H433" s="16"/>
      <c r="I433" s="14"/>
      <c r="J433" s="14"/>
      <c r="K433" s="14"/>
      <c r="L433" s="15"/>
    </row>
    <row r="434" spans="1:12">
      <c r="A434" s="11"/>
      <c r="J434" t="s">
        <v>113</v>
      </c>
      <c r="L434" s="12"/>
    </row>
    <row r="435" spans="1:12">
      <c r="A435" s="11"/>
      <c r="B435" s="1258" t="s">
        <v>114</v>
      </c>
      <c r="C435" s="1258"/>
      <c r="D435" s="1258"/>
      <c r="E435" s="1258"/>
      <c r="F435" s="1258"/>
      <c r="H435" s="1258" t="s">
        <v>4</v>
      </c>
      <c r="I435" s="1258"/>
      <c r="J435" s="1258"/>
      <c r="K435" s="1258"/>
      <c r="L435" s="1139"/>
    </row>
    <row r="436" spans="1:12" ht="15.75" thickBot="1">
      <c r="A436" s="11"/>
      <c r="L436" s="12"/>
    </row>
    <row r="437" spans="1:12" ht="15" customHeight="1">
      <c r="A437" s="11"/>
      <c r="B437" s="61"/>
      <c r="C437" s="62"/>
      <c r="D437" s="62"/>
      <c r="E437" s="62"/>
      <c r="F437" s="63"/>
      <c r="H437" s="65"/>
      <c r="I437" s="66"/>
      <c r="J437" s="66"/>
      <c r="K437" s="66"/>
      <c r="L437" s="67"/>
    </row>
    <row r="438" spans="1:12" ht="15" customHeight="1">
      <c r="A438" s="11"/>
      <c r="B438" s="11"/>
      <c r="F438" s="12"/>
      <c r="H438" s="64" t="str">
        <f>'4-22MASTER'!AQ10</f>
        <v>INFOSYS  LTD.IL Ascendas SEZ Unit,Building Juniper</v>
      </c>
      <c r="I438" s="2"/>
      <c r="J438" s="2"/>
      <c r="K438" s="2"/>
      <c r="L438" s="68"/>
    </row>
    <row r="439" spans="1:12" ht="15" customHeight="1">
      <c r="A439" s="11"/>
      <c r="B439" s="64" t="str">
        <f>'4-22MASTER'!G8</f>
        <v>IT SUPPORTIVE SERVICES &amp; PUNE ASC SEZ</v>
      </c>
      <c r="F439" s="12"/>
      <c r="H439" s="64"/>
      <c r="I439" s="2"/>
      <c r="J439" s="2"/>
      <c r="K439" s="2"/>
      <c r="L439" s="68"/>
    </row>
    <row r="440" spans="1:12" ht="15" customHeight="1">
      <c r="A440" s="11"/>
      <c r="B440" s="11"/>
      <c r="F440" s="12"/>
      <c r="H440" s="64" t="str">
        <f>'4-22MASTER'!AQ11</f>
        <v>International Tech Park,Rajiv Gandhi Infotech Park,Hinjawadi,Pune,Maharashtra</v>
      </c>
      <c r="I440" s="2"/>
      <c r="J440" s="2"/>
      <c r="K440" s="2"/>
      <c r="L440" s="68"/>
    </row>
    <row r="441" spans="1:12" ht="15" customHeight="1" thickBot="1">
      <c r="A441" s="11"/>
      <c r="B441" s="16"/>
      <c r="C441" s="14"/>
      <c r="D441" s="14"/>
      <c r="E441" s="14"/>
      <c r="F441" s="15"/>
      <c r="H441" s="69"/>
      <c r="I441" s="70"/>
      <c r="J441" s="70"/>
      <c r="K441" s="70"/>
      <c r="L441" s="71"/>
    </row>
    <row r="442" spans="1:12" ht="27.95" customHeight="1">
      <c r="A442" s="72"/>
      <c r="B442" s="1245" t="s">
        <v>184</v>
      </c>
      <c r="C442" s="1245"/>
      <c r="D442" s="1245"/>
      <c r="E442" s="1245"/>
      <c r="F442" s="1245"/>
      <c r="G442" s="1245"/>
      <c r="H442" s="1268" t="e">
        <f>'4-22MASTER'!#REF!</f>
        <v>#REF!</v>
      </c>
      <c r="I442" s="1260"/>
      <c r="J442" s="1260"/>
      <c r="K442" s="1260"/>
      <c r="L442" s="1110"/>
    </row>
    <row r="443" spans="1:12" ht="27.95" customHeight="1">
      <c r="A443" s="72"/>
      <c r="B443" s="1269" t="s">
        <v>185</v>
      </c>
      <c r="C443" s="1269"/>
      <c r="D443" s="1269"/>
      <c r="E443" s="1269"/>
      <c r="F443" s="1269"/>
      <c r="G443" s="1269"/>
      <c r="H443" s="1268" t="e">
        <f>'4-22MASTER'!#REF!</f>
        <v>#REF!</v>
      </c>
      <c r="I443" s="1260"/>
      <c r="J443" s="1260"/>
      <c r="K443" s="1260"/>
      <c r="L443" s="1110"/>
    </row>
    <row r="444" spans="1:12" ht="27.95" customHeight="1">
      <c r="A444" s="72"/>
      <c r="B444" s="1245" t="s">
        <v>186</v>
      </c>
      <c r="C444" s="1245"/>
      <c r="D444" s="1245"/>
      <c r="E444" s="1245"/>
      <c r="F444" s="1245"/>
      <c r="G444" s="1245"/>
      <c r="H444" s="1268" t="e">
        <f>'4-22MASTER'!#REF!</f>
        <v>#REF!</v>
      </c>
      <c r="I444" s="1260"/>
      <c r="J444" s="1260"/>
      <c r="K444" s="1260"/>
      <c r="L444" s="1110"/>
    </row>
    <row r="445" spans="1:12" ht="27.95" customHeight="1">
      <c r="A445" s="72"/>
      <c r="B445" s="1245" t="s">
        <v>187</v>
      </c>
      <c r="C445" s="1245"/>
      <c r="D445" s="1245"/>
      <c r="E445" s="1245"/>
      <c r="F445" s="1245"/>
      <c r="G445" s="1245"/>
      <c r="H445" s="1259" t="e">
        <f>'4-22MASTER'!#REF!</f>
        <v>#REF!</v>
      </c>
      <c r="I445" s="1260"/>
      <c r="J445" s="1260"/>
      <c r="K445" s="1260"/>
      <c r="L445" s="1110"/>
    </row>
    <row r="446" spans="1:12" ht="27.95" customHeight="1">
      <c r="A446" s="72"/>
      <c r="B446" s="73" t="s">
        <v>188</v>
      </c>
      <c r="C446" s="74"/>
      <c r="D446" s="74"/>
      <c r="E446" s="74"/>
      <c r="F446" s="74"/>
      <c r="G446" s="74"/>
      <c r="H446" s="1261" t="s">
        <v>189</v>
      </c>
      <c r="I446" s="1262"/>
      <c r="J446" s="1262"/>
      <c r="K446" s="1262"/>
      <c r="L446" s="1263"/>
    </row>
    <row r="447" spans="1:12" ht="27.95" customHeight="1">
      <c r="A447" s="72"/>
      <c r="B447" s="73" t="s">
        <v>190</v>
      </c>
      <c r="C447" s="74"/>
      <c r="D447" s="74"/>
      <c r="E447" s="74"/>
      <c r="F447" s="74"/>
      <c r="G447" s="74"/>
      <c r="H447" s="75"/>
      <c r="I447" s="76"/>
      <c r="J447" s="171"/>
      <c r="K447" s="76"/>
      <c r="L447" s="81"/>
    </row>
    <row r="448" spans="1:12" ht="27.95" customHeight="1">
      <c r="A448" s="72"/>
      <c r="B448" s="1264" t="s">
        <v>191</v>
      </c>
      <c r="C448" s="1264"/>
      <c r="D448" s="1264"/>
      <c r="E448" s="1264"/>
      <c r="F448" s="1264"/>
      <c r="G448" s="1264"/>
      <c r="H448" s="1265" t="e">
        <f>'4-22MASTER'!#REF!</f>
        <v>#REF!</v>
      </c>
      <c r="I448" s="1266"/>
      <c r="J448" s="1266"/>
      <c r="K448" s="1266"/>
      <c r="L448" s="1105"/>
    </row>
    <row r="449" spans="1:12" ht="27.95" customHeight="1">
      <c r="A449" s="72"/>
      <c r="B449" s="1245"/>
      <c r="C449" s="1245"/>
      <c r="D449" s="1245"/>
      <c r="E449" s="1245"/>
      <c r="F449" s="1245"/>
      <c r="G449" s="1245"/>
      <c r="H449" s="1267" t="e">
        <f>'4-22MASTER'!#REF!</f>
        <v>#REF!</v>
      </c>
      <c r="I449" s="1260"/>
      <c r="J449" s="1260"/>
      <c r="K449" s="1260"/>
      <c r="L449" s="1110"/>
    </row>
    <row r="450" spans="1:12" ht="27.95" customHeight="1">
      <c r="A450" s="11"/>
      <c r="B450" s="1245"/>
      <c r="C450" s="1245"/>
      <c r="D450" s="1245"/>
      <c r="E450" s="1245"/>
      <c r="F450" s="1245"/>
      <c r="G450" s="1245"/>
      <c r="H450" s="1268" t="e">
        <f>'4-22MASTER'!#REF!</f>
        <v>#REF!</v>
      </c>
      <c r="I450" s="1260"/>
      <c r="J450" s="1260"/>
      <c r="K450" s="1260"/>
      <c r="L450" s="1110"/>
    </row>
    <row r="451" spans="1:12" ht="27.95" customHeight="1">
      <c r="A451" s="11"/>
      <c r="B451" s="73" t="s">
        <v>192</v>
      </c>
      <c r="C451" s="74"/>
      <c r="D451" s="74"/>
      <c r="E451" s="74"/>
      <c r="F451" s="74"/>
      <c r="G451" s="77"/>
      <c r="H451" s="1247" t="e">
        <f>'4-22MASTER'!#REF!</f>
        <v>#REF!</v>
      </c>
      <c r="I451" s="1248"/>
      <c r="J451" s="1248"/>
      <c r="K451" s="1248"/>
      <c r="L451" s="1249"/>
    </row>
    <row r="452" spans="1:12" ht="27.95" customHeight="1">
      <c r="A452" s="11"/>
      <c r="B452" s="73"/>
      <c r="C452" s="74"/>
      <c r="D452" s="74"/>
      <c r="E452" s="74"/>
      <c r="F452" s="74"/>
      <c r="G452" s="77"/>
      <c r="H452" s="1247" t="e">
        <f>'4-22MASTER'!#REF!</f>
        <v>#REF!</v>
      </c>
      <c r="I452" s="1248"/>
      <c r="J452" s="1248"/>
      <c r="K452" s="1248"/>
      <c r="L452" s="1249"/>
    </row>
    <row r="453" spans="1:12" ht="27.95" customHeight="1">
      <c r="A453" s="11"/>
      <c r="B453" s="73"/>
      <c r="C453" s="74"/>
      <c r="D453" s="74"/>
      <c r="E453" s="74"/>
      <c r="F453" s="74"/>
      <c r="G453" s="77"/>
      <c r="H453" s="1247" t="e">
        <f>'4-22MASTER'!#REF!</f>
        <v>#REF!</v>
      </c>
      <c r="I453" s="1248"/>
      <c r="J453" s="1248"/>
      <c r="K453" s="1248"/>
      <c r="L453" s="1249"/>
    </row>
    <row r="454" spans="1:12" ht="27.95" customHeight="1">
      <c r="A454" s="11"/>
      <c r="B454" s="73" t="s">
        <v>199</v>
      </c>
      <c r="C454" s="74"/>
      <c r="D454" s="74"/>
      <c r="E454" s="74"/>
      <c r="F454" s="74"/>
      <c r="G454" s="77"/>
      <c r="H454" s="75"/>
      <c r="I454" s="76"/>
      <c r="J454" s="76"/>
      <c r="K454" s="76"/>
      <c r="L454" s="81"/>
    </row>
    <row r="455" spans="1:12">
      <c r="A455" s="11"/>
      <c r="B455" s="83" t="s">
        <v>200</v>
      </c>
      <c r="C455" s="152"/>
      <c r="D455" s="152"/>
      <c r="E455" s="152"/>
      <c r="F455" s="152"/>
      <c r="G455" s="153"/>
      <c r="H455" s="154"/>
      <c r="I455" s="155"/>
      <c r="J455" s="156"/>
      <c r="K455" s="155"/>
      <c r="L455" s="157"/>
    </row>
    <row r="456" spans="1:12" ht="45">
      <c r="A456" s="11"/>
      <c r="B456" s="73" t="s">
        <v>203</v>
      </c>
      <c r="C456" s="74"/>
      <c r="D456" s="76"/>
      <c r="E456" s="164" t="s">
        <v>205</v>
      </c>
      <c r="F456" s="54"/>
      <c r="G456" s="1250" t="s">
        <v>204</v>
      </c>
      <c r="H456" s="1251"/>
      <c r="I456" s="168" t="s">
        <v>201</v>
      </c>
      <c r="J456" s="166" t="s">
        <v>206</v>
      </c>
      <c r="K456" s="1250" t="s">
        <v>202</v>
      </c>
      <c r="L456" s="1252"/>
    </row>
    <row r="457" spans="1:12">
      <c r="A457" s="11"/>
      <c r="B457" s="167">
        <v>1</v>
      </c>
      <c r="C457" s="74"/>
      <c r="D457" s="74"/>
      <c r="E457" s="170">
        <v>2</v>
      </c>
      <c r="F457" s="77"/>
      <c r="G457" s="170">
        <v>3</v>
      </c>
      <c r="H457" s="186"/>
      <c r="I457" s="186">
        <v>4</v>
      </c>
      <c r="J457" s="88">
        <v>5</v>
      </c>
      <c r="K457" s="79"/>
      <c r="L457" s="80">
        <v>6</v>
      </c>
    </row>
    <row r="458" spans="1:12">
      <c r="A458" s="11"/>
      <c r="B458" s="284" t="e">
        <f>'4-22MASTER'!#REF!</f>
        <v>#REF!</v>
      </c>
      <c r="C458" s="182"/>
      <c r="D458" s="183"/>
      <c r="E458" s="185" t="s">
        <v>362</v>
      </c>
      <c r="F458" s="183"/>
      <c r="G458" s="185" t="s">
        <v>363</v>
      </c>
      <c r="H458" s="54"/>
      <c r="I458" s="9" t="s">
        <v>364</v>
      </c>
      <c r="J458" s="283">
        <v>1</v>
      </c>
      <c r="K458" s="1253" t="s">
        <v>37</v>
      </c>
      <c r="L458" s="1254"/>
    </row>
    <row r="459" spans="1:12">
      <c r="A459" s="11"/>
      <c r="B459" s="73"/>
      <c r="C459" s="182"/>
      <c r="D459" s="183"/>
      <c r="E459" s="184"/>
      <c r="F459" s="183"/>
      <c r="G459" s="184"/>
      <c r="H459" s="54"/>
      <c r="I459" s="9"/>
      <c r="J459" s="9"/>
      <c r="K459" s="185"/>
      <c r="L459" s="54"/>
    </row>
    <row r="460" spans="1:12" ht="15" customHeight="1">
      <c r="A460" s="11"/>
      <c r="B460" s="73"/>
      <c r="C460" s="182"/>
      <c r="D460" s="183"/>
      <c r="E460" s="184"/>
      <c r="F460" s="183"/>
      <c r="G460" s="184"/>
      <c r="H460" s="54"/>
      <c r="I460" s="9"/>
      <c r="J460" s="9"/>
      <c r="K460" s="185"/>
      <c r="L460" s="54"/>
    </row>
    <row r="461" spans="1:12">
      <c r="A461" s="11"/>
      <c r="B461" s="59"/>
      <c r="C461" s="13"/>
      <c r="D461" s="60"/>
      <c r="E461" s="184"/>
      <c r="F461" s="183"/>
      <c r="G461" s="184"/>
      <c r="H461" s="54"/>
      <c r="I461" s="9"/>
      <c r="J461" s="9"/>
      <c r="K461" s="185"/>
      <c r="L461" s="54"/>
    </row>
    <row r="462" spans="1:12" ht="24.95" customHeight="1">
      <c r="A462" s="11"/>
      <c r="B462" t="s">
        <v>207</v>
      </c>
      <c r="L462" s="12"/>
    </row>
    <row r="463" spans="1:12" ht="24.95" customHeight="1">
      <c r="A463" s="11"/>
      <c r="B463" t="s">
        <v>208</v>
      </c>
      <c r="L463" s="12"/>
    </row>
    <row r="464" spans="1:12" ht="24.95" customHeight="1">
      <c r="A464" s="11"/>
      <c r="B464" t="s">
        <v>209</v>
      </c>
      <c r="L464" s="12"/>
    </row>
    <row r="465" spans="1:12">
      <c r="A465" s="11"/>
      <c r="L465" s="12"/>
    </row>
    <row r="466" spans="1:12">
      <c r="A466" s="11"/>
      <c r="I466" t="s">
        <v>210</v>
      </c>
      <c r="L466" s="12"/>
    </row>
    <row r="467" spans="1:12" ht="18.75">
      <c r="A467" s="11"/>
      <c r="F467" s="172" t="s">
        <v>193</v>
      </c>
      <c r="L467" s="12"/>
    </row>
    <row r="468" spans="1:12">
      <c r="A468" s="11" t="s">
        <v>194</v>
      </c>
      <c r="K468" s="222" t="e">
        <f>'4-22MASTER'!#REF!</f>
        <v>#REF!</v>
      </c>
      <c r="L468" s="12"/>
    </row>
    <row r="469" spans="1:12">
      <c r="A469" s="11" t="s">
        <v>195</v>
      </c>
      <c r="L469" s="12"/>
    </row>
    <row r="470" spans="1:12">
      <c r="A470" s="11"/>
      <c r="L470" s="12"/>
    </row>
    <row r="471" spans="1:12">
      <c r="A471" s="11"/>
      <c r="L471" s="12"/>
    </row>
    <row r="472" spans="1:12">
      <c r="A472" s="11"/>
      <c r="F472" t="s">
        <v>196</v>
      </c>
      <c r="L472" s="12"/>
    </row>
    <row r="473" spans="1:12">
      <c r="A473" s="11" t="s">
        <v>197</v>
      </c>
      <c r="B473" t="s">
        <v>361</v>
      </c>
      <c r="F473" t="str">
        <f>'4-22MASTER'!G5</f>
        <v>Burgeon IT Services Pvt.Ltd.</v>
      </c>
      <c r="L473" s="12"/>
    </row>
    <row r="474" spans="1:12">
      <c r="A474" s="11" t="s">
        <v>198</v>
      </c>
      <c r="B474" s="282" t="e">
        <f>'4-22MASTER'!#REF!</f>
        <v>#REF!</v>
      </c>
      <c r="F474" t="str">
        <f>'4-22MASTER'!G6</f>
        <v>Siri Mansion LIGB 436 Dr.A S Rao Nagar,Hyderabad</v>
      </c>
      <c r="L474" s="12"/>
    </row>
    <row r="475" spans="1:12">
      <c r="A475" s="11"/>
      <c r="B475" s="282"/>
      <c r="L475" s="12"/>
    </row>
    <row r="476" spans="1:12">
      <c r="A476" s="11"/>
      <c r="B476" s="282"/>
      <c r="L476" s="12"/>
    </row>
    <row r="477" spans="1:12" ht="15.75" thickBot="1">
      <c r="A477" s="16"/>
      <c r="B477" s="14"/>
      <c r="C477" s="14"/>
      <c r="D477" s="14"/>
      <c r="E477" s="14"/>
      <c r="F477" s="14"/>
      <c r="G477" s="14"/>
      <c r="H477" s="14"/>
      <c r="I477" s="14"/>
      <c r="J477" s="14"/>
      <c r="K477" s="14"/>
      <c r="L477" s="15"/>
    </row>
    <row r="478" spans="1:12" ht="27.95" customHeight="1">
      <c r="A478" s="61"/>
      <c r="B478" s="1246" t="s">
        <v>181</v>
      </c>
      <c r="C478" s="1125"/>
      <c r="D478" s="1125"/>
      <c r="E478" s="1125"/>
      <c r="F478" s="1125"/>
      <c r="G478" s="1125"/>
      <c r="H478" s="1125"/>
      <c r="I478" s="1125"/>
      <c r="J478" s="1125"/>
      <c r="K478" s="1125"/>
      <c r="L478" s="1126"/>
    </row>
    <row r="479" spans="1:12" ht="27.95" customHeight="1">
      <c r="A479" s="11"/>
      <c r="B479" s="1255" t="s">
        <v>182</v>
      </c>
      <c r="C479" s="1255"/>
      <c r="D479" s="1255"/>
      <c r="E479" s="1255"/>
      <c r="F479" s="1255"/>
      <c r="G479" s="1255"/>
      <c r="H479" s="1255"/>
      <c r="I479" s="1255"/>
      <c r="J479" s="1255"/>
      <c r="K479" s="1255"/>
      <c r="L479" s="1129"/>
    </row>
    <row r="480" spans="1:12" ht="27.95" customHeight="1" thickBot="1">
      <c r="A480" s="16"/>
      <c r="B480" s="1131" t="s">
        <v>183</v>
      </c>
      <c r="C480" s="1131"/>
      <c r="D480" s="1131"/>
      <c r="E480" s="1131"/>
      <c r="F480" s="1131"/>
      <c r="G480" s="1131"/>
      <c r="H480" s="1131"/>
      <c r="I480" s="1131"/>
      <c r="J480" s="1131"/>
      <c r="K480" s="1131"/>
      <c r="L480" s="1132"/>
    </row>
    <row r="481" spans="1:12" ht="27.95" customHeight="1">
      <c r="A481" s="11"/>
      <c r="B481" s="1256" t="s">
        <v>111</v>
      </c>
      <c r="C481" s="1256"/>
      <c r="D481" s="1256"/>
      <c r="E481" s="1256"/>
      <c r="F481" s="1256"/>
      <c r="H481" s="1257" t="s">
        <v>112</v>
      </c>
      <c r="I481" s="1257"/>
      <c r="J481" s="1257"/>
      <c r="K481" s="1257"/>
      <c r="L481" s="1136"/>
    </row>
    <row r="482" spans="1:12" ht="27.95" customHeight="1" thickBot="1">
      <c r="A482" s="11"/>
      <c r="B482" s="1256"/>
      <c r="C482" s="1256"/>
      <c r="D482" s="1256"/>
      <c r="E482" s="1256"/>
      <c r="F482" s="1256"/>
      <c r="H482" s="1257"/>
      <c r="I482" s="1257"/>
      <c r="J482" s="1257"/>
      <c r="K482" s="1257"/>
      <c r="L482" s="1136"/>
    </row>
    <row r="483" spans="1:12" ht="27.95" customHeight="1">
      <c r="A483" s="11"/>
      <c r="B483" s="61"/>
      <c r="C483" s="62"/>
      <c r="D483" s="62"/>
      <c r="E483" s="62"/>
      <c r="F483" s="63"/>
      <c r="H483" s="61"/>
      <c r="I483" s="62"/>
      <c r="J483" s="62"/>
      <c r="K483" s="62"/>
      <c r="L483" s="63"/>
    </row>
    <row r="484" spans="1:12" ht="27.95" customHeight="1">
      <c r="A484" s="11"/>
      <c r="B484" s="64" t="e">
        <f>#REF!</f>
        <v>#REF!</v>
      </c>
      <c r="F484" s="12"/>
      <c r="H484" s="64" t="e">
        <f>#REF!</f>
        <v>#REF!</v>
      </c>
      <c r="L484" s="12"/>
    </row>
    <row r="485" spans="1:12" ht="27.95" customHeight="1">
      <c r="A485" s="11"/>
      <c r="B485" s="11"/>
      <c r="F485" s="12"/>
      <c r="H485" s="11"/>
      <c r="L485" s="12"/>
    </row>
    <row r="486" spans="1:12" ht="27.95" customHeight="1">
      <c r="A486" s="11"/>
      <c r="B486" s="64" t="e">
        <f>#REF!</f>
        <v>#REF!</v>
      </c>
      <c r="F486" s="12"/>
      <c r="H486" s="64" t="e">
        <f>#REF!</f>
        <v>#REF!</v>
      </c>
      <c r="L486" s="12"/>
    </row>
    <row r="487" spans="1:12" ht="27.95" customHeight="1" thickBot="1">
      <c r="A487" s="11"/>
      <c r="B487" s="16"/>
      <c r="C487" s="14"/>
      <c r="D487" s="14"/>
      <c r="E487" s="14"/>
      <c r="F487" s="15"/>
      <c r="H487" s="16"/>
      <c r="I487" s="14"/>
      <c r="J487" s="14"/>
      <c r="K487" s="14"/>
      <c r="L487" s="15"/>
    </row>
    <row r="488" spans="1:12" ht="27.95" customHeight="1">
      <c r="A488" s="11"/>
      <c r="J488" t="s">
        <v>113</v>
      </c>
      <c r="L488" s="12"/>
    </row>
    <row r="489" spans="1:12" ht="27.95" customHeight="1">
      <c r="A489" s="11"/>
      <c r="B489" s="1258" t="s">
        <v>114</v>
      </c>
      <c r="C489" s="1258"/>
      <c r="D489" s="1258"/>
      <c r="E489" s="1258"/>
      <c r="F489" s="1258"/>
      <c r="H489" s="1258" t="s">
        <v>4</v>
      </c>
      <c r="I489" s="1258"/>
      <c r="J489" s="1258"/>
      <c r="K489" s="1258"/>
      <c r="L489" s="1139"/>
    </row>
    <row r="490" spans="1:12" ht="27.95" customHeight="1" thickBot="1">
      <c r="A490" s="11"/>
      <c r="L490" s="12"/>
    </row>
    <row r="491" spans="1:12" ht="15" customHeight="1">
      <c r="A491" s="11"/>
      <c r="B491" s="61"/>
      <c r="C491" s="62"/>
      <c r="D491" s="62"/>
      <c r="E491" s="62"/>
      <c r="F491" s="63"/>
      <c r="H491" s="65"/>
      <c r="I491" s="66"/>
      <c r="J491" s="66"/>
      <c r="K491" s="66"/>
      <c r="L491" s="67"/>
    </row>
    <row r="492" spans="1:12" ht="15" customHeight="1">
      <c r="A492" s="11"/>
      <c r="B492" s="11"/>
      <c r="F492" s="12"/>
      <c r="H492" s="64" t="e">
        <f>#REF!</f>
        <v>#REF!</v>
      </c>
      <c r="I492" s="2"/>
      <c r="J492" s="2"/>
      <c r="K492" s="2"/>
      <c r="L492" s="68"/>
    </row>
    <row r="493" spans="1:12" ht="15" customHeight="1">
      <c r="A493" s="11"/>
      <c r="B493" s="64" t="e">
        <f>#REF!</f>
        <v>#REF!</v>
      </c>
      <c r="F493" s="12"/>
      <c r="H493" s="64"/>
      <c r="I493" s="2"/>
      <c r="J493" s="2"/>
      <c r="K493" s="2"/>
      <c r="L493" s="68"/>
    </row>
    <row r="494" spans="1:12" ht="15" customHeight="1">
      <c r="A494" s="11"/>
      <c r="B494" s="11"/>
      <c r="F494" s="12"/>
      <c r="H494" s="64" t="e">
        <f>#REF!</f>
        <v>#REF!</v>
      </c>
      <c r="I494" s="2"/>
      <c r="J494" s="2"/>
      <c r="K494" s="2"/>
      <c r="L494" s="68"/>
    </row>
    <row r="495" spans="1:12" ht="15" customHeight="1" thickBot="1">
      <c r="A495" s="11"/>
      <c r="B495" s="16"/>
      <c r="C495" s="14"/>
      <c r="D495" s="14"/>
      <c r="E495" s="14"/>
      <c r="F495" s="15"/>
      <c r="H495" s="69"/>
      <c r="I495" s="70"/>
      <c r="J495" s="70"/>
      <c r="K495" s="70"/>
      <c r="L495" s="71"/>
    </row>
    <row r="496" spans="1:12">
      <c r="A496" s="72"/>
      <c r="B496" s="1245" t="s">
        <v>184</v>
      </c>
      <c r="C496" s="1245"/>
      <c r="D496" s="1245"/>
      <c r="E496" s="1245"/>
      <c r="F496" s="1245"/>
      <c r="G496" s="1245"/>
      <c r="H496" s="1268">
        <f>'4-22MASTER'!C415</f>
        <v>0</v>
      </c>
      <c r="I496" s="1260"/>
      <c r="J496" s="1260"/>
      <c r="K496" s="1260"/>
      <c r="L496" s="1110"/>
    </row>
    <row r="497" spans="1:12" ht="15" customHeight="1">
      <c r="A497" s="72"/>
      <c r="B497" s="1269" t="s">
        <v>185</v>
      </c>
      <c r="C497" s="1269"/>
      <c r="D497" s="1269"/>
      <c r="E497" s="1269"/>
      <c r="F497" s="1269"/>
      <c r="G497" s="1269"/>
      <c r="H497" s="1268">
        <f>'4-22MASTER'!F415</f>
        <v>0</v>
      </c>
      <c r="I497" s="1260"/>
      <c r="J497" s="1260"/>
      <c r="K497" s="1260"/>
      <c r="L497" s="1110"/>
    </row>
    <row r="498" spans="1:12">
      <c r="A498" s="72"/>
      <c r="B498" s="1245" t="s">
        <v>186</v>
      </c>
      <c r="C498" s="1245"/>
      <c r="D498" s="1245"/>
      <c r="E498" s="1245"/>
      <c r="F498" s="1245"/>
      <c r="G498" s="1245"/>
      <c r="H498" s="1268">
        <f>'4-22MASTER'!D415</f>
        <v>0</v>
      </c>
      <c r="I498" s="1260"/>
      <c r="J498" s="1260"/>
      <c r="K498" s="1260"/>
      <c r="L498" s="1110"/>
    </row>
    <row r="499" spans="1:12">
      <c r="A499" s="72"/>
      <c r="B499" s="1245" t="s">
        <v>187</v>
      </c>
      <c r="C499" s="1245"/>
      <c r="D499" s="1245"/>
      <c r="E499" s="1245"/>
      <c r="F499" s="1245"/>
      <c r="G499" s="1245"/>
      <c r="H499" s="1259">
        <f>'4-22MASTER'!E415</f>
        <v>0</v>
      </c>
      <c r="I499" s="1260"/>
      <c r="J499" s="1260"/>
      <c r="K499" s="1260"/>
      <c r="L499" s="1110"/>
    </row>
    <row r="500" spans="1:12">
      <c r="A500" s="72"/>
      <c r="B500" s="73" t="s">
        <v>188</v>
      </c>
      <c r="C500" s="74"/>
      <c r="D500" s="74"/>
      <c r="E500" s="74"/>
      <c r="F500" s="74"/>
      <c r="G500" s="74"/>
      <c r="H500" s="1261" t="s">
        <v>189</v>
      </c>
      <c r="I500" s="1262"/>
      <c r="J500" s="1262"/>
      <c r="K500" s="1262"/>
      <c r="L500" s="1263"/>
    </row>
    <row r="501" spans="1:12" ht="15" customHeight="1">
      <c r="A501" s="72"/>
      <c r="B501" s="73" t="s">
        <v>190</v>
      </c>
      <c r="C501" s="74"/>
      <c r="D501" s="74"/>
      <c r="E501" s="74"/>
      <c r="F501" s="74"/>
      <c r="G501" s="74"/>
      <c r="H501" s="75"/>
      <c r="I501" s="76"/>
      <c r="J501" s="171"/>
      <c r="K501" s="76"/>
      <c r="L501" s="81"/>
    </row>
    <row r="502" spans="1:12" ht="15" customHeight="1">
      <c r="A502" s="72"/>
      <c r="B502" s="1264" t="s">
        <v>191</v>
      </c>
      <c r="C502" s="1264"/>
      <c r="D502" s="1264"/>
      <c r="E502" s="1264"/>
      <c r="F502" s="1264"/>
      <c r="G502" s="1264"/>
      <c r="H502" s="1265">
        <f>'4-22MASTER'!H415</f>
        <v>0</v>
      </c>
      <c r="I502" s="1266"/>
      <c r="J502" s="1266"/>
      <c r="K502" s="1266"/>
      <c r="L502" s="1105"/>
    </row>
    <row r="503" spans="1:12">
      <c r="A503" s="72"/>
      <c r="B503" s="1245"/>
      <c r="C503" s="1245"/>
      <c r="D503" s="1245"/>
      <c r="E503" s="1245"/>
      <c r="F503" s="1245"/>
      <c r="G503" s="1245"/>
      <c r="H503" s="1267">
        <f>'4-22MASTER'!I415</f>
        <v>0</v>
      </c>
      <c r="I503" s="1260"/>
      <c r="J503" s="1260"/>
      <c r="K503" s="1260"/>
      <c r="L503" s="1110"/>
    </row>
    <row r="504" spans="1:12">
      <c r="A504" s="11"/>
      <c r="B504" s="1245"/>
      <c r="C504" s="1245"/>
      <c r="D504" s="1245"/>
      <c r="E504" s="1245"/>
      <c r="F504" s="1245"/>
      <c r="G504" s="1245"/>
      <c r="H504" s="1268">
        <f>'4-22MASTER'!J415</f>
        <v>0</v>
      </c>
      <c r="I504" s="1260"/>
      <c r="J504" s="1260"/>
      <c r="K504" s="1260"/>
      <c r="L504" s="1110"/>
    </row>
    <row r="505" spans="1:12">
      <c r="A505" s="11"/>
      <c r="B505" s="73" t="s">
        <v>192</v>
      </c>
      <c r="C505" s="74"/>
      <c r="D505" s="74"/>
      <c r="E505" s="74"/>
      <c r="F505" s="74"/>
      <c r="G505" s="77"/>
      <c r="H505" s="1247">
        <f>'4-22MASTER'!K415</f>
        <v>0</v>
      </c>
      <c r="I505" s="1248"/>
      <c r="J505" s="1248"/>
      <c r="K505" s="1248"/>
      <c r="L505" s="1249"/>
    </row>
    <row r="506" spans="1:12">
      <c r="A506" s="11"/>
      <c r="B506" s="73"/>
      <c r="C506" s="74"/>
      <c r="D506" s="74"/>
      <c r="E506" s="74"/>
      <c r="F506" s="74"/>
      <c r="G506" s="77"/>
      <c r="H506" s="1247">
        <f>'4-22MASTER'!L415</f>
        <v>0</v>
      </c>
      <c r="I506" s="1248"/>
      <c r="J506" s="1248"/>
      <c r="K506" s="1248"/>
      <c r="L506" s="1249"/>
    </row>
    <row r="507" spans="1:12">
      <c r="A507" s="11"/>
      <c r="B507" s="73"/>
      <c r="C507" s="74"/>
      <c r="D507" s="74"/>
      <c r="E507" s="74"/>
      <c r="F507" s="74"/>
      <c r="G507" s="77"/>
      <c r="H507" s="1247">
        <f>'4-22MASTER'!M415</f>
        <v>0</v>
      </c>
      <c r="I507" s="1248"/>
      <c r="J507" s="1248"/>
      <c r="K507" s="1248"/>
      <c r="L507" s="1249"/>
    </row>
    <row r="508" spans="1:12">
      <c r="A508" s="11"/>
      <c r="B508" s="73" t="s">
        <v>199</v>
      </c>
      <c r="C508" s="74"/>
      <c r="D508" s="74"/>
      <c r="E508" s="74"/>
      <c r="F508" s="74"/>
      <c r="G508" s="77"/>
      <c r="H508" s="75"/>
      <c r="I508" s="76"/>
      <c r="J508" s="76"/>
      <c r="K508" s="76"/>
      <c r="L508" s="81"/>
    </row>
    <row r="509" spans="1:12">
      <c r="A509" s="11"/>
      <c r="B509" s="83" t="s">
        <v>200</v>
      </c>
      <c r="C509" s="152"/>
      <c r="D509" s="152"/>
      <c r="E509" s="152"/>
      <c r="F509" s="152"/>
      <c r="G509" s="153"/>
      <c r="H509" s="154"/>
      <c r="I509" s="155"/>
      <c r="J509" s="156"/>
      <c r="K509" s="155"/>
      <c r="L509" s="157"/>
    </row>
    <row r="510" spans="1:12" ht="45" customHeight="1">
      <c r="A510" s="11"/>
      <c r="B510" s="73" t="s">
        <v>203</v>
      </c>
      <c r="C510" s="74"/>
      <c r="D510" s="76"/>
      <c r="E510" s="164" t="s">
        <v>205</v>
      </c>
      <c r="F510" s="54"/>
      <c r="G510" s="1250" t="s">
        <v>204</v>
      </c>
      <c r="H510" s="1251"/>
      <c r="I510" s="168" t="s">
        <v>201</v>
      </c>
      <c r="J510" s="166" t="s">
        <v>206</v>
      </c>
      <c r="K510" s="1250" t="s">
        <v>202</v>
      </c>
      <c r="L510" s="1252"/>
    </row>
    <row r="511" spans="1:12">
      <c r="A511" s="11"/>
      <c r="B511" s="167">
        <v>1</v>
      </c>
      <c r="C511" s="74"/>
      <c r="D511" s="74"/>
      <c r="E511" s="170">
        <v>2</v>
      </c>
      <c r="F511" s="77"/>
      <c r="G511" s="170">
        <v>3</v>
      </c>
      <c r="H511" s="186"/>
      <c r="I511" s="186">
        <v>4</v>
      </c>
      <c r="J511" s="88">
        <v>5</v>
      </c>
      <c r="K511" s="79"/>
      <c r="L511" s="80">
        <v>6</v>
      </c>
    </row>
    <row r="512" spans="1:12">
      <c r="A512" s="11"/>
      <c r="B512" s="284">
        <f>'4-22MASTER'!F415</f>
        <v>0</v>
      </c>
      <c r="C512" s="182"/>
      <c r="D512" s="183"/>
      <c r="E512" s="185" t="s">
        <v>362</v>
      </c>
      <c r="F512" s="183"/>
      <c r="G512" s="185" t="s">
        <v>363</v>
      </c>
      <c r="H512" s="54"/>
      <c r="I512" s="9" t="s">
        <v>364</v>
      </c>
      <c r="J512" s="283">
        <v>1</v>
      </c>
      <c r="K512" s="1253" t="s">
        <v>37</v>
      </c>
      <c r="L512" s="1254"/>
    </row>
    <row r="513" spans="1:12">
      <c r="A513" s="11"/>
      <c r="B513" s="73"/>
      <c r="C513" s="182"/>
      <c r="D513" s="183"/>
      <c r="E513" s="184"/>
      <c r="F513" s="183"/>
      <c r="G513" s="184"/>
      <c r="H513" s="54"/>
      <c r="I513" s="9"/>
      <c r="J513" s="9"/>
      <c r="K513" s="185"/>
      <c r="L513" s="54"/>
    </row>
    <row r="514" spans="1:12">
      <c r="A514" s="11"/>
      <c r="B514" s="73"/>
      <c r="C514" s="182"/>
      <c r="D514" s="183"/>
      <c r="E514" s="184"/>
      <c r="F514" s="183"/>
      <c r="G514" s="184"/>
      <c r="H514" s="54"/>
      <c r="I514" s="9"/>
      <c r="J514" s="9"/>
      <c r="K514" s="185"/>
      <c r="L514" s="54"/>
    </row>
    <row r="515" spans="1:12">
      <c r="A515" s="11"/>
      <c r="B515" s="59"/>
      <c r="C515" s="13"/>
      <c r="D515" s="60"/>
      <c r="E515" s="184"/>
      <c r="F515" s="183"/>
      <c r="G515" s="184"/>
      <c r="H515" s="54"/>
      <c r="I515" s="9"/>
      <c r="J515" s="9"/>
      <c r="K515" s="185"/>
      <c r="L515" s="54"/>
    </row>
    <row r="516" spans="1:12" ht="27.95" customHeight="1">
      <c r="A516" s="11"/>
      <c r="B516" t="s">
        <v>207</v>
      </c>
      <c r="L516" s="12"/>
    </row>
    <row r="517" spans="1:12" ht="27.95" customHeight="1">
      <c r="A517" s="11"/>
      <c r="B517" t="s">
        <v>208</v>
      </c>
      <c r="L517" s="12"/>
    </row>
    <row r="518" spans="1:12" ht="27.95" customHeight="1">
      <c r="A518" s="11"/>
      <c r="B518" t="s">
        <v>209</v>
      </c>
      <c r="L518" s="12"/>
    </row>
    <row r="519" spans="1:12" ht="27.95" customHeight="1">
      <c r="A519" s="11"/>
      <c r="I519" t="s">
        <v>210</v>
      </c>
      <c r="L519" s="12"/>
    </row>
    <row r="520" spans="1:12" ht="27.95" customHeight="1">
      <c r="A520" s="11"/>
      <c r="F520" s="172" t="s">
        <v>193</v>
      </c>
      <c r="L520" s="12"/>
    </row>
    <row r="521" spans="1:12" ht="27.95" customHeight="1">
      <c r="A521" s="11" t="s">
        <v>194</v>
      </c>
      <c r="K521" s="222">
        <f>'4-22MASTER'!C415</f>
        <v>0</v>
      </c>
      <c r="L521" s="12"/>
    </row>
    <row r="522" spans="1:12" ht="27.95" customHeight="1">
      <c r="A522" s="11" t="s">
        <v>195</v>
      </c>
      <c r="L522" s="12"/>
    </row>
    <row r="523" spans="1:12" ht="27.95" customHeight="1">
      <c r="A523" s="11"/>
      <c r="F523" t="s">
        <v>196</v>
      </c>
      <c r="L523" s="12"/>
    </row>
    <row r="524" spans="1:12" ht="27.95" customHeight="1">
      <c r="A524" s="11" t="s">
        <v>197</v>
      </c>
      <c r="B524" t="s">
        <v>361</v>
      </c>
      <c r="F524">
        <f>'4-22MASTER'!AQ405</f>
        <v>0</v>
      </c>
      <c r="L524" s="12"/>
    </row>
    <row r="525" spans="1:12" ht="27.95" customHeight="1">
      <c r="A525" s="11" t="s">
        <v>198</v>
      </c>
      <c r="B525" s="282">
        <f>'4-22MASTER'!O415</f>
        <v>0</v>
      </c>
      <c r="F525">
        <f>'4-22MASTER'!AQ406</f>
        <v>0</v>
      </c>
      <c r="L525" s="12"/>
    </row>
    <row r="526" spans="1:12" ht="27.95" customHeight="1" thickBot="1">
      <c r="A526" s="16"/>
      <c r="B526" s="14"/>
      <c r="C526" s="14"/>
      <c r="D526" s="14"/>
      <c r="E526" s="14"/>
      <c r="F526" s="14"/>
      <c r="G526" s="14"/>
      <c r="H526" s="14"/>
      <c r="I526" s="14"/>
      <c r="J526" s="14"/>
      <c r="K526" s="14"/>
      <c r="L526" s="15"/>
    </row>
    <row r="527" spans="1:12" ht="27.95" customHeight="1">
      <c r="A527" s="61"/>
      <c r="B527" s="1246" t="s">
        <v>181</v>
      </c>
      <c r="C527" s="1125"/>
      <c r="D527" s="1125"/>
      <c r="E527" s="1125"/>
      <c r="F527" s="1125"/>
      <c r="G527" s="1125"/>
      <c r="H527" s="1125"/>
      <c r="I527" s="1125"/>
      <c r="J527" s="1125"/>
      <c r="K527" s="1125"/>
      <c r="L527" s="1126"/>
    </row>
    <row r="528" spans="1:12" ht="27.95" customHeight="1">
      <c r="A528" s="11"/>
      <c r="B528" s="1255" t="s">
        <v>182</v>
      </c>
      <c r="C528" s="1255"/>
      <c r="D528" s="1255"/>
      <c r="E528" s="1255"/>
      <c r="F528" s="1255"/>
      <c r="G528" s="1255"/>
      <c r="H528" s="1255"/>
      <c r="I528" s="1255"/>
      <c r="J528" s="1255"/>
      <c r="K528" s="1255"/>
      <c r="L528" s="1129"/>
    </row>
    <row r="529" spans="1:12" ht="27.95" customHeight="1" thickBot="1">
      <c r="A529" s="16"/>
      <c r="B529" s="1131" t="s">
        <v>183</v>
      </c>
      <c r="C529" s="1131"/>
      <c r="D529" s="1131"/>
      <c r="E529" s="1131"/>
      <c r="F529" s="1131"/>
      <c r="G529" s="1131"/>
      <c r="H529" s="1131"/>
      <c r="I529" s="1131"/>
      <c r="J529" s="1131"/>
      <c r="K529" s="1131"/>
      <c r="L529" s="1132"/>
    </row>
    <row r="530" spans="1:12" ht="27.95" customHeight="1">
      <c r="A530" s="11"/>
      <c r="B530" s="1256" t="s">
        <v>111</v>
      </c>
      <c r="C530" s="1256"/>
      <c r="D530" s="1256"/>
      <c r="E530" s="1256"/>
      <c r="F530" s="1256"/>
      <c r="H530" s="1257" t="s">
        <v>112</v>
      </c>
      <c r="I530" s="1257"/>
      <c r="J530" s="1257"/>
      <c r="K530" s="1257"/>
      <c r="L530" s="1136"/>
    </row>
    <row r="531" spans="1:12" ht="27.95" customHeight="1" thickBot="1">
      <c r="A531" s="11"/>
      <c r="B531" s="1256"/>
      <c r="C531" s="1256"/>
      <c r="D531" s="1256"/>
      <c r="E531" s="1256"/>
      <c r="F531" s="1256"/>
      <c r="H531" s="1257"/>
      <c r="I531" s="1257"/>
      <c r="J531" s="1257"/>
      <c r="K531" s="1257"/>
      <c r="L531" s="1136"/>
    </row>
    <row r="532" spans="1:12">
      <c r="A532" s="11"/>
      <c r="B532" s="61"/>
      <c r="C532" s="62"/>
      <c r="D532" s="62"/>
      <c r="E532" s="62"/>
      <c r="F532" s="63"/>
      <c r="H532" s="61"/>
      <c r="I532" s="62"/>
      <c r="J532" s="62"/>
      <c r="K532" s="62"/>
      <c r="L532" s="63"/>
    </row>
    <row r="533" spans="1:12">
      <c r="A533" s="11"/>
      <c r="B533" s="64" t="e">
        <f>#REF!</f>
        <v>#REF!</v>
      </c>
      <c r="F533" s="12"/>
      <c r="H533" s="64" t="e">
        <f>#REF!</f>
        <v>#REF!</v>
      </c>
      <c r="L533" s="12"/>
    </row>
    <row r="534" spans="1:12">
      <c r="A534" s="11"/>
      <c r="B534" s="11"/>
      <c r="F534" s="12"/>
      <c r="H534" s="11"/>
      <c r="L534" s="12"/>
    </row>
    <row r="535" spans="1:12">
      <c r="A535" s="11"/>
      <c r="B535" s="64" t="e">
        <f>#REF!</f>
        <v>#REF!</v>
      </c>
      <c r="F535" s="12"/>
      <c r="H535" s="64" t="e">
        <f>#REF!</f>
        <v>#REF!</v>
      </c>
      <c r="L535" s="12"/>
    </row>
    <row r="536" spans="1:12" ht="15.75" thickBot="1">
      <c r="A536" s="11"/>
      <c r="B536" s="16"/>
      <c r="C536" s="14"/>
      <c r="D536" s="14"/>
      <c r="E536" s="14"/>
      <c r="F536" s="15"/>
      <c r="H536" s="16"/>
      <c r="I536" s="14"/>
      <c r="J536" s="14"/>
      <c r="K536" s="14"/>
      <c r="L536" s="15"/>
    </row>
    <row r="537" spans="1:12" ht="15" customHeight="1">
      <c r="A537" s="11"/>
      <c r="J537" t="s">
        <v>113</v>
      </c>
      <c r="L537" s="12"/>
    </row>
    <row r="538" spans="1:12">
      <c r="A538" s="11"/>
      <c r="B538" s="1258" t="s">
        <v>114</v>
      </c>
      <c r="C538" s="1258"/>
      <c r="D538" s="1258"/>
      <c r="E538" s="1258"/>
      <c r="F538" s="1258"/>
      <c r="H538" s="1258" t="s">
        <v>4</v>
      </c>
      <c r="I538" s="1258"/>
      <c r="J538" s="1258"/>
      <c r="K538" s="1258"/>
      <c r="L538" s="1139"/>
    </row>
    <row r="539" spans="1:12" ht="15.75" thickBot="1">
      <c r="A539" s="11"/>
      <c r="L539" s="12"/>
    </row>
    <row r="540" spans="1:12">
      <c r="A540" s="11"/>
      <c r="B540" s="61"/>
      <c r="C540" s="62"/>
      <c r="D540" s="62"/>
      <c r="E540" s="62"/>
      <c r="F540" s="63"/>
      <c r="H540" s="65"/>
      <c r="I540" s="66"/>
      <c r="J540" s="66"/>
      <c r="K540" s="66"/>
      <c r="L540" s="67"/>
    </row>
    <row r="541" spans="1:12">
      <c r="A541" s="11"/>
      <c r="B541" s="11"/>
      <c r="F541" s="12"/>
      <c r="H541" s="64" t="e">
        <f>#REF!</f>
        <v>#REF!</v>
      </c>
      <c r="I541" s="2"/>
      <c r="J541" s="2"/>
      <c r="K541" s="2"/>
      <c r="L541" s="68"/>
    </row>
    <row r="542" spans="1:12">
      <c r="A542" s="11"/>
      <c r="B542" s="64" t="e">
        <f>#REF!</f>
        <v>#REF!</v>
      </c>
      <c r="F542" s="12"/>
      <c r="H542" s="64"/>
      <c r="I542" s="2"/>
      <c r="J542" s="2"/>
      <c r="K542" s="2"/>
      <c r="L542" s="68"/>
    </row>
    <row r="543" spans="1:12">
      <c r="A543" s="11"/>
      <c r="B543" s="11"/>
      <c r="F543" s="12"/>
      <c r="H543" s="64" t="e">
        <f>#REF!</f>
        <v>#REF!</v>
      </c>
      <c r="I543" s="2"/>
      <c r="J543" s="2"/>
      <c r="K543" s="2"/>
      <c r="L543" s="68"/>
    </row>
    <row r="544" spans="1:12" ht="15.75" thickBot="1">
      <c r="A544" s="11"/>
      <c r="B544" s="16"/>
      <c r="C544" s="14"/>
      <c r="D544" s="14"/>
      <c r="E544" s="14"/>
      <c r="F544" s="15"/>
      <c r="H544" s="69"/>
      <c r="I544" s="70"/>
      <c r="J544" s="70"/>
      <c r="K544" s="70"/>
      <c r="L544" s="71"/>
    </row>
    <row r="545" spans="1:12">
      <c r="A545" s="72"/>
      <c r="B545" s="1245" t="s">
        <v>184</v>
      </c>
      <c r="C545" s="1245"/>
      <c r="D545" s="1245"/>
      <c r="E545" s="1245"/>
      <c r="F545" s="1245"/>
      <c r="G545" s="1245"/>
      <c r="H545" s="1268">
        <f>'4-22MASTER'!C466</f>
        <v>0</v>
      </c>
      <c r="I545" s="1260"/>
      <c r="J545" s="1260"/>
      <c r="K545" s="1260"/>
      <c r="L545" s="1110"/>
    </row>
    <row r="546" spans="1:12">
      <c r="A546" s="72"/>
      <c r="B546" s="1269" t="s">
        <v>185</v>
      </c>
      <c r="C546" s="1269"/>
      <c r="D546" s="1269"/>
      <c r="E546" s="1269"/>
      <c r="F546" s="1269"/>
      <c r="G546" s="1269"/>
      <c r="H546" s="1268">
        <f>'4-22MASTER'!F466</f>
        <v>0</v>
      </c>
      <c r="I546" s="1260"/>
      <c r="J546" s="1260"/>
      <c r="K546" s="1260"/>
      <c r="L546" s="1110"/>
    </row>
    <row r="547" spans="1:12">
      <c r="A547" s="72"/>
      <c r="B547" s="1245" t="s">
        <v>186</v>
      </c>
      <c r="C547" s="1245"/>
      <c r="D547" s="1245"/>
      <c r="E547" s="1245"/>
      <c r="F547" s="1245"/>
      <c r="G547" s="1245"/>
      <c r="H547" s="1268">
        <f>'4-22MASTER'!D466</f>
        <v>0</v>
      </c>
      <c r="I547" s="1260"/>
      <c r="J547" s="1260"/>
      <c r="K547" s="1260"/>
      <c r="L547" s="1110"/>
    </row>
    <row r="548" spans="1:12">
      <c r="A548" s="72"/>
      <c r="B548" s="1245" t="s">
        <v>187</v>
      </c>
      <c r="C548" s="1245"/>
      <c r="D548" s="1245"/>
      <c r="E548" s="1245"/>
      <c r="F548" s="1245"/>
      <c r="G548" s="1245"/>
      <c r="H548" s="1259">
        <f>'4-22MASTER'!E466</f>
        <v>0</v>
      </c>
      <c r="I548" s="1260"/>
      <c r="J548" s="1260"/>
      <c r="K548" s="1260"/>
      <c r="L548" s="1110"/>
    </row>
    <row r="549" spans="1:12">
      <c r="A549" s="72"/>
      <c r="B549" s="73" t="s">
        <v>188</v>
      </c>
      <c r="C549" s="74"/>
      <c r="D549" s="74"/>
      <c r="E549" s="74"/>
      <c r="F549" s="74"/>
      <c r="G549" s="74"/>
      <c r="H549" s="1261" t="s">
        <v>189</v>
      </c>
      <c r="I549" s="1262"/>
      <c r="J549" s="1262"/>
      <c r="K549" s="1262"/>
      <c r="L549" s="1263"/>
    </row>
    <row r="550" spans="1:12">
      <c r="A550" s="72"/>
      <c r="B550" s="73" t="s">
        <v>190</v>
      </c>
      <c r="C550" s="74"/>
      <c r="D550" s="74"/>
      <c r="E550" s="74"/>
      <c r="F550" s="74"/>
      <c r="G550" s="74"/>
      <c r="H550" s="75"/>
      <c r="I550" s="76"/>
      <c r="J550" s="171"/>
      <c r="K550" s="76"/>
      <c r="L550" s="81"/>
    </row>
    <row r="551" spans="1:12">
      <c r="A551" s="72"/>
      <c r="B551" s="1264" t="s">
        <v>191</v>
      </c>
      <c r="C551" s="1264"/>
      <c r="D551" s="1264"/>
      <c r="E551" s="1264"/>
      <c r="F551" s="1264"/>
      <c r="G551" s="1264"/>
      <c r="H551" s="1265">
        <f>'4-22MASTER'!H466</f>
        <v>0</v>
      </c>
      <c r="I551" s="1266"/>
      <c r="J551" s="1266"/>
      <c r="K551" s="1266"/>
      <c r="L551" s="1105"/>
    </row>
    <row r="552" spans="1:12" ht="27.95" customHeight="1">
      <c r="A552" s="72"/>
      <c r="B552" s="1245"/>
      <c r="C552" s="1245"/>
      <c r="D552" s="1245"/>
      <c r="E552" s="1245"/>
      <c r="F552" s="1245"/>
      <c r="G552" s="1245"/>
      <c r="H552" s="1267">
        <f>'4-22MASTER'!I466</f>
        <v>0</v>
      </c>
      <c r="I552" s="1260"/>
      <c r="J552" s="1260"/>
      <c r="K552" s="1260"/>
      <c r="L552" s="1110"/>
    </row>
    <row r="553" spans="1:12" ht="27.95" customHeight="1">
      <c r="A553" s="11"/>
      <c r="B553" s="1245"/>
      <c r="C553" s="1245"/>
      <c r="D553" s="1245"/>
      <c r="E553" s="1245"/>
      <c r="F553" s="1245"/>
      <c r="G553" s="1245"/>
      <c r="H553" s="1268">
        <f>'4-22MASTER'!J466</f>
        <v>0</v>
      </c>
      <c r="I553" s="1260"/>
      <c r="J553" s="1260"/>
      <c r="K553" s="1260"/>
      <c r="L553" s="1110"/>
    </row>
    <row r="554" spans="1:12" ht="27.95" customHeight="1">
      <c r="A554" s="11"/>
      <c r="B554" s="73" t="s">
        <v>192</v>
      </c>
      <c r="C554" s="74"/>
      <c r="D554" s="74"/>
      <c r="E554" s="74"/>
      <c r="F554" s="74"/>
      <c r="G554" s="77"/>
      <c r="H554" s="1247">
        <f>'4-22MASTER'!K466</f>
        <v>0</v>
      </c>
      <c r="I554" s="1248"/>
      <c r="J554" s="1248"/>
      <c r="K554" s="1248"/>
      <c r="L554" s="1249"/>
    </row>
    <row r="555" spans="1:12" ht="27.95" customHeight="1">
      <c r="A555" s="11"/>
      <c r="B555" s="73"/>
      <c r="C555" s="74"/>
      <c r="D555" s="74"/>
      <c r="E555" s="74"/>
      <c r="F555" s="74"/>
      <c r="G555" s="77"/>
      <c r="H555" s="1247">
        <f>'4-22MASTER'!L466</f>
        <v>0</v>
      </c>
      <c r="I555" s="1248"/>
      <c r="J555" s="1248"/>
      <c r="K555" s="1248"/>
      <c r="L555" s="1249"/>
    </row>
    <row r="556" spans="1:12" ht="27.95" customHeight="1">
      <c r="A556" s="11"/>
      <c r="B556" s="73"/>
      <c r="C556" s="74"/>
      <c r="D556" s="74"/>
      <c r="E556" s="74"/>
      <c r="F556" s="74"/>
      <c r="G556" s="77"/>
      <c r="H556" s="1247">
        <f>'4-22MASTER'!M466</f>
        <v>0</v>
      </c>
      <c r="I556" s="1248"/>
      <c r="J556" s="1248"/>
      <c r="K556" s="1248"/>
      <c r="L556" s="1249"/>
    </row>
    <row r="557" spans="1:12" ht="27.95" customHeight="1">
      <c r="A557" s="11"/>
      <c r="B557" s="73" t="s">
        <v>199</v>
      </c>
      <c r="C557" s="74"/>
      <c r="D557" s="74"/>
      <c r="E557" s="74"/>
      <c r="F557" s="74"/>
      <c r="G557" s="77"/>
      <c r="H557" s="75"/>
      <c r="I557" s="76"/>
      <c r="J557" s="76"/>
      <c r="K557" s="76"/>
      <c r="L557" s="81"/>
    </row>
    <row r="558" spans="1:12" ht="27.95" customHeight="1">
      <c r="A558" s="11"/>
      <c r="B558" s="83" t="s">
        <v>200</v>
      </c>
      <c r="C558" s="152"/>
      <c r="D558" s="152"/>
      <c r="E558" s="152"/>
      <c r="F558" s="152"/>
      <c r="G558" s="153"/>
      <c r="H558" s="154"/>
      <c r="I558" s="155"/>
      <c r="J558" s="156"/>
      <c r="K558" s="155"/>
      <c r="L558" s="157"/>
    </row>
    <row r="559" spans="1:12" ht="27.95" customHeight="1">
      <c r="A559" s="11"/>
      <c r="B559" s="73" t="s">
        <v>203</v>
      </c>
      <c r="C559" s="74"/>
      <c r="D559" s="76"/>
      <c r="E559" s="164" t="s">
        <v>205</v>
      </c>
      <c r="F559" s="54"/>
      <c r="G559" s="1250" t="s">
        <v>204</v>
      </c>
      <c r="H559" s="1251"/>
      <c r="I559" s="168" t="s">
        <v>201</v>
      </c>
      <c r="J559" s="166" t="s">
        <v>206</v>
      </c>
      <c r="K559" s="1250" t="s">
        <v>202</v>
      </c>
      <c r="L559" s="1252"/>
    </row>
    <row r="560" spans="1:12" ht="27.95" customHeight="1">
      <c r="A560" s="11"/>
      <c r="B560" s="167">
        <v>1</v>
      </c>
      <c r="C560" s="74"/>
      <c r="D560" s="74"/>
      <c r="E560" s="170">
        <v>2</v>
      </c>
      <c r="F560" s="77"/>
      <c r="G560" s="170">
        <v>3</v>
      </c>
      <c r="H560" s="186"/>
      <c r="I560" s="186">
        <v>4</v>
      </c>
      <c r="J560" s="88">
        <v>5</v>
      </c>
      <c r="K560" s="79"/>
      <c r="L560" s="80">
        <v>6</v>
      </c>
    </row>
    <row r="561" spans="1:12" ht="27.95" customHeight="1">
      <c r="A561" s="11"/>
      <c r="B561" s="284">
        <f>'4-22MASTER'!F466</f>
        <v>0</v>
      </c>
      <c r="C561" s="182"/>
      <c r="D561" s="183"/>
      <c r="E561" s="185" t="s">
        <v>362</v>
      </c>
      <c r="F561" s="183"/>
      <c r="G561" s="185" t="s">
        <v>363</v>
      </c>
      <c r="H561" s="54"/>
      <c r="I561" s="9" t="s">
        <v>364</v>
      </c>
      <c r="J561" s="283">
        <v>1</v>
      </c>
      <c r="K561" s="1253" t="s">
        <v>37</v>
      </c>
      <c r="L561" s="1272"/>
    </row>
    <row r="562" spans="1:12" ht="27.95" customHeight="1">
      <c r="A562" s="11"/>
      <c r="B562" s="73"/>
      <c r="C562" s="182"/>
      <c r="D562" s="183"/>
      <c r="E562" s="184"/>
      <c r="F562" s="183"/>
      <c r="G562" s="184"/>
      <c r="H562" s="54"/>
      <c r="I562" s="9"/>
      <c r="J562" s="9"/>
      <c r="K562" s="185"/>
      <c r="L562" s="190"/>
    </row>
    <row r="563" spans="1:12" ht="27.95" customHeight="1">
      <c r="A563" s="11"/>
      <c r="B563" s="73"/>
      <c r="C563" s="182"/>
      <c r="D563" s="183"/>
      <c r="E563" s="184"/>
      <c r="F563" s="183"/>
      <c r="G563" s="184"/>
      <c r="H563" s="54"/>
      <c r="I563" s="9"/>
      <c r="J563" s="9"/>
      <c r="K563" s="185"/>
      <c r="L563" s="190"/>
    </row>
    <row r="564" spans="1:12" ht="27.95" customHeight="1">
      <c r="A564" s="11"/>
      <c r="B564" s="59"/>
      <c r="C564" s="13"/>
      <c r="D564" s="60"/>
      <c r="E564" s="184"/>
      <c r="F564" s="183"/>
      <c r="G564" s="184"/>
      <c r="H564" s="54"/>
      <c r="I564" s="9"/>
      <c r="J564" s="9"/>
      <c r="K564" s="185"/>
      <c r="L564" s="190"/>
    </row>
    <row r="565" spans="1:12" ht="27.95" customHeight="1">
      <c r="A565" s="11"/>
      <c r="B565" t="s">
        <v>207</v>
      </c>
      <c r="L565" s="12"/>
    </row>
    <row r="566" spans="1:12" ht="27.95" customHeight="1">
      <c r="A566" s="11"/>
      <c r="B566" t="s">
        <v>208</v>
      </c>
      <c r="L566" s="12"/>
    </row>
    <row r="567" spans="1:12" ht="27.95" customHeight="1">
      <c r="A567" s="11"/>
      <c r="B567" t="s">
        <v>209</v>
      </c>
      <c r="L567" s="12"/>
    </row>
    <row r="568" spans="1:12" ht="27.95" customHeight="1">
      <c r="A568" s="11"/>
      <c r="I568" t="s">
        <v>210</v>
      </c>
      <c r="L568" s="12"/>
    </row>
    <row r="569" spans="1:12" ht="27.95" customHeight="1">
      <c r="A569" s="11"/>
      <c r="F569" s="172" t="s">
        <v>193</v>
      </c>
      <c r="L569" s="12"/>
    </row>
    <row r="570" spans="1:12">
      <c r="A570" s="11" t="s">
        <v>194</v>
      </c>
      <c r="K570" s="222">
        <f>'4-22MASTER'!C466</f>
        <v>0</v>
      </c>
      <c r="L570" s="12"/>
    </row>
    <row r="571" spans="1:12">
      <c r="A571" s="11" t="s">
        <v>195</v>
      </c>
      <c r="L571" s="12"/>
    </row>
    <row r="572" spans="1:12">
      <c r="A572" s="11"/>
      <c r="L572" s="12"/>
    </row>
    <row r="573" spans="1:12">
      <c r="A573" s="11"/>
      <c r="L573" s="12"/>
    </row>
    <row r="574" spans="1:12">
      <c r="A574" s="11"/>
      <c r="F574" t="s">
        <v>196</v>
      </c>
      <c r="L574" s="12"/>
    </row>
    <row r="575" spans="1:12">
      <c r="A575" s="11" t="s">
        <v>197</v>
      </c>
      <c r="B575" t="s">
        <v>361</v>
      </c>
      <c r="F575">
        <f>'4-22MASTER'!AQ456</f>
        <v>0</v>
      </c>
      <c r="L575" s="12"/>
    </row>
    <row r="576" spans="1:12" ht="15" customHeight="1">
      <c r="A576" s="11" t="s">
        <v>198</v>
      </c>
      <c r="B576" s="282">
        <f>'4-22MASTER'!O466</f>
        <v>0</v>
      </c>
      <c r="F576">
        <f>'4-22MASTER'!AQ457</f>
        <v>0</v>
      </c>
      <c r="L576" s="12"/>
    </row>
    <row r="577" spans="1:12" ht="15.75" thickBot="1">
      <c r="A577" s="16"/>
      <c r="B577" s="14"/>
      <c r="C577" s="14"/>
      <c r="D577" s="14"/>
      <c r="E577" s="14"/>
      <c r="F577" s="14"/>
      <c r="G577" s="14"/>
      <c r="H577" s="14"/>
      <c r="I577" s="14"/>
      <c r="J577" s="14"/>
      <c r="K577" s="14"/>
      <c r="L577" s="15"/>
    </row>
    <row r="579" spans="1:12">
      <c r="B579" s="2"/>
      <c r="H579" s="2"/>
    </row>
    <row r="581" spans="1:12">
      <c r="B581" s="2"/>
      <c r="H581" s="2"/>
    </row>
    <row r="584" spans="1:12">
      <c r="B584" s="1258"/>
      <c r="C584" s="1258"/>
      <c r="D584" s="1258"/>
      <c r="E584" s="1258"/>
      <c r="F584" s="1258"/>
      <c r="H584" s="1258"/>
      <c r="I584" s="1258"/>
      <c r="J584" s="1258"/>
      <c r="K584" s="1258"/>
      <c r="L584" s="1258"/>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8"/>
      <c r="B591" s="1273"/>
      <c r="C591" s="1273"/>
      <c r="D591" s="1273"/>
      <c r="E591" s="1273"/>
      <c r="F591" s="1273"/>
      <c r="G591" s="1273"/>
      <c r="H591" s="1270"/>
      <c r="I591" s="1271"/>
      <c r="J591" s="1271"/>
      <c r="K591" s="1271"/>
      <c r="L591" s="1271"/>
    </row>
    <row r="592" spans="1:12" ht="27.95" customHeight="1">
      <c r="A592" s="8"/>
      <c r="B592" s="1257"/>
      <c r="C592" s="1257"/>
      <c r="D592" s="1257"/>
      <c r="E592" s="1257"/>
      <c r="F592" s="1257"/>
      <c r="G592" s="1257"/>
      <c r="H592" s="1270"/>
      <c r="I592" s="1271"/>
      <c r="J592" s="1271"/>
      <c r="K592" s="1271"/>
      <c r="L592" s="1271"/>
    </row>
    <row r="593" spans="1:12" ht="27.95" customHeight="1">
      <c r="A593" s="8"/>
      <c r="B593" s="1273"/>
      <c r="C593" s="1273"/>
      <c r="D593" s="1273"/>
      <c r="E593" s="1273"/>
      <c r="F593" s="1273"/>
      <c r="G593" s="1273"/>
      <c r="H593" s="1270"/>
      <c r="I593" s="1271"/>
      <c r="J593" s="1271"/>
      <c r="K593" s="1271"/>
      <c r="L593" s="1271"/>
    </row>
    <row r="594" spans="1:12" ht="27.95" customHeight="1">
      <c r="A594" s="8"/>
      <c r="B594" s="1273"/>
      <c r="C594" s="1273"/>
      <c r="D594" s="1273"/>
      <c r="E594" s="1273"/>
      <c r="F594" s="1273"/>
      <c r="G594" s="1273"/>
      <c r="H594" s="1274"/>
      <c r="I594" s="1271"/>
      <c r="J594" s="1271"/>
      <c r="K594" s="1271"/>
      <c r="L594" s="1271"/>
    </row>
    <row r="595" spans="1:12" ht="27.95" customHeight="1">
      <c r="A595" s="8"/>
      <c r="B595" s="173"/>
      <c r="C595" s="169"/>
      <c r="D595" s="169"/>
      <c r="E595" s="169"/>
      <c r="F595" s="169"/>
      <c r="G595" s="169"/>
      <c r="H595" s="158"/>
      <c r="I595" s="8"/>
      <c r="J595" s="242"/>
      <c r="K595" s="158"/>
      <c r="L595" s="158"/>
    </row>
    <row r="596" spans="1:12" ht="27.95" customHeight="1">
      <c r="A596" s="8"/>
      <c r="B596" s="173"/>
      <c r="C596" s="169"/>
      <c r="D596" s="169"/>
      <c r="E596" s="169"/>
      <c r="F596" s="169"/>
      <c r="G596" s="169"/>
      <c r="H596" s="158"/>
      <c r="I596" s="158"/>
      <c r="J596" s="242"/>
      <c r="K596" s="158"/>
      <c r="L596" s="158"/>
    </row>
    <row r="597" spans="1:12" ht="27.95" customHeight="1">
      <c r="A597" s="8"/>
      <c r="B597" s="1257"/>
      <c r="C597" s="1257"/>
      <c r="D597" s="1257"/>
      <c r="E597" s="1257"/>
      <c r="F597" s="1257"/>
      <c r="G597" s="1257"/>
      <c r="H597" s="1270"/>
      <c r="I597" s="1271"/>
      <c r="J597" s="1271"/>
      <c r="K597" s="1271"/>
      <c r="L597" s="1271"/>
    </row>
    <row r="598" spans="1:12" ht="27.95" customHeight="1">
      <c r="A598" s="8"/>
      <c r="B598" s="1273"/>
      <c r="C598" s="1273"/>
      <c r="D598" s="1273"/>
      <c r="E598" s="1273"/>
      <c r="F598" s="1273"/>
      <c r="G598" s="1273"/>
      <c r="H598" s="1276"/>
      <c r="I598" s="1271"/>
      <c r="J598" s="1271"/>
      <c r="K598" s="1271"/>
      <c r="L598" s="1271"/>
    </row>
    <row r="599" spans="1:12" ht="27.95" customHeight="1">
      <c r="B599" s="1273"/>
      <c r="C599" s="1273"/>
      <c r="D599" s="1273"/>
      <c r="E599" s="1273"/>
      <c r="F599" s="1273"/>
      <c r="G599" s="1273"/>
      <c r="H599" s="1271"/>
      <c r="I599" s="1271"/>
      <c r="J599" s="1271"/>
      <c r="K599" s="1271"/>
      <c r="L599" s="1271"/>
    </row>
    <row r="600" spans="1:12" ht="27.95" customHeight="1">
      <c r="B600" s="173"/>
      <c r="C600" s="169"/>
      <c r="D600" s="169"/>
      <c r="E600" s="169"/>
      <c r="F600" s="169"/>
      <c r="G600" s="169"/>
      <c r="H600" s="158"/>
      <c r="I600" s="158"/>
      <c r="J600" s="158"/>
      <c r="K600" s="158"/>
      <c r="L600" s="158"/>
    </row>
    <row r="601" spans="1:12" ht="27.95" customHeight="1">
      <c r="B601" s="173"/>
      <c r="C601" s="169"/>
      <c r="D601" s="169"/>
      <c r="E601" s="169"/>
      <c r="F601" s="169"/>
      <c r="G601" s="169"/>
      <c r="H601" s="158"/>
      <c r="I601" s="158"/>
      <c r="J601" s="158"/>
      <c r="K601" s="158"/>
      <c r="L601" s="158"/>
    </row>
    <row r="602" spans="1:12" ht="27.95" customHeight="1">
      <c r="B602" s="173"/>
      <c r="C602" s="169"/>
      <c r="D602" s="169"/>
      <c r="E602" s="169"/>
      <c r="F602" s="169"/>
      <c r="G602" s="169"/>
      <c r="H602" s="158"/>
      <c r="I602" s="158"/>
      <c r="J602" s="159"/>
      <c r="K602" s="158"/>
      <c r="L602" s="158"/>
    </row>
    <row r="603" spans="1:12" ht="27.95" customHeight="1">
      <c r="B603" s="173"/>
      <c r="C603" s="169"/>
      <c r="D603" s="169"/>
      <c r="E603" s="169"/>
      <c r="F603" s="169"/>
      <c r="G603" s="169"/>
      <c r="H603" s="158"/>
      <c r="I603" s="158"/>
      <c r="J603" s="158"/>
      <c r="K603" s="158"/>
      <c r="L603" s="158"/>
    </row>
    <row r="604" spans="1:12" ht="27.95" customHeight="1">
      <c r="B604" s="173"/>
      <c r="C604" s="169"/>
      <c r="D604" s="169"/>
      <c r="E604" s="169"/>
      <c r="F604" s="169"/>
      <c r="G604" s="169"/>
      <c r="H604" s="158"/>
      <c r="I604" s="158"/>
      <c r="J604" s="159"/>
      <c r="K604" s="158"/>
      <c r="L604" s="158"/>
    </row>
    <row r="605" spans="1:12" ht="27.95" customHeight="1">
      <c r="B605" s="173"/>
      <c r="C605" s="169"/>
      <c r="D605" s="158"/>
      <c r="E605" s="159"/>
      <c r="F605" s="158"/>
      <c r="G605" s="159"/>
      <c r="H605" s="158"/>
      <c r="I605" s="159"/>
      <c r="J605" s="158"/>
      <c r="K605" s="159"/>
      <c r="L605" s="159"/>
    </row>
    <row r="606" spans="1:12" ht="27.95" customHeight="1">
      <c r="B606" s="173"/>
      <c r="C606" s="169"/>
      <c r="D606" s="169"/>
      <c r="E606" s="169"/>
      <c r="F606" s="169"/>
      <c r="G606" s="169"/>
      <c r="H606" s="158"/>
      <c r="I606" s="158"/>
      <c r="J606" s="243"/>
      <c r="K606" s="158"/>
      <c r="L606" s="158"/>
    </row>
    <row r="607" spans="1:12" ht="27.95" customHeight="1">
      <c r="B607" s="173"/>
      <c r="C607" s="2"/>
      <c r="D607" s="2"/>
      <c r="E607" s="2"/>
      <c r="F607" s="2"/>
      <c r="G607" s="2"/>
    </row>
    <row r="608" spans="1:12" ht="27.95" customHeight="1">
      <c r="B608" s="173"/>
      <c r="C608" s="2"/>
      <c r="D608" s="2"/>
      <c r="E608" s="2"/>
      <c r="F608" s="2"/>
      <c r="G608" s="2"/>
    </row>
    <row r="611" spans="2:12" ht="32.25">
      <c r="B611" s="1277"/>
      <c r="C611" s="1278"/>
      <c r="D611" s="1278"/>
      <c r="E611" s="1278"/>
      <c r="F611" s="1278"/>
      <c r="G611" s="1278"/>
      <c r="H611" s="1278"/>
      <c r="I611" s="1278"/>
      <c r="J611" s="1278"/>
      <c r="K611" s="1278"/>
      <c r="L611" s="1278"/>
    </row>
    <row r="612" spans="2:12" ht="23.25">
      <c r="B612" s="1255"/>
      <c r="C612" s="1255"/>
      <c r="D612" s="1255"/>
      <c r="E612" s="1255"/>
      <c r="F612" s="1255"/>
      <c r="G612" s="1255"/>
      <c r="H612" s="1255"/>
      <c r="I612" s="1255"/>
      <c r="J612" s="1255"/>
      <c r="K612" s="1255"/>
      <c r="L612" s="1255"/>
    </row>
    <row r="613" spans="2:12" ht="15.75">
      <c r="B613" s="1275"/>
      <c r="C613" s="1275"/>
      <c r="D613" s="1275"/>
      <c r="E613" s="1275"/>
      <c r="F613" s="1275"/>
      <c r="G613" s="1275"/>
      <c r="H613" s="1275"/>
      <c r="I613" s="1275"/>
      <c r="J613" s="1275"/>
      <c r="K613" s="1275"/>
      <c r="L613" s="1275"/>
    </row>
    <row r="614" spans="2:12" ht="15" customHeight="1">
      <c r="B614" s="1256"/>
      <c r="C614" s="1256"/>
      <c r="D614" s="1256"/>
      <c r="E614" s="1256"/>
      <c r="F614" s="1256"/>
      <c r="H614" s="1257"/>
      <c r="I614" s="1257"/>
      <c r="J614" s="1257"/>
      <c r="K614" s="1257"/>
      <c r="L614" s="1257"/>
    </row>
    <row r="615" spans="2:12">
      <c r="B615" s="1256"/>
      <c r="C615" s="1256"/>
      <c r="D615" s="1256"/>
      <c r="E615" s="1256"/>
      <c r="F615" s="1256"/>
      <c r="H615" s="1257"/>
      <c r="I615" s="1257"/>
      <c r="J615" s="1257"/>
      <c r="K615" s="1257"/>
      <c r="L615" s="1257"/>
    </row>
    <row r="617" spans="2:12">
      <c r="B617" s="2"/>
      <c r="H617" s="2"/>
    </row>
    <row r="619" spans="2:12">
      <c r="B619" s="2"/>
      <c r="H619" s="2"/>
    </row>
    <row r="622" spans="2:12">
      <c r="B622" s="1258"/>
      <c r="C622" s="1258"/>
      <c r="D622" s="1258"/>
      <c r="E622" s="1258"/>
      <c r="F622" s="1258"/>
      <c r="H622" s="1258"/>
      <c r="I622" s="1258"/>
      <c r="J622" s="1258"/>
      <c r="K622" s="1258"/>
      <c r="L622" s="1258"/>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8"/>
      <c r="B629" s="1273"/>
      <c r="C629" s="1273"/>
      <c r="D629" s="1273"/>
      <c r="E629" s="1273"/>
      <c r="F629" s="1273"/>
      <c r="G629" s="1273"/>
      <c r="H629" s="1270"/>
      <c r="I629" s="1271"/>
      <c r="J629" s="1271"/>
      <c r="K629" s="1271"/>
      <c r="L629" s="1271"/>
    </row>
    <row r="630" spans="1:12" ht="27.95" customHeight="1">
      <c r="A630" s="8"/>
      <c r="B630" s="1257"/>
      <c r="C630" s="1257"/>
      <c r="D630" s="1257"/>
      <c r="E630" s="1257"/>
      <c r="F630" s="1257"/>
      <c r="G630" s="1257"/>
      <c r="H630" s="1270"/>
      <c r="I630" s="1271"/>
      <c r="J630" s="1271"/>
      <c r="K630" s="1271"/>
      <c r="L630" s="1271"/>
    </row>
    <row r="631" spans="1:12" ht="27.95" customHeight="1">
      <c r="A631" s="8"/>
      <c r="B631" s="1273"/>
      <c r="C631" s="1273"/>
      <c r="D631" s="1273"/>
      <c r="E631" s="1273"/>
      <c r="F631" s="1273"/>
      <c r="G631" s="1273"/>
      <c r="H631" s="1270"/>
      <c r="I631" s="1271"/>
      <c r="J631" s="1271"/>
      <c r="K631" s="1271"/>
      <c r="L631" s="1271"/>
    </row>
    <row r="632" spans="1:12" ht="27.95" customHeight="1">
      <c r="A632" s="8"/>
      <c r="B632" s="1273"/>
      <c r="C632" s="1273"/>
      <c r="D632" s="1273"/>
      <c r="E632" s="1273"/>
      <c r="F632" s="1273"/>
      <c r="G632" s="1273"/>
      <c r="H632" s="1274"/>
      <c r="I632" s="1271"/>
      <c r="J632" s="1271"/>
      <c r="K632" s="1271"/>
      <c r="L632" s="1271"/>
    </row>
    <row r="633" spans="1:12" ht="27.95" customHeight="1">
      <c r="A633" s="8"/>
      <c r="B633" s="173"/>
      <c r="C633" s="169"/>
      <c r="D633" s="169"/>
      <c r="E633" s="169"/>
      <c r="F633" s="169"/>
      <c r="G633" s="169"/>
      <c r="H633" s="158"/>
      <c r="I633" s="8"/>
      <c r="J633" s="242"/>
      <c r="K633" s="158"/>
      <c r="L633" s="158"/>
    </row>
    <row r="634" spans="1:12" ht="27.95" customHeight="1">
      <c r="A634" s="8"/>
      <c r="B634" s="173"/>
      <c r="C634" s="169"/>
      <c r="D634" s="169"/>
      <c r="E634" s="169"/>
      <c r="F634" s="169"/>
      <c r="G634" s="169"/>
      <c r="H634" s="158"/>
      <c r="I634" s="158"/>
      <c r="J634" s="242"/>
      <c r="K634" s="158"/>
      <c r="L634" s="158"/>
    </row>
    <row r="635" spans="1:12" ht="27.95" customHeight="1">
      <c r="A635" s="8"/>
      <c r="B635" s="1257"/>
      <c r="C635" s="1257"/>
      <c r="D635" s="1257"/>
      <c r="E635" s="1257"/>
      <c r="F635" s="1257"/>
      <c r="G635" s="1257"/>
      <c r="H635" s="1270"/>
      <c r="I635" s="1271"/>
      <c r="J635" s="1271"/>
      <c r="K635" s="1271"/>
      <c r="L635" s="1271"/>
    </row>
    <row r="636" spans="1:12" ht="27.95" customHeight="1">
      <c r="A636" s="8"/>
      <c r="B636" s="1273"/>
      <c r="C636" s="1273"/>
      <c r="D636" s="1273"/>
      <c r="E636" s="1273"/>
      <c r="F636" s="1273"/>
      <c r="G636" s="1273"/>
      <c r="H636" s="1276"/>
      <c r="I636" s="1271"/>
      <c r="J636" s="1271"/>
      <c r="K636" s="1271"/>
      <c r="L636" s="1271"/>
    </row>
    <row r="637" spans="1:12" ht="27.95" customHeight="1">
      <c r="B637" s="1273"/>
      <c r="C637" s="1273"/>
      <c r="D637" s="1273"/>
      <c r="E637" s="1273"/>
      <c r="F637" s="1273"/>
      <c r="G637" s="1273"/>
      <c r="H637" s="1271"/>
      <c r="I637" s="1271"/>
      <c r="J637" s="1271"/>
      <c r="K637" s="1271"/>
      <c r="L637" s="1271"/>
    </row>
    <row r="638" spans="1:12" ht="27.95" customHeight="1">
      <c r="B638" s="173"/>
      <c r="C638" s="169"/>
      <c r="D638" s="169"/>
      <c r="E638" s="169"/>
      <c r="F638" s="169"/>
      <c r="G638" s="169"/>
      <c r="H638" s="158"/>
      <c r="I638" s="158"/>
      <c r="J638" s="158"/>
      <c r="K638" s="158"/>
      <c r="L638" s="158"/>
    </row>
    <row r="639" spans="1:12" ht="27.95" customHeight="1">
      <c r="B639" s="173"/>
      <c r="C639" s="169"/>
      <c r="D639" s="169"/>
      <c r="E639" s="169"/>
      <c r="F639" s="169"/>
      <c r="G639" s="169"/>
      <c r="H639" s="158"/>
      <c r="I639" s="158"/>
      <c r="J639" s="158"/>
      <c r="K639" s="158"/>
      <c r="L639" s="158"/>
    </row>
    <row r="640" spans="1:12" ht="27.95" customHeight="1">
      <c r="B640" s="173"/>
      <c r="C640" s="169"/>
      <c r="D640" s="169"/>
      <c r="E640" s="169"/>
      <c r="F640" s="169"/>
      <c r="G640" s="169"/>
      <c r="H640" s="158"/>
      <c r="I640" s="158"/>
      <c r="J640" s="159"/>
      <c r="K640" s="158"/>
      <c r="L640" s="158"/>
    </row>
    <row r="641" spans="2:12" ht="27.95" customHeight="1">
      <c r="B641" s="173"/>
      <c r="C641" s="169"/>
      <c r="D641" s="169"/>
      <c r="E641" s="169"/>
      <c r="F641" s="169"/>
      <c r="G641" s="169"/>
      <c r="H641" s="158"/>
      <c r="I641" s="158"/>
      <c r="J641" s="158"/>
      <c r="K641" s="158"/>
      <c r="L641" s="158"/>
    </row>
    <row r="642" spans="2:12" ht="27.95" customHeight="1">
      <c r="B642" s="173"/>
      <c r="C642" s="169"/>
      <c r="D642" s="169"/>
      <c r="E642" s="169"/>
      <c r="F642" s="169"/>
      <c r="G642" s="169"/>
      <c r="H642" s="158"/>
      <c r="I642" s="158"/>
      <c r="J642" s="159"/>
      <c r="K642" s="158"/>
      <c r="L642" s="158"/>
    </row>
    <row r="643" spans="2:12" ht="27.95" customHeight="1">
      <c r="B643" s="173"/>
      <c r="C643" s="169"/>
      <c r="D643" s="158"/>
      <c r="E643" s="159"/>
      <c r="F643" s="158"/>
      <c r="G643" s="159"/>
      <c r="H643" s="158"/>
      <c r="I643" s="159"/>
      <c r="J643" s="158"/>
      <c r="K643" s="159"/>
      <c r="L643" s="159"/>
    </row>
    <row r="644" spans="2:12" ht="27.95" customHeight="1">
      <c r="B644" s="173"/>
      <c r="C644" s="169"/>
      <c r="D644" s="169"/>
      <c r="E644" s="169"/>
      <c r="F644" s="169"/>
      <c r="G644" s="169"/>
      <c r="H644" s="158"/>
      <c r="I644" s="158"/>
      <c r="J644" s="243"/>
      <c r="K644" s="158"/>
      <c r="L644" s="158"/>
    </row>
    <row r="645" spans="2:12" ht="27.95" customHeight="1">
      <c r="B645" s="173"/>
      <c r="C645" s="2"/>
      <c r="D645" s="2"/>
      <c r="E645" s="2"/>
      <c r="F645" s="2"/>
      <c r="G645" s="2"/>
    </row>
    <row r="646" spans="2:12" ht="27.95" customHeight="1">
      <c r="B646" s="173"/>
      <c r="C646" s="2"/>
      <c r="D646" s="2"/>
      <c r="E646" s="2"/>
      <c r="F646" s="2"/>
      <c r="G646" s="2"/>
    </row>
    <row r="650" spans="2:12" ht="32.25">
      <c r="B650" s="1277"/>
      <c r="C650" s="1278"/>
      <c r="D650" s="1278"/>
      <c r="E650" s="1278"/>
      <c r="F650" s="1278"/>
      <c r="G650" s="1278"/>
      <c r="H650" s="1278"/>
      <c r="I650" s="1278"/>
      <c r="J650" s="1278"/>
      <c r="K650" s="1278"/>
      <c r="L650" s="1278"/>
    </row>
    <row r="651" spans="2:12" ht="23.25">
      <c r="B651" s="1255"/>
      <c r="C651" s="1255"/>
      <c r="D651" s="1255"/>
      <c r="E651" s="1255"/>
      <c r="F651" s="1255"/>
      <c r="G651" s="1255"/>
      <c r="H651" s="1255"/>
      <c r="I651" s="1255"/>
      <c r="J651" s="1255"/>
      <c r="K651" s="1255"/>
      <c r="L651" s="1255"/>
    </row>
    <row r="652" spans="2:12" ht="15.75">
      <c r="B652" s="1275"/>
      <c r="C652" s="1275"/>
      <c r="D652" s="1275"/>
      <c r="E652" s="1275"/>
      <c r="F652" s="1275"/>
      <c r="G652" s="1275"/>
      <c r="H652" s="1275"/>
      <c r="I652" s="1275"/>
      <c r="J652" s="1275"/>
      <c r="K652" s="1275"/>
      <c r="L652" s="1275"/>
    </row>
    <row r="653" spans="2:12" ht="15" customHeight="1">
      <c r="B653" s="1256"/>
      <c r="C653" s="1256"/>
      <c r="D653" s="1256"/>
      <c r="E653" s="1256"/>
      <c r="F653" s="1256"/>
      <c r="H653" s="1257"/>
      <c r="I653" s="1257"/>
      <c r="J653" s="1257"/>
      <c r="K653" s="1257"/>
      <c r="L653" s="1257"/>
    </row>
    <row r="654" spans="2:12">
      <c r="B654" s="1256"/>
      <c r="C654" s="1256"/>
      <c r="D654" s="1256"/>
      <c r="E654" s="1256"/>
      <c r="F654" s="1256"/>
      <c r="H654" s="1257"/>
      <c r="I654" s="1257"/>
      <c r="J654" s="1257"/>
      <c r="K654" s="1257"/>
      <c r="L654" s="1257"/>
    </row>
    <row r="656" spans="2:12">
      <c r="B656" s="2"/>
      <c r="H656" s="2"/>
    </row>
    <row r="658" spans="1:12">
      <c r="B658" s="2"/>
      <c r="H658" s="2"/>
    </row>
    <row r="661" spans="1:12">
      <c r="B661" s="1258"/>
      <c r="C661" s="1258"/>
      <c r="D661" s="1258"/>
      <c r="E661" s="1258"/>
      <c r="F661" s="1258"/>
      <c r="H661" s="1258"/>
      <c r="I661" s="1258"/>
      <c r="J661" s="1258"/>
      <c r="K661" s="1258"/>
      <c r="L661" s="1258"/>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8"/>
      <c r="B668" s="1273"/>
      <c r="C668" s="1273"/>
      <c r="D668" s="1273"/>
      <c r="E668" s="1273"/>
      <c r="F668" s="1273"/>
      <c r="G668" s="1273"/>
      <c r="H668" s="1270"/>
      <c r="I668" s="1271"/>
      <c r="J668" s="1271"/>
      <c r="K668" s="1271"/>
      <c r="L668" s="1271"/>
    </row>
    <row r="669" spans="1:12" ht="27.95" customHeight="1">
      <c r="A669" s="8"/>
      <c r="B669" s="1257"/>
      <c r="C669" s="1257"/>
      <c r="D669" s="1257"/>
      <c r="E669" s="1257"/>
      <c r="F669" s="1257"/>
      <c r="G669" s="1257"/>
      <c r="H669" s="1270"/>
      <c r="I669" s="1271"/>
      <c r="J669" s="1271"/>
      <c r="K669" s="1271"/>
      <c r="L669" s="1271"/>
    </row>
    <row r="670" spans="1:12" ht="27.95" customHeight="1">
      <c r="A670" s="8"/>
      <c r="B670" s="1273"/>
      <c r="C670" s="1273"/>
      <c r="D670" s="1273"/>
      <c r="E670" s="1273"/>
      <c r="F670" s="1273"/>
      <c r="G670" s="1273"/>
      <c r="H670" s="1270"/>
      <c r="I670" s="1271"/>
      <c r="J670" s="1271"/>
      <c r="K670" s="1271"/>
      <c r="L670" s="1271"/>
    </row>
    <row r="671" spans="1:12" ht="27.95" customHeight="1">
      <c r="A671" s="8"/>
      <c r="B671" s="1273"/>
      <c r="C671" s="1273"/>
      <c r="D671" s="1273"/>
      <c r="E671" s="1273"/>
      <c r="F671" s="1273"/>
      <c r="G671" s="1273"/>
      <c r="H671" s="1274"/>
      <c r="I671" s="1271"/>
      <c r="J671" s="1271"/>
      <c r="K671" s="1271"/>
      <c r="L671" s="1271"/>
    </row>
    <row r="672" spans="1:12" ht="27.95" customHeight="1">
      <c r="A672" s="8"/>
      <c r="B672" s="173"/>
      <c r="C672" s="169"/>
      <c r="D672" s="169"/>
      <c r="E672" s="169"/>
      <c r="F672" s="169"/>
      <c r="G672" s="169"/>
      <c r="H672" s="158"/>
      <c r="I672" s="8"/>
      <c r="J672" s="242"/>
      <c r="K672" s="158"/>
      <c r="L672" s="158"/>
    </row>
    <row r="673" spans="1:12" ht="27.95" customHeight="1">
      <c r="A673" s="8"/>
      <c r="B673" s="173"/>
      <c r="C673" s="169"/>
      <c r="D673" s="169"/>
      <c r="E673" s="169"/>
      <c r="F673" s="169"/>
      <c r="G673" s="169"/>
      <c r="H673" s="158"/>
      <c r="I673" s="158"/>
      <c r="J673" s="242"/>
      <c r="K673" s="158"/>
      <c r="L673" s="158"/>
    </row>
    <row r="674" spans="1:12" ht="27.95" customHeight="1">
      <c r="A674" s="8"/>
      <c r="B674" s="1257"/>
      <c r="C674" s="1257"/>
      <c r="D674" s="1257"/>
      <c r="E674" s="1257"/>
      <c r="F674" s="1257"/>
      <c r="G674" s="1257"/>
      <c r="H674" s="1270"/>
      <c r="I674" s="1271"/>
      <c r="J674" s="1271"/>
      <c r="K674" s="1271"/>
      <c r="L674" s="1271"/>
    </row>
    <row r="675" spans="1:12" ht="27.95" customHeight="1">
      <c r="A675" s="8"/>
      <c r="B675" s="1273"/>
      <c r="C675" s="1273"/>
      <c r="D675" s="1273"/>
      <c r="E675" s="1273"/>
      <c r="F675" s="1273"/>
      <c r="G675" s="1273"/>
      <c r="H675" s="1276"/>
      <c r="I675" s="1271"/>
      <c r="J675" s="1271"/>
      <c r="K675" s="1271"/>
      <c r="L675" s="1271"/>
    </row>
    <row r="676" spans="1:12" ht="27.95" customHeight="1">
      <c r="B676" s="1273"/>
      <c r="C676" s="1273"/>
      <c r="D676" s="1273"/>
      <c r="E676" s="1273"/>
      <c r="F676" s="1273"/>
      <c r="G676" s="1273"/>
      <c r="H676" s="1271"/>
      <c r="I676" s="1271"/>
      <c r="J676" s="1271"/>
      <c r="K676" s="1271"/>
      <c r="L676" s="1271"/>
    </row>
    <row r="677" spans="1:12" ht="27.95" customHeight="1">
      <c r="B677" s="173"/>
      <c r="C677" s="169"/>
      <c r="D677" s="169"/>
      <c r="E677" s="169"/>
      <c r="F677" s="169"/>
      <c r="G677" s="169"/>
      <c r="H677" s="158"/>
      <c r="I677" s="158"/>
      <c r="J677" s="158"/>
      <c r="K677" s="158"/>
      <c r="L677" s="158"/>
    </row>
    <row r="678" spans="1:12" ht="27.95" customHeight="1">
      <c r="B678" s="173"/>
      <c r="C678" s="169"/>
      <c r="D678" s="169"/>
      <c r="E678" s="169"/>
      <c r="F678" s="169"/>
      <c r="G678" s="169"/>
      <c r="H678" s="158"/>
      <c r="I678" s="158"/>
      <c r="J678" s="158"/>
      <c r="K678" s="158"/>
      <c r="L678" s="158"/>
    </row>
    <row r="679" spans="1:12" ht="27.95" customHeight="1">
      <c r="B679" s="173"/>
      <c r="C679" s="169"/>
      <c r="D679" s="169"/>
      <c r="E679" s="169"/>
      <c r="F679" s="169"/>
      <c r="G679" s="169"/>
      <c r="H679" s="158"/>
      <c r="I679" s="158"/>
      <c r="J679" s="159"/>
      <c r="K679" s="158"/>
      <c r="L679" s="158"/>
    </row>
    <row r="680" spans="1:12" ht="27.95" customHeight="1">
      <c r="B680" s="173"/>
      <c r="C680" s="169"/>
      <c r="D680" s="169"/>
      <c r="E680" s="169"/>
      <c r="F680" s="169"/>
      <c r="G680" s="169"/>
      <c r="H680" s="158"/>
      <c r="I680" s="158"/>
      <c r="J680" s="158"/>
      <c r="K680" s="158"/>
      <c r="L680" s="158"/>
    </row>
    <row r="681" spans="1:12" ht="27.95" customHeight="1">
      <c r="B681" s="173"/>
      <c r="C681" s="169"/>
      <c r="D681" s="169"/>
      <c r="E681" s="169"/>
      <c r="F681" s="169"/>
      <c r="G681" s="169"/>
      <c r="H681" s="158"/>
      <c r="I681" s="158"/>
      <c r="J681" s="159"/>
      <c r="K681" s="158"/>
      <c r="L681" s="158"/>
    </row>
    <row r="682" spans="1:12" ht="27.95" customHeight="1">
      <c r="B682" s="173"/>
      <c r="C682" s="169"/>
      <c r="D682" s="158"/>
      <c r="E682" s="159"/>
      <c r="F682" s="158"/>
      <c r="G682" s="159"/>
      <c r="H682" s="158"/>
      <c r="I682" s="159"/>
      <c r="J682" s="158"/>
      <c r="K682" s="159"/>
      <c r="L682" s="159"/>
    </row>
    <row r="683" spans="1:12" ht="27.95" customHeight="1">
      <c r="B683" s="173"/>
      <c r="C683" s="169"/>
      <c r="D683" s="169"/>
      <c r="E683" s="169"/>
      <c r="F683" s="169"/>
      <c r="G683" s="169"/>
      <c r="H683" s="158"/>
      <c r="I683" s="158"/>
      <c r="J683" s="243"/>
      <c r="K683" s="158"/>
      <c r="L683" s="158"/>
    </row>
    <row r="684" spans="1:12" ht="27.95" customHeight="1">
      <c r="B684" s="173"/>
      <c r="C684" s="2"/>
      <c r="D684" s="2"/>
      <c r="E684" s="2"/>
      <c r="F684" s="2"/>
      <c r="G684" s="2"/>
    </row>
    <row r="685" spans="1:12" ht="27.95" customHeight="1">
      <c r="B685" s="173"/>
      <c r="C685" s="2"/>
      <c r="D685" s="2"/>
      <c r="E685" s="2"/>
      <c r="F685" s="2"/>
      <c r="G685" s="2"/>
    </row>
    <row r="689" spans="2:12" ht="32.25">
      <c r="B689" s="1277"/>
      <c r="C689" s="1278"/>
      <c r="D689" s="1278"/>
      <c r="E689" s="1278"/>
      <c r="F689" s="1278"/>
      <c r="G689" s="1278"/>
      <c r="H689" s="1278"/>
      <c r="I689" s="1278"/>
      <c r="J689" s="1278"/>
      <c r="K689" s="1278"/>
      <c r="L689" s="1278"/>
    </row>
    <row r="690" spans="2:12" ht="23.25">
      <c r="B690" s="1255"/>
      <c r="C690" s="1255"/>
      <c r="D690" s="1255"/>
      <c r="E690" s="1255"/>
      <c r="F690" s="1255"/>
      <c r="G690" s="1255"/>
      <c r="H690" s="1255"/>
      <c r="I690" s="1255"/>
      <c r="J690" s="1255"/>
      <c r="K690" s="1255"/>
      <c r="L690" s="1255"/>
    </row>
    <row r="691" spans="2:12" ht="15.75">
      <c r="B691" s="1275"/>
      <c r="C691" s="1275"/>
      <c r="D691" s="1275"/>
      <c r="E691" s="1275"/>
      <c r="F691" s="1275"/>
      <c r="G691" s="1275"/>
      <c r="H691" s="1275"/>
      <c r="I691" s="1275"/>
      <c r="J691" s="1275"/>
      <c r="K691" s="1275"/>
      <c r="L691" s="1275"/>
    </row>
    <row r="692" spans="2:12" ht="15" customHeight="1">
      <c r="B692" s="1256"/>
      <c r="C692" s="1256"/>
      <c r="D692" s="1256"/>
      <c r="E692" s="1256"/>
      <c r="F692" s="1256"/>
      <c r="H692" s="1257"/>
      <c r="I692" s="1257"/>
      <c r="J692" s="1257"/>
      <c r="K692" s="1257"/>
      <c r="L692" s="1257"/>
    </row>
    <row r="693" spans="2:12">
      <c r="B693" s="1256"/>
      <c r="C693" s="1256"/>
      <c r="D693" s="1256"/>
      <c r="E693" s="1256"/>
      <c r="F693" s="1256"/>
      <c r="H693" s="1257"/>
      <c r="I693" s="1257"/>
      <c r="J693" s="1257"/>
      <c r="K693" s="1257"/>
      <c r="L693" s="1257"/>
    </row>
    <row r="695" spans="2:12">
      <c r="B695" s="2"/>
      <c r="H695" s="2"/>
    </row>
    <row r="697" spans="2:12">
      <c r="B697" s="2"/>
      <c r="H697" s="2"/>
    </row>
    <row r="700" spans="2:12">
      <c r="B700" s="1258"/>
      <c r="C700" s="1258"/>
      <c r="D700" s="1258"/>
      <c r="E700" s="1258"/>
      <c r="F700" s="1258"/>
      <c r="H700" s="1258"/>
      <c r="I700" s="1258"/>
      <c r="J700" s="1258"/>
      <c r="K700" s="1258"/>
      <c r="L700" s="1258"/>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8"/>
      <c r="B707" s="1273"/>
      <c r="C707" s="1273"/>
      <c r="D707" s="1273"/>
      <c r="E707" s="1273"/>
      <c r="F707" s="1273"/>
      <c r="G707" s="1273"/>
      <c r="H707" s="1270"/>
      <c r="I707" s="1271"/>
      <c r="J707" s="1271"/>
      <c r="K707" s="1271"/>
      <c r="L707" s="1271"/>
    </row>
    <row r="708" spans="1:12" ht="27.95" customHeight="1">
      <c r="A708" s="8"/>
      <c r="B708" s="1257"/>
      <c r="C708" s="1257"/>
      <c r="D708" s="1257"/>
      <c r="E708" s="1257"/>
      <c r="F708" s="1257"/>
      <c r="G708" s="1257"/>
      <c r="H708" s="1270"/>
      <c r="I708" s="1271"/>
      <c r="J708" s="1271"/>
      <c r="K708" s="1271"/>
      <c r="L708" s="1271"/>
    </row>
    <row r="709" spans="1:12" ht="27.95" customHeight="1">
      <c r="A709" s="8"/>
      <c r="B709" s="1273"/>
      <c r="C709" s="1273"/>
      <c r="D709" s="1273"/>
      <c r="E709" s="1273"/>
      <c r="F709" s="1273"/>
      <c r="G709" s="1273"/>
      <c r="H709" s="1270"/>
      <c r="I709" s="1271"/>
      <c r="J709" s="1271"/>
      <c r="K709" s="1271"/>
      <c r="L709" s="1271"/>
    </row>
    <row r="710" spans="1:12" ht="27.95" customHeight="1">
      <c r="A710" s="8"/>
      <c r="B710" s="1273"/>
      <c r="C710" s="1273"/>
      <c r="D710" s="1273"/>
      <c r="E710" s="1273"/>
      <c r="F710" s="1273"/>
      <c r="G710" s="1273"/>
      <c r="H710" s="1274"/>
      <c r="I710" s="1271"/>
      <c r="J710" s="1271"/>
      <c r="K710" s="1271"/>
      <c r="L710" s="1271"/>
    </row>
    <row r="711" spans="1:12" ht="27.95" customHeight="1">
      <c r="A711" s="8"/>
      <c r="B711" s="173"/>
      <c r="C711" s="169"/>
      <c r="D711" s="169"/>
      <c r="E711" s="169"/>
      <c r="F711" s="169"/>
      <c r="G711" s="169"/>
      <c r="H711" s="158"/>
      <c r="I711" s="8"/>
      <c r="J711" s="242"/>
      <c r="K711" s="158"/>
      <c r="L711" s="158"/>
    </row>
    <row r="712" spans="1:12" ht="27.95" customHeight="1">
      <c r="A712" s="8"/>
      <c r="B712" s="173"/>
      <c r="C712" s="169"/>
      <c r="D712" s="169"/>
      <c r="E712" s="169"/>
      <c r="F712" s="169"/>
      <c r="G712" s="169"/>
      <c r="H712" s="158"/>
      <c r="I712" s="158"/>
      <c r="J712" s="242"/>
      <c r="K712" s="158"/>
      <c r="L712" s="158"/>
    </row>
    <row r="713" spans="1:12" ht="27.95" customHeight="1">
      <c r="A713" s="8"/>
      <c r="B713" s="1257"/>
      <c r="C713" s="1257"/>
      <c r="D713" s="1257"/>
      <c r="E713" s="1257"/>
      <c r="F713" s="1257"/>
      <c r="G713" s="1257"/>
      <c r="H713" s="1270"/>
      <c r="I713" s="1271"/>
      <c r="J713" s="1271"/>
      <c r="K713" s="1271"/>
      <c r="L713" s="1271"/>
    </row>
    <row r="714" spans="1:12" ht="27.95" customHeight="1">
      <c r="A714" s="8"/>
      <c r="B714" s="1273"/>
      <c r="C714" s="1273"/>
      <c r="D714" s="1273"/>
      <c r="E714" s="1273"/>
      <c r="F714" s="1273"/>
      <c r="G714" s="1273"/>
      <c r="H714" s="1276"/>
      <c r="I714" s="1271"/>
      <c r="J714" s="1271"/>
      <c r="K714" s="1271"/>
      <c r="L714" s="1271"/>
    </row>
    <row r="715" spans="1:12" ht="27.95" customHeight="1">
      <c r="B715" s="1273"/>
      <c r="C715" s="1273"/>
      <c r="D715" s="1273"/>
      <c r="E715" s="1273"/>
      <c r="F715" s="1273"/>
      <c r="G715" s="1273"/>
      <c r="H715" s="1271"/>
      <c r="I715" s="1271"/>
      <c r="J715" s="1271"/>
      <c r="K715" s="1271"/>
      <c r="L715" s="1271"/>
    </row>
    <row r="716" spans="1:12" ht="27.95" customHeight="1">
      <c r="B716" s="173"/>
      <c r="C716" s="169"/>
      <c r="D716" s="169"/>
      <c r="E716" s="169"/>
      <c r="F716" s="169"/>
      <c r="G716" s="169"/>
      <c r="H716" s="158"/>
      <c r="I716" s="158"/>
      <c r="J716" s="158"/>
      <c r="K716" s="158"/>
      <c r="L716" s="158"/>
    </row>
    <row r="717" spans="1:12" ht="27.95" customHeight="1">
      <c r="B717" s="173"/>
      <c r="C717" s="169"/>
      <c r="D717" s="169"/>
      <c r="E717" s="169"/>
      <c r="F717" s="169"/>
      <c r="G717" s="169"/>
      <c r="H717" s="158"/>
      <c r="I717" s="158"/>
      <c r="J717" s="158"/>
      <c r="K717" s="158"/>
      <c r="L717" s="158"/>
    </row>
    <row r="718" spans="1:12" ht="27.95" customHeight="1">
      <c r="B718" s="173"/>
      <c r="C718" s="169"/>
      <c r="D718" s="169"/>
      <c r="E718" s="169"/>
      <c r="F718" s="169"/>
      <c r="G718" s="169"/>
      <c r="H718" s="158"/>
      <c r="I718" s="158"/>
      <c r="J718" s="159"/>
      <c r="K718" s="158"/>
      <c r="L718" s="158"/>
    </row>
    <row r="719" spans="1:12" ht="27.95" customHeight="1">
      <c r="B719" s="173"/>
      <c r="C719" s="169"/>
      <c r="D719" s="169"/>
      <c r="E719" s="169"/>
      <c r="F719" s="169"/>
      <c r="G719" s="169"/>
      <c r="H719" s="158"/>
      <c r="I719" s="158"/>
      <c r="J719" s="158"/>
      <c r="K719" s="158"/>
      <c r="L719" s="158"/>
    </row>
    <row r="720" spans="1:12" ht="27.95" customHeight="1">
      <c r="B720" s="173"/>
      <c r="C720" s="169"/>
      <c r="D720" s="169"/>
      <c r="E720" s="169"/>
      <c r="F720" s="169"/>
      <c r="G720" s="169"/>
      <c r="H720" s="158"/>
      <c r="I720" s="158"/>
      <c r="J720" s="159"/>
      <c r="K720" s="158"/>
      <c r="L720" s="158"/>
    </row>
    <row r="721" spans="2:12" ht="27.95" customHeight="1">
      <c r="B721" s="173"/>
      <c r="C721" s="169"/>
      <c r="D721" s="158"/>
      <c r="E721" s="159"/>
      <c r="F721" s="158"/>
      <c r="G721" s="159"/>
      <c r="H721" s="158"/>
      <c r="I721" s="159"/>
      <c r="J721" s="158"/>
      <c r="K721" s="159"/>
      <c r="L721" s="159"/>
    </row>
    <row r="722" spans="2:12" ht="27.95" customHeight="1">
      <c r="B722" s="173"/>
      <c r="C722" s="169"/>
      <c r="D722" s="169"/>
      <c r="E722" s="169"/>
      <c r="F722" s="169"/>
      <c r="G722" s="169"/>
      <c r="H722" s="158"/>
      <c r="I722" s="158"/>
      <c r="J722" s="243"/>
      <c r="K722" s="158"/>
      <c r="L722" s="158"/>
    </row>
    <row r="723" spans="2:12" ht="27.95" customHeight="1">
      <c r="B723" s="173"/>
      <c r="C723" s="2"/>
      <c r="D723" s="2"/>
      <c r="E723" s="2"/>
      <c r="F723" s="2"/>
      <c r="G723" s="2"/>
    </row>
    <row r="724" spans="2:12" ht="27.95" customHeight="1">
      <c r="B724" s="173"/>
      <c r="C724" s="2"/>
      <c r="D724" s="2"/>
      <c r="E724" s="2"/>
      <c r="F724" s="2"/>
      <c r="G724" s="2"/>
    </row>
    <row r="728" spans="2:12" ht="32.25">
      <c r="B728" s="1277"/>
      <c r="C728" s="1278"/>
      <c r="D728" s="1278"/>
      <c r="E728" s="1278"/>
      <c r="F728" s="1278"/>
      <c r="G728" s="1278"/>
      <c r="H728" s="1278"/>
      <c r="I728" s="1278"/>
      <c r="J728" s="1278"/>
      <c r="K728" s="1278"/>
      <c r="L728" s="1278"/>
    </row>
    <row r="729" spans="2:12" ht="23.25">
      <c r="B729" s="1255"/>
      <c r="C729" s="1255"/>
      <c r="D729" s="1255"/>
      <c r="E729" s="1255"/>
      <c r="F729" s="1255"/>
      <c r="G729" s="1255"/>
      <c r="H729" s="1255"/>
      <c r="I729" s="1255"/>
      <c r="J729" s="1255"/>
      <c r="K729" s="1255"/>
      <c r="L729" s="1255"/>
    </row>
    <row r="730" spans="2:12" ht="15.75">
      <c r="B730" s="1275"/>
      <c r="C730" s="1275"/>
      <c r="D730" s="1275"/>
      <c r="E730" s="1275"/>
      <c r="F730" s="1275"/>
      <c r="G730" s="1275"/>
      <c r="H730" s="1275"/>
      <c r="I730" s="1275"/>
      <c r="J730" s="1275"/>
      <c r="K730" s="1275"/>
      <c r="L730" s="1275"/>
    </row>
    <row r="731" spans="2:12" ht="15" customHeight="1">
      <c r="B731" s="1256"/>
      <c r="C731" s="1256"/>
      <c r="D731" s="1256"/>
      <c r="E731" s="1256"/>
      <c r="F731" s="1256"/>
      <c r="H731" s="1257"/>
      <c r="I731" s="1257"/>
      <c r="J731" s="1257"/>
      <c r="K731" s="1257"/>
      <c r="L731" s="1257"/>
    </row>
    <row r="732" spans="2:12">
      <c r="B732" s="1256"/>
      <c r="C732" s="1256"/>
      <c r="D732" s="1256"/>
      <c r="E732" s="1256"/>
      <c r="F732" s="1256"/>
      <c r="H732" s="1257"/>
      <c r="I732" s="1257"/>
      <c r="J732" s="1257"/>
      <c r="K732" s="1257"/>
      <c r="L732" s="1257"/>
    </row>
    <row r="734" spans="2:12">
      <c r="B734" s="2"/>
      <c r="H734" s="2"/>
    </row>
    <row r="736" spans="2:12">
      <c r="B736" s="2"/>
      <c r="H736" s="2"/>
    </row>
    <row r="737" spans="1:12" ht="15" customHeight="1"/>
    <row r="739" spans="1:12">
      <c r="B739" s="1258"/>
      <c r="C739" s="1258"/>
      <c r="D739" s="1258"/>
      <c r="E739" s="1258"/>
      <c r="F739" s="1258"/>
      <c r="H739" s="1258"/>
      <c r="I739" s="1258"/>
      <c r="J739" s="1258"/>
      <c r="K739" s="1258"/>
      <c r="L739" s="1258"/>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8"/>
      <c r="B746" s="1273"/>
      <c r="C746" s="1273"/>
      <c r="D746" s="1273"/>
      <c r="E746" s="1273"/>
      <c r="F746" s="1273"/>
      <c r="G746" s="1273"/>
      <c r="H746" s="1270"/>
      <c r="I746" s="1271"/>
      <c r="J746" s="1271"/>
      <c r="K746" s="1271"/>
      <c r="L746" s="1271"/>
    </row>
    <row r="747" spans="1:12" ht="27.95" customHeight="1">
      <c r="A747" s="8"/>
      <c r="B747" s="1257"/>
      <c r="C747" s="1257"/>
      <c r="D747" s="1257"/>
      <c r="E747" s="1257"/>
      <c r="F747" s="1257"/>
      <c r="G747" s="1257"/>
      <c r="H747" s="1270"/>
      <c r="I747" s="1271"/>
      <c r="J747" s="1271"/>
      <c r="K747" s="1271"/>
      <c r="L747" s="1271"/>
    </row>
    <row r="748" spans="1:12" ht="27.95" customHeight="1">
      <c r="A748" s="8"/>
      <c r="B748" s="1273"/>
      <c r="C748" s="1273"/>
      <c r="D748" s="1273"/>
      <c r="E748" s="1273"/>
      <c r="F748" s="1273"/>
      <c r="G748" s="1273"/>
      <c r="H748" s="1270"/>
      <c r="I748" s="1271"/>
      <c r="J748" s="1271"/>
      <c r="K748" s="1271"/>
      <c r="L748" s="1271"/>
    </row>
    <row r="749" spans="1:12" ht="27.95" customHeight="1">
      <c r="A749" s="8"/>
      <c r="B749" s="1273"/>
      <c r="C749" s="1273"/>
      <c r="D749" s="1273"/>
      <c r="E749" s="1273"/>
      <c r="F749" s="1273"/>
      <c r="G749" s="1273"/>
      <c r="H749" s="1274"/>
      <c r="I749" s="1271"/>
      <c r="J749" s="1271"/>
      <c r="K749" s="1271"/>
      <c r="L749" s="1271"/>
    </row>
    <row r="750" spans="1:12" ht="27.95" customHeight="1">
      <c r="A750" s="8"/>
      <c r="B750" s="173"/>
      <c r="C750" s="169"/>
      <c r="D750" s="169"/>
      <c r="E750" s="169"/>
      <c r="F750" s="169"/>
      <c r="G750" s="169"/>
      <c r="H750" s="158"/>
      <c r="I750" s="8"/>
      <c r="J750" s="242"/>
      <c r="K750" s="158"/>
      <c r="L750" s="158"/>
    </row>
    <row r="751" spans="1:12" ht="27.95" customHeight="1">
      <c r="A751" s="8"/>
      <c r="B751" s="173"/>
      <c r="C751" s="169"/>
      <c r="D751" s="169"/>
      <c r="E751" s="169"/>
      <c r="F751" s="169"/>
      <c r="G751" s="169"/>
      <c r="H751" s="158"/>
      <c r="I751" s="158"/>
      <c r="J751" s="242"/>
      <c r="K751" s="158"/>
      <c r="L751" s="158"/>
    </row>
    <row r="752" spans="1:12" ht="27.95" customHeight="1">
      <c r="A752" s="8"/>
      <c r="B752" s="1257"/>
      <c r="C752" s="1257"/>
      <c r="D752" s="1257"/>
      <c r="E752" s="1257"/>
      <c r="F752" s="1257"/>
      <c r="G752" s="1257"/>
      <c r="H752" s="1270"/>
      <c r="I752" s="1271"/>
      <c r="J752" s="1271"/>
      <c r="K752" s="1271"/>
      <c r="L752" s="1271"/>
    </row>
    <row r="753" spans="1:12" ht="27.95" customHeight="1">
      <c r="A753" s="8"/>
      <c r="B753" s="1273"/>
      <c r="C753" s="1273"/>
      <c r="D753" s="1273"/>
      <c r="E753" s="1273"/>
      <c r="F753" s="1273"/>
      <c r="G753" s="1273"/>
      <c r="H753" s="1276"/>
      <c r="I753" s="1271"/>
      <c r="J753" s="1271"/>
      <c r="K753" s="1271"/>
      <c r="L753" s="1271"/>
    </row>
    <row r="754" spans="1:12" ht="27.95" customHeight="1">
      <c r="B754" s="1273"/>
      <c r="C754" s="1273"/>
      <c r="D754" s="1273"/>
      <c r="E754" s="1273"/>
      <c r="F754" s="1273"/>
      <c r="G754" s="1273"/>
      <c r="H754" s="1271"/>
      <c r="I754" s="1271"/>
      <c r="J754" s="1271"/>
      <c r="K754" s="1271"/>
      <c r="L754" s="1271"/>
    </row>
    <row r="755" spans="1:12" ht="27.95" customHeight="1">
      <c r="B755" s="173"/>
      <c r="C755" s="169"/>
      <c r="D755" s="169"/>
      <c r="E755" s="169"/>
      <c r="F755" s="169"/>
      <c r="G755" s="169"/>
      <c r="H755" s="158"/>
      <c r="I755" s="158"/>
      <c r="J755" s="158"/>
      <c r="K755" s="158"/>
      <c r="L755" s="158"/>
    </row>
    <row r="756" spans="1:12" ht="27.95" customHeight="1">
      <c r="B756" s="173"/>
      <c r="C756" s="169"/>
      <c r="D756" s="169"/>
      <c r="E756" s="169"/>
      <c r="F756" s="169"/>
      <c r="G756" s="169"/>
      <c r="H756" s="158"/>
      <c r="I756" s="158"/>
      <c r="J756" s="158"/>
      <c r="K756" s="158"/>
      <c r="L756" s="158"/>
    </row>
    <row r="757" spans="1:12" ht="27.95" customHeight="1">
      <c r="B757" s="173"/>
      <c r="C757" s="169"/>
      <c r="D757" s="169"/>
      <c r="E757" s="169"/>
      <c r="F757" s="169"/>
      <c r="G757" s="169"/>
      <c r="H757" s="158"/>
      <c r="I757" s="158"/>
      <c r="J757" s="159"/>
      <c r="K757" s="158"/>
      <c r="L757" s="158"/>
    </row>
    <row r="758" spans="1:12" ht="27.95" customHeight="1">
      <c r="B758" s="173"/>
      <c r="C758" s="169"/>
      <c r="D758" s="169"/>
      <c r="E758" s="169"/>
      <c r="F758" s="169"/>
      <c r="G758" s="169"/>
      <c r="H758" s="158"/>
      <c r="I758" s="158"/>
      <c r="J758" s="158"/>
      <c r="K758" s="158"/>
      <c r="L758" s="158"/>
    </row>
    <row r="759" spans="1:12" ht="27.95" customHeight="1">
      <c r="B759" s="173"/>
      <c r="C759" s="169"/>
      <c r="D759" s="169"/>
      <c r="E759" s="169"/>
      <c r="F759" s="169"/>
      <c r="G759" s="169"/>
      <c r="H759" s="158"/>
      <c r="I759" s="158"/>
      <c r="J759" s="159"/>
      <c r="K759" s="158"/>
      <c r="L759" s="158"/>
    </row>
    <row r="760" spans="1:12" ht="27.95" customHeight="1">
      <c r="B760" s="173"/>
      <c r="C760" s="169"/>
      <c r="D760" s="158"/>
      <c r="E760" s="159"/>
      <c r="F760" s="158"/>
      <c r="G760" s="159"/>
      <c r="H760" s="158"/>
      <c r="I760" s="159"/>
      <c r="J760" s="158"/>
      <c r="K760" s="159"/>
      <c r="L760" s="159"/>
    </row>
    <row r="761" spans="1:12" ht="27.95" customHeight="1">
      <c r="B761" s="173"/>
      <c r="C761" s="169"/>
      <c r="D761" s="169"/>
      <c r="E761" s="169"/>
      <c r="F761" s="169"/>
      <c r="G761" s="169"/>
      <c r="H761" s="158"/>
      <c r="I761" s="158"/>
      <c r="J761" s="243"/>
      <c r="K761" s="158"/>
      <c r="L761" s="158"/>
    </row>
    <row r="762" spans="1:12" ht="27.95" customHeight="1">
      <c r="B762" s="173"/>
      <c r="C762" s="2"/>
      <c r="D762" s="2"/>
      <c r="E762" s="2"/>
      <c r="F762" s="2"/>
      <c r="G762" s="2"/>
    </row>
    <row r="763" spans="1:12" ht="27.95" customHeight="1">
      <c r="B763" s="173"/>
      <c r="C763" s="2"/>
      <c r="D763" s="2"/>
      <c r="E763" s="2"/>
      <c r="F763" s="2"/>
      <c r="G763" s="2"/>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66"/>
  <sheetViews>
    <sheetView topLeftCell="A61" zoomScale="110" zoomScaleNormal="110" workbookViewId="0">
      <selection activeCell="H9" sqref="H9:L9"/>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61"/>
      <c r="B1" s="62"/>
      <c r="C1" s="62"/>
      <c r="D1" s="177"/>
      <c r="E1" s="177"/>
      <c r="F1" s="177"/>
      <c r="G1" s="177"/>
      <c r="H1" s="177"/>
      <c r="I1" s="177"/>
      <c r="J1" s="62"/>
      <c r="K1" s="179" t="s">
        <v>212</v>
      </c>
      <c r="L1" s="178"/>
    </row>
    <row r="2" spans="1:12" ht="21">
      <c r="A2" s="11"/>
      <c r="B2" s="1281" t="s">
        <v>211</v>
      </c>
      <c r="C2" s="1281"/>
      <c r="D2" s="1281"/>
      <c r="E2" s="1281"/>
      <c r="F2" s="1281"/>
      <c r="G2" s="1281"/>
      <c r="H2" s="1281"/>
      <c r="I2" s="1281"/>
      <c r="J2" s="1281"/>
      <c r="K2" s="1281"/>
      <c r="L2" s="1282"/>
    </row>
    <row r="3" spans="1:12" ht="15.75">
      <c r="A3" s="11"/>
      <c r="B3" s="1275" t="s">
        <v>213</v>
      </c>
      <c r="C3" s="1275"/>
      <c r="D3" s="1275"/>
      <c r="E3" s="1275"/>
      <c r="F3" s="1275"/>
      <c r="G3" s="1275"/>
      <c r="H3" s="1275"/>
      <c r="I3" s="1275"/>
      <c r="J3" s="1275"/>
      <c r="K3" s="1275"/>
      <c r="L3" s="1283"/>
    </row>
    <row r="4" spans="1:12" ht="15" customHeight="1">
      <c r="A4" s="11"/>
      <c r="B4" s="180" t="s">
        <v>214</v>
      </c>
      <c r="C4" s="180"/>
      <c r="D4" s="180"/>
      <c r="E4" s="180"/>
      <c r="F4" s="180"/>
      <c r="H4" s="181"/>
      <c r="I4" s="181"/>
      <c r="J4" s="181"/>
      <c r="K4" s="181"/>
      <c r="L4" s="189"/>
    </row>
    <row r="5" spans="1:12">
      <c r="A5" s="11"/>
      <c r="B5" s="180"/>
      <c r="C5" s="180"/>
      <c r="D5" s="180"/>
      <c r="E5" s="180"/>
      <c r="F5" s="180"/>
      <c r="H5" s="181"/>
      <c r="I5" s="181"/>
      <c r="J5" s="181"/>
      <c r="K5" s="181"/>
      <c r="L5" s="189"/>
    </row>
    <row r="6" spans="1:12">
      <c r="A6" s="11"/>
      <c r="B6" s="1245" t="s">
        <v>184</v>
      </c>
      <c r="C6" s="1245"/>
      <c r="D6" s="1245"/>
      <c r="E6" s="1245"/>
      <c r="F6" s="1245"/>
      <c r="G6" s="1245"/>
      <c r="H6" s="1268" t="e">
        <f>'4-22MASTER'!#REF!</f>
        <v>#REF!</v>
      </c>
      <c r="I6" s="1260"/>
      <c r="J6" s="1260"/>
      <c r="K6" s="1260"/>
      <c r="L6" s="1110"/>
    </row>
    <row r="7" spans="1:12">
      <c r="A7" s="11"/>
      <c r="B7" s="1269" t="s">
        <v>185</v>
      </c>
      <c r="C7" s="1269"/>
      <c r="D7" s="1269"/>
      <c r="E7" s="1269"/>
      <c r="F7" s="1269"/>
      <c r="G7" s="1269"/>
      <c r="H7" s="1268" t="e">
        <f>'4-22MASTER'!#REF!</f>
        <v>#REF!</v>
      </c>
      <c r="I7" s="1260"/>
      <c r="J7" s="1260"/>
      <c r="K7" s="1260"/>
      <c r="L7" s="1110"/>
    </row>
    <row r="8" spans="1:12">
      <c r="A8" s="11"/>
      <c r="B8" s="1245" t="s">
        <v>186</v>
      </c>
      <c r="C8" s="1245"/>
      <c r="D8" s="1245"/>
      <c r="E8" s="1245"/>
      <c r="F8" s="1245"/>
      <c r="G8" s="1245"/>
      <c r="H8" s="1268" t="e">
        <f>'4-22MASTER'!#REF!</f>
        <v>#REF!</v>
      </c>
      <c r="I8" s="1260"/>
      <c r="J8" s="1260"/>
      <c r="K8" s="1260"/>
      <c r="L8" s="1110"/>
    </row>
    <row r="9" spans="1:12">
      <c r="A9" s="11"/>
      <c r="B9" s="1245" t="s">
        <v>187</v>
      </c>
      <c r="C9" s="1245"/>
      <c r="D9" s="1245"/>
      <c r="E9" s="1245"/>
      <c r="F9" s="1245"/>
      <c r="G9" s="1245"/>
      <c r="H9" s="1259" t="e">
        <f>'4-22MASTER'!#REF!</f>
        <v>#REF!</v>
      </c>
      <c r="I9" s="1260"/>
      <c r="J9" s="1260"/>
      <c r="K9" s="1260"/>
      <c r="L9" s="1110"/>
    </row>
    <row r="10" spans="1:12">
      <c r="A10" s="11"/>
      <c r="B10" s="73" t="s">
        <v>188</v>
      </c>
      <c r="C10" s="74"/>
      <c r="D10" s="74"/>
      <c r="E10" s="74"/>
      <c r="F10" s="74"/>
      <c r="G10" s="74"/>
      <c r="H10" s="1261" t="s">
        <v>189</v>
      </c>
      <c r="I10" s="1262"/>
      <c r="J10" s="1262"/>
      <c r="K10" s="1262"/>
      <c r="L10" s="1263"/>
    </row>
    <row r="11" spans="1:12">
      <c r="A11" s="11"/>
      <c r="B11" s="73" t="s">
        <v>190</v>
      </c>
      <c r="C11" s="74"/>
      <c r="D11" s="74"/>
      <c r="E11" s="74"/>
      <c r="F11" s="74"/>
      <c r="G11" s="74"/>
      <c r="H11" s="75"/>
      <c r="I11" s="76"/>
      <c r="J11" s="171"/>
      <c r="K11" s="76"/>
      <c r="L11" s="81"/>
    </row>
    <row r="12" spans="1:12">
      <c r="A12" s="11"/>
      <c r="B12" s="1264" t="s">
        <v>191</v>
      </c>
      <c r="C12" s="1264"/>
      <c r="D12" s="1264"/>
      <c r="E12" s="1264"/>
      <c r="F12" s="1264"/>
      <c r="G12" s="1264"/>
      <c r="H12" s="1265" t="e">
        <f>'4-22MASTER'!#REF!</f>
        <v>#REF!</v>
      </c>
      <c r="I12" s="1266"/>
      <c r="J12" s="1266"/>
      <c r="K12" s="1266"/>
      <c r="L12" s="1105"/>
    </row>
    <row r="13" spans="1:12">
      <c r="A13" s="11"/>
      <c r="B13" s="1245"/>
      <c r="C13" s="1245"/>
      <c r="D13" s="1245"/>
      <c r="E13" s="1245"/>
      <c r="F13" s="1245"/>
      <c r="G13" s="1245"/>
      <c r="H13" s="1267" t="e">
        <f>'4-22MASTER'!#REF!</f>
        <v>#REF!</v>
      </c>
      <c r="I13" s="1260"/>
      <c r="J13" s="1260"/>
      <c r="K13" s="1260"/>
      <c r="L13" s="1110"/>
    </row>
    <row r="14" spans="1:12">
      <c r="A14" s="11"/>
      <c r="B14" s="1245"/>
      <c r="C14" s="1245"/>
      <c r="D14" s="1245"/>
      <c r="E14" s="1245"/>
      <c r="F14" s="1245"/>
      <c r="G14" s="1245"/>
      <c r="H14" s="1268" t="e">
        <f>'4-22MASTER'!#REF!</f>
        <v>#REF!</v>
      </c>
      <c r="I14" s="1260"/>
      <c r="J14" s="1260"/>
      <c r="K14" s="1260"/>
      <c r="L14" s="1110"/>
    </row>
    <row r="15" spans="1:12">
      <c r="A15" s="11"/>
      <c r="G15" s="2" t="s">
        <v>215</v>
      </c>
      <c r="H15" s="2"/>
      <c r="I15" s="2"/>
      <c r="J15" s="2"/>
      <c r="K15" s="2"/>
      <c r="L15" s="68"/>
    </row>
    <row r="16" spans="1:12">
      <c r="A16" s="11"/>
      <c r="B16" s="173" t="s">
        <v>199</v>
      </c>
      <c r="C16" s="169"/>
      <c r="D16" s="169"/>
      <c r="E16" s="169"/>
      <c r="F16" s="169"/>
      <c r="G16" s="169"/>
      <c r="H16" s="158"/>
      <c r="I16" s="158"/>
      <c r="J16" s="158"/>
      <c r="K16" s="158"/>
      <c r="L16" s="176"/>
    </row>
    <row r="17" spans="1:12">
      <c r="A17" s="11"/>
      <c r="B17" s="173" t="s">
        <v>200</v>
      </c>
      <c r="C17" s="169"/>
      <c r="D17" s="169"/>
      <c r="E17" s="169"/>
      <c r="F17" s="169"/>
      <c r="G17" s="169"/>
      <c r="H17" s="158"/>
      <c r="I17" s="158"/>
      <c r="J17" s="159"/>
      <c r="K17" s="158"/>
      <c r="L17" s="176"/>
    </row>
    <row r="18" spans="1:12" ht="27.95" customHeight="1">
      <c r="A18" s="72"/>
      <c r="B18" s="73" t="s">
        <v>203</v>
      </c>
      <c r="C18" s="74"/>
      <c r="D18" s="186"/>
      <c r="E18" s="164" t="s">
        <v>205</v>
      </c>
      <c r="F18" s="54"/>
      <c r="G18" s="1250" t="s">
        <v>204</v>
      </c>
      <c r="H18" s="1251"/>
      <c r="I18" s="163" t="s">
        <v>201</v>
      </c>
      <c r="J18" s="166" t="s">
        <v>206</v>
      </c>
      <c r="K18" s="1250" t="s">
        <v>202</v>
      </c>
      <c r="L18" s="1252"/>
    </row>
    <row r="19" spans="1:12" ht="20.100000000000001" customHeight="1">
      <c r="A19" s="72"/>
      <c r="B19" s="167">
        <v>1</v>
      </c>
      <c r="C19" s="74"/>
      <c r="D19" s="74"/>
      <c r="E19" s="170">
        <v>2</v>
      </c>
      <c r="F19" s="77"/>
      <c r="G19" s="170">
        <v>3</v>
      </c>
      <c r="H19" s="186"/>
      <c r="I19" s="186">
        <v>4</v>
      </c>
      <c r="J19" s="88">
        <v>5</v>
      </c>
      <c r="K19" s="79"/>
      <c r="L19" s="80">
        <v>6</v>
      </c>
    </row>
    <row r="20" spans="1:12" ht="20.100000000000001" customHeight="1">
      <c r="A20" s="72"/>
      <c r="B20" s="73" t="e">
        <f>'4-22MASTER'!#REF!</f>
        <v>#REF!</v>
      </c>
      <c r="C20" s="182"/>
      <c r="D20" s="183"/>
      <c r="E20" s="184" t="s">
        <v>365</v>
      </c>
      <c r="F20" s="183"/>
      <c r="G20" s="184" t="s">
        <v>363</v>
      </c>
      <c r="H20" s="54"/>
      <c r="I20" s="9" t="s">
        <v>366</v>
      </c>
      <c r="J20" s="283">
        <v>1</v>
      </c>
      <c r="K20" s="185" t="s">
        <v>37</v>
      </c>
      <c r="L20" s="190"/>
    </row>
    <row r="21" spans="1:12" ht="20.100000000000001" customHeight="1">
      <c r="A21" s="72"/>
      <c r="B21" s="73"/>
      <c r="C21" s="182"/>
      <c r="D21" s="183"/>
      <c r="E21" s="184"/>
      <c r="F21" s="183"/>
      <c r="G21" s="184"/>
      <c r="H21" s="54"/>
      <c r="I21" s="9"/>
      <c r="J21" s="9"/>
      <c r="K21" s="185"/>
      <c r="L21" s="190"/>
    </row>
    <row r="22" spans="1:12" ht="20.100000000000001" customHeight="1">
      <c r="A22" s="72"/>
      <c r="B22" s="73"/>
      <c r="C22" s="182"/>
      <c r="D22" s="183"/>
      <c r="E22" s="184"/>
      <c r="F22" s="183"/>
      <c r="G22" s="184"/>
      <c r="H22" s="54"/>
      <c r="I22" s="9"/>
      <c r="J22" s="9"/>
      <c r="K22" s="185"/>
      <c r="L22" s="190"/>
    </row>
    <row r="23" spans="1:12" ht="20.100000000000001" customHeight="1">
      <c r="A23" s="72"/>
      <c r="B23" s="59"/>
      <c r="C23" s="13"/>
      <c r="D23" s="60"/>
      <c r="E23" s="184"/>
      <c r="F23" s="183"/>
      <c r="G23" s="184"/>
      <c r="H23" s="54"/>
      <c r="I23" s="9"/>
      <c r="J23" s="9"/>
      <c r="K23" s="185"/>
      <c r="L23" s="190"/>
    </row>
    <row r="24" spans="1:12" ht="27.95" customHeight="1">
      <c r="A24" s="72"/>
      <c r="B24" t="s">
        <v>207</v>
      </c>
      <c r="L24" s="12"/>
    </row>
    <row r="25" spans="1:12" ht="27.95" customHeight="1">
      <c r="A25" s="11"/>
      <c r="B25" t="s">
        <v>208</v>
      </c>
      <c r="L25" s="12"/>
    </row>
    <row r="26" spans="1:12" ht="27.95" customHeight="1">
      <c r="A26" s="11"/>
      <c r="B26" t="s">
        <v>219</v>
      </c>
      <c r="J26" t="s">
        <v>218</v>
      </c>
      <c r="L26" s="12"/>
    </row>
    <row r="27" spans="1:12" ht="19.5" customHeight="1">
      <c r="A27" s="11"/>
      <c r="G27" s="2" t="s">
        <v>216</v>
      </c>
      <c r="H27" s="2"/>
      <c r="I27" s="2"/>
      <c r="J27" s="2"/>
      <c r="K27" s="2"/>
      <c r="L27" s="68"/>
    </row>
    <row r="28" spans="1:12" ht="11.25" customHeight="1">
      <c r="A28" s="11"/>
      <c r="B28" s="2"/>
      <c r="G28" t="s">
        <v>217</v>
      </c>
      <c r="H28" s="2"/>
      <c r="I28" s="2"/>
      <c r="J28" s="2"/>
      <c r="K28" s="2"/>
      <c r="L28" s="68"/>
    </row>
    <row r="29" spans="1:12" ht="27.95" customHeight="1">
      <c r="A29" s="11"/>
      <c r="B29" s="173" t="s">
        <v>220</v>
      </c>
      <c r="C29" s="169"/>
      <c r="D29" s="169"/>
      <c r="E29" s="169"/>
      <c r="F29" s="169"/>
      <c r="G29" s="169"/>
      <c r="H29" s="158"/>
      <c r="I29" s="158"/>
      <c r="J29" s="158"/>
      <c r="K29" s="158"/>
      <c r="L29" s="176"/>
    </row>
    <row r="30" spans="1:12" ht="27.95" customHeight="1">
      <c r="A30" s="11"/>
      <c r="B30" s="173" t="s">
        <v>221</v>
      </c>
      <c r="C30" s="169"/>
      <c r="D30" s="169"/>
      <c r="E30" s="169"/>
      <c r="F30" s="169"/>
      <c r="G30" s="169"/>
      <c r="H30" s="158"/>
      <c r="I30" s="158"/>
      <c r="J30" s="159"/>
      <c r="K30" s="158"/>
      <c r="L30" s="176"/>
    </row>
    <row r="31" spans="1:12" ht="27.95" customHeight="1">
      <c r="A31" s="11"/>
      <c r="B31" s="73" t="s">
        <v>5</v>
      </c>
      <c r="C31" s="1284" t="s">
        <v>222</v>
      </c>
      <c r="D31" s="1248"/>
      <c r="E31" s="1248"/>
      <c r="F31" s="1248"/>
      <c r="G31" s="1248"/>
      <c r="H31" s="1285"/>
      <c r="I31" s="165" t="s">
        <v>104</v>
      </c>
      <c r="J31" s="1286" t="s">
        <v>223</v>
      </c>
      <c r="K31" s="1287"/>
      <c r="L31" s="1288"/>
    </row>
    <row r="32" spans="1:12" ht="20.100000000000001" customHeight="1">
      <c r="A32" s="11"/>
      <c r="B32" s="167">
        <v>1</v>
      </c>
      <c r="C32" s="201"/>
      <c r="D32" s="76"/>
      <c r="E32" s="82">
        <v>2</v>
      </c>
      <c r="F32" s="53"/>
      <c r="G32" s="1280"/>
      <c r="H32" s="1251"/>
      <c r="I32" s="76">
        <v>3</v>
      </c>
      <c r="J32" s="188" t="s">
        <v>224</v>
      </c>
      <c r="K32" s="1289">
        <v>4</v>
      </c>
      <c r="L32" s="1290"/>
    </row>
    <row r="33" spans="1:12" ht="20.100000000000001" customHeight="1">
      <c r="A33" s="11"/>
      <c r="B33" s="73"/>
      <c r="C33" s="201"/>
      <c r="D33" s="76"/>
      <c r="E33" s="82"/>
      <c r="F33" s="53"/>
      <c r="G33" s="1280"/>
      <c r="H33" s="1251"/>
      <c r="I33" s="185"/>
      <c r="J33" s="201"/>
      <c r="K33" s="1280"/>
      <c r="L33" s="1252"/>
    </row>
    <row r="34" spans="1:12" ht="20.100000000000001" customHeight="1">
      <c r="A34" s="11"/>
      <c r="B34" s="73"/>
      <c r="C34" s="201"/>
      <c r="D34" s="76"/>
      <c r="E34" s="82"/>
      <c r="F34" s="53"/>
      <c r="G34" s="1280"/>
      <c r="H34" s="1251"/>
      <c r="I34" s="185"/>
      <c r="J34" s="187"/>
      <c r="K34" s="1280"/>
      <c r="L34" s="1252"/>
    </row>
    <row r="35" spans="1:12" ht="20.100000000000001" customHeight="1">
      <c r="A35" s="11"/>
      <c r="B35" s="73"/>
      <c r="C35" s="201"/>
      <c r="D35" s="76"/>
      <c r="E35" s="82"/>
      <c r="F35" s="53"/>
      <c r="G35" s="1280"/>
      <c r="H35" s="1251"/>
      <c r="I35" s="185"/>
      <c r="J35" s="187"/>
      <c r="K35" s="1280"/>
      <c r="L35" s="1252"/>
    </row>
    <row r="36" spans="1:12" ht="20.100000000000001" customHeight="1">
      <c r="A36" s="11"/>
      <c r="B36" s="59"/>
      <c r="C36" s="201"/>
      <c r="D36" s="76"/>
      <c r="E36" s="82"/>
      <c r="F36" s="53"/>
      <c r="G36" s="1280"/>
      <c r="H36" s="1251"/>
      <c r="I36" s="185"/>
      <c r="J36" s="187"/>
      <c r="K36" s="1280"/>
      <c r="L36" s="1252"/>
    </row>
    <row r="37" spans="1:12" ht="27.95" customHeight="1">
      <c r="A37" s="11"/>
      <c r="B37" t="s">
        <v>228</v>
      </c>
      <c r="L37" s="12"/>
    </row>
    <row r="38" spans="1:12" ht="19.5" customHeight="1">
      <c r="A38" s="11"/>
      <c r="B38" t="s">
        <v>229</v>
      </c>
      <c r="L38" s="12"/>
    </row>
    <row r="39" spans="1:12" ht="19.5" customHeight="1">
      <c r="A39" s="11"/>
      <c r="B39" t="s">
        <v>230</v>
      </c>
      <c r="L39" s="12"/>
    </row>
    <row r="40" spans="1:12" ht="15.75" customHeight="1">
      <c r="A40" s="11"/>
      <c r="B40" t="s">
        <v>231</v>
      </c>
      <c r="L40" s="12"/>
    </row>
    <row r="41" spans="1:12" ht="27.95" customHeight="1">
      <c r="A41" s="11"/>
      <c r="B41" s="184" t="s">
        <v>225</v>
      </c>
      <c r="C41" s="53"/>
      <c r="D41" s="53"/>
      <c r="E41" s="53"/>
      <c r="F41" s="54"/>
      <c r="G41" s="184" t="s">
        <v>201</v>
      </c>
      <c r="H41" s="54"/>
      <c r="I41" s="184" t="s">
        <v>226</v>
      </c>
      <c r="J41" s="53"/>
      <c r="K41" s="54"/>
      <c r="L41" s="12"/>
    </row>
    <row r="42" spans="1:12" ht="27.95" customHeight="1">
      <c r="A42" s="11"/>
      <c r="B42" s="1253"/>
      <c r="C42" s="1279"/>
      <c r="D42" s="1279"/>
      <c r="E42" s="1279"/>
      <c r="F42" s="1254"/>
      <c r="G42" s="1253"/>
      <c r="H42" s="1254"/>
      <c r="I42" s="1253"/>
      <c r="J42" s="1279"/>
      <c r="K42" s="1254"/>
      <c r="L42" s="12"/>
    </row>
    <row r="43" spans="1:12" ht="27.95" customHeight="1">
      <c r="A43" s="11"/>
      <c r="B43" s="1253"/>
      <c r="C43" s="1279"/>
      <c r="D43" s="1279"/>
      <c r="E43" s="1279"/>
      <c r="F43" s="1254"/>
      <c r="G43" s="1253"/>
      <c r="H43" s="1254"/>
      <c r="I43" s="1253"/>
      <c r="J43" s="1279"/>
      <c r="K43" s="1254"/>
      <c r="L43" s="12"/>
    </row>
    <row r="44" spans="1:12" ht="27.95" customHeight="1">
      <c r="A44" s="11"/>
      <c r="B44" s="1253"/>
      <c r="C44" s="1279"/>
      <c r="D44" s="1279"/>
      <c r="E44" s="1279"/>
      <c r="F44" s="1254"/>
      <c r="G44" s="1253"/>
      <c r="H44" s="1254"/>
      <c r="I44" s="1253"/>
      <c r="J44" s="1279"/>
      <c r="K44" s="1254"/>
      <c r="L44" s="12"/>
    </row>
    <row r="45" spans="1:12" ht="27.95" customHeight="1">
      <c r="A45" s="11"/>
      <c r="B45" s="1253"/>
      <c r="C45" s="1279"/>
      <c r="D45" s="1279"/>
      <c r="E45" s="1279"/>
      <c r="F45" s="1254"/>
      <c r="G45" s="1253"/>
      <c r="H45" s="1254"/>
      <c r="I45" s="1253"/>
      <c r="J45" s="1279"/>
      <c r="K45" s="1254"/>
      <c r="L45" s="12"/>
    </row>
    <row r="46" spans="1:12">
      <c r="A46" s="11"/>
      <c r="L46" s="12"/>
    </row>
    <row r="47" spans="1:12">
      <c r="A47" s="11"/>
      <c r="B47" t="s">
        <v>198</v>
      </c>
      <c r="C47" s="282" t="e">
        <f>'4-22MASTER'!#REF!</f>
        <v>#REF!</v>
      </c>
      <c r="I47" t="s">
        <v>227</v>
      </c>
      <c r="L47" s="12"/>
    </row>
    <row r="48" spans="1:12" ht="18.75">
      <c r="A48" s="11"/>
      <c r="F48" s="172" t="s">
        <v>193</v>
      </c>
      <c r="L48" s="12"/>
    </row>
    <row r="49" spans="1:12">
      <c r="A49" s="11" t="s">
        <v>194</v>
      </c>
      <c r="K49" s="222" t="e">
        <f>'4-22MASTER'!#REF!</f>
        <v>#REF!</v>
      </c>
      <c r="L49" s="12"/>
    </row>
    <row r="50" spans="1:12">
      <c r="A50" s="11" t="s">
        <v>195</v>
      </c>
      <c r="L50" s="12"/>
    </row>
    <row r="51" spans="1:12">
      <c r="A51" s="11"/>
      <c r="L51" s="12"/>
    </row>
    <row r="52" spans="1:12">
      <c r="A52" s="11"/>
      <c r="F52" t="s">
        <v>196</v>
      </c>
      <c r="L52" s="12"/>
    </row>
    <row r="53" spans="1:12">
      <c r="A53" s="11" t="s">
        <v>197</v>
      </c>
      <c r="B53" t="s">
        <v>361</v>
      </c>
      <c r="F53" t="str">
        <f>'4-22MASTER'!G5</f>
        <v>Burgeon IT Services Pvt.Ltd.</v>
      </c>
      <c r="L53" s="12"/>
    </row>
    <row r="54" spans="1:12" ht="15.75" thickBot="1">
      <c r="A54" s="16" t="s">
        <v>198</v>
      </c>
      <c r="B54" s="285" t="e">
        <f>'4-22MASTER'!#REF!</f>
        <v>#REF!</v>
      </c>
      <c r="C54" s="14"/>
      <c r="D54" s="14"/>
      <c r="E54" s="14"/>
      <c r="F54" s="14" t="str">
        <f>'4-22MASTER'!G6</f>
        <v>Siri Mansion LIGB 436 Dr.A S Rao Nagar,Hyderabad</v>
      </c>
      <c r="G54" s="14"/>
      <c r="H54" s="14"/>
      <c r="I54" s="14"/>
      <c r="J54" s="14"/>
      <c r="K54" s="14"/>
      <c r="L54" s="15"/>
    </row>
    <row r="55" spans="1:12" ht="27.95" customHeight="1">
      <c r="A55" s="61"/>
      <c r="B55" s="62"/>
      <c r="C55" s="62"/>
      <c r="D55" s="177"/>
      <c r="E55" s="177"/>
      <c r="F55" s="177"/>
      <c r="G55" s="177"/>
      <c r="H55" s="177"/>
      <c r="I55" s="177"/>
      <c r="J55" s="62"/>
      <c r="K55" s="179" t="s">
        <v>212</v>
      </c>
      <c r="L55" s="178"/>
    </row>
    <row r="56" spans="1:12" ht="27.95" customHeight="1">
      <c r="A56" s="11"/>
      <c r="B56" s="1281" t="s">
        <v>211</v>
      </c>
      <c r="C56" s="1281"/>
      <c r="D56" s="1281"/>
      <c r="E56" s="1281"/>
      <c r="F56" s="1281"/>
      <c r="G56" s="1281"/>
      <c r="H56" s="1281"/>
      <c r="I56" s="1281"/>
      <c r="J56" s="1281"/>
      <c r="K56" s="1281"/>
      <c r="L56" s="1282"/>
    </row>
    <row r="57" spans="1:12" ht="27.95" customHeight="1">
      <c r="A57" s="11"/>
      <c r="B57" s="1275" t="s">
        <v>213</v>
      </c>
      <c r="C57" s="1275"/>
      <c r="D57" s="1275"/>
      <c r="E57" s="1275"/>
      <c r="F57" s="1275"/>
      <c r="G57" s="1275"/>
      <c r="H57" s="1275"/>
      <c r="I57" s="1275"/>
      <c r="J57" s="1275"/>
      <c r="K57" s="1275"/>
      <c r="L57" s="1283"/>
    </row>
    <row r="58" spans="1:12" ht="27.95" customHeight="1">
      <c r="A58" s="11"/>
      <c r="B58" s="180" t="s">
        <v>214</v>
      </c>
      <c r="C58" s="180"/>
      <c r="D58" s="180"/>
      <c r="E58" s="180"/>
      <c r="F58" s="180"/>
      <c r="H58" s="181"/>
      <c r="I58" s="181"/>
      <c r="J58" s="181"/>
      <c r="K58" s="181"/>
      <c r="L58" s="189"/>
    </row>
    <row r="59" spans="1:12" ht="27.95" customHeight="1">
      <c r="A59" s="11"/>
      <c r="B59" s="180"/>
      <c r="C59" s="180"/>
      <c r="D59" s="180"/>
      <c r="E59" s="180"/>
      <c r="F59" s="180"/>
      <c r="H59" s="181"/>
      <c r="I59" s="181"/>
      <c r="J59" s="181"/>
      <c r="K59" s="181"/>
      <c r="L59" s="189"/>
    </row>
    <row r="60" spans="1:12" ht="27.95" customHeight="1">
      <c r="A60" s="11"/>
      <c r="B60" s="1245" t="s">
        <v>184</v>
      </c>
      <c r="C60" s="1245"/>
      <c r="D60" s="1245"/>
      <c r="E60" s="1245"/>
      <c r="F60" s="1245"/>
      <c r="G60" s="1245"/>
      <c r="H60" s="1268" t="e">
        <f>'4-22MASTER'!#REF!</f>
        <v>#REF!</v>
      </c>
      <c r="I60" s="1260"/>
      <c r="J60" s="1260"/>
      <c r="K60" s="1260"/>
      <c r="L60" s="1110"/>
    </row>
    <row r="61" spans="1:12" ht="27.95" customHeight="1">
      <c r="A61" s="11"/>
      <c r="B61" s="1269" t="s">
        <v>185</v>
      </c>
      <c r="C61" s="1269"/>
      <c r="D61" s="1269"/>
      <c r="E61" s="1269"/>
      <c r="F61" s="1269"/>
      <c r="G61" s="1269"/>
      <c r="H61" s="1268" t="e">
        <f>'4-22MASTER'!#REF!</f>
        <v>#REF!</v>
      </c>
      <c r="I61" s="1260"/>
      <c r="J61" s="1260"/>
      <c r="K61" s="1260"/>
      <c r="L61" s="1110"/>
    </row>
    <row r="62" spans="1:12" ht="27.95" customHeight="1">
      <c r="A62" s="11"/>
      <c r="B62" s="1245" t="s">
        <v>186</v>
      </c>
      <c r="C62" s="1245"/>
      <c r="D62" s="1245"/>
      <c r="E62" s="1245"/>
      <c r="F62" s="1245"/>
      <c r="G62" s="1245"/>
      <c r="H62" s="1268" t="e">
        <f>'4-22MASTER'!#REF!</f>
        <v>#REF!</v>
      </c>
      <c r="I62" s="1260"/>
      <c r="J62" s="1260"/>
      <c r="K62" s="1260"/>
      <c r="L62" s="1110"/>
    </row>
    <row r="63" spans="1:12" ht="27.95" customHeight="1">
      <c r="A63" s="11"/>
      <c r="B63" s="1245" t="s">
        <v>187</v>
      </c>
      <c r="C63" s="1245"/>
      <c r="D63" s="1245"/>
      <c r="E63" s="1245"/>
      <c r="F63" s="1245"/>
      <c r="G63" s="1245"/>
      <c r="H63" s="1259" t="e">
        <f>'4-22MASTER'!#REF!</f>
        <v>#REF!</v>
      </c>
      <c r="I63" s="1260"/>
      <c r="J63" s="1260"/>
      <c r="K63" s="1260"/>
      <c r="L63" s="1110"/>
    </row>
    <row r="64" spans="1:12" ht="27.95" customHeight="1">
      <c r="A64" s="11"/>
      <c r="B64" s="73" t="s">
        <v>188</v>
      </c>
      <c r="C64" s="74"/>
      <c r="D64" s="74"/>
      <c r="E64" s="74"/>
      <c r="F64" s="74"/>
      <c r="G64" s="74"/>
      <c r="H64" s="1261" t="s">
        <v>189</v>
      </c>
      <c r="I64" s="1262"/>
      <c r="J64" s="1262"/>
      <c r="K64" s="1262"/>
      <c r="L64" s="1263"/>
    </row>
    <row r="65" spans="1:12" ht="27.95" customHeight="1">
      <c r="A65" s="11"/>
      <c r="B65" s="73" t="s">
        <v>190</v>
      </c>
      <c r="C65" s="74"/>
      <c r="D65" s="74"/>
      <c r="E65" s="74"/>
      <c r="F65" s="74"/>
      <c r="G65" s="74"/>
      <c r="H65" s="75"/>
      <c r="I65" s="76"/>
      <c r="J65" s="171"/>
      <c r="K65" s="76"/>
      <c r="L65" s="81"/>
    </row>
    <row r="66" spans="1:12">
      <c r="A66" s="11"/>
      <c r="B66" s="1264" t="s">
        <v>191</v>
      </c>
      <c r="C66" s="1264"/>
      <c r="D66" s="1264"/>
      <c r="E66" s="1264"/>
      <c r="F66" s="1264"/>
      <c r="G66" s="1264"/>
      <c r="H66" s="1265" t="e">
        <f>'4-22MASTER'!#REF!</f>
        <v>#REF!</v>
      </c>
      <c r="I66" s="1266"/>
      <c r="J66" s="1266"/>
      <c r="K66" s="1266"/>
      <c r="L66" s="1105"/>
    </row>
    <row r="67" spans="1:12">
      <c r="A67" s="11"/>
      <c r="B67" s="1245"/>
      <c r="C67" s="1245"/>
      <c r="D67" s="1245"/>
      <c r="E67" s="1245"/>
      <c r="F67" s="1245"/>
      <c r="G67" s="1245"/>
      <c r="H67" s="1267" t="e">
        <f>'4-22MASTER'!#REF!</f>
        <v>#REF!</v>
      </c>
      <c r="I67" s="1260"/>
      <c r="J67" s="1260"/>
      <c r="K67" s="1260"/>
      <c r="L67" s="1110"/>
    </row>
    <row r="68" spans="1:12">
      <c r="A68" s="11"/>
      <c r="B68" s="1245"/>
      <c r="C68" s="1245"/>
      <c r="D68" s="1245"/>
      <c r="E68" s="1245"/>
      <c r="F68" s="1245"/>
      <c r="G68" s="1245"/>
      <c r="H68" s="1268" t="e">
        <f>'4-22MASTER'!#REF!</f>
        <v>#REF!</v>
      </c>
      <c r="I68" s="1260"/>
      <c r="J68" s="1260"/>
      <c r="K68" s="1260"/>
      <c r="L68" s="1110"/>
    </row>
    <row r="69" spans="1:12">
      <c r="A69" s="11"/>
      <c r="G69" s="2" t="s">
        <v>215</v>
      </c>
      <c r="H69" s="2"/>
      <c r="I69" s="2"/>
      <c r="J69" s="2"/>
      <c r="K69" s="2"/>
      <c r="L69" s="68"/>
    </row>
    <row r="70" spans="1:12">
      <c r="A70" s="11"/>
      <c r="B70" s="173" t="s">
        <v>199</v>
      </c>
      <c r="C70" s="169"/>
      <c r="D70" s="169"/>
      <c r="E70" s="169"/>
      <c r="F70" s="169"/>
      <c r="G70" s="169"/>
      <c r="H70" s="158"/>
      <c r="I70" s="158"/>
      <c r="J70" s="158"/>
      <c r="K70" s="158"/>
      <c r="L70" s="176"/>
    </row>
    <row r="71" spans="1:12">
      <c r="A71" s="11"/>
      <c r="B71" s="173" t="s">
        <v>200</v>
      </c>
      <c r="C71" s="169"/>
      <c r="D71" s="169"/>
      <c r="E71" s="169"/>
      <c r="F71" s="169"/>
      <c r="G71" s="169"/>
      <c r="H71" s="158"/>
      <c r="I71" s="158"/>
      <c r="J71" s="159"/>
      <c r="K71" s="158"/>
      <c r="L71" s="176"/>
    </row>
    <row r="72" spans="1:12" ht="45">
      <c r="A72" s="72"/>
      <c r="B72" s="73" t="s">
        <v>203</v>
      </c>
      <c r="C72" s="74"/>
      <c r="D72" s="186"/>
      <c r="E72" s="164" t="s">
        <v>205</v>
      </c>
      <c r="F72" s="54"/>
      <c r="G72" s="1250" t="s">
        <v>204</v>
      </c>
      <c r="H72" s="1251"/>
      <c r="I72" s="163" t="s">
        <v>201</v>
      </c>
      <c r="J72" s="166" t="s">
        <v>206</v>
      </c>
      <c r="K72" s="1250" t="s">
        <v>202</v>
      </c>
      <c r="L72" s="1252"/>
    </row>
    <row r="73" spans="1:12">
      <c r="A73" s="72"/>
      <c r="B73" s="167">
        <v>1</v>
      </c>
      <c r="C73" s="74"/>
      <c r="D73" s="74"/>
      <c r="E73" s="170">
        <v>2</v>
      </c>
      <c r="F73" s="77"/>
      <c r="G73" s="170">
        <v>3</v>
      </c>
      <c r="H73" s="186"/>
      <c r="I73" s="186">
        <v>4</v>
      </c>
      <c r="J73" s="88">
        <v>5</v>
      </c>
      <c r="K73" s="79"/>
      <c r="L73" s="80">
        <v>6</v>
      </c>
    </row>
    <row r="74" spans="1:12">
      <c r="A74" s="72"/>
      <c r="B74" s="73" t="e">
        <f>'4-22MASTER'!#REF!</f>
        <v>#REF!</v>
      </c>
      <c r="C74" s="182"/>
      <c r="D74" s="183"/>
      <c r="E74" s="184" t="s">
        <v>365</v>
      </c>
      <c r="F74" s="183"/>
      <c r="G74" s="184" t="s">
        <v>363</v>
      </c>
      <c r="H74" s="54"/>
      <c r="I74" s="9" t="s">
        <v>366</v>
      </c>
      <c r="J74" s="283">
        <v>1</v>
      </c>
      <c r="K74" s="185" t="s">
        <v>37</v>
      </c>
      <c r="L74" s="190"/>
    </row>
    <row r="75" spans="1:12">
      <c r="A75" s="72"/>
      <c r="B75" s="73"/>
      <c r="C75" s="182"/>
      <c r="D75" s="183"/>
      <c r="E75" s="184"/>
      <c r="F75" s="183"/>
      <c r="G75" s="184"/>
      <c r="H75" s="54"/>
      <c r="I75" s="9"/>
      <c r="J75" s="9"/>
      <c r="K75" s="185"/>
      <c r="L75" s="190"/>
    </row>
    <row r="76" spans="1:12">
      <c r="A76" s="72"/>
      <c r="B76" s="73"/>
      <c r="C76" s="182"/>
      <c r="D76" s="183"/>
      <c r="E76" s="184"/>
      <c r="F76" s="183"/>
      <c r="G76" s="184"/>
      <c r="H76" s="54"/>
      <c r="I76" s="9"/>
      <c r="J76" s="9"/>
      <c r="K76" s="185"/>
      <c r="L76" s="190"/>
    </row>
    <row r="77" spans="1:12">
      <c r="A77" s="72"/>
      <c r="B77" s="59"/>
      <c r="C77" s="13"/>
      <c r="D77" s="60"/>
      <c r="E77" s="184"/>
      <c r="F77" s="183"/>
      <c r="G77" s="184"/>
      <c r="H77" s="54"/>
      <c r="I77" s="9"/>
      <c r="J77" s="9"/>
      <c r="K77" s="185"/>
      <c r="L77" s="190"/>
    </row>
    <row r="78" spans="1:12">
      <c r="A78" s="72"/>
      <c r="B78" t="s">
        <v>207</v>
      </c>
      <c r="L78" s="12"/>
    </row>
    <row r="79" spans="1:12">
      <c r="A79" s="11"/>
      <c r="B79" t="s">
        <v>208</v>
      </c>
      <c r="L79" s="12"/>
    </row>
    <row r="80" spans="1:12">
      <c r="A80" s="11"/>
      <c r="B80" t="s">
        <v>219</v>
      </c>
      <c r="J80" t="s">
        <v>218</v>
      </c>
      <c r="L80" s="12"/>
    </row>
    <row r="81" spans="1:12">
      <c r="A81" s="11"/>
      <c r="G81" s="2" t="s">
        <v>216</v>
      </c>
      <c r="H81" s="2"/>
      <c r="I81" s="2"/>
      <c r="J81" s="2"/>
      <c r="K81" s="2"/>
      <c r="L81" s="68"/>
    </row>
    <row r="82" spans="1:12">
      <c r="A82" s="11"/>
      <c r="B82" s="2"/>
      <c r="G82" t="s">
        <v>217</v>
      </c>
      <c r="H82" s="2"/>
      <c r="I82" s="2"/>
      <c r="J82" s="2"/>
      <c r="K82" s="2"/>
      <c r="L82" s="68"/>
    </row>
    <row r="83" spans="1:12">
      <c r="A83" s="11"/>
      <c r="B83" s="173" t="s">
        <v>220</v>
      </c>
      <c r="C83" s="169"/>
      <c r="D83" s="169"/>
      <c r="E83" s="169"/>
      <c r="F83" s="169"/>
      <c r="G83" s="169"/>
      <c r="H83" s="158"/>
      <c r="I83" s="158"/>
      <c r="J83" s="158"/>
      <c r="K83" s="158"/>
      <c r="L83" s="176"/>
    </row>
    <row r="84" spans="1:12">
      <c r="A84" s="11"/>
      <c r="B84" s="173" t="s">
        <v>221</v>
      </c>
      <c r="C84" s="169"/>
      <c r="D84" s="169"/>
      <c r="E84" s="169"/>
      <c r="F84" s="169"/>
      <c r="G84" s="169"/>
      <c r="H84" s="158"/>
      <c r="I84" s="158"/>
      <c r="J84" s="159"/>
      <c r="K84" s="158"/>
      <c r="L84" s="176"/>
    </row>
    <row r="85" spans="1:12">
      <c r="A85" s="11"/>
      <c r="B85" s="73" t="s">
        <v>5</v>
      </c>
      <c r="C85" s="1284" t="s">
        <v>222</v>
      </c>
      <c r="D85" s="1248"/>
      <c r="E85" s="1248"/>
      <c r="F85" s="1248"/>
      <c r="G85" s="1248"/>
      <c r="H85" s="1285"/>
      <c r="I85" s="165" t="s">
        <v>104</v>
      </c>
      <c r="J85" s="1286" t="s">
        <v>223</v>
      </c>
      <c r="K85" s="1287"/>
      <c r="L85" s="1288"/>
    </row>
    <row r="86" spans="1:12">
      <c r="A86" s="11"/>
      <c r="B86" s="167">
        <v>1</v>
      </c>
      <c r="C86" s="201"/>
      <c r="D86" s="76"/>
      <c r="E86" s="82">
        <v>2</v>
      </c>
      <c r="F86" s="53"/>
      <c r="G86" s="1280"/>
      <c r="H86" s="1251"/>
      <c r="I86" s="76">
        <v>3</v>
      </c>
      <c r="J86" s="188" t="s">
        <v>224</v>
      </c>
      <c r="K86" s="1289">
        <v>4</v>
      </c>
      <c r="L86" s="1290"/>
    </row>
    <row r="87" spans="1:12" ht="15" customHeight="1">
      <c r="A87" s="11"/>
      <c r="B87" s="73"/>
      <c r="C87" s="201"/>
      <c r="D87" s="76"/>
      <c r="E87" s="82"/>
      <c r="F87" s="53"/>
      <c r="G87" s="1280"/>
      <c r="H87" s="1251"/>
      <c r="I87" s="185"/>
      <c r="J87" s="187"/>
      <c r="K87" s="1280"/>
      <c r="L87" s="1252"/>
    </row>
    <row r="88" spans="1:12">
      <c r="A88" s="11"/>
      <c r="B88" s="73"/>
      <c r="C88" s="201"/>
      <c r="D88" s="76"/>
      <c r="E88" s="82"/>
      <c r="F88" s="53"/>
      <c r="G88" s="1280"/>
      <c r="H88" s="1251"/>
      <c r="I88" s="185"/>
      <c r="J88" s="187"/>
      <c r="K88" s="1280"/>
      <c r="L88" s="1252"/>
    </row>
    <row r="89" spans="1:12">
      <c r="A89" s="11"/>
      <c r="B89" s="73"/>
      <c r="C89" s="201"/>
      <c r="D89" s="76"/>
      <c r="E89" s="82"/>
      <c r="F89" s="53"/>
      <c r="G89" s="1280"/>
      <c r="H89" s="1251"/>
      <c r="I89" s="185"/>
      <c r="J89" s="187"/>
      <c r="K89" s="1280"/>
      <c r="L89" s="1252"/>
    </row>
    <row r="90" spans="1:12">
      <c r="A90" s="11"/>
      <c r="B90" s="59"/>
      <c r="C90" s="201"/>
      <c r="D90" s="76"/>
      <c r="E90" s="82"/>
      <c r="F90" s="53"/>
      <c r="G90" s="1280"/>
      <c r="H90" s="1251"/>
      <c r="I90" s="185"/>
      <c r="J90" s="187"/>
      <c r="K90" s="1280"/>
      <c r="L90" s="1252"/>
    </row>
    <row r="91" spans="1:12">
      <c r="A91" s="11"/>
      <c r="B91" t="s">
        <v>228</v>
      </c>
      <c r="L91" s="12"/>
    </row>
    <row r="92" spans="1:12">
      <c r="A92" s="11"/>
      <c r="B92" t="s">
        <v>229</v>
      </c>
      <c r="L92" s="12"/>
    </row>
    <row r="93" spans="1:12">
      <c r="A93" s="11"/>
      <c r="B93" t="s">
        <v>230</v>
      </c>
      <c r="L93" s="12"/>
    </row>
    <row r="94" spans="1:12">
      <c r="A94" s="11"/>
      <c r="B94" t="s">
        <v>231</v>
      </c>
      <c r="L94" s="12"/>
    </row>
    <row r="95" spans="1:12">
      <c r="A95" s="11"/>
      <c r="B95" s="184" t="s">
        <v>225</v>
      </c>
      <c r="C95" s="53"/>
      <c r="D95" s="53"/>
      <c r="E95" s="53"/>
      <c r="F95" s="54"/>
      <c r="G95" s="184" t="s">
        <v>201</v>
      </c>
      <c r="H95" s="54"/>
      <c r="I95" s="184" t="s">
        <v>226</v>
      </c>
      <c r="J95" s="53"/>
      <c r="K95" s="54"/>
      <c r="L95" s="12"/>
    </row>
    <row r="96" spans="1:12">
      <c r="A96" s="11"/>
      <c r="B96" s="1253"/>
      <c r="C96" s="1279"/>
      <c r="D96" s="1279"/>
      <c r="E96" s="1279"/>
      <c r="F96" s="1254"/>
      <c r="G96" s="1253"/>
      <c r="H96" s="1254"/>
      <c r="I96" s="1253"/>
      <c r="J96" s="1279"/>
      <c r="K96" s="1254"/>
      <c r="L96" s="12"/>
    </row>
    <row r="97" spans="1:12">
      <c r="A97" s="11"/>
      <c r="B97" s="1253"/>
      <c r="C97" s="1279"/>
      <c r="D97" s="1279"/>
      <c r="E97" s="1279"/>
      <c r="F97" s="1254"/>
      <c r="G97" s="1253"/>
      <c r="H97" s="1254"/>
      <c r="I97" s="1253"/>
      <c r="J97" s="1279"/>
      <c r="K97" s="1254"/>
      <c r="L97" s="12"/>
    </row>
    <row r="98" spans="1:12">
      <c r="A98" s="11"/>
      <c r="B98" s="1253"/>
      <c r="C98" s="1279"/>
      <c r="D98" s="1279"/>
      <c r="E98" s="1279"/>
      <c r="F98" s="1254"/>
      <c r="G98" s="1253"/>
      <c r="H98" s="1254"/>
      <c r="I98" s="1253"/>
      <c r="J98" s="1279"/>
      <c r="K98" s="1254"/>
      <c r="L98" s="12"/>
    </row>
    <row r="99" spans="1:12">
      <c r="A99" s="11"/>
      <c r="B99" s="1253"/>
      <c r="C99" s="1279"/>
      <c r="D99" s="1279"/>
      <c r="E99" s="1279"/>
      <c r="F99" s="1254"/>
      <c r="G99" s="1253"/>
      <c r="H99" s="1254"/>
      <c r="I99" s="1253"/>
      <c r="J99" s="1279"/>
      <c r="K99" s="1254"/>
      <c r="L99" s="12"/>
    </row>
    <row r="100" spans="1:12">
      <c r="A100" s="11"/>
      <c r="L100" s="12"/>
    </row>
    <row r="101" spans="1:12">
      <c r="A101" s="11"/>
      <c r="B101" t="s">
        <v>198</v>
      </c>
      <c r="C101" s="282" t="e">
        <f>'4-22MASTER'!#REF!</f>
        <v>#REF!</v>
      </c>
      <c r="I101" t="s">
        <v>227</v>
      </c>
      <c r="L101" s="12"/>
    </row>
    <row r="102" spans="1:12" ht="27.95" customHeight="1">
      <c r="A102" s="11"/>
      <c r="F102" s="172" t="s">
        <v>193</v>
      </c>
      <c r="L102" s="12"/>
    </row>
    <row r="103" spans="1:12" ht="27.95" customHeight="1">
      <c r="A103" s="11" t="s">
        <v>194</v>
      </c>
      <c r="K103" s="222" t="e">
        <f>'4-22MASTER'!#REF!</f>
        <v>#REF!</v>
      </c>
      <c r="L103" s="12"/>
    </row>
    <row r="104" spans="1:12" ht="27.95" customHeight="1">
      <c r="A104" s="11" t="s">
        <v>195</v>
      </c>
      <c r="L104" s="12"/>
    </row>
    <row r="105" spans="1:12" ht="27.95" customHeight="1">
      <c r="A105" s="11"/>
      <c r="L105" s="12"/>
    </row>
    <row r="106" spans="1:12" ht="27.95" customHeight="1">
      <c r="A106" s="11"/>
      <c r="F106" t="s">
        <v>196</v>
      </c>
      <c r="L106" s="12"/>
    </row>
    <row r="107" spans="1:12" ht="27.95" customHeight="1">
      <c r="A107" s="11" t="s">
        <v>197</v>
      </c>
      <c r="B107" t="s">
        <v>361</v>
      </c>
      <c r="F107" t="str">
        <f>'4-22MASTER'!G5</f>
        <v>Burgeon IT Services Pvt.Ltd.</v>
      </c>
      <c r="L107" s="12"/>
    </row>
    <row r="108" spans="1:12" ht="27.95" customHeight="1" thickBot="1">
      <c r="A108" s="16" t="s">
        <v>198</v>
      </c>
      <c r="B108" s="285" t="e">
        <f>'4-22MASTER'!#REF!</f>
        <v>#REF!</v>
      </c>
      <c r="C108" s="14"/>
      <c r="D108" s="14"/>
      <c r="E108" s="14"/>
      <c r="F108" s="14" t="str">
        <f>'4-22MASTER'!G6</f>
        <v>Siri Mansion LIGB 436 Dr.A S Rao Nagar,Hyderabad</v>
      </c>
      <c r="G108" s="14"/>
      <c r="H108" s="14"/>
      <c r="I108" s="14"/>
      <c r="J108" s="14"/>
      <c r="K108" s="14"/>
      <c r="L108" s="15"/>
    </row>
    <row r="109" spans="1:12" ht="27.95" customHeight="1">
      <c r="A109" s="61"/>
      <c r="B109" s="62"/>
      <c r="C109" s="62"/>
      <c r="D109" s="177"/>
      <c r="E109" s="177"/>
      <c r="F109" s="177"/>
      <c r="G109" s="177"/>
      <c r="H109" s="177"/>
      <c r="I109" s="177"/>
      <c r="J109" s="62"/>
      <c r="K109" s="179" t="s">
        <v>212</v>
      </c>
      <c r="L109" s="178"/>
    </row>
    <row r="110" spans="1:12" ht="27.95" customHeight="1">
      <c r="A110" s="11"/>
      <c r="B110" s="1281" t="s">
        <v>211</v>
      </c>
      <c r="C110" s="1281"/>
      <c r="D110" s="1281"/>
      <c r="E110" s="1281"/>
      <c r="F110" s="1281"/>
      <c r="G110" s="1281"/>
      <c r="H110" s="1281"/>
      <c r="I110" s="1281"/>
      <c r="J110" s="1281"/>
      <c r="K110" s="1281"/>
      <c r="L110" s="1282"/>
    </row>
    <row r="111" spans="1:12" ht="27.95" customHeight="1">
      <c r="A111" s="11"/>
      <c r="B111" s="1275" t="s">
        <v>213</v>
      </c>
      <c r="C111" s="1275"/>
      <c r="D111" s="1275"/>
      <c r="E111" s="1275"/>
      <c r="F111" s="1275"/>
      <c r="G111" s="1275"/>
      <c r="H111" s="1275"/>
      <c r="I111" s="1275"/>
      <c r="J111" s="1275"/>
      <c r="K111" s="1275"/>
      <c r="L111" s="1283"/>
    </row>
    <row r="112" spans="1:12" ht="27.95" customHeight="1">
      <c r="A112" s="11"/>
      <c r="B112" s="180" t="s">
        <v>214</v>
      </c>
      <c r="C112" s="180"/>
      <c r="D112" s="180"/>
      <c r="E112" s="180"/>
      <c r="F112" s="180"/>
      <c r="H112" s="181"/>
      <c r="I112" s="181"/>
      <c r="J112" s="181"/>
      <c r="K112" s="181"/>
      <c r="L112" s="189"/>
    </row>
    <row r="113" spans="1:12" ht="27.95" customHeight="1">
      <c r="A113" s="11"/>
      <c r="B113" s="180"/>
      <c r="C113" s="180"/>
      <c r="D113" s="180"/>
      <c r="E113" s="180"/>
      <c r="F113" s="180"/>
      <c r="H113" s="181"/>
      <c r="I113" s="181"/>
      <c r="J113" s="181"/>
      <c r="K113" s="181"/>
      <c r="L113" s="189"/>
    </row>
    <row r="114" spans="1:12" ht="27.95" customHeight="1">
      <c r="A114" s="11"/>
      <c r="B114" s="1245" t="s">
        <v>184</v>
      </c>
      <c r="C114" s="1245"/>
      <c r="D114" s="1245"/>
      <c r="E114" s="1245"/>
      <c r="F114" s="1245"/>
      <c r="G114" s="1245"/>
      <c r="H114" s="1268" t="e">
        <f>'4-22MASTER'!#REF!</f>
        <v>#REF!</v>
      </c>
      <c r="I114" s="1260"/>
      <c r="J114" s="1260"/>
      <c r="K114" s="1260"/>
      <c r="L114" s="1110"/>
    </row>
    <row r="115" spans="1:12" ht="27.95" customHeight="1">
      <c r="A115" s="11"/>
      <c r="B115" s="1269" t="s">
        <v>185</v>
      </c>
      <c r="C115" s="1269"/>
      <c r="D115" s="1269"/>
      <c r="E115" s="1269"/>
      <c r="F115" s="1269"/>
      <c r="G115" s="1269"/>
      <c r="H115" s="1268" t="e">
        <f>'4-22MASTER'!#REF!</f>
        <v>#REF!</v>
      </c>
      <c r="I115" s="1260"/>
      <c r="J115" s="1260"/>
      <c r="K115" s="1260"/>
      <c r="L115" s="1110"/>
    </row>
    <row r="116" spans="1:12" ht="27.95" customHeight="1">
      <c r="A116" s="11"/>
      <c r="B116" s="1245" t="s">
        <v>186</v>
      </c>
      <c r="C116" s="1245"/>
      <c r="D116" s="1245"/>
      <c r="E116" s="1245"/>
      <c r="F116" s="1245"/>
      <c r="G116" s="1245"/>
      <c r="H116" s="1268" t="e">
        <f>'4-22MASTER'!#REF!</f>
        <v>#REF!</v>
      </c>
      <c r="I116" s="1260"/>
      <c r="J116" s="1260"/>
      <c r="K116" s="1260"/>
      <c r="L116" s="1110"/>
    </row>
    <row r="117" spans="1:12" ht="27.95" customHeight="1">
      <c r="A117" s="11"/>
      <c r="B117" s="1245" t="s">
        <v>187</v>
      </c>
      <c r="C117" s="1245"/>
      <c r="D117" s="1245"/>
      <c r="E117" s="1245"/>
      <c r="F117" s="1245"/>
      <c r="G117" s="1245"/>
      <c r="H117" s="1259" t="e">
        <f>'4-22MASTER'!#REF!</f>
        <v>#REF!</v>
      </c>
      <c r="I117" s="1260"/>
      <c r="J117" s="1260"/>
      <c r="K117" s="1260"/>
      <c r="L117" s="1110"/>
    </row>
    <row r="118" spans="1:12" ht="27.95" customHeight="1">
      <c r="A118" s="11"/>
      <c r="B118" s="73" t="s">
        <v>188</v>
      </c>
      <c r="C118" s="74"/>
      <c r="D118" s="74"/>
      <c r="E118" s="74"/>
      <c r="F118" s="74"/>
      <c r="G118" s="74"/>
      <c r="H118" s="1261" t="s">
        <v>189</v>
      </c>
      <c r="I118" s="1262"/>
      <c r="J118" s="1262"/>
      <c r="K118" s="1262"/>
      <c r="L118" s="1263"/>
    </row>
    <row r="119" spans="1:12">
      <c r="A119" s="11"/>
      <c r="B119" s="73" t="s">
        <v>190</v>
      </c>
      <c r="C119" s="74"/>
      <c r="D119" s="74"/>
      <c r="E119" s="74"/>
      <c r="F119" s="74"/>
      <c r="G119" s="74"/>
    </row>
    <row r="120" spans="1:12">
      <c r="A120" s="11"/>
      <c r="B120" s="1264" t="s">
        <v>191</v>
      </c>
      <c r="C120" s="1264"/>
      <c r="D120" s="1264"/>
      <c r="E120" s="1264"/>
      <c r="F120" s="1264"/>
      <c r="G120" s="1264"/>
      <c r="H120" s="1268" t="e">
        <f>'4-22MASTER'!#REF!</f>
        <v>#REF!</v>
      </c>
      <c r="I120" s="1260"/>
      <c r="J120" s="1260"/>
      <c r="K120" s="1260"/>
      <c r="L120" s="1260"/>
    </row>
    <row r="121" spans="1:12">
      <c r="A121" s="11"/>
      <c r="B121" s="1245"/>
      <c r="C121" s="1245"/>
      <c r="D121" s="1245"/>
      <c r="E121" s="1245"/>
      <c r="F121" s="1245"/>
      <c r="G121" s="1245"/>
      <c r="H121" s="1268" t="e">
        <f>'4-22MASTER'!#REF!</f>
        <v>#REF!</v>
      </c>
      <c r="I121" s="1260"/>
      <c r="J121" s="1260"/>
      <c r="K121" s="1260"/>
      <c r="L121" s="1260"/>
    </row>
    <row r="122" spans="1:12">
      <c r="A122" s="11"/>
      <c r="B122" s="1245"/>
      <c r="C122" s="1245"/>
      <c r="D122" s="1245"/>
      <c r="E122" s="1245"/>
      <c r="F122" s="1245"/>
      <c r="G122" s="1245"/>
      <c r="H122" s="1267" t="e">
        <f>'4-22MASTER'!#REF!</f>
        <v>#REF!</v>
      </c>
      <c r="I122" s="1260"/>
      <c r="J122" s="1260"/>
      <c r="K122" s="1260"/>
      <c r="L122" s="1110"/>
    </row>
    <row r="123" spans="1:12">
      <c r="A123" s="11"/>
      <c r="G123" s="2" t="s">
        <v>215</v>
      </c>
      <c r="H123" s="2"/>
      <c r="I123" s="2"/>
      <c r="J123" s="2"/>
      <c r="K123" s="2"/>
      <c r="L123" s="68"/>
    </row>
    <row r="124" spans="1:12">
      <c r="A124" s="11"/>
      <c r="B124" s="173" t="s">
        <v>199</v>
      </c>
      <c r="C124" s="169"/>
      <c r="D124" s="169"/>
      <c r="E124" s="169"/>
      <c r="F124" s="169"/>
      <c r="G124" s="169"/>
      <c r="H124" s="158"/>
      <c r="I124" s="158"/>
      <c r="J124" s="158"/>
      <c r="K124" s="158"/>
      <c r="L124" s="176"/>
    </row>
    <row r="125" spans="1:12">
      <c r="A125" s="11"/>
      <c r="B125" s="173" t="s">
        <v>200</v>
      </c>
      <c r="C125" s="169"/>
      <c r="D125" s="169"/>
      <c r="E125" s="169"/>
      <c r="F125" s="169"/>
      <c r="G125" s="169"/>
      <c r="H125" s="158"/>
      <c r="I125" s="158"/>
      <c r="J125" s="159"/>
      <c r="K125" s="158"/>
      <c r="L125" s="176"/>
    </row>
    <row r="126" spans="1:12" ht="45">
      <c r="A126" s="72"/>
      <c r="B126" s="73" t="s">
        <v>203</v>
      </c>
      <c r="C126" s="74"/>
      <c r="D126" s="186"/>
      <c r="E126" s="164" t="s">
        <v>205</v>
      </c>
      <c r="F126" s="54"/>
      <c r="G126" s="1250" t="s">
        <v>204</v>
      </c>
      <c r="H126" s="1251"/>
      <c r="I126" s="163" t="s">
        <v>201</v>
      </c>
      <c r="J126" s="166" t="s">
        <v>206</v>
      </c>
      <c r="K126" s="1250" t="s">
        <v>202</v>
      </c>
      <c r="L126" s="1252"/>
    </row>
    <row r="127" spans="1:12">
      <c r="A127" s="72"/>
      <c r="B127" s="167">
        <v>1</v>
      </c>
      <c r="C127" s="74"/>
      <c r="D127" s="74"/>
      <c r="E127" s="170">
        <v>2</v>
      </c>
      <c r="F127" s="77"/>
      <c r="G127" s="170">
        <v>3</v>
      </c>
      <c r="H127" s="186"/>
      <c r="I127" s="186">
        <v>4</v>
      </c>
      <c r="J127" s="88">
        <v>5</v>
      </c>
      <c r="K127" s="79"/>
      <c r="L127" s="80">
        <v>6</v>
      </c>
    </row>
    <row r="128" spans="1:12">
      <c r="A128" s="72"/>
      <c r="B128" s="73" t="e">
        <f>'4-22MASTER'!#REF!</f>
        <v>#REF!</v>
      </c>
      <c r="C128" s="182"/>
      <c r="D128" s="183"/>
      <c r="E128" s="184" t="s">
        <v>365</v>
      </c>
      <c r="F128" s="183"/>
      <c r="G128" s="184" t="s">
        <v>363</v>
      </c>
      <c r="H128" s="54"/>
      <c r="I128" s="9" t="s">
        <v>366</v>
      </c>
      <c r="J128" s="283">
        <v>1</v>
      </c>
      <c r="K128" s="185" t="s">
        <v>37</v>
      </c>
      <c r="L128" s="190"/>
    </row>
    <row r="129" spans="1:12">
      <c r="A129" s="72"/>
      <c r="B129" s="73"/>
      <c r="C129" s="182"/>
      <c r="D129" s="183"/>
      <c r="E129" s="184"/>
      <c r="F129" s="183"/>
      <c r="G129" s="184"/>
      <c r="H129" s="54"/>
      <c r="I129" s="9"/>
      <c r="J129" s="9"/>
      <c r="K129" s="185"/>
      <c r="L129" s="190"/>
    </row>
    <row r="130" spans="1:12">
      <c r="A130" s="72"/>
      <c r="B130" s="73"/>
      <c r="C130" s="182"/>
      <c r="D130" s="183"/>
      <c r="E130" s="184"/>
      <c r="F130" s="183"/>
      <c r="G130" s="184"/>
      <c r="H130" s="54"/>
      <c r="I130" s="9"/>
      <c r="J130" s="9"/>
      <c r="K130" s="185"/>
      <c r="L130" s="190"/>
    </row>
    <row r="131" spans="1:12">
      <c r="A131" s="72"/>
      <c r="B131" s="59"/>
      <c r="C131" s="13"/>
      <c r="D131" s="60"/>
      <c r="E131" s="184"/>
      <c r="F131" s="183"/>
      <c r="G131" s="184"/>
      <c r="H131" s="54"/>
      <c r="I131" s="9"/>
      <c r="J131" s="9"/>
      <c r="K131" s="185"/>
      <c r="L131" s="190"/>
    </row>
    <row r="132" spans="1:12">
      <c r="A132" s="72"/>
      <c r="B132" t="s">
        <v>207</v>
      </c>
      <c r="L132" s="12"/>
    </row>
    <row r="133" spans="1:12">
      <c r="A133" s="11"/>
      <c r="B133" t="s">
        <v>208</v>
      </c>
      <c r="L133" s="12"/>
    </row>
    <row r="134" spans="1:12">
      <c r="A134" s="11"/>
      <c r="B134" t="s">
        <v>219</v>
      </c>
      <c r="J134" t="s">
        <v>218</v>
      </c>
      <c r="L134" s="12"/>
    </row>
    <row r="135" spans="1:12">
      <c r="A135" s="11"/>
      <c r="G135" s="2" t="s">
        <v>216</v>
      </c>
      <c r="H135" s="2"/>
      <c r="I135" s="2"/>
      <c r="J135" s="2"/>
      <c r="K135" s="2"/>
      <c r="L135" s="68"/>
    </row>
    <row r="136" spans="1:12">
      <c r="A136" s="11"/>
      <c r="B136" s="2"/>
      <c r="G136" t="s">
        <v>217</v>
      </c>
      <c r="H136" s="2"/>
      <c r="I136" s="2"/>
      <c r="J136" s="2"/>
      <c r="K136" s="2"/>
      <c r="L136" s="68"/>
    </row>
    <row r="137" spans="1:12">
      <c r="A137" s="11"/>
      <c r="B137" s="173" t="s">
        <v>220</v>
      </c>
      <c r="C137" s="169"/>
      <c r="D137" s="169"/>
      <c r="E137" s="169"/>
      <c r="F137" s="169"/>
      <c r="G137" s="169"/>
      <c r="H137" s="158"/>
      <c r="I137" s="158"/>
      <c r="J137" s="158"/>
      <c r="K137" s="158"/>
      <c r="L137" s="176"/>
    </row>
    <row r="138" spans="1:12">
      <c r="A138" s="11"/>
      <c r="B138" s="173" t="s">
        <v>221</v>
      </c>
      <c r="C138" s="169"/>
      <c r="D138" s="169"/>
      <c r="E138" s="169"/>
      <c r="F138" s="169"/>
      <c r="G138" s="169"/>
      <c r="H138" s="158"/>
      <c r="I138" s="158"/>
      <c r="J138" s="159"/>
      <c r="K138" s="158"/>
      <c r="L138" s="176"/>
    </row>
    <row r="139" spans="1:12">
      <c r="A139" s="11"/>
      <c r="B139" s="73" t="s">
        <v>5</v>
      </c>
      <c r="C139" s="1284" t="s">
        <v>222</v>
      </c>
      <c r="D139" s="1248"/>
      <c r="E139" s="1248"/>
      <c r="F139" s="1248"/>
      <c r="G139" s="1248"/>
      <c r="H139" s="1285"/>
      <c r="I139" s="165" t="s">
        <v>104</v>
      </c>
      <c r="J139" s="1286" t="s">
        <v>223</v>
      </c>
      <c r="K139" s="1287"/>
      <c r="L139" s="1288"/>
    </row>
    <row r="140" spans="1:12">
      <c r="A140" s="11"/>
      <c r="B140" s="167">
        <v>1</v>
      </c>
      <c r="C140" s="201"/>
      <c r="D140" s="76"/>
      <c r="E140" s="82">
        <v>2</v>
      </c>
      <c r="F140" s="53"/>
      <c r="G140" s="1280"/>
      <c r="H140" s="1251"/>
      <c r="I140" s="76">
        <v>3</v>
      </c>
      <c r="J140" s="188" t="s">
        <v>224</v>
      </c>
      <c r="K140" s="1289">
        <v>4</v>
      </c>
      <c r="L140" s="1290"/>
    </row>
    <row r="141" spans="1:12">
      <c r="A141" s="11"/>
      <c r="B141" s="73"/>
      <c r="C141" s="201"/>
      <c r="D141" s="76"/>
      <c r="E141" s="82"/>
      <c r="F141" s="53"/>
      <c r="G141" s="1280"/>
      <c r="H141" s="1251"/>
      <c r="I141" s="185"/>
      <c r="J141" s="187"/>
      <c r="K141" s="1280"/>
      <c r="L141" s="1252"/>
    </row>
    <row r="142" spans="1:12">
      <c r="A142" s="11"/>
      <c r="B142" s="73"/>
      <c r="C142" s="201"/>
      <c r="D142" s="76"/>
      <c r="E142" s="82"/>
      <c r="F142" s="53"/>
      <c r="G142" s="1280"/>
      <c r="H142" s="1251"/>
      <c r="I142" s="185"/>
      <c r="J142" s="187"/>
      <c r="K142" s="1280"/>
      <c r="L142" s="1252"/>
    </row>
    <row r="143" spans="1:12">
      <c r="A143" s="11"/>
      <c r="B143" s="73"/>
      <c r="C143" s="201"/>
      <c r="D143" s="76"/>
      <c r="E143" s="82"/>
      <c r="F143" s="53"/>
      <c r="G143" s="1280"/>
      <c r="H143" s="1251"/>
      <c r="I143" s="185"/>
      <c r="J143" s="187"/>
      <c r="K143" s="1280"/>
      <c r="L143" s="1252"/>
    </row>
    <row r="144" spans="1:12">
      <c r="A144" s="11"/>
      <c r="B144" s="59"/>
      <c r="C144" s="201"/>
      <c r="D144" s="76"/>
      <c r="E144" s="82"/>
      <c r="F144" s="53"/>
      <c r="G144" s="1280"/>
      <c r="H144" s="1251"/>
      <c r="I144" s="185"/>
      <c r="J144" s="187"/>
      <c r="K144" s="1280"/>
      <c r="L144" s="1252"/>
    </row>
    <row r="145" spans="1:12">
      <c r="A145" s="11"/>
      <c r="B145" t="s">
        <v>228</v>
      </c>
      <c r="L145" s="12"/>
    </row>
    <row r="146" spans="1:12">
      <c r="A146" s="11"/>
      <c r="B146" t="s">
        <v>229</v>
      </c>
      <c r="L146" s="12"/>
    </row>
    <row r="147" spans="1:12">
      <c r="A147" s="11"/>
      <c r="B147" t="s">
        <v>230</v>
      </c>
      <c r="L147" s="12"/>
    </row>
    <row r="148" spans="1:12">
      <c r="A148" s="11"/>
      <c r="B148" t="s">
        <v>231</v>
      </c>
      <c r="L148" s="12"/>
    </row>
    <row r="149" spans="1:12">
      <c r="A149" s="11"/>
      <c r="B149" s="184" t="s">
        <v>225</v>
      </c>
      <c r="C149" s="53"/>
      <c r="D149" s="53"/>
      <c r="E149" s="53"/>
      <c r="F149" s="54"/>
      <c r="G149" s="184" t="s">
        <v>201</v>
      </c>
      <c r="H149" s="54"/>
      <c r="I149" s="184" t="s">
        <v>226</v>
      </c>
      <c r="J149" s="53"/>
      <c r="K149" s="54"/>
      <c r="L149" s="12"/>
    </row>
    <row r="150" spans="1:12">
      <c r="A150" s="11"/>
      <c r="B150" s="1253"/>
      <c r="C150" s="1279"/>
      <c r="D150" s="1279"/>
      <c r="E150" s="1279"/>
      <c r="F150" s="1254"/>
      <c r="G150" s="1253"/>
      <c r="H150" s="1254"/>
      <c r="I150" s="1253"/>
      <c r="J150" s="1279"/>
      <c r="K150" s="1254"/>
      <c r="L150" s="12"/>
    </row>
    <row r="151" spans="1:12">
      <c r="A151" s="11"/>
      <c r="B151" s="1253"/>
      <c r="C151" s="1279"/>
      <c r="D151" s="1279"/>
      <c r="E151" s="1279"/>
      <c r="F151" s="1254"/>
      <c r="G151" s="1253"/>
      <c r="H151" s="1254"/>
      <c r="I151" s="1253"/>
      <c r="J151" s="1279"/>
      <c r="K151" s="1254"/>
      <c r="L151" s="12"/>
    </row>
    <row r="152" spans="1:12">
      <c r="A152" s="11"/>
      <c r="B152" s="1253"/>
      <c r="C152" s="1279"/>
      <c r="D152" s="1279"/>
      <c r="E152" s="1279"/>
      <c r="F152" s="1254"/>
      <c r="G152" s="1253"/>
      <c r="H152" s="1254"/>
      <c r="I152" s="1253"/>
      <c r="J152" s="1279"/>
      <c r="K152" s="1254"/>
      <c r="L152" s="12"/>
    </row>
    <row r="153" spans="1:12">
      <c r="A153" s="11"/>
      <c r="B153" s="1253"/>
      <c r="C153" s="1279"/>
      <c r="D153" s="1279"/>
      <c r="E153" s="1279"/>
      <c r="F153" s="1254"/>
      <c r="G153" s="1253"/>
      <c r="H153" s="1254"/>
      <c r="I153" s="1253"/>
      <c r="J153" s="1279"/>
      <c r="K153" s="1254"/>
      <c r="L153" s="12"/>
    </row>
    <row r="154" spans="1:12" ht="27.95" customHeight="1">
      <c r="A154" s="11"/>
      <c r="L154" s="12"/>
    </row>
    <row r="155" spans="1:12" ht="27.95" customHeight="1">
      <c r="A155" s="11"/>
      <c r="B155" t="s">
        <v>198</v>
      </c>
      <c r="C155" s="282" t="e">
        <f>'4-22MASTER'!#REF!</f>
        <v>#REF!</v>
      </c>
      <c r="I155" t="s">
        <v>227</v>
      </c>
      <c r="L155" s="12"/>
    </row>
    <row r="156" spans="1:12" ht="27.95" customHeight="1">
      <c r="A156" s="11"/>
      <c r="F156" s="172" t="s">
        <v>193</v>
      </c>
      <c r="L156" s="12"/>
    </row>
    <row r="157" spans="1:12" ht="27.95" customHeight="1">
      <c r="A157" s="11" t="s">
        <v>194</v>
      </c>
      <c r="L157" s="12"/>
    </row>
    <row r="158" spans="1:12" ht="27.95" customHeight="1">
      <c r="A158" s="11" t="s">
        <v>195</v>
      </c>
      <c r="L158" s="12"/>
    </row>
    <row r="159" spans="1:12" ht="27.95" customHeight="1">
      <c r="A159" s="11"/>
      <c r="L159" s="12"/>
    </row>
    <row r="160" spans="1:12" ht="27.95" customHeight="1">
      <c r="A160" s="11"/>
      <c r="F160" t="s">
        <v>196</v>
      </c>
      <c r="L160" s="12"/>
    </row>
    <row r="161" spans="1:12" ht="27.95" customHeight="1">
      <c r="A161" s="11" t="s">
        <v>197</v>
      </c>
      <c r="B161" t="s">
        <v>361</v>
      </c>
      <c r="F161" t="str">
        <f>'4-22MASTER'!G5</f>
        <v>Burgeon IT Services Pvt.Ltd.</v>
      </c>
      <c r="L161" s="12"/>
    </row>
    <row r="162" spans="1:12" ht="27.95" customHeight="1" thickBot="1">
      <c r="A162" s="16" t="s">
        <v>198</v>
      </c>
      <c r="B162" s="285" t="e">
        <f>'4-22MASTER'!#REF!</f>
        <v>#REF!</v>
      </c>
      <c r="C162" s="14"/>
      <c r="D162" s="14"/>
      <c r="E162" s="14"/>
      <c r="F162" s="14" t="str">
        <f>'4-22MASTER'!G6</f>
        <v>Siri Mansion LIGB 436 Dr.A S Rao Nagar,Hyderabad</v>
      </c>
      <c r="G162" s="14"/>
      <c r="H162" s="14"/>
      <c r="I162" s="14"/>
      <c r="J162" s="14"/>
      <c r="K162" s="14"/>
      <c r="L162" s="15"/>
    </row>
    <row r="163" spans="1:12" ht="27.95" customHeight="1">
      <c r="A163" s="61"/>
      <c r="B163" s="62"/>
      <c r="C163" s="62"/>
      <c r="D163" s="177"/>
      <c r="E163" s="177"/>
      <c r="F163" s="177"/>
      <c r="G163" s="177"/>
      <c r="H163" s="177"/>
      <c r="I163" s="177"/>
      <c r="J163" s="62"/>
      <c r="K163" s="179" t="s">
        <v>212</v>
      </c>
      <c r="L163" s="178"/>
    </row>
    <row r="164" spans="1:12" ht="27.95" customHeight="1">
      <c r="A164" s="11"/>
      <c r="B164" s="1281" t="s">
        <v>211</v>
      </c>
      <c r="C164" s="1281"/>
      <c r="D164" s="1281"/>
      <c r="E164" s="1281"/>
      <c r="F164" s="1281"/>
      <c r="G164" s="1281"/>
      <c r="H164" s="1281"/>
      <c r="I164" s="1281"/>
      <c r="J164" s="1281"/>
      <c r="K164" s="1281"/>
      <c r="L164" s="1282"/>
    </row>
    <row r="165" spans="1:12" ht="27.95" customHeight="1">
      <c r="A165" s="11"/>
      <c r="B165" s="1275" t="s">
        <v>213</v>
      </c>
      <c r="C165" s="1275"/>
      <c r="D165" s="1275"/>
      <c r="E165" s="1275"/>
      <c r="F165" s="1275"/>
      <c r="G165" s="1275"/>
      <c r="H165" s="1275"/>
      <c r="I165" s="1275"/>
      <c r="J165" s="1275"/>
      <c r="K165" s="1275"/>
      <c r="L165" s="1283"/>
    </row>
    <row r="166" spans="1:12" ht="27.95" customHeight="1">
      <c r="A166" s="11"/>
      <c r="B166" s="180" t="s">
        <v>214</v>
      </c>
      <c r="C166" s="180"/>
      <c r="D166" s="180"/>
      <c r="E166" s="180"/>
      <c r="F166" s="180"/>
      <c r="H166" s="181"/>
      <c r="I166" s="181"/>
      <c r="J166" s="181"/>
      <c r="K166" s="181"/>
      <c r="L166" s="189"/>
    </row>
    <row r="167" spans="1:12" ht="27.95" customHeight="1">
      <c r="A167" s="11"/>
      <c r="B167" s="180"/>
      <c r="C167" s="180"/>
      <c r="D167" s="180"/>
      <c r="E167" s="180"/>
      <c r="F167" s="180"/>
      <c r="H167" s="181"/>
      <c r="I167" s="181"/>
      <c r="J167" s="181"/>
      <c r="K167" s="181"/>
      <c r="L167" s="189"/>
    </row>
    <row r="168" spans="1:12" ht="27.95" customHeight="1">
      <c r="A168" s="11"/>
      <c r="B168" s="1245" t="s">
        <v>184</v>
      </c>
      <c r="C168" s="1245"/>
      <c r="D168" s="1245"/>
      <c r="E168" s="1245"/>
      <c r="F168" s="1245"/>
      <c r="G168" s="1245"/>
      <c r="H168" s="1268" t="e">
        <f>'4-22MASTER'!#REF!</f>
        <v>#REF!</v>
      </c>
      <c r="I168" s="1260"/>
      <c r="J168" s="1260"/>
      <c r="K168" s="1260"/>
      <c r="L168" s="1110"/>
    </row>
    <row r="169" spans="1:12" ht="27.95" customHeight="1">
      <c r="A169" s="11"/>
      <c r="B169" s="1269" t="s">
        <v>185</v>
      </c>
      <c r="C169" s="1269"/>
      <c r="D169" s="1269"/>
      <c r="E169" s="1269"/>
      <c r="F169" s="1269"/>
      <c r="G169" s="1269"/>
      <c r="H169" s="1268" t="e">
        <f>'4-22MASTER'!#REF!</f>
        <v>#REF!</v>
      </c>
      <c r="I169" s="1260"/>
      <c r="J169" s="1260"/>
      <c r="K169" s="1260"/>
      <c r="L169" s="1110"/>
    </row>
    <row r="170" spans="1:12" ht="27.95" customHeight="1">
      <c r="A170" s="11"/>
      <c r="B170" s="1245" t="s">
        <v>186</v>
      </c>
      <c r="C170" s="1245"/>
      <c r="D170" s="1245"/>
      <c r="E170" s="1245"/>
      <c r="F170" s="1245"/>
      <c r="G170" s="1245"/>
      <c r="H170" s="1268" t="e">
        <f>'4-22MASTER'!#REF!</f>
        <v>#REF!</v>
      </c>
      <c r="I170" s="1260"/>
      <c r="J170" s="1260"/>
      <c r="K170" s="1260"/>
      <c r="L170" s="1110"/>
    </row>
    <row r="171" spans="1:12" ht="27.95" customHeight="1">
      <c r="A171" s="11"/>
      <c r="B171" s="1245" t="s">
        <v>187</v>
      </c>
      <c r="C171" s="1245"/>
      <c r="D171" s="1245"/>
      <c r="E171" s="1245"/>
      <c r="F171" s="1245"/>
      <c r="G171" s="1245"/>
      <c r="H171" s="1259" t="e">
        <f>'4-22MASTER'!#REF!</f>
        <v>#REF!</v>
      </c>
      <c r="I171" s="1260"/>
      <c r="J171" s="1260"/>
      <c r="K171" s="1260"/>
      <c r="L171" s="1110"/>
    </row>
    <row r="172" spans="1:12">
      <c r="A172" s="11"/>
      <c r="B172" s="73" t="s">
        <v>188</v>
      </c>
      <c r="C172" s="74"/>
      <c r="D172" s="74"/>
      <c r="E172" s="74"/>
      <c r="F172" s="74"/>
      <c r="G172" s="74"/>
      <c r="H172" s="1261" t="s">
        <v>189</v>
      </c>
      <c r="I172" s="1262"/>
      <c r="J172" s="1262"/>
      <c r="K172" s="1262"/>
      <c r="L172" s="1263"/>
    </row>
    <row r="173" spans="1:12">
      <c r="A173" s="11"/>
      <c r="B173" s="73" t="s">
        <v>190</v>
      </c>
      <c r="C173" s="74"/>
      <c r="D173" s="74"/>
      <c r="E173" s="74"/>
      <c r="F173" s="74"/>
      <c r="G173" s="74"/>
      <c r="H173" s="75"/>
      <c r="I173" s="76"/>
      <c r="J173" s="171"/>
      <c r="K173" s="76"/>
      <c r="L173" s="81"/>
    </row>
    <row r="174" spans="1:12">
      <c r="A174" s="11"/>
      <c r="B174" s="1264" t="s">
        <v>191</v>
      </c>
      <c r="C174" s="1264"/>
      <c r="D174" s="1264"/>
      <c r="E174" s="1264"/>
      <c r="F174" s="1264"/>
      <c r="G174" s="1264"/>
      <c r="H174" s="1265" t="e">
        <f>'4-22MASTER'!#REF!</f>
        <v>#REF!</v>
      </c>
      <c r="I174" s="1266"/>
      <c r="J174" s="1266"/>
      <c r="K174" s="1266"/>
      <c r="L174" s="1105"/>
    </row>
    <row r="175" spans="1:12">
      <c r="A175" s="11"/>
      <c r="B175" s="1245"/>
      <c r="C175" s="1245"/>
      <c r="D175" s="1245"/>
      <c r="E175" s="1245"/>
      <c r="F175" s="1245"/>
      <c r="G175" s="1245"/>
      <c r="H175" s="1267" t="e">
        <f>'4-22MASTER'!#REF!</f>
        <v>#REF!</v>
      </c>
      <c r="I175" s="1260"/>
      <c r="J175" s="1260"/>
      <c r="K175" s="1260"/>
      <c r="L175" s="1110"/>
    </row>
    <row r="176" spans="1:12">
      <c r="A176" s="11"/>
      <c r="B176" s="1245"/>
      <c r="C176" s="1245"/>
      <c r="D176" s="1245"/>
      <c r="E176" s="1245"/>
      <c r="F176" s="1245"/>
      <c r="G176" s="1245"/>
      <c r="H176" s="1268" t="e">
        <f>'4-22MASTER'!#REF!</f>
        <v>#REF!</v>
      </c>
      <c r="I176" s="1260"/>
      <c r="J176" s="1260"/>
      <c r="K176" s="1260"/>
      <c r="L176" s="1110"/>
    </row>
    <row r="177" spans="1:12">
      <c r="A177" s="11"/>
      <c r="G177" s="2" t="s">
        <v>215</v>
      </c>
      <c r="H177" s="2"/>
      <c r="I177" s="2"/>
      <c r="J177" s="2"/>
      <c r="K177" s="2"/>
      <c r="L177" s="68"/>
    </row>
    <row r="178" spans="1:12">
      <c r="A178" s="11"/>
      <c r="B178" s="173" t="s">
        <v>199</v>
      </c>
      <c r="C178" s="169"/>
      <c r="D178" s="169"/>
      <c r="E178" s="169"/>
      <c r="F178" s="169"/>
      <c r="G178" s="169"/>
      <c r="H178" s="158"/>
      <c r="I178" s="158"/>
      <c r="J178" s="158"/>
      <c r="K178" s="158"/>
      <c r="L178" s="176"/>
    </row>
    <row r="179" spans="1:12">
      <c r="A179" s="11"/>
      <c r="B179" s="173" t="s">
        <v>200</v>
      </c>
      <c r="C179" s="169"/>
      <c r="D179" s="169"/>
      <c r="E179" s="169"/>
      <c r="F179" s="169"/>
      <c r="G179" s="169"/>
      <c r="H179" s="158"/>
      <c r="I179" s="158"/>
      <c r="J179" s="159"/>
      <c r="K179" s="158"/>
      <c r="L179" s="176"/>
    </row>
    <row r="180" spans="1:12" ht="45">
      <c r="A180" s="72"/>
      <c r="B180" s="73" t="s">
        <v>203</v>
      </c>
      <c r="C180" s="74"/>
      <c r="D180" s="186"/>
      <c r="E180" s="164" t="s">
        <v>205</v>
      </c>
      <c r="F180" s="54"/>
      <c r="G180" s="1250" t="s">
        <v>204</v>
      </c>
      <c r="H180" s="1251"/>
      <c r="I180" s="163" t="s">
        <v>201</v>
      </c>
      <c r="J180" s="166" t="s">
        <v>206</v>
      </c>
      <c r="K180" s="1250" t="s">
        <v>202</v>
      </c>
      <c r="L180" s="1252"/>
    </row>
    <row r="181" spans="1:12">
      <c r="A181" s="72"/>
      <c r="B181" s="167">
        <v>1</v>
      </c>
      <c r="C181" s="74"/>
      <c r="D181" s="74"/>
      <c r="E181" s="170">
        <v>2</v>
      </c>
      <c r="F181" s="77"/>
      <c r="G181" s="170">
        <v>3</v>
      </c>
      <c r="H181" s="186"/>
      <c r="I181" s="186">
        <v>4</v>
      </c>
      <c r="J181" s="88">
        <v>5</v>
      </c>
      <c r="K181" s="79"/>
      <c r="L181" s="80">
        <v>6</v>
      </c>
    </row>
    <row r="182" spans="1:12">
      <c r="A182" s="72"/>
      <c r="B182" s="73" t="e">
        <f>'4-22MASTER'!#REF!</f>
        <v>#REF!</v>
      </c>
      <c r="C182" s="182"/>
      <c r="D182" s="183"/>
      <c r="E182" s="184" t="s">
        <v>365</v>
      </c>
      <c r="F182" s="183"/>
      <c r="G182" s="184" t="s">
        <v>363</v>
      </c>
      <c r="H182" s="54"/>
      <c r="I182" s="9" t="s">
        <v>366</v>
      </c>
      <c r="J182" s="283">
        <v>1</v>
      </c>
      <c r="K182" s="185" t="s">
        <v>37</v>
      </c>
      <c r="L182" s="190"/>
    </row>
    <row r="183" spans="1:12">
      <c r="A183" s="72"/>
      <c r="B183" s="73"/>
      <c r="C183" s="182"/>
      <c r="D183" s="183"/>
      <c r="E183" s="184"/>
      <c r="F183" s="183"/>
      <c r="G183" s="184"/>
      <c r="H183" s="54"/>
      <c r="I183" s="9"/>
      <c r="J183" s="9"/>
      <c r="K183" s="185"/>
      <c r="L183" s="190"/>
    </row>
    <row r="184" spans="1:12">
      <c r="A184" s="72"/>
      <c r="B184" s="73"/>
      <c r="C184" s="182"/>
      <c r="D184" s="183"/>
      <c r="E184" s="184"/>
      <c r="F184" s="183"/>
      <c r="G184" s="184"/>
      <c r="H184" s="54"/>
      <c r="I184" s="9"/>
      <c r="J184" s="9"/>
      <c r="K184" s="185"/>
      <c r="L184" s="190"/>
    </row>
    <row r="185" spans="1:12">
      <c r="A185" s="72"/>
      <c r="B185" s="59"/>
      <c r="C185" s="13"/>
      <c r="D185" s="60"/>
      <c r="E185" s="184"/>
      <c r="F185" s="183"/>
      <c r="G185" s="184"/>
      <c r="H185" s="54"/>
      <c r="I185" s="9"/>
      <c r="J185" s="9"/>
      <c r="K185" s="185"/>
      <c r="L185" s="190"/>
    </row>
    <row r="186" spans="1:12">
      <c r="A186" s="72"/>
      <c r="B186" t="s">
        <v>207</v>
      </c>
      <c r="L186" s="12"/>
    </row>
    <row r="187" spans="1:12">
      <c r="A187" s="11"/>
      <c r="B187" t="s">
        <v>208</v>
      </c>
      <c r="L187" s="12"/>
    </row>
    <row r="188" spans="1:12">
      <c r="A188" s="11"/>
      <c r="B188" t="s">
        <v>219</v>
      </c>
      <c r="J188" t="s">
        <v>218</v>
      </c>
      <c r="L188" s="12"/>
    </row>
    <row r="189" spans="1:12">
      <c r="A189" s="11"/>
      <c r="G189" s="2" t="s">
        <v>216</v>
      </c>
      <c r="H189" s="2"/>
      <c r="I189" s="2"/>
      <c r="J189" s="2"/>
      <c r="K189" s="2"/>
      <c r="L189" s="68"/>
    </row>
    <row r="190" spans="1:12">
      <c r="A190" s="11"/>
      <c r="B190" s="2"/>
      <c r="G190" t="s">
        <v>217</v>
      </c>
      <c r="H190" s="2"/>
      <c r="I190" s="2"/>
      <c r="J190" s="2"/>
      <c r="K190" s="2"/>
      <c r="L190" s="68"/>
    </row>
    <row r="191" spans="1:12">
      <c r="A191" s="11"/>
      <c r="B191" s="173" t="s">
        <v>220</v>
      </c>
      <c r="C191" s="169"/>
      <c r="D191" s="169"/>
      <c r="E191" s="169"/>
      <c r="F191" s="169"/>
      <c r="G191" s="169"/>
      <c r="H191" s="158"/>
      <c r="I191" s="158"/>
      <c r="J191" s="158"/>
      <c r="K191" s="158"/>
      <c r="L191" s="176"/>
    </row>
    <row r="192" spans="1:12">
      <c r="A192" s="11"/>
      <c r="B192" s="173" t="s">
        <v>221</v>
      </c>
      <c r="C192" s="169"/>
      <c r="D192" s="169"/>
      <c r="E192" s="169"/>
      <c r="F192" s="169"/>
      <c r="G192" s="169"/>
      <c r="H192" s="158"/>
      <c r="I192" s="158"/>
      <c r="J192" s="159"/>
      <c r="K192" s="158"/>
      <c r="L192" s="176"/>
    </row>
    <row r="193" spans="1:12">
      <c r="A193" s="11"/>
      <c r="B193" s="73" t="s">
        <v>5</v>
      </c>
      <c r="C193" s="1284" t="s">
        <v>222</v>
      </c>
      <c r="D193" s="1248"/>
      <c r="E193" s="1248"/>
      <c r="F193" s="1248"/>
      <c r="G193" s="1248"/>
      <c r="H193" s="1285"/>
      <c r="I193" s="165" t="s">
        <v>104</v>
      </c>
      <c r="J193" s="1286" t="s">
        <v>223</v>
      </c>
      <c r="K193" s="1287"/>
      <c r="L193" s="1288"/>
    </row>
    <row r="194" spans="1:12">
      <c r="A194" s="11"/>
      <c r="B194" s="167">
        <v>1</v>
      </c>
      <c r="C194" s="201"/>
      <c r="D194" s="76"/>
      <c r="E194" s="82">
        <v>2</v>
      </c>
      <c r="F194" s="53"/>
      <c r="G194" s="1280"/>
      <c r="H194" s="1251"/>
      <c r="I194" s="76">
        <v>3</v>
      </c>
      <c r="J194" s="188" t="s">
        <v>224</v>
      </c>
      <c r="K194" s="1289">
        <v>4</v>
      </c>
      <c r="L194" s="1290"/>
    </row>
    <row r="195" spans="1:12">
      <c r="A195" s="11"/>
      <c r="B195" s="73"/>
      <c r="C195" s="201"/>
      <c r="D195" s="76"/>
      <c r="E195" s="82"/>
      <c r="F195" s="53"/>
      <c r="G195" s="1280"/>
      <c r="H195" s="1251"/>
      <c r="I195" s="185"/>
      <c r="J195" s="187"/>
      <c r="K195" s="1280"/>
      <c r="L195" s="1252"/>
    </row>
    <row r="196" spans="1:12">
      <c r="A196" s="11"/>
      <c r="B196" s="73"/>
      <c r="C196" s="201"/>
      <c r="D196" s="76"/>
      <c r="E196" s="82"/>
      <c r="F196" s="53"/>
      <c r="G196" s="1280"/>
      <c r="H196" s="1251"/>
      <c r="I196" s="185"/>
      <c r="J196" s="187"/>
      <c r="K196" s="1280"/>
      <c r="L196" s="1252"/>
    </row>
    <row r="197" spans="1:12">
      <c r="A197" s="11"/>
      <c r="B197" s="73"/>
      <c r="C197" s="201"/>
      <c r="D197" s="76"/>
      <c r="E197" s="82"/>
      <c r="F197" s="53"/>
      <c r="G197" s="1280"/>
      <c r="H197" s="1251"/>
      <c r="I197" s="185"/>
      <c r="J197" s="187"/>
      <c r="K197" s="1280"/>
      <c r="L197" s="1252"/>
    </row>
    <row r="198" spans="1:12">
      <c r="A198" s="11"/>
      <c r="B198" s="59"/>
      <c r="C198" s="201"/>
      <c r="D198" s="76"/>
      <c r="E198" s="82"/>
      <c r="F198" s="53"/>
      <c r="G198" s="1280"/>
      <c r="H198" s="1251"/>
      <c r="I198" s="185"/>
      <c r="J198" s="187"/>
      <c r="K198" s="1280"/>
      <c r="L198" s="1252"/>
    </row>
    <row r="199" spans="1:12">
      <c r="A199" s="11"/>
      <c r="B199" t="s">
        <v>228</v>
      </c>
      <c r="L199" s="12"/>
    </row>
    <row r="200" spans="1:12">
      <c r="A200" s="11"/>
      <c r="B200" t="s">
        <v>229</v>
      </c>
      <c r="L200" s="12"/>
    </row>
    <row r="201" spans="1:12">
      <c r="A201" s="11"/>
      <c r="B201" t="s">
        <v>230</v>
      </c>
      <c r="L201" s="12"/>
    </row>
    <row r="202" spans="1:12">
      <c r="A202" s="11"/>
      <c r="B202" t="s">
        <v>231</v>
      </c>
      <c r="L202" s="12"/>
    </row>
    <row r="203" spans="1:12">
      <c r="A203" s="11"/>
      <c r="B203" s="184" t="s">
        <v>225</v>
      </c>
      <c r="C203" s="53"/>
      <c r="D203" s="53"/>
      <c r="E203" s="53"/>
      <c r="F203" s="54"/>
      <c r="G203" s="184" t="s">
        <v>201</v>
      </c>
      <c r="H203" s="54"/>
      <c r="I203" s="184" t="s">
        <v>226</v>
      </c>
      <c r="J203" s="53"/>
      <c r="K203" s="54"/>
      <c r="L203" s="12"/>
    </row>
    <row r="204" spans="1:12">
      <c r="A204" s="11"/>
      <c r="B204" s="1253"/>
      <c r="C204" s="1279"/>
      <c r="D204" s="1279"/>
      <c r="E204" s="1279"/>
      <c r="F204" s="1254"/>
      <c r="G204" s="1253"/>
      <c r="H204" s="1254"/>
      <c r="I204" s="1253"/>
      <c r="J204" s="1279"/>
      <c r="K204" s="1254"/>
      <c r="L204" s="12"/>
    </row>
    <row r="205" spans="1:12">
      <c r="A205" s="11"/>
      <c r="B205" s="1253"/>
      <c r="C205" s="1279"/>
      <c r="D205" s="1279"/>
      <c r="E205" s="1279"/>
      <c r="F205" s="1254"/>
      <c r="G205" s="1253"/>
      <c r="H205" s="1254"/>
      <c r="I205" s="1253"/>
      <c r="J205" s="1279"/>
      <c r="K205" s="1254"/>
      <c r="L205" s="12"/>
    </row>
    <row r="206" spans="1:12">
      <c r="A206" s="11"/>
      <c r="B206" s="1253"/>
      <c r="C206" s="1279"/>
      <c r="D206" s="1279"/>
      <c r="E206" s="1279"/>
      <c r="F206" s="1254"/>
      <c r="G206" s="1253"/>
      <c r="H206" s="1254"/>
      <c r="I206" s="1253"/>
      <c r="J206" s="1279"/>
      <c r="K206" s="1254"/>
      <c r="L206" s="12"/>
    </row>
    <row r="207" spans="1:12" ht="27.95" customHeight="1">
      <c r="A207" s="11"/>
      <c r="B207" s="1253"/>
      <c r="C207" s="1279"/>
      <c r="D207" s="1279"/>
      <c r="E207" s="1279"/>
      <c r="F207" s="1254"/>
      <c r="G207" s="1253"/>
      <c r="H207" s="1254"/>
      <c r="I207" s="1253"/>
      <c r="J207" s="1279"/>
      <c r="K207" s="1254"/>
      <c r="L207" s="12"/>
    </row>
    <row r="208" spans="1:12" ht="27.95" customHeight="1">
      <c r="A208" s="11"/>
      <c r="L208" s="12"/>
    </row>
    <row r="209" spans="1:12" ht="27.95" customHeight="1">
      <c r="A209" s="11"/>
      <c r="B209" t="s">
        <v>198</v>
      </c>
      <c r="C209" s="282" t="e">
        <f>'4-22MASTER'!#REF!</f>
        <v>#REF!</v>
      </c>
      <c r="I209" t="s">
        <v>227</v>
      </c>
      <c r="L209" s="12"/>
    </row>
    <row r="210" spans="1:12" ht="27.95" customHeight="1">
      <c r="A210" s="11"/>
      <c r="F210" s="172" t="s">
        <v>193</v>
      </c>
      <c r="L210" s="12"/>
    </row>
    <row r="211" spans="1:12" ht="27.95" customHeight="1">
      <c r="A211" s="11" t="s">
        <v>194</v>
      </c>
      <c r="K211" s="222" t="e">
        <f>'4-22MASTER'!#REF!</f>
        <v>#REF!</v>
      </c>
      <c r="L211" s="12"/>
    </row>
    <row r="212" spans="1:12" ht="27.95" customHeight="1">
      <c r="A212" s="11" t="s">
        <v>195</v>
      </c>
      <c r="L212" s="12"/>
    </row>
    <row r="213" spans="1:12" ht="27.95" customHeight="1">
      <c r="A213" s="11"/>
      <c r="L213" s="12"/>
    </row>
    <row r="214" spans="1:12" ht="27.95" customHeight="1">
      <c r="A214" s="11"/>
      <c r="F214" t="s">
        <v>196</v>
      </c>
      <c r="L214" s="12"/>
    </row>
    <row r="215" spans="1:12" ht="27.95" customHeight="1">
      <c r="A215" s="11" t="s">
        <v>197</v>
      </c>
      <c r="B215" t="s">
        <v>361</v>
      </c>
      <c r="F215" t="str">
        <f>'4-22MASTER'!G5</f>
        <v>Burgeon IT Services Pvt.Ltd.</v>
      </c>
      <c r="L215" s="12"/>
    </row>
    <row r="216" spans="1:12" ht="27.95" customHeight="1" thickBot="1">
      <c r="A216" s="16" t="s">
        <v>198</v>
      </c>
      <c r="B216" s="285" t="e">
        <f>'4-22MASTER'!#REF!</f>
        <v>#REF!</v>
      </c>
      <c r="C216" s="14"/>
      <c r="D216" s="14"/>
      <c r="E216" s="14"/>
      <c r="F216" s="14" t="str">
        <f>'4-22MASTER'!G6</f>
        <v>Siri Mansion LIGB 436 Dr.A S Rao Nagar,Hyderabad</v>
      </c>
      <c r="G216" s="14"/>
      <c r="H216" s="14"/>
      <c r="I216" s="14"/>
      <c r="J216" s="14"/>
      <c r="K216" s="14"/>
      <c r="L216" s="15"/>
    </row>
    <row r="217" spans="1:12" ht="27.95" customHeight="1">
      <c r="A217" s="61"/>
      <c r="B217" s="62"/>
      <c r="C217" s="62"/>
      <c r="D217" s="177"/>
      <c r="E217" s="177"/>
      <c r="F217" s="177"/>
      <c r="G217" s="177"/>
      <c r="H217" s="177"/>
      <c r="I217" s="177"/>
      <c r="J217" s="62"/>
      <c r="K217" s="179" t="s">
        <v>212</v>
      </c>
      <c r="L217" s="178"/>
    </row>
    <row r="218" spans="1:12" ht="27.95" customHeight="1">
      <c r="A218" s="11"/>
      <c r="B218" s="1281" t="s">
        <v>211</v>
      </c>
      <c r="C218" s="1281"/>
      <c r="D218" s="1281"/>
      <c r="E218" s="1281"/>
      <c r="F218" s="1281"/>
      <c r="G218" s="1281"/>
      <c r="H218" s="1281"/>
      <c r="I218" s="1281"/>
      <c r="J218" s="1281"/>
      <c r="K218" s="1281"/>
      <c r="L218" s="1282"/>
    </row>
    <row r="219" spans="1:12" ht="27.95" customHeight="1">
      <c r="A219" s="11"/>
      <c r="B219" s="1275" t="s">
        <v>213</v>
      </c>
      <c r="C219" s="1275"/>
      <c r="D219" s="1275"/>
      <c r="E219" s="1275"/>
      <c r="F219" s="1275"/>
      <c r="G219" s="1275"/>
      <c r="H219" s="1275"/>
      <c r="I219" s="1275"/>
      <c r="J219" s="1275"/>
      <c r="K219" s="1275"/>
      <c r="L219" s="1283"/>
    </row>
    <row r="220" spans="1:12" ht="27.95" customHeight="1">
      <c r="A220" s="11"/>
      <c r="B220" s="180" t="s">
        <v>214</v>
      </c>
      <c r="C220" s="180"/>
      <c r="D220" s="180"/>
      <c r="E220" s="180"/>
      <c r="F220" s="180"/>
      <c r="H220" s="181"/>
      <c r="I220" s="181"/>
      <c r="J220" s="181"/>
      <c r="K220" s="181"/>
      <c r="L220" s="189"/>
    </row>
    <row r="221" spans="1:12" ht="27.95" customHeight="1">
      <c r="A221" s="11"/>
      <c r="B221" s="180"/>
      <c r="C221" s="180"/>
      <c r="D221" s="180"/>
      <c r="E221" s="180"/>
      <c r="F221" s="180"/>
      <c r="H221" s="181"/>
      <c r="I221" s="181"/>
      <c r="J221" s="181"/>
      <c r="K221" s="181"/>
      <c r="L221" s="189"/>
    </row>
    <row r="222" spans="1:12" ht="27.95" customHeight="1">
      <c r="A222" s="11"/>
      <c r="B222" s="1245" t="s">
        <v>184</v>
      </c>
      <c r="C222" s="1245"/>
      <c r="D222" s="1245"/>
      <c r="E222" s="1245"/>
      <c r="F222" s="1245"/>
      <c r="G222" s="1245"/>
      <c r="H222" s="1268" t="e">
        <f>'4-22MASTER'!#REF!</f>
        <v>#REF!</v>
      </c>
      <c r="I222" s="1260"/>
      <c r="J222" s="1260"/>
      <c r="K222" s="1260"/>
      <c r="L222" s="1110"/>
    </row>
    <row r="223" spans="1:12" ht="27.95" customHeight="1">
      <c r="A223" s="11"/>
      <c r="B223" s="1269" t="s">
        <v>185</v>
      </c>
      <c r="C223" s="1269"/>
      <c r="D223" s="1269"/>
      <c r="E223" s="1269"/>
      <c r="F223" s="1269"/>
      <c r="G223" s="1269"/>
      <c r="H223" s="1268" t="e">
        <f>'4-22MASTER'!#REF!</f>
        <v>#REF!</v>
      </c>
      <c r="I223" s="1260"/>
      <c r="J223" s="1260"/>
      <c r="K223" s="1260"/>
      <c r="L223" s="1110"/>
    </row>
    <row r="224" spans="1:12" ht="27.95" customHeight="1">
      <c r="A224" s="11"/>
      <c r="B224" s="1245" t="s">
        <v>186</v>
      </c>
      <c r="C224" s="1245"/>
      <c r="D224" s="1245"/>
      <c r="E224" s="1245"/>
      <c r="F224" s="1245"/>
      <c r="G224" s="1245"/>
      <c r="H224" s="1268" t="e">
        <f>'4-22MASTER'!#REF!</f>
        <v>#REF!</v>
      </c>
      <c r="I224" s="1260"/>
      <c r="J224" s="1260"/>
      <c r="K224" s="1260"/>
      <c r="L224" s="1110"/>
    </row>
    <row r="225" spans="1:12">
      <c r="A225" s="11"/>
      <c r="B225" s="1245" t="s">
        <v>187</v>
      </c>
      <c r="C225" s="1245"/>
      <c r="D225" s="1245"/>
      <c r="E225" s="1245"/>
      <c r="F225" s="1245"/>
      <c r="G225" s="1245"/>
      <c r="H225" s="1259" t="e">
        <f>'4-22MASTER'!#REF!</f>
        <v>#REF!</v>
      </c>
      <c r="I225" s="1260"/>
      <c r="J225" s="1260"/>
      <c r="K225" s="1260"/>
      <c r="L225" s="1110"/>
    </row>
    <row r="226" spans="1:12">
      <c r="A226" s="11"/>
      <c r="B226" s="73" t="s">
        <v>188</v>
      </c>
      <c r="C226" s="74"/>
      <c r="D226" s="74"/>
      <c r="E226" s="74"/>
      <c r="F226" s="74"/>
      <c r="G226" s="74"/>
      <c r="H226" s="1261" t="s">
        <v>189</v>
      </c>
      <c r="I226" s="1262"/>
      <c r="J226" s="1262"/>
      <c r="K226" s="1262"/>
      <c r="L226" s="1263"/>
    </row>
    <row r="227" spans="1:12">
      <c r="A227" s="11"/>
      <c r="B227" s="73" t="s">
        <v>190</v>
      </c>
      <c r="C227" s="74"/>
      <c r="D227" s="74"/>
      <c r="E227" s="74"/>
      <c r="F227" s="74"/>
      <c r="G227" s="74"/>
      <c r="H227" s="75"/>
      <c r="I227" s="76"/>
      <c r="J227" s="171"/>
      <c r="K227" s="76"/>
      <c r="L227" s="81"/>
    </row>
    <row r="228" spans="1:12">
      <c r="A228" s="11"/>
      <c r="B228" s="1264" t="s">
        <v>191</v>
      </c>
      <c r="C228" s="1264"/>
      <c r="D228" s="1264"/>
      <c r="E228" s="1264"/>
      <c r="F228" s="1264"/>
      <c r="G228" s="1264"/>
      <c r="H228" s="1265" t="e">
        <f>'4-22MASTER'!#REF!</f>
        <v>#REF!</v>
      </c>
      <c r="I228" s="1266"/>
      <c r="J228" s="1266"/>
      <c r="K228" s="1266"/>
      <c r="L228" s="1105"/>
    </row>
    <row r="229" spans="1:12">
      <c r="A229" s="11"/>
      <c r="B229" s="1245"/>
      <c r="C229" s="1245"/>
      <c r="D229" s="1245"/>
      <c r="E229" s="1245"/>
      <c r="F229" s="1245"/>
      <c r="G229" s="1245"/>
      <c r="H229" s="1267" t="e">
        <f>'4-22MASTER'!#REF!</f>
        <v>#REF!</v>
      </c>
      <c r="I229" s="1260"/>
      <c r="J229" s="1260"/>
      <c r="K229" s="1260"/>
      <c r="L229" s="1110"/>
    </row>
    <row r="230" spans="1:12">
      <c r="A230" s="11"/>
      <c r="B230" s="1245"/>
      <c r="C230" s="1245"/>
      <c r="D230" s="1245"/>
      <c r="E230" s="1245"/>
      <c r="F230" s="1245"/>
      <c r="G230" s="1245"/>
      <c r="H230" s="1268" t="e">
        <f>'4-22MASTER'!#REF!</f>
        <v>#REF!</v>
      </c>
      <c r="I230" s="1260"/>
      <c r="J230" s="1260"/>
      <c r="K230" s="1260"/>
      <c r="L230" s="1110"/>
    </row>
    <row r="231" spans="1:12">
      <c r="A231" s="11"/>
      <c r="G231" s="2" t="s">
        <v>215</v>
      </c>
      <c r="H231" s="2"/>
      <c r="I231" s="2"/>
      <c r="J231" s="2"/>
      <c r="K231" s="2"/>
      <c r="L231" s="68"/>
    </row>
    <row r="232" spans="1:12">
      <c r="A232" s="11"/>
      <c r="B232" s="173" t="s">
        <v>199</v>
      </c>
      <c r="C232" s="169"/>
      <c r="D232" s="169"/>
      <c r="E232" s="169"/>
      <c r="F232" s="169"/>
      <c r="G232" s="169"/>
      <c r="H232" s="158"/>
      <c r="I232" s="158"/>
      <c r="J232" s="158"/>
      <c r="K232" s="158"/>
      <c r="L232" s="176"/>
    </row>
    <row r="233" spans="1:12">
      <c r="A233" s="11"/>
      <c r="B233" s="173" t="s">
        <v>200</v>
      </c>
      <c r="C233" s="169"/>
      <c r="D233" s="169"/>
      <c r="E233" s="169"/>
      <c r="F233" s="169"/>
      <c r="G233" s="169"/>
      <c r="H233" s="158"/>
      <c r="I233" s="158"/>
      <c r="J233" s="159"/>
      <c r="K233" s="158"/>
      <c r="L233" s="176"/>
    </row>
    <row r="234" spans="1:12" ht="45">
      <c r="A234" s="72"/>
      <c r="B234" s="73" t="s">
        <v>203</v>
      </c>
      <c r="C234" s="74"/>
      <c r="D234" s="186"/>
      <c r="E234" s="164" t="s">
        <v>205</v>
      </c>
      <c r="F234" s="54"/>
      <c r="G234" s="1250" t="s">
        <v>204</v>
      </c>
      <c r="H234" s="1251"/>
      <c r="I234" s="163" t="s">
        <v>201</v>
      </c>
      <c r="J234" s="166" t="s">
        <v>206</v>
      </c>
      <c r="K234" s="1250" t="s">
        <v>202</v>
      </c>
      <c r="L234" s="1252"/>
    </row>
    <row r="235" spans="1:12">
      <c r="A235" s="72"/>
      <c r="B235" s="167">
        <v>1</v>
      </c>
      <c r="C235" s="74"/>
      <c r="D235" s="74"/>
      <c r="E235" s="170">
        <v>2</v>
      </c>
      <c r="F235" s="77"/>
      <c r="G235" s="170">
        <v>3</v>
      </c>
      <c r="H235" s="186"/>
      <c r="I235" s="186">
        <v>4</v>
      </c>
      <c r="J235" s="88">
        <v>5</v>
      </c>
      <c r="K235" s="79"/>
      <c r="L235" s="80">
        <v>6</v>
      </c>
    </row>
    <row r="236" spans="1:12">
      <c r="A236" s="72"/>
      <c r="B236" s="73" t="e">
        <f>'4-22MASTER'!#REF!</f>
        <v>#REF!</v>
      </c>
      <c r="C236" s="182"/>
      <c r="D236" s="183"/>
      <c r="E236" s="184" t="s">
        <v>365</v>
      </c>
      <c r="F236" s="183"/>
      <c r="G236" s="184" t="s">
        <v>363</v>
      </c>
      <c r="H236" s="54"/>
      <c r="I236" s="9" t="s">
        <v>366</v>
      </c>
      <c r="J236" s="283">
        <v>1</v>
      </c>
      <c r="K236" s="185" t="s">
        <v>37</v>
      </c>
      <c r="L236" s="190"/>
    </row>
    <row r="237" spans="1:12">
      <c r="A237" s="72"/>
      <c r="B237" s="73"/>
      <c r="C237" s="182"/>
      <c r="D237" s="183"/>
      <c r="E237" s="184"/>
      <c r="F237" s="183"/>
      <c r="G237" s="184"/>
      <c r="H237" s="54"/>
      <c r="I237" s="9"/>
      <c r="J237" s="9"/>
      <c r="K237" s="185"/>
      <c r="L237" s="190"/>
    </row>
    <row r="238" spans="1:12">
      <c r="A238" s="72"/>
      <c r="B238" s="73"/>
      <c r="C238" s="182"/>
      <c r="D238" s="183"/>
      <c r="E238" s="184"/>
      <c r="F238" s="183"/>
      <c r="G238" s="184"/>
      <c r="H238" s="54"/>
      <c r="I238" s="9"/>
      <c r="J238" s="9"/>
      <c r="K238" s="185"/>
      <c r="L238" s="190"/>
    </row>
    <row r="239" spans="1:12">
      <c r="A239" s="72"/>
      <c r="B239" s="59"/>
      <c r="C239" s="13"/>
      <c r="D239" s="60"/>
      <c r="E239" s="184"/>
      <c r="F239" s="183"/>
      <c r="G239" s="184"/>
      <c r="H239" s="54"/>
      <c r="I239" s="9"/>
      <c r="J239" s="9"/>
      <c r="K239" s="185"/>
      <c r="L239" s="190"/>
    </row>
    <row r="240" spans="1:12">
      <c r="A240" s="72"/>
      <c r="B240" t="s">
        <v>207</v>
      </c>
      <c r="L240" s="12"/>
    </row>
    <row r="241" spans="1:12">
      <c r="A241" s="11"/>
      <c r="B241" t="s">
        <v>208</v>
      </c>
      <c r="L241" s="12"/>
    </row>
    <row r="242" spans="1:12">
      <c r="A242" s="11"/>
      <c r="B242" t="s">
        <v>219</v>
      </c>
      <c r="J242" t="s">
        <v>218</v>
      </c>
      <c r="L242" s="12"/>
    </row>
    <row r="243" spans="1:12">
      <c r="A243" s="11"/>
      <c r="G243" s="2" t="s">
        <v>216</v>
      </c>
      <c r="H243" s="2"/>
      <c r="I243" s="2"/>
      <c r="J243" s="2"/>
      <c r="K243" s="2"/>
      <c r="L243" s="68"/>
    </row>
    <row r="244" spans="1:12">
      <c r="A244" s="11"/>
      <c r="B244" s="2"/>
      <c r="G244" t="s">
        <v>217</v>
      </c>
      <c r="H244" s="2"/>
      <c r="I244" s="2"/>
      <c r="J244" s="2"/>
      <c r="K244" s="2"/>
      <c r="L244" s="68"/>
    </row>
    <row r="245" spans="1:12">
      <c r="A245" s="11"/>
      <c r="B245" s="173" t="s">
        <v>220</v>
      </c>
      <c r="C245" s="169"/>
      <c r="D245" s="169"/>
      <c r="E245" s="169"/>
      <c r="F245" s="169"/>
      <c r="G245" s="169"/>
      <c r="H245" s="158"/>
      <c r="I245" s="158"/>
      <c r="J245" s="158"/>
      <c r="K245" s="158"/>
      <c r="L245" s="176"/>
    </row>
    <row r="246" spans="1:12">
      <c r="A246" s="11"/>
      <c r="B246" s="173" t="s">
        <v>221</v>
      </c>
      <c r="C246" s="169"/>
      <c r="D246" s="169"/>
      <c r="E246" s="169"/>
      <c r="F246" s="169"/>
      <c r="G246" s="169"/>
      <c r="H246" s="158"/>
      <c r="I246" s="158"/>
      <c r="J246" s="159"/>
      <c r="K246" s="158"/>
      <c r="L246" s="176"/>
    </row>
    <row r="247" spans="1:12">
      <c r="A247" s="11"/>
      <c r="B247" s="73" t="s">
        <v>5</v>
      </c>
      <c r="C247" s="1284" t="s">
        <v>222</v>
      </c>
      <c r="D247" s="1248"/>
      <c r="E247" s="1248"/>
      <c r="F247" s="1248"/>
      <c r="G247" s="1248"/>
      <c r="H247" s="1285"/>
      <c r="I247" s="165" t="s">
        <v>104</v>
      </c>
      <c r="J247" s="1286" t="s">
        <v>223</v>
      </c>
      <c r="K247" s="1287"/>
      <c r="L247" s="1288"/>
    </row>
    <row r="248" spans="1:12">
      <c r="A248" s="11"/>
      <c r="B248" s="167">
        <v>1</v>
      </c>
      <c r="C248" s="201"/>
      <c r="D248" s="76"/>
      <c r="E248" s="82">
        <v>2</v>
      </c>
      <c r="F248" s="53"/>
      <c r="G248" s="1280"/>
      <c r="H248" s="1251"/>
      <c r="I248" s="76">
        <v>3</v>
      </c>
      <c r="J248" s="188" t="s">
        <v>224</v>
      </c>
      <c r="K248" s="1289">
        <v>4</v>
      </c>
      <c r="L248" s="1290"/>
    </row>
    <row r="249" spans="1:12">
      <c r="A249" s="11"/>
      <c r="B249" s="73"/>
      <c r="C249" s="201"/>
      <c r="D249" s="76"/>
      <c r="E249" s="82"/>
      <c r="F249" s="53"/>
      <c r="G249" s="1280"/>
      <c r="H249" s="1251"/>
      <c r="I249" s="185"/>
      <c r="J249" s="187"/>
      <c r="K249" s="1280"/>
      <c r="L249" s="1252"/>
    </row>
    <row r="250" spans="1:12">
      <c r="A250" s="11"/>
      <c r="B250" s="73"/>
      <c r="C250" s="201"/>
      <c r="D250" s="76"/>
      <c r="E250" s="82"/>
      <c r="F250" s="53"/>
      <c r="G250" s="1280"/>
      <c r="H250" s="1251"/>
      <c r="I250" s="185"/>
      <c r="J250" s="187"/>
      <c r="K250" s="1280"/>
      <c r="L250" s="1252"/>
    </row>
    <row r="251" spans="1:12">
      <c r="A251" s="11"/>
      <c r="B251" s="73"/>
      <c r="C251" s="201"/>
      <c r="D251" s="76"/>
      <c r="E251" s="82"/>
      <c r="F251" s="53"/>
      <c r="G251" s="1280"/>
      <c r="H251" s="1251"/>
      <c r="I251" s="185"/>
      <c r="J251" s="187"/>
      <c r="K251" s="1280"/>
      <c r="L251" s="1252"/>
    </row>
    <row r="252" spans="1:12">
      <c r="A252" s="11"/>
      <c r="B252" s="59"/>
      <c r="C252" s="201"/>
      <c r="D252" s="76"/>
      <c r="E252" s="82"/>
      <c r="F252" s="53"/>
      <c r="G252" s="1280"/>
      <c r="H252" s="1251"/>
      <c r="I252" s="185"/>
      <c r="J252" s="187"/>
      <c r="K252" s="1280"/>
      <c r="L252" s="1252"/>
    </row>
    <row r="253" spans="1:12">
      <c r="A253" s="11"/>
      <c r="B253" t="s">
        <v>228</v>
      </c>
      <c r="L253" s="12"/>
    </row>
    <row r="254" spans="1:12">
      <c r="A254" s="11"/>
      <c r="B254" t="s">
        <v>229</v>
      </c>
      <c r="L254" s="12"/>
    </row>
    <row r="255" spans="1:12">
      <c r="A255" s="11"/>
      <c r="B255" t="s">
        <v>230</v>
      </c>
      <c r="L255" s="12"/>
    </row>
    <row r="256" spans="1:12">
      <c r="A256" s="11"/>
      <c r="B256" t="s">
        <v>231</v>
      </c>
      <c r="L256" s="12"/>
    </row>
    <row r="257" spans="1:12">
      <c r="A257" s="11"/>
      <c r="B257" s="184" t="s">
        <v>225</v>
      </c>
      <c r="C257" s="53"/>
      <c r="D257" s="53"/>
      <c r="E257" s="53"/>
      <c r="F257" s="54"/>
      <c r="G257" s="184" t="s">
        <v>201</v>
      </c>
      <c r="H257" s="54"/>
      <c r="I257" s="184" t="s">
        <v>226</v>
      </c>
      <c r="J257" s="53"/>
      <c r="K257" s="54"/>
      <c r="L257" s="12"/>
    </row>
    <row r="258" spans="1:12">
      <c r="A258" s="11"/>
      <c r="B258" s="1253"/>
      <c r="C258" s="1279"/>
      <c r="D258" s="1279"/>
      <c r="E258" s="1279"/>
      <c r="F258" s="1254"/>
      <c r="G258" s="1253"/>
      <c r="H258" s="1254"/>
      <c r="I258" s="1253"/>
      <c r="J258" s="1279"/>
      <c r="K258" s="1254"/>
      <c r="L258" s="12"/>
    </row>
    <row r="259" spans="1:12">
      <c r="A259" s="11"/>
      <c r="B259" s="1253"/>
      <c r="C259" s="1279"/>
      <c r="D259" s="1279"/>
      <c r="E259" s="1279"/>
      <c r="F259" s="1254"/>
      <c r="G259" s="1253"/>
      <c r="H259" s="1254"/>
      <c r="I259" s="1253"/>
      <c r="J259" s="1279"/>
      <c r="K259" s="1254"/>
      <c r="L259" s="12"/>
    </row>
    <row r="260" spans="1:12" ht="27.95" customHeight="1">
      <c r="A260" s="11"/>
      <c r="B260" s="1253"/>
      <c r="C260" s="1279"/>
      <c r="D260" s="1279"/>
      <c r="E260" s="1279"/>
      <c r="F260" s="1254"/>
      <c r="G260" s="1253"/>
      <c r="H260" s="1254"/>
      <c r="I260" s="1253"/>
      <c r="J260" s="1279"/>
      <c r="K260" s="1254"/>
      <c r="L260" s="12"/>
    </row>
    <row r="261" spans="1:12" ht="27.95" customHeight="1">
      <c r="A261" s="11"/>
      <c r="B261" s="1253"/>
      <c r="C261" s="1279"/>
      <c r="D261" s="1279"/>
      <c r="E261" s="1279"/>
      <c r="F261" s="1254"/>
      <c r="G261" s="1253"/>
      <c r="H261" s="1254"/>
      <c r="I261" s="1253"/>
      <c r="J261" s="1279"/>
      <c r="K261" s="1254"/>
      <c r="L261" s="12"/>
    </row>
    <row r="262" spans="1:12" ht="27.95" customHeight="1">
      <c r="A262" s="11"/>
      <c r="L262" s="12"/>
    </row>
    <row r="263" spans="1:12" ht="27.95" customHeight="1">
      <c r="A263" s="11"/>
      <c r="B263" t="s">
        <v>198</v>
      </c>
      <c r="C263" s="282" t="e">
        <f>'4-22MASTER'!#REF!</f>
        <v>#REF!</v>
      </c>
      <c r="I263" t="s">
        <v>227</v>
      </c>
      <c r="L263" s="12"/>
    </row>
    <row r="264" spans="1:12" ht="27.95" customHeight="1">
      <c r="A264" s="11"/>
      <c r="F264" s="172" t="s">
        <v>193</v>
      </c>
      <c r="L264" s="12"/>
    </row>
    <row r="265" spans="1:12" ht="27.95" customHeight="1">
      <c r="A265" s="11" t="s">
        <v>194</v>
      </c>
      <c r="K265" s="222" t="e">
        <f>'4-22MASTER'!#REF!</f>
        <v>#REF!</v>
      </c>
      <c r="L265" s="12"/>
    </row>
    <row r="266" spans="1:12" ht="27.95" customHeight="1">
      <c r="A266" s="11" t="s">
        <v>195</v>
      </c>
      <c r="L266" s="12"/>
    </row>
    <row r="267" spans="1:12" ht="27.95" customHeight="1">
      <c r="A267" s="11"/>
      <c r="L267" s="12"/>
    </row>
    <row r="268" spans="1:12" ht="27.95" customHeight="1">
      <c r="A268" s="11"/>
      <c r="F268" t="s">
        <v>196</v>
      </c>
      <c r="L268" s="12"/>
    </row>
    <row r="269" spans="1:12" ht="27.95" customHeight="1">
      <c r="A269" s="11" t="s">
        <v>197</v>
      </c>
      <c r="B269" t="s">
        <v>361</v>
      </c>
      <c r="F269" s="242" t="str">
        <f>'4-22MASTER'!G5</f>
        <v>Burgeon IT Services Pvt.Ltd.</v>
      </c>
      <c r="L269" s="12"/>
    </row>
    <row r="270" spans="1:12" ht="27.95" customHeight="1" thickBot="1">
      <c r="A270" s="16" t="s">
        <v>198</v>
      </c>
      <c r="B270" s="285" t="e">
        <f>'4-22MASTER'!#REF!</f>
        <v>#REF!</v>
      </c>
      <c r="C270" s="14"/>
      <c r="D270" s="14"/>
      <c r="E270" s="14"/>
      <c r="F270" s="14" t="str">
        <f>'4-22MASTER'!G6</f>
        <v>Siri Mansion LIGB 436 Dr.A S Rao Nagar,Hyderabad</v>
      </c>
      <c r="G270" s="14"/>
      <c r="H270" s="14"/>
      <c r="I270" s="14"/>
      <c r="J270" s="14"/>
      <c r="K270" s="14"/>
      <c r="L270" s="15"/>
    </row>
    <row r="271" spans="1:12" ht="27.95" customHeight="1">
      <c r="A271" s="61"/>
      <c r="B271" s="62"/>
      <c r="C271" s="62"/>
      <c r="D271" s="177"/>
      <c r="E271" s="177"/>
      <c r="F271" s="177"/>
      <c r="G271" s="177"/>
      <c r="H271" s="177"/>
      <c r="I271" s="177"/>
      <c r="J271" s="62"/>
      <c r="K271" s="179" t="s">
        <v>212</v>
      </c>
      <c r="L271" s="178"/>
    </row>
    <row r="272" spans="1:12" ht="27.95" customHeight="1">
      <c r="A272" s="11"/>
      <c r="B272" s="1281" t="s">
        <v>211</v>
      </c>
      <c r="C272" s="1281"/>
      <c r="D272" s="1281"/>
      <c r="E272" s="1281"/>
      <c r="F272" s="1281"/>
      <c r="G272" s="1281"/>
      <c r="H272" s="1281"/>
      <c r="I272" s="1281"/>
      <c r="J272" s="1281"/>
      <c r="K272" s="1281"/>
      <c r="L272" s="1282"/>
    </row>
    <row r="273" spans="1:12" ht="27.95" customHeight="1">
      <c r="A273" s="11"/>
      <c r="B273" s="1275" t="s">
        <v>213</v>
      </c>
      <c r="C273" s="1275"/>
      <c r="D273" s="1275"/>
      <c r="E273" s="1275"/>
      <c r="F273" s="1275"/>
      <c r="G273" s="1275"/>
      <c r="H273" s="1275"/>
      <c r="I273" s="1275"/>
      <c r="J273" s="1275"/>
      <c r="K273" s="1275"/>
      <c r="L273" s="1283"/>
    </row>
    <row r="274" spans="1:12" ht="27.95" customHeight="1">
      <c r="A274" s="11"/>
      <c r="B274" s="180" t="s">
        <v>214</v>
      </c>
      <c r="C274" s="180"/>
      <c r="D274" s="180"/>
      <c r="E274" s="180"/>
      <c r="F274" s="180"/>
      <c r="H274" s="181"/>
      <c r="I274" s="181"/>
      <c r="J274" s="181"/>
      <c r="K274" s="181"/>
      <c r="L274" s="189"/>
    </row>
    <row r="275" spans="1:12" ht="27.95" customHeight="1">
      <c r="A275" s="11"/>
      <c r="B275" s="1245" t="s">
        <v>184</v>
      </c>
      <c r="C275" s="1245"/>
      <c r="D275" s="1245"/>
      <c r="E275" s="1245"/>
      <c r="F275" s="1245"/>
      <c r="G275" s="1245"/>
      <c r="H275" s="1268" t="e">
        <f>'4-22MASTER'!#REF!</f>
        <v>#REF!</v>
      </c>
      <c r="I275" s="1260"/>
      <c r="J275" s="1260"/>
      <c r="K275" s="1260"/>
      <c r="L275" s="1110"/>
    </row>
    <row r="276" spans="1:12" ht="27.95" customHeight="1">
      <c r="A276" s="11"/>
      <c r="B276" s="1269" t="s">
        <v>185</v>
      </c>
      <c r="C276" s="1269"/>
      <c r="D276" s="1269"/>
      <c r="E276" s="1269"/>
      <c r="F276" s="1269"/>
      <c r="G276" s="1269"/>
      <c r="H276" s="1268" t="e">
        <f>'4-22MASTER'!#REF!</f>
        <v>#REF!</v>
      </c>
      <c r="I276" s="1260"/>
      <c r="J276" s="1260"/>
      <c r="K276" s="1260"/>
      <c r="L276" s="1110"/>
    </row>
    <row r="277" spans="1:12">
      <c r="A277" s="11"/>
      <c r="B277" s="1245" t="s">
        <v>186</v>
      </c>
      <c r="C277" s="1245"/>
      <c r="D277" s="1245"/>
      <c r="E277" s="1245"/>
      <c r="F277" s="1245"/>
      <c r="G277" s="1245"/>
      <c r="H277" s="1268" t="e">
        <f>'4-22MASTER'!#REF!</f>
        <v>#REF!</v>
      </c>
      <c r="I277" s="1260"/>
      <c r="J277" s="1260"/>
      <c r="K277" s="1260"/>
      <c r="L277" s="1110"/>
    </row>
    <row r="278" spans="1:12">
      <c r="A278" s="11"/>
      <c r="B278" s="1245" t="s">
        <v>187</v>
      </c>
      <c r="C278" s="1245"/>
      <c r="D278" s="1245"/>
      <c r="E278" s="1245"/>
      <c r="F278" s="1245"/>
      <c r="G278" s="1245"/>
      <c r="H278" s="1259" t="e">
        <f>'4-22MASTER'!#REF!</f>
        <v>#REF!</v>
      </c>
      <c r="I278" s="1260"/>
      <c r="J278" s="1260"/>
      <c r="K278" s="1260"/>
      <c r="L278" s="1110"/>
    </row>
    <row r="279" spans="1:12">
      <c r="A279" s="11"/>
      <c r="B279" s="73" t="s">
        <v>188</v>
      </c>
      <c r="C279" s="74"/>
      <c r="D279" s="74"/>
      <c r="E279" s="74"/>
      <c r="F279" s="74"/>
      <c r="G279" s="74"/>
      <c r="H279" s="1261" t="s">
        <v>189</v>
      </c>
      <c r="I279" s="1262"/>
      <c r="J279" s="1262"/>
      <c r="K279" s="1262"/>
      <c r="L279" s="1263"/>
    </row>
    <row r="280" spans="1:12">
      <c r="A280" s="11"/>
      <c r="B280" s="73" t="s">
        <v>190</v>
      </c>
      <c r="C280" s="74"/>
      <c r="D280" s="74"/>
      <c r="E280" s="74"/>
      <c r="F280" s="74"/>
      <c r="G280" s="74"/>
      <c r="H280" s="75"/>
      <c r="I280" s="76"/>
      <c r="J280" s="171"/>
      <c r="K280" s="76"/>
      <c r="L280" s="81"/>
    </row>
    <row r="281" spans="1:12">
      <c r="A281" s="11"/>
      <c r="B281" s="1264" t="s">
        <v>191</v>
      </c>
      <c r="C281" s="1264"/>
      <c r="D281" s="1264"/>
      <c r="E281" s="1264"/>
      <c r="F281" s="1264"/>
      <c r="G281" s="1264"/>
      <c r="H281" s="1265" t="e">
        <f>'4-22MASTER'!#REF!</f>
        <v>#REF!</v>
      </c>
      <c r="I281" s="1266"/>
      <c r="J281" s="1266"/>
      <c r="K281" s="1266"/>
      <c r="L281" s="1105"/>
    </row>
    <row r="282" spans="1:12">
      <c r="A282" s="11"/>
      <c r="B282" s="1245"/>
      <c r="C282" s="1245"/>
      <c r="D282" s="1245"/>
      <c r="E282" s="1245"/>
      <c r="F282" s="1245"/>
      <c r="G282" s="1245"/>
      <c r="H282" s="1267" t="e">
        <f>'4-22MASTER'!#REF!</f>
        <v>#REF!</v>
      </c>
      <c r="I282" s="1260"/>
      <c r="J282" s="1260"/>
      <c r="K282" s="1260"/>
      <c r="L282" s="1110"/>
    </row>
    <row r="283" spans="1:12">
      <c r="A283" s="11"/>
      <c r="B283" s="1245"/>
      <c r="C283" s="1245"/>
      <c r="D283" s="1245"/>
      <c r="E283" s="1245"/>
      <c r="F283" s="1245"/>
      <c r="G283" s="1245"/>
      <c r="H283" s="1268" t="e">
        <f>'4-22MASTER'!#REF!</f>
        <v>#REF!</v>
      </c>
      <c r="I283" s="1260"/>
      <c r="J283" s="1260"/>
      <c r="K283" s="1260"/>
      <c r="L283" s="1110"/>
    </row>
    <row r="284" spans="1:12">
      <c r="A284" s="11"/>
      <c r="G284" s="2" t="s">
        <v>215</v>
      </c>
      <c r="H284" s="2"/>
      <c r="I284" s="2"/>
      <c r="J284" s="2"/>
      <c r="K284" s="2"/>
      <c r="L284" s="68"/>
    </row>
    <row r="285" spans="1:12">
      <c r="A285" s="11"/>
      <c r="B285" s="173" t="s">
        <v>199</v>
      </c>
      <c r="C285" s="169"/>
      <c r="D285" s="169"/>
      <c r="E285" s="169"/>
      <c r="F285" s="169"/>
      <c r="G285" s="169"/>
      <c r="H285" s="158"/>
      <c r="I285" s="158"/>
      <c r="J285" s="158"/>
      <c r="K285" s="158"/>
      <c r="L285" s="176"/>
    </row>
    <row r="286" spans="1:12">
      <c r="A286" s="11"/>
      <c r="B286" s="173" t="s">
        <v>200</v>
      </c>
      <c r="C286" s="169"/>
      <c r="D286" s="169"/>
      <c r="E286" s="169"/>
      <c r="F286" s="169"/>
      <c r="G286" s="169"/>
      <c r="H286" s="158"/>
      <c r="I286" s="158"/>
      <c r="J286" s="159"/>
      <c r="K286" s="158"/>
      <c r="L286" s="176"/>
    </row>
    <row r="287" spans="1:12" ht="45">
      <c r="A287" s="72"/>
      <c r="B287" s="73" t="s">
        <v>203</v>
      </c>
      <c r="C287" s="74"/>
      <c r="D287" s="186"/>
      <c r="E287" s="164" t="s">
        <v>205</v>
      </c>
      <c r="F287" s="54"/>
      <c r="G287" s="1250" t="s">
        <v>204</v>
      </c>
      <c r="H287" s="1251"/>
      <c r="I287" s="163" t="s">
        <v>201</v>
      </c>
      <c r="J287" s="166" t="s">
        <v>206</v>
      </c>
      <c r="K287" s="1250" t="s">
        <v>202</v>
      </c>
      <c r="L287" s="1252"/>
    </row>
    <row r="288" spans="1:12">
      <c r="A288" s="72"/>
      <c r="B288" s="167">
        <v>1</v>
      </c>
      <c r="C288" s="74"/>
      <c r="D288" s="74"/>
      <c r="E288" s="170">
        <v>2</v>
      </c>
      <c r="F288" s="77"/>
      <c r="G288" s="170">
        <v>3</v>
      </c>
      <c r="H288" s="186"/>
      <c r="I288" s="186">
        <v>4</v>
      </c>
      <c r="J288" s="88">
        <v>5</v>
      </c>
      <c r="K288" s="79"/>
      <c r="L288" s="80">
        <v>6</v>
      </c>
    </row>
    <row r="289" spans="1:12">
      <c r="A289" s="72"/>
      <c r="B289" s="73" t="e">
        <f>'4-22MASTER'!#REF!</f>
        <v>#REF!</v>
      </c>
      <c r="C289" s="182"/>
      <c r="D289" s="183"/>
      <c r="E289" s="184" t="s">
        <v>365</v>
      </c>
      <c r="F289" s="183"/>
      <c r="G289" s="184" t="s">
        <v>363</v>
      </c>
      <c r="H289" s="54"/>
      <c r="I289" s="9" t="s">
        <v>366</v>
      </c>
      <c r="J289" s="283">
        <v>1</v>
      </c>
      <c r="K289" s="185" t="s">
        <v>37</v>
      </c>
      <c r="L289" s="190"/>
    </row>
    <row r="290" spans="1:12">
      <c r="A290" s="72"/>
      <c r="B290" s="73"/>
      <c r="C290" s="182"/>
      <c r="D290" s="183"/>
      <c r="E290" s="184"/>
      <c r="F290" s="183"/>
      <c r="G290" s="184"/>
      <c r="H290" s="54"/>
      <c r="I290" s="9"/>
      <c r="J290" s="9"/>
      <c r="K290" s="185"/>
      <c r="L290" s="190"/>
    </row>
    <row r="291" spans="1:12">
      <c r="A291" s="72"/>
      <c r="B291" s="73"/>
      <c r="C291" s="182"/>
      <c r="D291" s="183"/>
      <c r="E291" s="184"/>
      <c r="F291" s="183"/>
      <c r="G291" s="184"/>
      <c r="H291" s="54"/>
      <c r="I291" s="9"/>
      <c r="J291" s="9"/>
      <c r="K291" s="185"/>
      <c r="L291" s="190"/>
    </row>
    <row r="292" spans="1:12">
      <c r="A292" s="72"/>
      <c r="B292" s="59"/>
      <c r="C292" s="13"/>
      <c r="D292" s="60"/>
      <c r="E292" s="184"/>
      <c r="F292" s="183"/>
      <c r="G292" s="184"/>
      <c r="H292" s="54"/>
      <c r="I292" s="9"/>
      <c r="J292" s="9"/>
      <c r="K292" s="185"/>
      <c r="L292" s="190"/>
    </row>
    <row r="293" spans="1:12">
      <c r="A293" s="72"/>
      <c r="B293" t="s">
        <v>207</v>
      </c>
      <c r="L293" s="12"/>
    </row>
    <row r="294" spans="1:12">
      <c r="A294" s="11"/>
      <c r="B294" t="s">
        <v>208</v>
      </c>
      <c r="L294" s="12"/>
    </row>
    <row r="295" spans="1:12">
      <c r="A295" s="11"/>
      <c r="B295" t="s">
        <v>219</v>
      </c>
      <c r="J295" t="s">
        <v>218</v>
      </c>
      <c r="L295" s="12"/>
    </row>
    <row r="296" spans="1:12">
      <c r="A296" s="11"/>
      <c r="G296" s="2" t="s">
        <v>216</v>
      </c>
      <c r="H296" s="2"/>
      <c r="I296" s="2"/>
      <c r="J296" s="2"/>
      <c r="K296" s="2"/>
      <c r="L296" s="68"/>
    </row>
    <row r="297" spans="1:12">
      <c r="A297" s="11"/>
      <c r="B297" s="2"/>
      <c r="G297" t="s">
        <v>217</v>
      </c>
      <c r="H297" s="2"/>
      <c r="I297" s="2"/>
      <c r="J297" s="2"/>
      <c r="K297" s="2"/>
      <c r="L297" s="68"/>
    </row>
    <row r="298" spans="1:12">
      <c r="A298" s="11"/>
      <c r="B298" s="173" t="s">
        <v>220</v>
      </c>
      <c r="C298" s="169"/>
      <c r="D298" s="169"/>
      <c r="E298" s="169"/>
      <c r="F298" s="169"/>
      <c r="G298" s="169"/>
      <c r="H298" s="158"/>
      <c r="I298" s="158"/>
      <c r="J298" s="158"/>
      <c r="K298" s="158"/>
      <c r="L298" s="176"/>
    </row>
    <row r="299" spans="1:12">
      <c r="A299" s="11"/>
      <c r="B299" s="173" t="s">
        <v>221</v>
      </c>
      <c r="C299" s="169"/>
      <c r="D299" s="169"/>
      <c r="E299" s="169"/>
      <c r="F299" s="169"/>
      <c r="G299" s="169"/>
      <c r="H299" s="158"/>
      <c r="I299" s="158"/>
      <c r="J299" s="159"/>
      <c r="K299" s="158"/>
      <c r="L299" s="176"/>
    </row>
    <row r="300" spans="1:12">
      <c r="A300" s="11"/>
      <c r="B300" s="73" t="s">
        <v>5</v>
      </c>
      <c r="C300" s="1284" t="s">
        <v>222</v>
      </c>
      <c r="D300" s="1248"/>
      <c r="E300" s="1248"/>
      <c r="F300" s="1248"/>
      <c r="G300" s="1248"/>
      <c r="H300" s="1285"/>
      <c r="I300" s="165" t="s">
        <v>104</v>
      </c>
      <c r="J300" s="1286" t="s">
        <v>223</v>
      </c>
      <c r="K300" s="1287"/>
      <c r="L300" s="1288"/>
    </row>
    <row r="301" spans="1:12">
      <c r="A301" s="11"/>
      <c r="B301" s="167">
        <v>1</v>
      </c>
      <c r="C301" s="201"/>
      <c r="D301" s="76"/>
      <c r="E301" s="82">
        <v>2</v>
      </c>
      <c r="F301" s="53"/>
      <c r="G301" s="1280"/>
      <c r="H301" s="1251"/>
      <c r="I301" s="76">
        <v>3</v>
      </c>
      <c r="J301" s="188" t="s">
        <v>224</v>
      </c>
      <c r="K301" s="1289">
        <v>4</v>
      </c>
      <c r="L301" s="1290"/>
    </row>
    <row r="302" spans="1:12">
      <c r="A302" s="11"/>
      <c r="B302" s="73"/>
      <c r="C302" s="201"/>
      <c r="D302" s="76"/>
      <c r="E302" s="82"/>
      <c r="F302" s="53"/>
      <c r="G302" s="1280"/>
      <c r="H302" s="1251"/>
      <c r="I302" s="185"/>
      <c r="J302" s="187"/>
      <c r="K302" s="1280"/>
      <c r="L302" s="1252"/>
    </row>
    <row r="303" spans="1:12">
      <c r="A303" s="11"/>
      <c r="B303" s="73"/>
      <c r="C303" s="201"/>
      <c r="D303" s="76"/>
      <c r="E303" s="82"/>
      <c r="F303" s="53"/>
      <c r="G303" s="1280"/>
      <c r="H303" s="1251"/>
      <c r="I303" s="185"/>
      <c r="J303" s="187"/>
      <c r="K303" s="1280"/>
      <c r="L303" s="1252"/>
    </row>
    <row r="304" spans="1:12">
      <c r="A304" s="11"/>
      <c r="B304" s="73"/>
      <c r="C304" s="201"/>
      <c r="D304" s="76"/>
      <c r="E304" s="82"/>
      <c r="F304" s="53"/>
      <c r="G304" s="1280"/>
      <c r="H304" s="1251"/>
      <c r="I304" s="185"/>
      <c r="J304" s="187"/>
      <c r="K304" s="1280"/>
      <c r="L304" s="1252"/>
    </row>
    <row r="305" spans="1:12">
      <c r="A305" s="11"/>
      <c r="B305" s="59"/>
      <c r="C305" s="201"/>
      <c r="D305" s="76"/>
      <c r="E305" s="82"/>
      <c r="F305" s="53"/>
      <c r="G305" s="1280"/>
      <c r="H305" s="1251"/>
      <c r="I305" s="185"/>
      <c r="J305" s="187"/>
      <c r="K305" s="1280"/>
      <c r="L305" s="1252"/>
    </row>
    <row r="306" spans="1:12">
      <c r="A306" s="11"/>
      <c r="B306" t="s">
        <v>228</v>
      </c>
      <c r="L306" s="12"/>
    </row>
    <row r="307" spans="1:12">
      <c r="A307" s="11"/>
      <c r="B307" t="s">
        <v>229</v>
      </c>
      <c r="L307" s="12"/>
    </row>
    <row r="308" spans="1:12">
      <c r="A308" s="11"/>
      <c r="B308" t="s">
        <v>230</v>
      </c>
      <c r="L308" s="12"/>
    </row>
    <row r="309" spans="1:12">
      <c r="A309" s="11"/>
      <c r="B309" t="s">
        <v>231</v>
      </c>
      <c r="L309" s="12"/>
    </row>
    <row r="310" spans="1:12">
      <c r="A310" s="11"/>
      <c r="B310" s="184" t="s">
        <v>225</v>
      </c>
      <c r="C310" s="53"/>
      <c r="D310" s="53"/>
      <c r="E310" s="53"/>
      <c r="F310" s="54"/>
      <c r="G310" s="184" t="s">
        <v>201</v>
      </c>
      <c r="H310" s="54"/>
      <c r="I310" s="184" t="s">
        <v>226</v>
      </c>
      <c r="J310" s="53"/>
      <c r="K310" s="54"/>
      <c r="L310" s="12"/>
    </row>
    <row r="311" spans="1:12">
      <c r="A311" s="11"/>
      <c r="B311" s="1253"/>
      <c r="C311" s="1279"/>
      <c r="D311" s="1279"/>
      <c r="E311" s="1279"/>
      <c r="F311" s="1254"/>
      <c r="G311" s="1253"/>
      <c r="H311" s="1254"/>
      <c r="I311" s="1253"/>
      <c r="J311" s="1279"/>
      <c r="K311" s="1254"/>
      <c r="L311" s="12"/>
    </row>
    <row r="312" spans="1:12" ht="27.95" customHeight="1">
      <c r="A312" s="11"/>
      <c r="B312" s="1253"/>
      <c r="C312" s="1279"/>
      <c r="D312" s="1279"/>
      <c r="E312" s="1279"/>
      <c r="F312" s="1254"/>
      <c r="G312" s="1253"/>
      <c r="H312" s="1254"/>
      <c r="I312" s="1253"/>
      <c r="J312" s="1279"/>
      <c r="K312" s="1254"/>
      <c r="L312" s="12"/>
    </row>
    <row r="313" spans="1:12" ht="27.95" customHeight="1">
      <c r="A313" s="11"/>
      <c r="B313" s="1253"/>
      <c r="C313" s="1279"/>
      <c r="D313" s="1279"/>
      <c r="E313" s="1279"/>
      <c r="F313" s="1254"/>
      <c r="G313" s="1253"/>
      <c r="H313" s="1254"/>
      <c r="I313" s="1253"/>
      <c r="J313" s="1279"/>
      <c r="K313" s="1254"/>
      <c r="L313" s="12"/>
    </row>
    <row r="314" spans="1:12" ht="27.95" customHeight="1">
      <c r="A314" s="11"/>
      <c r="B314" s="1253"/>
      <c r="C314" s="1279"/>
      <c r="D314" s="1279"/>
      <c r="E314" s="1279"/>
      <c r="F314" s="1254"/>
      <c r="G314" s="1253"/>
      <c r="H314" s="1254"/>
      <c r="I314" s="1253"/>
      <c r="J314" s="1279"/>
      <c r="K314" s="1254"/>
      <c r="L314" s="12"/>
    </row>
    <row r="315" spans="1:12" ht="27.95" customHeight="1">
      <c r="A315" s="11"/>
      <c r="L315" s="12"/>
    </row>
    <row r="316" spans="1:12" ht="27.95" customHeight="1">
      <c r="A316" s="11"/>
      <c r="B316" t="s">
        <v>198</v>
      </c>
      <c r="C316" s="282" t="e">
        <f>'4-22MASTER'!#REF!</f>
        <v>#REF!</v>
      </c>
      <c r="I316" t="s">
        <v>227</v>
      </c>
      <c r="L316" s="12"/>
    </row>
    <row r="317" spans="1:12" ht="27.95" customHeight="1">
      <c r="A317" s="11"/>
      <c r="F317" s="172" t="s">
        <v>193</v>
      </c>
      <c r="L317" s="12"/>
    </row>
    <row r="318" spans="1:12" ht="27.95" customHeight="1">
      <c r="A318" s="11" t="s">
        <v>194</v>
      </c>
      <c r="K318" s="222" t="e">
        <f>'4-22MASTER'!#REF!</f>
        <v>#REF!</v>
      </c>
      <c r="L318" s="12"/>
    </row>
    <row r="319" spans="1:12" ht="27.95" customHeight="1">
      <c r="A319" s="11" t="s">
        <v>195</v>
      </c>
      <c r="L319" s="12"/>
    </row>
    <row r="320" spans="1:12" ht="27.95" customHeight="1">
      <c r="A320" s="11"/>
      <c r="L320" s="12"/>
    </row>
    <row r="321" spans="1:12" ht="27.95" customHeight="1">
      <c r="A321" s="11"/>
      <c r="F321" t="s">
        <v>196</v>
      </c>
      <c r="L321" s="12"/>
    </row>
    <row r="322" spans="1:12" ht="27.95" customHeight="1">
      <c r="A322" s="11" t="s">
        <v>197</v>
      </c>
      <c r="B322" t="s">
        <v>361</v>
      </c>
      <c r="F322" t="str">
        <f>'4-22MASTER'!G5</f>
        <v>Burgeon IT Services Pvt.Ltd.</v>
      </c>
      <c r="L322" s="12"/>
    </row>
    <row r="323" spans="1:12" ht="27.95" customHeight="1" thickBot="1">
      <c r="A323" s="16" t="s">
        <v>198</v>
      </c>
      <c r="B323" s="285" t="e">
        <f>'4-22MASTER'!#REF!</f>
        <v>#REF!</v>
      </c>
      <c r="C323" s="14"/>
      <c r="D323" s="14"/>
      <c r="E323" s="14"/>
      <c r="F323" s="14" t="str">
        <f>'4-22MASTER'!G6</f>
        <v>Siri Mansion LIGB 436 Dr.A S Rao Nagar,Hyderabad</v>
      </c>
      <c r="G323" s="14"/>
      <c r="H323" s="14"/>
      <c r="I323" s="14"/>
      <c r="J323" s="14"/>
      <c r="K323" s="14"/>
      <c r="L323" s="15"/>
    </row>
    <row r="324" spans="1:12" ht="27.95" customHeight="1" thickBot="1">
      <c r="A324" s="11"/>
      <c r="B324" s="282"/>
      <c r="L324" s="12"/>
    </row>
    <row r="325" spans="1:12" ht="27.95" customHeight="1">
      <c r="A325" s="61"/>
      <c r="B325" s="62"/>
      <c r="C325" s="62"/>
      <c r="D325" s="177"/>
      <c r="E325" s="177"/>
      <c r="F325" s="177"/>
      <c r="G325" s="177"/>
      <c r="H325" s="177"/>
      <c r="I325" s="177"/>
      <c r="J325" s="62"/>
      <c r="K325" s="179" t="s">
        <v>212</v>
      </c>
      <c r="L325" s="178"/>
    </row>
    <row r="326" spans="1:12" ht="27.95" customHeight="1">
      <c r="A326" s="11"/>
      <c r="B326" s="1281" t="s">
        <v>211</v>
      </c>
      <c r="C326" s="1281"/>
      <c r="D326" s="1281"/>
      <c r="E326" s="1281"/>
      <c r="F326" s="1281"/>
      <c r="G326" s="1281"/>
      <c r="H326" s="1281"/>
      <c r="I326" s="1281"/>
      <c r="J326" s="1281"/>
      <c r="K326" s="1281"/>
      <c r="L326" s="1282"/>
    </row>
    <row r="327" spans="1:12" ht="27.95" customHeight="1">
      <c r="A327" s="11"/>
      <c r="B327" s="1275" t="s">
        <v>213</v>
      </c>
      <c r="C327" s="1275"/>
      <c r="D327" s="1275"/>
      <c r="E327" s="1275"/>
      <c r="F327" s="1275"/>
      <c r="G327" s="1275"/>
      <c r="H327" s="1275"/>
      <c r="I327" s="1275"/>
      <c r="J327" s="1275"/>
      <c r="K327" s="1275"/>
      <c r="L327" s="1283"/>
    </row>
    <row r="328" spans="1:12" ht="27.95" customHeight="1">
      <c r="A328" s="11"/>
      <c r="B328" s="180" t="s">
        <v>214</v>
      </c>
      <c r="C328" s="180"/>
      <c r="D328" s="180"/>
      <c r="E328" s="180"/>
      <c r="F328" s="180"/>
      <c r="H328" s="181"/>
      <c r="I328" s="181"/>
      <c r="J328" s="181"/>
      <c r="K328" s="181"/>
      <c r="L328" s="189"/>
    </row>
    <row r="329" spans="1:12" ht="27.95" customHeight="1">
      <c r="A329" s="11"/>
      <c r="B329" s="180"/>
      <c r="C329" s="180"/>
      <c r="D329" s="180"/>
      <c r="E329" s="180"/>
      <c r="F329" s="180"/>
      <c r="H329" s="181"/>
      <c r="I329" s="181"/>
      <c r="J329" s="181"/>
      <c r="K329" s="181"/>
      <c r="L329" s="189"/>
    </row>
    <row r="330" spans="1:12" ht="27.95" customHeight="1">
      <c r="A330" s="11"/>
      <c r="B330" s="1245" t="s">
        <v>184</v>
      </c>
      <c r="C330" s="1245"/>
      <c r="D330" s="1245"/>
      <c r="E330" s="1245"/>
      <c r="F330" s="1245"/>
      <c r="G330" s="1245"/>
      <c r="H330" s="1268" t="e">
        <f>'4-22MASTER'!#REF!</f>
        <v>#REF!</v>
      </c>
      <c r="I330" s="1260"/>
      <c r="J330" s="1260"/>
      <c r="K330" s="1260"/>
      <c r="L330" s="1110"/>
    </row>
    <row r="331" spans="1:12">
      <c r="A331" s="11"/>
      <c r="B331" s="1269" t="s">
        <v>185</v>
      </c>
      <c r="C331" s="1269"/>
      <c r="D331" s="1269"/>
      <c r="E331" s="1269"/>
      <c r="F331" s="1269"/>
      <c r="G331" s="1269"/>
      <c r="H331" s="1268" t="e">
        <f>'4-22MASTER'!#REF!</f>
        <v>#REF!</v>
      </c>
      <c r="I331" s="1260"/>
      <c r="J331" s="1260"/>
      <c r="K331" s="1260"/>
      <c r="L331" s="1110"/>
    </row>
    <row r="332" spans="1:12">
      <c r="A332" s="11"/>
      <c r="B332" s="1245" t="s">
        <v>186</v>
      </c>
      <c r="C332" s="1245"/>
      <c r="D332" s="1245"/>
      <c r="E332" s="1245"/>
      <c r="F332" s="1245"/>
      <c r="G332" s="1245"/>
      <c r="H332" s="1268" t="e">
        <f>'4-22MASTER'!#REF!</f>
        <v>#REF!</v>
      </c>
      <c r="I332" s="1260"/>
      <c r="J332" s="1260"/>
      <c r="K332" s="1260"/>
      <c r="L332" s="1110"/>
    </row>
    <row r="333" spans="1:12">
      <c r="A333" s="11"/>
      <c r="B333" s="1245" t="s">
        <v>187</v>
      </c>
      <c r="C333" s="1245"/>
      <c r="D333" s="1245"/>
      <c r="E333" s="1245"/>
      <c r="F333" s="1245"/>
      <c r="G333" s="1245"/>
      <c r="H333" s="1259" t="e">
        <f>'4-22MASTER'!#REF!</f>
        <v>#REF!</v>
      </c>
      <c r="I333" s="1260"/>
      <c r="J333" s="1260"/>
      <c r="K333" s="1260"/>
      <c r="L333" s="1110"/>
    </row>
    <row r="334" spans="1:12">
      <c r="A334" s="11"/>
      <c r="B334" s="73" t="s">
        <v>188</v>
      </c>
      <c r="C334" s="74"/>
      <c r="D334" s="74"/>
      <c r="E334" s="74"/>
      <c r="F334" s="74"/>
      <c r="G334" s="74"/>
      <c r="H334" s="1261" t="s">
        <v>189</v>
      </c>
      <c r="I334" s="1262"/>
      <c r="J334" s="1262"/>
      <c r="K334" s="1262"/>
      <c r="L334" s="1263"/>
    </row>
    <row r="335" spans="1:12">
      <c r="A335" s="11"/>
      <c r="B335" s="73" t="s">
        <v>190</v>
      </c>
      <c r="C335" s="74"/>
      <c r="D335" s="74"/>
      <c r="E335" s="74"/>
      <c r="F335" s="74"/>
      <c r="G335" s="74"/>
      <c r="H335" s="75"/>
      <c r="I335" s="76"/>
      <c r="J335" s="171"/>
      <c r="K335" s="76"/>
      <c r="L335" s="81"/>
    </row>
    <row r="336" spans="1:12">
      <c r="A336" s="11"/>
      <c r="B336" s="1264" t="s">
        <v>191</v>
      </c>
      <c r="C336" s="1264"/>
      <c r="D336" s="1264"/>
      <c r="E336" s="1264"/>
      <c r="F336" s="1264"/>
      <c r="G336" s="1264"/>
      <c r="H336" s="1265" t="e">
        <f>'4-22MASTER'!#REF!</f>
        <v>#REF!</v>
      </c>
      <c r="I336" s="1266"/>
      <c r="J336" s="1266"/>
      <c r="K336" s="1266"/>
      <c r="L336" s="1105"/>
    </row>
    <row r="337" spans="1:12">
      <c r="A337" s="11"/>
      <c r="B337" s="1245"/>
      <c r="C337" s="1245"/>
      <c r="D337" s="1245"/>
      <c r="E337" s="1245"/>
      <c r="F337" s="1245"/>
      <c r="G337" s="1245"/>
      <c r="H337" s="1267" t="e">
        <f>'4-22MASTER'!#REF!</f>
        <v>#REF!</v>
      </c>
      <c r="I337" s="1260"/>
      <c r="J337" s="1260"/>
      <c r="K337" s="1260"/>
      <c r="L337" s="1110"/>
    </row>
    <row r="338" spans="1:12">
      <c r="A338" s="11"/>
      <c r="B338" s="1245"/>
      <c r="C338" s="1245"/>
      <c r="D338" s="1245"/>
      <c r="E338" s="1245"/>
      <c r="F338" s="1245"/>
      <c r="G338" s="1245"/>
      <c r="H338" s="1268" t="e">
        <f>'4-22MASTER'!#REF!</f>
        <v>#REF!</v>
      </c>
      <c r="I338" s="1260"/>
      <c r="J338" s="1260"/>
      <c r="K338" s="1260"/>
      <c r="L338" s="1110"/>
    </row>
    <row r="339" spans="1:12">
      <c r="A339" s="11"/>
      <c r="G339" s="2" t="s">
        <v>215</v>
      </c>
      <c r="H339" s="2"/>
      <c r="I339" s="2"/>
      <c r="J339" s="2"/>
      <c r="K339" s="2"/>
      <c r="L339" s="68"/>
    </row>
    <row r="340" spans="1:12">
      <c r="A340" s="11"/>
      <c r="B340" s="173" t="s">
        <v>199</v>
      </c>
      <c r="C340" s="169"/>
      <c r="D340" s="169"/>
      <c r="E340" s="169"/>
      <c r="F340" s="169"/>
      <c r="G340" s="169"/>
      <c r="H340" s="158"/>
      <c r="I340" s="158"/>
      <c r="J340" s="158"/>
      <c r="K340" s="158"/>
      <c r="L340" s="176"/>
    </row>
    <row r="341" spans="1:12">
      <c r="A341" s="11"/>
      <c r="B341" s="173" t="s">
        <v>200</v>
      </c>
      <c r="C341" s="169"/>
      <c r="D341" s="169"/>
      <c r="E341" s="169"/>
      <c r="F341" s="169"/>
      <c r="G341" s="169"/>
      <c r="H341" s="158"/>
      <c r="I341" s="158"/>
      <c r="J341" s="159"/>
      <c r="K341" s="158"/>
      <c r="L341" s="176"/>
    </row>
    <row r="342" spans="1:12" ht="45">
      <c r="A342" s="72"/>
      <c r="B342" s="73" t="s">
        <v>203</v>
      </c>
      <c r="C342" s="74"/>
      <c r="D342" s="186"/>
      <c r="E342" s="164" t="s">
        <v>205</v>
      </c>
      <c r="F342" s="54"/>
      <c r="G342" s="1250" t="s">
        <v>204</v>
      </c>
      <c r="H342" s="1251"/>
      <c r="I342" s="163" t="s">
        <v>201</v>
      </c>
      <c r="J342" s="166" t="s">
        <v>206</v>
      </c>
      <c r="K342" s="1250" t="s">
        <v>202</v>
      </c>
      <c r="L342" s="1252"/>
    </row>
    <row r="343" spans="1:12">
      <c r="A343" s="72"/>
      <c r="B343" s="167">
        <v>1</v>
      </c>
      <c r="C343" s="74"/>
      <c r="D343" s="74"/>
      <c r="E343" s="170">
        <v>2</v>
      </c>
      <c r="F343" s="77"/>
      <c r="G343" s="170">
        <v>3</v>
      </c>
      <c r="H343" s="186"/>
      <c r="I343" s="186">
        <v>4</v>
      </c>
      <c r="J343" s="88">
        <v>5</v>
      </c>
      <c r="K343" s="79"/>
      <c r="L343" s="80">
        <v>6</v>
      </c>
    </row>
    <row r="344" spans="1:12">
      <c r="A344" s="72"/>
      <c r="B344" s="73" t="e">
        <f>'4-22MASTER'!#REF!</f>
        <v>#REF!</v>
      </c>
      <c r="C344" s="182"/>
      <c r="D344" s="183"/>
      <c r="E344" s="184" t="s">
        <v>365</v>
      </c>
      <c r="F344" s="183"/>
      <c r="G344" s="184" t="s">
        <v>363</v>
      </c>
      <c r="H344" s="54"/>
      <c r="I344" s="9" t="s">
        <v>366</v>
      </c>
      <c r="J344" s="283">
        <v>1</v>
      </c>
      <c r="K344" s="185" t="s">
        <v>37</v>
      </c>
      <c r="L344" s="190"/>
    </row>
    <row r="345" spans="1:12">
      <c r="A345" s="72"/>
      <c r="B345" s="73"/>
      <c r="C345" s="182"/>
      <c r="D345" s="183"/>
      <c r="E345" s="184"/>
      <c r="F345" s="183"/>
      <c r="G345" s="184"/>
      <c r="H345" s="54"/>
      <c r="I345" s="9"/>
      <c r="J345" s="9"/>
      <c r="K345" s="185"/>
      <c r="L345" s="190"/>
    </row>
    <row r="346" spans="1:12">
      <c r="A346" s="72"/>
      <c r="B346" s="73"/>
      <c r="C346" s="182"/>
      <c r="D346" s="183"/>
      <c r="E346" s="184"/>
      <c r="F346" s="183"/>
      <c r="G346" s="184"/>
      <c r="H346" s="54"/>
      <c r="I346" s="9"/>
      <c r="J346" s="9"/>
      <c r="K346" s="185"/>
      <c r="L346" s="190"/>
    </row>
    <row r="347" spans="1:12">
      <c r="A347" s="72"/>
      <c r="B347" s="59"/>
      <c r="C347" s="13"/>
      <c r="D347" s="60"/>
      <c r="E347" s="184"/>
      <c r="F347" s="183"/>
      <c r="G347" s="184"/>
      <c r="H347" s="54"/>
      <c r="I347" s="9"/>
      <c r="J347" s="9"/>
      <c r="K347" s="185"/>
      <c r="L347" s="190"/>
    </row>
    <row r="348" spans="1:12">
      <c r="A348" s="72"/>
      <c r="B348" t="s">
        <v>207</v>
      </c>
      <c r="L348" s="12"/>
    </row>
    <row r="349" spans="1:12">
      <c r="A349" s="11"/>
      <c r="B349" t="s">
        <v>208</v>
      </c>
      <c r="L349" s="12"/>
    </row>
    <row r="350" spans="1:12">
      <c r="A350" s="11"/>
      <c r="B350" t="s">
        <v>219</v>
      </c>
      <c r="J350" t="s">
        <v>218</v>
      </c>
      <c r="L350" s="12"/>
    </row>
    <row r="351" spans="1:12">
      <c r="A351" s="11"/>
      <c r="G351" s="2" t="s">
        <v>216</v>
      </c>
      <c r="H351" s="2"/>
      <c r="I351" s="2"/>
      <c r="J351" s="2"/>
      <c r="K351" s="2"/>
      <c r="L351" s="68"/>
    </row>
    <row r="352" spans="1:12">
      <c r="A352" s="11"/>
      <c r="B352" s="2"/>
      <c r="G352" t="s">
        <v>217</v>
      </c>
      <c r="H352" s="2"/>
      <c r="I352" s="2"/>
      <c r="J352" s="2"/>
      <c r="K352" s="2"/>
      <c r="L352" s="68"/>
    </row>
    <row r="353" spans="1:12">
      <c r="A353" s="11"/>
      <c r="B353" s="173" t="s">
        <v>220</v>
      </c>
      <c r="C353" s="169"/>
      <c r="D353" s="169"/>
      <c r="E353" s="169"/>
      <c r="F353" s="169"/>
      <c r="G353" s="169"/>
      <c r="H353" s="158"/>
      <c r="I353" s="158"/>
      <c r="J353" s="158"/>
      <c r="K353" s="158"/>
      <c r="L353" s="176"/>
    </row>
    <row r="354" spans="1:12">
      <c r="A354" s="11"/>
      <c r="B354" s="173" t="s">
        <v>221</v>
      </c>
      <c r="C354" s="169"/>
      <c r="D354" s="169"/>
      <c r="E354" s="169"/>
      <c r="F354" s="169"/>
      <c r="G354" s="169"/>
      <c r="H354" s="158"/>
      <c r="I354" s="158"/>
      <c r="J354" s="159"/>
      <c r="K354" s="158"/>
      <c r="L354" s="176"/>
    </row>
    <row r="355" spans="1:12">
      <c r="A355" s="11"/>
      <c r="B355" s="73" t="s">
        <v>5</v>
      </c>
      <c r="C355" s="1284" t="s">
        <v>222</v>
      </c>
      <c r="D355" s="1248"/>
      <c r="E355" s="1248"/>
      <c r="F355" s="1248"/>
      <c r="G355" s="1248"/>
      <c r="H355" s="1285"/>
      <c r="I355" s="165" t="s">
        <v>104</v>
      </c>
      <c r="J355" s="1286" t="s">
        <v>223</v>
      </c>
      <c r="K355" s="1287"/>
      <c r="L355" s="1288"/>
    </row>
    <row r="356" spans="1:12">
      <c r="A356" s="11"/>
      <c r="B356" s="167">
        <v>1</v>
      </c>
      <c r="C356" s="201"/>
      <c r="D356" s="76"/>
      <c r="E356" s="82">
        <v>2</v>
      </c>
      <c r="F356" s="53"/>
      <c r="G356" s="1280"/>
      <c r="H356" s="1251"/>
      <c r="I356" s="76">
        <v>3</v>
      </c>
      <c r="J356" s="188" t="s">
        <v>224</v>
      </c>
      <c r="K356" s="1289">
        <v>4</v>
      </c>
      <c r="L356" s="1290"/>
    </row>
    <row r="357" spans="1:12">
      <c r="A357" s="11"/>
      <c r="B357" s="73"/>
      <c r="C357" s="201"/>
      <c r="D357" s="76"/>
      <c r="E357" s="82"/>
      <c r="F357" s="53"/>
      <c r="G357" s="1280"/>
      <c r="H357" s="1251"/>
      <c r="I357" s="185"/>
      <c r="J357" s="187"/>
      <c r="K357" s="1280"/>
      <c r="L357" s="1252"/>
    </row>
    <row r="358" spans="1:12">
      <c r="A358" s="11"/>
      <c r="B358" s="73"/>
      <c r="C358" s="201"/>
      <c r="D358" s="76"/>
      <c r="E358" s="82"/>
      <c r="F358" s="53"/>
      <c r="G358" s="1280"/>
      <c r="H358" s="1251"/>
      <c r="I358" s="185"/>
      <c r="J358" s="187"/>
      <c r="K358" s="1280"/>
      <c r="L358" s="1252"/>
    </row>
    <row r="359" spans="1:12">
      <c r="A359" s="11"/>
      <c r="B359" s="73"/>
      <c r="C359" s="201"/>
      <c r="D359" s="76"/>
      <c r="E359" s="82"/>
      <c r="F359" s="53"/>
      <c r="G359" s="1280"/>
      <c r="H359" s="1251"/>
      <c r="I359" s="185"/>
      <c r="J359" s="187"/>
      <c r="K359" s="1280"/>
      <c r="L359" s="1252"/>
    </row>
    <row r="360" spans="1:12">
      <c r="A360" s="11"/>
      <c r="B360" s="59"/>
      <c r="C360" s="201"/>
      <c r="D360" s="76"/>
      <c r="E360" s="82"/>
      <c r="F360" s="53"/>
      <c r="G360" s="1280"/>
      <c r="H360" s="1251"/>
      <c r="I360" s="185"/>
      <c r="J360" s="187"/>
      <c r="K360" s="1280"/>
      <c r="L360" s="1252"/>
    </row>
    <row r="361" spans="1:12">
      <c r="A361" s="11"/>
      <c r="B361" t="s">
        <v>228</v>
      </c>
      <c r="L361" s="12"/>
    </row>
    <row r="362" spans="1:12">
      <c r="A362" s="11"/>
      <c r="B362" t="s">
        <v>229</v>
      </c>
      <c r="L362" s="12"/>
    </row>
    <row r="363" spans="1:12">
      <c r="A363" s="11"/>
      <c r="B363" t="s">
        <v>230</v>
      </c>
      <c r="L363" s="12"/>
    </row>
    <row r="364" spans="1:12">
      <c r="A364" s="11"/>
      <c r="B364" t="s">
        <v>231</v>
      </c>
      <c r="L364" s="12"/>
    </row>
    <row r="365" spans="1:12">
      <c r="A365" s="11"/>
      <c r="B365" s="184" t="s">
        <v>225</v>
      </c>
      <c r="C365" s="53"/>
      <c r="D365" s="53"/>
      <c r="E365" s="53"/>
      <c r="F365" s="54"/>
      <c r="G365" s="184" t="s">
        <v>201</v>
      </c>
      <c r="H365" s="54"/>
      <c r="I365" s="184" t="s">
        <v>226</v>
      </c>
      <c r="J365" s="53"/>
      <c r="K365" s="54"/>
      <c r="L365" s="12"/>
    </row>
    <row r="366" spans="1:12" ht="27.95" customHeight="1">
      <c r="A366" s="11"/>
      <c r="B366" s="1253"/>
      <c r="C366" s="1279"/>
      <c r="D366" s="1279"/>
      <c r="E366" s="1279"/>
      <c r="F366" s="1254"/>
      <c r="G366" s="1253"/>
      <c r="H366" s="1254"/>
      <c r="I366" s="1253"/>
      <c r="J366" s="1279"/>
      <c r="K366" s="1254"/>
      <c r="L366" s="12"/>
    </row>
    <row r="367" spans="1:12" ht="27.95" customHeight="1">
      <c r="A367" s="11"/>
      <c r="B367" s="1253"/>
      <c r="C367" s="1279"/>
      <c r="D367" s="1279"/>
      <c r="E367" s="1279"/>
      <c r="F367" s="1254"/>
      <c r="G367" s="1253"/>
      <c r="H367" s="1254"/>
      <c r="I367" s="1253"/>
      <c r="J367" s="1279"/>
      <c r="K367" s="1254"/>
      <c r="L367" s="12"/>
    </row>
    <row r="368" spans="1:12" ht="27.95" customHeight="1">
      <c r="A368" s="11"/>
      <c r="B368" s="1253"/>
      <c r="C368" s="1279"/>
      <c r="D368" s="1279"/>
      <c r="E368" s="1279"/>
      <c r="F368" s="1254"/>
      <c r="G368" s="1253"/>
      <c r="H368" s="1254"/>
      <c r="I368" s="1253"/>
      <c r="J368" s="1279"/>
      <c r="K368" s="1254"/>
      <c r="L368" s="12"/>
    </row>
    <row r="369" spans="1:12" ht="27.95" customHeight="1">
      <c r="A369" s="11"/>
      <c r="B369" s="1253"/>
      <c r="C369" s="1279"/>
      <c r="D369" s="1279"/>
      <c r="E369" s="1279"/>
      <c r="F369" s="1254"/>
      <c r="G369" s="1253"/>
      <c r="H369" s="1254"/>
      <c r="I369" s="1253"/>
      <c r="J369" s="1279"/>
      <c r="K369" s="1254"/>
      <c r="L369" s="12"/>
    </row>
    <row r="370" spans="1:12" ht="27.95" customHeight="1">
      <c r="A370" s="11"/>
      <c r="L370" s="12"/>
    </row>
    <row r="371" spans="1:12" ht="27.95" customHeight="1">
      <c r="A371" s="11"/>
      <c r="B371" t="s">
        <v>198</v>
      </c>
      <c r="C371" s="282" t="e">
        <f>'4-22MASTER'!#REF!</f>
        <v>#REF!</v>
      </c>
      <c r="I371" t="s">
        <v>227</v>
      </c>
      <c r="L371" s="12"/>
    </row>
    <row r="372" spans="1:12" ht="27.95" customHeight="1">
      <c r="A372" s="11"/>
      <c r="F372" s="172" t="s">
        <v>193</v>
      </c>
      <c r="L372" s="12"/>
    </row>
    <row r="373" spans="1:12" ht="27.95" customHeight="1">
      <c r="A373" s="11" t="s">
        <v>194</v>
      </c>
      <c r="K373" s="222" t="e">
        <f>'4-22MASTER'!#REF!</f>
        <v>#REF!</v>
      </c>
      <c r="L373" s="12"/>
    </row>
    <row r="374" spans="1:12" ht="27.95" customHeight="1">
      <c r="A374" s="11" t="s">
        <v>195</v>
      </c>
      <c r="L374" s="12"/>
    </row>
    <row r="375" spans="1:12" ht="27.95" customHeight="1">
      <c r="A375" s="11"/>
      <c r="L375" s="12"/>
    </row>
    <row r="376" spans="1:12" ht="27.95" customHeight="1">
      <c r="A376" s="11"/>
      <c r="F376" t="s">
        <v>196</v>
      </c>
      <c r="L376" s="12"/>
    </row>
    <row r="377" spans="1:12" ht="27.95" customHeight="1">
      <c r="A377" s="11" t="s">
        <v>197</v>
      </c>
      <c r="B377" t="s">
        <v>361</v>
      </c>
      <c r="F377" t="str">
        <f>'4-22MASTER'!G5</f>
        <v>Burgeon IT Services Pvt.Ltd.</v>
      </c>
      <c r="L377" s="12"/>
    </row>
    <row r="378" spans="1:12" ht="27.95" customHeight="1" thickBot="1">
      <c r="A378" s="16" t="s">
        <v>198</v>
      </c>
      <c r="B378" s="285" t="e">
        <f>'4-22MASTER'!#REF!</f>
        <v>#REF!</v>
      </c>
      <c r="C378" s="14"/>
      <c r="D378" s="14"/>
      <c r="E378" s="14"/>
      <c r="F378" s="14" t="str">
        <f>'4-22MASTER'!G6</f>
        <v>Siri Mansion LIGB 436 Dr.A S Rao Nagar,Hyderabad</v>
      </c>
      <c r="G378" s="14"/>
      <c r="H378" s="14"/>
      <c r="I378" s="14"/>
      <c r="J378" s="14"/>
      <c r="K378" s="14"/>
      <c r="L378" s="15"/>
    </row>
    <row r="379" spans="1:12" ht="27.95" customHeight="1">
      <c r="A379" s="61"/>
      <c r="B379" s="62"/>
      <c r="C379" s="62"/>
      <c r="D379" s="177"/>
      <c r="E379" s="177"/>
      <c r="F379" s="177"/>
      <c r="G379" s="177"/>
      <c r="H379" s="177"/>
      <c r="I379" s="177"/>
      <c r="J379" s="62"/>
      <c r="K379" s="179" t="s">
        <v>212</v>
      </c>
      <c r="L379" s="178"/>
    </row>
    <row r="380" spans="1:12" ht="27.95" customHeight="1">
      <c r="A380" s="11"/>
      <c r="B380" s="1281" t="s">
        <v>211</v>
      </c>
      <c r="C380" s="1281"/>
      <c r="D380" s="1281"/>
      <c r="E380" s="1281"/>
      <c r="F380" s="1281"/>
      <c r="G380" s="1281"/>
      <c r="H380" s="1281"/>
      <c r="I380" s="1281"/>
      <c r="J380" s="1281"/>
      <c r="K380" s="1281"/>
      <c r="L380" s="1282"/>
    </row>
    <row r="381" spans="1:12" ht="27.95" customHeight="1">
      <c r="A381" s="11"/>
      <c r="B381" s="1275" t="s">
        <v>213</v>
      </c>
      <c r="C381" s="1275"/>
      <c r="D381" s="1275"/>
      <c r="E381" s="1275"/>
      <c r="F381" s="1275"/>
      <c r="G381" s="1275"/>
      <c r="H381" s="1275"/>
      <c r="I381" s="1275"/>
      <c r="J381" s="1275"/>
      <c r="K381" s="1275"/>
      <c r="L381" s="1283"/>
    </row>
    <row r="382" spans="1:12" ht="27.95" customHeight="1">
      <c r="A382" s="11"/>
      <c r="B382" s="180" t="s">
        <v>214</v>
      </c>
      <c r="C382" s="180"/>
      <c r="D382" s="180"/>
      <c r="E382" s="180"/>
      <c r="F382" s="180"/>
      <c r="H382" s="181"/>
      <c r="I382" s="181"/>
      <c r="J382" s="181"/>
      <c r="K382" s="181"/>
      <c r="L382" s="189"/>
    </row>
    <row r="383" spans="1:12" ht="27.95" customHeight="1">
      <c r="A383" s="11"/>
      <c r="B383" s="180"/>
      <c r="C383" s="180"/>
      <c r="D383" s="180"/>
      <c r="E383" s="180"/>
      <c r="F383" s="180"/>
      <c r="H383" s="181"/>
      <c r="I383" s="181"/>
      <c r="J383" s="181"/>
      <c r="K383" s="181"/>
      <c r="L383" s="189"/>
    </row>
    <row r="384" spans="1:12">
      <c r="A384" s="11"/>
      <c r="B384" s="1245" t="s">
        <v>184</v>
      </c>
      <c r="C384" s="1245"/>
      <c r="D384" s="1245"/>
      <c r="E384" s="1245"/>
      <c r="F384" s="1245"/>
      <c r="G384" s="1245"/>
      <c r="H384" s="1268" t="e">
        <f>'4-22MASTER'!#REF!</f>
        <v>#REF!</v>
      </c>
      <c r="I384" s="1260"/>
      <c r="J384" s="1260"/>
      <c r="K384" s="1260"/>
      <c r="L384" s="1110"/>
    </row>
    <row r="385" spans="1:12">
      <c r="A385" s="11"/>
      <c r="B385" s="1269" t="s">
        <v>185</v>
      </c>
      <c r="C385" s="1269"/>
      <c r="D385" s="1269"/>
      <c r="E385" s="1269"/>
      <c r="F385" s="1269"/>
      <c r="G385" s="1269"/>
      <c r="H385" s="1268" t="e">
        <f>'4-22MASTER'!#REF!</f>
        <v>#REF!</v>
      </c>
      <c r="I385" s="1260"/>
      <c r="J385" s="1260"/>
      <c r="K385" s="1260"/>
      <c r="L385" s="1110"/>
    </row>
    <row r="386" spans="1:12">
      <c r="A386" s="11"/>
      <c r="B386" s="1245" t="s">
        <v>186</v>
      </c>
      <c r="C386" s="1245"/>
      <c r="D386" s="1245"/>
      <c r="E386" s="1245"/>
      <c r="F386" s="1245"/>
      <c r="G386" s="1245"/>
      <c r="H386" s="1268" t="e">
        <f>'4-22MASTER'!#REF!</f>
        <v>#REF!</v>
      </c>
      <c r="I386" s="1260"/>
      <c r="J386" s="1260"/>
      <c r="K386" s="1260"/>
      <c r="L386" s="1110"/>
    </row>
    <row r="387" spans="1:12">
      <c r="A387" s="11"/>
      <c r="B387" s="1245" t="s">
        <v>187</v>
      </c>
      <c r="C387" s="1245"/>
      <c r="D387" s="1245"/>
      <c r="E387" s="1245"/>
      <c r="F387" s="1245"/>
      <c r="G387" s="1245"/>
      <c r="H387" s="1259" t="e">
        <f>'4-22MASTER'!#REF!</f>
        <v>#REF!</v>
      </c>
      <c r="I387" s="1260"/>
      <c r="J387" s="1260"/>
      <c r="K387" s="1260"/>
      <c r="L387" s="1110"/>
    </row>
    <row r="388" spans="1:12">
      <c r="A388" s="11"/>
      <c r="B388" s="73" t="s">
        <v>188</v>
      </c>
      <c r="C388" s="74"/>
      <c r="D388" s="74"/>
      <c r="E388" s="74"/>
      <c r="F388" s="74"/>
      <c r="G388" s="74"/>
      <c r="H388" s="1261" t="s">
        <v>189</v>
      </c>
      <c r="I388" s="1262"/>
      <c r="J388" s="1262"/>
      <c r="K388" s="1262"/>
      <c r="L388" s="1263"/>
    </row>
    <row r="389" spans="1:12">
      <c r="A389" s="11"/>
      <c r="B389" s="73" t="s">
        <v>190</v>
      </c>
      <c r="C389" s="74"/>
      <c r="D389" s="74"/>
      <c r="E389" s="74"/>
      <c r="F389" s="74"/>
      <c r="G389" s="74"/>
      <c r="H389" s="75"/>
      <c r="I389" s="76"/>
      <c r="J389" s="171"/>
      <c r="K389" s="76"/>
      <c r="L389" s="81"/>
    </row>
    <row r="390" spans="1:12" ht="15" customHeight="1">
      <c r="A390" s="11"/>
      <c r="B390" s="1264" t="s">
        <v>191</v>
      </c>
      <c r="C390" s="1264"/>
      <c r="D390" s="1264"/>
      <c r="E390" s="1264"/>
      <c r="F390" s="1264"/>
      <c r="G390" s="1264"/>
      <c r="H390" s="1265" t="e">
        <f>'4-22MASTER'!#REF!</f>
        <v>#REF!</v>
      </c>
      <c r="I390" s="1266"/>
      <c r="J390" s="1266"/>
      <c r="K390" s="1266"/>
      <c r="L390" s="1105"/>
    </row>
    <row r="391" spans="1:12">
      <c r="A391" s="11"/>
      <c r="B391" s="1245"/>
      <c r="C391" s="1245"/>
      <c r="D391" s="1245"/>
      <c r="E391" s="1245"/>
      <c r="F391" s="1245"/>
      <c r="G391" s="1245"/>
      <c r="H391" s="1267" t="e">
        <f>'4-22MASTER'!#REF!</f>
        <v>#REF!</v>
      </c>
      <c r="I391" s="1260"/>
      <c r="J391" s="1260"/>
      <c r="K391" s="1260"/>
      <c r="L391" s="1110"/>
    </row>
    <row r="392" spans="1:12">
      <c r="A392" s="11"/>
      <c r="B392" s="1245"/>
      <c r="C392" s="1245"/>
      <c r="D392" s="1245"/>
      <c r="E392" s="1245"/>
      <c r="F392" s="1245"/>
      <c r="G392" s="1245"/>
      <c r="H392" s="1268" t="e">
        <f>'4-22MASTER'!#REF!</f>
        <v>#REF!</v>
      </c>
      <c r="I392" s="1260"/>
      <c r="J392" s="1260"/>
      <c r="K392" s="1260"/>
      <c r="L392" s="1110"/>
    </row>
    <row r="393" spans="1:12">
      <c r="A393" s="11"/>
      <c r="G393" s="2" t="s">
        <v>215</v>
      </c>
      <c r="H393" s="2"/>
      <c r="I393" s="2"/>
      <c r="J393" s="2"/>
      <c r="K393" s="2"/>
      <c r="L393" s="68"/>
    </row>
    <row r="394" spans="1:12">
      <c r="A394" s="11"/>
      <c r="B394" s="173" t="s">
        <v>199</v>
      </c>
      <c r="C394" s="169"/>
      <c r="D394" s="169"/>
      <c r="E394" s="169"/>
      <c r="F394" s="169"/>
      <c r="G394" s="169"/>
      <c r="H394" s="158"/>
      <c r="I394" s="158"/>
      <c r="J394" s="158"/>
      <c r="K394" s="158"/>
      <c r="L394" s="176"/>
    </row>
    <row r="395" spans="1:12">
      <c r="A395" s="11"/>
      <c r="B395" s="173" t="s">
        <v>200</v>
      </c>
      <c r="C395" s="169"/>
      <c r="D395" s="169"/>
      <c r="E395" s="169"/>
      <c r="F395" s="169"/>
      <c r="G395" s="169"/>
      <c r="H395" s="158"/>
      <c r="I395" s="158"/>
      <c r="J395" s="159"/>
      <c r="K395" s="158"/>
      <c r="L395" s="176"/>
    </row>
    <row r="396" spans="1:12" ht="45">
      <c r="A396" s="72"/>
      <c r="B396" s="73" t="s">
        <v>203</v>
      </c>
      <c r="C396" s="74"/>
      <c r="D396" s="186"/>
      <c r="E396" s="164" t="s">
        <v>205</v>
      </c>
      <c r="F396" s="54"/>
      <c r="G396" s="1250" t="s">
        <v>204</v>
      </c>
      <c r="H396" s="1251"/>
      <c r="I396" s="163" t="s">
        <v>201</v>
      </c>
      <c r="J396" s="166" t="s">
        <v>206</v>
      </c>
      <c r="K396" s="1250" t="s">
        <v>202</v>
      </c>
      <c r="L396" s="1252"/>
    </row>
    <row r="397" spans="1:12">
      <c r="A397" s="72"/>
      <c r="B397" s="167">
        <v>1</v>
      </c>
      <c r="C397" s="74"/>
      <c r="D397" s="74"/>
      <c r="E397" s="170">
        <v>2</v>
      </c>
      <c r="F397" s="77"/>
      <c r="G397" s="170">
        <v>3</v>
      </c>
      <c r="H397" s="186"/>
      <c r="I397" s="186">
        <v>4</v>
      </c>
      <c r="J397" s="88">
        <v>5</v>
      </c>
      <c r="K397" s="79"/>
      <c r="L397" s="80">
        <v>6</v>
      </c>
    </row>
    <row r="398" spans="1:12">
      <c r="A398" s="72"/>
      <c r="B398" s="73" t="e">
        <f>'4-22MASTER'!#REF!</f>
        <v>#REF!</v>
      </c>
      <c r="C398" s="182"/>
      <c r="D398" s="183"/>
      <c r="E398" s="184" t="s">
        <v>365</v>
      </c>
      <c r="F398" s="183"/>
      <c r="G398" s="184" t="s">
        <v>363</v>
      </c>
      <c r="H398" s="54"/>
      <c r="I398" s="9" t="s">
        <v>366</v>
      </c>
      <c r="J398" s="283">
        <v>1</v>
      </c>
      <c r="K398" s="185" t="s">
        <v>37</v>
      </c>
      <c r="L398" s="190"/>
    </row>
    <row r="399" spans="1:12">
      <c r="A399" s="72"/>
      <c r="B399" s="73"/>
      <c r="C399" s="182"/>
      <c r="D399" s="183"/>
      <c r="E399" s="184"/>
      <c r="F399" s="183"/>
      <c r="G399" s="184"/>
      <c r="H399" s="54"/>
      <c r="I399" s="9"/>
      <c r="J399" s="9"/>
      <c r="K399" s="185"/>
      <c r="L399" s="190"/>
    </row>
    <row r="400" spans="1:12">
      <c r="A400" s="72"/>
      <c r="B400" s="73"/>
      <c r="C400" s="182"/>
      <c r="D400" s="183"/>
      <c r="E400" s="184"/>
      <c r="F400" s="183"/>
      <c r="G400" s="184"/>
      <c r="H400" s="54"/>
      <c r="I400" s="9"/>
      <c r="J400" s="9"/>
      <c r="K400" s="185"/>
      <c r="L400" s="190"/>
    </row>
    <row r="401" spans="1:12">
      <c r="A401" s="72"/>
      <c r="B401" s="59"/>
      <c r="C401" s="13"/>
      <c r="D401" s="60"/>
      <c r="E401" s="184"/>
      <c r="F401" s="183"/>
      <c r="G401" s="184"/>
      <c r="H401" s="54"/>
      <c r="I401" s="9"/>
      <c r="J401" s="9"/>
      <c r="K401" s="185"/>
      <c r="L401" s="190"/>
    </row>
    <row r="402" spans="1:12">
      <c r="A402" s="72"/>
      <c r="B402" t="s">
        <v>207</v>
      </c>
      <c r="L402" s="12"/>
    </row>
    <row r="403" spans="1:12">
      <c r="A403" s="11"/>
      <c r="B403" t="s">
        <v>208</v>
      </c>
      <c r="L403" s="12"/>
    </row>
    <row r="404" spans="1:12">
      <c r="A404" s="11"/>
      <c r="B404" t="s">
        <v>219</v>
      </c>
      <c r="J404" t="s">
        <v>218</v>
      </c>
      <c r="L404" s="12"/>
    </row>
    <row r="405" spans="1:12" ht="21" customHeight="1">
      <c r="A405" s="11"/>
      <c r="G405" s="2" t="s">
        <v>216</v>
      </c>
      <c r="H405" s="2"/>
      <c r="I405" s="2"/>
      <c r="J405" s="2"/>
      <c r="K405" s="2"/>
      <c r="L405" s="68"/>
    </row>
    <row r="406" spans="1:12" ht="15" customHeight="1">
      <c r="A406" s="11"/>
      <c r="B406" s="2"/>
      <c r="G406" t="s">
        <v>217</v>
      </c>
      <c r="H406" s="2"/>
      <c r="I406" s="2"/>
      <c r="J406" s="2"/>
      <c r="K406" s="2"/>
      <c r="L406" s="68"/>
    </row>
    <row r="407" spans="1:12" ht="20.25" customHeight="1">
      <c r="A407" s="11"/>
      <c r="B407" s="173" t="s">
        <v>220</v>
      </c>
      <c r="C407" s="169"/>
      <c r="D407" s="169"/>
      <c r="E407" s="169"/>
      <c r="F407" s="169"/>
      <c r="G407" s="169"/>
      <c r="H407" s="158"/>
      <c r="I407" s="158"/>
      <c r="J407" s="158"/>
      <c r="K407" s="158"/>
      <c r="L407" s="176"/>
    </row>
    <row r="408" spans="1:12" ht="18.75" customHeight="1">
      <c r="A408" s="11"/>
      <c r="B408" s="173" t="s">
        <v>221</v>
      </c>
      <c r="C408" s="169"/>
      <c r="D408" s="169"/>
      <c r="E408" s="169"/>
      <c r="F408" s="169"/>
      <c r="G408" s="169"/>
      <c r="H408" s="158"/>
      <c r="I408" s="158"/>
      <c r="J408" s="159"/>
      <c r="K408" s="158"/>
      <c r="L408" s="176"/>
    </row>
    <row r="409" spans="1:12" ht="27.95" customHeight="1">
      <c r="A409" s="11"/>
      <c r="B409" s="73" t="s">
        <v>5</v>
      </c>
      <c r="C409" s="1284" t="s">
        <v>222</v>
      </c>
      <c r="D409" s="1248"/>
      <c r="E409" s="1248"/>
      <c r="F409" s="1248"/>
      <c r="G409" s="1248"/>
      <c r="H409" s="1285"/>
      <c r="I409" s="165" t="s">
        <v>104</v>
      </c>
      <c r="J409" s="1286" t="s">
        <v>223</v>
      </c>
      <c r="K409" s="1287"/>
      <c r="L409" s="1288"/>
    </row>
    <row r="410" spans="1:12" ht="27.95" customHeight="1">
      <c r="A410" s="11"/>
      <c r="B410" s="167">
        <v>1</v>
      </c>
      <c r="C410" s="201"/>
      <c r="D410" s="76"/>
      <c r="E410" s="82">
        <v>2</v>
      </c>
      <c r="F410" s="53"/>
      <c r="G410" s="1280"/>
      <c r="H410" s="1251"/>
      <c r="I410" s="76">
        <v>3</v>
      </c>
      <c r="J410" s="188" t="s">
        <v>224</v>
      </c>
      <c r="K410" s="1289">
        <v>4</v>
      </c>
      <c r="L410" s="1290"/>
    </row>
    <row r="411" spans="1:12" ht="27.95" customHeight="1">
      <c r="A411" s="11"/>
      <c r="B411" s="73"/>
      <c r="C411" s="201"/>
      <c r="D411" s="76"/>
      <c r="E411" s="82"/>
      <c r="F411" s="53"/>
      <c r="G411" s="1280"/>
      <c r="H411" s="1251"/>
      <c r="I411" s="185"/>
      <c r="J411" s="187"/>
      <c r="K411" s="1280"/>
      <c r="L411" s="1252"/>
    </row>
    <row r="412" spans="1:12" ht="27.95" customHeight="1">
      <c r="A412" s="11"/>
      <c r="B412" s="73"/>
      <c r="C412" s="201"/>
      <c r="D412" s="76"/>
      <c r="E412" s="82"/>
      <c r="F412" s="53"/>
      <c r="G412" s="1280"/>
      <c r="H412" s="1251"/>
      <c r="I412" s="185"/>
      <c r="J412" s="187"/>
      <c r="K412" s="1280"/>
      <c r="L412" s="1252"/>
    </row>
    <row r="413" spans="1:12" ht="27.95" customHeight="1">
      <c r="A413" s="11"/>
      <c r="B413" s="73"/>
      <c r="C413" s="201"/>
      <c r="D413" s="76"/>
      <c r="E413" s="82"/>
      <c r="F413" s="53"/>
      <c r="G413" s="1280"/>
      <c r="H413" s="1251"/>
      <c r="I413" s="185"/>
      <c r="J413" s="187"/>
      <c r="K413" s="1280"/>
      <c r="L413" s="1252"/>
    </row>
    <row r="414" spans="1:12" ht="27.95" customHeight="1">
      <c r="A414" s="11"/>
      <c r="B414" s="59"/>
      <c r="C414" s="201"/>
      <c r="D414" s="76"/>
      <c r="E414" s="82"/>
      <c r="F414" s="53"/>
      <c r="G414" s="1280"/>
      <c r="H414" s="1251"/>
      <c r="I414" s="185"/>
      <c r="J414" s="187"/>
      <c r="K414" s="1280"/>
      <c r="L414" s="1252"/>
    </row>
    <row r="415" spans="1:12" ht="27.95" customHeight="1">
      <c r="A415" s="11"/>
      <c r="B415" t="s">
        <v>228</v>
      </c>
      <c r="L415" s="12"/>
    </row>
    <row r="416" spans="1:12" ht="21" customHeight="1">
      <c r="A416" s="11"/>
      <c r="B416" t="s">
        <v>229</v>
      </c>
      <c r="L416" s="12"/>
    </row>
    <row r="417" spans="1:12" ht="18" customHeight="1">
      <c r="A417" s="11"/>
      <c r="B417" t="s">
        <v>230</v>
      </c>
      <c r="L417" s="12"/>
    </row>
    <row r="418" spans="1:12" ht="23.25" customHeight="1">
      <c r="A418" s="11"/>
      <c r="B418" t="s">
        <v>231</v>
      </c>
      <c r="L418" s="12"/>
    </row>
    <row r="419" spans="1:12" ht="27.95" customHeight="1">
      <c r="A419" s="11"/>
      <c r="B419" s="184" t="s">
        <v>225</v>
      </c>
      <c r="C419" s="53"/>
      <c r="D419" s="53"/>
      <c r="E419" s="53"/>
      <c r="F419" s="54"/>
      <c r="G419" s="184" t="s">
        <v>201</v>
      </c>
      <c r="H419" s="54"/>
      <c r="I419" s="184" t="s">
        <v>226</v>
      </c>
      <c r="J419" s="53"/>
      <c r="K419" s="54"/>
      <c r="L419" s="12"/>
    </row>
    <row r="420" spans="1:12" ht="27.95" customHeight="1">
      <c r="A420" s="11"/>
      <c r="B420" s="1253"/>
      <c r="C420" s="1279"/>
      <c r="D420" s="1279"/>
      <c r="E420" s="1279"/>
      <c r="F420" s="1254"/>
      <c r="G420" s="1253"/>
      <c r="H420" s="1254"/>
      <c r="I420" s="1253"/>
      <c r="J420" s="1279"/>
      <c r="K420" s="1254"/>
      <c r="L420" s="12"/>
    </row>
    <row r="421" spans="1:12" ht="27.95" customHeight="1">
      <c r="A421" s="11"/>
      <c r="B421" s="1253"/>
      <c r="C421" s="1279"/>
      <c r="D421" s="1279"/>
      <c r="E421" s="1279"/>
      <c r="F421" s="1254"/>
      <c r="G421" s="1253"/>
      <c r="H421" s="1254"/>
      <c r="I421" s="1253"/>
      <c r="J421" s="1279"/>
      <c r="K421" s="1254"/>
      <c r="L421" s="12"/>
    </row>
    <row r="422" spans="1:12" ht="27.95" customHeight="1">
      <c r="A422" s="11"/>
      <c r="B422" s="1253"/>
      <c r="C422" s="1279"/>
      <c r="D422" s="1279"/>
      <c r="E422" s="1279"/>
      <c r="F422" s="1254"/>
      <c r="G422" s="1253"/>
      <c r="H422" s="1254"/>
      <c r="I422" s="1253"/>
      <c r="J422" s="1279"/>
      <c r="K422" s="1254"/>
      <c r="L422" s="12"/>
    </row>
    <row r="423" spans="1:12">
      <c r="A423" s="11"/>
      <c r="B423" s="1253"/>
      <c r="C423" s="1279"/>
      <c r="D423" s="1279"/>
      <c r="E423" s="1279"/>
      <c r="F423" s="1254"/>
      <c r="G423" s="1253"/>
      <c r="H423" s="1254"/>
      <c r="I423" s="1253"/>
      <c r="J423" s="1279"/>
      <c r="K423" s="1254"/>
      <c r="L423" s="12"/>
    </row>
    <row r="424" spans="1:12">
      <c r="A424" s="11"/>
      <c r="L424" s="12"/>
    </row>
    <row r="425" spans="1:12">
      <c r="A425" s="11"/>
      <c r="B425" t="s">
        <v>198</v>
      </c>
      <c r="C425" s="282" t="e">
        <f>'4-22MASTER'!#REF!</f>
        <v>#REF!</v>
      </c>
      <c r="I425" t="s">
        <v>227</v>
      </c>
      <c r="L425" s="12"/>
    </row>
    <row r="426" spans="1:12" ht="18.75">
      <c r="A426" s="11"/>
      <c r="F426" s="172" t="s">
        <v>193</v>
      </c>
      <c r="L426" s="12"/>
    </row>
    <row r="427" spans="1:12">
      <c r="A427" s="11" t="s">
        <v>194</v>
      </c>
      <c r="K427" s="222" t="e">
        <f>'4-22MASTER'!#REF!</f>
        <v>#REF!</v>
      </c>
      <c r="L427" s="12"/>
    </row>
    <row r="428" spans="1:12">
      <c r="A428" s="11" t="s">
        <v>195</v>
      </c>
      <c r="L428" s="12"/>
    </row>
    <row r="429" spans="1:12" ht="15" customHeight="1">
      <c r="A429" s="11"/>
      <c r="L429" s="12"/>
    </row>
    <row r="430" spans="1:12">
      <c r="A430" s="11"/>
      <c r="F430" t="s">
        <v>196</v>
      </c>
      <c r="L430" s="12"/>
    </row>
    <row r="431" spans="1:12">
      <c r="A431" s="11" t="s">
        <v>197</v>
      </c>
      <c r="B431" t="s">
        <v>361</v>
      </c>
      <c r="F431" t="str">
        <f>'4-22MASTER'!G5</f>
        <v>Burgeon IT Services Pvt.Ltd.</v>
      </c>
      <c r="L431" s="12"/>
    </row>
    <row r="432" spans="1:12" ht="15.75" thickBot="1">
      <c r="A432" s="16" t="s">
        <v>198</v>
      </c>
      <c r="B432" s="285" t="e">
        <f>'4-22MASTER'!#REF!</f>
        <v>#REF!</v>
      </c>
      <c r="C432" s="14"/>
      <c r="D432" s="14"/>
      <c r="E432" s="14"/>
      <c r="F432" s="14" t="str">
        <f>'4-22MASTER'!G6</f>
        <v>Siri Mansion LIGB 436 Dr.A S Rao Nagar,Hyderabad</v>
      </c>
      <c r="G432" s="14"/>
      <c r="H432" s="14"/>
      <c r="I432" s="14"/>
      <c r="J432" s="14"/>
      <c r="K432" s="14"/>
      <c r="L432" s="15"/>
    </row>
    <row r="433" spans="1:12" ht="32.25">
      <c r="A433" s="61"/>
      <c r="B433" s="62"/>
      <c r="C433" s="62"/>
      <c r="D433" s="177"/>
      <c r="E433" s="177"/>
      <c r="F433" s="177"/>
      <c r="G433" s="177"/>
      <c r="H433" s="177"/>
      <c r="I433" s="177"/>
      <c r="J433" s="62"/>
      <c r="K433" s="179" t="s">
        <v>212</v>
      </c>
      <c r="L433" s="178"/>
    </row>
    <row r="434" spans="1:12" ht="21">
      <c r="A434" s="11"/>
      <c r="B434" s="1281" t="s">
        <v>211</v>
      </c>
      <c r="C434" s="1281"/>
      <c r="D434" s="1281"/>
      <c r="E434" s="1281"/>
      <c r="F434" s="1281"/>
      <c r="G434" s="1281"/>
      <c r="H434" s="1281"/>
      <c r="I434" s="1281"/>
      <c r="J434" s="1281"/>
      <c r="K434" s="1281"/>
      <c r="L434" s="1282"/>
    </row>
    <row r="435" spans="1:12" ht="15.75">
      <c r="A435" s="11"/>
      <c r="B435" s="1275" t="s">
        <v>213</v>
      </c>
      <c r="C435" s="1275"/>
      <c r="D435" s="1275"/>
      <c r="E435" s="1275"/>
      <c r="F435" s="1275"/>
      <c r="G435" s="1275"/>
      <c r="H435" s="1275"/>
      <c r="I435" s="1275"/>
      <c r="J435" s="1275"/>
      <c r="K435" s="1275"/>
      <c r="L435" s="1283"/>
    </row>
    <row r="436" spans="1:12">
      <c r="A436" s="11"/>
      <c r="B436" s="180" t="s">
        <v>214</v>
      </c>
      <c r="C436" s="180"/>
      <c r="D436" s="180"/>
      <c r="E436" s="180"/>
      <c r="F436" s="180"/>
      <c r="H436" s="181"/>
      <c r="I436" s="181"/>
      <c r="J436" s="181"/>
      <c r="K436" s="181"/>
      <c r="L436" s="189"/>
    </row>
    <row r="437" spans="1:12">
      <c r="A437" s="11"/>
      <c r="B437" s="180"/>
      <c r="C437" s="180"/>
      <c r="D437" s="180"/>
      <c r="E437" s="180"/>
      <c r="F437" s="180"/>
      <c r="H437" s="181"/>
      <c r="I437" s="181"/>
      <c r="J437" s="181"/>
      <c r="K437" s="181"/>
      <c r="L437" s="189"/>
    </row>
    <row r="438" spans="1:12">
      <c r="A438" s="11"/>
      <c r="B438" s="1245" t="s">
        <v>184</v>
      </c>
      <c r="C438" s="1245"/>
      <c r="D438" s="1245"/>
      <c r="E438" s="1245"/>
      <c r="F438" s="1245"/>
      <c r="G438" s="1245"/>
      <c r="H438" s="1268" t="e">
        <f>'4-22MASTER'!#REF!</f>
        <v>#REF!</v>
      </c>
      <c r="I438" s="1260"/>
      <c r="J438" s="1260"/>
      <c r="K438" s="1260"/>
      <c r="L438" s="1110"/>
    </row>
    <row r="439" spans="1:12">
      <c r="A439" s="11"/>
      <c r="B439" s="1269" t="s">
        <v>185</v>
      </c>
      <c r="C439" s="1269"/>
      <c r="D439" s="1269"/>
      <c r="E439" s="1269"/>
      <c r="F439" s="1269"/>
      <c r="G439" s="1269"/>
      <c r="H439" s="1268" t="e">
        <f>'4-22MASTER'!#REF!</f>
        <v>#REF!</v>
      </c>
      <c r="I439" s="1260"/>
      <c r="J439" s="1260"/>
      <c r="K439" s="1260"/>
      <c r="L439" s="1110"/>
    </row>
    <row r="440" spans="1:12">
      <c r="A440" s="11"/>
      <c r="B440" s="1245" t="s">
        <v>186</v>
      </c>
      <c r="C440" s="1245"/>
      <c r="D440" s="1245"/>
      <c r="E440" s="1245"/>
      <c r="F440" s="1245"/>
      <c r="G440" s="1245"/>
      <c r="H440" s="1268" t="e">
        <f>'4-22MASTER'!#REF!</f>
        <v>#REF!</v>
      </c>
      <c r="I440" s="1260"/>
      <c r="J440" s="1260"/>
      <c r="K440" s="1260"/>
      <c r="L440" s="1110"/>
    </row>
    <row r="441" spans="1:12">
      <c r="A441" s="11"/>
      <c r="B441" s="1245" t="s">
        <v>187</v>
      </c>
      <c r="C441" s="1245"/>
      <c r="D441" s="1245"/>
      <c r="E441" s="1245"/>
      <c r="F441" s="1245"/>
      <c r="G441" s="1245"/>
      <c r="H441" s="1259" t="e">
        <f>'4-22MASTER'!#REF!</f>
        <v>#REF!</v>
      </c>
      <c r="I441" s="1260"/>
      <c r="J441" s="1260"/>
      <c r="K441" s="1260"/>
      <c r="L441" s="1110"/>
    </row>
    <row r="442" spans="1:12">
      <c r="A442" s="11"/>
      <c r="B442" s="73" t="s">
        <v>188</v>
      </c>
      <c r="C442" s="74"/>
      <c r="D442" s="74"/>
      <c r="E442" s="74"/>
      <c r="F442" s="74"/>
      <c r="G442" s="74"/>
      <c r="H442" s="1261" t="s">
        <v>189</v>
      </c>
      <c r="I442" s="1262"/>
      <c r="J442" s="1262"/>
      <c r="K442" s="1262"/>
      <c r="L442" s="1263"/>
    </row>
    <row r="443" spans="1:12">
      <c r="A443" s="11"/>
      <c r="B443" s="73" t="s">
        <v>190</v>
      </c>
      <c r="C443" s="74"/>
      <c r="D443" s="74"/>
      <c r="E443" s="74"/>
      <c r="F443" s="74"/>
      <c r="G443" s="74"/>
      <c r="H443" s="75"/>
      <c r="I443" s="76"/>
      <c r="J443" s="171"/>
      <c r="K443" s="76"/>
      <c r="L443" s="81"/>
    </row>
    <row r="444" spans="1:12" ht="27.95" customHeight="1">
      <c r="A444" s="11"/>
      <c r="B444" s="1264" t="s">
        <v>191</v>
      </c>
      <c r="C444" s="1264"/>
      <c r="D444" s="1264"/>
      <c r="E444" s="1264"/>
      <c r="F444" s="1264"/>
      <c r="G444" s="1264"/>
      <c r="H444" s="1265" t="e">
        <f>'4-22MASTER'!#REF!</f>
        <v>#REF!</v>
      </c>
      <c r="I444" s="1266"/>
      <c r="J444" s="1266"/>
      <c r="K444" s="1266"/>
      <c r="L444" s="1105"/>
    </row>
    <row r="445" spans="1:12" ht="27.95" customHeight="1">
      <c r="A445" s="11"/>
      <c r="B445" s="1245"/>
      <c r="C445" s="1245"/>
      <c r="D445" s="1245"/>
      <c r="E445" s="1245"/>
      <c r="F445" s="1245"/>
      <c r="G445" s="1245"/>
      <c r="H445" s="1267" t="e">
        <f>'4-22MASTER'!#REF!</f>
        <v>#REF!</v>
      </c>
      <c r="I445" s="1260"/>
      <c r="J445" s="1260"/>
      <c r="K445" s="1260"/>
      <c r="L445" s="1110"/>
    </row>
    <row r="446" spans="1:12" ht="27.95" customHeight="1">
      <c r="A446" s="11"/>
      <c r="B446" s="1245"/>
      <c r="C446" s="1245"/>
      <c r="D446" s="1245"/>
      <c r="E446" s="1245"/>
      <c r="F446" s="1245"/>
      <c r="G446" s="1245"/>
      <c r="H446" s="1268" t="e">
        <f>'4-22MASTER'!#REF!</f>
        <v>#REF!</v>
      </c>
      <c r="I446" s="1260"/>
      <c r="J446" s="1260"/>
      <c r="K446" s="1260"/>
      <c r="L446" s="1110"/>
    </row>
    <row r="447" spans="1:12" ht="27.95" customHeight="1">
      <c r="A447" s="11"/>
      <c r="G447" s="2" t="s">
        <v>215</v>
      </c>
      <c r="H447" s="2"/>
      <c r="I447" s="2"/>
      <c r="J447" s="2"/>
      <c r="K447" s="2"/>
      <c r="L447" s="68"/>
    </row>
    <row r="448" spans="1:12" ht="27.95" customHeight="1">
      <c r="A448" s="11"/>
      <c r="B448" s="173" t="s">
        <v>199</v>
      </c>
      <c r="C448" s="169"/>
      <c r="D448" s="169"/>
      <c r="E448" s="169"/>
      <c r="F448" s="169"/>
      <c r="G448" s="169"/>
      <c r="H448" s="158"/>
      <c r="I448" s="158"/>
      <c r="J448" s="158"/>
      <c r="K448" s="158"/>
      <c r="L448" s="176"/>
    </row>
    <row r="449" spans="1:12" ht="27.95" customHeight="1">
      <c r="A449" s="11"/>
      <c r="B449" s="173" t="s">
        <v>200</v>
      </c>
      <c r="C449" s="169"/>
      <c r="D449" s="169"/>
      <c r="E449" s="169"/>
      <c r="F449" s="169"/>
      <c r="G449" s="169"/>
      <c r="H449" s="158"/>
      <c r="I449" s="158"/>
      <c r="J449" s="159"/>
      <c r="K449" s="158"/>
      <c r="L449" s="176"/>
    </row>
    <row r="450" spans="1:12" ht="27.95" customHeight="1">
      <c r="A450" s="72"/>
      <c r="B450" s="73" t="s">
        <v>203</v>
      </c>
      <c r="C450" s="74"/>
      <c r="D450" s="186"/>
      <c r="E450" s="164" t="s">
        <v>205</v>
      </c>
      <c r="F450" s="54"/>
      <c r="G450" s="1250" t="s">
        <v>204</v>
      </c>
      <c r="H450" s="1251"/>
      <c r="I450" s="163" t="s">
        <v>201</v>
      </c>
      <c r="J450" s="166" t="s">
        <v>206</v>
      </c>
      <c r="K450" s="1250" t="s">
        <v>202</v>
      </c>
      <c r="L450" s="1252"/>
    </row>
    <row r="451" spans="1:12" ht="27.95" customHeight="1">
      <c r="A451" s="72"/>
      <c r="B451" s="167">
        <v>1</v>
      </c>
      <c r="C451" s="74"/>
      <c r="D451" s="74"/>
      <c r="E451" s="170">
        <v>2</v>
      </c>
      <c r="F451" s="77"/>
      <c r="G451" s="170">
        <v>3</v>
      </c>
      <c r="H451" s="186"/>
      <c r="I451" s="186">
        <v>4</v>
      </c>
      <c r="J451" s="88">
        <v>5</v>
      </c>
      <c r="K451" s="79"/>
      <c r="L451" s="80">
        <v>6</v>
      </c>
    </row>
    <row r="452" spans="1:12" ht="27.95" customHeight="1">
      <c r="A452" s="72"/>
      <c r="B452" s="73" t="e">
        <f>'4-22MASTER'!#REF!</f>
        <v>#REF!</v>
      </c>
      <c r="C452" s="182"/>
      <c r="D452" s="183"/>
      <c r="E452" s="184" t="s">
        <v>365</v>
      </c>
      <c r="F452" s="183"/>
      <c r="G452" s="184" t="s">
        <v>363</v>
      </c>
      <c r="H452" s="54"/>
      <c r="I452" s="9" t="s">
        <v>366</v>
      </c>
      <c r="J452" s="283">
        <v>1</v>
      </c>
      <c r="K452" s="185" t="s">
        <v>37</v>
      </c>
      <c r="L452" s="190"/>
    </row>
    <row r="453" spans="1:12" ht="27.95" customHeight="1">
      <c r="A453" s="72"/>
      <c r="B453" s="73"/>
      <c r="C453" s="182"/>
      <c r="D453" s="183"/>
      <c r="E453" s="184"/>
      <c r="F453" s="183"/>
      <c r="G453" s="184"/>
      <c r="H453" s="54"/>
      <c r="I453" s="9"/>
      <c r="J453" s="9"/>
      <c r="K453" s="185"/>
      <c r="L453" s="190"/>
    </row>
    <row r="454" spans="1:12" ht="27.95" customHeight="1">
      <c r="A454" s="72"/>
      <c r="B454" s="73"/>
      <c r="C454" s="182"/>
      <c r="D454" s="183"/>
      <c r="E454" s="184"/>
      <c r="F454" s="183"/>
      <c r="G454" s="184"/>
      <c r="H454" s="54"/>
      <c r="I454" s="9"/>
      <c r="J454" s="9"/>
      <c r="K454" s="185"/>
      <c r="L454" s="190"/>
    </row>
    <row r="455" spans="1:12" ht="27.95" customHeight="1">
      <c r="A455" s="72"/>
      <c r="B455" s="59"/>
      <c r="C455" s="13"/>
      <c r="D455" s="60"/>
      <c r="E455" s="184"/>
      <c r="F455" s="183"/>
      <c r="G455" s="184"/>
      <c r="H455" s="54"/>
      <c r="I455" s="9"/>
      <c r="J455" s="9"/>
      <c r="K455" s="185"/>
      <c r="L455" s="190"/>
    </row>
    <row r="456" spans="1:12" ht="27.95" customHeight="1">
      <c r="A456" s="72"/>
      <c r="B456" t="s">
        <v>207</v>
      </c>
      <c r="L456" s="12"/>
    </row>
    <row r="457" spans="1:12" ht="27.95" customHeight="1">
      <c r="A457" s="11"/>
      <c r="B457" t="s">
        <v>208</v>
      </c>
      <c r="L457" s="12"/>
    </row>
    <row r="458" spans="1:12" ht="27.95" customHeight="1">
      <c r="A458" s="11"/>
      <c r="B458" t="s">
        <v>219</v>
      </c>
      <c r="J458" t="s">
        <v>218</v>
      </c>
      <c r="L458" s="12"/>
    </row>
    <row r="459" spans="1:12" ht="24" customHeight="1">
      <c r="A459" s="11"/>
      <c r="G459" s="2" t="s">
        <v>216</v>
      </c>
      <c r="H459" s="2"/>
      <c r="I459" s="2"/>
      <c r="J459" s="2"/>
      <c r="K459" s="2"/>
      <c r="L459" s="68"/>
    </row>
    <row r="460" spans="1:12" ht="18" customHeight="1">
      <c r="A460" s="11"/>
      <c r="B460" s="2"/>
      <c r="G460" t="s">
        <v>217</v>
      </c>
      <c r="H460" s="2"/>
      <c r="I460" s="2"/>
      <c r="J460" s="2"/>
      <c r="K460" s="2"/>
      <c r="L460" s="68"/>
    </row>
    <row r="461" spans="1:12" ht="18.75" customHeight="1">
      <c r="A461" s="11"/>
      <c r="B461" s="173" t="s">
        <v>220</v>
      </c>
      <c r="C461" s="169"/>
      <c r="D461" s="169"/>
      <c r="E461" s="169"/>
      <c r="F461" s="169"/>
      <c r="G461" s="169"/>
      <c r="H461" s="158"/>
      <c r="I461" s="158"/>
      <c r="J461" s="158"/>
      <c r="K461" s="158"/>
      <c r="L461" s="176"/>
    </row>
    <row r="462" spans="1:12">
      <c r="A462" s="11"/>
      <c r="B462" s="173" t="s">
        <v>221</v>
      </c>
      <c r="C462" s="169"/>
      <c r="D462" s="169"/>
      <c r="E462" s="169"/>
      <c r="F462" s="169"/>
      <c r="G462" s="169"/>
      <c r="H462" s="158"/>
      <c r="I462" s="158"/>
      <c r="J462" s="159"/>
      <c r="K462" s="158"/>
      <c r="L462" s="176"/>
    </row>
    <row r="463" spans="1:12">
      <c r="A463" s="11"/>
      <c r="B463" s="73" t="s">
        <v>5</v>
      </c>
      <c r="C463" s="1284" t="s">
        <v>222</v>
      </c>
      <c r="D463" s="1248"/>
      <c r="E463" s="1248"/>
      <c r="F463" s="1248"/>
      <c r="G463" s="1248"/>
      <c r="H463" s="1285"/>
      <c r="I463" s="165" t="s">
        <v>104</v>
      </c>
      <c r="J463" s="1286" t="s">
        <v>223</v>
      </c>
      <c r="K463" s="1287"/>
      <c r="L463" s="1288"/>
    </row>
    <row r="464" spans="1:12">
      <c r="A464" s="11"/>
      <c r="B464" s="167">
        <v>1</v>
      </c>
      <c r="C464" s="201"/>
      <c r="D464" s="76"/>
      <c r="E464" s="82">
        <v>2</v>
      </c>
      <c r="F464" s="53"/>
      <c r="G464" s="1280"/>
      <c r="H464" s="1251"/>
      <c r="I464" s="76">
        <v>3</v>
      </c>
      <c r="J464" s="188" t="s">
        <v>224</v>
      </c>
      <c r="K464" s="1289">
        <v>4</v>
      </c>
      <c r="L464" s="1290"/>
    </row>
    <row r="465" spans="1:12">
      <c r="A465" s="11"/>
      <c r="B465" s="73"/>
      <c r="C465" s="201"/>
      <c r="D465" s="76"/>
      <c r="E465" s="82"/>
      <c r="F465" s="53"/>
      <c r="G465" s="1280"/>
      <c r="H465" s="1251"/>
      <c r="I465" s="185"/>
      <c r="J465" s="187"/>
      <c r="K465" s="1280"/>
      <c r="L465" s="1252"/>
    </row>
    <row r="466" spans="1:12">
      <c r="A466" s="11"/>
      <c r="B466" s="73"/>
      <c r="C466" s="201"/>
      <c r="D466" s="76"/>
      <c r="E466" s="82"/>
      <c r="F466" s="53"/>
      <c r="G466" s="1280"/>
      <c r="H466" s="1251"/>
      <c r="I466" s="185"/>
      <c r="J466" s="187"/>
      <c r="K466" s="1280"/>
      <c r="L466" s="1252"/>
    </row>
    <row r="467" spans="1:12" ht="15" customHeight="1">
      <c r="A467" s="11"/>
      <c r="B467" s="73"/>
      <c r="C467" s="201"/>
      <c r="D467" s="76"/>
      <c r="E467" s="82"/>
      <c r="F467" s="53"/>
      <c r="G467" s="1280"/>
      <c r="H467" s="1251"/>
      <c r="I467" s="185"/>
      <c r="J467" s="187"/>
      <c r="K467" s="1280"/>
      <c r="L467" s="1252"/>
    </row>
    <row r="468" spans="1:12">
      <c r="A468" s="11"/>
      <c r="B468" s="59"/>
      <c r="C468" s="201"/>
      <c r="D468" s="76"/>
      <c r="E468" s="82"/>
      <c r="F468" s="53"/>
      <c r="G468" s="1280"/>
      <c r="H468" s="1251"/>
      <c r="I468" s="185"/>
      <c r="J468" s="187"/>
      <c r="K468" s="1280"/>
      <c r="L468" s="1252"/>
    </row>
    <row r="469" spans="1:12">
      <c r="A469" s="11"/>
      <c r="B469" t="s">
        <v>228</v>
      </c>
      <c r="L469" s="12"/>
    </row>
    <row r="470" spans="1:12">
      <c r="A470" s="11"/>
      <c r="B470" t="s">
        <v>229</v>
      </c>
      <c r="L470" s="12"/>
    </row>
    <row r="471" spans="1:12">
      <c r="A471" s="11"/>
      <c r="B471" t="s">
        <v>230</v>
      </c>
      <c r="L471" s="12"/>
    </row>
    <row r="472" spans="1:12">
      <c r="A472" s="11"/>
      <c r="B472" t="s">
        <v>231</v>
      </c>
      <c r="L472" s="12"/>
    </row>
    <row r="473" spans="1:12">
      <c r="A473" s="11"/>
      <c r="B473" s="184" t="s">
        <v>225</v>
      </c>
      <c r="C473" s="53"/>
      <c r="D473" s="53"/>
      <c r="E473" s="53"/>
      <c r="F473" s="54"/>
      <c r="G473" s="184" t="s">
        <v>201</v>
      </c>
      <c r="H473" s="54"/>
      <c r="I473" s="184" t="s">
        <v>226</v>
      </c>
      <c r="J473" s="53"/>
      <c r="K473" s="54"/>
      <c r="L473" s="12"/>
    </row>
    <row r="474" spans="1:12">
      <c r="A474" s="11"/>
      <c r="B474" s="1253"/>
      <c r="C474" s="1279"/>
      <c r="D474" s="1279"/>
      <c r="E474" s="1279"/>
      <c r="F474" s="1254"/>
      <c r="G474" s="1253"/>
      <c r="H474" s="1254"/>
      <c r="I474" s="1253"/>
      <c r="J474" s="1279"/>
      <c r="K474" s="1254"/>
      <c r="L474" s="12"/>
    </row>
    <row r="475" spans="1:12">
      <c r="A475" s="11"/>
      <c r="B475" s="1253"/>
      <c r="C475" s="1279"/>
      <c r="D475" s="1279"/>
      <c r="E475" s="1279"/>
      <c r="F475" s="1254"/>
      <c r="G475" s="1253"/>
      <c r="H475" s="1254"/>
      <c r="I475" s="1253"/>
      <c r="J475" s="1279"/>
      <c r="K475" s="1254"/>
      <c r="L475" s="12"/>
    </row>
    <row r="476" spans="1:12">
      <c r="A476" s="11"/>
      <c r="B476" s="1253"/>
      <c r="C476" s="1279"/>
      <c r="D476" s="1279"/>
      <c r="E476" s="1279"/>
      <c r="F476" s="1254"/>
      <c r="G476" s="1253"/>
      <c r="H476" s="1254"/>
      <c r="I476" s="1253"/>
      <c r="J476" s="1279"/>
      <c r="K476" s="1254"/>
      <c r="L476" s="12"/>
    </row>
    <row r="477" spans="1:12">
      <c r="A477" s="11"/>
      <c r="B477" s="1253"/>
      <c r="C477" s="1279"/>
      <c r="D477" s="1279"/>
      <c r="E477" s="1279"/>
      <c r="F477" s="1254"/>
      <c r="G477" s="1253"/>
      <c r="H477" s="1254"/>
      <c r="I477" s="1253"/>
      <c r="J477" s="1279"/>
      <c r="K477" s="1254"/>
      <c r="L477" s="12"/>
    </row>
    <row r="478" spans="1:12">
      <c r="A478" s="11"/>
      <c r="L478" s="12"/>
    </row>
    <row r="479" spans="1:12">
      <c r="A479" s="11"/>
      <c r="B479" t="s">
        <v>198</v>
      </c>
      <c r="C479" s="282" t="e">
        <f>'4-22MASTER'!#REF!</f>
        <v>#REF!</v>
      </c>
      <c r="I479" t="s">
        <v>227</v>
      </c>
      <c r="L479" s="12"/>
    </row>
    <row r="480" spans="1:12" ht="18.75">
      <c r="A480" s="11"/>
      <c r="F480" s="172" t="s">
        <v>193</v>
      </c>
      <c r="L480" s="12"/>
    </row>
    <row r="481" spans="1:12">
      <c r="A481" s="11" t="s">
        <v>194</v>
      </c>
      <c r="K481" s="222" t="e">
        <f>'4-22MASTER'!#REF!</f>
        <v>#REF!</v>
      </c>
      <c r="L481" s="12"/>
    </row>
    <row r="482" spans="1:12" ht="27.95" customHeight="1">
      <c r="A482" s="11" t="s">
        <v>195</v>
      </c>
      <c r="L482" s="12"/>
    </row>
    <row r="483" spans="1:12" ht="27.95" customHeight="1">
      <c r="A483" s="11"/>
      <c r="F483" t="s">
        <v>196</v>
      </c>
      <c r="L483" s="12"/>
    </row>
    <row r="484" spans="1:12" ht="27.95" customHeight="1">
      <c r="A484" s="11" t="s">
        <v>197</v>
      </c>
      <c r="B484" t="s">
        <v>361</v>
      </c>
      <c r="F484" t="str">
        <f>'4-22MASTER'!G5</f>
        <v>Burgeon IT Services Pvt.Ltd.</v>
      </c>
      <c r="L484" s="12"/>
    </row>
    <row r="485" spans="1:12" ht="27.95" customHeight="1" thickBot="1">
      <c r="A485" s="16" t="s">
        <v>198</v>
      </c>
      <c r="B485" s="285" t="e">
        <f>'4-22MASTER'!#REF!</f>
        <v>#REF!</v>
      </c>
      <c r="C485" s="14"/>
      <c r="D485" s="14"/>
      <c r="E485" s="14"/>
      <c r="F485" s="14" t="str">
        <f>'4-22MASTER'!G6</f>
        <v>Siri Mansion LIGB 436 Dr.A S Rao Nagar,Hyderabad</v>
      </c>
      <c r="G485" s="14"/>
      <c r="H485" s="14"/>
      <c r="I485" s="14"/>
      <c r="J485" s="14"/>
      <c r="K485" s="14"/>
      <c r="L485" s="15"/>
    </row>
    <row r="486" spans="1:12" ht="27.95" customHeight="1">
      <c r="A486" s="61"/>
      <c r="B486" s="62"/>
      <c r="C486" s="62"/>
      <c r="D486" s="177"/>
      <c r="E486" s="177"/>
      <c r="F486" s="177"/>
      <c r="G486" s="177"/>
      <c r="H486" s="177"/>
      <c r="I486" s="177"/>
      <c r="J486" s="62"/>
      <c r="K486" s="179" t="s">
        <v>212</v>
      </c>
      <c r="L486" s="178"/>
    </row>
    <row r="487" spans="1:12" ht="27.95" customHeight="1">
      <c r="A487" s="11"/>
      <c r="B487" s="1281" t="s">
        <v>211</v>
      </c>
      <c r="C487" s="1281"/>
      <c r="D487" s="1281"/>
      <c r="E487" s="1281"/>
      <c r="F487" s="1281"/>
      <c r="G487" s="1281"/>
      <c r="H487" s="1281"/>
      <c r="I487" s="1281"/>
      <c r="J487" s="1281"/>
      <c r="K487" s="1281"/>
      <c r="L487" s="1282"/>
    </row>
    <row r="488" spans="1:12" ht="21.75" customHeight="1">
      <c r="A488" s="11"/>
      <c r="B488" s="1275" t="s">
        <v>213</v>
      </c>
      <c r="C488" s="1275"/>
      <c r="D488" s="1275"/>
      <c r="E488" s="1275"/>
      <c r="F488" s="1275"/>
      <c r="G488" s="1275"/>
      <c r="H488" s="1275"/>
      <c r="I488" s="1275"/>
      <c r="J488" s="1275"/>
      <c r="K488" s="1275"/>
      <c r="L488" s="1283"/>
    </row>
    <row r="489" spans="1:12" ht="27.95" customHeight="1">
      <c r="A489" s="11"/>
      <c r="B489" s="180" t="s">
        <v>214</v>
      </c>
      <c r="C489" s="180"/>
      <c r="D489" s="180"/>
      <c r="E489" s="180"/>
      <c r="F489" s="180"/>
      <c r="H489" s="181"/>
      <c r="I489" s="181"/>
      <c r="J489" s="181"/>
      <c r="K489" s="181"/>
      <c r="L489" s="189"/>
    </row>
    <row r="490" spans="1:12" ht="27.95" customHeight="1">
      <c r="A490" s="11"/>
      <c r="B490" s="1245" t="s">
        <v>184</v>
      </c>
      <c r="C490" s="1245"/>
      <c r="D490" s="1245"/>
      <c r="E490" s="1245"/>
      <c r="F490" s="1245"/>
      <c r="G490" s="1245"/>
      <c r="H490" s="1268">
        <f>'4-22MASTER'!C427</f>
        <v>0</v>
      </c>
      <c r="I490" s="1260"/>
      <c r="J490" s="1260"/>
      <c r="K490" s="1260"/>
      <c r="L490" s="1110"/>
    </row>
    <row r="491" spans="1:12" ht="24" customHeight="1">
      <c r="A491" s="11"/>
      <c r="B491" s="1269" t="s">
        <v>185</v>
      </c>
      <c r="C491" s="1269"/>
      <c r="D491" s="1269"/>
      <c r="E491" s="1269"/>
      <c r="F491" s="1269"/>
      <c r="G491" s="1269"/>
      <c r="H491" s="1268">
        <f>'4-22MASTER'!F427</f>
        <v>0</v>
      </c>
      <c r="I491" s="1260"/>
      <c r="J491" s="1260"/>
      <c r="K491" s="1260"/>
      <c r="L491" s="1110"/>
    </row>
    <row r="492" spans="1:12" ht="24.75" customHeight="1">
      <c r="A492" s="11"/>
      <c r="B492" s="1245" t="s">
        <v>186</v>
      </c>
      <c r="C492" s="1245"/>
      <c r="D492" s="1245"/>
      <c r="E492" s="1245"/>
      <c r="F492" s="1245"/>
      <c r="G492" s="1245"/>
      <c r="H492" s="1268">
        <f>'4-22MASTER'!D427</f>
        <v>0</v>
      </c>
      <c r="I492" s="1260"/>
      <c r="J492" s="1260"/>
      <c r="K492" s="1260"/>
      <c r="L492" s="1110"/>
    </row>
    <row r="493" spans="1:12" ht="26.25" customHeight="1">
      <c r="A493" s="11"/>
      <c r="B493" s="1245" t="s">
        <v>187</v>
      </c>
      <c r="C493" s="1245"/>
      <c r="D493" s="1245"/>
      <c r="E493" s="1245"/>
      <c r="F493" s="1245"/>
      <c r="G493" s="1245"/>
      <c r="H493" s="1259">
        <f>'4-22MASTER'!E427</f>
        <v>0</v>
      </c>
      <c r="I493" s="1260"/>
      <c r="J493" s="1260"/>
      <c r="K493" s="1260"/>
      <c r="L493" s="1110"/>
    </row>
    <row r="494" spans="1:12" ht="25.5" customHeight="1">
      <c r="A494" s="11"/>
      <c r="B494" s="73" t="s">
        <v>188</v>
      </c>
      <c r="C494" s="74"/>
      <c r="D494" s="74"/>
      <c r="E494" s="74"/>
      <c r="F494" s="74"/>
      <c r="G494" s="74"/>
      <c r="H494" s="1261" t="s">
        <v>189</v>
      </c>
      <c r="I494" s="1262"/>
      <c r="J494" s="1262"/>
      <c r="K494" s="1262"/>
      <c r="L494" s="1263"/>
    </row>
    <row r="495" spans="1:12" ht="27.95" customHeight="1">
      <c r="A495" s="11"/>
      <c r="B495" s="73" t="s">
        <v>190</v>
      </c>
      <c r="C495" s="74"/>
      <c r="D495" s="74"/>
      <c r="E495" s="74"/>
      <c r="F495" s="74"/>
      <c r="G495" s="74"/>
      <c r="H495" s="75"/>
      <c r="I495" s="76"/>
      <c r="J495" s="171"/>
      <c r="K495" s="76"/>
      <c r="L495" s="81"/>
    </row>
    <row r="496" spans="1:12" ht="24" customHeight="1">
      <c r="A496" s="11"/>
      <c r="B496" s="1264" t="s">
        <v>191</v>
      </c>
      <c r="C496" s="1264"/>
      <c r="D496" s="1264"/>
      <c r="E496" s="1264"/>
      <c r="F496" s="1264"/>
      <c r="G496" s="1264"/>
      <c r="H496" s="1265">
        <f>'4-22MASTER'!H427</f>
        <v>0</v>
      </c>
      <c r="I496" s="1266"/>
      <c r="J496" s="1266"/>
      <c r="K496" s="1266"/>
      <c r="L496" s="1105"/>
    </row>
    <row r="497" spans="1:12" ht="22.5" customHeight="1">
      <c r="A497" s="11"/>
      <c r="B497" s="1245"/>
      <c r="C497" s="1245"/>
      <c r="D497" s="1245"/>
      <c r="E497" s="1245"/>
      <c r="F497" s="1245"/>
      <c r="G497" s="1245"/>
      <c r="H497" s="1267">
        <f>'4-22MASTER'!I427</f>
        <v>0</v>
      </c>
      <c r="I497" s="1260"/>
      <c r="J497" s="1260"/>
      <c r="K497" s="1260"/>
      <c r="L497" s="1110"/>
    </row>
    <row r="498" spans="1:12" ht="18.75" customHeight="1">
      <c r="A498" s="11"/>
      <c r="B498" s="1245"/>
      <c r="C498" s="1245"/>
      <c r="D498" s="1245"/>
      <c r="E498" s="1245"/>
      <c r="F498" s="1245"/>
      <c r="G498" s="1245"/>
      <c r="H498" s="1268">
        <f>'4-22MASTER'!J427</f>
        <v>0</v>
      </c>
      <c r="I498" s="1260"/>
      <c r="J498" s="1260"/>
      <c r="K498" s="1260"/>
      <c r="L498" s="1110"/>
    </row>
    <row r="499" spans="1:12">
      <c r="A499" s="11"/>
      <c r="G499" s="2" t="s">
        <v>215</v>
      </c>
      <c r="H499" s="2"/>
      <c r="I499" s="2"/>
      <c r="J499" s="2"/>
      <c r="K499" s="2"/>
      <c r="L499" s="68"/>
    </row>
    <row r="500" spans="1:12">
      <c r="A500" s="11"/>
      <c r="B500" s="173" t="s">
        <v>199</v>
      </c>
      <c r="C500" s="169"/>
      <c r="D500" s="169"/>
      <c r="E500" s="169"/>
      <c r="F500" s="169"/>
      <c r="G500" s="169"/>
      <c r="H500" s="158"/>
      <c r="I500" s="158"/>
      <c r="J500" s="158"/>
      <c r="K500" s="158"/>
      <c r="L500" s="176"/>
    </row>
    <row r="501" spans="1:12">
      <c r="A501" s="11"/>
      <c r="B501" s="173" t="s">
        <v>200</v>
      </c>
      <c r="C501" s="169"/>
      <c r="D501" s="169"/>
      <c r="E501" s="169"/>
      <c r="F501" s="169"/>
      <c r="G501" s="169"/>
      <c r="H501" s="158"/>
      <c r="I501" s="158"/>
      <c r="J501" s="159"/>
      <c r="K501" s="158"/>
      <c r="L501" s="176"/>
    </row>
    <row r="502" spans="1:12" ht="45">
      <c r="A502" s="72"/>
      <c r="B502" s="73" t="s">
        <v>203</v>
      </c>
      <c r="C502" s="74"/>
      <c r="D502" s="186"/>
      <c r="E502" s="164" t="s">
        <v>205</v>
      </c>
      <c r="F502" s="54"/>
      <c r="G502" s="1250" t="s">
        <v>204</v>
      </c>
      <c r="H502" s="1251"/>
      <c r="I502" s="163" t="s">
        <v>201</v>
      </c>
      <c r="J502" s="166" t="s">
        <v>206</v>
      </c>
      <c r="K502" s="1250" t="s">
        <v>202</v>
      </c>
      <c r="L502" s="1252"/>
    </row>
    <row r="503" spans="1:12" ht="15" customHeight="1">
      <c r="A503" s="72"/>
      <c r="B503" s="167">
        <v>1</v>
      </c>
      <c r="C503" s="74"/>
      <c r="D503" s="74"/>
      <c r="E503" s="170">
        <v>2</v>
      </c>
      <c r="F503" s="77"/>
      <c r="G503" s="170">
        <v>3</v>
      </c>
      <c r="H503" s="186"/>
      <c r="I503" s="186">
        <v>4</v>
      </c>
      <c r="J503" s="88">
        <v>5</v>
      </c>
      <c r="K503" s="79"/>
      <c r="L503" s="80">
        <v>6</v>
      </c>
    </row>
    <row r="504" spans="1:12">
      <c r="A504" s="72"/>
      <c r="B504" s="73"/>
      <c r="C504" s="182"/>
      <c r="D504" s="183"/>
      <c r="E504" s="184" t="s">
        <v>365</v>
      </c>
      <c r="F504" s="183"/>
      <c r="G504" s="184" t="s">
        <v>363</v>
      </c>
      <c r="H504" s="54"/>
      <c r="I504" s="9" t="s">
        <v>366</v>
      </c>
      <c r="J504" s="283">
        <v>1</v>
      </c>
      <c r="K504" s="185" t="s">
        <v>37</v>
      </c>
      <c r="L504" s="190"/>
    </row>
    <row r="505" spans="1:12">
      <c r="A505" s="72"/>
      <c r="B505" s="73"/>
      <c r="C505" s="182"/>
      <c r="D505" s="183"/>
      <c r="E505" s="184"/>
      <c r="F505" s="183"/>
      <c r="G505" s="184"/>
      <c r="H505" s="54"/>
      <c r="I505" s="9"/>
      <c r="J505" s="9"/>
      <c r="K505" s="185"/>
      <c r="L505" s="190"/>
    </row>
    <row r="506" spans="1:12">
      <c r="A506" s="72"/>
      <c r="B506" s="73"/>
      <c r="C506" s="182"/>
      <c r="D506" s="183"/>
      <c r="E506" s="184"/>
      <c r="F506" s="183"/>
      <c r="G506" s="184"/>
      <c r="H506" s="54"/>
      <c r="I506" s="9"/>
      <c r="J506" s="9"/>
      <c r="K506" s="185"/>
      <c r="L506" s="190"/>
    </row>
    <row r="507" spans="1:12">
      <c r="A507" s="72"/>
      <c r="B507" s="59"/>
      <c r="C507" s="13"/>
      <c r="D507" s="60"/>
      <c r="E507" s="184"/>
      <c r="F507" s="183"/>
      <c r="G507" s="184"/>
      <c r="H507" s="54"/>
      <c r="I507" s="9"/>
      <c r="J507" s="9"/>
      <c r="K507" s="185"/>
      <c r="L507" s="190"/>
    </row>
    <row r="508" spans="1:12">
      <c r="A508" s="72"/>
      <c r="B508" t="s">
        <v>207</v>
      </c>
      <c r="L508" s="12"/>
    </row>
    <row r="509" spans="1:12">
      <c r="A509" s="11"/>
      <c r="B509" t="s">
        <v>208</v>
      </c>
      <c r="L509" s="12"/>
    </row>
    <row r="510" spans="1:12">
      <c r="A510" s="11"/>
      <c r="B510" t="s">
        <v>219</v>
      </c>
      <c r="J510" t="s">
        <v>218</v>
      </c>
      <c r="L510" s="12"/>
    </row>
    <row r="511" spans="1:12">
      <c r="A511" s="11"/>
      <c r="G511" s="2" t="s">
        <v>216</v>
      </c>
      <c r="H511" s="2"/>
      <c r="I511" s="2"/>
      <c r="J511" s="2"/>
      <c r="K511" s="2"/>
      <c r="L511" s="68"/>
    </row>
    <row r="512" spans="1:12">
      <c r="A512" s="11"/>
      <c r="B512" s="2"/>
      <c r="G512" t="s">
        <v>217</v>
      </c>
      <c r="H512" s="2"/>
      <c r="I512" s="2"/>
      <c r="J512" s="2"/>
      <c r="K512" s="2"/>
      <c r="L512" s="68"/>
    </row>
    <row r="513" spans="1:12">
      <c r="A513" s="11"/>
      <c r="B513" s="173" t="s">
        <v>220</v>
      </c>
      <c r="C513" s="169"/>
      <c r="D513" s="169"/>
      <c r="E513" s="169"/>
      <c r="F513" s="169"/>
      <c r="G513" s="169"/>
      <c r="H513" s="158"/>
      <c r="I513" s="158"/>
      <c r="J513" s="158"/>
      <c r="K513" s="158"/>
      <c r="L513" s="176"/>
    </row>
    <row r="514" spans="1:12">
      <c r="A514" s="11"/>
      <c r="B514" s="173" t="s">
        <v>221</v>
      </c>
      <c r="C514" s="169"/>
      <c r="D514" s="169"/>
      <c r="E514" s="169"/>
      <c r="F514" s="169"/>
      <c r="G514" s="169"/>
      <c r="H514" s="158"/>
      <c r="I514" s="158"/>
      <c r="J514" s="159"/>
      <c r="K514" s="158"/>
      <c r="L514" s="176"/>
    </row>
    <row r="515" spans="1:12">
      <c r="A515" s="11"/>
      <c r="B515" s="73" t="s">
        <v>5</v>
      </c>
      <c r="C515" s="1284" t="s">
        <v>222</v>
      </c>
      <c r="D515" s="1248"/>
      <c r="E515" s="1248"/>
      <c r="F515" s="1248"/>
      <c r="G515" s="1248"/>
      <c r="H515" s="1285"/>
      <c r="I515" s="165" t="s">
        <v>104</v>
      </c>
      <c r="J515" s="1286" t="s">
        <v>223</v>
      </c>
      <c r="K515" s="1287"/>
      <c r="L515" s="1288"/>
    </row>
    <row r="516" spans="1:12">
      <c r="A516" s="11"/>
      <c r="B516" s="167">
        <v>1</v>
      </c>
      <c r="C516" s="201"/>
      <c r="D516" s="76"/>
      <c r="E516" s="82">
        <v>2</v>
      </c>
      <c r="F516" s="53"/>
      <c r="G516" s="1280"/>
      <c r="H516" s="1251"/>
      <c r="I516" s="76">
        <v>3</v>
      </c>
      <c r="J516" s="188" t="s">
        <v>224</v>
      </c>
      <c r="K516" s="1289">
        <v>4</v>
      </c>
      <c r="L516" s="1290"/>
    </row>
    <row r="517" spans="1:12">
      <c r="A517" s="11"/>
      <c r="B517" s="73"/>
      <c r="C517" s="201"/>
      <c r="D517" s="76"/>
      <c r="E517" s="82"/>
      <c r="F517" s="53"/>
      <c r="G517" s="1280"/>
      <c r="H517" s="1251"/>
      <c r="I517" s="185"/>
      <c r="J517" s="187"/>
      <c r="K517" s="1280"/>
      <c r="L517" s="1252"/>
    </row>
    <row r="518" spans="1:12" ht="27.95" customHeight="1">
      <c r="A518" s="11"/>
      <c r="B518" s="73"/>
      <c r="C518" s="201"/>
      <c r="D518" s="76"/>
      <c r="E518" s="82"/>
      <c r="F518" s="53"/>
      <c r="G518" s="1280"/>
      <c r="H518" s="1251"/>
      <c r="I518" s="185"/>
      <c r="J518" s="187"/>
      <c r="K518" s="1280"/>
      <c r="L518" s="1252"/>
    </row>
    <row r="519" spans="1:12" ht="27.95" customHeight="1">
      <c r="A519" s="11"/>
      <c r="B519" s="73"/>
      <c r="C519" s="201"/>
      <c r="D519" s="76"/>
      <c r="E519" s="82"/>
      <c r="F519" s="53"/>
      <c r="G519" s="1280"/>
      <c r="H519" s="1251"/>
      <c r="I519" s="185"/>
      <c r="J519" s="187"/>
      <c r="K519" s="1280"/>
      <c r="L519" s="1252"/>
    </row>
    <row r="520" spans="1:12" ht="27.95" customHeight="1">
      <c r="A520" s="11"/>
      <c r="B520" s="59"/>
      <c r="C520" s="201"/>
      <c r="D520" s="76"/>
      <c r="E520" s="82"/>
      <c r="F520" s="53"/>
      <c r="G520" s="1280"/>
      <c r="H520" s="1251"/>
      <c r="I520" s="185"/>
      <c r="J520" s="187"/>
      <c r="K520" s="1280"/>
      <c r="L520" s="1252"/>
    </row>
    <row r="521" spans="1:12" ht="25.5" customHeight="1">
      <c r="A521" s="11"/>
      <c r="B521" t="s">
        <v>228</v>
      </c>
      <c r="L521" s="12"/>
    </row>
    <row r="522" spans="1:12" ht="18" customHeight="1">
      <c r="A522" s="11"/>
      <c r="B522" t="s">
        <v>229</v>
      </c>
      <c r="L522" s="12"/>
    </row>
    <row r="523" spans="1:12" ht="16.5" customHeight="1">
      <c r="A523" s="11"/>
      <c r="B523" t="s">
        <v>230</v>
      </c>
      <c r="L523" s="12"/>
    </row>
    <row r="524" spans="1:12" ht="16.5" customHeight="1">
      <c r="A524" s="11"/>
      <c r="B524" t="s">
        <v>231</v>
      </c>
      <c r="L524" s="12"/>
    </row>
    <row r="525" spans="1:12" ht="27.95" customHeight="1">
      <c r="A525" s="11"/>
      <c r="B525" s="184" t="s">
        <v>225</v>
      </c>
      <c r="C525" s="53"/>
      <c r="D525" s="53"/>
      <c r="E525" s="53"/>
      <c r="F525" s="54"/>
      <c r="G525" s="184" t="s">
        <v>201</v>
      </c>
      <c r="H525" s="54"/>
      <c r="I525" s="184" t="s">
        <v>226</v>
      </c>
      <c r="J525" s="53"/>
      <c r="K525" s="54"/>
      <c r="L525" s="12"/>
    </row>
    <row r="526" spans="1:12" ht="24.75" customHeight="1">
      <c r="A526" s="11"/>
      <c r="B526" s="1253"/>
      <c r="C526" s="1279"/>
      <c r="D526" s="1279"/>
      <c r="E526" s="1279"/>
      <c r="F526" s="1254"/>
      <c r="G526" s="1253"/>
      <c r="H526" s="1254"/>
      <c r="I526" s="1253"/>
      <c r="J526" s="1279"/>
      <c r="K526" s="1254"/>
      <c r="L526" s="12"/>
    </row>
    <row r="527" spans="1:12" ht="23.25" customHeight="1">
      <c r="A527" s="11"/>
      <c r="B527" s="1253"/>
      <c r="C527" s="1279"/>
      <c r="D527" s="1279"/>
      <c r="E527" s="1279"/>
      <c r="F527" s="1254"/>
      <c r="G527" s="1253"/>
      <c r="H527" s="1254"/>
      <c r="I527" s="1253"/>
      <c r="J527" s="1279"/>
      <c r="K527" s="1254"/>
      <c r="L527" s="12"/>
    </row>
    <row r="528" spans="1:12" ht="21.75" customHeight="1">
      <c r="A528" s="11"/>
      <c r="B528" s="1253"/>
      <c r="C528" s="1279"/>
      <c r="D528" s="1279"/>
      <c r="E528" s="1279"/>
      <c r="F528" s="1254"/>
      <c r="G528" s="1253"/>
      <c r="H528" s="1254"/>
      <c r="I528" s="1253"/>
      <c r="J528" s="1279"/>
      <c r="K528" s="1254"/>
      <c r="L528" s="12"/>
    </row>
    <row r="529" spans="1:12" ht="19.5" customHeight="1">
      <c r="A529" s="11"/>
      <c r="B529" s="1253"/>
      <c r="C529" s="1279"/>
      <c r="D529" s="1279"/>
      <c r="E529" s="1279"/>
      <c r="F529" s="1254"/>
      <c r="G529" s="1253"/>
      <c r="H529" s="1254"/>
      <c r="I529" s="1253"/>
      <c r="J529" s="1279"/>
      <c r="K529" s="1254"/>
      <c r="L529" s="12"/>
    </row>
    <row r="530" spans="1:12" ht="27.95" customHeight="1">
      <c r="A530" s="11"/>
      <c r="B530" t="s">
        <v>198</v>
      </c>
      <c r="I530" t="s">
        <v>227</v>
      </c>
      <c r="L530" s="12"/>
    </row>
    <row r="531" spans="1:12" ht="24" customHeight="1">
      <c r="A531" s="11"/>
      <c r="F531" s="172" t="s">
        <v>193</v>
      </c>
      <c r="L531" s="12"/>
    </row>
    <row r="532" spans="1:12" ht="27.95" customHeight="1">
      <c r="A532" s="11" t="s">
        <v>194</v>
      </c>
      <c r="L532" s="12"/>
    </row>
    <row r="533" spans="1:12" ht="27.95" customHeight="1">
      <c r="A533" s="11" t="s">
        <v>195</v>
      </c>
      <c r="L533" s="12"/>
    </row>
    <row r="534" spans="1:12" ht="27.95" customHeight="1">
      <c r="A534" s="11"/>
      <c r="F534" t="s">
        <v>196</v>
      </c>
      <c r="L534" s="12"/>
    </row>
    <row r="535" spans="1:12">
      <c r="A535" s="11" t="s">
        <v>197</v>
      </c>
      <c r="F535">
        <f>'4-22MASTER'!G417</f>
        <v>0</v>
      </c>
      <c r="L535" s="12"/>
    </row>
    <row r="536" spans="1:12" ht="15.75" thickBot="1">
      <c r="A536" s="16" t="s">
        <v>198</v>
      </c>
      <c r="B536" s="14"/>
      <c r="C536" s="14"/>
      <c r="D536" s="14"/>
      <c r="E536" s="14"/>
      <c r="F536" s="14">
        <f>'4-22MASTER'!G418</f>
        <v>0</v>
      </c>
      <c r="G536" s="14"/>
      <c r="H536" s="14"/>
      <c r="I536" s="14"/>
      <c r="J536" s="14"/>
      <c r="K536" s="14"/>
      <c r="L536" s="15"/>
    </row>
    <row r="537" spans="1:12" ht="32.25">
      <c r="A537" s="61"/>
      <c r="B537" s="62"/>
      <c r="C537" s="62"/>
      <c r="D537" s="177"/>
      <c r="E537" s="177"/>
      <c r="F537" s="177"/>
      <c r="G537" s="177"/>
      <c r="H537" s="177"/>
      <c r="I537" s="177"/>
      <c r="J537" s="62"/>
      <c r="K537" s="179" t="s">
        <v>212</v>
      </c>
      <c r="L537" s="178"/>
    </row>
    <row r="538" spans="1:12" ht="21">
      <c r="A538" s="11"/>
      <c r="B538" s="1281" t="s">
        <v>211</v>
      </c>
      <c r="C538" s="1281"/>
      <c r="D538" s="1281"/>
      <c r="E538" s="1281"/>
      <c r="F538" s="1281"/>
      <c r="G538" s="1281"/>
      <c r="H538" s="1281"/>
      <c r="I538" s="1281"/>
      <c r="J538" s="1281"/>
      <c r="K538" s="1281"/>
      <c r="L538" s="1282"/>
    </row>
    <row r="539" spans="1:12" ht="15.75">
      <c r="A539" s="11"/>
      <c r="B539" s="1275" t="s">
        <v>213</v>
      </c>
      <c r="C539" s="1275"/>
      <c r="D539" s="1275"/>
      <c r="E539" s="1275"/>
      <c r="F539" s="1275"/>
      <c r="G539" s="1275"/>
      <c r="H539" s="1275"/>
      <c r="I539" s="1275"/>
      <c r="J539" s="1275"/>
      <c r="K539" s="1275"/>
      <c r="L539" s="1283"/>
    </row>
    <row r="540" spans="1:12" ht="15" customHeight="1">
      <c r="A540" s="11"/>
      <c r="B540" s="180" t="s">
        <v>214</v>
      </c>
      <c r="C540" s="180"/>
      <c r="D540" s="180"/>
      <c r="E540" s="180"/>
      <c r="F540" s="180"/>
      <c r="H540" s="181"/>
      <c r="I540" s="181"/>
      <c r="J540" s="181"/>
      <c r="K540" s="181"/>
      <c r="L540" s="189"/>
    </row>
    <row r="541" spans="1:12">
      <c r="A541" s="11"/>
      <c r="B541" s="1245" t="s">
        <v>184</v>
      </c>
      <c r="C541" s="1245"/>
      <c r="D541" s="1245"/>
      <c r="E541" s="1245"/>
      <c r="F541" s="1245"/>
      <c r="G541" s="1245"/>
      <c r="H541" s="1268">
        <f>'4-22MASTER'!C478</f>
        <v>0</v>
      </c>
      <c r="I541" s="1260"/>
      <c r="J541" s="1260"/>
      <c r="K541" s="1260"/>
      <c r="L541" s="1110"/>
    </row>
    <row r="542" spans="1:12">
      <c r="A542" s="11"/>
      <c r="B542" s="1269" t="s">
        <v>185</v>
      </c>
      <c r="C542" s="1269"/>
      <c r="D542" s="1269"/>
      <c r="E542" s="1269"/>
      <c r="F542" s="1269"/>
      <c r="G542" s="1269"/>
      <c r="H542" s="1268">
        <f>'4-22MASTER'!F478</f>
        <v>0</v>
      </c>
      <c r="I542" s="1260"/>
      <c r="J542" s="1260"/>
      <c r="K542" s="1260"/>
      <c r="L542" s="1110"/>
    </row>
    <row r="543" spans="1:12">
      <c r="A543" s="11"/>
      <c r="B543" s="1245" t="s">
        <v>186</v>
      </c>
      <c r="C543" s="1245"/>
      <c r="D543" s="1245"/>
      <c r="E543" s="1245"/>
      <c r="F543" s="1245"/>
      <c r="G543" s="1245"/>
      <c r="H543" s="1268">
        <f>'4-22MASTER'!D478</f>
        <v>0</v>
      </c>
      <c r="I543" s="1260"/>
      <c r="J543" s="1260"/>
      <c r="K543" s="1260"/>
      <c r="L543" s="1110"/>
    </row>
    <row r="544" spans="1:12">
      <c r="A544" s="11"/>
      <c r="B544" s="1245" t="s">
        <v>187</v>
      </c>
      <c r="C544" s="1245"/>
      <c r="D544" s="1245"/>
      <c r="E544" s="1245"/>
      <c r="F544" s="1245"/>
      <c r="G544" s="1245"/>
      <c r="H544" s="1259">
        <f>'4-22MASTER'!E478</f>
        <v>0</v>
      </c>
      <c r="I544" s="1260"/>
      <c r="J544" s="1260"/>
      <c r="K544" s="1260"/>
      <c r="L544" s="1110"/>
    </row>
    <row r="545" spans="1:12">
      <c r="A545" s="11"/>
      <c r="B545" s="73" t="s">
        <v>188</v>
      </c>
      <c r="C545" s="74"/>
      <c r="D545" s="74"/>
      <c r="E545" s="74"/>
      <c r="F545" s="74"/>
      <c r="G545" s="74"/>
      <c r="H545" s="1261" t="s">
        <v>189</v>
      </c>
      <c r="I545" s="1262"/>
      <c r="J545" s="1262"/>
      <c r="K545" s="1262"/>
      <c r="L545" s="1263"/>
    </row>
    <row r="546" spans="1:12">
      <c r="A546" s="11"/>
      <c r="B546" s="73" t="s">
        <v>190</v>
      </c>
      <c r="C546" s="74"/>
      <c r="D546" s="74"/>
      <c r="E546" s="74"/>
      <c r="F546" s="74"/>
      <c r="G546" s="74"/>
      <c r="H546" s="75"/>
      <c r="I546" s="76"/>
      <c r="J546" s="171"/>
      <c r="K546" s="76"/>
      <c r="L546" s="81"/>
    </row>
    <row r="547" spans="1:12">
      <c r="A547" s="11"/>
      <c r="B547" s="1264" t="s">
        <v>191</v>
      </c>
      <c r="C547" s="1264"/>
      <c r="D547" s="1264"/>
      <c r="E547" s="1264"/>
      <c r="F547" s="1264"/>
      <c r="G547" s="1264"/>
      <c r="H547" s="1265">
        <f>'4-22MASTER'!H478</f>
        <v>0</v>
      </c>
      <c r="I547" s="1266"/>
      <c r="J547" s="1266"/>
      <c r="K547" s="1266"/>
      <c r="L547" s="1105"/>
    </row>
    <row r="548" spans="1:12">
      <c r="A548" s="11"/>
      <c r="B548" s="1245"/>
      <c r="C548" s="1245"/>
      <c r="D548" s="1245"/>
      <c r="E548" s="1245"/>
      <c r="F548" s="1245"/>
      <c r="G548" s="1245"/>
      <c r="H548" s="1267">
        <f>'4-22MASTER'!I478</f>
        <v>0</v>
      </c>
      <c r="I548" s="1260"/>
      <c r="J548" s="1260"/>
      <c r="K548" s="1260"/>
      <c r="L548" s="1110"/>
    </row>
    <row r="549" spans="1:12">
      <c r="A549" s="11"/>
      <c r="B549" s="1245"/>
      <c r="C549" s="1245"/>
      <c r="D549" s="1245"/>
      <c r="E549" s="1245"/>
      <c r="F549" s="1245"/>
      <c r="G549" s="1245"/>
      <c r="H549" s="1268">
        <f>'4-22MASTER'!J478</f>
        <v>0</v>
      </c>
      <c r="I549" s="1260"/>
      <c r="J549" s="1260"/>
      <c r="K549" s="1260"/>
      <c r="L549" s="1110"/>
    </row>
    <row r="550" spans="1:12">
      <c r="A550" s="11"/>
      <c r="G550" s="2" t="s">
        <v>215</v>
      </c>
      <c r="H550" s="2"/>
      <c r="I550" s="2"/>
      <c r="J550" s="2"/>
      <c r="K550" s="2"/>
      <c r="L550" s="68"/>
    </row>
    <row r="551" spans="1:12">
      <c r="A551" s="11"/>
      <c r="B551" s="173" t="s">
        <v>199</v>
      </c>
      <c r="C551" s="169"/>
      <c r="D551" s="169"/>
      <c r="E551" s="169"/>
      <c r="F551" s="169"/>
      <c r="G551" s="169"/>
      <c r="H551" s="158"/>
      <c r="I551" s="158"/>
      <c r="J551" s="158"/>
      <c r="K551" s="158"/>
      <c r="L551" s="176"/>
    </row>
    <row r="552" spans="1:12">
      <c r="A552" s="11"/>
      <c r="B552" s="173" t="s">
        <v>200</v>
      </c>
      <c r="C552" s="169"/>
      <c r="D552" s="169"/>
      <c r="E552" s="169"/>
      <c r="F552" s="169"/>
      <c r="G552" s="169"/>
      <c r="H552" s="158"/>
      <c r="I552" s="158"/>
      <c r="J552" s="159"/>
      <c r="K552" s="158"/>
      <c r="L552" s="176"/>
    </row>
    <row r="553" spans="1:12" ht="45">
      <c r="A553" s="72"/>
      <c r="B553" s="73" t="s">
        <v>203</v>
      </c>
      <c r="C553" s="74"/>
      <c r="D553" s="186"/>
      <c r="E553" s="164" t="s">
        <v>205</v>
      </c>
      <c r="F553" s="54"/>
      <c r="G553" s="1250" t="s">
        <v>204</v>
      </c>
      <c r="H553" s="1251"/>
      <c r="I553" s="163" t="s">
        <v>201</v>
      </c>
      <c r="J553" s="166" t="s">
        <v>206</v>
      </c>
      <c r="K553" s="1250" t="s">
        <v>202</v>
      </c>
      <c r="L553" s="1252"/>
    </row>
    <row r="554" spans="1:12">
      <c r="A554" s="72"/>
      <c r="B554" s="167">
        <v>1</v>
      </c>
      <c r="C554" s="74"/>
      <c r="D554" s="74"/>
      <c r="E554" s="170">
        <v>2</v>
      </c>
      <c r="F554" s="77"/>
      <c r="G554" s="170">
        <v>3</v>
      </c>
      <c r="H554" s="186"/>
      <c r="I554" s="186">
        <v>4</v>
      </c>
      <c r="J554" s="88">
        <v>5</v>
      </c>
      <c r="K554" s="79"/>
      <c r="L554" s="80">
        <v>6</v>
      </c>
    </row>
    <row r="555" spans="1:12" ht="27.95" customHeight="1">
      <c r="A555" s="72"/>
      <c r="B555" s="73"/>
      <c r="C555" s="182"/>
      <c r="D555" s="183"/>
      <c r="E555" s="184" t="s">
        <v>365</v>
      </c>
      <c r="F555" s="183"/>
      <c r="G555" s="184" t="s">
        <v>363</v>
      </c>
      <c r="H555" s="54"/>
      <c r="I555" s="9" t="s">
        <v>366</v>
      </c>
      <c r="J555" s="283">
        <v>1</v>
      </c>
      <c r="K555" s="185" t="s">
        <v>37</v>
      </c>
      <c r="L555" s="190"/>
    </row>
    <row r="556" spans="1:12" ht="27.95" customHeight="1">
      <c r="A556" s="72"/>
      <c r="B556" s="73"/>
      <c r="C556" s="182"/>
      <c r="D556" s="183"/>
      <c r="E556" s="184"/>
      <c r="F556" s="183"/>
      <c r="G556" s="184"/>
      <c r="H556" s="54"/>
      <c r="I556" s="9"/>
      <c r="J556" s="9"/>
      <c r="K556" s="185"/>
      <c r="L556" s="190"/>
    </row>
    <row r="557" spans="1:12" ht="27.95" customHeight="1">
      <c r="A557" s="72"/>
      <c r="B557" s="73"/>
      <c r="C557" s="182"/>
      <c r="D557" s="183"/>
      <c r="E557" s="184"/>
      <c r="F557" s="183"/>
      <c r="G557" s="184"/>
      <c r="H557" s="54"/>
      <c r="I557" s="9"/>
      <c r="J557" s="9"/>
      <c r="K557" s="185"/>
      <c r="L557" s="190"/>
    </row>
    <row r="558" spans="1:12" ht="27.95" customHeight="1">
      <c r="A558" s="72"/>
      <c r="B558" s="59"/>
      <c r="C558" s="13"/>
      <c r="D558" s="60"/>
      <c r="E558" s="184"/>
      <c r="F558" s="183"/>
      <c r="G558" s="184"/>
      <c r="H558" s="54"/>
      <c r="I558" s="9"/>
      <c r="J558" s="9"/>
      <c r="K558" s="185"/>
      <c r="L558" s="190"/>
    </row>
    <row r="559" spans="1:12" ht="27.95" customHeight="1">
      <c r="A559" s="72"/>
      <c r="B559" t="s">
        <v>207</v>
      </c>
      <c r="L559" s="12"/>
    </row>
    <row r="560" spans="1:12" ht="27.95" customHeight="1">
      <c r="A560" s="11"/>
      <c r="B560" t="s">
        <v>208</v>
      </c>
      <c r="L560" s="12"/>
    </row>
    <row r="561" spans="1:12" ht="27.95" customHeight="1">
      <c r="A561" s="11"/>
      <c r="B561" t="s">
        <v>219</v>
      </c>
      <c r="J561" t="s">
        <v>218</v>
      </c>
      <c r="L561" s="12"/>
    </row>
    <row r="562" spans="1:12" ht="27.95" customHeight="1">
      <c r="A562" s="11"/>
      <c r="G562" s="2" t="s">
        <v>216</v>
      </c>
      <c r="H562" s="2"/>
      <c r="I562" s="2"/>
      <c r="J562" s="2"/>
      <c r="K562" s="2"/>
      <c r="L562" s="68"/>
    </row>
    <row r="563" spans="1:12" ht="27.95" customHeight="1">
      <c r="A563" s="11"/>
      <c r="B563" s="2"/>
      <c r="G563" t="s">
        <v>217</v>
      </c>
      <c r="H563" s="2"/>
      <c r="I563" s="2"/>
      <c r="J563" s="2"/>
      <c r="K563" s="2"/>
      <c r="L563" s="68"/>
    </row>
    <row r="564" spans="1:12" ht="27.95" customHeight="1">
      <c r="A564" s="11"/>
      <c r="B564" s="173" t="s">
        <v>220</v>
      </c>
      <c r="C564" s="169"/>
      <c r="D564" s="169"/>
      <c r="E564" s="169"/>
      <c r="F564" s="169"/>
      <c r="G564" s="169"/>
      <c r="H564" s="158"/>
      <c r="I564" s="158"/>
      <c r="J564" s="158"/>
      <c r="K564" s="158"/>
      <c r="L564" s="176"/>
    </row>
    <row r="565" spans="1:12" ht="27.95" customHeight="1">
      <c r="A565" s="11"/>
      <c r="B565" s="173" t="s">
        <v>221</v>
      </c>
      <c r="C565" s="169"/>
      <c r="D565" s="169"/>
      <c r="E565" s="169"/>
      <c r="F565" s="169"/>
      <c r="G565" s="169"/>
      <c r="H565" s="158"/>
      <c r="I565" s="158"/>
      <c r="J565" s="159"/>
      <c r="K565" s="158"/>
      <c r="L565" s="176"/>
    </row>
    <row r="566" spans="1:12" ht="27.95" customHeight="1">
      <c r="A566" s="11"/>
      <c r="B566" s="73" t="s">
        <v>5</v>
      </c>
      <c r="C566" s="1284" t="s">
        <v>222</v>
      </c>
      <c r="D566" s="1248"/>
      <c r="E566" s="1248"/>
      <c r="F566" s="1248"/>
      <c r="G566" s="1248"/>
      <c r="H566" s="1285"/>
      <c r="I566" s="165" t="s">
        <v>104</v>
      </c>
      <c r="J566" s="1286" t="s">
        <v>223</v>
      </c>
      <c r="K566" s="1287"/>
      <c r="L566" s="1288"/>
    </row>
    <row r="567" spans="1:12" ht="27.95" customHeight="1">
      <c r="A567" s="11"/>
      <c r="B567" s="167">
        <v>1</v>
      </c>
      <c r="C567" s="201"/>
      <c r="D567" s="76"/>
      <c r="E567" s="82">
        <v>2</v>
      </c>
      <c r="F567" s="53"/>
      <c r="G567" s="1280"/>
      <c r="H567" s="1251"/>
      <c r="I567" s="76">
        <v>3</v>
      </c>
      <c r="J567" s="188" t="s">
        <v>224</v>
      </c>
      <c r="K567" s="1289">
        <v>4</v>
      </c>
      <c r="L567" s="1290"/>
    </row>
    <row r="568" spans="1:12" ht="27.95" customHeight="1">
      <c r="A568" s="11"/>
      <c r="B568" s="73"/>
      <c r="C568" s="201"/>
      <c r="D568" s="76"/>
      <c r="E568" s="82"/>
      <c r="F568" s="53"/>
      <c r="G568" s="1280"/>
      <c r="H568" s="1251"/>
      <c r="I568" s="185"/>
      <c r="J568" s="187"/>
      <c r="K568" s="1280"/>
      <c r="L568" s="1252"/>
    </row>
    <row r="569" spans="1:12" ht="27.95" customHeight="1">
      <c r="A569" s="11"/>
      <c r="B569" s="73"/>
      <c r="C569" s="201"/>
      <c r="D569" s="76"/>
      <c r="E569" s="82"/>
      <c r="F569" s="53"/>
      <c r="G569" s="1280"/>
      <c r="H569" s="1251"/>
      <c r="I569" s="185"/>
      <c r="J569" s="187"/>
      <c r="K569" s="1280"/>
      <c r="L569" s="1252"/>
    </row>
    <row r="570" spans="1:12" ht="27.95" customHeight="1">
      <c r="A570" s="11"/>
      <c r="B570" s="73"/>
      <c r="C570" s="201"/>
      <c r="D570" s="76"/>
      <c r="E570" s="82"/>
      <c r="F570" s="53"/>
      <c r="G570" s="1280"/>
      <c r="H570" s="1251"/>
      <c r="I570" s="185"/>
      <c r="J570" s="187"/>
      <c r="K570" s="1280"/>
      <c r="L570" s="1252"/>
    </row>
    <row r="571" spans="1:12" ht="27.95" customHeight="1">
      <c r="A571" s="11"/>
      <c r="B571" s="59"/>
      <c r="C571" s="201"/>
      <c r="D571" s="76"/>
      <c r="E571" s="82"/>
      <c r="F571" s="53"/>
      <c r="G571" s="1280"/>
      <c r="H571" s="1251"/>
      <c r="I571" s="185"/>
      <c r="J571" s="187"/>
      <c r="K571" s="1280"/>
      <c r="L571" s="1252"/>
    </row>
    <row r="572" spans="1:12" ht="27.95" customHeight="1">
      <c r="A572" s="11"/>
      <c r="B572" t="s">
        <v>228</v>
      </c>
      <c r="L572" s="12"/>
    </row>
    <row r="573" spans="1:12">
      <c r="A573" s="11"/>
      <c r="B573" t="s">
        <v>229</v>
      </c>
      <c r="L573" s="12"/>
    </row>
    <row r="574" spans="1:12">
      <c r="A574" s="11"/>
      <c r="B574" t="s">
        <v>230</v>
      </c>
      <c r="L574" s="12"/>
    </row>
    <row r="575" spans="1:12">
      <c r="A575" s="11"/>
      <c r="B575" t="s">
        <v>231</v>
      </c>
      <c r="L575" s="12"/>
    </row>
    <row r="576" spans="1:12">
      <c r="A576" s="11"/>
      <c r="B576" s="184" t="s">
        <v>225</v>
      </c>
      <c r="C576" s="53"/>
      <c r="D576" s="53"/>
      <c r="E576" s="53"/>
      <c r="F576" s="54"/>
      <c r="G576" s="184" t="s">
        <v>201</v>
      </c>
      <c r="H576" s="54"/>
      <c r="I576" s="184" t="s">
        <v>226</v>
      </c>
      <c r="J576" s="53"/>
      <c r="K576" s="54"/>
      <c r="L576" s="12"/>
    </row>
    <row r="577" spans="1:12">
      <c r="A577" s="11"/>
      <c r="B577" s="1253"/>
      <c r="C577" s="1279"/>
      <c r="D577" s="1279"/>
      <c r="E577" s="1279"/>
      <c r="F577" s="1254"/>
      <c r="G577" s="1253"/>
      <c r="H577" s="1254"/>
      <c r="I577" s="1253"/>
      <c r="J577" s="1279"/>
      <c r="K577" s="1254"/>
      <c r="L577" s="12"/>
    </row>
    <row r="578" spans="1:12">
      <c r="A578" s="11"/>
      <c r="B578" s="1253"/>
      <c r="C578" s="1279"/>
      <c r="D578" s="1279"/>
      <c r="E578" s="1279"/>
      <c r="F578" s="1254"/>
      <c r="G578" s="1253"/>
      <c r="H578" s="1254"/>
      <c r="I578" s="1253"/>
      <c r="J578" s="1279"/>
      <c r="K578" s="1254"/>
      <c r="L578" s="12"/>
    </row>
    <row r="579" spans="1:12" ht="15" customHeight="1">
      <c r="A579" s="11"/>
      <c r="B579" s="1253"/>
      <c r="C579" s="1279"/>
      <c r="D579" s="1279"/>
      <c r="E579" s="1279"/>
      <c r="F579" s="1254"/>
      <c r="G579" s="1253"/>
      <c r="H579" s="1254"/>
      <c r="I579" s="1253"/>
      <c r="J579" s="1279"/>
      <c r="K579" s="1254"/>
      <c r="L579" s="12"/>
    </row>
    <row r="580" spans="1:12">
      <c r="A580" s="11"/>
      <c r="B580" s="1253"/>
      <c r="C580" s="1279"/>
      <c r="D580" s="1279"/>
      <c r="E580" s="1279"/>
      <c r="F580" s="1254"/>
      <c r="G580" s="1253"/>
      <c r="H580" s="1254"/>
      <c r="I580" s="1253"/>
      <c r="J580" s="1279"/>
      <c r="K580" s="1254"/>
      <c r="L580" s="12"/>
    </row>
    <row r="581" spans="1:12">
      <c r="A581" s="11"/>
      <c r="B581" t="s">
        <v>198</v>
      </c>
      <c r="I581" t="s">
        <v>227</v>
      </c>
      <c r="L581" s="12"/>
    </row>
    <row r="582" spans="1:12" ht="18.75">
      <c r="A582" s="11"/>
      <c r="F582" s="172" t="s">
        <v>193</v>
      </c>
      <c r="L582" s="12"/>
    </row>
    <row r="583" spans="1:12">
      <c r="A583" s="11" t="s">
        <v>194</v>
      </c>
      <c r="L583" s="12"/>
    </row>
    <row r="584" spans="1:12">
      <c r="A584" s="11" t="s">
        <v>195</v>
      </c>
      <c r="L584" s="12"/>
    </row>
    <row r="585" spans="1:12">
      <c r="A585" s="11"/>
      <c r="F585" t="s">
        <v>196</v>
      </c>
      <c r="L585" s="12"/>
    </row>
    <row r="586" spans="1:12">
      <c r="A586" s="11" t="s">
        <v>197</v>
      </c>
      <c r="F586">
        <f>'4-22MASTER'!G468</f>
        <v>0</v>
      </c>
      <c r="L586" s="12"/>
    </row>
    <row r="587" spans="1:12" ht="15.75" thickBot="1">
      <c r="A587" s="16" t="s">
        <v>198</v>
      </c>
      <c r="B587" s="14"/>
      <c r="C587" s="14"/>
      <c r="D587" s="14"/>
      <c r="E587" s="14"/>
      <c r="F587" s="14">
        <f>'4-22MASTER'!G469</f>
        <v>0</v>
      </c>
      <c r="G587" s="14"/>
      <c r="H587" s="14"/>
      <c r="I587" s="14"/>
      <c r="J587" s="14"/>
      <c r="K587" s="14"/>
      <c r="L587" s="15"/>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8"/>
      <c r="B594" s="1273"/>
      <c r="C594" s="1273"/>
      <c r="D594" s="1273"/>
      <c r="E594" s="1273"/>
      <c r="F594" s="1273"/>
      <c r="G594" s="1273"/>
      <c r="H594" s="1270"/>
      <c r="I594" s="1271"/>
      <c r="J594" s="1271"/>
      <c r="K594" s="1271"/>
      <c r="L594" s="1271"/>
    </row>
    <row r="595" spans="1:12" ht="27.95" customHeight="1">
      <c r="A595" s="8"/>
      <c r="B595" s="1257"/>
      <c r="C595" s="1257"/>
      <c r="D595" s="1257"/>
      <c r="E595" s="1257"/>
      <c r="F595" s="1257"/>
      <c r="G595" s="1257"/>
      <c r="H595" s="1270"/>
      <c r="I595" s="1271"/>
      <c r="J595" s="1271"/>
      <c r="K595" s="1271"/>
      <c r="L595" s="1271"/>
    </row>
    <row r="596" spans="1:12" ht="27.95" customHeight="1">
      <c r="A596" s="8"/>
      <c r="B596" s="1273"/>
      <c r="C596" s="1273"/>
      <c r="D596" s="1273"/>
      <c r="E596" s="1273"/>
      <c r="F596" s="1273"/>
      <c r="G596" s="1273"/>
      <c r="H596" s="1270"/>
      <c r="I596" s="1271"/>
      <c r="J596" s="1271"/>
      <c r="K596" s="1271"/>
      <c r="L596" s="1271"/>
    </row>
    <row r="597" spans="1:12" ht="27.95" customHeight="1">
      <c r="A597" s="8"/>
      <c r="B597" s="1273"/>
      <c r="C597" s="1273"/>
      <c r="D597" s="1273"/>
      <c r="E597" s="1273"/>
      <c r="F597" s="1273"/>
      <c r="G597" s="1273"/>
      <c r="H597" s="1274"/>
      <c r="I597" s="1271"/>
      <c r="J597" s="1271"/>
      <c r="K597" s="1271"/>
      <c r="L597" s="1271"/>
    </row>
    <row r="598" spans="1:12" ht="27.95" customHeight="1">
      <c r="A598" s="8"/>
      <c r="B598" s="173"/>
      <c r="C598" s="169"/>
      <c r="D598" s="169"/>
      <c r="E598" s="169"/>
      <c r="F598" s="169"/>
      <c r="G598" s="169"/>
      <c r="H598" s="158"/>
      <c r="I598" s="8"/>
      <c r="J598" s="242"/>
      <c r="K598" s="158"/>
      <c r="L598" s="158"/>
    </row>
    <row r="599" spans="1:12" ht="27.95" customHeight="1">
      <c r="A599" s="8"/>
      <c r="B599" s="173"/>
      <c r="C599" s="169"/>
      <c r="D599" s="169"/>
      <c r="E599" s="169"/>
      <c r="F599" s="169"/>
      <c r="G599" s="169"/>
      <c r="H599" s="158"/>
      <c r="I599" s="158"/>
      <c r="J599" s="242"/>
      <c r="K599" s="158"/>
      <c r="L599" s="158"/>
    </row>
    <row r="600" spans="1:12" ht="27.95" customHeight="1">
      <c r="A600" s="8"/>
      <c r="B600" s="1257"/>
      <c r="C600" s="1257"/>
      <c r="D600" s="1257"/>
      <c r="E600" s="1257"/>
      <c r="F600" s="1257"/>
      <c r="G600" s="1257"/>
      <c r="H600" s="1270"/>
      <c r="I600" s="1271"/>
      <c r="J600" s="1271"/>
      <c r="K600" s="1271"/>
      <c r="L600" s="1271"/>
    </row>
    <row r="601" spans="1:12" ht="27.95" customHeight="1">
      <c r="A601" s="8"/>
      <c r="B601" s="1273"/>
      <c r="C601" s="1273"/>
      <c r="D601" s="1273"/>
      <c r="E601" s="1273"/>
      <c r="F601" s="1273"/>
      <c r="G601" s="1273"/>
      <c r="H601" s="1276"/>
      <c r="I601" s="1271"/>
      <c r="J601" s="1271"/>
      <c r="K601" s="1271"/>
      <c r="L601" s="1271"/>
    </row>
    <row r="602" spans="1:12" ht="27.95" customHeight="1">
      <c r="B602" s="1273"/>
      <c r="C602" s="1273"/>
      <c r="D602" s="1273"/>
      <c r="E602" s="1273"/>
      <c r="F602" s="1273"/>
      <c r="G602" s="1273"/>
      <c r="H602" s="1271"/>
      <c r="I602" s="1271"/>
      <c r="J602" s="1271"/>
      <c r="K602" s="1271"/>
      <c r="L602" s="1271"/>
    </row>
    <row r="603" spans="1:12" ht="27.95" customHeight="1">
      <c r="B603" s="173"/>
      <c r="C603" s="169"/>
      <c r="D603" s="169"/>
      <c r="E603" s="169"/>
      <c r="F603" s="169"/>
      <c r="G603" s="169"/>
      <c r="H603" s="158"/>
      <c r="I603" s="158"/>
      <c r="J603" s="158"/>
      <c r="K603" s="158"/>
      <c r="L603" s="158"/>
    </row>
    <row r="604" spans="1:12" ht="27.95" customHeight="1">
      <c r="B604" s="173"/>
      <c r="C604" s="169"/>
      <c r="D604" s="169"/>
      <c r="E604" s="169"/>
      <c r="F604" s="169"/>
      <c r="G604" s="169"/>
      <c r="H604" s="158"/>
      <c r="I604" s="158"/>
      <c r="J604" s="158"/>
      <c r="K604" s="158"/>
      <c r="L604" s="158"/>
    </row>
    <row r="605" spans="1:12" ht="27.95" customHeight="1">
      <c r="B605" s="173"/>
      <c r="C605" s="169"/>
      <c r="D605" s="169"/>
      <c r="E605" s="169"/>
      <c r="F605" s="169"/>
      <c r="G605" s="169"/>
      <c r="H605" s="158"/>
      <c r="I605" s="158"/>
      <c r="J605" s="159"/>
      <c r="K605" s="158"/>
      <c r="L605" s="158"/>
    </row>
    <row r="606" spans="1:12" ht="27.95" customHeight="1">
      <c r="B606" s="173"/>
      <c r="C606" s="169"/>
      <c r="D606" s="169"/>
      <c r="E606" s="169"/>
      <c r="F606" s="169"/>
      <c r="G606" s="169"/>
      <c r="H606" s="158"/>
      <c r="I606" s="158"/>
      <c r="J606" s="158"/>
      <c r="K606" s="158"/>
      <c r="L606" s="158"/>
    </row>
    <row r="607" spans="1:12" ht="27.95" customHeight="1">
      <c r="B607" s="173"/>
      <c r="C607" s="169"/>
      <c r="D607" s="169"/>
      <c r="E607" s="169"/>
      <c r="F607" s="169"/>
      <c r="G607" s="169"/>
      <c r="H607" s="158"/>
      <c r="I607" s="158"/>
      <c r="J607" s="159"/>
      <c r="K607" s="158"/>
      <c r="L607" s="158"/>
    </row>
    <row r="608" spans="1:12" ht="27.95" customHeight="1">
      <c r="B608" s="173"/>
      <c r="C608" s="169"/>
      <c r="D608" s="158"/>
      <c r="E608" s="159"/>
      <c r="F608" s="158"/>
      <c r="G608" s="159"/>
      <c r="H608" s="158"/>
      <c r="I608" s="159"/>
      <c r="J608" s="158"/>
      <c r="K608" s="159"/>
      <c r="L608" s="159"/>
    </row>
    <row r="609" spans="2:12" ht="27.95" customHeight="1">
      <c r="B609" s="173"/>
      <c r="C609" s="169"/>
      <c r="D609" s="169"/>
      <c r="E609" s="169"/>
      <c r="F609" s="169"/>
      <c r="G609" s="169"/>
      <c r="H609" s="158"/>
      <c r="I609" s="158"/>
      <c r="J609" s="243"/>
      <c r="K609" s="158"/>
      <c r="L609" s="158"/>
    </row>
    <row r="610" spans="2:12" ht="27.95" customHeight="1">
      <c r="B610" s="173"/>
      <c r="C610" s="2"/>
      <c r="D610" s="2"/>
      <c r="E610" s="2"/>
      <c r="F610" s="2"/>
      <c r="G610" s="2"/>
    </row>
    <row r="611" spans="2:12" ht="27.95" customHeight="1">
      <c r="B611" s="173"/>
      <c r="C611" s="2"/>
      <c r="D611" s="2"/>
      <c r="E611" s="2"/>
      <c r="F611" s="2"/>
      <c r="G611" s="2"/>
    </row>
    <row r="614" spans="2:12" ht="32.25">
      <c r="B614" s="1277"/>
      <c r="C614" s="1278"/>
      <c r="D614" s="1278"/>
      <c r="E614" s="1278"/>
      <c r="F614" s="1278"/>
      <c r="G614" s="1278"/>
      <c r="H614" s="1278"/>
      <c r="I614" s="1278"/>
      <c r="J614" s="1278"/>
      <c r="K614" s="1278"/>
      <c r="L614" s="1278"/>
    </row>
    <row r="615" spans="2:12" ht="23.25">
      <c r="B615" s="1255"/>
      <c r="C615" s="1255"/>
      <c r="D615" s="1255"/>
      <c r="E615" s="1255"/>
      <c r="F615" s="1255"/>
      <c r="G615" s="1255"/>
      <c r="H615" s="1255"/>
      <c r="I615" s="1255"/>
      <c r="J615" s="1255"/>
      <c r="K615" s="1255"/>
      <c r="L615" s="1255"/>
    </row>
    <row r="616" spans="2:12" ht="15.75">
      <c r="B616" s="1275"/>
      <c r="C616" s="1275"/>
      <c r="D616" s="1275"/>
      <c r="E616" s="1275"/>
      <c r="F616" s="1275"/>
      <c r="G616" s="1275"/>
      <c r="H616" s="1275"/>
      <c r="I616" s="1275"/>
      <c r="J616" s="1275"/>
      <c r="K616" s="1275"/>
      <c r="L616" s="1275"/>
    </row>
    <row r="617" spans="2:12" ht="15" customHeight="1">
      <c r="B617" s="1256"/>
      <c r="C617" s="1256"/>
      <c r="D617" s="1256"/>
      <c r="E617" s="1256"/>
      <c r="F617" s="1256"/>
      <c r="H617" s="1257"/>
      <c r="I617" s="1257"/>
      <c r="J617" s="1257"/>
      <c r="K617" s="1257"/>
      <c r="L617" s="1257"/>
    </row>
    <row r="618" spans="2:12">
      <c r="B618" s="1256"/>
      <c r="C618" s="1256"/>
      <c r="D618" s="1256"/>
      <c r="E618" s="1256"/>
      <c r="F618" s="1256"/>
      <c r="H618" s="1257"/>
      <c r="I618" s="1257"/>
      <c r="J618" s="1257"/>
      <c r="K618" s="1257"/>
      <c r="L618" s="1257"/>
    </row>
    <row r="620" spans="2:12">
      <c r="B620" s="2"/>
      <c r="H620" s="2"/>
    </row>
    <row r="622" spans="2:12">
      <c r="B622" s="2"/>
      <c r="H622" s="2"/>
    </row>
    <row r="625" spans="1:12">
      <c r="B625" s="1258"/>
      <c r="C625" s="1258"/>
      <c r="D625" s="1258"/>
      <c r="E625" s="1258"/>
      <c r="F625" s="1258"/>
      <c r="H625" s="1258"/>
      <c r="I625" s="1258"/>
      <c r="J625" s="1258"/>
      <c r="K625" s="1258"/>
      <c r="L625" s="1258"/>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8"/>
      <c r="B632" s="1273"/>
      <c r="C632" s="1273"/>
      <c r="D632" s="1273"/>
      <c r="E632" s="1273"/>
      <c r="F632" s="1273"/>
      <c r="G632" s="1273"/>
      <c r="H632" s="1270"/>
      <c r="I632" s="1271"/>
      <c r="J632" s="1271"/>
      <c r="K632" s="1271"/>
      <c r="L632" s="1271"/>
    </row>
    <row r="633" spans="1:12" ht="27.95" customHeight="1">
      <c r="A633" s="8"/>
      <c r="B633" s="1257"/>
      <c r="C633" s="1257"/>
      <c r="D633" s="1257"/>
      <c r="E633" s="1257"/>
      <c r="F633" s="1257"/>
      <c r="G633" s="1257"/>
      <c r="H633" s="1270"/>
      <c r="I633" s="1271"/>
      <c r="J633" s="1271"/>
      <c r="K633" s="1271"/>
      <c r="L633" s="1271"/>
    </row>
    <row r="634" spans="1:12" ht="27.95" customHeight="1">
      <c r="A634" s="8"/>
      <c r="B634" s="1273"/>
      <c r="C634" s="1273"/>
      <c r="D634" s="1273"/>
      <c r="E634" s="1273"/>
      <c r="F634" s="1273"/>
      <c r="G634" s="1273"/>
      <c r="H634" s="1270"/>
      <c r="I634" s="1271"/>
      <c r="J634" s="1271"/>
      <c r="K634" s="1271"/>
      <c r="L634" s="1271"/>
    </row>
    <row r="635" spans="1:12" ht="27.95" customHeight="1">
      <c r="A635" s="8"/>
      <c r="B635" s="1273"/>
      <c r="C635" s="1273"/>
      <c r="D635" s="1273"/>
      <c r="E635" s="1273"/>
      <c r="F635" s="1273"/>
      <c r="G635" s="1273"/>
      <c r="H635" s="1274"/>
      <c r="I635" s="1271"/>
      <c r="J635" s="1271"/>
      <c r="K635" s="1271"/>
      <c r="L635" s="1271"/>
    </row>
    <row r="636" spans="1:12" ht="27.95" customHeight="1">
      <c r="A636" s="8"/>
      <c r="B636" s="173"/>
      <c r="C636" s="169"/>
      <c r="D636" s="169"/>
      <c r="E636" s="169"/>
      <c r="F636" s="169"/>
      <c r="G636" s="169"/>
      <c r="H636" s="158"/>
      <c r="I636" s="8"/>
      <c r="J636" s="242"/>
      <c r="K636" s="158"/>
      <c r="L636" s="158"/>
    </row>
    <row r="637" spans="1:12" ht="27.95" customHeight="1">
      <c r="A637" s="8"/>
      <c r="B637" s="173"/>
      <c r="C637" s="169"/>
      <c r="D637" s="169"/>
      <c r="E637" s="169"/>
      <c r="F637" s="169"/>
      <c r="G637" s="169"/>
      <c r="H637" s="158"/>
      <c r="I637" s="158"/>
      <c r="J637" s="242"/>
      <c r="K637" s="158"/>
      <c r="L637" s="158"/>
    </row>
    <row r="638" spans="1:12" ht="27.95" customHeight="1">
      <c r="A638" s="8"/>
      <c r="B638" s="1257"/>
      <c r="C638" s="1257"/>
      <c r="D638" s="1257"/>
      <c r="E638" s="1257"/>
      <c r="F638" s="1257"/>
      <c r="G638" s="1257"/>
      <c r="H638" s="1270"/>
      <c r="I638" s="1271"/>
      <c r="J638" s="1271"/>
      <c r="K638" s="1271"/>
      <c r="L638" s="1271"/>
    </row>
    <row r="639" spans="1:12" ht="27.95" customHeight="1">
      <c r="A639" s="8"/>
      <c r="B639" s="1273"/>
      <c r="C639" s="1273"/>
      <c r="D639" s="1273"/>
      <c r="E639" s="1273"/>
      <c r="F639" s="1273"/>
      <c r="G639" s="1273"/>
      <c r="H639" s="1276"/>
      <c r="I639" s="1271"/>
      <c r="J639" s="1271"/>
      <c r="K639" s="1271"/>
      <c r="L639" s="1271"/>
    </row>
    <row r="640" spans="1:12" ht="27.95" customHeight="1">
      <c r="B640" s="1273"/>
      <c r="C640" s="1273"/>
      <c r="D640" s="1273"/>
      <c r="E640" s="1273"/>
      <c r="F640" s="1273"/>
      <c r="G640" s="1273"/>
      <c r="H640" s="1271"/>
      <c r="I640" s="1271"/>
      <c r="J640" s="1271"/>
      <c r="K640" s="1271"/>
      <c r="L640" s="1271"/>
    </row>
    <row r="641" spans="2:12" ht="27.95" customHeight="1">
      <c r="B641" s="173"/>
      <c r="C641" s="169"/>
      <c r="D641" s="169"/>
      <c r="E641" s="169"/>
      <c r="F641" s="169"/>
      <c r="G641" s="169"/>
      <c r="H641" s="158"/>
      <c r="I641" s="158"/>
      <c r="J641" s="158"/>
      <c r="K641" s="158"/>
      <c r="L641" s="158"/>
    </row>
    <row r="642" spans="2:12" ht="27.95" customHeight="1">
      <c r="B642" s="173"/>
      <c r="C642" s="169"/>
      <c r="D642" s="169"/>
      <c r="E642" s="169"/>
      <c r="F642" s="169"/>
      <c r="G642" s="169"/>
      <c r="H642" s="158"/>
      <c r="I642" s="158"/>
      <c r="J642" s="158"/>
      <c r="K642" s="158"/>
      <c r="L642" s="158"/>
    </row>
    <row r="643" spans="2:12" ht="27.95" customHeight="1">
      <c r="B643" s="173"/>
      <c r="C643" s="169"/>
      <c r="D643" s="169"/>
      <c r="E643" s="169"/>
      <c r="F643" s="169"/>
      <c r="G643" s="169"/>
      <c r="H643" s="158"/>
      <c r="I643" s="158"/>
      <c r="J643" s="159"/>
      <c r="K643" s="158"/>
      <c r="L643" s="158"/>
    </row>
    <row r="644" spans="2:12" ht="27.95" customHeight="1">
      <c r="B644" s="173"/>
      <c r="C644" s="169"/>
      <c r="D644" s="169"/>
      <c r="E644" s="169"/>
      <c r="F644" s="169"/>
      <c r="G644" s="169"/>
      <c r="H644" s="158"/>
      <c r="I644" s="158"/>
      <c r="J644" s="158"/>
      <c r="K644" s="158"/>
      <c r="L644" s="158"/>
    </row>
    <row r="645" spans="2:12" ht="27.95" customHeight="1">
      <c r="B645" s="173"/>
      <c r="C645" s="169"/>
      <c r="D645" s="169"/>
      <c r="E645" s="169"/>
      <c r="F645" s="169"/>
      <c r="G645" s="169"/>
      <c r="H645" s="158"/>
      <c r="I645" s="158"/>
      <c r="J645" s="159"/>
      <c r="K645" s="158"/>
      <c r="L645" s="158"/>
    </row>
    <row r="646" spans="2:12" ht="27.95" customHeight="1">
      <c r="B646" s="173"/>
      <c r="C646" s="169"/>
      <c r="D646" s="158"/>
      <c r="E646" s="159"/>
      <c r="F646" s="158"/>
      <c r="G646" s="159"/>
      <c r="H646" s="158"/>
      <c r="I646" s="159"/>
      <c r="J646" s="158"/>
      <c r="K646" s="159"/>
      <c r="L646" s="159"/>
    </row>
    <row r="647" spans="2:12" ht="27.95" customHeight="1">
      <c r="B647" s="173"/>
      <c r="C647" s="169"/>
      <c r="D647" s="169"/>
      <c r="E647" s="169"/>
      <c r="F647" s="169"/>
      <c r="G647" s="169"/>
      <c r="H647" s="158"/>
      <c r="I647" s="158"/>
      <c r="J647" s="243"/>
      <c r="K647" s="158"/>
      <c r="L647" s="158"/>
    </row>
    <row r="648" spans="2:12" ht="27.95" customHeight="1">
      <c r="B648" s="173"/>
      <c r="C648" s="2"/>
      <c r="D648" s="2"/>
      <c r="E648" s="2"/>
      <c r="F648" s="2"/>
      <c r="G648" s="2"/>
    </row>
    <row r="649" spans="2:12" ht="27.95" customHeight="1">
      <c r="B649" s="173"/>
      <c r="C649" s="2"/>
      <c r="D649" s="2"/>
      <c r="E649" s="2"/>
      <c r="F649" s="2"/>
      <c r="G649" s="2"/>
    </row>
    <row r="653" spans="2:12" ht="32.25">
      <c r="B653" s="1277"/>
      <c r="C653" s="1278"/>
      <c r="D653" s="1278"/>
      <c r="E653" s="1278"/>
      <c r="F653" s="1278"/>
      <c r="G653" s="1278"/>
      <c r="H653" s="1278"/>
      <c r="I653" s="1278"/>
      <c r="J653" s="1278"/>
      <c r="K653" s="1278"/>
      <c r="L653" s="1278"/>
    </row>
    <row r="654" spans="2:12" ht="23.25">
      <c r="B654" s="1255"/>
      <c r="C654" s="1255"/>
      <c r="D654" s="1255"/>
      <c r="E654" s="1255"/>
      <c r="F654" s="1255"/>
      <c r="G654" s="1255"/>
      <c r="H654" s="1255"/>
      <c r="I654" s="1255"/>
      <c r="J654" s="1255"/>
      <c r="K654" s="1255"/>
      <c r="L654" s="1255"/>
    </row>
    <row r="655" spans="2:12" ht="15.75">
      <c r="B655" s="1275"/>
      <c r="C655" s="1275"/>
      <c r="D655" s="1275"/>
      <c r="E655" s="1275"/>
      <c r="F655" s="1275"/>
      <c r="G655" s="1275"/>
      <c r="H655" s="1275"/>
      <c r="I655" s="1275"/>
      <c r="J655" s="1275"/>
      <c r="K655" s="1275"/>
      <c r="L655" s="1275"/>
    </row>
    <row r="656" spans="2:12" ht="15" customHeight="1">
      <c r="B656" s="1256"/>
      <c r="C656" s="1256"/>
      <c r="D656" s="1256"/>
      <c r="E656" s="1256"/>
      <c r="F656" s="1256"/>
      <c r="H656" s="1257"/>
      <c r="I656" s="1257"/>
      <c r="J656" s="1257"/>
      <c r="K656" s="1257"/>
      <c r="L656" s="1257"/>
    </row>
    <row r="657" spans="1:12">
      <c r="B657" s="1256"/>
      <c r="C657" s="1256"/>
      <c r="D657" s="1256"/>
      <c r="E657" s="1256"/>
      <c r="F657" s="1256"/>
      <c r="H657" s="1257"/>
      <c r="I657" s="1257"/>
      <c r="J657" s="1257"/>
      <c r="K657" s="1257"/>
      <c r="L657" s="1257"/>
    </row>
    <row r="659" spans="1:12">
      <c r="B659" s="2"/>
      <c r="H659" s="2"/>
    </row>
    <row r="661" spans="1:12">
      <c r="B661" s="2"/>
      <c r="H661" s="2"/>
    </row>
    <row r="664" spans="1:12">
      <c r="B664" s="1258"/>
      <c r="C664" s="1258"/>
      <c r="D664" s="1258"/>
      <c r="E664" s="1258"/>
      <c r="F664" s="1258"/>
      <c r="H664" s="1258"/>
      <c r="I664" s="1258"/>
      <c r="J664" s="1258"/>
      <c r="K664" s="1258"/>
      <c r="L664" s="1258"/>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8"/>
      <c r="B671" s="1273"/>
      <c r="C671" s="1273"/>
      <c r="D671" s="1273"/>
      <c r="E671" s="1273"/>
      <c r="F671" s="1273"/>
      <c r="G671" s="1273"/>
      <c r="H671" s="1270"/>
      <c r="I671" s="1271"/>
      <c r="J671" s="1271"/>
      <c r="K671" s="1271"/>
      <c r="L671" s="1271"/>
    </row>
    <row r="672" spans="1:12" ht="27.95" customHeight="1">
      <c r="A672" s="8"/>
      <c r="B672" s="1257"/>
      <c r="C672" s="1257"/>
      <c r="D672" s="1257"/>
      <c r="E672" s="1257"/>
      <c r="F672" s="1257"/>
      <c r="G672" s="1257"/>
      <c r="H672" s="1270"/>
      <c r="I672" s="1271"/>
      <c r="J672" s="1271"/>
      <c r="K672" s="1271"/>
      <c r="L672" s="1271"/>
    </row>
    <row r="673" spans="1:12" ht="27.95" customHeight="1">
      <c r="A673" s="8"/>
      <c r="B673" s="1273"/>
      <c r="C673" s="1273"/>
      <c r="D673" s="1273"/>
      <c r="E673" s="1273"/>
      <c r="F673" s="1273"/>
      <c r="G673" s="1273"/>
      <c r="H673" s="1270"/>
      <c r="I673" s="1271"/>
      <c r="J673" s="1271"/>
      <c r="K673" s="1271"/>
      <c r="L673" s="1271"/>
    </row>
    <row r="674" spans="1:12" ht="27.95" customHeight="1">
      <c r="A674" s="8"/>
      <c r="B674" s="1273"/>
      <c r="C674" s="1273"/>
      <c r="D674" s="1273"/>
      <c r="E674" s="1273"/>
      <c r="F674" s="1273"/>
      <c r="G674" s="1273"/>
      <c r="H674" s="1274"/>
      <c r="I674" s="1271"/>
      <c r="J674" s="1271"/>
      <c r="K674" s="1271"/>
      <c r="L674" s="1271"/>
    </row>
    <row r="675" spans="1:12" ht="27.95" customHeight="1">
      <c r="A675" s="8"/>
      <c r="B675" s="173"/>
      <c r="C675" s="169"/>
      <c r="D675" s="169"/>
      <c r="E675" s="169"/>
      <c r="F675" s="169"/>
      <c r="G675" s="169"/>
      <c r="H675" s="158"/>
      <c r="I675" s="8"/>
      <c r="J675" s="242"/>
      <c r="K675" s="158"/>
      <c r="L675" s="158"/>
    </row>
    <row r="676" spans="1:12" ht="27.95" customHeight="1">
      <c r="A676" s="8"/>
      <c r="B676" s="173"/>
      <c r="C676" s="169"/>
      <c r="D676" s="169"/>
      <c r="E676" s="169"/>
      <c r="F676" s="169"/>
      <c r="G676" s="169"/>
      <c r="H676" s="158"/>
      <c r="I676" s="158"/>
      <c r="J676" s="242"/>
      <c r="K676" s="158"/>
      <c r="L676" s="158"/>
    </row>
    <row r="677" spans="1:12" ht="27.95" customHeight="1">
      <c r="A677" s="8"/>
      <c r="B677" s="1257"/>
      <c r="C677" s="1257"/>
      <c r="D677" s="1257"/>
      <c r="E677" s="1257"/>
      <c r="F677" s="1257"/>
      <c r="G677" s="1257"/>
      <c r="H677" s="1270"/>
      <c r="I677" s="1271"/>
      <c r="J677" s="1271"/>
      <c r="K677" s="1271"/>
      <c r="L677" s="1271"/>
    </row>
    <row r="678" spans="1:12" ht="27.95" customHeight="1">
      <c r="A678" s="8"/>
      <c r="B678" s="1273"/>
      <c r="C678" s="1273"/>
      <c r="D678" s="1273"/>
      <c r="E678" s="1273"/>
      <c r="F678" s="1273"/>
      <c r="G678" s="1273"/>
      <c r="H678" s="1276"/>
      <c r="I678" s="1271"/>
      <c r="J678" s="1271"/>
      <c r="K678" s="1271"/>
      <c r="L678" s="1271"/>
    </row>
    <row r="679" spans="1:12" ht="27.95" customHeight="1">
      <c r="B679" s="1273"/>
      <c r="C679" s="1273"/>
      <c r="D679" s="1273"/>
      <c r="E679" s="1273"/>
      <c r="F679" s="1273"/>
      <c r="G679" s="1273"/>
      <c r="H679" s="1271"/>
      <c r="I679" s="1271"/>
      <c r="J679" s="1271"/>
      <c r="K679" s="1271"/>
      <c r="L679" s="1271"/>
    </row>
    <row r="680" spans="1:12" ht="27.95" customHeight="1">
      <c r="B680" s="173"/>
      <c r="C680" s="169"/>
      <c r="D680" s="169"/>
      <c r="E680" s="169"/>
      <c r="F680" s="169"/>
      <c r="G680" s="169"/>
      <c r="H680" s="158"/>
      <c r="I680" s="158"/>
      <c r="J680" s="158"/>
      <c r="K680" s="158"/>
      <c r="L680" s="158"/>
    </row>
    <row r="681" spans="1:12" ht="27.95" customHeight="1">
      <c r="B681" s="173"/>
      <c r="C681" s="169"/>
      <c r="D681" s="169"/>
      <c r="E681" s="169"/>
      <c r="F681" s="169"/>
      <c r="G681" s="169"/>
      <c r="H681" s="158"/>
      <c r="I681" s="158"/>
      <c r="J681" s="158"/>
      <c r="K681" s="158"/>
      <c r="L681" s="158"/>
    </row>
    <row r="682" spans="1:12" ht="27.95" customHeight="1">
      <c r="B682" s="173"/>
      <c r="C682" s="169"/>
      <c r="D682" s="169"/>
      <c r="E682" s="169"/>
      <c r="F682" s="169"/>
      <c r="G682" s="169"/>
      <c r="H682" s="158"/>
      <c r="I682" s="158"/>
      <c r="J682" s="159"/>
      <c r="K682" s="158"/>
      <c r="L682" s="158"/>
    </row>
    <row r="683" spans="1:12" ht="27.95" customHeight="1">
      <c r="B683" s="173"/>
      <c r="C683" s="169"/>
      <c r="D683" s="169"/>
      <c r="E683" s="169"/>
      <c r="F683" s="169"/>
      <c r="G683" s="169"/>
      <c r="H683" s="158"/>
      <c r="I683" s="158"/>
      <c r="J683" s="158"/>
      <c r="K683" s="158"/>
      <c r="L683" s="158"/>
    </row>
    <row r="684" spans="1:12" ht="27.95" customHeight="1">
      <c r="B684" s="173"/>
      <c r="C684" s="169"/>
      <c r="D684" s="169"/>
      <c r="E684" s="169"/>
      <c r="F684" s="169"/>
      <c r="G684" s="169"/>
      <c r="H684" s="158"/>
      <c r="I684" s="158"/>
      <c r="J684" s="159"/>
      <c r="K684" s="158"/>
      <c r="L684" s="158"/>
    </row>
    <row r="685" spans="1:12" ht="27.95" customHeight="1">
      <c r="B685" s="173"/>
      <c r="C685" s="169"/>
      <c r="D685" s="158"/>
      <c r="E685" s="159"/>
      <c r="F685" s="158"/>
      <c r="G685" s="159"/>
      <c r="H685" s="158"/>
      <c r="I685" s="159"/>
      <c r="J685" s="158"/>
      <c r="K685" s="159"/>
      <c r="L685" s="159"/>
    </row>
    <row r="686" spans="1:12" ht="27.95" customHeight="1">
      <c r="B686" s="173"/>
      <c r="C686" s="169"/>
      <c r="D686" s="169"/>
      <c r="E686" s="169"/>
      <c r="F686" s="169"/>
      <c r="G686" s="169"/>
      <c r="H686" s="158"/>
      <c r="I686" s="158"/>
      <c r="J686" s="243"/>
      <c r="K686" s="158"/>
      <c r="L686" s="158"/>
    </row>
    <row r="687" spans="1:12" ht="27.95" customHeight="1">
      <c r="B687" s="173"/>
      <c r="C687" s="2"/>
      <c r="D687" s="2"/>
      <c r="E687" s="2"/>
      <c r="F687" s="2"/>
      <c r="G687" s="2"/>
    </row>
    <row r="688" spans="1:12" ht="27.95" customHeight="1">
      <c r="B688" s="173"/>
      <c r="C688" s="2"/>
      <c r="D688" s="2"/>
      <c r="E688" s="2"/>
      <c r="F688" s="2"/>
      <c r="G688" s="2"/>
    </row>
    <row r="692" spans="2:12" ht="32.25">
      <c r="B692" s="1277"/>
      <c r="C692" s="1278"/>
      <c r="D692" s="1278"/>
      <c r="E692" s="1278"/>
      <c r="F692" s="1278"/>
      <c r="G692" s="1278"/>
      <c r="H692" s="1278"/>
      <c r="I692" s="1278"/>
      <c r="J692" s="1278"/>
      <c r="K692" s="1278"/>
      <c r="L692" s="1278"/>
    </row>
    <row r="693" spans="2:12" ht="23.25">
      <c r="B693" s="1255"/>
      <c r="C693" s="1255"/>
      <c r="D693" s="1255"/>
      <c r="E693" s="1255"/>
      <c r="F693" s="1255"/>
      <c r="G693" s="1255"/>
      <c r="H693" s="1255"/>
      <c r="I693" s="1255"/>
      <c r="J693" s="1255"/>
      <c r="K693" s="1255"/>
      <c r="L693" s="1255"/>
    </row>
    <row r="694" spans="2:12" ht="15.75">
      <c r="B694" s="1275"/>
      <c r="C694" s="1275"/>
      <c r="D694" s="1275"/>
      <c r="E694" s="1275"/>
      <c r="F694" s="1275"/>
      <c r="G694" s="1275"/>
      <c r="H694" s="1275"/>
      <c r="I694" s="1275"/>
      <c r="J694" s="1275"/>
      <c r="K694" s="1275"/>
      <c r="L694" s="1275"/>
    </row>
    <row r="695" spans="2:12" ht="15" customHeight="1">
      <c r="B695" s="1256"/>
      <c r="C695" s="1256"/>
      <c r="D695" s="1256"/>
      <c r="E695" s="1256"/>
      <c r="F695" s="1256"/>
      <c r="H695" s="1257"/>
      <c r="I695" s="1257"/>
      <c r="J695" s="1257"/>
      <c r="K695" s="1257"/>
      <c r="L695" s="1257"/>
    </row>
    <row r="696" spans="2:12">
      <c r="B696" s="1256"/>
      <c r="C696" s="1256"/>
      <c r="D696" s="1256"/>
      <c r="E696" s="1256"/>
      <c r="F696" s="1256"/>
      <c r="H696" s="1257"/>
      <c r="I696" s="1257"/>
      <c r="J696" s="1257"/>
      <c r="K696" s="1257"/>
      <c r="L696" s="1257"/>
    </row>
    <row r="698" spans="2:12">
      <c r="B698" s="2"/>
      <c r="H698" s="2"/>
    </row>
    <row r="700" spans="2:12">
      <c r="B700" s="2"/>
      <c r="H700" s="2"/>
    </row>
    <row r="703" spans="2:12">
      <c r="B703" s="1258"/>
      <c r="C703" s="1258"/>
      <c r="D703" s="1258"/>
      <c r="E703" s="1258"/>
      <c r="F703" s="1258"/>
      <c r="H703" s="1258"/>
      <c r="I703" s="1258"/>
      <c r="J703" s="1258"/>
      <c r="K703" s="1258"/>
      <c r="L703" s="1258"/>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8"/>
      <c r="B710" s="1273"/>
      <c r="C710" s="1273"/>
      <c r="D710" s="1273"/>
      <c r="E710" s="1273"/>
      <c r="F710" s="1273"/>
      <c r="G710" s="1273"/>
      <c r="H710" s="1270"/>
      <c r="I710" s="1271"/>
      <c r="J710" s="1271"/>
      <c r="K710" s="1271"/>
      <c r="L710" s="1271"/>
    </row>
    <row r="711" spans="1:12" ht="27.95" customHeight="1">
      <c r="A711" s="8"/>
      <c r="B711" s="1257"/>
      <c r="C711" s="1257"/>
      <c r="D711" s="1257"/>
      <c r="E711" s="1257"/>
      <c r="F711" s="1257"/>
      <c r="G711" s="1257"/>
      <c r="H711" s="1270"/>
      <c r="I711" s="1271"/>
      <c r="J711" s="1271"/>
      <c r="K711" s="1271"/>
      <c r="L711" s="1271"/>
    </row>
    <row r="712" spans="1:12" ht="27.95" customHeight="1">
      <c r="A712" s="8"/>
      <c r="B712" s="1273"/>
      <c r="C712" s="1273"/>
      <c r="D712" s="1273"/>
      <c r="E712" s="1273"/>
      <c r="F712" s="1273"/>
      <c r="G712" s="1273"/>
      <c r="H712" s="1270"/>
      <c r="I712" s="1271"/>
      <c r="J712" s="1271"/>
      <c r="K712" s="1271"/>
      <c r="L712" s="1271"/>
    </row>
    <row r="713" spans="1:12" ht="27.95" customHeight="1">
      <c r="A713" s="8"/>
      <c r="B713" s="1273"/>
      <c r="C713" s="1273"/>
      <c r="D713" s="1273"/>
      <c r="E713" s="1273"/>
      <c r="F713" s="1273"/>
      <c r="G713" s="1273"/>
      <c r="H713" s="1274"/>
      <c r="I713" s="1271"/>
      <c r="J713" s="1271"/>
      <c r="K713" s="1271"/>
      <c r="L713" s="1271"/>
    </row>
    <row r="714" spans="1:12" ht="27.95" customHeight="1">
      <c r="A714" s="8"/>
      <c r="B714" s="173"/>
      <c r="C714" s="169"/>
      <c r="D714" s="169"/>
      <c r="E714" s="169"/>
      <c r="F714" s="169"/>
      <c r="G714" s="169"/>
      <c r="H714" s="158"/>
      <c r="I714" s="8"/>
      <c r="J714" s="242"/>
      <c r="K714" s="158"/>
      <c r="L714" s="158"/>
    </row>
    <row r="715" spans="1:12" ht="27.95" customHeight="1">
      <c r="A715" s="8"/>
      <c r="B715" s="173"/>
      <c r="C715" s="169"/>
      <c r="D715" s="169"/>
      <c r="E715" s="169"/>
      <c r="F715" s="169"/>
      <c r="G715" s="169"/>
      <c r="H715" s="158"/>
      <c r="I715" s="158"/>
      <c r="J715" s="242"/>
      <c r="K715" s="158"/>
      <c r="L715" s="158"/>
    </row>
    <row r="716" spans="1:12" ht="27.95" customHeight="1">
      <c r="A716" s="8"/>
      <c r="B716" s="1257"/>
      <c r="C716" s="1257"/>
      <c r="D716" s="1257"/>
      <c r="E716" s="1257"/>
      <c r="F716" s="1257"/>
      <c r="G716" s="1257"/>
      <c r="H716" s="1270"/>
      <c r="I716" s="1271"/>
      <c r="J716" s="1271"/>
      <c r="K716" s="1271"/>
      <c r="L716" s="1271"/>
    </row>
    <row r="717" spans="1:12" ht="27.95" customHeight="1">
      <c r="A717" s="8"/>
      <c r="B717" s="1273"/>
      <c r="C717" s="1273"/>
      <c r="D717" s="1273"/>
      <c r="E717" s="1273"/>
      <c r="F717" s="1273"/>
      <c r="G717" s="1273"/>
      <c r="H717" s="1276"/>
      <c r="I717" s="1271"/>
      <c r="J717" s="1271"/>
      <c r="K717" s="1271"/>
      <c r="L717" s="1271"/>
    </row>
    <row r="718" spans="1:12" ht="27.95" customHeight="1">
      <c r="B718" s="1273"/>
      <c r="C718" s="1273"/>
      <c r="D718" s="1273"/>
      <c r="E718" s="1273"/>
      <c r="F718" s="1273"/>
      <c r="G718" s="1273"/>
      <c r="H718" s="1271"/>
      <c r="I718" s="1271"/>
      <c r="J718" s="1271"/>
      <c r="K718" s="1271"/>
      <c r="L718" s="1271"/>
    </row>
    <row r="719" spans="1:12" ht="27.95" customHeight="1">
      <c r="B719" s="173"/>
      <c r="C719" s="169"/>
      <c r="D719" s="169"/>
      <c r="E719" s="169"/>
      <c r="F719" s="169"/>
      <c r="G719" s="169"/>
      <c r="H719" s="158"/>
      <c r="I719" s="158"/>
      <c r="J719" s="158"/>
      <c r="K719" s="158"/>
      <c r="L719" s="158"/>
    </row>
    <row r="720" spans="1:12" ht="27.95" customHeight="1">
      <c r="B720" s="173"/>
      <c r="C720" s="169"/>
      <c r="D720" s="169"/>
      <c r="E720" s="169"/>
      <c r="F720" s="169"/>
      <c r="G720" s="169"/>
      <c r="H720" s="158"/>
      <c r="I720" s="158"/>
      <c r="J720" s="158"/>
      <c r="K720" s="158"/>
      <c r="L720" s="158"/>
    </row>
    <row r="721" spans="2:12" ht="27.95" customHeight="1">
      <c r="B721" s="173"/>
      <c r="C721" s="169"/>
      <c r="D721" s="169"/>
      <c r="E721" s="169"/>
      <c r="F721" s="169"/>
      <c r="G721" s="169"/>
      <c r="H721" s="158"/>
      <c r="I721" s="158"/>
      <c r="J721" s="159"/>
      <c r="K721" s="158"/>
      <c r="L721" s="158"/>
    </row>
    <row r="722" spans="2:12" ht="27.95" customHeight="1">
      <c r="B722" s="173"/>
      <c r="C722" s="169"/>
      <c r="D722" s="169"/>
      <c r="E722" s="169"/>
      <c r="F722" s="169"/>
      <c r="G722" s="169"/>
      <c r="H722" s="158"/>
      <c r="I722" s="158"/>
      <c r="J722" s="158"/>
      <c r="K722" s="158"/>
      <c r="L722" s="158"/>
    </row>
    <row r="723" spans="2:12" ht="27.95" customHeight="1">
      <c r="B723" s="173"/>
      <c r="C723" s="169"/>
      <c r="D723" s="169"/>
      <c r="E723" s="169"/>
      <c r="F723" s="169"/>
      <c r="G723" s="169"/>
      <c r="H723" s="158"/>
      <c r="I723" s="158"/>
      <c r="J723" s="159"/>
      <c r="K723" s="158"/>
      <c r="L723" s="158"/>
    </row>
    <row r="724" spans="2:12" ht="27.95" customHeight="1">
      <c r="B724" s="173"/>
      <c r="C724" s="169"/>
      <c r="D724" s="158"/>
      <c r="E724" s="159"/>
      <c r="F724" s="158"/>
      <c r="G724" s="159"/>
      <c r="H724" s="158"/>
      <c r="I724" s="159"/>
      <c r="J724" s="158"/>
      <c r="K724" s="159"/>
      <c r="L724" s="159"/>
    </row>
    <row r="725" spans="2:12" ht="27.95" customHeight="1">
      <c r="B725" s="173"/>
      <c r="C725" s="169"/>
      <c r="D725" s="169"/>
      <c r="E725" s="169"/>
      <c r="F725" s="169"/>
      <c r="G725" s="169"/>
      <c r="H725" s="158"/>
      <c r="I725" s="158"/>
      <c r="J725" s="243"/>
      <c r="K725" s="158"/>
      <c r="L725" s="158"/>
    </row>
    <row r="726" spans="2:12" ht="27.95" customHeight="1">
      <c r="B726" s="173"/>
      <c r="C726" s="2"/>
      <c r="D726" s="2"/>
      <c r="E726" s="2"/>
      <c r="F726" s="2"/>
      <c r="G726" s="2"/>
    </row>
    <row r="727" spans="2:12" ht="27.95" customHeight="1">
      <c r="B727" s="173"/>
      <c r="C727" s="2"/>
      <c r="D727" s="2"/>
      <c r="E727" s="2"/>
      <c r="F727" s="2"/>
      <c r="G727" s="2"/>
    </row>
    <row r="731" spans="2:12" ht="32.25">
      <c r="B731" s="1277"/>
      <c r="C731" s="1278"/>
      <c r="D731" s="1278"/>
      <c r="E731" s="1278"/>
      <c r="F731" s="1278"/>
      <c r="G731" s="1278"/>
      <c r="H731" s="1278"/>
      <c r="I731" s="1278"/>
      <c r="J731" s="1278"/>
      <c r="K731" s="1278"/>
      <c r="L731" s="1278"/>
    </row>
    <row r="732" spans="2:12" ht="23.25">
      <c r="B732" s="1255"/>
      <c r="C732" s="1255"/>
      <c r="D732" s="1255"/>
      <c r="E732" s="1255"/>
      <c r="F732" s="1255"/>
      <c r="G732" s="1255"/>
      <c r="H732" s="1255"/>
      <c r="I732" s="1255"/>
      <c r="J732" s="1255"/>
      <c r="K732" s="1255"/>
      <c r="L732" s="1255"/>
    </row>
    <row r="733" spans="2:12" ht="15.75">
      <c r="B733" s="1275"/>
      <c r="C733" s="1275"/>
      <c r="D733" s="1275"/>
      <c r="E733" s="1275"/>
      <c r="F733" s="1275"/>
      <c r="G733" s="1275"/>
      <c r="H733" s="1275"/>
      <c r="I733" s="1275"/>
      <c r="J733" s="1275"/>
      <c r="K733" s="1275"/>
      <c r="L733" s="1275"/>
    </row>
    <row r="734" spans="2:12" ht="15" customHeight="1">
      <c r="B734" s="1256"/>
      <c r="C734" s="1256"/>
      <c r="D734" s="1256"/>
      <c r="E734" s="1256"/>
      <c r="F734" s="1256"/>
      <c r="H734" s="1257"/>
      <c r="I734" s="1257"/>
      <c r="J734" s="1257"/>
      <c r="K734" s="1257"/>
      <c r="L734" s="1257"/>
    </row>
    <row r="735" spans="2:12">
      <c r="B735" s="1256"/>
      <c r="C735" s="1256"/>
      <c r="D735" s="1256"/>
      <c r="E735" s="1256"/>
      <c r="F735" s="1256"/>
      <c r="H735" s="1257"/>
      <c r="I735" s="1257"/>
      <c r="J735" s="1257"/>
      <c r="K735" s="1257"/>
      <c r="L735" s="1257"/>
    </row>
    <row r="737" spans="1:12">
      <c r="B737" s="2"/>
      <c r="H737" s="2"/>
    </row>
    <row r="739" spans="1:12">
      <c r="B739" s="2"/>
      <c r="H739" s="2"/>
    </row>
    <row r="740" spans="1:12" ht="15" customHeight="1"/>
    <row r="742" spans="1:12">
      <c r="B742" s="1258"/>
      <c r="C742" s="1258"/>
      <c r="D742" s="1258"/>
      <c r="E742" s="1258"/>
      <c r="F742" s="1258"/>
      <c r="H742" s="1258"/>
      <c r="I742" s="1258"/>
      <c r="J742" s="1258"/>
      <c r="K742" s="1258"/>
      <c r="L742" s="1258"/>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8"/>
      <c r="B749" s="1273"/>
      <c r="C749" s="1273"/>
      <c r="D749" s="1273"/>
      <c r="E749" s="1273"/>
      <c r="F749" s="1273"/>
      <c r="G749" s="1273"/>
      <c r="H749" s="1270"/>
      <c r="I749" s="1271"/>
      <c r="J749" s="1271"/>
      <c r="K749" s="1271"/>
      <c r="L749" s="1271"/>
    </row>
    <row r="750" spans="1:12" ht="27.95" customHeight="1">
      <c r="A750" s="8"/>
      <c r="B750" s="1257"/>
      <c r="C750" s="1257"/>
      <c r="D750" s="1257"/>
      <c r="E750" s="1257"/>
      <c r="F750" s="1257"/>
      <c r="G750" s="1257"/>
      <c r="H750" s="1270"/>
      <c r="I750" s="1271"/>
      <c r="J750" s="1271"/>
      <c r="K750" s="1271"/>
      <c r="L750" s="1271"/>
    </row>
    <row r="751" spans="1:12" ht="27.95" customHeight="1">
      <c r="A751" s="8"/>
      <c r="B751" s="1273"/>
      <c r="C751" s="1273"/>
      <c r="D751" s="1273"/>
      <c r="E751" s="1273"/>
      <c r="F751" s="1273"/>
      <c r="G751" s="1273"/>
      <c r="H751" s="1270"/>
      <c r="I751" s="1271"/>
      <c r="J751" s="1271"/>
      <c r="K751" s="1271"/>
      <c r="L751" s="1271"/>
    </row>
    <row r="752" spans="1:12" ht="27.95" customHeight="1">
      <c r="A752" s="8"/>
      <c r="B752" s="1273"/>
      <c r="C752" s="1273"/>
      <c r="D752" s="1273"/>
      <c r="E752" s="1273"/>
      <c r="F752" s="1273"/>
      <c r="G752" s="1273"/>
      <c r="H752" s="1274"/>
      <c r="I752" s="1271"/>
      <c r="J752" s="1271"/>
      <c r="K752" s="1271"/>
      <c r="L752" s="1271"/>
    </row>
    <row r="753" spans="1:12" ht="27.95" customHeight="1">
      <c r="A753" s="8"/>
      <c r="B753" s="173"/>
      <c r="C753" s="169"/>
      <c r="D753" s="169"/>
      <c r="E753" s="169"/>
      <c r="F753" s="169"/>
      <c r="G753" s="169"/>
      <c r="H753" s="158"/>
      <c r="I753" s="8"/>
      <c r="J753" s="242"/>
      <c r="K753" s="158"/>
      <c r="L753" s="158"/>
    </row>
    <row r="754" spans="1:12" ht="27.95" customHeight="1">
      <c r="A754" s="8"/>
      <c r="B754" s="173"/>
      <c r="C754" s="169"/>
      <c r="D754" s="169"/>
      <c r="E754" s="169"/>
      <c r="F754" s="169"/>
      <c r="G754" s="169"/>
      <c r="H754" s="158"/>
      <c r="I754" s="158"/>
      <c r="J754" s="242"/>
      <c r="K754" s="158"/>
      <c r="L754" s="158"/>
    </row>
    <row r="755" spans="1:12" ht="27.95" customHeight="1">
      <c r="A755" s="8"/>
      <c r="B755" s="1257"/>
      <c r="C755" s="1257"/>
      <c r="D755" s="1257"/>
      <c r="E755" s="1257"/>
      <c r="F755" s="1257"/>
      <c r="G755" s="1257"/>
      <c r="H755" s="1270"/>
      <c r="I755" s="1271"/>
      <c r="J755" s="1271"/>
      <c r="K755" s="1271"/>
      <c r="L755" s="1271"/>
    </row>
    <row r="756" spans="1:12" ht="27.95" customHeight="1">
      <c r="A756" s="8"/>
      <c r="B756" s="1273"/>
      <c r="C756" s="1273"/>
      <c r="D756" s="1273"/>
      <c r="E756" s="1273"/>
      <c r="F756" s="1273"/>
      <c r="G756" s="1273"/>
      <c r="H756" s="1276"/>
      <c r="I756" s="1271"/>
      <c r="J756" s="1271"/>
      <c r="K756" s="1271"/>
      <c r="L756" s="1271"/>
    </row>
    <row r="757" spans="1:12" ht="27.95" customHeight="1">
      <c r="B757" s="1273"/>
      <c r="C757" s="1273"/>
      <c r="D757" s="1273"/>
      <c r="E757" s="1273"/>
      <c r="F757" s="1273"/>
      <c r="G757" s="1273"/>
      <c r="H757" s="1271"/>
      <c r="I757" s="1271"/>
      <c r="J757" s="1271"/>
      <c r="K757" s="1271"/>
      <c r="L757" s="1271"/>
    </row>
    <row r="758" spans="1:12" ht="27.95" customHeight="1">
      <c r="B758" s="173"/>
      <c r="C758" s="169"/>
      <c r="D758" s="169"/>
      <c r="E758" s="169"/>
      <c r="F758" s="169"/>
      <c r="G758" s="169"/>
      <c r="H758" s="158"/>
      <c r="I758" s="158"/>
      <c r="J758" s="158"/>
      <c r="K758" s="158"/>
      <c r="L758" s="158"/>
    </row>
    <row r="759" spans="1:12" ht="27.95" customHeight="1">
      <c r="B759" s="173"/>
      <c r="C759" s="169"/>
      <c r="D759" s="169"/>
      <c r="E759" s="169"/>
      <c r="F759" s="169"/>
      <c r="G759" s="169"/>
      <c r="H759" s="158"/>
      <c r="I759" s="158"/>
      <c r="J759" s="158"/>
      <c r="K759" s="158"/>
      <c r="L759" s="158"/>
    </row>
    <row r="760" spans="1:12" ht="27.95" customHeight="1">
      <c r="B760" s="173"/>
      <c r="C760" s="169"/>
      <c r="D760" s="169"/>
      <c r="E760" s="169"/>
      <c r="F760" s="169"/>
      <c r="G760" s="169"/>
      <c r="H760" s="158"/>
      <c r="I760" s="158"/>
      <c r="J760" s="159"/>
      <c r="K760" s="158"/>
      <c r="L760" s="158"/>
    </row>
    <row r="761" spans="1:12" ht="27.95" customHeight="1">
      <c r="B761" s="173"/>
      <c r="C761" s="169"/>
      <c r="D761" s="169"/>
      <c r="E761" s="169"/>
      <c r="F761" s="169"/>
      <c r="G761" s="169"/>
      <c r="H761" s="158"/>
      <c r="I761" s="158"/>
      <c r="J761" s="158"/>
      <c r="K761" s="158"/>
      <c r="L761" s="158"/>
    </row>
    <row r="762" spans="1:12" ht="27.95" customHeight="1">
      <c r="B762" s="173"/>
      <c r="C762" s="169"/>
      <c r="D762" s="169"/>
      <c r="E762" s="169"/>
      <c r="F762" s="169"/>
      <c r="G762" s="169"/>
      <c r="H762" s="158"/>
      <c r="I762" s="158"/>
      <c r="J762" s="159"/>
      <c r="K762" s="158"/>
      <c r="L762" s="158"/>
    </row>
    <row r="763" spans="1:12" ht="27.95" customHeight="1">
      <c r="B763" s="173"/>
      <c r="C763" s="169"/>
      <c r="D763" s="158"/>
      <c r="E763" s="159"/>
      <c r="F763" s="158"/>
      <c r="G763" s="159"/>
      <c r="H763" s="158"/>
      <c r="I763" s="159"/>
      <c r="J763" s="158"/>
      <c r="K763" s="159"/>
      <c r="L763" s="159"/>
    </row>
    <row r="764" spans="1:12" ht="27.95" customHeight="1">
      <c r="B764" s="173"/>
      <c r="C764" s="169"/>
      <c r="D764" s="169"/>
      <c r="E764" s="169"/>
      <c r="F764" s="169"/>
      <c r="G764" s="169"/>
      <c r="H764" s="158"/>
      <c r="I764" s="158"/>
      <c r="J764" s="243"/>
      <c r="K764" s="158"/>
      <c r="L764" s="158"/>
    </row>
    <row r="765" spans="1:12" ht="27.95" customHeight="1">
      <c r="B765" s="173"/>
      <c r="C765" s="2"/>
      <c r="D765" s="2"/>
      <c r="E765" s="2"/>
      <c r="F765" s="2"/>
      <c r="G765" s="2"/>
    </row>
    <row r="766" spans="1:12" ht="27.95" customHeight="1">
      <c r="B766" s="173"/>
      <c r="C766" s="2"/>
      <c r="D766" s="2"/>
      <c r="E766" s="2"/>
      <c r="F766" s="2"/>
      <c r="G766" s="2"/>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775"/>
  <sheetViews>
    <sheetView topLeftCell="A304"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61"/>
      <c r="B1" s="62"/>
      <c r="C1" s="62"/>
      <c r="D1" s="62"/>
      <c r="E1" s="62"/>
      <c r="F1" s="62"/>
      <c r="G1" s="62"/>
      <c r="H1" s="62"/>
      <c r="I1" s="66" t="s">
        <v>232</v>
      </c>
      <c r="J1" s="62"/>
      <c r="K1" s="62"/>
      <c r="L1" s="63"/>
    </row>
    <row r="2" spans="1:14" ht="16.5" customHeight="1">
      <c r="A2" s="11"/>
      <c r="B2" s="1309" t="s">
        <v>287</v>
      </c>
      <c r="C2" s="1309"/>
      <c r="D2" s="1309"/>
      <c r="E2" s="1309"/>
      <c r="F2" s="1309"/>
      <c r="G2" s="1309"/>
      <c r="H2" s="1309"/>
      <c r="I2" s="1309"/>
      <c r="J2" s="1309"/>
      <c r="K2" s="1309"/>
      <c r="L2" s="1310"/>
    </row>
    <row r="3" spans="1:14" ht="23.25">
      <c r="A3" s="11"/>
      <c r="B3" s="202"/>
      <c r="C3" s="202"/>
      <c r="D3" s="210" t="s">
        <v>234</v>
      </c>
      <c r="E3" s="202"/>
      <c r="F3" s="202"/>
      <c r="G3" s="202"/>
      <c r="H3" s="202"/>
      <c r="I3" s="204" t="s">
        <v>288</v>
      </c>
      <c r="J3" s="205"/>
      <c r="K3" s="286" t="e">
        <f>'4-22MASTER'!#REF!</f>
        <v>#REF!</v>
      </c>
      <c r="L3" s="235"/>
    </row>
    <row r="4" spans="1:14" ht="15.75">
      <c r="A4" s="11"/>
      <c r="B4" s="1"/>
      <c r="C4" s="1" t="s">
        <v>235</v>
      </c>
      <c r="E4" s="1"/>
      <c r="F4" s="1"/>
      <c r="G4" s="1"/>
      <c r="H4" s="1"/>
      <c r="I4" s="203" t="s">
        <v>289</v>
      </c>
      <c r="J4" s="224" t="str">
        <f>'4-22MASTER'!G5</f>
        <v>Burgeon IT Services Pvt.Ltd.</v>
      </c>
      <c r="K4" s="206"/>
      <c r="L4" s="236"/>
    </row>
    <row r="5" spans="1:14" ht="15" customHeight="1">
      <c r="A5" s="11"/>
      <c r="B5" s="211"/>
      <c r="C5" s="180" t="s">
        <v>236</v>
      </c>
      <c r="E5" s="211"/>
      <c r="F5" s="211"/>
      <c r="H5" s="181"/>
      <c r="I5" s="227" t="str">
        <f>'4-22MASTER'!G6</f>
        <v>Siri Mansion LIGB 436 Dr.A S Rao Nagar,Hyderabad</v>
      </c>
      <c r="J5" s="225"/>
      <c r="K5" s="226"/>
      <c r="L5" s="190"/>
    </row>
    <row r="6" spans="1:14" ht="15" customHeight="1">
      <c r="A6" s="11"/>
      <c r="B6" s="211"/>
      <c r="C6" s="180"/>
      <c r="E6" s="211"/>
      <c r="F6" s="211"/>
      <c r="H6" s="181"/>
      <c r="I6" s="228"/>
      <c r="J6" s="234"/>
      <c r="K6" s="234"/>
      <c r="L6" s="12"/>
    </row>
    <row r="7" spans="1:14">
      <c r="A7" s="11"/>
      <c r="L7" s="12"/>
    </row>
    <row r="8" spans="1:14" ht="26.25" customHeight="1">
      <c r="A8" s="11">
        <v>1</v>
      </c>
      <c r="B8" s="207" t="s">
        <v>237</v>
      </c>
      <c r="C8" s="53"/>
      <c r="D8" s="53"/>
      <c r="E8" s="53"/>
      <c r="F8" s="53"/>
      <c r="G8" s="54"/>
      <c r="H8" s="1261" t="e">
        <f>'4-22MASTER'!#REF!</f>
        <v>#REF!</v>
      </c>
      <c r="I8" s="1287"/>
      <c r="J8" s="1287"/>
      <c r="K8" s="1287"/>
      <c r="L8" s="1288"/>
    </row>
    <row r="9" spans="1:14">
      <c r="A9" s="11">
        <v>2</v>
      </c>
      <c r="B9" s="1311" t="s">
        <v>238</v>
      </c>
      <c r="C9" s="1312"/>
      <c r="D9" s="1312"/>
      <c r="E9" s="1312"/>
      <c r="F9" s="208" t="s">
        <v>239</v>
      </c>
      <c r="G9" s="192"/>
      <c r="H9" s="1313" t="e">
        <f>'4-22MASTER'!#REF!</f>
        <v>#REF!</v>
      </c>
      <c r="I9" s="1314"/>
      <c r="J9" s="1314"/>
      <c r="K9" s="1314"/>
      <c r="L9" s="1315"/>
      <c r="M9" s="197" t="s">
        <v>233</v>
      </c>
      <c r="N9" s="197" t="s">
        <v>233</v>
      </c>
    </row>
    <row r="10" spans="1:14" ht="10.5" customHeight="1">
      <c r="A10" s="11"/>
      <c r="B10" s="193" t="s">
        <v>240</v>
      </c>
      <c r="C10" s="194"/>
      <c r="D10" s="194"/>
      <c r="E10" s="194"/>
      <c r="F10" s="194" t="s">
        <v>233</v>
      </c>
      <c r="G10" s="195"/>
      <c r="H10" s="1316"/>
      <c r="I10" s="1317"/>
      <c r="J10" s="1317"/>
      <c r="K10" s="1317"/>
      <c r="L10" s="1318"/>
      <c r="M10" s="196"/>
      <c r="N10" s="196"/>
    </row>
    <row r="11" spans="1:14">
      <c r="A11" s="11">
        <v>3</v>
      </c>
      <c r="B11" s="209" t="s">
        <v>241</v>
      </c>
      <c r="C11" s="199"/>
      <c r="D11" s="199"/>
      <c r="E11" s="199"/>
      <c r="F11" s="199"/>
      <c r="G11" s="200"/>
      <c r="H11" s="1291" t="e">
        <f>'4-22MASTER'!#REF!</f>
        <v>#REF!</v>
      </c>
      <c r="I11" s="1292"/>
      <c r="J11" s="1292"/>
      <c r="K11" s="1292"/>
      <c r="L11" s="1293"/>
      <c r="M11" s="196"/>
      <c r="N11" s="196"/>
    </row>
    <row r="12" spans="1:14">
      <c r="A12" s="11">
        <v>4</v>
      </c>
      <c r="B12" s="185" t="s">
        <v>242</v>
      </c>
      <c r="C12" s="53"/>
      <c r="D12" s="53"/>
      <c r="E12" s="53"/>
      <c r="F12" s="53"/>
      <c r="G12" s="54"/>
      <c r="H12" s="1253" t="e">
        <f>'4-22MASTER'!#REF!</f>
        <v>#REF!</v>
      </c>
      <c r="I12" s="1279"/>
      <c r="J12" s="1279"/>
      <c r="K12" s="1279"/>
      <c r="L12" s="1272"/>
    </row>
    <row r="13" spans="1:14">
      <c r="A13" s="11">
        <v>5</v>
      </c>
      <c r="B13" s="1294" t="s">
        <v>290</v>
      </c>
      <c r="C13" s="1295"/>
      <c r="D13" s="1295"/>
      <c r="E13" s="1295"/>
      <c r="F13" s="1295"/>
      <c r="G13" s="54"/>
      <c r="H13" s="1286" t="s">
        <v>367</v>
      </c>
      <c r="I13" s="1287"/>
      <c r="J13" s="1287"/>
      <c r="K13" s="1287"/>
      <c r="L13" s="1288"/>
    </row>
    <row r="14" spans="1:14" ht="15" customHeight="1">
      <c r="A14" s="11">
        <v>6</v>
      </c>
      <c r="B14" s="198" t="s">
        <v>243</v>
      </c>
      <c r="C14" s="199" t="s">
        <v>244</v>
      </c>
      <c r="D14" s="199"/>
      <c r="E14" s="199"/>
      <c r="F14" s="199"/>
      <c r="G14" s="200"/>
      <c r="H14" s="209"/>
      <c r="I14" s="199"/>
      <c r="J14" s="199"/>
      <c r="K14" s="199"/>
      <c r="L14" s="237"/>
      <c r="M14" s="196"/>
      <c r="N14" s="196"/>
    </row>
    <row r="15" spans="1:14">
      <c r="A15" s="11"/>
      <c r="B15" s="198" t="s">
        <v>245</v>
      </c>
      <c r="C15" s="199" t="s">
        <v>246</v>
      </c>
      <c r="D15" s="199"/>
      <c r="E15" s="199"/>
      <c r="F15" s="199"/>
      <c r="G15" s="200"/>
      <c r="H15" s="209"/>
      <c r="I15" s="191"/>
      <c r="J15" s="191"/>
      <c r="K15" s="199"/>
      <c r="L15" s="237"/>
      <c r="M15" s="196"/>
      <c r="N15" s="196"/>
    </row>
    <row r="16" spans="1:14" ht="15" customHeight="1">
      <c r="A16" s="11">
        <v>7</v>
      </c>
      <c r="B16" s="1291" t="s">
        <v>247</v>
      </c>
      <c r="C16" s="1292"/>
      <c r="D16" s="1292"/>
      <c r="E16" s="1292"/>
      <c r="F16" s="1292"/>
      <c r="G16" s="1299"/>
      <c r="H16" s="213" t="s">
        <v>248</v>
      </c>
      <c r="I16" s="214"/>
      <c r="J16" s="215"/>
      <c r="K16" s="213" t="s">
        <v>249</v>
      </c>
      <c r="L16" s="238"/>
      <c r="M16" s="212"/>
      <c r="N16" s="212"/>
    </row>
    <row r="17" spans="1:14">
      <c r="A17" s="11">
        <v>8</v>
      </c>
      <c r="B17" s="1291" t="s">
        <v>291</v>
      </c>
      <c r="C17" s="1292"/>
      <c r="D17" s="1292"/>
      <c r="E17" s="1292"/>
      <c r="F17" s="1292"/>
      <c r="G17" s="1299"/>
      <c r="H17" s="213" t="s">
        <v>248</v>
      </c>
      <c r="I17" s="214"/>
      <c r="J17" s="215"/>
      <c r="K17" s="213" t="s">
        <v>249</v>
      </c>
      <c r="L17" s="238"/>
      <c r="M17" s="212"/>
      <c r="N17" s="212"/>
    </row>
    <row r="18" spans="1:14">
      <c r="A18" s="11"/>
      <c r="B18" s="185"/>
      <c r="C18" s="217"/>
      <c r="D18" s="217"/>
      <c r="E18" s="217"/>
      <c r="F18" s="217" t="s">
        <v>250</v>
      </c>
      <c r="G18" s="217"/>
      <c r="H18" s="217"/>
      <c r="I18" s="217"/>
      <c r="J18" s="217"/>
      <c r="K18" s="217"/>
      <c r="L18" s="239"/>
      <c r="M18" s="216"/>
      <c r="N18" s="216"/>
    </row>
    <row r="19" spans="1:14">
      <c r="A19" s="11">
        <v>9</v>
      </c>
      <c r="B19" s="198" t="s">
        <v>251</v>
      </c>
      <c r="C19" s="199" t="s">
        <v>252</v>
      </c>
      <c r="D19" s="199"/>
      <c r="E19" s="199"/>
      <c r="F19" s="199"/>
      <c r="G19" s="200"/>
      <c r="H19" s="209"/>
      <c r="I19" s="199"/>
      <c r="J19" s="199"/>
      <c r="K19" s="199"/>
      <c r="L19" s="237"/>
      <c r="M19" s="196"/>
      <c r="N19" s="196"/>
    </row>
    <row r="20" spans="1:14" ht="21.75" customHeight="1">
      <c r="A20" s="72"/>
      <c r="B20" s="198" t="s">
        <v>253</v>
      </c>
      <c r="C20" s="199" t="s">
        <v>254</v>
      </c>
      <c r="D20" s="199"/>
      <c r="E20" s="199"/>
      <c r="F20" s="199"/>
      <c r="G20" s="200"/>
      <c r="H20" s="209"/>
      <c r="I20" s="199"/>
      <c r="J20" s="199"/>
      <c r="K20" s="199"/>
      <c r="L20" s="237"/>
      <c r="M20" s="196"/>
      <c r="N20" s="196"/>
    </row>
    <row r="21" spans="1:14" ht="27.95" customHeight="1">
      <c r="A21" s="72"/>
      <c r="B21" s="198" t="s">
        <v>292</v>
      </c>
      <c r="C21" s="199" t="s">
        <v>293</v>
      </c>
      <c r="D21" s="199"/>
      <c r="E21" s="199"/>
      <c r="F21" s="199"/>
      <c r="G21" s="200"/>
      <c r="H21" s="209"/>
      <c r="I21" s="199"/>
      <c r="J21" s="199"/>
      <c r="K21" s="199"/>
      <c r="L21" s="237"/>
    </row>
    <row r="22" spans="1:14" ht="27.95" customHeight="1">
      <c r="A22" s="72"/>
      <c r="B22" s="198" t="s">
        <v>256</v>
      </c>
      <c r="C22" s="199" t="s">
        <v>257</v>
      </c>
      <c r="D22" s="199"/>
      <c r="E22" s="199"/>
      <c r="F22" s="199"/>
      <c r="G22" s="200"/>
      <c r="H22" s="209"/>
      <c r="I22" s="199"/>
      <c r="J22" s="199"/>
      <c r="K22" s="199"/>
      <c r="L22" s="237"/>
    </row>
    <row r="23" spans="1:14" ht="27.95" customHeight="1">
      <c r="A23" s="72"/>
      <c r="B23" s="198" t="s">
        <v>258</v>
      </c>
      <c r="C23" s="199" t="s">
        <v>259</v>
      </c>
      <c r="D23" s="199"/>
      <c r="E23" s="199"/>
      <c r="F23" s="199"/>
      <c r="G23" s="200"/>
      <c r="H23" s="209"/>
      <c r="I23" s="199"/>
      <c r="J23" s="199"/>
      <c r="K23" s="199"/>
      <c r="L23" s="237"/>
    </row>
    <row r="24" spans="1:14" ht="27.95" customHeight="1">
      <c r="A24" s="72">
        <v>10</v>
      </c>
      <c r="B24" s="198" t="s">
        <v>251</v>
      </c>
      <c r="C24" s="199" t="s">
        <v>294</v>
      </c>
      <c r="D24" s="199"/>
      <c r="E24" s="199"/>
      <c r="F24" s="199"/>
      <c r="G24" s="200"/>
      <c r="H24" s="213" t="s">
        <v>248</v>
      </c>
      <c r="I24" s="214"/>
      <c r="J24" s="215"/>
      <c r="K24" s="213" t="s">
        <v>249</v>
      </c>
      <c r="L24" s="238"/>
    </row>
    <row r="25" spans="1:14" ht="27.95" customHeight="1">
      <c r="A25" s="72"/>
      <c r="B25" s="198" t="s">
        <v>253</v>
      </c>
      <c r="C25" s="199" t="s">
        <v>295</v>
      </c>
      <c r="D25" s="199"/>
      <c r="E25" s="199"/>
      <c r="F25" s="199"/>
      <c r="G25" s="200"/>
      <c r="H25" s="209"/>
      <c r="I25" s="199"/>
      <c r="J25" s="199"/>
      <c r="K25" s="199"/>
      <c r="L25" s="237"/>
    </row>
    <row r="26" spans="1:14" ht="27.95" customHeight="1">
      <c r="A26" s="72"/>
      <c r="B26" s="198" t="s">
        <v>292</v>
      </c>
      <c r="C26" s="199" t="s">
        <v>260</v>
      </c>
      <c r="D26" s="199"/>
      <c r="E26" s="199"/>
      <c r="F26" s="199"/>
      <c r="G26" s="200"/>
      <c r="H26" s="209"/>
      <c r="I26" s="199"/>
      <c r="J26" s="199"/>
      <c r="K26" s="199"/>
      <c r="L26" s="237"/>
    </row>
    <row r="27" spans="1:14" ht="27.95" customHeight="1">
      <c r="A27" s="72"/>
      <c r="B27" s="198" t="s">
        <v>256</v>
      </c>
      <c r="C27" s="199" t="s">
        <v>296</v>
      </c>
      <c r="D27" s="199"/>
      <c r="E27" s="199"/>
      <c r="F27" s="199"/>
      <c r="G27" s="200"/>
      <c r="H27" s="209"/>
      <c r="I27" s="199"/>
      <c r="J27" s="199"/>
      <c r="K27" s="199"/>
      <c r="L27" s="237"/>
    </row>
    <row r="28" spans="1:14" ht="27.95" customHeight="1">
      <c r="A28" s="11"/>
      <c r="B28" s="185"/>
      <c r="C28" s="217"/>
      <c r="D28" s="217"/>
      <c r="E28" s="217" t="s">
        <v>297</v>
      </c>
      <c r="F28" s="217"/>
      <c r="G28" s="217"/>
      <c r="H28" s="217"/>
      <c r="I28" s="217"/>
      <c r="J28" s="217"/>
      <c r="K28" s="217"/>
      <c r="L28" s="239"/>
    </row>
    <row r="29" spans="1:14" ht="27.95" customHeight="1">
      <c r="A29" s="11">
        <v>11</v>
      </c>
      <c r="B29" s="198" t="s">
        <v>251</v>
      </c>
      <c r="C29" s="199" t="s">
        <v>261</v>
      </c>
      <c r="D29" s="199"/>
      <c r="E29" s="199"/>
      <c r="F29" s="199"/>
      <c r="G29" s="200"/>
      <c r="H29" s="209"/>
      <c r="I29" s="199"/>
      <c r="J29" s="199"/>
      <c r="K29" s="199"/>
      <c r="L29" s="237"/>
    </row>
    <row r="30" spans="1:14" ht="27.95" customHeight="1">
      <c r="A30" s="11"/>
      <c r="B30" s="198" t="s">
        <v>253</v>
      </c>
      <c r="C30" s="199" t="s">
        <v>262</v>
      </c>
      <c r="D30" s="199"/>
      <c r="E30" s="199"/>
      <c r="F30" s="199"/>
      <c r="G30" s="200"/>
      <c r="H30" s="209"/>
      <c r="I30" s="199"/>
      <c r="J30" s="199"/>
      <c r="K30" s="199"/>
      <c r="L30" s="237"/>
    </row>
    <row r="31" spans="1:14" ht="27.95" customHeight="1">
      <c r="A31" s="11"/>
      <c r="B31" s="198" t="s">
        <v>255</v>
      </c>
      <c r="C31" s="199" t="s">
        <v>263</v>
      </c>
      <c r="D31" s="199"/>
      <c r="E31" s="199"/>
      <c r="F31" s="199"/>
      <c r="G31" s="200"/>
      <c r="H31" s="209"/>
      <c r="I31" s="199"/>
      <c r="J31" s="199"/>
      <c r="K31" s="199"/>
      <c r="L31" s="237"/>
    </row>
    <row r="32" spans="1:14" ht="20.25" customHeight="1">
      <c r="A32" s="11"/>
      <c r="B32" s="173"/>
      <c r="C32" s="169"/>
      <c r="D32" s="169"/>
      <c r="E32" s="169"/>
      <c r="F32" s="218" t="s">
        <v>264</v>
      </c>
      <c r="G32" s="169"/>
      <c r="H32" s="158"/>
      <c r="I32" s="158"/>
      <c r="J32" s="158"/>
      <c r="K32" s="158"/>
      <c r="L32" s="176"/>
    </row>
    <row r="33" spans="1:32" ht="27.95" customHeight="1">
      <c r="A33" s="11"/>
      <c r="B33" s="230" t="s">
        <v>265</v>
      </c>
      <c r="C33" s="229" t="s">
        <v>266</v>
      </c>
      <c r="D33" s="169"/>
      <c r="E33" s="169"/>
      <c r="F33" s="169"/>
      <c r="G33" s="169"/>
      <c r="H33" s="158"/>
      <c r="I33" s="158"/>
      <c r="J33" s="159"/>
      <c r="K33" s="158"/>
      <c r="L33" s="176"/>
    </row>
    <row r="34" spans="1:32" ht="19.5" customHeight="1">
      <c r="A34" s="11"/>
      <c r="B34" s="230" t="s">
        <v>267</v>
      </c>
      <c r="C34" s="228" t="s">
        <v>268</v>
      </c>
      <c r="D34" s="158"/>
      <c r="E34" s="159"/>
      <c r="G34" s="1300"/>
      <c r="H34" s="1300"/>
      <c r="I34" s="174"/>
      <c r="J34" s="175"/>
      <c r="K34" s="1300"/>
      <c r="L34" s="1301"/>
    </row>
    <row r="35" spans="1:32" ht="26.25" customHeight="1">
      <c r="A35" s="11"/>
      <c r="B35" s="231" t="s">
        <v>269</v>
      </c>
      <c r="C35" s="1302" t="s">
        <v>298</v>
      </c>
      <c r="D35" s="1302"/>
      <c r="E35" s="1302"/>
      <c r="F35" s="1302"/>
      <c r="G35" s="1302"/>
      <c r="H35" s="1302"/>
      <c r="I35" s="1302"/>
      <c r="J35" s="1302"/>
      <c r="K35" s="1302"/>
      <c r="L35" s="1303"/>
    </row>
    <row r="36" spans="1:32" ht="19.5" customHeight="1">
      <c r="A36" s="11"/>
      <c r="B36" s="230" t="s">
        <v>270</v>
      </c>
      <c r="C36" s="229" t="s">
        <v>271</v>
      </c>
      <c r="D36" s="221"/>
      <c r="E36" s="221"/>
      <c r="F36" s="221"/>
      <c r="G36" s="221"/>
      <c r="H36" s="221"/>
      <c r="I36" s="221"/>
      <c r="J36" s="221"/>
      <c r="K36" s="221"/>
      <c r="L36" s="240"/>
    </row>
    <row r="37" spans="1:32" ht="27.95" customHeight="1">
      <c r="A37" s="11"/>
      <c r="B37" s="173"/>
      <c r="C37" t="s">
        <v>299</v>
      </c>
      <c r="D37" s="282" t="e">
        <f>'4-22MASTER'!#REF!</f>
        <v>#REF!</v>
      </c>
      <c r="E37" s="2"/>
      <c r="F37" s="2"/>
      <c r="G37" s="2"/>
      <c r="L37" s="12"/>
    </row>
    <row r="38" spans="1:32" ht="15" customHeight="1">
      <c r="A38" s="11"/>
      <c r="C38" t="s">
        <v>272</v>
      </c>
      <c r="D38" t="s">
        <v>361</v>
      </c>
      <c r="J38" t="s">
        <v>300</v>
      </c>
      <c r="L38" s="12"/>
    </row>
    <row r="39" spans="1:32" ht="15.75" customHeight="1">
      <c r="A39" s="11"/>
      <c r="L39" s="12"/>
    </row>
    <row r="40" spans="1:32">
      <c r="A40" s="11"/>
      <c r="F40" s="219" t="s">
        <v>273</v>
      </c>
      <c r="L40" s="12"/>
    </row>
    <row r="41" spans="1:32" ht="12.75" customHeight="1">
      <c r="A41" s="11" t="s">
        <v>301</v>
      </c>
      <c r="B41" t="s">
        <v>274</v>
      </c>
      <c r="E41" s="222" t="e">
        <f>'4-22MASTER'!#REF!</f>
        <v>#REF!</v>
      </c>
      <c r="H41" s="1304" t="s">
        <v>275</v>
      </c>
      <c r="I41" s="1304"/>
      <c r="J41" s="223" t="e">
        <f>'4-22MASTER'!#REF!</f>
        <v>#REF!</v>
      </c>
      <c r="K41" t="s">
        <v>276</v>
      </c>
      <c r="L41" s="12"/>
    </row>
    <row r="42" spans="1:32" ht="12.75" customHeight="1">
      <c r="A42" s="11"/>
      <c r="B42" s="1305" t="e">
        <f>'4-22MASTER'!#REF!</f>
        <v>#REF!</v>
      </c>
      <c r="C42" s="1306"/>
      <c r="D42" s="220"/>
      <c r="E42" s="220"/>
      <c r="F42" s="220"/>
      <c r="G42" s="220"/>
      <c r="H42" s="220"/>
      <c r="I42" s="220"/>
      <c r="J42" s="220"/>
      <c r="K42" s="220"/>
      <c r="L42" s="241"/>
      <c r="M42" s="220"/>
      <c r="N42" s="220"/>
      <c r="O42" s="220"/>
      <c r="P42" s="220"/>
      <c r="Q42" s="220"/>
      <c r="R42" s="220"/>
      <c r="S42" s="220"/>
      <c r="T42" s="220"/>
      <c r="U42" s="220"/>
      <c r="V42" s="220"/>
      <c r="W42" s="220"/>
      <c r="X42" s="220"/>
      <c r="Y42" s="220"/>
      <c r="Z42" s="220"/>
      <c r="AA42" s="220"/>
      <c r="AB42" s="220"/>
      <c r="AC42" s="220"/>
      <c r="AD42" s="220"/>
      <c r="AE42" s="220"/>
      <c r="AF42" s="220"/>
    </row>
    <row r="43" spans="1:32" ht="12.75" customHeight="1">
      <c r="A43" s="11" t="s">
        <v>303</v>
      </c>
      <c r="B43" s="220" t="s">
        <v>277</v>
      </c>
      <c r="C43" s="220"/>
      <c r="D43" s="220"/>
      <c r="E43" s="220"/>
      <c r="F43" s="220"/>
      <c r="G43" s="220"/>
      <c r="H43" s="220"/>
      <c r="I43" s="220"/>
      <c r="J43" s="220"/>
      <c r="K43" s="220"/>
      <c r="L43" s="241"/>
      <c r="M43" s="220"/>
      <c r="N43" s="220"/>
      <c r="O43" s="220"/>
      <c r="P43" s="220"/>
      <c r="Q43" s="220"/>
      <c r="R43" s="220"/>
      <c r="S43" s="220"/>
      <c r="T43" s="220"/>
      <c r="U43" s="220"/>
      <c r="V43" s="220"/>
      <c r="W43" s="220"/>
      <c r="X43" s="220"/>
      <c r="Y43" s="220"/>
      <c r="Z43" s="220"/>
      <c r="AA43" s="220"/>
      <c r="AB43" s="220"/>
      <c r="AC43" s="220"/>
      <c r="AD43" s="220"/>
      <c r="AE43" s="220"/>
      <c r="AF43" s="220"/>
    </row>
    <row r="44" spans="1:32" ht="12.75" customHeight="1">
      <c r="A44" s="11"/>
      <c r="B44" s="220" t="s">
        <v>302</v>
      </c>
      <c r="C44" s="220"/>
      <c r="D44" s="220"/>
      <c r="E44" s="220"/>
      <c r="F44" s="220"/>
      <c r="G44" s="220"/>
      <c r="H44" s="220"/>
      <c r="I44" s="220"/>
      <c r="J44" s="220"/>
      <c r="K44" s="220"/>
      <c r="L44" s="241"/>
      <c r="M44" s="220"/>
      <c r="N44" s="220"/>
      <c r="O44" s="220"/>
      <c r="P44" s="220"/>
      <c r="Q44" s="220"/>
      <c r="R44" s="220"/>
      <c r="S44" s="220"/>
      <c r="T44" s="220"/>
      <c r="U44" s="220"/>
      <c r="V44" s="220"/>
      <c r="W44" s="220"/>
      <c r="X44" s="220"/>
      <c r="Y44" s="220"/>
      <c r="Z44" s="220"/>
      <c r="AA44" s="220"/>
      <c r="AB44" s="220"/>
      <c r="AC44" s="220"/>
      <c r="AD44" s="220"/>
      <c r="AE44" s="220"/>
      <c r="AF44" s="220"/>
    </row>
    <row r="45" spans="1:32" ht="12.75" customHeight="1">
      <c r="A45" s="11"/>
      <c r="B45" t="s">
        <v>278</v>
      </c>
      <c r="L45" s="12"/>
    </row>
    <row r="46" spans="1:32" ht="12.75" customHeight="1">
      <c r="A46" s="11"/>
      <c r="B46" s="2" t="s">
        <v>279</v>
      </c>
      <c r="F46" s="172"/>
      <c r="L46" s="12"/>
    </row>
    <row r="47" spans="1:32" ht="12.75" customHeight="1">
      <c r="A47" s="11"/>
      <c r="B47" s="2" t="s">
        <v>280</v>
      </c>
      <c r="L47" s="12"/>
    </row>
    <row r="48" spans="1:32" ht="12.75" customHeight="1">
      <c r="A48" s="11"/>
      <c r="B48" t="s">
        <v>281</v>
      </c>
      <c r="L48" s="12"/>
    </row>
    <row r="49" spans="1:12" ht="12.75" customHeight="1">
      <c r="A49" s="11"/>
      <c r="B49" t="s">
        <v>282</v>
      </c>
      <c r="L49" s="12"/>
    </row>
    <row r="50" spans="1:12" ht="12.75" customHeight="1">
      <c r="A50" s="11" t="s">
        <v>292</v>
      </c>
      <c r="B50" t="s">
        <v>283</v>
      </c>
      <c r="L50" s="12"/>
    </row>
    <row r="51" spans="1:12" ht="12.75" customHeight="1">
      <c r="A51" s="11"/>
      <c r="B51" s="232" t="s">
        <v>304</v>
      </c>
      <c r="L51" s="12"/>
    </row>
    <row r="52" spans="1:12" ht="12.75" customHeight="1">
      <c r="A52" s="11"/>
      <c r="B52" t="s">
        <v>278</v>
      </c>
      <c r="L52" s="12"/>
    </row>
    <row r="53" spans="1:12" ht="12.75" customHeight="1">
      <c r="A53" s="11"/>
      <c r="B53" t="s">
        <v>284</v>
      </c>
      <c r="L53" s="12"/>
    </row>
    <row r="54" spans="1:12" ht="12.75" customHeight="1">
      <c r="A54" s="11"/>
      <c r="B54" t="s">
        <v>285</v>
      </c>
      <c r="L54" s="12"/>
    </row>
    <row r="55" spans="1:12" ht="15.75" customHeight="1">
      <c r="A55" s="11"/>
      <c r="B55" s="1307" t="s">
        <v>286</v>
      </c>
      <c r="C55" s="1307"/>
      <c r="D55" s="1307"/>
      <c r="E55" s="1307"/>
      <c r="F55" s="1307"/>
      <c r="G55" s="1307"/>
      <c r="H55" s="1307"/>
      <c r="I55" s="1307"/>
      <c r="J55" s="1307"/>
      <c r="K55" s="1307"/>
      <c r="L55" s="1308"/>
    </row>
    <row r="56" spans="1:12" ht="23.25">
      <c r="A56" s="11"/>
      <c r="B56" t="s">
        <v>198</v>
      </c>
      <c r="C56" s="282" t="e">
        <f>D37</f>
        <v>#REF!</v>
      </c>
      <c r="D56" s="202"/>
      <c r="E56" s="202"/>
      <c r="F56" s="202"/>
      <c r="G56" s="202"/>
      <c r="H56" s="202"/>
      <c r="I56" t="s">
        <v>305</v>
      </c>
      <c r="J56" s="202"/>
      <c r="K56" s="202"/>
      <c r="L56" s="233"/>
    </row>
    <row r="57" spans="1:12" ht="16.5" thickBot="1">
      <c r="A57" s="16"/>
      <c r="B57" s="1131"/>
      <c r="C57" s="1131"/>
      <c r="D57" s="1131"/>
      <c r="E57" s="1131"/>
      <c r="F57" s="1131"/>
      <c r="G57" s="1131"/>
      <c r="H57" s="1131"/>
      <c r="I57" s="1131"/>
      <c r="J57" s="1131"/>
      <c r="K57" s="1131"/>
      <c r="L57" s="1132"/>
    </row>
    <row r="58" spans="1:12" ht="27.95" customHeight="1" thickBot="1">
      <c r="A58" s="8"/>
      <c r="B58" s="1273"/>
      <c r="C58" s="1273"/>
      <c r="D58" s="1273"/>
      <c r="E58" s="1273"/>
      <c r="F58" s="1273"/>
      <c r="G58" s="1273"/>
      <c r="H58" s="1270"/>
      <c r="I58" s="1270"/>
      <c r="J58" s="1270"/>
      <c r="K58" s="1270"/>
      <c r="L58" s="1270"/>
    </row>
    <row r="59" spans="1:12" ht="27.95" customHeight="1">
      <c r="A59" s="61"/>
      <c r="B59" s="62"/>
      <c r="C59" s="62"/>
      <c r="D59" s="62"/>
      <c r="E59" s="62"/>
      <c r="F59" s="62"/>
      <c r="G59" s="62"/>
      <c r="H59" s="62"/>
      <c r="I59" s="66" t="s">
        <v>232</v>
      </c>
      <c r="J59" s="62"/>
      <c r="K59" s="62"/>
      <c r="L59" s="63"/>
    </row>
    <row r="60" spans="1:12" ht="27.95" customHeight="1">
      <c r="A60" s="11"/>
      <c r="B60" s="1309" t="s">
        <v>287</v>
      </c>
      <c r="C60" s="1309"/>
      <c r="D60" s="1309"/>
      <c r="E60" s="1309"/>
      <c r="F60" s="1309"/>
      <c r="G60" s="1309"/>
      <c r="H60" s="1309"/>
      <c r="I60" s="1309"/>
      <c r="J60" s="1309"/>
      <c r="K60" s="1309"/>
      <c r="L60" s="1310"/>
    </row>
    <row r="61" spans="1:12" ht="27.95" customHeight="1">
      <c r="A61" s="11"/>
      <c r="B61" s="202"/>
      <c r="C61" s="202"/>
      <c r="D61" s="210" t="s">
        <v>234</v>
      </c>
      <c r="E61" s="202"/>
      <c r="F61" s="202"/>
      <c r="G61" s="202"/>
      <c r="H61" s="202"/>
      <c r="I61" s="204" t="s">
        <v>288</v>
      </c>
      <c r="J61" s="205"/>
      <c r="K61" s="286" t="e">
        <f>'4-22MASTER'!#REF!</f>
        <v>#REF!</v>
      </c>
      <c r="L61" s="235"/>
    </row>
    <row r="62" spans="1:12" ht="21.75" customHeight="1">
      <c r="A62" s="11"/>
      <c r="B62" s="1"/>
      <c r="C62" s="1" t="s">
        <v>235</v>
      </c>
      <c r="E62" s="1"/>
      <c r="F62" s="1"/>
      <c r="G62" s="1"/>
      <c r="H62" s="1"/>
      <c r="I62" s="203" t="s">
        <v>289</v>
      </c>
      <c r="J62" s="224" t="str">
        <f>'4-22MASTER'!G5</f>
        <v>Burgeon IT Services Pvt.Ltd.</v>
      </c>
      <c r="K62" s="206"/>
      <c r="L62" s="236"/>
    </row>
    <row r="63" spans="1:12" ht="20.25" customHeight="1">
      <c r="A63" s="11"/>
      <c r="B63" s="211"/>
      <c r="C63" s="180" t="s">
        <v>236</v>
      </c>
      <c r="E63" s="211"/>
      <c r="F63" s="211"/>
      <c r="H63" s="181"/>
      <c r="I63" s="227" t="str">
        <f>'4-22MASTER'!G6</f>
        <v>Siri Mansion LIGB 436 Dr.A S Rao Nagar,Hyderabad</v>
      </c>
      <c r="J63" s="225"/>
      <c r="K63" s="226"/>
      <c r="L63" s="190"/>
    </row>
    <row r="64" spans="1:12" ht="18.75" customHeight="1">
      <c r="A64" s="11"/>
      <c r="L64" s="12"/>
    </row>
    <row r="65" spans="1:12" ht="27.95" customHeight="1">
      <c r="A65" s="11">
        <v>1</v>
      </c>
      <c r="B65" s="207" t="s">
        <v>237</v>
      </c>
      <c r="C65" s="53"/>
      <c r="D65" s="53"/>
      <c r="E65" s="53"/>
      <c r="F65" s="53"/>
      <c r="G65" s="54"/>
      <c r="H65" s="1261" t="e">
        <f>'4-22MASTER'!#REF!</f>
        <v>#REF!</v>
      </c>
      <c r="I65" s="1287"/>
      <c r="J65" s="1287"/>
      <c r="K65" s="1287"/>
      <c r="L65" s="1288"/>
    </row>
    <row r="66" spans="1:12" ht="21.75" customHeight="1">
      <c r="A66" s="11">
        <v>2</v>
      </c>
      <c r="B66" s="1311" t="s">
        <v>238</v>
      </c>
      <c r="C66" s="1312"/>
      <c r="D66" s="1312"/>
      <c r="E66" s="1312"/>
      <c r="F66" s="208" t="s">
        <v>239</v>
      </c>
      <c r="G66" s="192"/>
      <c r="H66" s="1313" t="e">
        <f>'4-22MASTER'!#REF!</f>
        <v>#REF!</v>
      </c>
      <c r="I66" s="1314"/>
      <c r="J66" s="1314"/>
      <c r="K66" s="1314"/>
      <c r="L66" s="1315"/>
    </row>
    <row r="67" spans="1:12" ht="12.75" customHeight="1">
      <c r="A67" s="11"/>
      <c r="B67" s="193" t="s">
        <v>240</v>
      </c>
      <c r="C67" s="194"/>
      <c r="D67" s="194"/>
      <c r="E67" s="194"/>
      <c r="F67" s="194" t="s">
        <v>233</v>
      </c>
      <c r="G67" s="195"/>
      <c r="H67" s="1316"/>
      <c r="I67" s="1317"/>
      <c r="J67" s="1317"/>
      <c r="K67" s="1317"/>
      <c r="L67" s="1318"/>
    </row>
    <row r="68" spans="1:12" ht="27.95" customHeight="1">
      <c r="A68" s="11">
        <v>3</v>
      </c>
      <c r="B68" s="209" t="s">
        <v>241</v>
      </c>
      <c r="C68" s="199"/>
      <c r="D68" s="199"/>
      <c r="E68" s="199"/>
      <c r="F68" s="199"/>
      <c r="G68" s="200"/>
      <c r="H68" s="1291" t="e">
        <f>'4-22MASTER'!#REF!</f>
        <v>#REF!</v>
      </c>
      <c r="I68" s="1292"/>
      <c r="J68" s="1292"/>
      <c r="K68" s="1292"/>
      <c r="L68" s="1299"/>
    </row>
    <row r="69" spans="1:12" ht="27.95" customHeight="1">
      <c r="A69" s="11">
        <v>4</v>
      </c>
      <c r="B69" s="185" t="s">
        <v>242</v>
      </c>
      <c r="C69" s="53"/>
      <c r="D69" s="53"/>
      <c r="E69" s="53"/>
      <c r="F69" s="53"/>
      <c r="G69" s="54"/>
      <c r="H69" s="1253" t="e">
        <f>'4-22MASTER'!#REF!</f>
        <v>#REF!</v>
      </c>
      <c r="I69" s="1279"/>
      <c r="J69" s="1279"/>
      <c r="K69" s="1279"/>
      <c r="L69" s="1254"/>
    </row>
    <row r="70" spans="1:12" ht="27.95" customHeight="1">
      <c r="A70" s="11">
        <v>5</v>
      </c>
      <c r="B70" s="1294" t="s">
        <v>290</v>
      </c>
      <c r="C70" s="1295"/>
      <c r="D70" s="1295"/>
      <c r="E70" s="1295"/>
      <c r="F70" s="1295"/>
      <c r="G70" s="54"/>
      <c r="H70" s="1286" t="s">
        <v>368</v>
      </c>
      <c r="I70" s="1287"/>
      <c r="J70" s="1287"/>
      <c r="K70" s="1287"/>
      <c r="L70" s="1288"/>
    </row>
    <row r="71" spans="1:12" ht="21.75" customHeight="1">
      <c r="A71" s="11">
        <v>6</v>
      </c>
      <c r="B71" s="198" t="s">
        <v>243</v>
      </c>
      <c r="C71" s="199" t="s">
        <v>244</v>
      </c>
      <c r="D71" s="199"/>
      <c r="E71" s="199"/>
      <c r="F71" s="199"/>
      <c r="G71" s="200"/>
      <c r="H71" s="209"/>
      <c r="I71" s="199"/>
      <c r="J71" s="199"/>
      <c r="K71" s="199"/>
      <c r="L71" s="237"/>
    </row>
    <row r="72" spans="1:12" ht="22.5" customHeight="1">
      <c r="A72" s="11"/>
      <c r="B72" s="198" t="s">
        <v>245</v>
      </c>
      <c r="C72" s="199" t="s">
        <v>246</v>
      </c>
      <c r="D72" s="199"/>
      <c r="E72" s="199"/>
      <c r="F72" s="199"/>
      <c r="G72" s="200"/>
      <c r="H72" s="209"/>
      <c r="I72" s="191"/>
      <c r="J72" s="191"/>
      <c r="K72" s="199"/>
      <c r="L72" s="237"/>
    </row>
    <row r="73" spans="1:12">
      <c r="A73" s="11">
        <v>7</v>
      </c>
      <c r="B73" s="1291" t="s">
        <v>247</v>
      </c>
      <c r="C73" s="1292"/>
      <c r="D73" s="1292"/>
      <c r="E73" s="1292"/>
      <c r="F73" s="1292"/>
      <c r="G73" s="1299"/>
      <c r="H73" s="213" t="s">
        <v>248</v>
      </c>
      <c r="I73" s="214"/>
      <c r="J73" s="215"/>
      <c r="K73" s="213" t="s">
        <v>249</v>
      </c>
      <c r="L73" s="238"/>
    </row>
    <row r="74" spans="1:12">
      <c r="A74" s="11">
        <v>8</v>
      </c>
      <c r="B74" s="1291" t="s">
        <v>291</v>
      </c>
      <c r="C74" s="1292"/>
      <c r="D74" s="1292"/>
      <c r="E74" s="1292"/>
      <c r="F74" s="1292"/>
      <c r="G74" s="1299"/>
      <c r="H74" s="213" t="s">
        <v>248</v>
      </c>
      <c r="I74" s="214"/>
      <c r="J74" s="215"/>
      <c r="K74" s="213" t="s">
        <v>249</v>
      </c>
      <c r="L74" s="238"/>
    </row>
    <row r="75" spans="1:12">
      <c r="A75" s="11"/>
      <c r="B75" s="185"/>
      <c r="C75" s="217"/>
      <c r="D75" s="217"/>
      <c r="E75" s="217"/>
      <c r="F75" s="217" t="s">
        <v>250</v>
      </c>
      <c r="G75" s="217"/>
      <c r="H75" s="217"/>
      <c r="I75" s="217"/>
      <c r="J75" s="217"/>
      <c r="K75" s="217"/>
      <c r="L75" s="239"/>
    </row>
    <row r="76" spans="1:12">
      <c r="A76" s="11">
        <v>9</v>
      </c>
      <c r="B76" s="198" t="s">
        <v>251</v>
      </c>
      <c r="C76" s="199" t="s">
        <v>252</v>
      </c>
      <c r="D76" s="199"/>
      <c r="E76" s="199"/>
      <c r="F76" s="199"/>
      <c r="G76" s="200"/>
      <c r="H76" s="209"/>
      <c r="I76" s="199"/>
      <c r="J76" s="199"/>
      <c r="K76" s="199"/>
      <c r="L76" s="237"/>
    </row>
    <row r="77" spans="1:12">
      <c r="A77" s="72"/>
      <c r="B77" s="198" t="s">
        <v>253</v>
      </c>
      <c r="C77" s="199" t="s">
        <v>254</v>
      </c>
      <c r="D77" s="199"/>
      <c r="E77" s="199"/>
      <c r="F77" s="199"/>
      <c r="G77" s="200"/>
      <c r="H77" s="209"/>
      <c r="I77" s="199"/>
      <c r="J77" s="199"/>
      <c r="K77" s="199"/>
      <c r="L77" s="237"/>
    </row>
    <row r="78" spans="1:12">
      <c r="A78" s="72"/>
      <c r="B78" s="198" t="s">
        <v>292</v>
      </c>
      <c r="C78" s="199" t="s">
        <v>293</v>
      </c>
      <c r="D78" s="199"/>
      <c r="E78" s="199"/>
      <c r="F78" s="199"/>
      <c r="G78" s="200"/>
      <c r="H78" s="209"/>
      <c r="I78" s="199"/>
      <c r="J78" s="199"/>
      <c r="K78" s="199"/>
      <c r="L78" s="237"/>
    </row>
    <row r="79" spans="1:12">
      <c r="A79" s="72"/>
      <c r="B79" s="198" t="s">
        <v>256</v>
      </c>
      <c r="C79" s="199" t="s">
        <v>257</v>
      </c>
      <c r="D79" s="199"/>
      <c r="E79" s="199"/>
      <c r="F79" s="199"/>
      <c r="G79" s="200"/>
      <c r="H79" s="209"/>
      <c r="I79" s="199"/>
      <c r="J79" s="199"/>
      <c r="K79" s="199"/>
      <c r="L79" s="237"/>
    </row>
    <row r="80" spans="1:12">
      <c r="A80" s="72"/>
      <c r="B80" s="198" t="s">
        <v>258</v>
      </c>
      <c r="C80" s="199" t="s">
        <v>259</v>
      </c>
      <c r="D80" s="199"/>
      <c r="E80" s="199"/>
      <c r="F80" s="199"/>
      <c r="G80" s="200"/>
      <c r="H80" s="209"/>
      <c r="I80" s="199"/>
      <c r="J80" s="199"/>
      <c r="K80" s="199"/>
      <c r="L80" s="237"/>
    </row>
    <row r="81" spans="1:12">
      <c r="A81" s="72">
        <v>10</v>
      </c>
      <c r="B81" s="198" t="s">
        <v>251</v>
      </c>
      <c r="C81" s="199" t="s">
        <v>294</v>
      </c>
      <c r="D81" s="199"/>
      <c r="E81" s="199"/>
      <c r="F81" s="199"/>
      <c r="G81" s="200"/>
      <c r="H81" s="213" t="s">
        <v>248</v>
      </c>
      <c r="I81" s="214"/>
      <c r="J81" s="215"/>
      <c r="K81" s="213" t="s">
        <v>249</v>
      </c>
      <c r="L81" s="238"/>
    </row>
    <row r="82" spans="1:12">
      <c r="A82" s="72"/>
      <c r="B82" s="198" t="s">
        <v>253</v>
      </c>
      <c r="C82" s="199" t="s">
        <v>295</v>
      </c>
      <c r="D82" s="199"/>
      <c r="E82" s="199"/>
      <c r="F82" s="199"/>
      <c r="G82" s="200"/>
      <c r="H82" s="209"/>
      <c r="I82" s="199"/>
      <c r="J82" s="199"/>
      <c r="K82" s="199"/>
      <c r="L82" s="237"/>
    </row>
    <row r="83" spans="1:12">
      <c r="A83" s="72"/>
      <c r="B83" s="198" t="s">
        <v>292</v>
      </c>
      <c r="C83" s="199" t="s">
        <v>260</v>
      </c>
      <c r="D83" s="199"/>
      <c r="E83" s="199"/>
      <c r="F83" s="199"/>
      <c r="G83" s="200"/>
      <c r="H83" s="209"/>
      <c r="I83" s="199"/>
      <c r="J83" s="199"/>
      <c r="K83" s="199"/>
      <c r="L83" s="237"/>
    </row>
    <row r="84" spans="1:12">
      <c r="A84" s="72"/>
      <c r="B84" s="198" t="s">
        <v>256</v>
      </c>
      <c r="C84" s="199" t="s">
        <v>296</v>
      </c>
      <c r="D84" s="199"/>
      <c r="E84" s="199"/>
      <c r="F84" s="199"/>
      <c r="G84" s="200"/>
      <c r="H84" s="209"/>
      <c r="I84" s="199"/>
      <c r="J84" s="199"/>
      <c r="K84" s="199"/>
      <c r="L84" s="237"/>
    </row>
    <row r="85" spans="1:12">
      <c r="A85" s="11"/>
      <c r="B85" s="185"/>
      <c r="C85" s="217"/>
      <c r="D85" s="217"/>
      <c r="E85" s="217" t="s">
        <v>297</v>
      </c>
      <c r="F85" s="217"/>
      <c r="G85" s="217"/>
      <c r="H85" s="217"/>
      <c r="I85" s="217"/>
      <c r="J85" s="217"/>
      <c r="K85" s="217"/>
      <c r="L85" s="239"/>
    </row>
    <row r="86" spans="1:12">
      <c r="A86" s="11">
        <v>11</v>
      </c>
      <c r="B86" s="198" t="s">
        <v>251</v>
      </c>
      <c r="C86" s="199" t="s">
        <v>261</v>
      </c>
      <c r="D86" s="199"/>
      <c r="E86" s="199"/>
      <c r="F86" s="199"/>
      <c r="G86" s="200"/>
      <c r="H86" s="209"/>
      <c r="I86" s="199"/>
      <c r="J86" s="199"/>
      <c r="K86" s="199"/>
      <c r="L86" s="237"/>
    </row>
    <row r="87" spans="1:12">
      <c r="A87" s="11"/>
      <c r="B87" s="198" t="s">
        <v>253</v>
      </c>
      <c r="C87" s="199" t="s">
        <v>262</v>
      </c>
      <c r="D87" s="199"/>
      <c r="E87" s="199"/>
      <c r="F87" s="199"/>
      <c r="G87" s="200"/>
      <c r="H87" s="209"/>
      <c r="I87" s="199"/>
      <c r="J87" s="199"/>
      <c r="K87" s="199"/>
      <c r="L87" s="237"/>
    </row>
    <row r="88" spans="1:12">
      <c r="A88" s="11"/>
      <c r="B88" s="198" t="s">
        <v>255</v>
      </c>
      <c r="C88" s="199" t="s">
        <v>263</v>
      </c>
      <c r="D88" s="199"/>
      <c r="E88" s="199"/>
      <c r="F88" s="199"/>
      <c r="G88" s="200"/>
      <c r="H88" s="209"/>
      <c r="I88" s="199"/>
      <c r="J88" s="199"/>
      <c r="K88" s="199"/>
      <c r="L88" s="237"/>
    </row>
    <row r="89" spans="1:12">
      <c r="A89" s="11"/>
      <c r="B89" s="173"/>
      <c r="C89" s="169"/>
      <c r="D89" s="169"/>
      <c r="E89" s="169"/>
      <c r="F89" s="218" t="s">
        <v>264</v>
      </c>
      <c r="G89" s="169"/>
      <c r="H89" s="158"/>
      <c r="I89" s="158"/>
      <c r="J89" s="158"/>
      <c r="K89" s="158"/>
      <c r="L89" s="176"/>
    </row>
    <row r="90" spans="1:12">
      <c r="A90" s="11"/>
      <c r="B90" s="230" t="s">
        <v>265</v>
      </c>
      <c r="C90" s="229" t="s">
        <v>266</v>
      </c>
      <c r="D90" s="169"/>
      <c r="E90" s="169"/>
      <c r="F90" s="169"/>
      <c r="G90" s="169"/>
      <c r="H90" s="158"/>
      <c r="I90" s="158"/>
      <c r="J90" s="159"/>
      <c r="K90" s="158"/>
      <c r="L90" s="176"/>
    </row>
    <row r="91" spans="1:12">
      <c r="A91" s="11"/>
      <c r="B91" s="230" t="s">
        <v>267</v>
      </c>
      <c r="C91" s="228" t="s">
        <v>268</v>
      </c>
      <c r="D91" s="158"/>
      <c r="E91" s="159"/>
      <c r="G91" s="1300"/>
      <c r="H91" s="1300"/>
      <c r="I91" s="174"/>
      <c r="J91" s="175"/>
      <c r="K91" s="1300"/>
      <c r="L91" s="1301"/>
    </row>
    <row r="92" spans="1:12">
      <c r="A92" s="11"/>
      <c r="B92" s="231" t="s">
        <v>269</v>
      </c>
      <c r="C92" s="1302" t="s">
        <v>298</v>
      </c>
      <c r="D92" s="1302"/>
      <c r="E92" s="1302"/>
      <c r="F92" s="1302"/>
      <c r="G92" s="1302"/>
      <c r="H92" s="1302"/>
      <c r="I92" s="1302"/>
      <c r="J92" s="1302"/>
      <c r="K92" s="1302"/>
      <c r="L92" s="1303"/>
    </row>
    <row r="93" spans="1:12">
      <c r="A93" s="11"/>
      <c r="B93" s="230" t="s">
        <v>270</v>
      </c>
      <c r="C93" s="229" t="s">
        <v>271</v>
      </c>
      <c r="D93" s="221"/>
      <c r="E93" s="221"/>
      <c r="F93" s="221"/>
      <c r="G93" s="221"/>
      <c r="H93" s="221"/>
      <c r="I93" s="221"/>
      <c r="J93" s="221"/>
      <c r="K93" s="221"/>
      <c r="L93" s="240"/>
    </row>
    <row r="94" spans="1:12" ht="15" customHeight="1">
      <c r="A94" s="11"/>
      <c r="B94" s="173"/>
      <c r="C94" t="s">
        <v>299</v>
      </c>
      <c r="D94" s="282" t="e">
        <f>'4-22MASTER'!#REF!</f>
        <v>#REF!</v>
      </c>
      <c r="E94" s="2"/>
      <c r="F94" s="2"/>
      <c r="G94" s="2"/>
      <c r="L94" s="12"/>
    </row>
    <row r="95" spans="1:12">
      <c r="A95" s="11"/>
      <c r="C95" t="s">
        <v>272</v>
      </c>
      <c r="D95" t="s">
        <v>361</v>
      </c>
      <c r="J95" t="s">
        <v>300</v>
      </c>
      <c r="L95" s="12"/>
    </row>
    <row r="96" spans="1:12">
      <c r="A96" s="11"/>
      <c r="L96" s="12"/>
    </row>
    <row r="97" spans="1:12">
      <c r="A97" s="11"/>
      <c r="F97" s="219" t="s">
        <v>273</v>
      </c>
      <c r="L97" s="12"/>
    </row>
    <row r="98" spans="1:12">
      <c r="A98" s="11" t="s">
        <v>301</v>
      </c>
      <c r="B98" t="s">
        <v>274</v>
      </c>
      <c r="E98" s="222" t="e">
        <f>'4-22MASTER'!#REF!</f>
        <v>#REF!</v>
      </c>
      <c r="H98" s="1304" t="s">
        <v>275</v>
      </c>
      <c r="I98" s="1304"/>
      <c r="J98" s="223" t="e">
        <f>'4-22MASTER'!#REF!</f>
        <v>#REF!</v>
      </c>
      <c r="K98" t="s">
        <v>276</v>
      </c>
      <c r="L98" s="12"/>
    </row>
    <row r="99" spans="1:12">
      <c r="A99" s="11"/>
      <c r="B99" s="1305" t="e">
        <f>'4-22MASTER'!#REF!</f>
        <v>#REF!</v>
      </c>
      <c r="C99" s="1306"/>
      <c r="D99" s="220"/>
      <c r="E99" s="220"/>
      <c r="F99" s="220"/>
      <c r="G99" s="220"/>
      <c r="H99" s="220"/>
      <c r="I99" s="220"/>
      <c r="J99" s="220"/>
      <c r="K99" s="220"/>
      <c r="L99" s="241"/>
    </row>
    <row r="100" spans="1:12">
      <c r="A100" s="11" t="s">
        <v>303</v>
      </c>
      <c r="B100" s="220" t="s">
        <v>277</v>
      </c>
      <c r="C100" s="220"/>
      <c r="D100" s="220"/>
      <c r="E100" s="220"/>
      <c r="F100" s="220"/>
      <c r="G100" s="220"/>
      <c r="H100" s="220"/>
      <c r="I100" s="220"/>
      <c r="J100" s="220"/>
      <c r="K100" s="220"/>
      <c r="L100" s="241"/>
    </row>
    <row r="101" spans="1:12">
      <c r="A101" s="11"/>
      <c r="B101" s="220" t="s">
        <v>302</v>
      </c>
      <c r="C101" s="220"/>
      <c r="D101" s="220"/>
      <c r="E101" s="220"/>
      <c r="F101" s="220"/>
      <c r="G101" s="220"/>
      <c r="H101" s="220"/>
      <c r="I101" s="220"/>
      <c r="J101" s="220"/>
      <c r="K101" s="220"/>
      <c r="L101" s="241"/>
    </row>
    <row r="102" spans="1:12">
      <c r="A102" s="11"/>
      <c r="B102" t="s">
        <v>278</v>
      </c>
      <c r="L102" s="12"/>
    </row>
    <row r="103" spans="1:12" ht="18.75">
      <c r="A103" s="11"/>
      <c r="B103" s="2" t="s">
        <v>279</v>
      </c>
      <c r="F103" s="172"/>
      <c r="L103" s="12"/>
    </row>
    <row r="104" spans="1:12">
      <c r="A104" s="11"/>
      <c r="B104" s="2" t="s">
        <v>280</v>
      </c>
      <c r="L104" s="12"/>
    </row>
    <row r="105" spans="1:12">
      <c r="A105" s="11"/>
      <c r="B105" t="s">
        <v>281</v>
      </c>
      <c r="L105" s="12"/>
    </row>
    <row r="106" spans="1:12">
      <c r="A106" s="11"/>
      <c r="B106" t="s">
        <v>282</v>
      </c>
      <c r="L106" s="12"/>
    </row>
    <row r="107" spans="1:12">
      <c r="A107" s="11" t="s">
        <v>292</v>
      </c>
      <c r="B107" t="s">
        <v>283</v>
      </c>
      <c r="L107" s="12"/>
    </row>
    <row r="108" spans="1:12">
      <c r="A108" s="11"/>
      <c r="B108" s="232" t="s">
        <v>304</v>
      </c>
      <c r="L108" s="12"/>
    </row>
    <row r="109" spans="1:12" ht="27.95" customHeight="1">
      <c r="A109" s="11"/>
      <c r="B109" t="s">
        <v>278</v>
      </c>
      <c r="L109" s="12"/>
    </row>
    <row r="110" spans="1:12" ht="27.95" customHeight="1">
      <c r="A110" s="11"/>
      <c r="B110" t="s">
        <v>284</v>
      </c>
      <c r="L110" s="12"/>
    </row>
    <row r="111" spans="1:12" ht="27.95" customHeight="1">
      <c r="A111" s="11"/>
      <c r="B111" t="s">
        <v>285</v>
      </c>
      <c r="L111" s="12"/>
    </row>
    <row r="112" spans="1:12" ht="27.95" customHeight="1">
      <c r="A112" s="11"/>
      <c r="B112" s="1307" t="s">
        <v>286</v>
      </c>
      <c r="C112" s="1307"/>
      <c r="D112" s="1307"/>
      <c r="E112" s="1307"/>
      <c r="F112" s="1307"/>
      <c r="G112" s="1307"/>
      <c r="H112" s="1307"/>
      <c r="I112" s="1307"/>
      <c r="J112" s="1307"/>
      <c r="K112" s="1307"/>
      <c r="L112" s="1308"/>
    </row>
    <row r="113" spans="1:12" ht="27.95" customHeight="1">
      <c r="A113" s="11"/>
      <c r="B113" t="s">
        <v>198</v>
      </c>
      <c r="C113" s="282" t="e">
        <f>D94</f>
        <v>#REF!</v>
      </c>
      <c r="D113" s="202"/>
      <c r="E113" s="202"/>
      <c r="F113" s="202"/>
      <c r="G113" s="202"/>
      <c r="H113" s="202"/>
      <c r="I113" t="s">
        <v>305</v>
      </c>
      <c r="J113" s="202"/>
      <c r="K113" s="202"/>
      <c r="L113" s="233"/>
    </row>
    <row r="114" spans="1:12" ht="27.95" customHeight="1" thickBot="1">
      <c r="A114" s="16"/>
      <c r="B114" s="1131"/>
      <c r="C114" s="1131"/>
      <c r="D114" s="1131"/>
      <c r="E114" s="1131"/>
      <c r="F114" s="1131"/>
      <c r="G114" s="1131"/>
      <c r="H114" s="1131"/>
      <c r="I114" s="1131"/>
      <c r="J114" s="1131"/>
      <c r="K114" s="1131"/>
      <c r="L114" s="1132"/>
    </row>
    <row r="115" spans="1:12" ht="27.95" customHeight="1" thickBot="1">
      <c r="A115" s="8"/>
      <c r="B115" s="1273"/>
      <c r="C115" s="1273"/>
      <c r="D115" s="1273"/>
      <c r="E115" s="1273"/>
      <c r="F115" s="1273"/>
      <c r="G115" s="1273"/>
      <c r="H115" s="1270"/>
      <c r="I115" s="1270"/>
      <c r="J115" s="1270"/>
      <c r="K115" s="1270"/>
      <c r="L115" s="1270"/>
    </row>
    <row r="116" spans="1:12" ht="27.95" customHeight="1">
      <c r="A116" s="61"/>
      <c r="B116" s="62"/>
      <c r="C116" s="62"/>
      <c r="D116" s="62"/>
      <c r="E116" s="62"/>
      <c r="F116" s="62"/>
      <c r="G116" s="62"/>
      <c r="H116" s="62"/>
      <c r="I116" s="66" t="s">
        <v>232</v>
      </c>
      <c r="J116" s="62"/>
      <c r="K116" s="62"/>
      <c r="L116" s="63"/>
    </row>
    <row r="117" spans="1:12" ht="27.95" customHeight="1">
      <c r="A117" s="11"/>
      <c r="B117" s="1309" t="s">
        <v>287</v>
      </c>
      <c r="C117" s="1309"/>
      <c r="D117" s="1309"/>
      <c r="E117" s="1309"/>
      <c r="F117" s="1309"/>
      <c r="G117" s="1309"/>
      <c r="H117" s="1309"/>
      <c r="I117" s="1309"/>
      <c r="J117" s="1309"/>
      <c r="K117" s="1309"/>
      <c r="L117" s="1310"/>
    </row>
    <row r="118" spans="1:12" ht="27.95" customHeight="1">
      <c r="A118" s="11"/>
      <c r="B118" s="202"/>
      <c r="C118" s="202"/>
      <c r="D118" s="210" t="s">
        <v>234</v>
      </c>
      <c r="E118" s="202"/>
      <c r="F118" s="202"/>
      <c r="G118" s="202"/>
      <c r="H118" s="202"/>
      <c r="I118" s="204" t="s">
        <v>288</v>
      </c>
      <c r="J118" s="205"/>
      <c r="K118" s="286" t="e">
        <f>'4-22MASTER'!#REF!</f>
        <v>#REF!</v>
      </c>
      <c r="L118" s="235"/>
    </row>
    <row r="119" spans="1:12" ht="27.95" customHeight="1">
      <c r="A119" s="11"/>
      <c r="B119" s="1"/>
      <c r="C119" s="1" t="s">
        <v>235</v>
      </c>
      <c r="E119" s="1"/>
      <c r="F119" s="1"/>
      <c r="G119" s="1"/>
      <c r="H119" s="1"/>
      <c r="I119" s="203" t="s">
        <v>289</v>
      </c>
      <c r="J119" s="224" t="str">
        <f>'4-22MASTER'!G5</f>
        <v>Burgeon IT Services Pvt.Ltd.</v>
      </c>
      <c r="K119" s="206"/>
      <c r="L119" s="236"/>
    </row>
    <row r="120" spans="1:12" ht="27.95" customHeight="1">
      <c r="A120" s="11"/>
      <c r="B120" s="211"/>
      <c r="C120" s="180" t="s">
        <v>236</v>
      </c>
      <c r="E120" s="211"/>
      <c r="F120" s="211"/>
      <c r="H120" s="181"/>
      <c r="I120" s="227" t="str">
        <f>'4-22MASTER'!G6</f>
        <v>Siri Mansion LIGB 436 Dr.A S Rao Nagar,Hyderabad</v>
      </c>
      <c r="J120" s="225"/>
      <c r="K120" s="226"/>
      <c r="L120" s="190"/>
    </row>
    <row r="121" spans="1:12" ht="27.95" customHeight="1">
      <c r="A121" s="11"/>
      <c r="L121" s="12"/>
    </row>
    <row r="122" spans="1:12" ht="27.95" customHeight="1">
      <c r="A122" s="11">
        <v>1</v>
      </c>
      <c r="B122" s="207" t="s">
        <v>237</v>
      </c>
      <c r="C122" s="53"/>
      <c r="D122" s="53"/>
      <c r="E122" s="53"/>
      <c r="F122" s="53"/>
      <c r="G122" s="54"/>
      <c r="H122" s="1261" t="e">
        <f>'4-22MASTER'!#REF!</f>
        <v>#REF!</v>
      </c>
      <c r="I122" s="1287"/>
      <c r="J122" s="1287"/>
      <c r="K122" s="1287"/>
      <c r="L122" s="1288"/>
    </row>
    <row r="123" spans="1:12" ht="22.5" customHeight="1">
      <c r="A123" s="11">
        <v>2</v>
      </c>
      <c r="B123" s="1311" t="s">
        <v>238</v>
      </c>
      <c r="C123" s="1312"/>
      <c r="D123" s="1312"/>
      <c r="E123" s="1312"/>
      <c r="F123" s="208" t="s">
        <v>239</v>
      </c>
      <c r="G123" s="192"/>
      <c r="H123" s="1313" t="e">
        <f>'4-22MASTER'!#REF!</f>
        <v>#REF!</v>
      </c>
      <c r="I123" s="1314"/>
      <c r="J123" s="1314"/>
      <c r="K123" s="1314"/>
      <c r="L123" s="1315"/>
    </row>
    <row r="124" spans="1:12" ht="9.75" customHeight="1">
      <c r="A124" s="11"/>
      <c r="B124" s="193" t="s">
        <v>240</v>
      </c>
      <c r="C124" s="194"/>
      <c r="D124" s="194"/>
      <c r="E124" s="194"/>
      <c r="F124" s="194" t="s">
        <v>233</v>
      </c>
      <c r="G124" s="195"/>
      <c r="H124" s="1316"/>
      <c r="I124" s="1317"/>
      <c r="J124" s="1317"/>
      <c r="K124" s="1317"/>
      <c r="L124" s="1318"/>
    </row>
    <row r="125" spans="1:12" ht="22.5" customHeight="1">
      <c r="A125" s="11">
        <v>3</v>
      </c>
      <c r="B125" s="209" t="s">
        <v>241</v>
      </c>
      <c r="C125" s="199"/>
      <c r="D125" s="199"/>
      <c r="E125" s="199"/>
      <c r="F125" s="199"/>
      <c r="G125" s="200"/>
      <c r="H125" s="1291" t="e">
        <f>'4-22MASTER'!#REF!</f>
        <v>#REF!</v>
      </c>
      <c r="I125" s="1292"/>
      <c r="J125" s="1292"/>
      <c r="K125" s="1292"/>
      <c r="L125" s="1293"/>
    </row>
    <row r="126" spans="1:12" ht="20.25" customHeight="1">
      <c r="A126" s="11">
        <v>4</v>
      </c>
      <c r="B126" s="185" t="s">
        <v>242</v>
      </c>
      <c r="C126" s="53"/>
      <c r="D126" s="53"/>
      <c r="E126" s="53"/>
      <c r="F126" s="53"/>
      <c r="G126" s="54"/>
      <c r="H126" s="1253" t="e">
        <f>'4-22MASTER'!#REF!</f>
        <v>#REF!</v>
      </c>
      <c r="I126" s="1279"/>
      <c r="J126" s="1279"/>
      <c r="K126" s="1279"/>
      <c r="L126" s="1272"/>
    </row>
    <row r="127" spans="1:12">
      <c r="A127" s="11">
        <v>5</v>
      </c>
      <c r="B127" s="1294" t="s">
        <v>290</v>
      </c>
      <c r="C127" s="1295"/>
      <c r="D127" s="1295"/>
      <c r="E127" s="1295"/>
      <c r="F127" s="1295"/>
      <c r="G127" s="54"/>
      <c r="H127" s="1286" t="s">
        <v>369</v>
      </c>
      <c r="I127" s="1287"/>
      <c r="J127" s="1287"/>
      <c r="K127" s="1287"/>
      <c r="L127" s="1288"/>
    </row>
    <row r="128" spans="1:12">
      <c r="A128" s="11">
        <v>6</v>
      </c>
      <c r="B128" s="198" t="s">
        <v>243</v>
      </c>
      <c r="C128" s="199" t="s">
        <v>244</v>
      </c>
      <c r="D128" s="199"/>
      <c r="E128" s="199"/>
      <c r="F128" s="199"/>
      <c r="G128" s="200"/>
      <c r="H128" s="209"/>
      <c r="I128" s="199"/>
      <c r="J128" s="199"/>
      <c r="K128" s="199"/>
      <c r="L128" s="237"/>
    </row>
    <row r="129" spans="1:12">
      <c r="A129" s="11"/>
      <c r="B129" s="198" t="s">
        <v>245</v>
      </c>
      <c r="C129" s="199" t="s">
        <v>246</v>
      </c>
      <c r="D129" s="199"/>
      <c r="E129" s="199"/>
      <c r="F129" s="199"/>
      <c r="G129" s="200"/>
      <c r="H129" s="209"/>
      <c r="I129" s="191"/>
      <c r="J129" s="191"/>
      <c r="K129" s="199"/>
      <c r="L129" s="237"/>
    </row>
    <row r="130" spans="1:12">
      <c r="A130" s="11">
        <v>7</v>
      </c>
      <c r="B130" s="1291" t="s">
        <v>247</v>
      </c>
      <c r="C130" s="1292"/>
      <c r="D130" s="1292"/>
      <c r="E130" s="1292"/>
      <c r="F130" s="1292"/>
      <c r="G130" s="1299"/>
      <c r="H130" s="213" t="s">
        <v>248</v>
      </c>
      <c r="I130" s="214"/>
      <c r="J130" s="215"/>
      <c r="K130" s="213" t="s">
        <v>249</v>
      </c>
      <c r="L130" s="238"/>
    </row>
    <row r="131" spans="1:12">
      <c r="A131" s="11">
        <v>8</v>
      </c>
      <c r="B131" s="1291" t="s">
        <v>291</v>
      </c>
      <c r="C131" s="1292"/>
      <c r="D131" s="1292"/>
      <c r="E131" s="1292"/>
      <c r="F131" s="1292"/>
      <c r="G131" s="1299"/>
      <c r="H131" s="213" t="s">
        <v>248</v>
      </c>
      <c r="I131" s="214"/>
      <c r="J131" s="215"/>
      <c r="K131" s="213" t="s">
        <v>249</v>
      </c>
      <c r="L131" s="238"/>
    </row>
    <row r="132" spans="1:12">
      <c r="A132" s="11"/>
      <c r="B132" s="185"/>
      <c r="C132" s="217"/>
      <c r="D132" s="217"/>
      <c r="E132" s="217"/>
      <c r="F132" s="217" t="s">
        <v>250</v>
      </c>
      <c r="G132" s="217"/>
      <c r="H132" s="217"/>
      <c r="I132" s="217"/>
      <c r="J132" s="217"/>
      <c r="K132" s="217"/>
      <c r="L132" s="239"/>
    </row>
    <row r="133" spans="1:12">
      <c r="A133" s="11">
        <v>9</v>
      </c>
      <c r="B133" s="198" t="s">
        <v>251</v>
      </c>
      <c r="C133" s="199" t="s">
        <v>252</v>
      </c>
      <c r="D133" s="199"/>
      <c r="E133" s="199"/>
      <c r="F133" s="199"/>
      <c r="G133" s="200"/>
      <c r="H133" s="209"/>
      <c r="I133" s="199"/>
      <c r="J133" s="199"/>
      <c r="K133" s="199"/>
      <c r="L133" s="237"/>
    </row>
    <row r="134" spans="1:12">
      <c r="A134" s="72"/>
      <c r="B134" s="198" t="s">
        <v>253</v>
      </c>
      <c r="C134" s="199" t="s">
        <v>254</v>
      </c>
      <c r="D134" s="199"/>
      <c r="E134" s="199"/>
      <c r="F134" s="199"/>
      <c r="G134" s="200"/>
      <c r="H134" s="209"/>
      <c r="I134" s="199"/>
      <c r="J134" s="199"/>
      <c r="K134" s="199"/>
      <c r="L134" s="237"/>
    </row>
    <row r="135" spans="1:12">
      <c r="A135" s="72"/>
      <c r="B135" s="198" t="s">
        <v>292</v>
      </c>
      <c r="C135" s="199" t="s">
        <v>293</v>
      </c>
      <c r="D135" s="199"/>
      <c r="E135" s="199"/>
      <c r="F135" s="199"/>
      <c r="G135" s="200"/>
      <c r="H135" s="209"/>
      <c r="I135" s="199"/>
      <c r="J135" s="199"/>
      <c r="K135" s="199"/>
      <c r="L135" s="237"/>
    </row>
    <row r="136" spans="1:12">
      <c r="A136" s="72"/>
      <c r="B136" s="198" t="s">
        <v>256</v>
      </c>
      <c r="C136" s="199" t="s">
        <v>257</v>
      </c>
      <c r="D136" s="199"/>
      <c r="E136" s="199"/>
      <c r="F136" s="199"/>
      <c r="G136" s="200"/>
      <c r="H136" s="209"/>
      <c r="I136" s="199"/>
      <c r="J136" s="199"/>
      <c r="K136" s="199"/>
      <c r="L136" s="237"/>
    </row>
    <row r="137" spans="1:12">
      <c r="A137" s="72"/>
      <c r="B137" s="198" t="s">
        <v>258</v>
      </c>
      <c r="C137" s="199" t="s">
        <v>259</v>
      </c>
      <c r="D137" s="199"/>
      <c r="E137" s="199"/>
      <c r="F137" s="199"/>
      <c r="G137" s="200"/>
      <c r="H137" s="209"/>
      <c r="I137" s="199"/>
      <c r="J137" s="199"/>
      <c r="K137" s="199"/>
      <c r="L137" s="237"/>
    </row>
    <row r="138" spans="1:12">
      <c r="A138" s="72">
        <v>10</v>
      </c>
      <c r="B138" s="198" t="s">
        <v>251</v>
      </c>
      <c r="C138" s="199" t="s">
        <v>294</v>
      </c>
      <c r="D138" s="199"/>
      <c r="E138" s="199"/>
      <c r="F138" s="199"/>
      <c r="G138" s="200"/>
      <c r="H138" s="213" t="s">
        <v>248</v>
      </c>
      <c r="I138" s="214"/>
      <c r="J138" s="215"/>
      <c r="K138" s="213" t="s">
        <v>249</v>
      </c>
      <c r="L138" s="238"/>
    </row>
    <row r="139" spans="1:12">
      <c r="A139" s="72"/>
      <c r="B139" s="198" t="s">
        <v>253</v>
      </c>
      <c r="C139" s="199" t="s">
        <v>295</v>
      </c>
      <c r="D139" s="199"/>
      <c r="E139" s="199"/>
      <c r="F139" s="199"/>
      <c r="G139" s="200"/>
      <c r="H139" s="209"/>
      <c r="I139" s="199"/>
      <c r="J139" s="199"/>
      <c r="K139" s="199"/>
      <c r="L139" s="237"/>
    </row>
    <row r="140" spans="1:12">
      <c r="A140" s="72"/>
      <c r="B140" s="198" t="s">
        <v>292</v>
      </c>
      <c r="C140" s="199" t="s">
        <v>260</v>
      </c>
      <c r="D140" s="199"/>
      <c r="E140" s="199"/>
      <c r="F140" s="199"/>
      <c r="G140" s="200"/>
      <c r="H140" s="209"/>
      <c r="I140" s="199"/>
      <c r="J140" s="199"/>
      <c r="K140" s="199"/>
      <c r="L140" s="237"/>
    </row>
    <row r="141" spans="1:12">
      <c r="A141" s="72"/>
      <c r="B141" s="198" t="s">
        <v>256</v>
      </c>
      <c r="C141" s="199" t="s">
        <v>296</v>
      </c>
      <c r="D141" s="199"/>
      <c r="E141" s="199"/>
      <c r="F141" s="199"/>
      <c r="G141" s="200"/>
      <c r="H141" s="209"/>
      <c r="I141" s="199"/>
      <c r="J141" s="199"/>
      <c r="K141" s="199"/>
      <c r="L141" s="237"/>
    </row>
    <row r="142" spans="1:12">
      <c r="A142" s="11"/>
      <c r="B142" s="185"/>
      <c r="C142" s="217"/>
      <c r="D142" s="217"/>
      <c r="E142" s="217" t="s">
        <v>297</v>
      </c>
      <c r="F142" s="217"/>
      <c r="G142" s="217"/>
      <c r="H142" s="217"/>
      <c r="I142" s="217"/>
      <c r="J142" s="217"/>
      <c r="K142" s="217"/>
      <c r="L142" s="239"/>
    </row>
    <row r="143" spans="1:12">
      <c r="A143" s="11">
        <v>11</v>
      </c>
      <c r="B143" s="198" t="s">
        <v>251</v>
      </c>
      <c r="C143" s="199" t="s">
        <v>261</v>
      </c>
      <c r="D143" s="199"/>
      <c r="E143" s="199"/>
      <c r="F143" s="199"/>
      <c r="G143" s="200"/>
      <c r="H143" s="209"/>
      <c r="I143" s="199"/>
      <c r="J143" s="199"/>
      <c r="K143" s="199"/>
      <c r="L143" s="237"/>
    </row>
    <row r="144" spans="1:12">
      <c r="A144" s="11"/>
      <c r="B144" s="198" t="s">
        <v>253</v>
      </c>
      <c r="C144" s="199" t="s">
        <v>262</v>
      </c>
      <c r="D144" s="199"/>
      <c r="E144" s="199"/>
      <c r="F144" s="199"/>
      <c r="G144" s="200"/>
      <c r="H144" s="209"/>
      <c r="I144" s="199"/>
      <c r="J144" s="199"/>
      <c r="K144" s="199"/>
      <c r="L144" s="237"/>
    </row>
    <row r="145" spans="1:12">
      <c r="A145" s="11"/>
      <c r="B145" s="198" t="s">
        <v>255</v>
      </c>
      <c r="C145" s="199" t="s">
        <v>263</v>
      </c>
      <c r="D145" s="199"/>
      <c r="E145" s="199"/>
      <c r="F145" s="199"/>
      <c r="G145" s="200"/>
      <c r="H145" s="209"/>
      <c r="I145" s="199"/>
      <c r="J145" s="199"/>
      <c r="K145" s="199"/>
      <c r="L145" s="237"/>
    </row>
    <row r="146" spans="1:12">
      <c r="A146" s="11"/>
      <c r="B146" s="173"/>
      <c r="C146" s="169"/>
      <c r="D146" s="169"/>
      <c r="E146" s="169"/>
      <c r="F146" s="218" t="s">
        <v>264</v>
      </c>
      <c r="G146" s="169"/>
      <c r="H146" s="158"/>
      <c r="I146" s="158"/>
      <c r="J146" s="158"/>
      <c r="K146" s="158"/>
      <c r="L146" s="176"/>
    </row>
    <row r="147" spans="1:12">
      <c r="A147" s="11"/>
      <c r="B147" s="230" t="s">
        <v>265</v>
      </c>
      <c r="C147" s="229" t="s">
        <v>266</v>
      </c>
      <c r="D147" s="169"/>
      <c r="E147" s="169"/>
      <c r="F147" s="169"/>
      <c r="G147" s="169"/>
      <c r="H147" s="158"/>
      <c r="I147" s="158"/>
      <c r="J147" s="159"/>
      <c r="K147" s="158"/>
      <c r="L147" s="176"/>
    </row>
    <row r="148" spans="1:12">
      <c r="A148" s="11"/>
      <c r="B148" s="230" t="s">
        <v>267</v>
      </c>
      <c r="C148" s="228" t="s">
        <v>268</v>
      </c>
      <c r="D148" s="158"/>
      <c r="E148" s="159"/>
      <c r="G148" s="1300"/>
      <c r="H148" s="1300"/>
      <c r="I148" s="174"/>
      <c r="J148" s="175"/>
      <c r="K148" s="1300"/>
      <c r="L148" s="1301"/>
    </row>
    <row r="149" spans="1:12">
      <c r="A149" s="11"/>
      <c r="B149" s="231" t="s">
        <v>269</v>
      </c>
      <c r="C149" s="1302" t="s">
        <v>298</v>
      </c>
      <c r="D149" s="1302"/>
      <c r="E149" s="1302"/>
      <c r="F149" s="1302"/>
      <c r="G149" s="1302"/>
      <c r="H149" s="1302"/>
      <c r="I149" s="1302"/>
      <c r="J149" s="1302"/>
      <c r="K149" s="1302"/>
      <c r="L149" s="1303"/>
    </row>
    <row r="150" spans="1:12">
      <c r="A150" s="11"/>
      <c r="B150" s="230" t="s">
        <v>270</v>
      </c>
      <c r="C150" s="229" t="s">
        <v>271</v>
      </c>
      <c r="D150" s="221"/>
      <c r="E150" s="221"/>
      <c r="F150" s="221"/>
      <c r="G150" s="221"/>
      <c r="H150" s="221"/>
      <c r="I150" s="221"/>
      <c r="J150" s="221"/>
      <c r="K150" s="221"/>
      <c r="L150" s="240"/>
    </row>
    <row r="151" spans="1:12">
      <c r="A151" s="11"/>
      <c r="B151" s="173"/>
      <c r="C151" t="s">
        <v>299</v>
      </c>
      <c r="D151" s="287" t="e">
        <f>'4-22MASTER'!#REF!</f>
        <v>#REF!</v>
      </c>
      <c r="E151" s="2"/>
      <c r="F151" s="2"/>
      <c r="G151" s="2"/>
      <c r="L151" s="12"/>
    </row>
    <row r="152" spans="1:12">
      <c r="A152" s="11"/>
      <c r="C152" t="s">
        <v>272</v>
      </c>
      <c r="D152" t="s">
        <v>361</v>
      </c>
      <c r="J152" t="s">
        <v>300</v>
      </c>
      <c r="L152" s="12"/>
    </row>
    <row r="153" spans="1:12">
      <c r="A153" s="11"/>
      <c r="L153" s="12"/>
    </row>
    <row r="154" spans="1:12">
      <c r="A154" s="11"/>
      <c r="F154" s="219" t="s">
        <v>273</v>
      </c>
      <c r="L154" s="12"/>
    </row>
    <row r="155" spans="1:12">
      <c r="A155" s="11" t="s">
        <v>301</v>
      </c>
      <c r="B155" t="s">
        <v>274</v>
      </c>
      <c r="E155" s="222" t="e">
        <f>'4-22MASTER'!#REF!</f>
        <v>#REF!</v>
      </c>
      <c r="H155" s="1304" t="s">
        <v>275</v>
      </c>
      <c r="I155" s="1304"/>
      <c r="J155" s="223" t="e">
        <f>'4-22MASTER'!#REF!</f>
        <v>#REF!</v>
      </c>
      <c r="K155" t="s">
        <v>276</v>
      </c>
      <c r="L155" s="12"/>
    </row>
    <row r="156" spans="1:12">
      <c r="A156" s="11"/>
      <c r="B156" s="1305" t="e">
        <f>'4-22MASTER'!#REF!</f>
        <v>#REF!</v>
      </c>
      <c r="C156" s="1306"/>
      <c r="D156" s="220"/>
      <c r="E156" s="220"/>
      <c r="F156" s="220"/>
      <c r="G156" s="220"/>
      <c r="H156" s="220"/>
      <c r="I156" s="220"/>
      <c r="J156" s="220"/>
      <c r="K156" s="220"/>
      <c r="L156" s="241"/>
    </row>
    <row r="157" spans="1:12">
      <c r="A157" s="11" t="s">
        <v>303</v>
      </c>
      <c r="B157" s="220" t="s">
        <v>277</v>
      </c>
      <c r="C157" s="220"/>
      <c r="D157" s="220"/>
      <c r="E157" s="220"/>
      <c r="F157" s="220"/>
      <c r="G157" s="220"/>
      <c r="H157" s="220"/>
      <c r="I157" s="220"/>
      <c r="J157" s="220"/>
      <c r="K157" s="220"/>
      <c r="L157" s="241"/>
    </row>
    <row r="158" spans="1:12">
      <c r="A158" s="11"/>
      <c r="B158" s="220" t="s">
        <v>302</v>
      </c>
      <c r="C158" s="220"/>
      <c r="D158" s="220"/>
      <c r="E158" s="220"/>
      <c r="F158" s="220"/>
      <c r="G158" s="220"/>
      <c r="H158" s="220"/>
      <c r="I158" s="220"/>
      <c r="J158" s="220"/>
      <c r="K158" s="220"/>
      <c r="L158" s="241"/>
    </row>
    <row r="159" spans="1:12">
      <c r="A159" s="11"/>
      <c r="B159" t="s">
        <v>278</v>
      </c>
      <c r="L159" s="12"/>
    </row>
    <row r="160" spans="1:12" ht="18.75">
      <c r="A160" s="11"/>
      <c r="B160" s="2" t="s">
        <v>279</v>
      </c>
      <c r="F160" s="172"/>
      <c r="L160" s="12"/>
    </row>
    <row r="161" spans="1:12">
      <c r="A161" s="11"/>
      <c r="B161" s="2" t="s">
        <v>280</v>
      </c>
      <c r="L161" s="12"/>
    </row>
    <row r="162" spans="1:12" ht="27.95" customHeight="1">
      <c r="A162" s="11"/>
      <c r="B162" t="s">
        <v>281</v>
      </c>
      <c r="L162" s="12"/>
    </row>
    <row r="163" spans="1:12" ht="27.95" customHeight="1">
      <c r="A163" s="11"/>
      <c r="B163" t="s">
        <v>282</v>
      </c>
      <c r="L163" s="12"/>
    </row>
    <row r="164" spans="1:12" ht="27.95" customHeight="1">
      <c r="A164" s="11" t="s">
        <v>292</v>
      </c>
      <c r="B164" t="s">
        <v>283</v>
      </c>
      <c r="L164" s="12"/>
    </row>
    <row r="165" spans="1:12" ht="27.95" customHeight="1">
      <c r="A165" s="11"/>
      <c r="B165" s="232" t="s">
        <v>304</v>
      </c>
      <c r="L165" s="12"/>
    </row>
    <row r="166" spans="1:12" ht="27.95" customHeight="1">
      <c r="A166" s="11"/>
      <c r="B166" t="s">
        <v>278</v>
      </c>
      <c r="L166" s="12"/>
    </row>
    <row r="167" spans="1:12" ht="27.95" customHeight="1">
      <c r="A167" s="11"/>
      <c r="B167" t="s">
        <v>284</v>
      </c>
      <c r="L167" s="12"/>
    </row>
    <row r="168" spans="1:12" ht="27.95" customHeight="1">
      <c r="A168" s="11"/>
      <c r="B168" t="s">
        <v>285</v>
      </c>
      <c r="L168" s="12"/>
    </row>
    <row r="169" spans="1:12" ht="27.95" customHeight="1">
      <c r="A169" s="11"/>
      <c r="B169" s="1307" t="s">
        <v>286</v>
      </c>
      <c r="C169" s="1307"/>
      <c r="D169" s="1307"/>
      <c r="E169" s="1307"/>
      <c r="F169" s="1307"/>
      <c r="G169" s="1307"/>
      <c r="H169" s="1307"/>
      <c r="I169" s="1307"/>
      <c r="J169" s="1307"/>
      <c r="K169" s="1307"/>
      <c r="L169" s="1308"/>
    </row>
    <row r="170" spans="1:12" ht="27.95" customHeight="1">
      <c r="A170" s="11"/>
      <c r="B170" t="s">
        <v>198</v>
      </c>
      <c r="C170" s="282" t="e">
        <f>D151</f>
        <v>#REF!</v>
      </c>
      <c r="D170" s="202"/>
      <c r="E170" s="202"/>
      <c r="F170" s="202"/>
      <c r="G170" s="202"/>
      <c r="H170" s="202"/>
      <c r="I170" t="s">
        <v>305</v>
      </c>
      <c r="J170" s="202"/>
      <c r="K170" s="202"/>
      <c r="L170" s="233"/>
    </row>
    <row r="171" spans="1:12" ht="27.95" customHeight="1" thickBot="1">
      <c r="A171" s="16"/>
      <c r="B171" s="1131"/>
      <c r="C171" s="1131"/>
      <c r="D171" s="1131"/>
      <c r="E171" s="1131"/>
      <c r="F171" s="1131"/>
      <c r="G171" s="1131"/>
      <c r="H171" s="1131"/>
      <c r="I171" s="1131"/>
      <c r="J171" s="1131"/>
      <c r="K171" s="1131"/>
      <c r="L171" s="1132"/>
    </row>
    <row r="172" spans="1:12" ht="27.95" customHeight="1">
      <c r="A172" s="61"/>
      <c r="B172" s="62"/>
      <c r="C172" s="62"/>
      <c r="D172" s="62"/>
      <c r="E172" s="62"/>
      <c r="F172" s="62"/>
      <c r="G172" s="62"/>
      <c r="H172" s="62"/>
      <c r="I172" s="66" t="s">
        <v>232</v>
      </c>
      <c r="J172" s="62"/>
      <c r="K172" s="62"/>
      <c r="L172" s="63"/>
    </row>
    <row r="173" spans="1:12" ht="27.95" customHeight="1">
      <c r="A173" s="11"/>
      <c r="B173" s="1309" t="s">
        <v>287</v>
      </c>
      <c r="C173" s="1309"/>
      <c r="D173" s="1309"/>
      <c r="E173" s="1309"/>
      <c r="F173" s="1309"/>
      <c r="G173" s="1309"/>
      <c r="H173" s="1309"/>
      <c r="I173" s="1309"/>
      <c r="J173" s="1309"/>
      <c r="K173" s="1309"/>
      <c r="L173" s="1310"/>
    </row>
    <row r="174" spans="1:12" ht="27.95" customHeight="1">
      <c r="A174" s="11"/>
      <c r="B174" s="202"/>
      <c r="C174" s="202"/>
      <c r="D174" s="210" t="s">
        <v>234</v>
      </c>
      <c r="E174" s="202"/>
      <c r="F174" s="202"/>
      <c r="G174" s="202"/>
      <c r="H174" s="202"/>
      <c r="I174" s="204" t="s">
        <v>288</v>
      </c>
      <c r="J174" s="205"/>
      <c r="K174" s="286" t="e">
        <f>'4-22MASTER'!#REF!</f>
        <v>#REF!</v>
      </c>
      <c r="L174" s="235"/>
    </row>
    <row r="175" spans="1:12" ht="27.95" customHeight="1">
      <c r="A175" s="11"/>
      <c r="B175" s="1"/>
      <c r="C175" s="1" t="s">
        <v>235</v>
      </c>
      <c r="E175" s="1"/>
      <c r="F175" s="1"/>
      <c r="G175" s="1"/>
      <c r="H175" s="1"/>
      <c r="I175" s="203" t="s">
        <v>289</v>
      </c>
      <c r="J175" s="288" t="str">
        <f>'4-22MASTER'!G5</f>
        <v>Burgeon IT Services Pvt.Ltd.</v>
      </c>
      <c r="K175" s="206"/>
      <c r="L175" s="236"/>
    </row>
    <row r="176" spans="1:12" ht="27.95" customHeight="1">
      <c r="A176" s="11"/>
      <c r="B176" s="211"/>
      <c r="C176" s="180" t="s">
        <v>236</v>
      </c>
      <c r="E176" s="211"/>
      <c r="F176" s="211"/>
      <c r="H176" s="181"/>
      <c r="I176" s="227" t="str">
        <f>'4-22MASTER'!G6</f>
        <v>Siri Mansion LIGB 436 Dr.A S Rao Nagar,Hyderabad</v>
      </c>
      <c r="J176" s="225"/>
      <c r="K176" s="226"/>
      <c r="L176" s="190"/>
    </row>
    <row r="177" spans="1:12" ht="15.75" customHeight="1">
      <c r="A177" s="11"/>
      <c r="L177" s="12"/>
    </row>
    <row r="178" spans="1:12" ht="27" customHeight="1">
      <c r="A178" s="11">
        <v>1</v>
      </c>
      <c r="B178" s="207" t="s">
        <v>237</v>
      </c>
      <c r="C178" s="53"/>
      <c r="D178" s="53"/>
      <c r="E178" s="53"/>
      <c r="F178" s="53"/>
      <c r="G178" s="54"/>
      <c r="H178" s="1261" t="e">
        <f>'4-22MASTER'!#REF!</f>
        <v>#REF!</v>
      </c>
      <c r="I178" s="1287"/>
      <c r="J178" s="1287"/>
      <c r="K178" s="1287"/>
      <c r="L178" s="1288"/>
    </row>
    <row r="179" spans="1:12" ht="17.25" customHeight="1">
      <c r="A179" s="11">
        <v>2</v>
      </c>
      <c r="B179" s="1311" t="s">
        <v>238</v>
      </c>
      <c r="C179" s="1312"/>
      <c r="D179" s="1312"/>
      <c r="E179" s="1312"/>
      <c r="F179" s="208" t="s">
        <v>239</v>
      </c>
      <c r="G179" s="192"/>
      <c r="H179" s="1313" t="e">
        <f>'4-22MASTER'!#REF!</f>
        <v>#REF!</v>
      </c>
      <c r="I179" s="1314"/>
      <c r="J179" s="1314"/>
      <c r="K179" s="1314"/>
      <c r="L179" s="1315"/>
    </row>
    <row r="180" spans="1:12" ht="11.25" customHeight="1">
      <c r="A180" s="11"/>
      <c r="B180" s="193" t="s">
        <v>240</v>
      </c>
      <c r="C180" s="194"/>
      <c r="D180" s="194"/>
      <c r="E180" s="194"/>
      <c r="F180" s="194" t="s">
        <v>233</v>
      </c>
      <c r="G180" s="195"/>
      <c r="H180" s="1316"/>
      <c r="I180" s="1317"/>
      <c r="J180" s="1317"/>
      <c r="K180" s="1317"/>
      <c r="L180" s="1318"/>
    </row>
    <row r="181" spans="1:12">
      <c r="A181" s="11">
        <v>3</v>
      </c>
      <c r="B181" s="209" t="s">
        <v>241</v>
      </c>
      <c r="C181" s="199"/>
      <c r="D181" s="199"/>
      <c r="E181" s="199"/>
      <c r="F181" s="199"/>
      <c r="G181" s="200"/>
      <c r="H181" s="1291" t="e">
        <f>'4-22MASTER'!#REF!</f>
        <v>#REF!</v>
      </c>
      <c r="I181" s="1292"/>
      <c r="J181" s="1292"/>
      <c r="K181" s="1292"/>
      <c r="L181" s="1293"/>
    </row>
    <row r="182" spans="1:12">
      <c r="A182" s="11">
        <v>4</v>
      </c>
      <c r="B182" s="185" t="s">
        <v>242</v>
      </c>
      <c r="C182" s="53"/>
      <c r="D182" s="53"/>
      <c r="E182" s="53"/>
      <c r="F182" s="53"/>
      <c r="G182" s="54"/>
      <c r="H182" s="1253" t="e">
        <f>'4-22MASTER'!#REF!</f>
        <v>#REF!</v>
      </c>
      <c r="I182" s="1279"/>
      <c r="J182" s="1279"/>
      <c r="K182" s="1279"/>
      <c r="L182" s="1272"/>
    </row>
    <row r="183" spans="1:12">
      <c r="A183" s="11">
        <v>5</v>
      </c>
      <c r="B183" s="1294" t="s">
        <v>290</v>
      </c>
      <c r="C183" s="1295"/>
      <c r="D183" s="1295"/>
      <c r="E183" s="1295"/>
      <c r="F183" s="1295"/>
      <c r="G183" s="54"/>
      <c r="H183" s="1286" t="s">
        <v>369</v>
      </c>
      <c r="I183" s="1287"/>
      <c r="J183" s="1287"/>
      <c r="K183" s="1287"/>
      <c r="L183" s="1288"/>
    </row>
    <row r="184" spans="1:12">
      <c r="A184" s="11">
        <v>6</v>
      </c>
      <c r="B184" s="198" t="s">
        <v>243</v>
      </c>
      <c r="C184" s="199" t="s">
        <v>244</v>
      </c>
      <c r="D184" s="199"/>
      <c r="E184" s="199"/>
      <c r="F184" s="199"/>
      <c r="G184" s="200"/>
      <c r="H184" s="209"/>
      <c r="I184" s="199"/>
      <c r="J184" s="199"/>
      <c r="K184" s="199"/>
      <c r="L184" s="237"/>
    </row>
    <row r="185" spans="1:12">
      <c r="A185" s="11"/>
      <c r="B185" s="198" t="s">
        <v>245</v>
      </c>
      <c r="C185" s="199" t="s">
        <v>246</v>
      </c>
      <c r="D185" s="199"/>
      <c r="E185" s="199"/>
      <c r="F185" s="199"/>
      <c r="G185" s="200"/>
      <c r="H185" s="209"/>
      <c r="I185" s="191"/>
      <c r="J185" s="191"/>
      <c r="K185" s="199"/>
      <c r="L185" s="237"/>
    </row>
    <row r="186" spans="1:12">
      <c r="A186" s="11">
        <v>7</v>
      </c>
      <c r="B186" s="1291" t="s">
        <v>247</v>
      </c>
      <c r="C186" s="1292"/>
      <c r="D186" s="1292"/>
      <c r="E186" s="1292"/>
      <c r="F186" s="1292"/>
      <c r="G186" s="1299"/>
      <c r="H186" s="213" t="s">
        <v>248</v>
      </c>
      <c r="I186" s="214"/>
      <c r="J186" s="215"/>
      <c r="K186" s="213" t="s">
        <v>249</v>
      </c>
      <c r="L186" s="238"/>
    </row>
    <row r="187" spans="1:12">
      <c r="A187" s="11">
        <v>8</v>
      </c>
      <c r="B187" s="1291" t="s">
        <v>291</v>
      </c>
      <c r="C187" s="1292"/>
      <c r="D187" s="1292"/>
      <c r="E187" s="1292"/>
      <c r="F187" s="1292"/>
      <c r="G187" s="1299"/>
      <c r="H187" s="213" t="s">
        <v>248</v>
      </c>
      <c r="I187" s="214"/>
      <c r="J187" s="215"/>
      <c r="K187" s="213" t="s">
        <v>249</v>
      </c>
      <c r="L187" s="238"/>
    </row>
    <row r="188" spans="1:12">
      <c r="A188" s="11"/>
      <c r="B188" s="185"/>
      <c r="C188" s="217"/>
      <c r="D188" s="217"/>
      <c r="E188" s="217"/>
      <c r="F188" s="217" t="s">
        <v>250</v>
      </c>
      <c r="G188" s="217"/>
      <c r="H188" s="217"/>
      <c r="I188" s="217"/>
      <c r="J188" s="217"/>
      <c r="K188" s="217"/>
      <c r="L188" s="239"/>
    </row>
    <row r="189" spans="1:12">
      <c r="A189" s="11">
        <v>9</v>
      </c>
      <c r="B189" s="198" t="s">
        <v>251</v>
      </c>
      <c r="C189" s="199" t="s">
        <v>252</v>
      </c>
      <c r="D189" s="199"/>
      <c r="E189" s="199"/>
      <c r="F189" s="199"/>
      <c r="G189" s="200"/>
      <c r="H189" s="209"/>
      <c r="I189" s="199"/>
      <c r="J189" s="199"/>
      <c r="K189" s="199"/>
      <c r="L189" s="237"/>
    </row>
    <row r="190" spans="1:12">
      <c r="A190" s="72"/>
      <c r="B190" s="198" t="s">
        <v>253</v>
      </c>
      <c r="C190" s="199" t="s">
        <v>254</v>
      </c>
      <c r="D190" s="199"/>
      <c r="E190" s="199"/>
      <c r="F190" s="199"/>
      <c r="G190" s="200"/>
      <c r="H190" s="209"/>
      <c r="I190" s="199"/>
      <c r="J190" s="199"/>
      <c r="K190" s="199"/>
      <c r="L190" s="237"/>
    </row>
    <row r="191" spans="1:12">
      <c r="A191" s="72"/>
      <c r="B191" s="198" t="s">
        <v>292</v>
      </c>
      <c r="C191" s="199" t="s">
        <v>293</v>
      </c>
      <c r="D191" s="199"/>
      <c r="E191" s="199"/>
      <c r="F191" s="199"/>
      <c r="G191" s="200"/>
      <c r="H191" s="209"/>
      <c r="I191" s="199"/>
      <c r="J191" s="199"/>
      <c r="K191" s="199"/>
      <c r="L191" s="237"/>
    </row>
    <row r="192" spans="1:12">
      <c r="A192" s="72"/>
      <c r="B192" s="198" t="s">
        <v>256</v>
      </c>
      <c r="C192" s="199" t="s">
        <v>257</v>
      </c>
      <c r="D192" s="199"/>
      <c r="E192" s="199"/>
      <c r="F192" s="199"/>
      <c r="G192" s="200"/>
      <c r="H192" s="209"/>
      <c r="I192" s="199"/>
      <c r="J192" s="199"/>
      <c r="K192" s="199"/>
      <c r="L192" s="237"/>
    </row>
    <row r="193" spans="1:12">
      <c r="A193" s="72"/>
      <c r="B193" s="198" t="s">
        <v>258</v>
      </c>
      <c r="C193" s="199" t="s">
        <v>259</v>
      </c>
      <c r="D193" s="199"/>
      <c r="E193" s="199"/>
      <c r="F193" s="199"/>
      <c r="G193" s="200"/>
      <c r="H193" s="209"/>
      <c r="I193" s="199"/>
      <c r="J193" s="199"/>
      <c r="K193" s="199"/>
      <c r="L193" s="237"/>
    </row>
    <row r="194" spans="1:12">
      <c r="A194" s="72">
        <v>10</v>
      </c>
      <c r="B194" s="198" t="s">
        <v>251</v>
      </c>
      <c r="C194" s="199" t="s">
        <v>294</v>
      </c>
      <c r="D194" s="199"/>
      <c r="E194" s="199"/>
      <c r="F194" s="199"/>
      <c r="G194" s="200"/>
      <c r="H194" s="213" t="s">
        <v>248</v>
      </c>
      <c r="I194" s="214"/>
      <c r="J194" s="215"/>
      <c r="K194" s="213" t="s">
        <v>249</v>
      </c>
      <c r="L194" s="238"/>
    </row>
    <row r="195" spans="1:12">
      <c r="A195" s="72"/>
      <c r="B195" s="198" t="s">
        <v>253</v>
      </c>
      <c r="C195" s="199" t="s">
        <v>295</v>
      </c>
      <c r="D195" s="199"/>
      <c r="E195" s="199"/>
      <c r="F195" s="199"/>
      <c r="G195" s="200"/>
      <c r="H195" s="209"/>
      <c r="I195" s="199"/>
      <c r="J195" s="199"/>
      <c r="K195" s="199"/>
      <c r="L195" s="237"/>
    </row>
    <row r="196" spans="1:12">
      <c r="A196" s="72"/>
      <c r="B196" s="198" t="s">
        <v>292</v>
      </c>
      <c r="C196" s="199" t="s">
        <v>260</v>
      </c>
      <c r="D196" s="199"/>
      <c r="E196" s="199"/>
      <c r="F196" s="199"/>
      <c r="G196" s="200"/>
      <c r="H196" s="209"/>
      <c r="I196" s="199"/>
      <c r="J196" s="199"/>
      <c r="K196" s="199"/>
      <c r="L196" s="237"/>
    </row>
    <row r="197" spans="1:12">
      <c r="A197" s="72"/>
      <c r="B197" s="198" t="s">
        <v>256</v>
      </c>
      <c r="C197" s="199" t="s">
        <v>296</v>
      </c>
      <c r="D197" s="199"/>
      <c r="E197" s="199"/>
      <c r="F197" s="199"/>
      <c r="G197" s="200"/>
      <c r="H197" s="209"/>
      <c r="I197" s="199"/>
      <c r="J197" s="199"/>
      <c r="K197" s="199"/>
      <c r="L197" s="237"/>
    </row>
    <row r="198" spans="1:12">
      <c r="A198" s="11"/>
      <c r="B198" s="185"/>
      <c r="C198" s="217"/>
      <c r="D198" s="217"/>
      <c r="E198" s="217" t="s">
        <v>297</v>
      </c>
      <c r="F198" s="217"/>
      <c r="G198" s="217"/>
      <c r="H198" s="217"/>
      <c r="I198" s="217"/>
      <c r="J198" s="217"/>
      <c r="K198" s="217"/>
      <c r="L198" s="239"/>
    </row>
    <row r="199" spans="1:12">
      <c r="A199" s="11">
        <v>11</v>
      </c>
      <c r="B199" s="198" t="s">
        <v>251</v>
      </c>
      <c r="C199" s="199" t="s">
        <v>261</v>
      </c>
      <c r="D199" s="199"/>
      <c r="E199" s="199"/>
      <c r="F199" s="199"/>
      <c r="G199" s="200"/>
      <c r="H199" s="209"/>
      <c r="I199" s="199"/>
      <c r="J199" s="199"/>
      <c r="K199" s="199"/>
      <c r="L199" s="237"/>
    </row>
    <row r="200" spans="1:12">
      <c r="A200" s="11"/>
      <c r="B200" s="198" t="s">
        <v>253</v>
      </c>
      <c r="C200" s="199" t="s">
        <v>262</v>
      </c>
      <c r="D200" s="199"/>
      <c r="E200" s="199"/>
      <c r="F200" s="199"/>
      <c r="G200" s="200"/>
      <c r="H200" s="209"/>
      <c r="I200" s="199"/>
      <c r="J200" s="199"/>
      <c r="K200" s="199"/>
      <c r="L200" s="237"/>
    </row>
    <row r="201" spans="1:12">
      <c r="A201" s="11"/>
      <c r="B201" s="198" t="s">
        <v>255</v>
      </c>
      <c r="C201" s="199" t="s">
        <v>263</v>
      </c>
      <c r="D201" s="199"/>
      <c r="E201" s="199"/>
      <c r="F201" s="199"/>
      <c r="G201" s="200"/>
      <c r="H201" s="209"/>
      <c r="I201" s="199"/>
      <c r="J201" s="199"/>
      <c r="K201" s="199"/>
      <c r="L201" s="237"/>
    </row>
    <row r="202" spans="1:12">
      <c r="A202" s="11"/>
      <c r="B202" s="173"/>
      <c r="C202" s="169"/>
      <c r="D202" s="169"/>
      <c r="E202" s="169"/>
      <c r="F202" s="218" t="s">
        <v>264</v>
      </c>
      <c r="G202" s="169"/>
      <c r="H202" s="158"/>
      <c r="I202" s="158"/>
      <c r="J202" s="158"/>
      <c r="K202" s="158"/>
      <c r="L202" s="176"/>
    </row>
    <row r="203" spans="1:12">
      <c r="A203" s="11"/>
      <c r="B203" s="230" t="s">
        <v>265</v>
      </c>
      <c r="C203" s="229" t="s">
        <v>266</v>
      </c>
      <c r="D203" s="169"/>
      <c r="E203" s="169"/>
      <c r="F203" s="169"/>
      <c r="G203" s="169"/>
      <c r="H203" s="158"/>
      <c r="I203" s="158"/>
      <c r="J203" s="159"/>
      <c r="K203" s="158"/>
      <c r="L203" s="176"/>
    </row>
    <row r="204" spans="1:12">
      <c r="A204" s="11"/>
      <c r="B204" s="230" t="s">
        <v>267</v>
      </c>
      <c r="C204" s="228" t="s">
        <v>268</v>
      </c>
      <c r="D204" s="158"/>
      <c r="E204" s="159"/>
      <c r="G204" s="1300"/>
      <c r="H204" s="1300"/>
      <c r="I204" s="174"/>
      <c r="J204" s="175"/>
      <c r="K204" s="1300"/>
      <c r="L204" s="1301"/>
    </row>
    <row r="205" spans="1:12">
      <c r="A205" s="11"/>
      <c r="B205" s="231" t="s">
        <v>269</v>
      </c>
      <c r="C205" s="1302" t="s">
        <v>298</v>
      </c>
      <c r="D205" s="1302"/>
      <c r="E205" s="1302"/>
      <c r="F205" s="1302"/>
      <c r="G205" s="1302"/>
      <c r="H205" s="1302"/>
      <c r="I205" s="1302"/>
      <c r="J205" s="1302"/>
      <c r="K205" s="1302"/>
      <c r="L205" s="1303"/>
    </row>
    <row r="206" spans="1:12">
      <c r="A206" s="11"/>
      <c r="B206" s="230" t="s">
        <v>270</v>
      </c>
      <c r="C206" s="229" t="s">
        <v>271</v>
      </c>
      <c r="D206" s="221"/>
      <c r="E206" s="221"/>
      <c r="F206" s="221"/>
      <c r="G206" s="221"/>
      <c r="H206" s="221"/>
      <c r="I206" s="221"/>
      <c r="J206" s="221"/>
      <c r="K206" s="221"/>
      <c r="L206" s="240"/>
    </row>
    <row r="207" spans="1:12">
      <c r="A207" s="11"/>
      <c r="B207" s="173"/>
      <c r="C207" t="s">
        <v>299</v>
      </c>
      <c r="D207" s="287" t="e">
        <f>'4-22MASTER'!#REF!</f>
        <v>#REF!</v>
      </c>
      <c r="E207" s="2"/>
      <c r="F207" s="2"/>
      <c r="G207" s="2"/>
      <c r="L207" s="12"/>
    </row>
    <row r="208" spans="1:12">
      <c r="A208" s="11"/>
      <c r="C208" t="s">
        <v>272</v>
      </c>
      <c r="D208" t="s">
        <v>361</v>
      </c>
      <c r="J208" t="s">
        <v>300</v>
      </c>
      <c r="L208" s="12"/>
    </row>
    <row r="209" spans="1:12">
      <c r="A209" s="11"/>
      <c r="L209" s="12"/>
    </row>
    <row r="210" spans="1:12">
      <c r="A210" s="11"/>
      <c r="F210" s="219" t="s">
        <v>273</v>
      </c>
      <c r="L210" s="12"/>
    </row>
    <row r="211" spans="1:12">
      <c r="A211" s="11" t="s">
        <v>301</v>
      </c>
      <c r="B211" t="s">
        <v>274</v>
      </c>
      <c r="E211" s="222" t="e">
        <f>'4-22MASTER'!#REF!</f>
        <v>#REF!</v>
      </c>
      <c r="H211" s="1304" t="s">
        <v>275</v>
      </c>
      <c r="I211" s="1304"/>
      <c r="J211" s="223" t="e">
        <f>'4-22MASTER'!#REF!</f>
        <v>#REF!</v>
      </c>
      <c r="K211" t="s">
        <v>276</v>
      </c>
      <c r="L211" s="12"/>
    </row>
    <row r="212" spans="1:12">
      <c r="A212" s="11"/>
      <c r="B212" s="1305" t="e">
        <f>'4-22MASTER'!#REF!</f>
        <v>#REF!</v>
      </c>
      <c r="C212" s="1306"/>
      <c r="D212" s="220"/>
      <c r="E212" s="220"/>
      <c r="F212" s="220"/>
      <c r="G212" s="220"/>
      <c r="H212" s="220"/>
      <c r="I212" s="220"/>
      <c r="J212" s="220"/>
      <c r="K212" s="220"/>
      <c r="L212" s="241"/>
    </row>
    <row r="213" spans="1:12">
      <c r="A213" s="11" t="s">
        <v>303</v>
      </c>
      <c r="B213" s="220" t="s">
        <v>277</v>
      </c>
      <c r="C213" s="220"/>
      <c r="D213" s="220"/>
      <c r="E213" s="220"/>
      <c r="F213" s="220"/>
      <c r="G213" s="220"/>
      <c r="H213" s="220"/>
      <c r="I213" s="220"/>
      <c r="J213" s="220"/>
      <c r="K213" s="220"/>
      <c r="L213" s="241"/>
    </row>
    <row r="214" spans="1:12">
      <c r="A214" s="11"/>
      <c r="B214" s="220" t="s">
        <v>302</v>
      </c>
      <c r="C214" s="220"/>
      <c r="D214" s="220"/>
      <c r="E214" s="220"/>
      <c r="F214" s="220"/>
      <c r="G214" s="220"/>
      <c r="H214" s="220"/>
      <c r="I214" s="220"/>
      <c r="J214" s="220"/>
      <c r="K214" s="220"/>
      <c r="L214" s="241"/>
    </row>
    <row r="215" spans="1:12" ht="27.95" customHeight="1">
      <c r="A215" s="11"/>
      <c r="B215" t="s">
        <v>278</v>
      </c>
      <c r="L215" s="12"/>
    </row>
    <row r="216" spans="1:12" ht="27.95" customHeight="1">
      <c r="A216" s="11"/>
      <c r="B216" s="2" t="s">
        <v>279</v>
      </c>
      <c r="F216" s="172"/>
      <c r="L216" s="12"/>
    </row>
    <row r="217" spans="1:12" ht="27.95" customHeight="1">
      <c r="A217" s="11"/>
      <c r="B217" s="2" t="s">
        <v>280</v>
      </c>
      <c r="L217" s="12"/>
    </row>
    <row r="218" spans="1:12" ht="27.95" customHeight="1">
      <c r="A218" s="11"/>
      <c r="B218" t="s">
        <v>281</v>
      </c>
      <c r="L218" s="12"/>
    </row>
    <row r="219" spans="1:12" ht="27.95" customHeight="1">
      <c r="A219" s="11"/>
      <c r="B219" t="s">
        <v>282</v>
      </c>
      <c r="L219" s="12"/>
    </row>
    <row r="220" spans="1:12" ht="27.95" customHeight="1">
      <c r="A220" s="11" t="s">
        <v>292</v>
      </c>
      <c r="B220" t="s">
        <v>283</v>
      </c>
      <c r="L220" s="12"/>
    </row>
    <row r="221" spans="1:12" ht="27.95" customHeight="1">
      <c r="A221" s="11"/>
      <c r="B221" s="232" t="s">
        <v>304</v>
      </c>
      <c r="L221" s="12"/>
    </row>
    <row r="222" spans="1:12" ht="27.95" customHeight="1">
      <c r="A222" s="11"/>
      <c r="B222" t="s">
        <v>278</v>
      </c>
      <c r="L222" s="12"/>
    </row>
    <row r="223" spans="1:12" ht="27.95" customHeight="1">
      <c r="A223" s="11"/>
      <c r="B223" t="s">
        <v>284</v>
      </c>
      <c r="L223" s="12"/>
    </row>
    <row r="224" spans="1:12" ht="27.95" customHeight="1">
      <c r="A224" s="11"/>
      <c r="B224" t="s">
        <v>285</v>
      </c>
      <c r="L224" s="12"/>
    </row>
    <row r="225" spans="1:12" ht="27.95" customHeight="1">
      <c r="A225" s="11"/>
      <c r="B225" s="1307" t="s">
        <v>286</v>
      </c>
      <c r="C225" s="1307"/>
      <c r="D225" s="1307"/>
      <c r="E225" s="1307"/>
      <c r="F225" s="1307"/>
      <c r="G225" s="1307"/>
      <c r="H225" s="1307"/>
      <c r="I225" s="1307"/>
      <c r="J225" s="1307"/>
      <c r="K225" s="1307"/>
      <c r="L225" s="1308"/>
    </row>
    <row r="226" spans="1:12" ht="27.95" customHeight="1">
      <c r="A226" s="11"/>
      <c r="B226" t="s">
        <v>198</v>
      </c>
      <c r="C226" s="282" t="e">
        <f>D207</f>
        <v>#REF!</v>
      </c>
      <c r="D226" s="202"/>
      <c r="E226" s="202"/>
      <c r="F226" s="202"/>
      <c r="G226" s="202"/>
      <c r="H226" s="202"/>
      <c r="I226" t="s">
        <v>305</v>
      </c>
      <c r="J226" s="202"/>
      <c r="K226" s="202"/>
      <c r="L226" s="233"/>
    </row>
    <row r="227" spans="1:12" ht="27.95" customHeight="1" thickBot="1">
      <c r="A227" s="16"/>
      <c r="B227" s="1131"/>
      <c r="C227" s="1131"/>
      <c r="D227" s="1131"/>
      <c r="E227" s="1131"/>
      <c r="F227" s="1131"/>
      <c r="G227" s="1131"/>
      <c r="H227" s="1131"/>
      <c r="I227" s="1131"/>
      <c r="J227" s="1131"/>
      <c r="K227" s="1131"/>
      <c r="L227" s="1132"/>
    </row>
    <row r="228" spans="1:12" ht="27.95" customHeight="1">
      <c r="A228" s="61"/>
      <c r="B228" s="62"/>
      <c r="C228" s="62"/>
      <c r="D228" s="62"/>
      <c r="E228" s="62"/>
      <c r="F228" s="62"/>
      <c r="G228" s="62"/>
      <c r="H228" s="62"/>
      <c r="I228" s="66" t="s">
        <v>232</v>
      </c>
      <c r="J228" s="62"/>
      <c r="K228" s="62"/>
      <c r="L228" s="63"/>
    </row>
    <row r="229" spans="1:12" ht="27.95" customHeight="1">
      <c r="A229" s="11"/>
      <c r="B229" s="1309" t="s">
        <v>287</v>
      </c>
      <c r="C229" s="1309"/>
      <c r="D229" s="1309"/>
      <c r="E229" s="1309"/>
      <c r="F229" s="1309"/>
      <c r="G229" s="1309"/>
      <c r="H229" s="1309"/>
      <c r="I229" s="1309"/>
      <c r="J229" s="1309"/>
      <c r="K229" s="1309"/>
      <c r="L229" s="1310"/>
    </row>
    <row r="230" spans="1:12" ht="27.95" customHeight="1">
      <c r="A230" s="11"/>
      <c r="B230" s="202"/>
      <c r="C230" s="202"/>
      <c r="D230" s="210" t="s">
        <v>234</v>
      </c>
      <c r="E230" s="202"/>
      <c r="F230" s="202"/>
      <c r="G230" s="202"/>
      <c r="H230" s="202"/>
      <c r="I230" s="204" t="s">
        <v>288</v>
      </c>
      <c r="J230" s="205"/>
      <c r="K230" s="286" t="e">
        <f>'4-22MASTER'!#REF!</f>
        <v>#REF!</v>
      </c>
      <c r="L230" s="235"/>
    </row>
    <row r="231" spans="1:12" ht="27.95" customHeight="1">
      <c r="A231" s="11"/>
      <c r="B231" s="1"/>
      <c r="C231" s="1" t="s">
        <v>235</v>
      </c>
      <c r="E231" s="1"/>
      <c r="F231" s="1"/>
      <c r="G231" s="1"/>
      <c r="H231" s="1"/>
      <c r="I231" s="203" t="s">
        <v>289</v>
      </c>
      <c r="J231" s="224" t="str">
        <f>'4-22MASTER'!G5</f>
        <v>Burgeon IT Services Pvt.Ltd.</v>
      </c>
      <c r="K231" s="206"/>
      <c r="L231" s="236"/>
    </row>
    <row r="232" spans="1:12" ht="27.95" customHeight="1">
      <c r="A232" s="11"/>
      <c r="B232" s="211"/>
      <c r="C232" s="180" t="s">
        <v>236</v>
      </c>
      <c r="E232" s="211"/>
      <c r="F232" s="211"/>
      <c r="H232" s="181"/>
      <c r="I232" s="227" t="str">
        <f>'4-22MASTER'!G6</f>
        <v>Siri Mansion LIGB 436 Dr.A S Rao Nagar,Hyderabad</v>
      </c>
      <c r="J232" s="225"/>
      <c r="K232" s="226"/>
      <c r="L232" s="190"/>
    </row>
    <row r="233" spans="1:12">
      <c r="A233" s="11"/>
      <c r="L233" s="12"/>
    </row>
    <row r="234" spans="1:12" ht="19.5" customHeight="1">
      <c r="A234" s="11">
        <v>1</v>
      </c>
      <c r="B234" s="207" t="s">
        <v>237</v>
      </c>
      <c r="C234" s="53"/>
      <c r="D234" s="53"/>
      <c r="E234" s="53"/>
      <c r="F234" s="53"/>
      <c r="G234" s="54"/>
      <c r="H234" s="1261" t="e">
        <f>'4-22MASTER'!#REF!</f>
        <v>#REF!</v>
      </c>
      <c r="I234" s="1287"/>
      <c r="J234" s="1287"/>
      <c r="K234" s="1287"/>
      <c r="L234" s="1288"/>
    </row>
    <row r="235" spans="1:12">
      <c r="A235" s="11">
        <v>2</v>
      </c>
      <c r="B235" s="1311" t="s">
        <v>238</v>
      </c>
      <c r="C235" s="1312"/>
      <c r="D235" s="1312"/>
      <c r="E235" s="1312"/>
      <c r="F235" s="208" t="s">
        <v>239</v>
      </c>
      <c r="G235" s="192"/>
      <c r="H235" s="1313" t="e">
        <f>'4-22MASTER'!#REF!</f>
        <v>#REF!</v>
      </c>
      <c r="I235" s="1314"/>
      <c r="J235" s="1314"/>
      <c r="K235" s="1314"/>
      <c r="L235" s="1315"/>
    </row>
    <row r="236" spans="1:12" ht="12" customHeight="1">
      <c r="A236" s="11"/>
      <c r="B236" s="193" t="s">
        <v>240</v>
      </c>
      <c r="C236" s="194"/>
      <c r="D236" s="194"/>
      <c r="E236" s="194"/>
      <c r="F236" s="194" t="s">
        <v>233</v>
      </c>
      <c r="G236" s="195"/>
      <c r="H236" s="1316"/>
      <c r="I236" s="1317"/>
      <c r="J236" s="1317"/>
      <c r="K236" s="1317"/>
      <c r="L236" s="1318"/>
    </row>
    <row r="237" spans="1:12">
      <c r="A237" s="11">
        <v>3</v>
      </c>
      <c r="B237" s="209" t="s">
        <v>241</v>
      </c>
      <c r="C237" s="199"/>
      <c r="D237" s="199"/>
      <c r="E237" s="199"/>
      <c r="F237" s="199"/>
      <c r="G237" s="200"/>
      <c r="H237" s="1291" t="e">
        <f>'4-22MASTER'!#REF!</f>
        <v>#REF!</v>
      </c>
      <c r="I237" s="1292"/>
      <c r="J237" s="1292"/>
      <c r="K237" s="1292"/>
      <c r="L237" s="1293"/>
    </row>
    <row r="238" spans="1:12">
      <c r="A238" s="11">
        <v>4</v>
      </c>
      <c r="B238" s="185" t="s">
        <v>242</v>
      </c>
      <c r="C238" s="53"/>
      <c r="D238" s="53"/>
      <c r="E238" s="53"/>
      <c r="F238" s="53"/>
      <c r="G238" s="54"/>
      <c r="H238" s="1253" t="e">
        <f>'4-22MASTER'!#REF!</f>
        <v>#REF!</v>
      </c>
      <c r="I238" s="1279"/>
      <c r="J238" s="1279"/>
      <c r="K238" s="1279"/>
      <c r="L238" s="1272"/>
    </row>
    <row r="239" spans="1:12">
      <c r="A239" s="11">
        <v>5</v>
      </c>
      <c r="B239" s="1294" t="s">
        <v>290</v>
      </c>
      <c r="C239" s="1295"/>
      <c r="D239" s="1295"/>
      <c r="E239" s="1295"/>
      <c r="F239" s="1295"/>
      <c r="G239" s="54"/>
      <c r="H239" s="1286" t="s">
        <v>369</v>
      </c>
      <c r="I239" s="1287"/>
      <c r="J239" s="1287"/>
      <c r="K239" s="1287"/>
      <c r="L239" s="1288"/>
    </row>
    <row r="240" spans="1:12">
      <c r="A240" s="11">
        <v>6</v>
      </c>
      <c r="B240" s="198" t="s">
        <v>243</v>
      </c>
      <c r="C240" s="199" t="s">
        <v>244</v>
      </c>
      <c r="D240" s="199"/>
      <c r="E240" s="199"/>
      <c r="F240" s="199"/>
      <c r="G240" s="200"/>
      <c r="H240" s="209"/>
      <c r="I240" s="199"/>
      <c r="J240" s="199"/>
      <c r="K240" s="199"/>
      <c r="L240" s="237"/>
    </row>
    <row r="241" spans="1:12">
      <c r="A241" s="11"/>
      <c r="B241" s="198" t="s">
        <v>245</v>
      </c>
      <c r="C241" s="199" t="s">
        <v>246</v>
      </c>
      <c r="D241" s="199"/>
      <c r="E241" s="199"/>
      <c r="F241" s="199"/>
      <c r="G241" s="200"/>
      <c r="H241" s="209"/>
      <c r="I241" s="191"/>
      <c r="J241" s="191"/>
      <c r="K241" s="199"/>
      <c r="L241" s="237"/>
    </row>
    <row r="242" spans="1:12">
      <c r="A242" s="11">
        <v>7</v>
      </c>
      <c r="B242" s="1291" t="s">
        <v>247</v>
      </c>
      <c r="C242" s="1292"/>
      <c r="D242" s="1292"/>
      <c r="E242" s="1292"/>
      <c r="F242" s="1292"/>
      <c r="G242" s="1299"/>
      <c r="H242" s="213" t="s">
        <v>248</v>
      </c>
      <c r="I242" s="214"/>
      <c r="J242" s="215"/>
      <c r="K242" s="213" t="s">
        <v>249</v>
      </c>
      <c r="L242" s="238"/>
    </row>
    <row r="243" spans="1:12">
      <c r="A243" s="11">
        <v>8</v>
      </c>
      <c r="B243" s="1291" t="s">
        <v>291</v>
      </c>
      <c r="C243" s="1292"/>
      <c r="D243" s="1292"/>
      <c r="E243" s="1292"/>
      <c r="F243" s="1292"/>
      <c r="G243" s="1299"/>
      <c r="H243" s="213" t="s">
        <v>248</v>
      </c>
      <c r="I243" s="214"/>
      <c r="J243" s="215"/>
      <c r="K243" s="213" t="s">
        <v>249</v>
      </c>
      <c r="L243" s="238"/>
    </row>
    <row r="244" spans="1:12">
      <c r="A244" s="11"/>
      <c r="B244" s="185"/>
      <c r="C244" s="217"/>
      <c r="D244" s="217"/>
      <c r="E244" s="217"/>
      <c r="F244" s="217" t="s">
        <v>250</v>
      </c>
      <c r="G244" s="217"/>
      <c r="H244" s="217"/>
      <c r="I244" s="217"/>
      <c r="J244" s="217"/>
      <c r="K244" s="217"/>
      <c r="L244" s="239"/>
    </row>
    <row r="245" spans="1:12">
      <c r="A245" s="11">
        <v>9</v>
      </c>
      <c r="B245" s="198" t="s">
        <v>251</v>
      </c>
      <c r="C245" s="199" t="s">
        <v>252</v>
      </c>
      <c r="D245" s="199"/>
      <c r="E245" s="199"/>
      <c r="F245" s="199"/>
      <c r="G245" s="200"/>
      <c r="H245" s="209"/>
      <c r="I245" s="199"/>
      <c r="J245" s="199"/>
      <c r="K245" s="199"/>
      <c r="L245" s="237"/>
    </row>
    <row r="246" spans="1:12">
      <c r="A246" s="72"/>
      <c r="B246" s="198" t="s">
        <v>253</v>
      </c>
      <c r="C246" s="199" t="s">
        <v>254</v>
      </c>
      <c r="D246" s="199"/>
      <c r="E246" s="199"/>
      <c r="F246" s="199"/>
      <c r="G246" s="200"/>
      <c r="H246" s="209"/>
      <c r="I246" s="199"/>
      <c r="J246" s="199"/>
      <c r="K246" s="199"/>
      <c r="L246" s="237"/>
    </row>
    <row r="247" spans="1:12">
      <c r="A247" s="72"/>
      <c r="B247" s="198" t="s">
        <v>292</v>
      </c>
      <c r="C247" s="199" t="s">
        <v>293</v>
      </c>
      <c r="D247" s="199"/>
      <c r="E247" s="199"/>
      <c r="F247" s="199"/>
      <c r="G247" s="200"/>
      <c r="H247" s="209"/>
      <c r="I247" s="199"/>
      <c r="J247" s="199"/>
      <c r="K247" s="199"/>
      <c r="L247" s="237"/>
    </row>
    <row r="248" spans="1:12">
      <c r="A248" s="72"/>
      <c r="B248" s="198" t="s">
        <v>256</v>
      </c>
      <c r="C248" s="199" t="s">
        <v>257</v>
      </c>
      <c r="D248" s="199"/>
      <c r="E248" s="199"/>
      <c r="F248" s="199"/>
      <c r="G248" s="200"/>
      <c r="H248" s="209"/>
      <c r="I248" s="199"/>
      <c r="J248" s="199"/>
      <c r="K248" s="199"/>
      <c r="L248" s="237"/>
    </row>
    <row r="249" spans="1:12">
      <c r="A249" s="72"/>
      <c r="B249" s="198" t="s">
        <v>258</v>
      </c>
      <c r="C249" s="199" t="s">
        <v>259</v>
      </c>
      <c r="D249" s="199"/>
      <c r="E249" s="199"/>
      <c r="F249" s="199"/>
      <c r="G249" s="200"/>
      <c r="H249" s="209"/>
      <c r="I249" s="199"/>
      <c r="J249" s="199"/>
      <c r="K249" s="199"/>
      <c r="L249" s="237"/>
    </row>
    <row r="250" spans="1:12">
      <c r="A250" s="72">
        <v>10</v>
      </c>
      <c r="B250" s="198" t="s">
        <v>251</v>
      </c>
      <c r="C250" s="199" t="s">
        <v>294</v>
      </c>
      <c r="D250" s="199"/>
      <c r="E250" s="199"/>
      <c r="F250" s="199"/>
      <c r="G250" s="200"/>
      <c r="H250" s="213" t="s">
        <v>248</v>
      </c>
      <c r="I250" s="214"/>
      <c r="J250" s="215"/>
      <c r="K250" s="213" t="s">
        <v>249</v>
      </c>
      <c r="L250" s="238"/>
    </row>
    <row r="251" spans="1:12">
      <c r="A251" s="72"/>
      <c r="B251" s="198" t="s">
        <v>253</v>
      </c>
      <c r="C251" s="199" t="s">
        <v>295</v>
      </c>
      <c r="D251" s="199"/>
      <c r="E251" s="199"/>
      <c r="F251" s="199"/>
      <c r="G251" s="200"/>
      <c r="H251" s="209"/>
      <c r="I251" s="199"/>
      <c r="J251" s="199"/>
      <c r="K251" s="199"/>
      <c r="L251" s="237"/>
    </row>
    <row r="252" spans="1:12">
      <c r="A252" s="72"/>
      <c r="B252" s="198" t="s">
        <v>292</v>
      </c>
      <c r="C252" s="199" t="s">
        <v>260</v>
      </c>
      <c r="D252" s="199"/>
      <c r="E252" s="199"/>
      <c r="F252" s="199"/>
      <c r="G252" s="200"/>
      <c r="H252" s="209"/>
      <c r="I252" s="199"/>
      <c r="J252" s="199"/>
      <c r="K252" s="199"/>
      <c r="L252" s="237"/>
    </row>
    <row r="253" spans="1:12">
      <c r="A253" s="72"/>
      <c r="B253" s="198" t="s">
        <v>256</v>
      </c>
      <c r="C253" s="199" t="s">
        <v>296</v>
      </c>
      <c r="D253" s="199"/>
      <c r="E253" s="199"/>
      <c r="F253" s="199"/>
      <c r="G253" s="200"/>
      <c r="H253" s="209"/>
      <c r="I253" s="199"/>
      <c r="J253" s="199"/>
      <c r="K253" s="199"/>
      <c r="L253" s="237"/>
    </row>
    <row r="254" spans="1:12">
      <c r="A254" s="11"/>
      <c r="B254" s="185"/>
      <c r="C254" s="217"/>
      <c r="D254" s="217"/>
      <c r="E254" s="217" t="s">
        <v>297</v>
      </c>
      <c r="F254" s="217"/>
      <c r="G254" s="217"/>
      <c r="H254" s="217"/>
      <c r="I254" s="217"/>
      <c r="J254" s="217"/>
      <c r="K254" s="217"/>
      <c r="L254" s="239"/>
    </row>
    <row r="255" spans="1:12">
      <c r="A255" s="11">
        <v>11</v>
      </c>
      <c r="B255" s="198" t="s">
        <v>251</v>
      </c>
      <c r="C255" s="199" t="s">
        <v>261</v>
      </c>
      <c r="D255" s="199"/>
      <c r="E255" s="199"/>
      <c r="F255" s="199"/>
      <c r="G255" s="200"/>
      <c r="H255" s="209"/>
      <c r="I255" s="199"/>
      <c r="J255" s="199"/>
      <c r="K255" s="199"/>
      <c r="L255" s="237"/>
    </row>
    <row r="256" spans="1:12">
      <c r="A256" s="11"/>
      <c r="B256" s="198" t="s">
        <v>253</v>
      </c>
      <c r="C256" s="199" t="s">
        <v>262</v>
      </c>
      <c r="D256" s="199"/>
      <c r="E256" s="199"/>
      <c r="F256" s="199"/>
      <c r="G256" s="200"/>
      <c r="H256" s="209"/>
      <c r="I256" s="199"/>
      <c r="J256" s="199"/>
      <c r="K256" s="199"/>
      <c r="L256" s="237"/>
    </row>
    <row r="257" spans="1:12">
      <c r="A257" s="11"/>
      <c r="B257" s="198" t="s">
        <v>255</v>
      </c>
      <c r="C257" s="199" t="s">
        <v>263</v>
      </c>
      <c r="D257" s="199"/>
      <c r="E257" s="199"/>
      <c r="F257" s="199"/>
      <c r="G257" s="200"/>
      <c r="H257" s="209"/>
      <c r="I257" s="199"/>
      <c r="J257" s="199"/>
      <c r="K257" s="199"/>
      <c r="L257" s="237"/>
    </row>
    <row r="258" spans="1:12">
      <c r="A258" s="11"/>
      <c r="B258" s="173"/>
      <c r="C258" s="169"/>
      <c r="D258" s="169"/>
      <c r="E258" s="169"/>
      <c r="F258" s="218" t="s">
        <v>264</v>
      </c>
      <c r="G258" s="169"/>
      <c r="H258" s="158"/>
      <c r="I258" s="158"/>
      <c r="J258" s="158"/>
      <c r="K258" s="158"/>
      <c r="L258" s="176"/>
    </row>
    <row r="259" spans="1:12">
      <c r="A259" s="11"/>
      <c r="B259" s="230" t="s">
        <v>265</v>
      </c>
      <c r="C259" s="229" t="s">
        <v>266</v>
      </c>
      <c r="D259" s="169"/>
      <c r="E259" s="169"/>
      <c r="F259" s="169"/>
      <c r="G259" s="169"/>
      <c r="H259" s="158"/>
      <c r="I259" s="158"/>
      <c r="J259" s="159"/>
      <c r="K259" s="158"/>
      <c r="L259" s="176"/>
    </row>
    <row r="260" spans="1:12">
      <c r="A260" s="11"/>
      <c r="B260" s="230" t="s">
        <v>267</v>
      </c>
      <c r="C260" s="228" t="s">
        <v>268</v>
      </c>
      <c r="D260" s="158"/>
      <c r="E260" s="159"/>
      <c r="G260" s="1300"/>
      <c r="H260" s="1300"/>
      <c r="I260" s="174"/>
      <c r="J260" s="175"/>
      <c r="K260" s="1300"/>
      <c r="L260" s="1301"/>
    </row>
    <row r="261" spans="1:12">
      <c r="A261" s="11"/>
      <c r="B261" s="231" t="s">
        <v>269</v>
      </c>
      <c r="C261" s="1302" t="s">
        <v>298</v>
      </c>
      <c r="D261" s="1302"/>
      <c r="E261" s="1302"/>
      <c r="F261" s="1302"/>
      <c r="G261" s="1302"/>
      <c r="H261" s="1302"/>
      <c r="I261" s="1302"/>
      <c r="J261" s="1302"/>
      <c r="K261" s="1302"/>
      <c r="L261" s="1303"/>
    </row>
    <row r="262" spans="1:12">
      <c r="A262" s="11"/>
      <c r="B262" s="230" t="s">
        <v>270</v>
      </c>
      <c r="C262" s="229" t="s">
        <v>271</v>
      </c>
      <c r="D262" s="221"/>
      <c r="E262" s="221"/>
      <c r="F262" s="221"/>
      <c r="G262" s="221"/>
      <c r="H262" s="221"/>
      <c r="I262" s="221"/>
      <c r="J262" s="221"/>
      <c r="K262" s="221"/>
      <c r="L262" s="240"/>
    </row>
    <row r="263" spans="1:12">
      <c r="A263" s="11"/>
      <c r="B263" s="173"/>
      <c r="C263" t="s">
        <v>299</v>
      </c>
      <c r="D263" s="287" t="e">
        <f>'4-22MASTER'!#REF!</f>
        <v>#REF!</v>
      </c>
      <c r="E263" s="2"/>
      <c r="F263" s="2"/>
      <c r="G263" s="2"/>
      <c r="L263" s="12"/>
    </row>
    <row r="264" spans="1:12">
      <c r="A264" s="11"/>
      <c r="C264" t="s">
        <v>272</v>
      </c>
      <c r="D264" t="s">
        <v>361</v>
      </c>
      <c r="J264" t="s">
        <v>300</v>
      </c>
      <c r="L264" s="12"/>
    </row>
    <row r="265" spans="1:12">
      <c r="A265" s="11"/>
      <c r="L265" s="12"/>
    </row>
    <row r="266" spans="1:12">
      <c r="A266" s="11"/>
      <c r="F266" s="219" t="s">
        <v>273</v>
      </c>
      <c r="L266" s="12"/>
    </row>
    <row r="267" spans="1:12">
      <c r="A267" s="11" t="s">
        <v>301</v>
      </c>
      <c r="B267" t="s">
        <v>274</v>
      </c>
      <c r="E267" s="222" t="e">
        <f>'4-22MASTER'!#REF!</f>
        <v>#REF!</v>
      </c>
      <c r="H267" s="1304" t="s">
        <v>275</v>
      </c>
      <c r="I267" s="1304"/>
      <c r="J267" s="223" t="e">
        <f>'4-22MASTER'!#REF!</f>
        <v>#REF!</v>
      </c>
      <c r="K267" t="s">
        <v>276</v>
      </c>
      <c r="L267" s="12"/>
    </row>
    <row r="268" spans="1:12" ht="24" customHeight="1">
      <c r="A268" s="11"/>
      <c r="B268" s="1305" t="e">
        <f>'4-22MASTER'!#REF!</f>
        <v>#REF!</v>
      </c>
      <c r="C268" s="1306"/>
      <c r="D268" s="220"/>
      <c r="E268" s="220"/>
      <c r="F268" s="220"/>
      <c r="G268" s="220"/>
      <c r="H268" s="220"/>
      <c r="I268" s="220"/>
      <c r="J268" s="220"/>
      <c r="K268" s="220"/>
      <c r="L268" s="241"/>
    </row>
    <row r="269" spans="1:12" ht="24" customHeight="1">
      <c r="A269" s="11" t="s">
        <v>303</v>
      </c>
      <c r="B269" s="220" t="s">
        <v>277</v>
      </c>
      <c r="C269" s="220"/>
      <c r="D269" s="220"/>
      <c r="E269" s="220"/>
      <c r="F269" s="220"/>
      <c r="G269" s="220"/>
      <c r="H269" s="220"/>
      <c r="I269" s="220"/>
      <c r="J269" s="220"/>
      <c r="K269" s="220"/>
      <c r="L269" s="241"/>
    </row>
    <row r="270" spans="1:12" ht="23.25" customHeight="1">
      <c r="A270" s="11"/>
      <c r="B270" s="220" t="s">
        <v>302</v>
      </c>
      <c r="C270" s="220"/>
      <c r="D270" s="220"/>
      <c r="E270" s="220"/>
      <c r="F270" s="220"/>
      <c r="G270" s="220"/>
      <c r="H270" s="220"/>
      <c r="I270" s="220"/>
      <c r="J270" s="220"/>
      <c r="K270" s="220"/>
      <c r="L270" s="241"/>
    </row>
    <row r="271" spans="1:12" ht="21.75" customHeight="1">
      <c r="A271" s="11"/>
      <c r="B271" t="s">
        <v>278</v>
      </c>
      <c r="L271" s="12"/>
    </row>
    <row r="272" spans="1:12" ht="27.95" customHeight="1">
      <c r="A272" s="11"/>
      <c r="B272" s="2" t="s">
        <v>279</v>
      </c>
      <c r="F272" s="172"/>
      <c r="L272" s="12"/>
    </row>
    <row r="273" spans="1:12" ht="21" customHeight="1">
      <c r="A273" s="11"/>
      <c r="B273" s="2" t="s">
        <v>280</v>
      </c>
      <c r="L273" s="12"/>
    </row>
    <row r="274" spans="1:12" ht="27.95" customHeight="1">
      <c r="A274" s="11"/>
      <c r="B274" t="s">
        <v>281</v>
      </c>
      <c r="L274" s="12"/>
    </row>
    <row r="275" spans="1:12" ht="27.95" customHeight="1">
      <c r="A275" s="11"/>
      <c r="B275" t="s">
        <v>282</v>
      </c>
      <c r="L275" s="12"/>
    </row>
    <row r="276" spans="1:12" ht="27.95" customHeight="1">
      <c r="A276" s="11" t="s">
        <v>292</v>
      </c>
      <c r="B276" t="s">
        <v>283</v>
      </c>
      <c r="L276" s="12"/>
    </row>
    <row r="277" spans="1:12" ht="27.95" customHeight="1">
      <c r="A277" s="11"/>
      <c r="B277" s="232" t="s">
        <v>304</v>
      </c>
      <c r="L277" s="12"/>
    </row>
    <row r="278" spans="1:12" ht="27.95" customHeight="1">
      <c r="A278" s="11"/>
      <c r="B278" t="s">
        <v>278</v>
      </c>
      <c r="L278" s="12"/>
    </row>
    <row r="279" spans="1:12" ht="19.5" customHeight="1">
      <c r="A279" s="11"/>
      <c r="B279" t="s">
        <v>284</v>
      </c>
      <c r="L279" s="12"/>
    </row>
    <row r="280" spans="1:12" ht="21.75" customHeight="1">
      <c r="A280" s="11"/>
      <c r="B280" t="s">
        <v>285</v>
      </c>
      <c r="L280" s="12"/>
    </row>
    <row r="281" spans="1:12" ht="18.75" customHeight="1">
      <c r="A281" s="11"/>
      <c r="B281" s="1307" t="s">
        <v>286</v>
      </c>
      <c r="C281" s="1307"/>
      <c r="D281" s="1307"/>
      <c r="E281" s="1307"/>
      <c r="F281" s="1307"/>
      <c r="G281" s="1307"/>
      <c r="H281" s="1307"/>
      <c r="I281" s="1307"/>
      <c r="J281" s="1307"/>
      <c r="K281" s="1307"/>
      <c r="L281" s="1308"/>
    </row>
    <row r="282" spans="1:12" ht="27.95" customHeight="1">
      <c r="A282" s="11"/>
      <c r="B282" t="s">
        <v>198</v>
      </c>
      <c r="C282" s="282" t="e">
        <f>'4-22MASTER'!#REF!</f>
        <v>#REF!</v>
      </c>
      <c r="D282" s="202"/>
      <c r="E282" s="202"/>
      <c r="F282" s="202"/>
      <c r="G282" s="202"/>
      <c r="H282" s="202"/>
      <c r="I282" t="s">
        <v>305</v>
      </c>
      <c r="J282" s="202"/>
      <c r="K282" s="202"/>
      <c r="L282" s="233"/>
    </row>
    <row r="283" spans="1:12" ht="27.95" customHeight="1" thickBot="1">
      <c r="A283" s="16"/>
      <c r="B283" s="1131"/>
      <c r="C283" s="1131"/>
      <c r="D283" s="1131"/>
      <c r="E283" s="1131"/>
      <c r="F283" s="1131"/>
      <c r="G283" s="1131"/>
      <c r="H283" s="1131"/>
      <c r="I283" s="1131"/>
      <c r="J283" s="1131"/>
      <c r="K283" s="1131"/>
      <c r="L283" s="1132"/>
    </row>
    <row r="284" spans="1:12" ht="27.95" customHeight="1">
      <c r="A284" s="61"/>
      <c r="B284" s="62"/>
      <c r="C284" s="62"/>
      <c r="D284" s="62"/>
      <c r="E284" s="62"/>
      <c r="F284" s="62"/>
      <c r="G284" s="62"/>
      <c r="H284" s="62"/>
      <c r="I284" s="66" t="s">
        <v>232</v>
      </c>
      <c r="J284" s="62"/>
      <c r="K284" s="62"/>
      <c r="L284" s="63"/>
    </row>
    <row r="285" spans="1:12" ht="27.95" customHeight="1">
      <c r="A285" s="11"/>
      <c r="B285" s="1309" t="s">
        <v>287</v>
      </c>
      <c r="C285" s="1309"/>
      <c r="D285" s="1309"/>
      <c r="E285" s="1309"/>
      <c r="F285" s="1309"/>
      <c r="G285" s="1309"/>
      <c r="H285" s="1309"/>
      <c r="I285" s="1309"/>
      <c r="J285" s="1309"/>
      <c r="K285" s="1309"/>
      <c r="L285" s="1310"/>
    </row>
    <row r="286" spans="1:12" ht="23.25">
      <c r="A286" s="11"/>
      <c r="B286" s="202"/>
      <c r="C286" s="202"/>
      <c r="D286" s="210" t="s">
        <v>234</v>
      </c>
      <c r="E286" s="202"/>
      <c r="F286" s="202"/>
      <c r="G286" s="202"/>
      <c r="H286" s="202"/>
      <c r="I286" s="204" t="s">
        <v>288</v>
      </c>
      <c r="J286" s="205"/>
      <c r="K286" s="286" t="e">
        <f>'4-22MASTER'!#REF!</f>
        <v>#REF!</v>
      </c>
      <c r="L286" s="235"/>
    </row>
    <row r="287" spans="1:12" ht="15.75">
      <c r="A287" s="11"/>
      <c r="B287" s="1"/>
      <c r="C287" s="1" t="s">
        <v>235</v>
      </c>
      <c r="E287" s="1"/>
      <c r="F287" s="1"/>
      <c r="G287" s="1"/>
      <c r="H287" s="1"/>
      <c r="I287" s="203" t="s">
        <v>289</v>
      </c>
      <c r="J287" s="224" t="str">
        <f>'4-22MASTER'!G5</f>
        <v>Burgeon IT Services Pvt.Ltd.</v>
      </c>
      <c r="K287" s="206"/>
      <c r="L287" s="236"/>
    </row>
    <row r="288" spans="1:12">
      <c r="A288" s="11"/>
      <c r="B288" s="211"/>
      <c r="C288" s="180" t="s">
        <v>236</v>
      </c>
      <c r="E288" s="211"/>
      <c r="F288" s="211"/>
      <c r="H288" s="181"/>
      <c r="I288" s="227" t="str">
        <f>'4-22MASTER'!G6</f>
        <v>Siri Mansion LIGB 436 Dr.A S Rao Nagar,Hyderabad</v>
      </c>
      <c r="J288" s="225"/>
      <c r="K288" s="226"/>
      <c r="L288" s="190"/>
    </row>
    <row r="289" spans="1:12">
      <c r="A289" s="11"/>
      <c r="L289" s="12"/>
    </row>
    <row r="290" spans="1:12">
      <c r="A290" s="11">
        <v>1</v>
      </c>
      <c r="B290" s="207" t="s">
        <v>237</v>
      </c>
      <c r="C290" s="53"/>
      <c r="D290" s="53"/>
      <c r="E290" s="53"/>
      <c r="F290" s="53"/>
      <c r="G290" s="54"/>
      <c r="H290" s="1261" t="e">
        <f>'4-22MASTER'!#REF!</f>
        <v>#REF!</v>
      </c>
      <c r="I290" s="1287"/>
      <c r="J290" s="1287"/>
      <c r="K290" s="1287"/>
      <c r="L290" s="1288"/>
    </row>
    <row r="291" spans="1:12">
      <c r="A291" s="11">
        <v>2</v>
      </c>
      <c r="B291" s="1311" t="s">
        <v>238</v>
      </c>
      <c r="C291" s="1312"/>
      <c r="D291" s="1312"/>
      <c r="E291" s="1312"/>
      <c r="F291" s="208" t="s">
        <v>239</v>
      </c>
      <c r="G291" s="192"/>
      <c r="H291" s="1313" t="e">
        <f>'4-22MASTER'!#REF!</f>
        <v>#REF!</v>
      </c>
      <c r="I291" s="1314"/>
      <c r="J291" s="1314"/>
      <c r="K291" s="1314"/>
      <c r="L291" s="1315"/>
    </row>
    <row r="292" spans="1:12">
      <c r="A292" s="11"/>
      <c r="B292" s="193" t="s">
        <v>240</v>
      </c>
      <c r="C292" s="194"/>
      <c r="D292" s="194"/>
      <c r="E292" s="194"/>
      <c r="F292" s="194" t="s">
        <v>233</v>
      </c>
      <c r="G292" s="195"/>
      <c r="H292" s="1316"/>
      <c r="I292" s="1317"/>
      <c r="J292" s="1317"/>
      <c r="K292" s="1317"/>
      <c r="L292" s="1318"/>
    </row>
    <row r="293" spans="1:12">
      <c r="A293" s="11">
        <v>3</v>
      </c>
      <c r="B293" s="209" t="s">
        <v>241</v>
      </c>
      <c r="C293" s="199"/>
      <c r="D293" s="199"/>
      <c r="E293" s="199"/>
      <c r="F293" s="199"/>
      <c r="G293" s="200"/>
      <c r="H293" s="1291" t="e">
        <f>'4-22MASTER'!#REF!</f>
        <v>#REF!</v>
      </c>
      <c r="I293" s="1292"/>
      <c r="J293" s="1292"/>
      <c r="K293" s="1292"/>
      <c r="L293" s="1293"/>
    </row>
    <row r="294" spans="1:12">
      <c r="A294" s="11">
        <v>4</v>
      </c>
      <c r="B294" s="185" t="s">
        <v>242</v>
      </c>
      <c r="C294" s="53"/>
      <c r="D294" s="53"/>
      <c r="E294" s="53"/>
      <c r="F294" s="53"/>
      <c r="G294" s="54"/>
      <c r="H294" s="1253" t="e">
        <f>'4-22MASTER'!#REF!</f>
        <v>#REF!</v>
      </c>
      <c r="I294" s="1279"/>
      <c r="J294" s="1279"/>
      <c r="K294" s="1279"/>
      <c r="L294" s="1272"/>
    </row>
    <row r="295" spans="1:12">
      <c r="A295" s="11">
        <v>5</v>
      </c>
      <c r="B295" s="1294" t="s">
        <v>290</v>
      </c>
      <c r="C295" s="1295"/>
      <c r="D295" s="1295"/>
      <c r="E295" s="1295"/>
      <c r="F295" s="1295"/>
      <c r="G295" s="54"/>
      <c r="H295" s="1286" t="s">
        <v>369</v>
      </c>
      <c r="I295" s="1287"/>
      <c r="J295" s="1287"/>
      <c r="K295" s="1287"/>
      <c r="L295" s="1288"/>
    </row>
    <row r="296" spans="1:12">
      <c r="A296" s="11">
        <v>6</v>
      </c>
      <c r="B296" s="198" t="s">
        <v>243</v>
      </c>
      <c r="C296" s="199" t="s">
        <v>244</v>
      </c>
      <c r="D296" s="199"/>
      <c r="E296" s="199"/>
      <c r="F296" s="199"/>
      <c r="G296" s="200"/>
      <c r="H296" s="209"/>
      <c r="I296" s="199"/>
      <c r="J296" s="199"/>
      <c r="K296" s="199"/>
      <c r="L296" s="237"/>
    </row>
    <row r="297" spans="1:12">
      <c r="A297" s="11"/>
      <c r="B297" s="198" t="s">
        <v>245</v>
      </c>
      <c r="C297" s="199" t="s">
        <v>246</v>
      </c>
      <c r="D297" s="199"/>
      <c r="E297" s="199"/>
      <c r="F297" s="199"/>
      <c r="G297" s="200"/>
      <c r="H297" s="209"/>
      <c r="I297" s="191"/>
      <c r="J297" s="191"/>
      <c r="K297" s="199"/>
      <c r="L297" s="237"/>
    </row>
    <row r="298" spans="1:12">
      <c r="A298" s="11">
        <v>7</v>
      </c>
      <c r="B298" s="1291" t="s">
        <v>247</v>
      </c>
      <c r="C298" s="1292"/>
      <c r="D298" s="1292"/>
      <c r="E298" s="1292"/>
      <c r="F298" s="1292"/>
      <c r="G298" s="1299"/>
      <c r="H298" s="213" t="s">
        <v>248</v>
      </c>
      <c r="I298" s="214"/>
      <c r="J298" s="215"/>
      <c r="K298" s="213" t="s">
        <v>249</v>
      </c>
      <c r="L298" s="238"/>
    </row>
    <row r="299" spans="1:12">
      <c r="A299" s="11">
        <v>8</v>
      </c>
      <c r="B299" s="1291" t="s">
        <v>291</v>
      </c>
      <c r="C299" s="1292"/>
      <c r="D299" s="1292"/>
      <c r="E299" s="1292"/>
      <c r="F299" s="1292"/>
      <c r="G299" s="1299"/>
      <c r="H299" s="213" t="s">
        <v>248</v>
      </c>
      <c r="I299" s="214"/>
      <c r="J299" s="215"/>
      <c r="K299" s="213" t="s">
        <v>249</v>
      </c>
      <c r="L299" s="238"/>
    </row>
    <row r="300" spans="1:12">
      <c r="A300" s="11"/>
      <c r="B300" s="185"/>
      <c r="C300" s="217"/>
      <c r="D300" s="217"/>
      <c r="E300" s="217"/>
      <c r="F300" s="217" t="s">
        <v>250</v>
      </c>
      <c r="G300" s="217"/>
      <c r="H300" s="217"/>
      <c r="I300" s="217"/>
      <c r="J300" s="217"/>
      <c r="K300" s="217"/>
      <c r="L300" s="239"/>
    </row>
    <row r="301" spans="1:12">
      <c r="A301" s="11">
        <v>9</v>
      </c>
      <c r="B301" s="198" t="s">
        <v>251</v>
      </c>
      <c r="C301" s="199" t="s">
        <v>252</v>
      </c>
      <c r="D301" s="199"/>
      <c r="E301" s="199"/>
      <c r="F301" s="199"/>
      <c r="G301" s="200"/>
      <c r="H301" s="209"/>
      <c r="I301" s="199"/>
      <c r="J301" s="199"/>
      <c r="K301" s="199"/>
      <c r="L301" s="237"/>
    </row>
    <row r="302" spans="1:12">
      <c r="A302" s="72"/>
      <c r="B302" s="198" t="s">
        <v>253</v>
      </c>
      <c r="C302" s="199" t="s">
        <v>254</v>
      </c>
      <c r="D302" s="199"/>
      <c r="E302" s="199"/>
      <c r="F302" s="199"/>
      <c r="G302" s="200"/>
      <c r="H302" s="209"/>
      <c r="I302" s="199"/>
      <c r="J302" s="199"/>
      <c r="K302" s="199"/>
      <c r="L302" s="237"/>
    </row>
    <row r="303" spans="1:12">
      <c r="A303" s="72"/>
      <c r="B303" s="198" t="s">
        <v>292</v>
      </c>
      <c r="C303" s="199" t="s">
        <v>293</v>
      </c>
      <c r="D303" s="199"/>
      <c r="E303" s="199"/>
      <c r="F303" s="199"/>
      <c r="G303" s="200"/>
      <c r="H303" s="209"/>
      <c r="I303" s="199"/>
      <c r="J303" s="199"/>
      <c r="K303" s="199"/>
      <c r="L303" s="237"/>
    </row>
    <row r="304" spans="1:12">
      <c r="A304" s="72"/>
      <c r="B304" s="198" t="s">
        <v>256</v>
      </c>
      <c r="C304" s="199" t="s">
        <v>257</v>
      </c>
      <c r="D304" s="199"/>
      <c r="E304" s="199"/>
      <c r="F304" s="199"/>
      <c r="G304" s="200"/>
      <c r="H304" s="209"/>
      <c r="I304" s="199"/>
      <c r="J304" s="199"/>
      <c r="K304" s="199"/>
      <c r="L304" s="237"/>
    </row>
    <row r="305" spans="1:12">
      <c r="A305" s="72"/>
      <c r="B305" s="198" t="s">
        <v>258</v>
      </c>
      <c r="C305" s="199" t="s">
        <v>259</v>
      </c>
      <c r="D305" s="199"/>
      <c r="E305" s="199"/>
      <c r="F305" s="199"/>
      <c r="G305" s="200"/>
      <c r="H305" s="209"/>
      <c r="I305" s="199"/>
      <c r="J305" s="199"/>
      <c r="K305" s="199"/>
      <c r="L305" s="237"/>
    </row>
    <row r="306" spans="1:12">
      <c r="A306" s="72">
        <v>10</v>
      </c>
      <c r="B306" s="198" t="s">
        <v>251</v>
      </c>
      <c r="C306" s="199" t="s">
        <v>294</v>
      </c>
      <c r="D306" s="199"/>
      <c r="E306" s="199"/>
      <c r="F306" s="199"/>
      <c r="G306" s="200"/>
      <c r="H306" s="213" t="s">
        <v>248</v>
      </c>
      <c r="I306" s="214"/>
      <c r="J306" s="215"/>
      <c r="K306" s="213" t="s">
        <v>249</v>
      </c>
      <c r="L306" s="238"/>
    </row>
    <row r="307" spans="1:12">
      <c r="A307" s="72"/>
      <c r="B307" s="198" t="s">
        <v>253</v>
      </c>
      <c r="C307" s="199" t="s">
        <v>295</v>
      </c>
      <c r="D307" s="199"/>
      <c r="E307" s="199"/>
      <c r="F307" s="199"/>
      <c r="G307" s="200"/>
      <c r="H307" s="209"/>
      <c r="I307" s="199"/>
      <c r="J307" s="199"/>
      <c r="K307" s="199"/>
      <c r="L307" s="237"/>
    </row>
    <row r="308" spans="1:12">
      <c r="A308" s="72"/>
      <c r="B308" s="198" t="s">
        <v>292</v>
      </c>
      <c r="C308" s="199" t="s">
        <v>260</v>
      </c>
      <c r="D308" s="199"/>
      <c r="E308" s="199"/>
      <c r="F308" s="199"/>
      <c r="G308" s="200"/>
      <c r="H308" s="209"/>
      <c r="I308" s="199"/>
      <c r="J308" s="199"/>
      <c r="K308" s="199"/>
      <c r="L308" s="237"/>
    </row>
    <row r="309" spans="1:12">
      <c r="A309" s="72"/>
      <c r="B309" s="198" t="s">
        <v>256</v>
      </c>
      <c r="C309" s="199" t="s">
        <v>296</v>
      </c>
      <c r="D309" s="199"/>
      <c r="E309" s="199"/>
      <c r="F309" s="199"/>
      <c r="G309" s="200"/>
      <c r="H309" s="209"/>
      <c r="I309" s="199"/>
      <c r="J309" s="199"/>
      <c r="K309" s="199"/>
      <c r="L309" s="237"/>
    </row>
    <row r="310" spans="1:12">
      <c r="A310" s="11"/>
      <c r="B310" s="185"/>
      <c r="C310" s="217"/>
      <c r="D310" s="217"/>
      <c r="E310" s="217" t="s">
        <v>297</v>
      </c>
      <c r="F310" s="217"/>
      <c r="G310" s="217"/>
      <c r="H310" s="217"/>
      <c r="I310" s="217"/>
      <c r="J310" s="217"/>
      <c r="K310" s="217"/>
      <c r="L310" s="239"/>
    </row>
    <row r="311" spans="1:12">
      <c r="A311" s="11">
        <v>11</v>
      </c>
      <c r="B311" s="198" t="s">
        <v>251</v>
      </c>
      <c r="C311" s="199" t="s">
        <v>261</v>
      </c>
      <c r="D311" s="199"/>
      <c r="E311" s="199"/>
      <c r="F311" s="199"/>
      <c r="G311" s="200"/>
      <c r="H311" s="209"/>
      <c r="I311" s="199"/>
      <c r="J311" s="199"/>
      <c r="K311" s="199"/>
      <c r="L311" s="237"/>
    </row>
    <row r="312" spans="1:12">
      <c r="A312" s="11"/>
      <c r="B312" s="198" t="s">
        <v>253</v>
      </c>
      <c r="C312" s="199" t="s">
        <v>262</v>
      </c>
      <c r="D312" s="199"/>
      <c r="E312" s="199"/>
      <c r="F312" s="199"/>
      <c r="G312" s="200"/>
      <c r="H312" s="209"/>
      <c r="I312" s="199"/>
      <c r="J312" s="199"/>
      <c r="K312" s="199"/>
      <c r="L312" s="237"/>
    </row>
    <row r="313" spans="1:12">
      <c r="A313" s="11"/>
      <c r="B313" s="198" t="s">
        <v>255</v>
      </c>
      <c r="C313" s="199" t="s">
        <v>263</v>
      </c>
      <c r="D313" s="199"/>
      <c r="E313" s="199"/>
      <c r="F313" s="199"/>
      <c r="G313" s="200"/>
      <c r="H313" s="209"/>
      <c r="I313" s="199"/>
      <c r="J313" s="199"/>
      <c r="K313" s="199"/>
      <c r="L313" s="237"/>
    </row>
    <row r="314" spans="1:12">
      <c r="A314" s="11"/>
      <c r="B314" s="173"/>
      <c r="C314" s="169"/>
      <c r="D314" s="169"/>
      <c r="E314" s="169"/>
      <c r="F314" s="218" t="s">
        <v>264</v>
      </c>
      <c r="G314" s="169"/>
      <c r="H314" s="158"/>
      <c r="I314" s="158"/>
      <c r="J314" s="158"/>
      <c r="K314" s="158"/>
      <c r="L314" s="176"/>
    </row>
    <row r="315" spans="1:12">
      <c r="A315" s="11"/>
      <c r="B315" s="230" t="s">
        <v>265</v>
      </c>
      <c r="C315" s="229" t="s">
        <v>266</v>
      </c>
      <c r="D315" s="169"/>
      <c r="E315" s="169"/>
      <c r="F315" s="169"/>
      <c r="G315" s="169"/>
      <c r="H315" s="158"/>
      <c r="I315" s="158"/>
      <c r="J315" s="159"/>
      <c r="K315" s="158"/>
      <c r="L315" s="176"/>
    </row>
    <row r="316" spans="1:12">
      <c r="A316" s="11"/>
      <c r="B316" s="230" t="s">
        <v>267</v>
      </c>
      <c r="C316" s="228" t="s">
        <v>268</v>
      </c>
      <c r="D316" s="158"/>
      <c r="E316" s="159"/>
      <c r="G316" s="1300"/>
      <c r="H316" s="1300"/>
      <c r="I316" s="174"/>
      <c r="J316" s="175"/>
      <c r="K316" s="1300"/>
      <c r="L316" s="1301"/>
    </row>
    <row r="317" spans="1:12">
      <c r="A317" s="11"/>
      <c r="B317" s="231" t="s">
        <v>269</v>
      </c>
      <c r="C317" s="1302" t="s">
        <v>298</v>
      </c>
      <c r="D317" s="1302"/>
      <c r="E317" s="1302"/>
      <c r="F317" s="1302"/>
      <c r="G317" s="1302"/>
      <c r="H317" s="1302"/>
      <c r="I317" s="1302"/>
      <c r="J317" s="1302"/>
      <c r="K317" s="1302"/>
      <c r="L317" s="1303"/>
    </row>
    <row r="318" spans="1:12">
      <c r="A318" s="11"/>
      <c r="B318" s="230" t="s">
        <v>270</v>
      </c>
      <c r="C318" s="229" t="s">
        <v>271</v>
      </c>
      <c r="D318" s="221"/>
      <c r="E318" s="221"/>
      <c r="F318" s="221"/>
      <c r="G318" s="221"/>
      <c r="H318" s="221"/>
      <c r="I318" s="221"/>
      <c r="J318" s="221"/>
      <c r="K318" s="221"/>
      <c r="L318" s="240"/>
    </row>
    <row r="319" spans="1:12">
      <c r="A319" s="11"/>
      <c r="B319" s="173"/>
      <c r="C319" t="s">
        <v>299</v>
      </c>
      <c r="D319" s="287" t="e">
        <f>'4-22MASTER'!#REF!</f>
        <v>#REF!</v>
      </c>
      <c r="E319" s="2"/>
      <c r="F319" s="2"/>
      <c r="G319" s="2"/>
      <c r="L319" s="12"/>
    </row>
    <row r="320" spans="1:12">
      <c r="A320" s="11"/>
      <c r="C320" t="s">
        <v>272</v>
      </c>
      <c r="D320" t="s">
        <v>361</v>
      </c>
      <c r="J320" t="s">
        <v>300</v>
      </c>
      <c r="L320" s="12"/>
    </row>
    <row r="321" spans="1:12" ht="16.5" customHeight="1">
      <c r="A321" s="11"/>
      <c r="L321" s="12"/>
    </row>
    <row r="322" spans="1:12" ht="21.75" customHeight="1">
      <c r="A322" s="11"/>
      <c r="F322" s="219" t="s">
        <v>273</v>
      </c>
      <c r="L322" s="12"/>
    </row>
    <row r="323" spans="1:12" ht="27.95" customHeight="1">
      <c r="A323" s="11" t="s">
        <v>301</v>
      </c>
      <c r="B323" t="s">
        <v>274</v>
      </c>
      <c r="E323" s="222" t="e">
        <f>'4-22MASTER'!#REF!</f>
        <v>#REF!</v>
      </c>
      <c r="H323" s="1304" t="s">
        <v>275</v>
      </c>
      <c r="I323" s="1304"/>
      <c r="J323" s="223" t="e">
        <f>'4-22MASTER'!#REF!</f>
        <v>#REF!</v>
      </c>
      <c r="K323" t="s">
        <v>276</v>
      </c>
      <c r="L323" s="12"/>
    </row>
    <row r="324" spans="1:12" ht="25.5" customHeight="1">
      <c r="A324" s="11"/>
      <c r="B324" s="1305" t="e">
        <f>'4-22MASTER'!#REF!</f>
        <v>#REF!</v>
      </c>
      <c r="C324" s="1306"/>
      <c r="D324" s="220"/>
      <c r="E324" s="220"/>
      <c r="F324" s="220"/>
      <c r="G324" s="220"/>
      <c r="H324" s="220"/>
      <c r="I324" s="220"/>
      <c r="J324" s="220"/>
      <c r="K324" s="220"/>
      <c r="L324" s="241"/>
    </row>
    <row r="325" spans="1:12" ht="24.75" customHeight="1">
      <c r="A325" s="11" t="s">
        <v>303</v>
      </c>
      <c r="B325" s="220" t="s">
        <v>277</v>
      </c>
      <c r="C325" s="220"/>
      <c r="D325" s="220"/>
      <c r="E325" s="220"/>
      <c r="F325" s="220"/>
      <c r="G325" s="220"/>
      <c r="H325" s="220"/>
      <c r="I325" s="220"/>
      <c r="J325" s="220"/>
      <c r="K325" s="220"/>
      <c r="L325" s="241"/>
    </row>
    <row r="326" spans="1:12" ht="27.95" customHeight="1">
      <c r="A326" s="11"/>
      <c r="B326" s="220" t="s">
        <v>302</v>
      </c>
      <c r="C326" s="220"/>
      <c r="D326" s="220"/>
      <c r="E326" s="220"/>
      <c r="F326" s="220"/>
      <c r="G326" s="220"/>
      <c r="H326" s="220"/>
      <c r="I326" s="220"/>
      <c r="J326" s="220"/>
      <c r="K326" s="220"/>
      <c r="L326" s="241"/>
    </row>
    <row r="327" spans="1:12" ht="27.95" customHeight="1">
      <c r="A327" s="11"/>
      <c r="B327" t="s">
        <v>278</v>
      </c>
      <c r="L327" s="12"/>
    </row>
    <row r="328" spans="1:12" ht="27.95" customHeight="1">
      <c r="A328" s="11"/>
      <c r="B328" s="2" t="s">
        <v>279</v>
      </c>
      <c r="F328" s="172"/>
      <c r="L328" s="12"/>
    </row>
    <row r="329" spans="1:12" ht="27.95" customHeight="1">
      <c r="A329" s="11"/>
      <c r="B329" s="2" t="s">
        <v>280</v>
      </c>
      <c r="L329" s="12"/>
    </row>
    <row r="330" spans="1:12" ht="27.95" customHeight="1">
      <c r="A330" s="11"/>
      <c r="B330" t="s">
        <v>281</v>
      </c>
      <c r="L330" s="12"/>
    </row>
    <row r="331" spans="1:12" ht="27.95" customHeight="1">
      <c r="A331" s="11"/>
      <c r="B331" t="s">
        <v>282</v>
      </c>
      <c r="L331" s="12"/>
    </row>
    <row r="332" spans="1:12" ht="27.95" customHeight="1">
      <c r="A332" s="11" t="s">
        <v>292</v>
      </c>
      <c r="B332" t="s">
        <v>283</v>
      </c>
      <c r="L332" s="12"/>
    </row>
    <row r="333" spans="1:12" ht="27.95" customHeight="1">
      <c r="A333" s="11"/>
      <c r="B333" s="232" t="s">
        <v>304</v>
      </c>
      <c r="L333" s="12"/>
    </row>
    <row r="334" spans="1:12" ht="27.95" customHeight="1">
      <c r="A334" s="11"/>
      <c r="B334" t="s">
        <v>278</v>
      </c>
      <c r="L334" s="12"/>
    </row>
    <row r="335" spans="1:12" ht="27.95" customHeight="1">
      <c r="A335" s="11"/>
      <c r="B335" t="s">
        <v>284</v>
      </c>
      <c r="L335" s="12"/>
    </row>
    <row r="336" spans="1:12" ht="27.95" customHeight="1">
      <c r="A336" s="11"/>
      <c r="B336" t="s">
        <v>285</v>
      </c>
      <c r="L336" s="12"/>
    </row>
    <row r="337" spans="1:12" ht="27.95" customHeight="1">
      <c r="A337" s="11"/>
      <c r="B337" s="1307" t="s">
        <v>286</v>
      </c>
      <c r="C337" s="1307"/>
      <c r="D337" s="1307"/>
      <c r="E337" s="1307"/>
      <c r="F337" s="1307"/>
      <c r="G337" s="1307"/>
      <c r="H337" s="1307"/>
      <c r="I337" s="1307"/>
      <c r="J337" s="1307"/>
      <c r="K337" s="1307"/>
      <c r="L337" s="1308"/>
    </row>
    <row r="338" spans="1:12" ht="27.95" customHeight="1">
      <c r="A338" s="11"/>
      <c r="B338" t="s">
        <v>198</v>
      </c>
      <c r="C338" s="282" t="e">
        <f>'4-22MASTER'!#REF!</f>
        <v>#REF!</v>
      </c>
      <c r="D338" s="202"/>
      <c r="E338" s="202"/>
      <c r="F338" s="202"/>
      <c r="G338" s="202"/>
      <c r="H338" s="202"/>
      <c r="I338" t="s">
        <v>305</v>
      </c>
      <c r="J338" s="202"/>
      <c r="K338" s="202"/>
      <c r="L338" s="233"/>
    </row>
    <row r="339" spans="1:12" ht="16.5" thickBot="1">
      <c r="A339" s="16"/>
      <c r="B339" s="1131"/>
      <c r="C339" s="1131"/>
      <c r="D339" s="1131"/>
      <c r="E339" s="1131"/>
      <c r="F339" s="1131"/>
      <c r="G339" s="1131"/>
      <c r="H339" s="1131"/>
      <c r="I339" s="1131"/>
      <c r="J339" s="1131"/>
      <c r="K339" s="1131"/>
      <c r="L339" s="1132"/>
    </row>
    <row r="340" spans="1:12">
      <c r="A340" s="61"/>
      <c r="B340" s="62"/>
      <c r="C340" s="62"/>
      <c r="D340" s="62"/>
      <c r="E340" s="62"/>
      <c r="F340" s="62"/>
      <c r="G340" s="62"/>
      <c r="H340" s="62"/>
      <c r="I340" s="66" t="s">
        <v>232</v>
      </c>
      <c r="J340" s="62"/>
      <c r="K340" s="62"/>
      <c r="L340" s="63"/>
    </row>
    <row r="341" spans="1:12">
      <c r="A341" s="11"/>
      <c r="B341" s="1309" t="s">
        <v>287</v>
      </c>
      <c r="C341" s="1309"/>
      <c r="D341" s="1309"/>
      <c r="E341" s="1309"/>
      <c r="F341" s="1309"/>
      <c r="G341" s="1309"/>
      <c r="H341" s="1309"/>
      <c r="I341" s="1309"/>
      <c r="J341" s="1309"/>
      <c r="K341" s="1309"/>
      <c r="L341" s="1310"/>
    </row>
    <row r="342" spans="1:12" ht="23.25">
      <c r="A342" s="11"/>
      <c r="B342" s="202"/>
      <c r="C342" s="202"/>
      <c r="D342" s="210" t="s">
        <v>234</v>
      </c>
      <c r="E342" s="202"/>
      <c r="F342" s="202"/>
      <c r="G342" s="202"/>
      <c r="H342" s="202"/>
      <c r="I342" s="204" t="s">
        <v>288</v>
      </c>
      <c r="J342" s="205"/>
      <c r="K342" s="286" t="e">
        <f>'4-22MASTER'!#REF!</f>
        <v>#REF!</v>
      </c>
      <c r="L342" s="235"/>
    </row>
    <row r="343" spans="1:12" ht="15.75">
      <c r="A343" s="11"/>
      <c r="B343" s="1"/>
      <c r="C343" s="1" t="s">
        <v>235</v>
      </c>
      <c r="E343" s="1"/>
      <c r="F343" s="1"/>
      <c r="G343" s="1"/>
      <c r="H343" s="1"/>
      <c r="I343" s="203" t="s">
        <v>289</v>
      </c>
      <c r="J343" s="224" t="str">
        <f>'4-22MASTER'!G5</f>
        <v>Burgeon IT Services Pvt.Ltd.</v>
      </c>
      <c r="K343" s="206"/>
      <c r="L343" s="236"/>
    </row>
    <row r="344" spans="1:12">
      <c r="A344" s="11"/>
      <c r="B344" s="211"/>
      <c r="C344" s="180" t="s">
        <v>236</v>
      </c>
      <c r="E344" s="211"/>
      <c r="F344" s="211"/>
      <c r="H344" s="181"/>
      <c r="I344" s="227" t="str">
        <f>'4-22MASTER'!G6</f>
        <v>Siri Mansion LIGB 436 Dr.A S Rao Nagar,Hyderabad</v>
      </c>
      <c r="J344" s="225"/>
      <c r="K344" s="226"/>
      <c r="L344" s="190"/>
    </row>
    <row r="345" spans="1:12">
      <c r="A345" s="11"/>
      <c r="L345" s="12"/>
    </row>
    <row r="346" spans="1:12" ht="20.25" customHeight="1">
      <c r="A346" s="11">
        <v>1</v>
      </c>
      <c r="B346" s="207" t="s">
        <v>237</v>
      </c>
      <c r="C346" s="53"/>
      <c r="D346" s="53"/>
      <c r="E346" s="53"/>
      <c r="F346" s="53"/>
      <c r="G346" s="54"/>
      <c r="H346" s="1261" t="e">
        <f>'4-22MASTER'!#REF!</f>
        <v>#REF!</v>
      </c>
      <c r="I346" s="1287"/>
      <c r="J346" s="1287"/>
      <c r="K346" s="1287"/>
      <c r="L346" s="1288"/>
    </row>
    <row r="347" spans="1:12" ht="11.25" customHeight="1">
      <c r="A347" s="11">
        <v>2</v>
      </c>
      <c r="B347" s="1311" t="s">
        <v>238</v>
      </c>
      <c r="C347" s="1312"/>
      <c r="D347" s="1312"/>
      <c r="E347" s="1312"/>
      <c r="F347" s="208" t="s">
        <v>239</v>
      </c>
      <c r="G347" s="192"/>
      <c r="H347" s="1313" t="e">
        <f>'4-22MASTER'!#REF!</f>
        <v>#REF!</v>
      </c>
      <c r="I347" s="1314"/>
      <c r="J347" s="1314"/>
      <c r="K347" s="1314"/>
      <c r="L347" s="1315"/>
    </row>
    <row r="348" spans="1:12" ht="11.25" customHeight="1">
      <c r="A348" s="11"/>
      <c r="B348" s="193" t="s">
        <v>240</v>
      </c>
      <c r="C348" s="194"/>
      <c r="D348" s="194"/>
      <c r="E348" s="194"/>
      <c r="F348" s="194" t="s">
        <v>233</v>
      </c>
      <c r="G348" s="195"/>
      <c r="H348" s="1316"/>
      <c r="I348" s="1317"/>
      <c r="J348" s="1317"/>
      <c r="K348" s="1317"/>
      <c r="L348" s="1318"/>
    </row>
    <row r="349" spans="1:12">
      <c r="A349" s="11">
        <v>3</v>
      </c>
      <c r="B349" s="209" t="s">
        <v>241</v>
      </c>
      <c r="C349" s="199"/>
      <c r="D349" s="199"/>
      <c r="E349" s="199"/>
      <c r="F349" s="199"/>
      <c r="G349" s="200"/>
      <c r="H349" s="1291" t="e">
        <f>'4-22MASTER'!#REF!</f>
        <v>#REF!</v>
      </c>
      <c r="I349" s="1292"/>
      <c r="J349" s="1292"/>
      <c r="K349" s="1292"/>
      <c r="L349" s="1293"/>
    </row>
    <row r="350" spans="1:12">
      <c r="A350" s="11">
        <v>4</v>
      </c>
      <c r="B350" s="185" t="s">
        <v>242</v>
      </c>
      <c r="C350" s="53"/>
      <c r="D350" s="53"/>
      <c r="E350" s="53"/>
      <c r="F350" s="53"/>
      <c r="G350" s="54"/>
      <c r="H350" s="1253" t="e">
        <f>'4-22MASTER'!#REF!</f>
        <v>#REF!</v>
      </c>
      <c r="I350" s="1279"/>
      <c r="J350" s="1279"/>
      <c r="K350" s="1279"/>
      <c r="L350" s="1272"/>
    </row>
    <row r="351" spans="1:12">
      <c r="A351" s="11">
        <v>5</v>
      </c>
      <c r="B351" s="1294" t="s">
        <v>290</v>
      </c>
      <c r="C351" s="1295"/>
      <c r="D351" s="1295"/>
      <c r="E351" s="1295"/>
      <c r="F351" s="1295"/>
      <c r="G351" s="54"/>
      <c r="H351" s="1286" t="s">
        <v>369</v>
      </c>
      <c r="I351" s="1287"/>
      <c r="J351" s="1287"/>
      <c r="K351" s="1287"/>
      <c r="L351" s="1288"/>
    </row>
    <row r="352" spans="1:12">
      <c r="A352" s="11">
        <v>6</v>
      </c>
      <c r="B352" s="198" t="s">
        <v>243</v>
      </c>
      <c r="C352" s="199" t="s">
        <v>244</v>
      </c>
      <c r="D352" s="199"/>
      <c r="E352" s="199"/>
      <c r="F352" s="199"/>
      <c r="G352" s="200"/>
      <c r="H352" s="209"/>
      <c r="I352" s="199"/>
      <c r="J352" s="199"/>
      <c r="K352" s="199"/>
      <c r="L352" s="237"/>
    </row>
    <row r="353" spans="1:12">
      <c r="A353" s="11"/>
      <c r="B353" s="198" t="s">
        <v>245</v>
      </c>
      <c r="C353" s="199" t="s">
        <v>246</v>
      </c>
      <c r="D353" s="199"/>
      <c r="E353" s="199"/>
      <c r="F353" s="199"/>
      <c r="G353" s="200"/>
      <c r="H353" s="209"/>
      <c r="I353" s="191"/>
      <c r="J353" s="191"/>
      <c r="K353" s="199"/>
      <c r="L353" s="237"/>
    </row>
    <row r="354" spans="1:12">
      <c r="A354" s="11">
        <v>7</v>
      </c>
      <c r="B354" s="1291" t="s">
        <v>247</v>
      </c>
      <c r="C354" s="1292"/>
      <c r="D354" s="1292"/>
      <c r="E354" s="1292"/>
      <c r="F354" s="1292"/>
      <c r="G354" s="1299"/>
      <c r="H354" s="213" t="s">
        <v>248</v>
      </c>
      <c r="I354" s="214"/>
      <c r="J354" s="215"/>
      <c r="K354" s="213" t="s">
        <v>249</v>
      </c>
      <c r="L354" s="238"/>
    </row>
    <row r="355" spans="1:12">
      <c r="A355" s="11">
        <v>8</v>
      </c>
      <c r="B355" s="1291" t="s">
        <v>291</v>
      </c>
      <c r="C355" s="1292"/>
      <c r="D355" s="1292"/>
      <c r="E355" s="1292"/>
      <c r="F355" s="1292"/>
      <c r="G355" s="1299"/>
      <c r="H355" s="213" t="s">
        <v>248</v>
      </c>
      <c r="I355" s="214"/>
      <c r="J355" s="215"/>
      <c r="K355" s="213" t="s">
        <v>249</v>
      </c>
      <c r="L355" s="238"/>
    </row>
    <row r="356" spans="1:12">
      <c r="A356" s="11"/>
      <c r="B356" s="185"/>
      <c r="C356" s="217"/>
      <c r="D356" s="217"/>
      <c r="E356" s="217"/>
      <c r="F356" s="217" t="s">
        <v>250</v>
      </c>
      <c r="G356" s="217"/>
      <c r="H356" s="217"/>
      <c r="I356" s="217"/>
      <c r="J356" s="217"/>
      <c r="K356" s="217"/>
      <c r="L356" s="239"/>
    </row>
    <row r="357" spans="1:12">
      <c r="A357" s="11">
        <v>9</v>
      </c>
      <c r="B357" s="198" t="s">
        <v>251</v>
      </c>
      <c r="C357" s="199" t="s">
        <v>252</v>
      </c>
      <c r="D357" s="199"/>
      <c r="E357" s="199"/>
      <c r="F357" s="199"/>
      <c r="G357" s="200"/>
      <c r="H357" s="209"/>
      <c r="I357" s="199"/>
      <c r="J357" s="199"/>
      <c r="K357" s="199"/>
      <c r="L357" s="237"/>
    </row>
    <row r="358" spans="1:12">
      <c r="A358" s="72"/>
      <c r="B358" s="198" t="s">
        <v>253</v>
      </c>
      <c r="C358" s="199" t="s">
        <v>254</v>
      </c>
      <c r="D358" s="199"/>
      <c r="E358" s="199"/>
      <c r="F358" s="199"/>
      <c r="G358" s="200"/>
      <c r="H358" s="209"/>
      <c r="I358" s="199"/>
      <c r="J358" s="199"/>
      <c r="K358" s="199"/>
      <c r="L358" s="237"/>
    </row>
    <row r="359" spans="1:12">
      <c r="A359" s="72"/>
      <c r="B359" s="198" t="s">
        <v>292</v>
      </c>
      <c r="C359" s="199" t="s">
        <v>293</v>
      </c>
      <c r="D359" s="199"/>
      <c r="E359" s="199"/>
      <c r="F359" s="199"/>
      <c r="G359" s="200"/>
      <c r="H359" s="209"/>
      <c r="I359" s="199"/>
      <c r="J359" s="199"/>
      <c r="K359" s="199"/>
      <c r="L359" s="237"/>
    </row>
    <row r="360" spans="1:12">
      <c r="A360" s="72"/>
      <c r="B360" s="198" t="s">
        <v>256</v>
      </c>
      <c r="C360" s="199" t="s">
        <v>257</v>
      </c>
      <c r="D360" s="199"/>
      <c r="E360" s="199"/>
      <c r="F360" s="199"/>
      <c r="G360" s="200"/>
      <c r="H360" s="209"/>
      <c r="I360" s="199"/>
      <c r="J360" s="199"/>
      <c r="K360" s="199"/>
      <c r="L360" s="237"/>
    </row>
    <row r="361" spans="1:12">
      <c r="A361" s="72"/>
      <c r="B361" s="198" t="s">
        <v>258</v>
      </c>
      <c r="C361" s="199" t="s">
        <v>259</v>
      </c>
      <c r="D361" s="199"/>
      <c r="E361" s="199"/>
      <c r="F361" s="199"/>
      <c r="G361" s="200"/>
      <c r="H361" s="209"/>
      <c r="I361" s="199"/>
      <c r="J361" s="199"/>
      <c r="K361" s="199"/>
      <c r="L361" s="237"/>
    </row>
    <row r="362" spans="1:12">
      <c r="A362" s="72">
        <v>10</v>
      </c>
      <c r="B362" s="198" t="s">
        <v>251</v>
      </c>
      <c r="C362" s="199" t="s">
        <v>294</v>
      </c>
      <c r="D362" s="199"/>
      <c r="E362" s="199"/>
      <c r="F362" s="199"/>
      <c r="G362" s="200"/>
      <c r="H362" s="213" t="s">
        <v>248</v>
      </c>
      <c r="I362" s="214"/>
      <c r="J362" s="215"/>
      <c r="K362" s="213" t="s">
        <v>249</v>
      </c>
      <c r="L362" s="238"/>
    </row>
    <row r="363" spans="1:12">
      <c r="A363" s="72"/>
      <c r="B363" s="198" t="s">
        <v>253</v>
      </c>
      <c r="C363" s="199" t="s">
        <v>295</v>
      </c>
      <c r="D363" s="199"/>
      <c r="E363" s="199"/>
      <c r="F363" s="199"/>
      <c r="G363" s="200"/>
      <c r="H363" s="209"/>
      <c r="I363" s="199"/>
      <c r="J363" s="199"/>
      <c r="K363" s="199"/>
      <c r="L363" s="237"/>
    </row>
    <row r="364" spans="1:12">
      <c r="A364" s="72"/>
      <c r="B364" s="198" t="s">
        <v>292</v>
      </c>
      <c r="C364" s="199" t="s">
        <v>260</v>
      </c>
      <c r="D364" s="199"/>
      <c r="E364" s="199"/>
      <c r="F364" s="199"/>
      <c r="G364" s="200"/>
      <c r="H364" s="209"/>
      <c r="I364" s="199"/>
      <c r="J364" s="199"/>
      <c r="K364" s="199"/>
      <c r="L364" s="237"/>
    </row>
    <row r="365" spans="1:12">
      <c r="A365" s="72"/>
      <c r="B365" s="198" t="s">
        <v>256</v>
      </c>
      <c r="C365" s="199" t="s">
        <v>296</v>
      </c>
      <c r="D365" s="199"/>
      <c r="E365" s="199"/>
      <c r="F365" s="199"/>
      <c r="G365" s="200"/>
      <c r="H365" s="209"/>
      <c r="I365" s="199"/>
      <c r="J365" s="199"/>
      <c r="K365" s="199"/>
      <c r="L365" s="237"/>
    </row>
    <row r="366" spans="1:12">
      <c r="A366" s="11"/>
      <c r="B366" s="185"/>
      <c r="C366" s="217"/>
      <c r="D366" s="217"/>
      <c r="E366" s="217" t="s">
        <v>297</v>
      </c>
      <c r="F366" s="217"/>
      <c r="G366" s="217"/>
      <c r="H366" s="217"/>
      <c r="I366" s="217"/>
      <c r="J366" s="217"/>
      <c r="K366" s="217"/>
      <c r="L366" s="239"/>
    </row>
    <row r="367" spans="1:12">
      <c r="A367" s="11">
        <v>11</v>
      </c>
      <c r="B367" s="198" t="s">
        <v>251</v>
      </c>
      <c r="C367" s="199" t="s">
        <v>261</v>
      </c>
      <c r="D367" s="199"/>
      <c r="E367" s="199"/>
      <c r="F367" s="199"/>
      <c r="G367" s="200"/>
      <c r="H367" s="209"/>
      <c r="I367" s="199"/>
      <c r="J367" s="199"/>
      <c r="K367" s="199"/>
      <c r="L367" s="237"/>
    </row>
    <row r="368" spans="1:12">
      <c r="A368" s="11"/>
      <c r="B368" s="198" t="s">
        <v>253</v>
      </c>
      <c r="C368" s="199" t="s">
        <v>262</v>
      </c>
      <c r="D368" s="199"/>
      <c r="E368" s="199"/>
      <c r="F368" s="199"/>
      <c r="G368" s="200"/>
      <c r="H368" s="209"/>
      <c r="I368" s="199"/>
      <c r="J368" s="199"/>
      <c r="K368" s="199"/>
      <c r="L368" s="237"/>
    </row>
    <row r="369" spans="1:12">
      <c r="A369" s="11"/>
      <c r="B369" s="198" t="s">
        <v>255</v>
      </c>
      <c r="C369" s="199" t="s">
        <v>263</v>
      </c>
      <c r="D369" s="199"/>
      <c r="E369" s="199"/>
      <c r="F369" s="199"/>
      <c r="G369" s="200"/>
      <c r="H369" s="209"/>
      <c r="I369" s="199"/>
      <c r="J369" s="199"/>
      <c r="K369" s="199"/>
      <c r="L369" s="237"/>
    </row>
    <row r="370" spans="1:12">
      <c r="A370" s="11"/>
      <c r="B370" s="173"/>
      <c r="C370" s="169"/>
      <c r="D370" s="169"/>
      <c r="E370" s="169"/>
      <c r="F370" s="218" t="s">
        <v>264</v>
      </c>
      <c r="G370" s="169"/>
      <c r="H370" s="158"/>
      <c r="I370" s="158"/>
      <c r="J370" s="158"/>
      <c r="K370" s="158"/>
      <c r="L370" s="176"/>
    </row>
    <row r="371" spans="1:12">
      <c r="A371" s="11"/>
      <c r="B371" s="230" t="s">
        <v>265</v>
      </c>
      <c r="C371" s="229" t="s">
        <v>266</v>
      </c>
      <c r="D371" s="169"/>
      <c r="E371" s="169"/>
      <c r="F371" s="169"/>
      <c r="G371" s="169"/>
      <c r="H371" s="158"/>
      <c r="I371" s="158"/>
      <c r="J371" s="159"/>
      <c r="K371" s="158"/>
      <c r="L371" s="176"/>
    </row>
    <row r="372" spans="1:12">
      <c r="A372" s="11"/>
      <c r="B372" s="230" t="s">
        <v>267</v>
      </c>
      <c r="C372" s="228" t="s">
        <v>268</v>
      </c>
      <c r="D372" s="158"/>
      <c r="E372" s="159"/>
      <c r="G372" s="1300"/>
      <c r="H372" s="1300"/>
      <c r="I372" s="174"/>
      <c r="J372" s="175"/>
      <c r="K372" s="1300"/>
      <c r="L372" s="1301"/>
    </row>
    <row r="373" spans="1:12">
      <c r="A373" s="11"/>
      <c r="B373" s="231" t="s">
        <v>269</v>
      </c>
      <c r="C373" s="1302" t="s">
        <v>298</v>
      </c>
      <c r="D373" s="1302"/>
      <c r="E373" s="1302"/>
      <c r="F373" s="1302"/>
      <c r="G373" s="1302"/>
      <c r="H373" s="1302"/>
      <c r="I373" s="1302"/>
      <c r="J373" s="1302"/>
      <c r="K373" s="1302"/>
      <c r="L373" s="1303"/>
    </row>
    <row r="374" spans="1:12" ht="27.95" customHeight="1">
      <c r="A374" s="11"/>
      <c r="B374" s="230" t="s">
        <v>270</v>
      </c>
      <c r="C374" s="229" t="s">
        <v>271</v>
      </c>
      <c r="D374" s="221"/>
      <c r="E374" s="221"/>
      <c r="F374" s="221"/>
      <c r="G374" s="221"/>
      <c r="H374" s="221"/>
      <c r="I374" s="221"/>
      <c r="J374" s="221"/>
      <c r="K374" s="221"/>
      <c r="L374" s="240"/>
    </row>
    <row r="375" spans="1:12" ht="27.95" customHeight="1">
      <c r="A375" s="11"/>
      <c r="B375" s="173"/>
      <c r="C375" t="s">
        <v>299</v>
      </c>
      <c r="D375" s="287" t="e">
        <f>'4-22MASTER'!#REF!</f>
        <v>#REF!</v>
      </c>
      <c r="E375" s="2"/>
      <c r="F375" s="2"/>
      <c r="G375" s="2"/>
      <c r="L375" s="12"/>
    </row>
    <row r="376" spans="1:12" ht="27.95" customHeight="1">
      <c r="A376" s="11"/>
      <c r="C376" t="s">
        <v>272</v>
      </c>
      <c r="D376" t="s">
        <v>361</v>
      </c>
      <c r="J376" t="s">
        <v>300</v>
      </c>
      <c r="L376" s="12"/>
    </row>
    <row r="377" spans="1:12" ht="27.95" customHeight="1">
      <c r="A377" s="11"/>
      <c r="F377" s="219" t="s">
        <v>273</v>
      </c>
      <c r="L377" s="12"/>
    </row>
    <row r="378" spans="1:12" ht="27.95" customHeight="1">
      <c r="A378" s="11" t="s">
        <v>301</v>
      </c>
      <c r="B378" t="s">
        <v>274</v>
      </c>
      <c r="E378" s="222" t="e">
        <f>'4-22MASTER'!#REF!</f>
        <v>#REF!</v>
      </c>
      <c r="H378" s="1304" t="s">
        <v>275</v>
      </c>
      <c r="I378" s="1304"/>
      <c r="J378" s="223" t="e">
        <f>'4-22MASTER'!#REF!</f>
        <v>#REF!</v>
      </c>
      <c r="K378" t="s">
        <v>276</v>
      </c>
      <c r="L378" s="12"/>
    </row>
    <row r="379" spans="1:12" ht="27.95" customHeight="1">
      <c r="A379" s="11"/>
      <c r="B379" s="1305" t="e">
        <f>'4-22MASTER'!#REF!</f>
        <v>#REF!</v>
      </c>
      <c r="C379" s="1306"/>
      <c r="D379" s="220"/>
      <c r="E379" s="220"/>
      <c r="F379" s="220"/>
      <c r="G379" s="220"/>
      <c r="H379" s="220"/>
      <c r="I379" s="220"/>
      <c r="J379" s="220"/>
      <c r="K379" s="220"/>
      <c r="L379" s="241"/>
    </row>
    <row r="380" spans="1:12" ht="27.95" customHeight="1">
      <c r="A380" s="11" t="s">
        <v>303</v>
      </c>
      <c r="B380" s="220" t="s">
        <v>277</v>
      </c>
      <c r="C380" s="220"/>
      <c r="D380" s="220"/>
      <c r="E380" s="220"/>
      <c r="F380" s="220"/>
      <c r="G380" s="220"/>
      <c r="H380" s="220"/>
      <c r="I380" s="220"/>
      <c r="J380" s="220"/>
      <c r="K380" s="220"/>
      <c r="L380" s="241"/>
    </row>
    <row r="381" spans="1:12" ht="27.95" customHeight="1">
      <c r="A381" s="11"/>
      <c r="B381" s="220" t="s">
        <v>302</v>
      </c>
      <c r="C381" s="220"/>
      <c r="D381" s="220"/>
      <c r="E381" s="220"/>
      <c r="F381" s="220"/>
      <c r="G381" s="220"/>
      <c r="H381" s="220"/>
      <c r="I381" s="220"/>
      <c r="J381" s="220"/>
      <c r="K381" s="220"/>
      <c r="L381" s="241"/>
    </row>
    <row r="382" spans="1:12" ht="27.95" customHeight="1">
      <c r="A382" s="11"/>
      <c r="B382" t="s">
        <v>278</v>
      </c>
      <c r="L382" s="12"/>
    </row>
    <row r="383" spans="1:12" ht="27.95" customHeight="1">
      <c r="A383" s="11"/>
      <c r="B383" s="2" t="s">
        <v>279</v>
      </c>
      <c r="F383" s="172"/>
      <c r="L383" s="12"/>
    </row>
    <row r="384" spans="1:12" ht="27.95" customHeight="1">
      <c r="A384" s="11"/>
      <c r="B384" s="2" t="s">
        <v>280</v>
      </c>
      <c r="L384" s="12"/>
    </row>
    <row r="385" spans="1:12" ht="27.95" customHeight="1">
      <c r="A385" s="11"/>
      <c r="B385" t="s">
        <v>281</v>
      </c>
      <c r="L385" s="12"/>
    </row>
    <row r="386" spans="1:12" ht="27.95" customHeight="1">
      <c r="A386" s="11"/>
      <c r="B386" t="s">
        <v>282</v>
      </c>
      <c r="L386" s="12"/>
    </row>
    <row r="387" spans="1:12" ht="27.95" customHeight="1">
      <c r="A387" s="11" t="s">
        <v>292</v>
      </c>
      <c r="B387" t="s">
        <v>283</v>
      </c>
      <c r="L387" s="12"/>
    </row>
    <row r="388" spans="1:12" ht="27.95" customHeight="1">
      <c r="A388" s="11"/>
      <c r="B388" s="232" t="s">
        <v>304</v>
      </c>
      <c r="L388" s="12"/>
    </row>
    <row r="389" spans="1:12" ht="27.95" customHeight="1">
      <c r="A389" s="11"/>
      <c r="B389" t="s">
        <v>278</v>
      </c>
      <c r="L389" s="12"/>
    </row>
    <row r="390" spans="1:12" ht="27.95" customHeight="1">
      <c r="A390" s="11"/>
      <c r="B390" t="s">
        <v>284</v>
      </c>
      <c r="L390" s="12"/>
    </row>
    <row r="391" spans="1:12">
      <c r="A391" s="11"/>
      <c r="B391" t="s">
        <v>285</v>
      </c>
      <c r="L391" s="12"/>
    </row>
    <row r="392" spans="1:12">
      <c r="A392" s="11"/>
      <c r="B392" s="1307" t="s">
        <v>286</v>
      </c>
      <c r="C392" s="1307"/>
      <c r="D392" s="1307"/>
      <c r="E392" s="1307"/>
      <c r="F392" s="1307"/>
      <c r="G392" s="1307"/>
      <c r="H392" s="1307"/>
      <c r="I392" s="1307"/>
      <c r="J392" s="1307"/>
      <c r="K392" s="1307"/>
      <c r="L392" s="1308"/>
    </row>
    <row r="393" spans="1:12" ht="23.25">
      <c r="A393" s="11"/>
      <c r="B393" t="s">
        <v>198</v>
      </c>
      <c r="C393" s="282" t="e">
        <f>'4-22MASTER'!#REF!</f>
        <v>#REF!</v>
      </c>
      <c r="D393" s="202"/>
      <c r="E393" s="202"/>
      <c r="F393" s="202"/>
      <c r="G393" s="202"/>
      <c r="H393" s="202"/>
      <c r="I393" t="s">
        <v>305</v>
      </c>
      <c r="J393" s="202"/>
      <c r="K393" s="202"/>
      <c r="L393" s="233"/>
    </row>
    <row r="394" spans="1:12" ht="16.5" thickBot="1">
      <c r="A394" s="16"/>
      <c r="B394" s="1131"/>
      <c r="C394" s="1131"/>
      <c r="D394" s="1131"/>
      <c r="E394" s="1131"/>
      <c r="F394" s="1131"/>
      <c r="G394" s="1131"/>
      <c r="H394" s="1131"/>
      <c r="I394" s="1131"/>
      <c r="J394" s="1131"/>
      <c r="K394" s="1131"/>
      <c r="L394" s="1132"/>
    </row>
    <row r="395" spans="1:12" ht="24" thickBot="1">
      <c r="B395" s="1255"/>
      <c r="C395" s="1255"/>
      <c r="D395" s="1255"/>
      <c r="E395" s="1255"/>
      <c r="F395" s="1255"/>
      <c r="G395" s="1255"/>
      <c r="H395" s="1255"/>
      <c r="I395" s="1255"/>
      <c r="J395" s="1255"/>
      <c r="K395" s="1255"/>
      <c r="L395" s="1255"/>
    </row>
    <row r="396" spans="1:12">
      <c r="A396" s="61"/>
      <c r="B396" s="62"/>
      <c r="C396" s="62"/>
      <c r="D396" s="62"/>
      <c r="E396" s="62"/>
      <c r="F396" s="62"/>
      <c r="G396" s="62"/>
      <c r="H396" s="62"/>
      <c r="I396" s="66" t="s">
        <v>232</v>
      </c>
      <c r="J396" s="62"/>
      <c r="K396" s="62"/>
      <c r="L396" s="63"/>
    </row>
    <row r="397" spans="1:12" ht="15" customHeight="1">
      <c r="A397" s="11"/>
      <c r="B397" s="1309" t="s">
        <v>287</v>
      </c>
      <c r="C397" s="1309"/>
      <c r="D397" s="1309"/>
      <c r="E397" s="1309"/>
      <c r="F397" s="1309"/>
      <c r="G397" s="1309"/>
      <c r="H397" s="1309"/>
      <c r="I397" s="1309"/>
      <c r="J397" s="1309"/>
      <c r="K397" s="1309"/>
      <c r="L397" s="1310"/>
    </row>
    <row r="398" spans="1:12" ht="23.25">
      <c r="A398" s="11"/>
      <c r="B398" s="202"/>
      <c r="C398" s="202"/>
      <c r="D398" s="210" t="s">
        <v>234</v>
      </c>
      <c r="E398" s="202"/>
      <c r="F398" s="202"/>
      <c r="G398" s="202"/>
      <c r="H398" s="202"/>
      <c r="I398" s="204" t="s">
        <v>288</v>
      </c>
      <c r="J398" s="205"/>
      <c r="K398" s="286" t="e">
        <f>'4-22MASTER'!#REF!</f>
        <v>#REF!</v>
      </c>
      <c r="L398" s="235"/>
    </row>
    <row r="399" spans="1:12" ht="15.75">
      <c r="A399" s="11"/>
      <c r="B399" s="1"/>
      <c r="C399" s="1" t="s">
        <v>235</v>
      </c>
      <c r="E399" s="1"/>
      <c r="F399" s="1"/>
      <c r="G399" s="1"/>
      <c r="H399" s="1"/>
      <c r="I399" s="203" t="s">
        <v>289</v>
      </c>
      <c r="J399" s="224" t="str">
        <f>'4-22MASTER'!G5</f>
        <v>Burgeon IT Services Pvt.Ltd.</v>
      </c>
      <c r="K399" s="206"/>
      <c r="L399" s="236"/>
    </row>
    <row r="400" spans="1:12">
      <c r="A400" s="11"/>
      <c r="B400" s="211"/>
      <c r="C400" s="180" t="s">
        <v>236</v>
      </c>
      <c r="E400" s="211"/>
      <c r="F400" s="211"/>
      <c r="H400" s="181"/>
      <c r="I400" s="227" t="str">
        <f>'4-22MASTER'!G6</f>
        <v>Siri Mansion LIGB 436 Dr.A S Rao Nagar,Hyderabad</v>
      </c>
      <c r="J400" s="225"/>
      <c r="K400" s="226"/>
      <c r="L400" s="190"/>
    </row>
    <row r="401" spans="1:12">
      <c r="A401" s="11"/>
      <c r="L401" s="12"/>
    </row>
    <row r="402" spans="1:12">
      <c r="A402" s="11">
        <v>1</v>
      </c>
      <c r="B402" s="207" t="s">
        <v>237</v>
      </c>
      <c r="C402" s="53"/>
      <c r="D402" s="53"/>
      <c r="E402" s="53"/>
      <c r="F402" s="53"/>
      <c r="G402" s="54"/>
      <c r="H402" s="1261" t="e">
        <f>'4-22MASTER'!#REF!</f>
        <v>#REF!</v>
      </c>
      <c r="I402" s="1287"/>
      <c r="J402" s="1287"/>
      <c r="K402" s="1287"/>
      <c r="L402" s="1288"/>
    </row>
    <row r="403" spans="1:12">
      <c r="A403" s="11">
        <v>2</v>
      </c>
      <c r="B403" s="1311" t="s">
        <v>238</v>
      </c>
      <c r="C403" s="1312"/>
      <c r="D403" s="1312"/>
      <c r="E403" s="1312"/>
      <c r="F403" s="208" t="s">
        <v>239</v>
      </c>
      <c r="G403" s="192"/>
      <c r="H403" s="1313" t="e">
        <f>'4-22MASTER'!#REF!</f>
        <v>#REF!</v>
      </c>
      <c r="I403" s="1314"/>
      <c r="J403" s="1314"/>
      <c r="K403" s="1314"/>
      <c r="L403" s="1315"/>
    </row>
    <row r="404" spans="1:12">
      <c r="A404" s="11"/>
      <c r="B404" s="193" t="s">
        <v>240</v>
      </c>
      <c r="C404" s="194"/>
      <c r="D404" s="194"/>
      <c r="E404" s="194"/>
      <c r="F404" s="194" t="s">
        <v>233</v>
      </c>
      <c r="G404" s="195"/>
      <c r="H404" s="1316"/>
      <c r="I404" s="1317"/>
      <c r="J404" s="1317"/>
      <c r="K404" s="1317"/>
      <c r="L404" s="1318"/>
    </row>
    <row r="405" spans="1:12">
      <c r="A405" s="11">
        <v>3</v>
      </c>
      <c r="B405" s="209" t="s">
        <v>241</v>
      </c>
      <c r="C405" s="199"/>
      <c r="D405" s="199"/>
      <c r="E405" s="199"/>
      <c r="F405" s="199"/>
      <c r="G405" s="200"/>
      <c r="H405" s="1291" t="e">
        <f>'4-22MASTER'!#REF!</f>
        <v>#REF!</v>
      </c>
      <c r="I405" s="1292"/>
      <c r="J405" s="1292"/>
      <c r="K405" s="1292"/>
      <c r="L405" s="1293"/>
    </row>
    <row r="406" spans="1:12">
      <c r="A406" s="11">
        <v>4</v>
      </c>
      <c r="B406" s="185" t="s">
        <v>242</v>
      </c>
      <c r="C406" s="53"/>
      <c r="D406" s="53"/>
      <c r="E406" s="53"/>
      <c r="F406" s="53"/>
      <c r="G406" s="54"/>
      <c r="H406" s="1253" t="e">
        <f>'4-22MASTER'!#REF!</f>
        <v>#REF!</v>
      </c>
      <c r="I406" s="1279"/>
      <c r="J406" s="1279"/>
      <c r="K406" s="1279"/>
      <c r="L406" s="1272"/>
    </row>
    <row r="407" spans="1:12">
      <c r="A407" s="11">
        <v>5</v>
      </c>
      <c r="B407" s="1294" t="s">
        <v>290</v>
      </c>
      <c r="C407" s="1295"/>
      <c r="D407" s="1295"/>
      <c r="E407" s="1295"/>
      <c r="F407" s="1295"/>
      <c r="G407" s="54"/>
      <c r="H407" s="1286" t="s">
        <v>369</v>
      </c>
      <c r="I407" s="1287"/>
      <c r="J407" s="1287"/>
      <c r="K407" s="1287"/>
      <c r="L407" s="1288"/>
    </row>
    <row r="408" spans="1:12">
      <c r="A408" s="11">
        <v>6</v>
      </c>
      <c r="B408" s="198" t="s">
        <v>243</v>
      </c>
      <c r="C408" s="199" t="s">
        <v>244</v>
      </c>
      <c r="D408" s="199"/>
      <c r="E408" s="199"/>
      <c r="F408" s="199"/>
      <c r="G408" s="200"/>
      <c r="H408" s="209"/>
      <c r="I408" s="199"/>
      <c r="J408" s="199"/>
      <c r="K408" s="199"/>
      <c r="L408" s="237"/>
    </row>
    <row r="409" spans="1:12">
      <c r="A409" s="11"/>
      <c r="B409" s="198" t="s">
        <v>245</v>
      </c>
      <c r="C409" s="199" t="s">
        <v>246</v>
      </c>
      <c r="D409" s="199"/>
      <c r="E409" s="199"/>
      <c r="F409" s="199"/>
      <c r="G409" s="200"/>
      <c r="H409" s="209"/>
      <c r="I409" s="191"/>
      <c r="J409" s="191"/>
      <c r="K409" s="199"/>
      <c r="L409" s="237"/>
    </row>
    <row r="410" spans="1:12">
      <c r="A410" s="11">
        <v>7</v>
      </c>
      <c r="B410" s="1291" t="s">
        <v>247</v>
      </c>
      <c r="C410" s="1292"/>
      <c r="D410" s="1292"/>
      <c r="E410" s="1292"/>
      <c r="F410" s="1292"/>
      <c r="G410" s="1299"/>
      <c r="H410" s="213" t="s">
        <v>248</v>
      </c>
      <c r="I410" s="214"/>
      <c r="J410" s="215"/>
      <c r="K410" s="213" t="s">
        <v>249</v>
      </c>
      <c r="L410" s="238"/>
    </row>
    <row r="411" spans="1:12">
      <c r="A411" s="11">
        <v>8</v>
      </c>
      <c r="B411" s="1291" t="s">
        <v>291</v>
      </c>
      <c r="C411" s="1292"/>
      <c r="D411" s="1292"/>
      <c r="E411" s="1292"/>
      <c r="F411" s="1292"/>
      <c r="G411" s="1299"/>
      <c r="H411" s="213" t="s">
        <v>248</v>
      </c>
      <c r="I411" s="214"/>
      <c r="J411" s="215"/>
      <c r="K411" s="213" t="s">
        <v>249</v>
      </c>
      <c r="L411" s="238"/>
    </row>
    <row r="412" spans="1:12" ht="27.95" customHeight="1">
      <c r="A412" s="11"/>
      <c r="B412" s="185"/>
      <c r="C412" s="217"/>
      <c r="D412" s="217"/>
      <c r="E412" s="217"/>
      <c r="F412" s="217" t="s">
        <v>250</v>
      </c>
      <c r="G412" s="217"/>
      <c r="H412" s="217"/>
      <c r="I412" s="217"/>
      <c r="J412" s="217"/>
      <c r="K412" s="217"/>
      <c r="L412" s="239"/>
    </row>
    <row r="413" spans="1:12" ht="27.95" customHeight="1">
      <c r="A413" s="11">
        <v>9</v>
      </c>
      <c r="B413" s="198" t="s">
        <v>251</v>
      </c>
      <c r="C413" s="199" t="s">
        <v>252</v>
      </c>
      <c r="D413" s="199"/>
      <c r="E413" s="199"/>
      <c r="F413" s="199"/>
      <c r="G413" s="200"/>
      <c r="H413" s="209"/>
      <c r="I413" s="199"/>
      <c r="J413" s="199"/>
      <c r="K413" s="199"/>
      <c r="L413" s="237"/>
    </row>
    <row r="414" spans="1:12" ht="27.95" customHeight="1">
      <c r="A414" s="72"/>
      <c r="B414" s="198" t="s">
        <v>253</v>
      </c>
      <c r="C414" s="199" t="s">
        <v>254</v>
      </c>
      <c r="D414" s="199"/>
      <c r="E414" s="199"/>
      <c r="F414" s="199"/>
      <c r="G414" s="200"/>
      <c r="H414" s="209"/>
      <c r="I414" s="199"/>
      <c r="J414" s="199"/>
      <c r="K414" s="199"/>
      <c r="L414" s="237"/>
    </row>
    <row r="415" spans="1:12" ht="27.95" customHeight="1">
      <c r="A415" s="72"/>
      <c r="B415" s="198" t="s">
        <v>292</v>
      </c>
      <c r="C415" s="199" t="s">
        <v>293</v>
      </c>
      <c r="D415" s="199"/>
      <c r="E415" s="199"/>
      <c r="F415" s="199"/>
      <c r="G415" s="200"/>
      <c r="H415" s="209"/>
      <c r="I415" s="199"/>
      <c r="J415" s="199"/>
      <c r="K415" s="199"/>
      <c r="L415" s="237"/>
    </row>
    <row r="416" spans="1:12" ht="27.95" customHeight="1">
      <c r="A416" s="72"/>
      <c r="B416" s="198" t="s">
        <v>256</v>
      </c>
      <c r="C416" s="199" t="s">
        <v>257</v>
      </c>
      <c r="D416" s="199"/>
      <c r="E416" s="199"/>
      <c r="F416" s="199"/>
      <c r="G416" s="200"/>
      <c r="H416" s="209"/>
      <c r="I416" s="199"/>
      <c r="J416" s="199"/>
      <c r="K416" s="199"/>
      <c r="L416" s="237"/>
    </row>
    <row r="417" spans="1:12" ht="27.95" customHeight="1">
      <c r="A417" s="72"/>
      <c r="B417" s="198" t="s">
        <v>258</v>
      </c>
      <c r="C417" s="199" t="s">
        <v>259</v>
      </c>
      <c r="D417" s="199"/>
      <c r="E417" s="199"/>
      <c r="F417" s="199"/>
      <c r="G417" s="200"/>
      <c r="H417" s="209"/>
      <c r="I417" s="199"/>
      <c r="J417" s="199"/>
      <c r="K417" s="199"/>
      <c r="L417" s="237"/>
    </row>
    <row r="418" spans="1:12" ht="27.95" customHeight="1">
      <c r="A418" s="72">
        <v>10</v>
      </c>
      <c r="B418" s="198" t="s">
        <v>251</v>
      </c>
      <c r="C418" s="199" t="s">
        <v>294</v>
      </c>
      <c r="D418" s="199"/>
      <c r="E418" s="199"/>
      <c r="F418" s="199"/>
      <c r="G418" s="200"/>
      <c r="H418" s="213" t="s">
        <v>248</v>
      </c>
      <c r="I418" s="214"/>
      <c r="J418" s="215"/>
      <c r="K418" s="213" t="s">
        <v>249</v>
      </c>
      <c r="L418" s="238"/>
    </row>
    <row r="419" spans="1:12" ht="27.95" customHeight="1">
      <c r="A419" s="72"/>
      <c r="B419" s="198" t="s">
        <v>253</v>
      </c>
      <c r="C419" s="199" t="s">
        <v>295</v>
      </c>
      <c r="D419" s="199"/>
      <c r="E419" s="199"/>
      <c r="F419" s="199"/>
      <c r="G419" s="200"/>
      <c r="H419" s="209"/>
      <c r="I419" s="199"/>
      <c r="J419" s="199"/>
      <c r="K419" s="199"/>
      <c r="L419" s="237"/>
    </row>
    <row r="420" spans="1:12" ht="27.95" customHeight="1">
      <c r="A420" s="72"/>
      <c r="B420" s="198" t="s">
        <v>292</v>
      </c>
      <c r="C420" s="199" t="s">
        <v>260</v>
      </c>
      <c r="D420" s="199"/>
      <c r="E420" s="199"/>
      <c r="F420" s="199"/>
      <c r="G420" s="200"/>
      <c r="H420" s="209"/>
      <c r="I420" s="199"/>
      <c r="J420" s="199"/>
      <c r="K420" s="199"/>
      <c r="L420" s="237"/>
    </row>
    <row r="421" spans="1:12" ht="27.95" customHeight="1">
      <c r="A421" s="72"/>
      <c r="B421" s="198" t="s">
        <v>256</v>
      </c>
      <c r="C421" s="199" t="s">
        <v>296</v>
      </c>
      <c r="D421" s="199"/>
      <c r="E421" s="199"/>
      <c r="F421" s="199"/>
      <c r="G421" s="200"/>
      <c r="H421" s="209"/>
      <c r="I421" s="199"/>
      <c r="J421" s="199"/>
      <c r="K421" s="199"/>
      <c r="L421" s="237"/>
    </row>
    <row r="422" spans="1:12" ht="27.95" customHeight="1">
      <c r="A422" s="11"/>
      <c r="B422" s="185"/>
      <c r="C422" s="217"/>
      <c r="D422" s="217"/>
      <c r="E422" s="217" t="s">
        <v>297</v>
      </c>
      <c r="F422" s="217"/>
      <c r="G422" s="217"/>
      <c r="H422" s="217"/>
      <c r="I422" s="217"/>
      <c r="J422" s="217"/>
      <c r="K422" s="217"/>
      <c r="L422" s="239"/>
    </row>
    <row r="423" spans="1:12" ht="27.95" customHeight="1">
      <c r="A423" s="11">
        <v>11</v>
      </c>
      <c r="B423" s="198" t="s">
        <v>251</v>
      </c>
      <c r="C423" s="199" t="s">
        <v>261</v>
      </c>
      <c r="D423" s="199"/>
      <c r="E423" s="199"/>
      <c r="F423" s="199"/>
      <c r="G423" s="200"/>
      <c r="H423" s="209"/>
      <c r="I423" s="199"/>
      <c r="J423" s="199"/>
      <c r="K423" s="199"/>
      <c r="L423" s="237"/>
    </row>
    <row r="424" spans="1:12" ht="27.95" customHeight="1">
      <c r="A424" s="11"/>
      <c r="B424" s="198" t="s">
        <v>253</v>
      </c>
      <c r="C424" s="199" t="s">
        <v>262</v>
      </c>
      <c r="D424" s="199"/>
      <c r="E424" s="199"/>
      <c r="F424" s="199"/>
      <c r="G424" s="200"/>
      <c r="H424" s="209"/>
      <c r="I424" s="199"/>
      <c r="J424" s="199"/>
      <c r="K424" s="199"/>
      <c r="L424" s="237"/>
    </row>
    <row r="425" spans="1:12" ht="27.95" customHeight="1">
      <c r="A425" s="11"/>
      <c r="B425" s="198" t="s">
        <v>255</v>
      </c>
      <c r="C425" s="199" t="s">
        <v>263</v>
      </c>
      <c r="D425" s="199"/>
      <c r="E425" s="199"/>
      <c r="F425" s="199"/>
      <c r="G425" s="200"/>
      <c r="H425" s="209"/>
      <c r="I425" s="199"/>
      <c r="J425" s="199"/>
      <c r="K425" s="199"/>
      <c r="L425" s="237"/>
    </row>
    <row r="426" spans="1:12" ht="27.95" customHeight="1">
      <c r="A426" s="11"/>
      <c r="B426" s="173"/>
      <c r="C426" s="169"/>
      <c r="D426" s="169"/>
      <c r="E426" s="169"/>
      <c r="F426" s="218" t="s">
        <v>264</v>
      </c>
      <c r="G426" s="169"/>
      <c r="H426" s="158"/>
      <c r="I426" s="158"/>
      <c r="J426" s="158"/>
      <c r="K426" s="158"/>
      <c r="L426" s="176"/>
    </row>
    <row r="427" spans="1:12" ht="27.95" customHeight="1">
      <c r="A427" s="11"/>
      <c r="B427" s="230" t="s">
        <v>265</v>
      </c>
      <c r="C427" s="229" t="s">
        <v>266</v>
      </c>
      <c r="D427" s="169"/>
      <c r="E427" s="169"/>
      <c r="F427" s="169"/>
      <c r="G427" s="169"/>
      <c r="H427" s="158"/>
      <c r="I427" s="158"/>
      <c r="J427" s="159"/>
      <c r="K427" s="158"/>
      <c r="L427" s="176"/>
    </row>
    <row r="428" spans="1:12" ht="27.95" customHeight="1">
      <c r="A428" s="11"/>
      <c r="B428" s="230" t="s">
        <v>267</v>
      </c>
      <c r="C428" s="228" t="s">
        <v>268</v>
      </c>
      <c r="D428" s="158"/>
      <c r="E428" s="159"/>
      <c r="G428" s="1300"/>
      <c r="H428" s="1300"/>
      <c r="I428" s="174"/>
      <c r="J428" s="175"/>
      <c r="K428" s="1300"/>
      <c r="L428" s="1301"/>
    </row>
    <row r="429" spans="1:12" ht="27.95" customHeight="1">
      <c r="A429" s="11"/>
      <c r="B429" s="231" t="s">
        <v>269</v>
      </c>
      <c r="C429" s="1302" t="s">
        <v>298</v>
      </c>
      <c r="D429" s="1302"/>
      <c r="E429" s="1302"/>
      <c r="F429" s="1302"/>
      <c r="G429" s="1302"/>
      <c r="H429" s="1302"/>
      <c r="I429" s="1302"/>
      <c r="J429" s="1302"/>
      <c r="K429" s="1302"/>
      <c r="L429" s="1303"/>
    </row>
    <row r="430" spans="1:12">
      <c r="A430" s="11"/>
      <c r="B430" s="230" t="s">
        <v>270</v>
      </c>
      <c r="C430" s="229" t="s">
        <v>271</v>
      </c>
      <c r="D430" s="221"/>
      <c r="E430" s="221"/>
      <c r="F430" s="221"/>
      <c r="G430" s="221"/>
      <c r="H430" s="221"/>
      <c r="I430" s="221"/>
      <c r="J430" s="221"/>
      <c r="K430" s="221"/>
      <c r="L430" s="240"/>
    </row>
    <row r="431" spans="1:12">
      <c r="A431" s="11"/>
      <c r="B431" s="173"/>
      <c r="C431" t="s">
        <v>299</v>
      </c>
      <c r="D431" s="287" t="e">
        <f>'4-22MASTER'!#REF!</f>
        <v>#REF!</v>
      </c>
      <c r="E431" s="2"/>
      <c r="F431" s="2"/>
      <c r="G431" s="2"/>
      <c r="L431" s="12"/>
    </row>
    <row r="432" spans="1:12">
      <c r="A432" s="11"/>
      <c r="C432" t="s">
        <v>272</v>
      </c>
      <c r="D432" t="s">
        <v>361</v>
      </c>
      <c r="J432" t="s">
        <v>300</v>
      </c>
      <c r="L432" s="12"/>
    </row>
    <row r="433" spans="1:12">
      <c r="A433" s="11"/>
      <c r="F433" s="219" t="s">
        <v>273</v>
      </c>
      <c r="L433" s="12"/>
    </row>
    <row r="434" spans="1:12">
      <c r="A434" s="11" t="s">
        <v>301</v>
      </c>
      <c r="B434" t="s">
        <v>274</v>
      </c>
      <c r="E434" s="222" t="e">
        <f>'4-22MASTER'!#REF!</f>
        <v>#REF!</v>
      </c>
      <c r="H434" s="1304" t="s">
        <v>275</v>
      </c>
      <c r="I434" s="1304"/>
      <c r="J434" s="223" t="e">
        <f>'4-22MASTER'!#REF!</f>
        <v>#REF!</v>
      </c>
      <c r="K434" t="s">
        <v>276</v>
      </c>
      <c r="L434" s="12"/>
    </row>
    <row r="435" spans="1:12">
      <c r="A435" s="11"/>
      <c r="B435" s="1305" t="e">
        <f>'4-22MASTER'!#REF!</f>
        <v>#REF!</v>
      </c>
      <c r="C435" s="1306"/>
      <c r="D435" s="220"/>
      <c r="E435" s="220"/>
      <c r="F435" s="220"/>
      <c r="G435" s="220"/>
      <c r="H435" s="220"/>
      <c r="I435" s="220"/>
      <c r="J435" s="220"/>
      <c r="K435" s="220"/>
      <c r="L435" s="241"/>
    </row>
    <row r="436" spans="1:12" ht="15" customHeight="1">
      <c r="A436" s="11" t="s">
        <v>303</v>
      </c>
      <c r="B436" s="220" t="s">
        <v>277</v>
      </c>
      <c r="C436" s="220"/>
      <c r="D436" s="220"/>
      <c r="E436" s="220"/>
      <c r="F436" s="220"/>
      <c r="G436" s="220"/>
      <c r="H436" s="220"/>
      <c r="I436" s="220"/>
      <c r="J436" s="220"/>
      <c r="K436" s="220"/>
      <c r="L436" s="241"/>
    </row>
    <row r="437" spans="1:12">
      <c r="A437" s="11"/>
      <c r="B437" s="220" t="s">
        <v>302</v>
      </c>
      <c r="C437" s="220"/>
      <c r="D437" s="220"/>
      <c r="E437" s="220"/>
      <c r="F437" s="220"/>
      <c r="G437" s="220"/>
      <c r="H437" s="220"/>
      <c r="I437" s="220"/>
      <c r="J437" s="220"/>
      <c r="K437" s="220"/>
      <c r="L437" s="241"/>
    </row>
    <row r="438" spans="1:12">
      <c r="A438" s="11"/>
      <c r="B438" t="s">
        <v>278</v>
      </c>
      <c r="L438" s="12"/>
    </row>
    <row r="439" spans="1:12" ht="18.75">
      <c r="A439" s="11"/>
      <c r="B439" s="2" t="s">
        <v>279</v>
      </c>
      <c r="F439" s="172"/>
      <c r="L439" s="12"/>
    </row>
    <row r="440" spans="1:12">
      <c r="A440" s="11"/>
      <c r="B440" s="2" t="s">
        <v>280</v>
      </c>
      <c r="L440" s="12"/>
    </row>
    <row r="441" spans="1:12">
      <c r="A441" s="11"/>
      <c r="B441" t="s">
        <v>281</v>
      </c>
      <c r="L441" s="12"/>
    </row>
    <row r="442" spans="1:12">
      <c r="A442" s="11"/>
      <c r="B442" t="s">
        <v>282</v>
      </c>
      <c r="L442" s="12"/>
    </row>
    <row r="443" spans="1:12">
      <c r="A443" s="11" t="s">
        <v>292</v>
      </c>
      <c r="B443" t="s">
        <v>283</v>
      </c>
      <c r="L443" s="12"/>
    </row>
    <row r="444" spans="1:12">
      <c r="A444" s="11"/>
      <c r="B444" s="232" t="s">
        <v>304</v>
      </c>
      <c r="L444" s="12"/>
    </row>
    <row r="445" spans="1:12">
      <c r="A445" s="11"/>
      <c r="B445" t="s">
        <v>278</v>
      </c>
      <c r="L445" s="12"/>
    </row>
    <row r="446" spans="1:12">
      <c r="A446" s="11"/>
      <c r="B446" t="s">
        <v>284</v>
      </c>
      <c r="L446" s="12"/>
    </row>
    <row r="447" spans="1:12">
      <c r="A447" s="11"/>
      <c r="B447" t="s">
        <v>285</v>
      </c>
      <c r="L447" s="12"/>
    </row>
    <row r="448" spans="1:12">
      <c r="A448" s="11"/>
      <c r="B448" s="1307" t="s">
        <v>286</v>
      </c>
      <c r="C448" s="1307"/>
      <c r="D448" s="1307"/>
      <c r="E448" s="1307"/>
      <c r="F448" s="1307"/>
      <c r="G448" s="1307"/>
      <c r="H448" s="1307"/>
      <c r="I448" s="1307"/>
      <c r="J448" s="1307"/>
      <c r="K448" s="1307"/>
      <c r="L448" s="1308"/>
    </row>
    <row r="449" spans="1:12" ht="23.25">
      <c r="A449" s="11"/>
      <c r="B449" t="s">
        <v>198</v>
      </c>
      <c r="C449" s="282" t="e">
        <f>'4-22MASTER'!#REF!</f>
        <v>#REF!</v>
      </c>
      <c r="D449" s="202"/>
      <c r="E449" s="202"/>
      <c r="F449" s="202"/>
      <c r="G449" s="202"/>
      <c r="H449" s="202"/>
      <c r="I449" t="s">
        <v>305</v>
      </c>
      <c r="J449" s="202"/>
      <c r="K449" s="202"/>
      <c r="L449" s="233"/>
    </row>
    <row r="450" spans="1:12" ht="16.5" thickBot="1">
      <c r="A450" s="16"/>
      <c r="B450" s="1131"/>
      <c r="C450" s="1131"/>
      <c r="D450" s="1131"/>
      <c r="E450" s="1131"/>
      <c r="F450" s="1131"/>
      <c r="G450" s="1131"/>
      <c r="H450" s="1131"/>
      <c r="I450" s="1131"/>
      <c r="J450" s="1131"/>
      <c r="K450" s="1131"/>
      <c r="L450" s="1132"/>
    </row>
    <row r="451" spans="1:12" ht="21.75" customHeight="1">
      <c r="A451" s="61"/>
      <c r="B451" s="62"/>
      <c r="C451" s="62"/>
      <c r="D451" s="62"/>
      <c r="E451" s="62"/>
      <c r="F451" s="62"/>
      <c r="G451" s="62"/>
      <c r="H451" s="62"/>
      <c r="I451" s="66" t="s">
        <v>232</v>
      </c>
      <c r="J451" s="62"/>
      <c r="K451" s="62"/>
      <c r="L451" s="63"/>
    </row>
    <row r="452" spans="1:12" ht="12" customHeight="1">
      <c r="A452" s="11"/>
      <c r="B452" s="1309" t="s">
        <v>287</v>
      </c>
      <c r="C452" s="1309"/>
      <c r="D452" s="1309"/>
      <c r="E452" s="1309"/>
      <c r="F452" s="1309"/>
      <c r="G452" s="1309"/>
      <c r="H452" s="1309"/>
      <c r="I452" s="1309"/>
      <c r="J452" s="1309"/>
      <c r="K452" s="1309"/>
      <c r="L452" s="1310"/>
    </row>
    <row r="453" spans="1:12" ht="27.95" customHeight="1">
      <c r="A453" s="11"/>
      <c r="B453" s="202"/>
      <c r="C453" s="202"/>
      <c r="D453" s="210" t="s">
        <v>234</v>
      </c>
      <c r="E453" s="202"/>
      <c r="F453" s="202"/>
      <c r="G453" s="202"/>
      <c r="H453" s="202"/>
      <c r="I453" s="204" t="s">
        <v>288</v>
      </c>
      <c r="J453" s="205"/>
      <c r="K453" s="286" t="e">
        <f>'4-22MASTER'!#REF!</f>
        <v>#REF!</v>
      </c>
      <c r="L453" s="235"/>
    </row>
    <row r="454" spans="1:12" ht="27.95" customHeight="1">
      <c r="A454" s="11"/>
      <c r="B454" s="1"/>
      <c r="C454" s="1" t="s">
        <v>235</v>
      </c>
      <c r="E454" s="1"/>
      <c r="F454" s="1"/>
      <c r="G454" s="1"/>
      <c r="H454" s="1"/>
      <c r="I454" s="203" t="s">
        <v>289</v>
      </c>
      <c r="J454" s="224" t="str">
        <f>'4-22MASTER'!G5</f>
        <v>Burgeon IT Services Pvt.Ltd.</v>
      </c>
      <c r="K454" s="206"/>
      <c r="L454" s="236"/>
    </row>
    <row r="455" spans="1:12" ht="24" customHeight="1">
      <c r="A455" s="11"/>
      <c r="B455" s="211"/>
      <c r="C455" s="180" t="s">
        <v>236</v>
      </c>
      <c r="E455" s="211"/>
      <c r="F455" s="211"/>
      <c r="H455" s="181"/>
      <c r="I455" s="227" t="str">
        <f>'4-22MASTER'!G6</f>
        <v>Siri Mansion LIGB 436 Dr.A S Rao Nagar,Hyderabad</v>
      </c>
      <c r="J455" s="225"/>
      <c r="K455" s="226"/>
      <c r="L455" s="190"/>
    </row>
    <row r="456" spans="1:12" ht="27.95" customHeight="1">
      <c r="A456" s="11">
        <v>1</v>
      </c>
      <c r="B456" s="207" t="s">
        <v>237</v>
      </c>
      <c r="C456" s="53"/>
      <c r="D456" s="53"/>
      <c r="E456" s="53"/>
      <c r="F456" s="53"/>
      <c r="G456" s="54"/>
      <c r="H456" s="1261" t="e">
        <f>'4-22MASTER'!#REF!</f>
        <v>#REF!</v>
      </c>
      <c r="I456" s="1287"/>
      <c r="J456" s="1287"/>
      <c r="K456" s="1287"/>
      <c r="L456" s="1288"/>
    </row>
    <row r="457" spans="1:12" ht="21" customHeight="1">
      <c r="A457" s="11">
        <v>2</v>
      </c>
      <c r="B457" s="1311" t="s">
        <v>238</v>
      </c>
      <c r="C457" s="1312"/>
      <c r="D457" s="1312"/>
      <c r="E457" s="1312"/>
      <c r="F457" s="208" t="s">
        <v>239</v>
      </c>
      <c r="G457" s="192"/>
      <c r="H457" s="1313" t="e">
        <f>'4-22MASTER'!#REF!</f>
        <v>#REF!</v>
      </c>
      <c r="I457" s="1314"/>
      <c r="J457" s="1314"/>
      <c r="K457" s="1314"/>
      <c r="L457" s="1315"/>
    </row>
    <row r="458" spans="1:12" ht="12" customHeight="1">
      <c r="A458" s="11"/>
      <c r="B458" s="193" t="s">
        <v>240</v>
      </c>
      <c r="C458" s="194"/>
      <c r="D458" s="194"/>
      <c r="E458" s="194"/>
      <c r="F458" s="194" t="s">
        <v>233</v>
      </c>
      <c r="G458" s="195"/>
      <c r="H458" s="1316"/>
      <c r="I458" s="1317"/>
      <c r="J458" s="1317"/>
      <c r="K458" s="1317"/>
      <c r="L458" s="1318"/>
    </row>
    <row r="459" spans="1:12" ht="27.95" customHeight="1">
      <c r="A459" s="11">
        <v>3</v>
      </c>
      <c r="B459" s="209" t="s">
        <v>241</v>
      </c>
      <c r="C459" s="199"/>
      <c r="D459" s="199"/>
      <c r="E459" s="199"/>
      <c r="F459" s="199"/>
      <c r="G459" s="200"/>
      <c r="H459" s="1291" t="e">
        <f>'4-22MASTER'!#REF!</f>
        <v>#REF!</v>
      </c>
      <c r="I459" s="1292"/>
      <c r="J459" s="1292"/>
      <c r="K459" s="1292"/>
      <c r="L459" s="1293"/>
    </row>
    <row r="460" spans="1:12" ht="23.25" customHeight="1">
      <c r="A460" s="11">
        <v>4</v>
      </c>
      <c r="B460" s="185" t="s">
        <v>242</v>
      </c>
      <c r="C460" s="53"/>
      <c r="D460" s="53"/>
      <c r="E460" s="53"/>
      <c r="F460" s="53"/>
      <c r="G460" s="54"/>
      <c r="H460" s="1253" t="e">
        <f>'4-22MASTER'!#REF!</f>
        <v>#REF!</v>
      </c>
      <c r="I460" s="1279"/>
      <c r="J460" s="1279"/>
      <c r="K460" s="1279"/>
      <c r="L460" s="1272"/>
    </row>
    <row r="461" spans="1:12" ht="27.95" customHeight="1">
      <c r="A461" s="11">
        <v>5</v>
      </c>
      <c r="B461" s="1294" t="s">
        <v>290</v>
      </c>
      <c r="C461" s="1295"/>
      <c r="D461" s="1295"/>
      <c r="E461" s="1295"/>
      <c r="F461" s="1295"/>
      <c r="G461" s="54"/>
      <c r="H461" s="1286" t="s">
        <v>369</v>
      </c>
      <c r="I461" s="1287"/>
      <c r="J461" s="1287"/>
      <c r="K461" s="1287"/>
      <c r="L461" s="1288"/>
    </row>
    <row r="462" spans="1:12" ht="27.95" customHeight="1">
      <c r="A462" s="11">
        <v>6</v>
      </c>
      <c r="B462" s="198" t="s">
        <v>243</v>
      </c>
      <c r="C462" s="199" t="s">
        <v>244</v>
      </c>
      <c r="D462" s="199"/>
      <c r="E462" s="199"/>
      <c r="F462" s="199"/>
      <c r="G462" s="200"/>
      <c r="H462" s="209"/>
      <c r="I462" s="199"/>
      <c r="J462" s="199"/>
      <c r="K462" s="199"/>
      <c r="L462" s="237"/>
    </row>
    <row r="463" spans="1:12" ht="27.95" customHeight="1">
      <c r="A463" s="11"/>
      <c r="B463" s="198" t="s">
        <v>245</v>
      </c>
      <c r="C463" s="199" t="s">
        <v>246</v>
      </c>
      <c r="D463" s="199"/>
      <c r="E463" s="199"/>
      <c r="F463" s="199"/>
      <c r="G463" s="200"/>
      <c r="H463" s="209"/>
      <c r="I463" s="191"/>
      <c r="J463" s="191"/>
      <c r="K463" s="199"/>
      <c r="L463" s="237"/>
    </row>
    <row r="464" spans="1:12" ht="27.95" customHeight="1">
      <c r="A464" s="11">
        <v>7</v>
      </c>
      <c r="B464" s="1291" t="s">
        <v>247</v>
      </c>
      <c r="C464" s="1292"/>
      <c r="D464" s="1292"/>
      <c r="E464" s="1292"/>
      <c r="F464" s="1292"/>
      <c r="G464" s="1299"/>
      <c r="H464" s="213" t="s">
        <v>248</v>
      </c>
      <c r="I464" s="214"/>
      <c r="J464" s="215"/>
      <c r="K464" s="213" t="s">
        <v>249</v>
      </c>
      <c r="L464" s="238"/>
    </row>
    <row r="465" spans="1:12" ht="27.95" customHeight="1">
      <c r="A465" s="11">
        <v>8</v>
      </c>
      <c r="B465" s="1291" t="s">
        <v>291</v>
      </c>
      <c r="C465" s="1292"/>
      <c r="D465" s="1292"/>
      <c r="E465" s="1292"/>
      <c r="F465" s="1292"/>
      <c r="G465" s="1299"/>
      <c r="H465" s="213" t="s">
        <v>248</v>
      </c>
      <c r="I465" s="214"/>
      <c r="J465" s="215"/>
      <c r="K465" s="213" t="s">
        <v>249</v>
      </c>
      <c r="L465" s="238"/>
    </row>
    <row r="466" spans="1:12" ht="27.95" customHeight="1">
      <c r="A466" s="11"/>
      <c r="B466" s="185"/>
      <c r="C466" s="217"/>
      <c r="D466" s="217"/>
      <c r="E466" s="217"/>
      <c r="F466" s="217" t="s">
        <v>250</v>
      </c>
      <c r="G466" s="217"/>
      <c r="H466" s="217"/>
      <c r="I466" s="217"/>
      <c r="J466" s="217"/>
      <c r="K466" s="217"/>
      <c r="L466" s="239"/>
    </row>
    <row r="467" spans="1:12" ht="27.95" customHeight="1">
      <c r="A467" s="11">
        <v>9</v>
      </c>
      <c r="B467" s="198" t="s">
        <v>251</v>
      </c>
      <c r="C467" s="199" t="s">
        <v>252</v>
      </c>
      <c r="D467" s="199"/>
      <c r="E467" s="199"/>
      <c r="F467" s="199"/>
      <c r="G467" s="200"/>
      <c r="H467" s="209"/>
      <c r="I467" s="199"/>
      <c r="J467" s="199"/>
      <c r="K467" s="199"/>
      <c r="L467" s="237"/>
    </row>
    <row r="468" spans="1:12">
      <c r="A468" s="72"/>
      <c r="B468" s="198" t="s">
        <v>253</v>
      </c>
      <c r="C468" s="199" t="s">
        <v>254</v>
      </c>
      <c r="D468" s="199"/>
      <c r="E468" s="199"/>
      <c r="F468" s="199"/>
      <c r="G468" s="200"/>
      <c r="H468" s="209"/>
      <c r="I468" s="199"/>
      <c r="J468" s="199"/>
      <c r="K468" s="199"/>
      <c r="L468" s="237"/>
    </row>
    <row r="469" spans="1:12">
      <c r="A469" s="72"/>
      <c r="B469" s="198" t="s">
        <v>292</v>
      </c>
      <c r="C469" s="199" t="s">
        <v>293</v>
      </c>
      <c r="D469" s="199"/>
      <c r="E469" s="199"/>
      <c r="F469" s="199"/>
      <c r="G469" s="200"/>
      <c r="H469" s="209"/>
      <c r="I469" s="199"/>
      <c r="J469" s="199"/>
      <c r="K469" s="199"/>
      <c r="L469" s="237"/>
    </row>
    <row r="470" spans="1:12">
      <c r="A470" s="72"/>
      <c r="B470" s="198" t="s">
        <v>256</v>
      </c>
      <c r="C470" s="199" t="s">
        <v>257</v>
      </c>
      <c r="D470" s="199"/>
      <c r="E470" s="199"/>
      <c r="F470" s="199"/>
      <c r="G470" s="200"/>
      <c r="H470" s="209"/>
      <c r="I470" s="199"/>
      <c r="J470" s="199"/>
      <c r="K470" s="199"/>
      <c r="L470" s="237"/>
    </row>
    <row r="471" spans="1:12">
      <c r="A471" s="72"/>
      <c r="B471" s="198" t="s">
        <v>258</v>
      </c>
      <c r="C471" s="199" t="s">
        <v>259</v>
      </c>
      <c r="D471" s="199"/>
      <c r="E471" s="199"/>
      <c r="F471" s="199"/>
      <c r="G471" s="200"/>
      <c r="H471" s="209"/>
      <c r="I471" s="199"/>
      <c r="J471" s="199"/>
      <c r="K471" s="199"/>
      <c r="L471" s="237"/>
    </row>
    <row r="472" spans="1:12">
      <c r="A472" s="72">
        <v>10</v>
      </c>
      <c r="B472" s="198" t="s">
        <v>251</v>
      </c>
      <c r="C472" s="199" t="s">
        <v>294</v>
      </c>
      <c r="D472" s="199"/>
      <c r="E472" s="199"/>
      <c r="F472" s="199"/>
      <c r="G472" s="200"/>
      <c r="H472" s="213" t="s">
        <v>248</v>
      </c>
      <c r="I472" s="214"/>
      <c r="J472" s="215"/>
      <c r="K472" s="213" t="s">
        <v>249</v>
      </c>
      <c r="L472" s="238"/>
    </row>
    <row r="473" spans="1:12" ht="15" customHeight="1">
      <c r="A473" s="72"/>
      <c r="B473" s="198" t="s">
        <v>253</v>
      </c>
      <c r="C473" s="199" t="s">
        <v>295</v>
      </c>
      <c r="D473" s="199"/>
      <c r="E473" s="199"/>
      <c r="F473" s="199"/>
      <c r="G473" s="200"/>
      <c r="H473" s="209"/>
      <c r="I473" s="199"/>
      <c r="J473" s="199"/>
      <c r="K473" s="199"/>
      <c r="L473" s="237"/>
    </row>
    <row r="474" spans="1:12">
      <c r="A474" s="72"/>
      <c r="B474" s="198" t="s">
        <v>292</v>
      </c>
      <c r="C474" s="199" t="s">
        <v>260</v>
      </c>
      <c r="D474" s="199"/>
      <c r="E474" s="199"/>
      <c r="F474" s="199"/>
      <c r="G474" s="200"/>
      <c r="H474" s="209"/>
      <c r="I474" s="199"/>
      <c r="J474" s="199"/>
      <c r="K474" s="199"/>
      <c r="L474" s="237"/>
    </row>
    <row r="475" spans="1:12">
      <c r="A475" s="72"/>
      <c r="B475" s="198" t="s">
        <v>256</v>
      </c>
      <c r="C475" s="199" t="s">
        <v>296</v>
      </c>
      <c r="D475" s="199"/>
      <c r="E475" s="199"/>
      <c r="F475" s="199"/>
      <c r="G475" s="200"/>
      <c r="H475" s="209"/>
      <c r="I475" s="199"/>
      <c r="J475" s="199"/>
      <c r="K475" s="199"/>
      <c r="L475" s="237"/>
    </row>
    <row r="476" spans="1:12">
      <c r="A476" s="11"/>
      <c r="B476" s="185"/>
      <c r="C476" s="217"/>
      <c r="D476" s="217"/>
      <c r="E476" s="217" t="s">
        <v>297</v>
      </c>
      <c r="F476" s="217"/>
      <c r="G476" s="217"/>
      <c r="H476" s="217"/>
      <c r="I476" s="217"/>
      <c r="J476" s="217"/>
      <c r="K476" s="217"/>
      <c r="L476" s="239"/>
    </row>
    <row r="477" spans="1:12">
      <c r="A477" s="11">
        <v>11</v>
      </c>
      <c r="B477" s="198" t="s">
        <v>251</v>
      </c>
      <c r="C477" s="199" t="s">
        <v>261</v>
      </c>
      <c r="D477" s="199"/>
      <c r="E477" s="199"/>
      <c r="F477" s="199"/>
      <c r="G477" s="200"/>
      <c r="H477" s="209"/>
      <c r="I477" s="199"/>
      <c r="J477" s="199"/>
      <c r="K477" s="199"/>
      <c r="L477" s="237"/>
    </row>
    <row r="478" spans="1:12">
      <c r="A478" s="11"/>
      <c r="B478" s="198" t="s">
        <v>253</v>
      </c>
      <c r="C478" s="199" t="s">
        <v>262</v>
      </c>
      <c r="D478" s="199"/>
      <c r="E478" s="199"/>
      <c r="F478" s="199"/>
      <c r="G478" s="200"/>
      <c r="H478" s="209"/>
      <c r="I478" s="199"/>
      <c r="J478" s="199"/>
      <c r="K478" s="199"/>
      <c r="L478" s="237"/>
    </row>
    <row r="479" spans="1:12">
      <c r="A479" s="11"/>
      <c r="B479" s="198" t="s">
        <v>255</v>
      </c>
      <c r="C479" s="199" t="s">
        <v>263</v>
      </c>
      <c r="D479" s="199"/>
      <c r="E479" s="199"/>
      <c r="F479" s="199"/>
      <c r="G479" s="200"/>
      <c r="H479" s="209"/>
      <c r="I479" s="199"/>
      <c r="J479" s="199"/>
      <c r="K479" s="199"/>
      <c r="L479" s="237"/>
    </row>
    <row r="480" spans="1:12">
      <c r="A480" s="11"/>
      <c r="B480" s="173"/>
      <c r="C480" s="169"/>
      <c r="D480" s="169"/>
      <c r="E480" s="169"/>
      <c r="F480" s="218" t="s">
        <v>264</v>
      </c>
      <c r="G480" s="169"/>
      <c r="H480" s="158"/>
      <c r="I480" s="158"/>
      <c r="J480" s="158"/>
      <c r="K480" s="158"/>
      <c r="L480" s="176"/>
    </row>
    <row r="481" spans="1:12">
      <c r="A481" s="11"/>
      <c r="B481" s="230" t="s">
        <v>265</v>
      </c>
      <c r="C481" s="229" t="s">
        <v>266</v>
      </c>
      <c r="D481" s="169"/>
      <c r="E481" s="169"/>
      <c r="F481" s="169"/>
      <c r="G481" s="169"/>
      <c r="H481" s="158"/>
      <c r="I481" s="158"/>
      <c r="J481" s="159"/>
      <c r="K481" s="158"/>
      <c r="L481" s="176"/>
    </row>
    <row r="482" spans="1:12">
      <c r="A482" s="11"/>
      <c r="B482" s="230" t="s">
        <v>267</v>
      </c>
      <c r="C482" s="228" t="s">
        <v>268</v>
      </c>
      <c r="D482" s="158"/>
      <c r="E482" s="159"/>
      <c r="G482" s="1300"/>
      <c r="H482" s="1300"/>
      <c r="I482" s="174"/>
      <c r="J482" s="175"/>
      <c r="K482" s="1300"/>
      <c r="L482" s="1301"/>
    </row>
    <row r="483" spans="1:12">
      <c r="A483" s="11"/>
      <c r="B483" s="231" t="s">
        <v>269</v>
      </c>
      <c r="C483" s="1302" t="s">
        <v>298</v>
      </c>
      <c r="D483" s="1302"/>
      <c r="E483" s="1302"/>
      <c r="F483" s="1302"/>
      <c r="G483" s="1302"/>
      <c r="H483" s="1302"/>
      <c r="I483" s="1302"/>
      <c r="J483" s="1302"/>
      <c r="K483" s="1302"/>
      <c r="L483" s="1303"/>
    </row>
    <row r="484" spans="1:12">
      <c r="A484" s="11"/>
      <c r="B484" s="230" t="s">
        <v>270</v>
      </c>
      <c r="C484" s="229" t="s">
        <v>271</v>
      </c>
      <c r="D484" s="221"/>
      <c r="E484" s="221"/>
      <c r="F484" s="221"/>
      <c r="G484" s="221"/>
      <c r="H484" s="221"/>
      <c r="I484" s="221"/>
      <c r="J484" s="221"/>
      <c r="K484" s="221"/>
      <c r="L484" s="240"/>
    </row>
    <row r="485" spans="1:12">
      <c r="A485" s="11"/>
      <c r="B485" s="173"/>
      <c r="C485" t="s">
        <v>299</v>
      </c>
      <c r="D485" s="287" t="e">
        <f>'4-22MASTER'!#REF!</f>
        <v>#REF!</v>
      </c>
      <c r="E485" s="2"/>
      <c r="F485" s="2"/>
      <c r="G485" s="2"/>
      <c r="L485" s="12"/>
    </row>
    <row r="486" spans="1:12">
      <c r="A486" s="11"/>
      <c r="C486" t="s">
        <v>272</v>
      </c>
      <c r="D486" t="s">
        <v>361</v>
      </c>
      <c r="J486" t="s">
        <v>300</v>
      </c>
      <c r="L486" s="12"/>
    </row>
    <row r="487" spans="1:12">
      <c r="A487" s="11"/>
      <c r="F487" s="219" t="s">
        <v>273</v>
      </c>
      <c r="L487" s="12"/>
    </row>
    <row r="488" spans="1:12" ht="27.95" customHeight="1">
      <c r="A488" s="11" t="s">
        <v>301</v>
      </c>
      <c r="B488" t="s">
        <v>274</v>
      </c>
      <c r="E488" s="222" t="e">
        <f>'4-22MASTER'!#REF!</f>
        <v>#REF!</v>
      </c>
      <c r="H488" s="1304" t="s">
        <v>275</v>
      </c>
      <c r="I488" s="1304"/>
      <c r="J488" s="223" t="e">
        <f>'4-22MASTER'!#REF!</f>
        <v>#REF!</v>
      </c>
      <c r="K488" t="s">
        <v>276</v>
      </c>
      <c r="L488" s="12"/>
    </row>
    <row r="489" spans="1:12" ht="15.75" customHeight="1">
      <c r="A489" s="11"/>
      <c r="B489" s="1305" t="e">
        <f>'4-22MASTER'!#REF!</f>
        <v>#REF!</v>
      </c>
      <c r="C489" s="1306"/>
      <c r="D489" s="220"/>
      <c r="E489" s="220"/>
      <c r="F489" s="220"/>
      <c r="G489" s="220"/>
      <c r="H489" s="220"/>
      <c r="I489" s="220"/>
      <c r="J489" s="220"/>
      <c r="K489" s="220"/>
      <c r="L489" s="241"/>
    </row>
    <row r="490" spans="1:12" ht="22.5" customHeight="1">
      <c r="A490" s="11" t="s">
        <v>303</v>
      </c>
      <c r="B490" s="220" t="s">
        <v>277</v>
      </c>
      <c r="C490" s="220"/>
      <c r="D490" s="220"/>
      <c r="E490" s="220"/>
      <c r="F490" s="220"/>
      <c r="G490" s="220"/>
      <c r="H490" s="220"/>
      <c r="I490" s="220"/>
      <c r="J490" s="220"/>
      <c r="K490" s="220"/>
      <c r="L490" s="241"/>
    </row>
    <row r="491" spans="1:12" ht="19.5" customHeight="1">
      <c r="A491" s="11"/>
      <c r="B491" s="220" t="s">
        <v>302</v>
      </c>
      <c r="C491" s="220"/>
      <c r="D491" s="220"/>
      <c r="E491" s="220"/>
      <c r="F491" s="220"/>
      <c r="G491" s="220"/>
      <c r="H491" s="220"/>
      <c r="I491" s="220"/>
      <c r="J491" s="220"/>
      <c r="K491" s="220"/>
      <c r="L491" s="241"/>
    </row>
    <row r="492" spans="1:12" ht="22.5" customHeight="1">
      <c r="A492" s="11"/>
      <c r="B492" t="s">
        <v>278</v>
      </c>
      <c r="L492" s="12"/>
    </row>
    <row r="493" spans="1:12" ht="18" customHeight="1">
      <c r="A493" s="11"/>
      <c r="B493" s="2" t="s">
        <v>279</v>
      </c>
      <c r="F493" s="172"/>
      <c r="L493" s="12"/>
    </row>
    <row r="494" spans="1:12" ht="16.5" customHeight="1">
      <c r="A494" s="11"/>
      <c r="B494" s="2" t="s">
        <v>280</v>
      </c>
      <c r="L494" s="12"/>
    </row>
    <row r="495" spans="1:12" ht="22.5" customHeight="1">
      <c r="A495" s="11"/>
      <c r="B495" t="s">
        <v>281</v>
      </c>
      <c r="L495" s="12"/>
    </row>
    <row r="496" spans="1:12" ht="19.5" customHeight="1">
      <c r="A496" s="11"/>
      <c r="B496" t="s">
        <v>282</v>
      </c>
      <c r="L496" s="12"/>
    </row>
    <row r="497" spans="1:12" ht="20.25" customHeight="1">
      <c r="A497" s="11" t="s">
        <v>292</v>
      </c>
      <c r="B497" t="s">
        <v>283</v>
      </c>
      <c r="L497" s="12"/>
    </row>
    <row r="498" spans="1:12" ht="20.25" customHeight="1">
      <c r="A498" s="11"/>
      <c r="B498" s="232" t="s">
        <v>304</v>
      </c>
      <c r="L498" s="12"/>
    </row>
    <row r="499" spans="1:12" ht="20.25" customHeight="1">
      <c r="A499" s="11"/>
      <c r="B499" t="s">
        <v>278</v>
      </c>
      <c r="L499" s="12"/>
    </row>
    <row r="500" spans="1:12" ht="20.25" customHeight="1">
      <c r="A500" s="11"/>
      <c r="B500" t="s">
        <v>284</v>
      </c>
      <c r="L500" s="12"/>
    </row>
    <row r="501" spans="1:12" ht="20.25" customHeight="1">
      <c r="A501" s="11"/>
      <c r="B501" t="s">
        <v>285</v>
      </c>
      <c r="L501" s="12"/>
    </row>
    <row r="502" spans="1:12" ht="21" customHeight="1">
      <c r="A502" s="11"/>
      <c r="B502" s="1307" t="s">
        <v>286</v>
      </c>
      <c r="C502" s="1307"/>
      <c r="D502" s="1307"/>
      <c r="E502" s="1307"/>
      <c r="F502" s="1307"/>
      <c r="G502" s="1307"/>
      <c r="H502" s="1307"/>
      <c r="I502" s="1307"/>
      <c r="J502" s="1307"/>
      <c r="K502" s="1307"/>
      <c r="L502" s="1308"/>
    </row>
    <row r="503" spans="1:12" ht="27.95" customHeight="1">
      <c r="A503" s="11"/>
      <c r="B503" t="s">
        <v>198</v>
      </c>
      <c r="C503" s="282" t="e">
        <f>'4-22MASTER'!#REF!</f>
        <v>#REF!</v>
      </c>
      <c r="D503" s="202"/>
      <c r="E503" s="202"/>
      <c r="F503" s="202"/>
      <c r="G503" s="202"/>
      <c r="H503" s="202"/>
      <c r="I503" t="s">
        <v>305</v>
      </c>
      <c r="J503" s="202"/>
      <c r="K503" s="202"/>
      <c r="L503" s="233"/>
    </row>
    <row r="504" spans="1:12" ht="27.95" customHeight="1" thickBot="1">
      <c r="A504" s="16"/>
      <c r="B504" s="1131"/>
      <c r="C504" s="1131"/>
      <c r="D504" s="1131"/>
      <c r="E504" s="1131"/>
      <c r="F504" s="1131"/>
      <c r="G504" s="1131"/>
      <c r="H504" s="1131"/>
      <c r="I504" s="1131"/>
      <c r="J504" s="1131"/>
      <c r="K504" s="1131"/>
      <c r="L504" s="1132"/>
    </row>
    <row r="505" spans="1:12" ht="27.95" customHeight="1">
      <c r="A505" s="61"/>
      <c r="B505" s="62"/>
      <c r="C505" s="62"/>
      <c r="D505" s="62"/>
      <c r="E505" s="62"/>
      <c r="F505" s="62"/>
      <c r="G505" s="62"/>
      <c r="H505" s="62"/>
      <c r="I505" s="66" t="s">
        <v>232</v>
      </c>
      <c r="J505" s="62"/>
      <c r="K505" s="62"/>
      <c r="L505" s="63"/>
    </row>
    <row r="506" spans="1:12">
      <c r="A506" s="11"/>
      <c r="B506" s="1309" t="s">
        <v>287</v>
      </c>
      <c r="C506" s="1309"/>
      <c r="D506" s="1309"/>
      <c r="E506" s="1309"/>
      <c r="F506" s="1309"/>
      <c r="G506" s="1309"/>
      <c r="H506" s="1309"/>
      <c r="I506" s="1309"/>
      <c r="J506" s="1309"/>
      <c r="K506" s="1309"/>
      <c r="L506" s="1310"/>
    </row>
    <row r="507" spans="1:12" ht="23.25">
      <c r="A507" s="11"/>
      <c r="B507" s="202"/>
      <c r="C507" s="202"/>
      <c r="D507" s="210" t="s">
        <v>234</v>
      </c>
      <c r="E507" s="202"/>
      <c r="F507" s="202"/>
      <c r="G507" s="202"/>
      <c r="H507" s="202"/>
      <c r="I507" s="204" t="s">
        <v>288</v>
      </c>
      <c r="J507" s="205"/>
      <c r="K507" s="205"/>
      <c r="L507" s="235"/>
    </row>
    <row r="508" spans="1:12" ht="15.75">
      <c r="A508" s="11"/>
      <c r="B508" s="1"/>
      <c r="C508" s="1" t="s">
        <v>235</v>
      </c>
      <c r="E508" s="1"/>
      <c r="F508" s="1"/>
      <c r="G508" s="1"/>
      <c r="H508" s="1"/>
      <c r="I508" s="203" t="s">
        <v>289</v>
      </c>
      <c r="J508" s="224">
        <f>'4-22MASTER'!G435</f>
        <v>0</v>
      </c>
      <c r="K508" s="206"/>
      <c r="L508" s="236"/>
    </row>
    <row r="509" spans="1:12">
      <c r="A509" s="11"/>
      <c r="B509" s="211"/>
      <c r="C509" s="180" t="s">
        <v>236</v>
      </c>
      <c r="E509" s="211"/>
      <c r="F509" s="211"/>
      <c r="H509" s="181"/>
      <c r="I509" s="227">
        <f>'4-22MASTER'!G436</f>
        <v>0</v>
      </c>
      <c r="J509" s="225"/>
      <c r="K509" s="226"/>
      <c r="L509" s="190"/>
    </row>
    <row r="510" spans="1:12">
      <c r="A510" s="11">
        <v>1</v>
      </c>
      <c r="B510" s="207" t="s">
        <v>237</v>
      </c>
      <c r="C510" s="53"/>
      <c r="D510" s="53"/>
      <c r="E510" s="53"/>
      <c r="F510" s="53"/>
      <c r="G510" s="54"/>
      <c r="H510" s="1286"/>
      <c r="I510" s="1287"/>
      <c r="J510" s="1287"/>
      <c r="K510" s="1287"/>
      <c r="L510" s="1288"/>
    </row>
    <row r="511" spans="1:12" ht="15" customHeight="1">
      <c r="A511" s="11">
        <v>2</v>
      </c>
      <c r="B511" s="1311" t="s">
        <v>238</v>
      </c>
      <c r="C511" s="1312"/>
      <c r="D511" s="1312"/>
      <c r="E511" s="1312"/>
      <c r="F511" s="208" t="s">
        <v>239</v>
      </c>
      <c r="G511" s="192"/>
      <c r="H511" s="1313"/>
      <c r="I511" s="1314"/>
      <c r="J511" s="1314"/>
      <c r="K511" s="1314"/>
      <c r="L511" s="1315"/>
    </row>
    <row r="512" spans="1:12">
      <c r="A512" s="11"/>
      <c r="B512" s="193" t="s">
        <v>240</v>
      </c>
      <c r="C512" s="194"/>
      <c r="D512" s="194"/>
      <c r="E512" s="194"/>
      <c r="F512" s="194" t="s">
        <v>233</v>
      </c>
      <c r="G512" s="195"/>
      <c r="H512" s="1316"/>
      <c r="I512" s="1317"/>
      <c r="J512" s="1317"/>
      <c r="K512" s="1317"/>
      <c r="L512" s="1318"/>
    </row>
    <row r="513" spans="1:12">
      <c r="A513" s="11">
        <v>3</v>
      </c>
      <c r="B513" s="209" t="s">
        <v>241</v>
      </c>
      <c r="C513" s="199"/>
      <c r="D513" s="199"/>
      <c r="E513" s="199"/>
      <c r="F513" s="199"/>
      <c r="G513" s="200"/>
      <c r="H513" s="1291">
        <f>'4-22MASTER'!D166</f>
        <v>0</v>
      </c>
      <c r="I513" s="1292"/>
      <c r="J513" s="1292"/>
      <c r="K513" s="1292"/>
      <c r="L513" s="1293"/>
    </row>
    <row r="514" spans="1:12">
      <c r="A514" s="11">
        <v>4</v>
      </c>
      <c r="B514" s="185" t="s">
        <v>242</v>
      </c>
      <c r="C514" s="53"/>
      <c r="D514" s="53"/>
      <c r="E514" s="53"/>
      <c r="F514" s="53"/>
      <c r="G514" s="54"/>
      <c r="H514" s="1253">
        <f>'4-22MASTER'!E166</f>
        <v>0</v>
      </c>
      <c r="I514" s="1279"/>
      <c r="J514" s="1279"/>
      <c r="K514" s="1279"/>
      <c r="L514" s="1272"/>
    </row>
    <row r="515" spans="1:12">
      <c r="A515" s="11">
        <v>5</v>
      </c>
      <c r="B515" s="1294" t="s">
        <v>290</v>
      </c>
      <c r="C515" s="1295"/>
      <c r="D515" s="1295"/>
      <c r="E515" s="1295"/>
      <c r="F515" s="1295"/>
      <c r="G515" s="54"/>
      <c r="H515" s="1286" t="s">
        <v>369</v>
      </c>
      <c r="I515" s="1287"/>
      <c r="J515" s="1287"/>
      <c r="K515" s="1287"/>
      <c r="L515" s="1288"/>
    </row>
    <row r="516" spans="1:12">
      <c r="A516" s="11">
        <v>6</v>
      </c>
      <c r="B516" s="198" t="s">
        <v>243</v>
      </c>
      <c r="C516" s="199" t="s">
        <v>244</v>
      </c>
      <c r="D516" s="199"/>
      <c r="E516" s="199"/>
      <c r="F516" s="199"/>
      <c r="G516" s="200"/>
      <c r="H516" s="209"/>
      <c r="I516" s="199"/>
      <c r="J516" s="199"/>
      <c r="K516" s="199"/>
      <c r="L516" s="237"/>
    </row>
    <row r="517" spans="1:12">
      <c r="A517" s="11"/>
      <c r="B517" s="198" t="s">
        <v>245</v>
      </c>
      <c r="C517" s="199" t="s">
        <v>246</v>
      </c>
      <c r="D517" s="199"/>
      <c r="E517" s="199"/>
      <c r="F517" s="199"/>
      <c r="G517" s="200"/>
      <c r="H517" s="209"/>
      <c r="I517" s="191"/>
      <c r="J517" s="191"/>
      <c r="K517" s="199"/>
      <c r="L517" s="237"/>
    </row>
    <row r="518" spans="1:12">
      <c r="A518" s="11">
        <v>7</v>
      </c>
      <c r="B518" s="1291" t="s">
        <v>247</v>
      </c>
      <c r="C518" s="1292"/>
      <c r="D518" s="1292"/>
      <c r="E518" s="1292"/>
      <c r="F518" s="1292"/>
      <c r="G518" s="1299"/>
      <c r="H518" s="213" t="s">
        <v>248</v>
      </c>
      <c r="I518" s="214"/>
      <c r="J518" s="215"/>
      <c r="K518" s="213" t="s">
        <v>249</v>
      </c>
      <c r="L518" s="238"/>
    </row>
    <row r="519" spans="1:12">
      <c r="A519" s="11">
        <v>8</v>
      </c>
      <c r="B519" s="1291" t="s">
        <v>291</v>
      </c>
      <c r="C519" s="1292"/>
      <c r="D519" s="1292"/>
      <c r="E519" s="1292"/>
      <c r="F519" s="1292"/>
      <c r="G519" s="1299"/>
      <c r="H519" s="213" t="s">
        <v>248</v>
      </c>
      <c r="I519" s="214"/>
      <c r="J519" s="215"/>
      <c r="K519" s="213" t="s">
        <v>249</v>
      </c>
      <c r="L519" s="238"/>
    </row>
    <row r="520" spans="1:12">
      <c r="A520" s="11"/>
      <c r="B520" s="185"/>
      <c r="C520" s="217"/>
      <c r="D520" s="217"/>
      <c r="E520" s="217"/>
      <c r="F520" s="217" t="s">
        <v>250</v>
      </c>
      <c r="G520" s="217"/>
      <c r="H520" s="217"/>
      <c r="I520" s="217"/>
      <c r="J520" s="217"/>
      <c r="K520" s="217"/>
      <c r="L520" s="239"/>
    </row>
    <row r="521" spans="1:12">
      <c r="A521" s="11">
        <v>9</v>
      </c>
      <c r="B521" s="198" t="s">
        <v>251</v>
      </c>
      <c r="C521" s="199" t="s">
        <v>252</v>
      </c>
      <c r="D521" s="199"/>
      <c r="E521" s="199"/>
      <c r="F521" s="199"/>
      <c r="G521" s="200"/>
      <c r="H521" s="209"/>
      <c r="I521" s="199"/>
      <c r="J521" s="199"/>
      <c r="K521" s="199"/>
      <c r="L521" s="237"/>
    </row>
    <row r="522" spans="1:12">
      <c r="A522" s="72"/>
      <c r="B522" s="198" t="s">
        <v>253</v>
      </c>
      <c r="C522" s="199" t="s">
        <v>254</v>
      </c>
      <c r="D522" s="199"/>
      <c r="E522" s="199"/>
      <c r="F522" s="199"/>
      <c r="G522" s="200"/>
      <c r="H522" s="209"/>
      <c r="I522" s="199"/>
      <c r="J522" s="199"/>
      <c r="K522" s="199"/>
      <c r="L522" s="237"/>
    </row>
    <row r="523" spans="1:12">
      <c r="A523" s="72"/>
      <c r="B523" s="198" t="s">
        <v>292</v>
      </c>
      <c r="C523" s="199" t="s">
        <v>293</v>
      </c>
      <c r="D523" s="199"/>
      <c r="E523" s="199"/>
      <c r="F523" s="199"/>
      <c r="G523" s="200"/>
      <c r="H523" s="209"/>
      <c r="I523" s="199"/>
      <c r="J523" s="199"/>
      <c r="K523" s="199"/>
      <c r="L523" s="237"/>
    </row>
    <row r="524" spans="1:12">
      <c r="A524" s="72"/>
      <c r="B524" s="198" t="s">
        <v>256</v>
      </c>
      <c r="C524" s="199" t="s">
        <v>257</v>
      </c>
      <c r="D524" s="199"/>
      <c r="E524" s="199"/>
      <c r="F524" s="199"/>
      <c r="G524" s="200"/>
      <c r="H524" s="209"/>
      <c r="I524" s="199"/>
      <c r="J524" s="199"/>
      <c r="K524" s="199"/>
      <c r="L524" s="237"/>
    </row>
    <row r="525" spans="1:12">
      <c r="A525" s="72"/>
      <c r="B525" s="198" t="s">
        <v>258</v>
      </c>
      <c r="C525" s="199" t="s">
        <v>259</v>
      </c>
      <c r="D525" s="199"/>
      <c r="E525" s="199"/>
      <c r="F525" s="199"/>
      <c r="G525" s="200"/>
      <c r="H525" s="209"/>
      <c r="I525" s="199"/>
      <c r="J525" s="199"/>
      <c r="K525" s="199"/>
      <c r="L525" s="237"/>
    </row>
    <row r="526" spans="1:12" ht="27.95" customHeight="1">
      <c r="A526" s="72">
        <v>10</v>
      </c>
      <c r="B526" s="198" t="s">
        <v>251</v>
      </c>
      <c r="C526" s="199" t="s">
        <v>294</v>
      </c>
      <c r="D526" s="199"/>
      <c r="E526" s="199"/>
      <c r="F526" s="199"/>
      <c r="G526" s="200"/>
      <c r="H526" s="213" t="s">
        <v>248</v>
      </c>
      <c r="I526" s="214"/>
      <c r="J526" s="215"/>
      <c r="K526" s="213" t="s">
        <v>249</v>
      </c>
      <c r="L526" s="238"/>
    </row>
    <row r="527" spans="1:12" ht="27.95" customHeight="1">
      <c r="A527" s="72"/>
      <c r="B527" s="198" t="s">
        <v>253</v>
      </c>
      <c r="C527" s="199" t="s">
        <v>295</v>
      </c>
      <c r="D527" s="199"/>
      <c r="E527" s="199"/>
      <c r="F527" s="199"/>
      <c r="G527" s="200"/>
      <c r="H527" s="209"/>
      <c r="I527" s="199"/>
      <c r="J527" s="199"/>
      <c r="K527" s="199"/>
      <c r="L527" s="237"/>
    </row>
    <row r="528" spans="1:12" ht="27.95" customHeight="1">
      <c r="A528" s="72"/>
      <c r="B528" s="198" t="s">
        <v>292</v>
      </c>
      <c r="C528" s="199" t="s">
        <v>260</v>
      </c>
      <c r="D528" s="199"/>
      <c r="E528" s="199"/>
      <c r="F528" s="199"/>
      <c r="G528" s="200"/>
      <c r="H528" s="209"/>
      <c r="I528" s="199"/>
      <c r="J528" s="199"/>
      <c r="K528" s="199"/>
      <c r="L528" s="237"/>
    </row>
    <row r="529" spans="1:12" ht="27.95" customHeight="1">
      <c r="A529" s="72"/>
      <c r="B529" s="198" t="s">
        <v>256</v>
      </c>
      <c r="C529" s="199" t="s">
        <v>296</v>
      </c>
      <c r="D529" s="199"/>
      <c r="E529" s="199"/>
      <c r="F529" s="199"/>
      <c r="G529" s="200"/>
      <c r="H529" s="209"/>
      <c r="I529" s="199"/>
      <c r="J529" s="199"/>
      <c r="K529" s="199"/>
      <c r="L529" s="237"/>
    </row>
    <row r="530" spans="1:12" ht="27.95" customHeight="1">
      <c r="A530" s="11"/>
      <c r="B530" s="185"/>
      <c r="C530" s="217"/>
      <c r="D530" s="217"/>
      <c r="E530" s="217" t="s">
        <v>297</v>
      </c>
      <c r="F530" s="217"/>
      <c r="G530" s="217"/>
      <c r="H530" s="217"/>
      <c r="I530" s="217"/>
      <c r="J530" s="217"/>
      <c r="K530" s="217"/>
      <c r="L530" s="239"/>
    </row>
    <row r="531" spans="1:12" ht="27.95" customHeight="1">
      <c r="A531" s="11">
        <v>11</v>
      </c>
      <c r="B531" s="198" t="s">
        <v>251</v>
      </c>
      <c r="C531" s="199" t="s">
        <v>261</v>
      </c>
      <c r="D531" s="199"/>
      <c r="E531" s="199"/>
      <c r="F531" s="199"/>
      <c r="G531" s="200"/>
      <c r="H531" s="209"/>
      <c r="I531" s="199"/>
      <c r="J531" s="199"/>
      <c r="K531" s="199"/>
      <c r="L531" s="237"/>
    </row>
    <row r="532" spans="1:12" ht="27.95" customHeight="1">
      <c r="A532" s="11"/>
      <c r="B532" s="198" t="s">
        <v>253</v>
      </c>
      <c r="C532" s="199" t="s">
        <v>262</v>
      </c>
      <c r="D532" s="199"/>
      <c r="E532" s="199"/>
      <c r="F532" s="199"/>
      <c r="G532" s="200"/>
      <c r="H532" s="209"/>
      <c r="I532" s="199"/>
      <c r="J532" s="199"/>
      <c r="K532" s="199"/>
      <c r="L532" s="237"/>
    </row>
    <row r="533" spans="1:12" ht="27.95" customHeight="1">
      <c r="A533" s="11"/>
      <c r="B533" s="198" t="s">
        <v>255</v>
      </c>
      <c r="C533" s="199" t="s">
        <v>263</v>
      </c>
      <c r="D533" s="199"/>
      <c r="E533" s="199"/>
      <c r="F533" s="199"/>
      <c r="G533" s="200"/>
      <c r="H533" s="209"/>
      <c r="I533" s="199"/>
      <c r="J533" s="199"/>
      <c r="K533" s="199"/>
      <c r="L533" s="237"/>
    </row>
    <row r="534" spans="1:12" ht="27.95" customHeight="1">
      <c r="A534" s="11"/>
      <c r="B534" s="173"/>
      <c r="C534" s="169"/>
      <c r="D534" s="169"/>
      <c r="E534" s="169"/>
      <c r="F534" s="218" t="s">
        <v>264</v>
      </c>
      <c r="G534" s="169"/>
      <c r="H534" s="158"/>
      <c r="I534" s="158"/>
      <c r="J534" s="158"/>
      <c r="K534" s="158"/>
      <c r="L534" s="176"/>
    </row>
    <row r="535" spans="1:12" ht="27.95" customHeight="1">
      <c r="A535" s="11"/>
      <c r="B535" s="230" t="s">
        <v>265</v>
      </c>
      <c r="C535" s="229" t="s">
        <v>266</v>
      </c>
      <c r="D535" s="169"/>
      <c r="E535" s="169"/>
      <c r="F535" s="169"/>
      <c r="G535" s="169"/>
      <c r="H535" s="158"/>
      <c r="I535" s="158"/>
      <c r="J535" s="159"/>
      <c r="K535" s="158"/>
      <c r="L535" s="176"/>
    </row>
    <row r="536" spans="1:12" ht="27.95" customHeight="1">
      <c r="A536" s="11"/>
      <c r="B536" s="230" t="s">
        <v>267</v>
      </c>
      <c r="C536" s="228" t="s">
        <v>268</v>
      </c>
      <c r="D536" s="158"/>
      <c r="E536" s="159"/>
      <c r="G536" s="1300"/>
      <c r="H536" s="1300"/>
      <c r="I536" s="174"/>
      <c r="J536" s="175"/>
      <c r="K536" s="1300"/>
      <c r="L536" s="1301"/>
    </row>
    <row r="537" spans="1:12" ht="27.95" customHeight="1">
      <c r="A537" s="11"/>
      <c r="B537" s="231" t="s">
        <v>269</v>
      </c>
      <c r="C537" s="1302" t="s">
        <v>298</v>
      </c>
      <c r="D537" s="1302"/>
      <c r="E537" s="1302"/>
      <c r="F537" s="1302"/>
      <c r="G537" s="1302"/>
      <c r="H537" s="1302"/>
      <c r="I537" s="1302"/>
      <c r="J537" s="1302"/>
      <c r="K537" s="1302"/>
      <c r="L537" s="1303"/>
    </row>
    <row r="538" spans="1:12" ht="27.95" customHeight="1">
      <c r="A538" s="11"/>
      <c r="B538" s="230" t="s">
        <v>270</v>
      </c>
      <c r="C538" s="229" t="s">
        <v>271</v>
      </c>
      <c r="D538" s="221"/>
      <c r="E538" s="221"/>
      <c r="F538" s="221"/>
      <c r="G538" s="221"/>
      <c r="H538" s="221"/>
      <c r="I538" s="221"/>
      <c r="J538" s="221"/>
      <c r="K538" s="221"/>
      <c r="L538" s="240"/>
    </row>
    <row r="539" spans="1:12" ht="27.95" customHeight="1">
      <c r="A539" s="11"/>
      <c r="B539" s="173"/>
      <c r="C539" t="s">
        <v>299</v>
      </c>
      <c r="D539" s="2"/>
      <c r="E539" s="2"/>
      <c r="F539" s="2"/>
      <c r="G539" s="2"/>
      <c r="L539" s="12"/>
    </row>
    <row r="540" spans="1:12" ht="27.95" customHeight="1">
      <c r="A540" s="11"/>
      <c r="C540" t="s">
        <v>272</v>
      </c>
      <c r="J540" t="s">
        <v>300</v>
      </c>
      <c r="L540" s="12"/>
    </row>
    <row r="541" spans="1:12" ht="27.95" customHeight="1">
      <c r="A541" s="11"/>
      <c r="F541" s="219" t="s">
        <v>273</v>
      </c>
      <c r="L541" s="12"/>
    </row>
    <row r="542" spans="1:12" ht="27.95" customHeight="1">
      <c r="A542" s="11" t="s">
        <v>301</v>
      </c>
      <c r="B542" t="s">
        <v>274</v>
      </c>
      <c r="E542" s="222">
        <f>'4-22MASTER'!C445</f>
        <v>0</v>
      </c>
      <c r="H542" s="1304" t="s">
        <v>275</v>
      </c>
      <c r="I542" s="1304"/>
      <c r="J542" s="223">
        <f>'4-22MASTER'!O445</f>
        <v>0</v>
      </c>
      <c r="K542" t="s">
        <v>276</v>
      </c>
      <c r="L542" s="12"/>
    </row>
    <row r="543" spans="1:12" ht="27.95" customHeight="1">
      <c r="A543" s="11"/>
      <c r="B543" s="1305">
        <f>'4-22MASTER'!T445</f>
        <v>0</v>
      </c>
      <c r="C543" s="1306"/>
      <c r="D543" s="220"/>
      <c r="E543" s="220"/>
      <c r="F543" s="220"/>
      <c r="G543" s="220"/>
      <c r="H543" s="220"/>
      <c r="I543" s="220"/>
      <c r="J543" s="220"/>
      <c r="K543" s="220"/>
      <c r="L543" s="241"/>
    </row>
    <row r="544" spans="1:12">
      <c r="A544" s="11" t="s">
        <v>303</v>
      </c>
      <c r="B544" s="220" t="s">
        <v>277</v>
      </c>
      <c r="C544" s="220"/>
      <c r="D544" s="220"/>
      <c r="E544" s="220"/>
      <c r="F544" s="220"/>
      <c r="G544" s="220"/>
      <c r="H544" s="220"/>
      <c r="I544" s="220"/>
      <c r="J544" s="220"/>
      <c r="K544" s="220"/>
      <c r="L544" s="241"/>
    </row>
    <row r="545" spans="1:12">
      <c r="A545" s="11"/>
      <c r="B545" s="220" t="s">
        <v>302</v>
      </c>
      <c r="C545" s="220"/>
      <c r="D545" s="220"/>
      <c r="E545" s="220"/>
      <c r="F545" s="220"/>
      <c r="G545" s="220"/>
      <c r="H545" s="220"/>
      <c r="I545" s="220"/>
      <c r="J545" s="220"/>
      <c r="K545" s="220"/>
      <c r="L545" s="241"/>
    </row>
    <row r="546" spans="1:12">
      <c r="A546" s="11"/>
      <c r="B546" t="s">
        <v>278</v>
      </c>
      <c r="L546" s="12"/>
    </row>
    <row r="547" spans="1:12" ht="18.75">
      <c r="A547" s="11"/>
      <c r="B547" s="2" t="s">
        <v>279</v>
      </c>
      <c r="F547" s="172"/>
      <c r="L547" s="12"/>
    </row>
    <row r="548" spans="1:12">
      <c r="A548" s="11"/>
      <c r="B548" s="2" t="s">
        <v>280</v>
      </c>
      <c r="L548" s="12"/>
    </row>
    <row r="549" spans="1:12" ht="15" customHeight="1">
      <c r="A549" s="11"/>
      <c r="B549" t="s">
        <v>281</v>
      </c>
      <c r="L549" s="12"/>
    </row>
    <row r="550" spans="1:12">
      <c r="A550" s="11"/>
      <c r="B550" t="s">
        <v>282</v>
      </c>
      <c r="L550" s="12"/>
    </row>
    <row r="551" spans="1:12">
      <c r="A551" s="11" t="s">
        <v>292</v>
      </c>
      <c r="B551" t="s">
        <v>283</v>
      </c>
      <c r="L551" s="12"/>
    </row>
    <row r="552" spans="1:12">
      <c r="A552" s="11"/>
      <c r="B552" s="232" t="s">
        <v>304</v>
      </c>
      <c r="L552" s="12"/>
    </row>
    <row r="553" spans="1:12">
      <c r="A553" s="11"/>
      <c r="B553" t="s">
        <v>278</v>
      </c>
      <c r="L553" s="12"/>
    </row>
    <row r="554" spans="1:12">
      <c r="A554" s="11"/>
      <c r="B554" t="s">
        <v>284</v>
      </c>
      <c r="L554" s="12"/>
    </row>
    <row r="555" spans="1:12">
      <c r="A555" s="11"/>
      <c r="B555" t="s">
        <v>285</v>
      </c>
      <c r="L555" s="12"/>
    </row>
    <row r="556" spans="1:12">
      <c r="A556" s="11"/>
      <c r="B556" s="1307" t="s">
        <v>286</v>
      </c>
      <c r="C556" s="1307"/>
      <c r="D556" s="1307"/>
      <c r="E556" s="1307"/>
      <c r="F556" s="1307"/>
      <c r="G556" s="1307"/>
      <c r="H556" s="1307"/>
      <c r="I556" s="1307"/>
      <c r="J556" s="1307"/>
      <c r="K556" s="1307"/>
      <c r="L556" s="1308"/>
    </row>
    <row r="557" spans="1:12" ht="23.25">
      <c r="A557" s="11"/>
      <c r="B557" t="s">
        <v>198</v>
      </c>
      <c r="C557" s="202"/>
      <c r="D557" s="202"/>
      <c r="E557" s="202"/>
      <c r="F557" s="202"/>
      <c r="G557" s="202"/>
      <c r="H557" s="202"/>
      <c r="I557" t="s">
        <v>305</v>
      </c>
      <c r="J557" s="202"/>
      <c r="K557" s="202"/>
      <c r="L557" s="233"/>
    </row>
    <row r="558" spans="1:12" ht="16.5" thickBot="1">
      <c r="A558" s="16"/>
      <c r="B558" s="1131"/>
      <c r="C558" s="1131"/>
      <c r="D558" s="1131"/>
      <c r="E558" s="1131"/>
      <c r="F558" s="1131"/>
      <c r="G558" s="1131"/>
      <c r="H558" s="1131"/>
      <c r="I558" s="1131"/>
      <c r="J558" s="1131"/>
      <c r="K558" s="1131"/>
      <c r="L558" s="1132"/>
    </row>
    <row r="559" spans="1:12">
      <c r="A559" s="61"/>
      <c r="B559" s="62"/>
      <c r="C559" s="62"/>
      <c r="D559" s="62"/>
      <c r="E559" s="62"/>
      <c r="F559" s="62"/>
      <c r="G559" s="62"/>
      <c r="H559" s="62"/>
      <c r="I559" s="66" t="s">
        <v>232</v>
      </c>
      <c r="J559" s="62"/>
      <c r="K559" s="62"/>
      <c r="L559" s="63"/>
    </row>
    <row r="560" spans="1:12">
      <c r="A560" s="11"/>
      <c r="B560" s="1309" t="s">
        <v>287</v>
      </c>
      <c r="C560" s="1309"/>
      <c r="D560" s="1309"/>
      <c r="E560" s="1309"/>
      <c r="F560" s="1309"/>
      <c r="G560" s="1309"/>
      <c r="H560" s="1309"/>
      <c r="I560" s="1309"/>
      <c r="J560" s="1309"/>
      <c r="K560" s="1309"/>
      <c r="L560" s="1310"/>
    </row>
    <row r="561" spans="1:12" ht="23.25">
      <c r="A561" s="11"/>
      <c r="B561" s="202"/>
      <c r="C561" s="202"/>
      <c r="D561" s="210" t="s">
        <v>234</v>
      </c>
      <c r="E561" s="202"/>
      <c r="F561" s="202"/>
      <c r="G561" s="202"/>
      <c r="H561" s="202"/>
      <c r="I561" s="204" t="s">
        <v>288</v>
      </c>
      <c r="J561" s="205"/>
      <c r="K561" s="205"/>
      <c r="L561" s="235"/>
    </row>
    <row r="562" spans="1:12" ht="15.75">
      <c r="A562" s="11"/>
      <c r="B562" s="1"/>
      <c r="C562" s="1" t="s">
        <v>235</v>
      </c>
      <c r="E562" s="1"/>
      <c r="F562" s="1"/>
      <c r="G562" s="1"/>
      <c r="H562" s="1"/>
      <c r="I562" s="203" t="s">
        <v>289</v>
      </c>
      <c r="J562" s="224">
        <f>'4-22MASTER'!G489</f>
        <v>0</v>
      </c>
      <c r="K562" s="206"/>
      <c r="L562" s="236"/>
    </row>
    <row r="563" spans="1:12">
      <c r="A563" s="11"/>
      <c r="B563" s="211"/>
      <c r="C563" s="180" t="s">
        <v>236</v>
      </c>
      <c r="E563" s="211"/>
      <c r="F563" s="211"/>
      <c r="H563" s="181"/>
      <c r="I563" s="227">
        <f>'4-22MASTER'!G490</f>
        <v>0</v>
      </c>
      <c r="J563" s="225"/>
      <c r="K563" s="226"/>
      <c r="L563" s="190"/>
    </row>
    <row r="564" spans="1:12" ht="23.25" customHeight="1">
      <c r="A564" s="11">
        <v>1</v>
      </c>
      <c r="B564" s="207" t="s">
        <v>237</v>
      </c>
      <c r="C564" s="53"/>
      <c r="D564" s="53"/>
      <c r="E564" s="53"/>
      <c r="F564" s="53"/>
      <c r="G564" s="54"/>
      <c r="H564" s="1286"/>
      <c r="I564" s="1287"/>
      <c r="J564" s="1287"/>
      <c r="K564" s="1287"/>
      <c r="L564" s="1288"/>
    </row>
    <row r="565" spans="1:12" ht="22.5" customHeight="1">
      <c r="A565" s="11">
        <v>2</v>
      </c>
      <c r="B565" s="1311" t="s">
        <v>238</v>
      </c>
      <c r="C565" s="1312"/>
      <c r="D565" s="1312"/>
      <c r="E565" s="1312"/>
      <c r="F565" s="208" t="s">
        <v>239</v>
      </c>
      <c r="G565" s="192"/>
      <c r="H565" s="1313"/>
      <c r="I565" s="1314"/>
      <c r="J565" s="1314"/>
      <c r="K565" s="1314"/>
      <c r="L565" s="1315"/>
    </row>
    <row r="566" spans="1:12" ht="10.5" customHeight="1">
      <c r="A566" s="11"/>
      <c r="B566" s="193" t="s">
        <v>240</v>
      </c>
      <c r="C566" s="194"/>
      <c r="D566" s="194"/>
      <c r="E566" s="194"/>
      <c r="F566" s="194" t="s">
        <v>233</v>
      </c>
      <c r="G566" s="195"/>
      <c r="H566" s="1316"/>
      <c r="I566" s="1317"/>
      <c r="J566" s="1317"/>
      <c r="K566" s="1317"/>
      <c r="L566" s="1318"/>
    </row>
    <row r="567" spans="1:12" ht="24" customHeight="1">
      <c r="A567" s="11">
        <v>3</v>
      </c>
      <c r="B567" s="209" t="s">
        <v>241</v>
      </c>
      <c r="C567" s="199"/>
      <c r="D567" s="199"/>
      <c r="E567" s="199"/>
      <c r="F567" s="199"/>
      <c r="G567" s="200"/>
      <c r="H567" s="209"/>
      <c r="I567" s="199"/>
      <c r="J567" s="199"/>
      <c r="K567" s="199"/>
      <c r="L567" s="237"/>
    </row>
    <row r="568" spans="1:12" ht="27.95" customHeight="1">
      <c r="A568" s="11">
        <v>4</v>
      </c>
      <c r="B568" s="185" t="s">
        <v>242</v>
      </c>
      <c r="C568" s="53"/>
      <c r="D568" s="53"/>
      <c r="E568" s="53"/>
      <c r="F568" s="53"/>
      <c r="G568" s="54"/>
      <c r="H568" s="185"/>
      <c r="I568" s="53"/>
      <c r="J568" s="53"/>
      <c r="K568" s="53"/>
      <c r="L568" s="190"/>
    </row>
    <row r="569" spans="1:12" ht="27.95" customHeight="1">
      <c r="A569" s="11">
        <v>5</v>
      </c>
      <c r="B569" s="1294" t="s">
        <v>290</v>
      </c>
      <c r="C569" s="1295"/>
      <c r="D569" s="1295"/>
      <c r="E569" s="1295"/>
      <c r="F569" s="1295"/>
      <c r="G569" s="54"/>
      <c r="H569" s="1296"/>
      <c r="I569" s="1297"/>
      <c r="J569" s="1297"/>
      <c r="K569" s="1297"/>
      <c r="L569" s="1298"/>
    </row>
    <row r="570" spans="1:12" ht="27.95" customHeight="1">
      <c r="A570" s="11">
        <v>6</v>
      </c>
      <c r="B570" s="198" t="s">
        <v>243</v>
      </c>
      <c r="C570" s="199" t="s">
        <v>244</v>
      </c>
      <c r="D570" s="199"/>
      <c r="E570" s="199"/>
      <c r="F570" s="199"/>
      <c r="G570" s="200"/>
      <c r="H570" s="209"/>
      <c r="I570" s="199"/>
      <c r="J570" s="199"/>
      <c r="K570" s="199"/>
      <c r="L570" s="237"/>
    </row>
    <row r="571" spans="1:12" ht="27.95" customHeight="1">
      <c r="A571" s="11"/>
      <c r="B571" s="198" t="s">
        <v>245</v>
      </c>
      <c r="C571" s="199" t="s">
        <v>246</v>
      </c>
      <c r="D571" s="199"/>
      <c r="E571" s="199"/>
      <c r="F571" s="199"/>
      <c r="G571" s="200"/>
      <c r="H571" s="209"/>
      <c r="I571" s="191"/>
      <c r="J571" s="191"/>
      <c r="K571" s="199"/>
      <c r="L571" s="237"/>
    </row>
    <row r="572" spans="1:12" ht="27.95" customHeight="1">
      <c r="A572" s="11">
        <v>7</v>
      </c>
      <c r="B572" s="1291" t="s">
        <v>247</v>
      </c>
      <c r="C572" s="1292"/>
      <c r="D572" s="1292"/>
      <c r="E572" s="1292"/>
      <c r="F572" s="1292"/>
      <c r="G572" s="1299"/>
      <c r="H572" s="213" t="s">
        <v>248</v>
      </c>
      <c r="I572" s="214"/>
      <c r="J572" s="215"/>
      <c r="K572" s="213" t="s">
        <v>249</v>
      </c>
      <c r="L572" s="238"/>
    </row>
    <row r="573" spans="1:12" ht="27.95" customHeight="1">
      <c r="A573" s="11">
        <v>8</v>
      </c>
      <c r="B573" s="1291" t="s">
        <v>291</v>
      </c>
      <c r="C573" s="1292"/>
      <c r="D573" s="1292"/>
      <c r="E573" s="1292"/>
      <c r="F573" s="1292"/>
      <c r="G573" s="1299"/>
      <c r="H573" s="213" t="s">
        <v>248</v>
      </c>
      <c r="I573" s="214"/>
      <c r="J573" s="215"/>
      <c r="K573" s="213" t="s">
        <v>249</v>
      </c>
      <c r="L573" s="238"/>
    </row>
    <row r="574" spans="1:12" ht="27.95" customHeight="1">
      <c r="A574" s="11"/>
      <c r="B574" s="185"/>
      <c r="C574" s="217"/>
      <c r="D574" s="217"/>
      <c r="E574" s="217"/>
      <c r="F574" s="217" t="s">
        <v>250</v>
      </c>
      <c r="G574" s="217"/>
      <c r="H574" s="217"/>
      <c r="I574" s="217"/>
      <c r="J574" s="217"/>
      <c r="K574" s="217"/>
      <c r="L574" s="239"/>
    </row>
    <row r="575" spans="1:12" ht="27.95" customHeight="1">
      <c r="A575" s="11">
        <v>9</v>
      </c>
      <c r="B575" s="198" t="s">
        <v>251</v>
      </c>
      <c r="C575" s="199" t="s">
        <v>252</v>
      </c>
      <c r="D575" s="199"/>
      <c r="E575" s="199"/>
      <c r="F575" s="199"/>
      <c r="G575" s="200"/>
      <c r="H575" s="209"/>
      <c r="I575" s="199"/>
      <c r="J575" s="199"/>
      <c r="K575" s="199"/>
      <c r="L575" s="237"/>
    </row>
    <row r="576" spans="1:12" ht="24" customHeight="1">
      <c r="A576" s="72"/>
      <c r="B576" s="198" t="s">
        <v>253</v>
      </c>
      <c r="C576" s="199" t="s">
        <v>254</v>
      </c>
      <c r="D576" s="199"/>
      <c r="E576" s="199"/>
      <c r="F576" s="199"/>
      <c r="G576" s="200"/>
      <c r="H576" s="209"/>
      <c r="I576" s="199"/>
      <c r="J576" s="199"/>
      <c r="K576" s="199"/>
      <c r="L576" s="237"/>
    </row>
    <row r="577" spans="1:12" ht="24" customHeight="1">
      <c r="A577" s="72"/>
      <c r="B577" s="198" t="s">
        <v>292</v>
      </c>
      <c r="C577" s="199" t="s">
        <v>293</v>
      </c>
      <c r="D577" s="199"/>
      <c r="E577" s="199"/>
      <c r="F577" s="199"/>
      <c r="G577" s="200"/>
      <c r="H577" s="209"/>
      <c r="I577" s="199"/>
      <c r="J577" s="199"/>
      <c r="K577" s="199"/>
      <c r="L577" s="237"/>
    </row>
    <row r="578" spans="1:12" ht="22.5" customHeight="1">
      <c r="A578" s="72"/>
      <c r="B578" s="198" t="s">
        <v>256</v>
      </c>
      <c r="C578" s="199" t="s">
        <v>257</v>
      </c>
      <c r="D578" s="199"/>
      <c r="E578" s="199"/>
      <c r="F578" s="199"/>
      <c r="G578" s="200"/>
      <c r="H578" s="209"/>
      <c r="I578" s="199"/>
      <c r="J578" s="199"/>
      <c r="K578" s="199"/>
      <c r="L578" s="237"/>
    </row>
    <row r="579" spans="1:12" ht="27.95" customHeight="1">
      <c r="A579" s="72"/>
      <c r="B579" s="198" t="s">
        <v>258</v>
      </c>
      <c r="C579" s="199" t="s">
        <v>259</v>
      </c>
      <c r="D579" s="199"/>
      <c r="E579" s="199"/>
      <c r="F579" s="199"/>
      <c r="G579" s="200"/>
      <c r="H579" s="209"/>
      <c r="I579" s="199"/>
      <c r="J579" s="199"/>
      <c r="K579" s="199"/>
      <c r="L579" s="237"/>
    </row>
    <row r="580" spans="1:12" ht="27.95" customHeight="1">
      <c r="A580" s="72">
        <v>10</v>
      </c>
      <c r="B580" s="198" t="s">
        <v>251</v>
      </c>
      <c r="C580" s="199" t="s">
        <v>294</v>
      </c>
      <c r="D580" s="199"/>
      <c r="E580" s="199"/>
      <c r="F580" s="199"/>
      <c r="G580" s="200"/>
      <c r="H580" s="213" t="s">
        <v>248</v>
      </c>
      <c r="I580" s="214"/>
      <c r="J580" s="215"/>
      <c r="K580" s="213" t="s">
        <v>249</v>
      </c>
      <c r="L580" s="238"/>
    </row>
    <row r="581" spans="1:12" ht="27.95" customHeight="1">
      <c r="A581" s="72"/>
      <c r="B581" s="198" t="s">
        <v>253</v>
      </c>
      <c r="C581" s="199" t="s">
        <v>295</v>
      </c>
      <c r="D581" s="199"/>
      <c r="E581" s="199"/>
      <c r="F581" s="199"/>
      <c r="G581" s="200"/>
      <c r="H581" s="209"/>
      <c r="I581" s="199"/>
      <c r="J581" s="199"/>
      <c r="K581" s="199"/>
      <c r="L581" s="237"/>
    </row>
    <row r="582" spans="1:12">
      <c r="A582" s="72"/>
      <c r="B582" s="198" t="s">
        <v>292</v>
      </c>
      <c r="C582" s="199" t="s">
        <v>260</v>
      </c>
      <c r="D582" s="199"/>
      <c r="E582" s="199"/>
      <c r="F582" s="199"/>
      <c r="G582" s="200"/>
      <c r="H582" s="209"/>
      <c r="I582" s="199"/>
      <c r="J582" s="199"/>
      <c r="K582" s="199"/>
      <c r="L582" s="237"/>
    </row>
    <row r="583" spans="1:12">
      <c r="A583" s="72"/>
      <c r="B583" s="198" t="s">
        <v>256</v>
      </c>
      <c r="C583" s="199" t="s">
        <v>296</v>
      </c>
      <c r="D583" s="199"/>
      <c r="E583" s="199"/>
      <c r="F583" s="199"/>
      <c r="G583" s="200"/>
      <c r="H583" s="209"/>
      <c r="I583" s="199"/>
      <c r="J583" s="199"/>
      <c r="K583" s="199"/>
      <c r="L583" s="237"/>
    </row>
    <row r="584" spans="1:12">
      <c r="A584" s="11"/>
      <c r="B584" s="185"/>
      <c r="C584" s="217"/>
      <c r="D584" s="217"/>
      <c r="E584" s="217" t="s">
        <v>297</v>
      </c>
      <c r="F584" s="217"/>
      <c r="G584" s="217"/>
      <c r="H584" s="217"/>
      <c r="I584" s="217"/>
      <c r="J584" s="217"/>
      <c r="K584" s="217"/>
      <c r="L584" s="239"/>
    </row>
    <row r="585" spans="1:12">
      <c r="A585" s="11">
        <v>11</v>
      </c>
      <c r="B585" s="198" t="s">
        <v>251</v>
      </c>
      <c r="C585" s="199" t="s">
        <v>261</v>
      </c>
      <c r="D585" s="199"/>
      <c r="E585" s="199"/>
      <c r="F585" s="199"/>
      <c r="G585" s="200"/>
      <c r="H585" s="209"/>
      <c r="I585" s="199"/>
      <c r="J585" s="199"/>
      <c r="K585" s="199"/>
      <c r="L585" s="237"/>
    </row>
    <row r="586" spans="1:12">
      <c r="A586" s="11"/>
      <c r="B586" s="198" t="s">
        <v>253</v>
      </c>
      <c r="C586" s="199" t="s">
        <v>262</v>
      </c>
      <c r="D586" s="199"/>
      <c r="E586" s="199"/>
      <c r="F586" s="199"/>
      <c r="G586" s="200"/>
      <c r="H586" s="209"/>
      <c r="I586" s="199"/>
      <c r="J586" s="199"/>
      <c r="K586" s="199"/>
      <c r="L586" s="237"/>
    </row>
    <row r="587" spans="1:12">
      <c r="A587" s="11"/>
      <c r="B587" s="198" t="s">
        <v>255</v>
      </c>
      <c r="C587" s="199" t="s">
        <v>263</v>
      </c>
      <c r="D587" s="199"/>
      <c r="E587" s="199"/>
      <c r="F587" s="199"/>
      <c r="G587" s="200"/>
      <c r="H587" s="209"/>
      <c r="I587" s="199"/>
      <c r="J587" s="199"/>
      <c r="K587" s="199"/>
      <c r="L587" s="237"/>
    </row>
    <row r="588" spans="1:12" ht="15" customHeight="1">
      <c r="A588" s="11"/>
      <c r="B588" s="173"/>
      <c r="C588" s="169"/>
      <c r="D588" s="169"/>
      <c r="E588" s="169"/>
      <c r="F588" s="218" t="s">
        <v>264</v>
      </c>
      <c r="G588" s="169"/>
      <c r="H588" s="158"/>
      <c r="I588" s="158"/>
      <c r="J588" s="158"/>
      <c r="K588" s="158"/>
      <c r="L588" s="176"/>
    </row>
    <row r="589" spans="1:12">
      <c r="A589" s="11"/>
      <c r="B589" s="230" t="s">
        <v>265</v>
      </c>
      <c r="C589" s="229" t="s">
        <v>266</v>
      </c>
      <c r="D589" s="169"/>
      <c r="E589" s="169"/>
      <c r="F589" s="169"/>
      <c r="G589" s="169"/>
      <c r="H589" s="158"/>
      <c r="I589" s="158"/>
      <c r="J589" s="159"/>
      <c r="K589" s="158"/>
      <c r="L589" s="176"/>
    </row>
    <row r="590" spans="1:12">
      <c r="A590" s="11"/>
      <c r="B590" s="230" t="s">
        <v>267</v>
      </c>
      <c r="C590" s="228" t="s">
        <v>268</v>
      </c>
      <c r="D590" s="158"/>
      <c r="E590" s="159"/>
      <c r="G590" s="1300"/>
      <c r="H590" s="1300"/>
      <c r="I590" s="174"/>
      <c r="J590" s="175"/>
      <c r="K590" s="1300"/>
      <c r="L590" s="1301"/>
    </row>
    <row r="591" spans="1:12">
      <c r="A591" s="11"/>
      <c r="B591" s="231" t="s">
        <v>269</v>
      </c>
      <c r="C591" s="1302" t="s">
        <v>298</v>
      </c>
      <c r="D591" s="1302"/>
      <c r="E591" s="1302"/>
      <c r="F591" s="1302"/>
      <c r="G591" s="1302"/>
      <c r="H591" s="1302"/>
      <c r="I591" s="1302"/>
      <c r="J591" s="1302"/>
      <c r="K591" s="1302"/>
      <c r="L591" s="1303"/>
    </row>
    <row r="592" spans="1:12">
      <c r="A592" s="11"/>
      <c r="B592" s="230" t="s">
        <v>270</v>
      </c>
      <c r="C592" s="229" t="s">
        <v>271</v>
      </c>
      <c r="D592" s="221"/>
      <c r="E592" s="221"/>
      <c r="F592" s="221"/>
      <c r="G592" s="221"/>
      <c r="H592" s="221"/>
      <c r="I592" s="221"/>
      <c r="J592" s="221"/>
      <c r="K592" s="221"/>
      <c r="L592" s="240"/>
    </row>
    <row r="593" spans="1:12">
      <c r="A593" s="11"/>
      <c r="B593" s="173"/>
      <c r="C593" t="s">
        <v>299</v>
      </c>
      <c r="D593" s="2"/>
      <c r="E593" s="2"/>
      <c r="F593" s="2"/>
      <c r="G593" s="2"/>
      <c r="L593" s="12"/>
    </row>
    <row r="594" spans="1:12">
      <c r="A594" s="11"/>
      <c r="C594" t="s">
        <v>272</v>
      </c>
      <c r="J594" t="s">
        <v>300</v>
      </c>
      <c r="L594" s="12"/>
    </row>
    <row r="595" spans="1:12">
      <c r="A595" s="11"/>
      <c r="F595" s="219" t="s">
        <v>273</v>
      </c>
      <c r="L595" s="12"/>
    </row>
    <row r="596" spans="1:12">
      <c r="A596" s="11" t="s">
        <v>301</v>
      </c>
      <c r="B596" t="s">
        <v>274</v>
      </c>
      <c r="E596" s="222">
        <f>'4-22MASTER'!C499</f>
        <v>0</v>
      </c>
      <c r="H596" s="1304" t="s">
        <v>275</v>
      </c>
      <c r="I596" s="1304"/>
      <c r="J596" s="223">
        <f>'4-22MASTER'!O499</f>
        <v>0</v>
      </c>
      <c r="K596" t="s">
        <v>276</v>
      </c>
      <c r="L596" s="12"/>
    </row>
    <row r="597" spans="1:12">
      <c r="A597" s="11"/>
      <c r="B597" s="1305">
        <f>'4-22MASTER'!T499</f>
        <v>0</v>
      </c>
      <c r="C597" s="1306"/>
      <c r="D597" s="220"/>
      <c r="E597" s="220"/>
      <c r="F597" s="220"/>
      <c r="G597" s="220"/>
      <c r="H597" s="220"/>
      <c r="I597" s="220"/>
      <c r="J597" s="220"/>
      <c r="K597" s="220"/>
      <c r="L597" s="241"/>
    </row>
    <row r="598" spans="1:12">
      <c r="A598" s="11" t="s">
        <v>303</v>
      </c>
      <c r="B598" s="220" t="s">
        <v>277</v>
      </c>
      <c r="C598" s="220"/>
      <c r="D598" s="220"/>
      <c r="E598" s="220"/>
      <c r="F598" s="220"/>
      <c r="G598" s="220"/>
      <c r="H598" s="220"/>
      <c r="I598" s="220"/>
      <c r="J598" s="220"/>
      <c r="K598" s="220"/>
      <c r="L598" s="241"/>
    </row>
    <row r="599" spans="1:12">
      <c r="A599" s="11"/>
      <c r="B599" s="220" t="s">
        <v>302</v>
      </c>
      <c r="C599" s="220"/>
      <c r="D599" s="220"/>
      <c r="E599" s="220"/>
      <c r="F599" s="220"/>
      <c r="G599" s="220"/>
      <c r="H599" s="220"/>
      <c r="I599" s="220"/>
      <c r="J599" s="220"/>
      <c r="K599" s="220"/>
      <c r="L599" s="241"/>
    </row>
    <row r="600" spans="1:12">
      <c r="A600" s="11"/>
      <c r="B600" t="s">
        <v>278</v>
      </c>
      <c r="L600" s="12"/>
    </row>
    <row r="601" spans="1:12" ht="18.75">
      <c r="A601" s="11"/>
      <c r="B601" s="2" t="s">
        <v>279</v>
      </c>
      <c r="F601" s="172"/>
      <c r="L601" s="12"/>
    </row>
    <row r="602" spans="1:12">
      <c r="A602" s="11"/>
      <c r="B602" s="2" t="s">
        <v>280</v>
      </c>
      <c r="L602" s="12"/>
    </row>
    <row r="603" spans="1:12" ht="21.75" customHeight="1">
      <c r="A603" s="11"/>
      <c r="B603" t="s">
        <v>281</v>
      </c>
      <c r="L603" s="12"/>
    </row>
    <row r="604" spans="1:12" ht="18" customHeight="1">
      <c r="A604" s="11"/>
      <c r="B604" t="s">
        <v>282</v>
      </c>
      <c r="L604" s="12"/>
    </row>
    <row r="605" spans="1:12" ht="17.25" customHeight="1">
      <c r="A605" s="11" t="s">
        <v>292</v>
      </c>
      <c r="B605" t="s">
        <v>283</v>
      </c>
      <c r="L605" s="12"/>
    </row>
    <row r="606" spans="1:12" ht="19.5" customHeight="1">
      <c r="A606" s="11"/>
      <c r="B606" s="232" t="s">
        <v>304</v>
      </c>
      <c r="L606" s="12"/>
    </row>
    <row r="607" spans="1:12" ht="18.75" customHeight="1">
      <c r="A607" s="11"/>
      <c r="B607" t="s">
        <v>278</v>
      </c>
      <c r="L607" s="12"/>
    </row>
    <row r="608" spans="1:12" ht="15" customHeight="1">
      <c r="A608" s="11"/>
      <c r="B608" t="s">
        <v>284</v>
      </c>
      <c r="L608" s="12"/>
    </row>
    <row r="609" spans="1:12" ht="20.25" customHeight="1">
      <c r="A609" s="11"/>
      <c r="B609" t="s">
        <v>285</v>
      </c>
      <c r="L609" s="12"/>
    </row>
    <row r="610" spans="1:12" ht="21" customHeight="1">
      <c r="A610" s="11"/>
      <c r="B610" s="1307" t="s">
        <v>286</v>
      </c>
      <c r="C610" s="1307"/>
      <c r="D610" s="1307"/>
      <c r="E610" s="1307"/>
      <c r="F610" s="1307"/>
      <c r="G610" s="1307"/>
      <c r="H610" s="1307"/>
      <c r="I610" s="1307"/>
      <c r="J610" s="1307"/>
      <c r="K610" s="1307"/>
      <c r="L610" s="1308"/>
    </row>
    <row r="611" spans="1:12" ht="27.95" customHeight="1">
      <c r="A611" s="11"/>
      <c r="B611" t="s">
        <v>198</v>
      </c>
      <c r="C611" s="202"/>
      <c r="D611" s="202"/>
      <c r="E611" s="202"/>
      <c r="F611" s="202"/>
      <c r="G611" s="202"/>
      <c r="H611" s="202"/>
      <c r="I611" t="s">
        <v>305</v>
      </c>
      <c r="J611" s="202"/>
      <c r="K611" s="202"/>
      <c r="L611" s="233"/>
    </row>
    <row r="612" spans="1:12" ht="27.95" customHeight="1" thickBot="1">
      <c r="A612" s="16"/>
      <c r="B612" s="1131"/>
      <c r="C612" s="1131"/>
      <c r="D612" s="1131"/>
      <c r="E612" s="1131"/>
      <c r="F612" s="1131"/>
      <c r="G612" s="1131"/>
      <c r="H612" s="1131"/>
      <c r="I612" s="1131"/>
      <c r="J612" s="1131"/>
      <c r="K612" s="1131"/>
      <c r="L612" s="1132"/>
    </row>
    <row r="613" spans="1:12" ht="27.95" customHeight="1">
      <c r="B613" s="173"/>
      <c r="C613" s="169"/>
      <c r="D613" s="169"/>
      <c r="E613" s="169"/>
      <c r="F613" s="169"/>
      <c r="G613" s="169"/>
      <c r="H613" s="158"/>
      <c r="I613" s="158"/>
      <c r="J613" s="158"/>
      <c r="K613" s="158"/>
      <c r="L613" s="158"/>
    </row>
    <row r="614" spans="1:12" ht="27.95" customHeight="1">
      <c r="B614" s="173"/>
      <c r="C614" s="169"/>
      <c r="D614" s="169"/>
      <c r="E614" s="169"/>
      <c r="F614" s="169"/>
      <c r="G614" s="169"/>
      <c r="H614" s="158"/>
      <c r="I614" s="158"/>
      <c r="J614" s="159"/>
      <c r="K614" s="158"/>
      <c r="L614" s="158"/>
    </row>
    <row r="615" spans="1:12" ht="27.95" customHeight="1">
      <c r="B615" s="173"/>
      <c r="C615" s="169"/>
      <c r="D615" s="169"/>
      <c r="E615" s="169"/>
      <c r="F615" s="169"/>
      <c r="G615" s="169"/>
      <c r="H615" s="158"/>
      <c r="I615" s="158"/>
      <c r="J615" s="158"/>
      <c r="K615" s="158"/>
      <c r="L615" s="158"/>
    </row>
    <row r="616" spans="1:12" ht="27.95" customHeight="1">
      <c r="B616" s="173"/>
      <c r="C616" s="169"/>
      <c r="D616" s="169"/>
      <c r="E616" s="169"/>
      <c r="F616" s="169"/>
      <c r="G616" s="169"/>
      <c r="H616" s="158"/>
      <c r="I616" s="158"/>
      <c r="J616" s="159"/>
      <c r="K616" s="158"/>
      <c r="L616" s="158"/>
    </row>
    <row r="617" spans="1:12" ht="27.95" customHeight="1">
      <c r="B617" s="173"/>
      <c r="C617" s="169"/>
      <c r="D617" s="158"/>
      <c r="E617" s="159"/>
      <c r="F617" s="158"/>
      <c r="G617" s="159"/>
      <c r="H617" s="158"/>
      <c r="I617" s="159"/>
      <c r="J617" s="158"/>
      <c r="K617" s="159"/>
      <c r="L617" s="159"/>
    </row>
    <row r="618" spans="1:12" ht="27.95" customHeight="1">
      <c r="B618" s="173"/>
      <c r="C618" s="169"/>
      <c r="D618" s="169"/>
      <c r="E618" s="169"/>
      <c r="F618" s="169"/>
      <c r="G618" s="169"/>
      <c r="H618" s="158"/>
      <c r="I618" s="158"/>
      <c r="J618" s="243"/>
      <c r="K618" s="158"/>
      <c r="L618" s="158"/>
    </row>
    <row r="619" spans="1:12" ht="27.95" customHeight="1">
      <c r="B619" s="173"/>
      <c r="C619" s="2"/>
      <c r="D619" s="2"/>
      <c r="E619" s="2"/>
      <c r="F619" s="2"/>
      <c r="G619" s="2"/>
    </row>
    <row r="620" spans="1:12" ht="27.95" customHeight="1">
      <c r="B620" s="173"/>
      <c r="C620" s="2"/>
      <c r="D620" s="2"/>
      <c r="E620" s="2"/>
      <c r="F620" s="2"/>
      <c r="G620" s="2"/>
    </row>
    <row r="623" spans="1:12" ht="32.25">
      <c r="B623" s="1277"/>
      <c r="C623" s="1278"/>
      <c r="D623" s="1278"/>
      <c r="E623" s="1278"/>
      <c r="F623" s="1278"/>
      <c r="G623" s="1278"/>
      <c r="H623" s="1278"/>
      <c r="I623" s="1278"/>
      <c r="J623" s="1278"/>
      <c r="K623" s="1278"/>
      <c r="L623" s="1278"/>
    </row>
    <row r="624" spans="1:12" ht="23.25">
      <c r="B624" s="1255"/>
      <c r="C624" s="1255"/>
      <c r="D624" s="1255"/>
      <c r="E624" s="1255"/>
      <c r="F624" s="1255"/>
      <c r="G624" s="1255"/>
      <c r="H624" s="1255"/>
      <c r="I624" s="1255"/>
      <c r="J624" s="1255"/>
      <c r="K624" s="1255"/>
      <c r="L624" s="1255"/>
    </row>
    <row r="625" spans="2:12" ht="15.75">
      <c r="B625" s="1275"/>
      <c r="C625" s="1275"/>
      <c r="D625" s="1275"/>
      <c r="E625" s="1275"/>
      <c r="F625" s="1275"/>
      <c r="G625" s="1275"/>
      <c r="H625" s="1275"/>
      <c r="I625" s="1275"/>
      <c r="J625" s="1275"/>
      <c r="K625" s="1275"/>
      <c r="L625" s="1275"/>
    </row>
    <row r="626" spans="2:12" ht="15" customHeight="1">
      <c r="B626" s="1256"/>
      <c r="C626" s="1256"/>
      <c r="D626" s="1256"/>
      <c r="E626" s="1256"/>
      <c r="F626" s="1256"/>
      <c r="H626" s="1257"/>
      <c r="I626" s="1257"/>
      <c r="J626" s="1257"/>
      <c r="K626" s="1257"/>
      <c r="L626" s="1257"/>
    </row>
    <row r="627" spans="2:12">
      <c r="B627" s="1256"/>
      <c r="C627" s="1256"/>
      <c r="D627" s="1256"/>
      <c r="E627" s="1256"/>
      <c r="F627" s="1256"/>
      <c r="H627" s="1257"/>
      <c r="I627" s="1257"/>
      <c r="J627" s="1257"/>
      <c r="K627" s="1257"/>
      <c r="L627" s="1257"/>
    </row>
    <row r="629" spans="2:12">
      <c r="B629" s="2"/>
      <c r="H629" s="2"/>
    </row>
    <row r="631" spans="2:12">
      <c r="B631" s="2"/>
      <c r="H631" s="2"/>
    </row>
    <row r="634" spans="2:12">
      <c r="B634" s="1258"/>
      <c r="C634" s="1258"/>
      <c r="D634" s="1258"/>
      <c r="E634" s="1258"/>
      <c r="F634" s="1258"/>
      <c r="H634" s="1258"/>
      <c r="I634" s="1258"/>
      <c r="J634" s="1258"/>
      <c r="K634" s="1258"/>
      <c r="L634" s="1258"/>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8"/>
      <c r="B641" s="1273"/>
      <c r="C641" s="1273"/>
      <c r="D641" s="1273"/>
      <c r="E641" s="1273"/>
      <c r="F641" s="1273"/>
      <c r="G641" s="1273"/>
      <c r="H641" s="1270"/>
      <c r="I641" s="1271"/>
      <c r="J641" s="1271"/>
      <c r="K641" s="1271"/>
      <c r="L641" s="1271"/>
    </row>
    <row r="642" spans="1:12" ht="27.95" customHeight="1">
      <c r="A642" s="8"/>
      <c r="B642" s="1257"/>
      <c r="C642" s="1257"/>
      <c r="D642" s="1257"/>
      <c r="E642" s="1257"/>
      <c r="F642" s="1257"/>
      <c r="G642" s="1257"/>
      <c r="H642" s="1270"/>
      <c r="I642" s="1271"/>
      <c r="J642" s="1271"/>
      <c r="K642" s="1271"/>
      <c r="L642" s="1271"/>
    </row>
    <row r="643" spans="1:12" ht="27.95" customHeight="1">
      <c r="A643" s="8"/>
      <c r="B643" s="1273"/>
      <c r="C643" s="1273"/>
      <c r="D643" s="1273"/>
      <c r="E643" s="1273"/>
      <c r="F643" s="1273"/>
      <c r="G643" s="1273"/>
      <c r="H643" s="1270"/>
      <c r="I643" s="1271"/>
      <c r="J643" s="1271"/>
      <c r="K643" s="1271"/>
      <c r="L643" s="1271"/>
    </row>
    <row r="644" spans="1:12" ht="27.95" customHeight="1">
      <c r="A644" s="8"/>
      <c r="B644" s="1273"/>
      <c r="C644" s="1273"/>
      <c r="D644" s="1273"/>
      <c r="E644" s="1273"/>
      <c r="F644" s="1273"/>
      <c r="G644" s="1273"/>
      <c r="H644" s="1274"/>
      <c r="I644" s="1271"/>
      <c r="J644" s="1271"/>
      <c r="K644" s="1271"/>
      <c r="L644" s="1271"/>
    </row>
    <row r="645" spans="1:12" ht="27.95" customHeight="1">
      <c r="A645" s="8"/>
      <c r="B645" s="173"/>
      <c r="C645" s="169"/>
      <c r="D645" s="169"/>
      <c r="E645" s="169"/>
      <c r="F645" s="169"/>
      <c r="G645" s="169"/>
      <c r="H645" s="158"/>
      <c r="I645" s="8"/>
      <c r="J645" s="242"/>
      <c r="K645" s="158"/>
      <c r="L645" s="158"/>
    </row>
    <row r="646" spans="1:12" ht="27.95" customHeight="1">
      <c r="A646" s="8"/>
      <c r="B646" s="173"/>
      <c r="C646" s="169"/>
      <c r="D646" s="169"/>
      <c r="E646" s="169"/>
      <c r="F646" s="169"/>
      <c r="G646" s="169"/>
      <c r="H646" s="158"/>
      <c r="I646" s="158"/>
      <c r="J646" s="242"/>
      <c r="K646" s="158"/>
      <c r="L646" s="158"/>
    </row>
    <row r="647" spans="1:12" ht="27.95" customHeight="1">
      <c r="A647" s="8"/>
      <c r="B647" s="1257"/>
      <c r="C647" s="1257"/>
      <c r="D647" s="1257"/>
      <c r="E647" s="1257"/>
      <c r="F647" s="1257"/>
      <c r="G647" s="1257"/>
      <c r="H647" s="1270"/>
      <c r="I647" s="1271"/>
      <c r="J647" s="1271"/>
      <c r="K647" s="1271"/>
      <c r="L647" s="1271"/>
    </row>
    <row r="648" spans="1:12" ht="27.95" customHeight="1">
      <c r="A648" s="8"/>
      <c r="B648" s="1273"/>
      <c r="C648" s="1273"/>
      <c r="D648" s="1273"/>
      <c r="E648" s="1273"/>
      <c r="F648" s="1273"/>
      <c r="G648" s="1273"/>
      <c r="H648" s="1276"/>
      <c r="I648" s="1271"/>
      <c r="J648" s="1271"/>
      <c r="K648" s="1271"/>
      <c r="L648" s="1271"/>
    </row>
    <row r="649" spans="1:12" ht="27.95" customHeight="1">
      <c r="B649" s="1273"/>
      <c r="C649" s="1273"/>
      <c r="D649" s="1273"/>
      <c r="E649" s="1273"/>
      <c r="F649" s="1273"/>
      <c r="G649" s="1273"/>
      <c r="H649" s="1271"/>
      <c r="I649" s="1271"/>
      <c r="J649" s="1271"/>
      <c r="K649" s="1271"/>
      <c r="L649" s="1271"/>
    </row>
    <row r="650" spans="1:12" ht="27.95" customHeight="1">
      <c r="B650" s="173"/>
      <c r="C650" s="169"/>
      <c r="D650" s="169"/>
      <c r="E650" s="169"/>
      <c r="F650" s="169"/>
      <c r="G650" s="169"/>
      <c r="H650" s="158"/>
      <c r="I650" s="158"/>
      <c r="J650" s="158"/>
      <c r="K650" s="158"/>
      <c r="L650" s="158"/>
    </row>
    <row r="651" spans="1:12" ht="27.95" customHeight="1">
      <c r="B651" s="173"/>
      <c r="C651" s="169"/>
      <c r="D651" s="169"/>
      <c r="E651" s="169"/>
      <c r="F651" s="169"/>
      <c r="G651" s="169"/>
      <c r="H651" s="158"/>
      <c r="I651" s="158"/>
      <c r="J651" s="158"/>
      <c r="K651" s="158"/>
      <c r="L651" s="158"/>
    </row>
    <row r="652" spans="1:12" ht="27.95" customHeight="1">
      <c r="B652" s="173"/>
      <c r="C652" s="169"/>
      <c r="D652" s="169"/>
      <c r="E652" s="169"/>
      <c r="F652" s="169"/>
      <c r="G652" s="169"/>
      <c r="H652" s="158"/>
      <c r="I652" s="158"/>
      <c r="J652" s="159"/>
      <c r="K652" s="158"/>
      <c r="L652" s="158"/>
    </row>
    <row r="653" spans="1:12" ht="27.95" customHeight="1">
      <c r="B653" s="173"/>
      <c r="C653" s="169"/>
      <c r="D653" s="169"/>
      <c r="E653" s="169"/>
      <c r="F653" s="169"/>
      <c r="G653" s="169"/>
      <c r="H653" s="158"/>
      <c r="I653" s="158"/>
      <c r="J653" s="158"/>
      <c r="K653" s="158"/>
      <c r="L653" s="158"/>
    </row>
    <row r="654" spans="1:12" ht="27.95" customHeight="1">
      <c r="B654" s="173"/>
      <c r="C654" s="169"/>
      <c r="D654" s="169"/>
      <c r="E654" s="169"/>
      <c r="F654" s="169"/>
      <c r="G654" s="169"/>
      <c r="H654" s="158"/>
      <c r="I654" s="158"/>
      <c r="J654" s="159"/>
      <c r="K654" s="158"/>
      <c r="L654" s="158"/>
    </row>
    <row r="655" spans="1:12" ht="27.95" customHeight="1">
      <c r="B655" s="173"/>
      <c r="C655" s="169"/>
      <c r="D655" s="158"/>
      <c r="E655" s="159"/>
      <c r="F655" s="158"/>
      <c r="G655" s="159"/>
      <c r="H655" s="158"/>
      <c r="I655" s="159"/>
      <c r="J655" s="158"/>
      <c r="K655" s="159"/>
      <c r="L655" s="159"/>
    </row>
    <row r="656" spans="1:12" ht="27.95" customHeight="1">
      <c r="B656" s="173"/>
      <c r="C656" s="169"/>
      <c r="D656" s="169"/>
      <c r="E656" s="169"/>
      <c r="F656" s="169"/>
      <c r="G656" s="169"/>
      <c r="H656" s="158"/>
      <c r="I656" s="158"/>
      <c r="J656" s="243"/>
      <c r="K656" s="158"/>
      <c r="L656" s="158"/>
    </row>
    <row r="657" spans="2:12" ht="27.95" customHeight="1">
      <c r="B657" s="173"/>
      <c r="C657" s="2"/>
      <c r="D657" s="2"/>
      <c r="E657" s="2"/>
      <c r="F657" s="2"/>
      <c r="G657" s="2"/>
    </row>
    <row r="658" spans="2:12" ht="27.95" customHeight="1">
      <c r="B658" s="173"/>
      <c r="C658" s="2"/>
      <c r="D658" s="2"/>
      <c r="E658" s="2"/>
      <c r="F658" s="2"/>
      <c r="G658" s="2"/>
    </row>
    <row r="662" spans="2:12" ht="32.25">
      <c r="B662" s="1277"/>
      <c r="C662" s="1278"/>
      <c r="D662" s="1278"/>
      <c r="E662" s="1278"/>
      <c r="F662" s="1278"/>
      <c r="G662" s="1278"/>
      <c r="H662" s="1278"/>
      <c r="I662" s="1278"/>
      <c r="J662" s="1278"/>
      <c r="K662" s="1278"/>
      <c r="L662" s="1278"/>
    </row>
    <row r="663" spans="2:12" ht="23.25">
      <c r="B663" s="1255"/>
      <c r="C663" s="1255"/>
      <c r="D663" s="1255"/>
      <c r="E663" s="1255"/>
      <c r="F663" s="1255"/>
      <c r="G663" s="1255"/>
      <c r="H663" s="1255"/>
      <c r="I663" s="1255"/>
      <c r="J663" s="1255"/>
      <c r="K663" s="1255"/>
      <c r="L663" s="1255"/>
    </row>
    <row r="664" spans="2:12" ht="15.75">
      <c r="B664" s="1275"/>
      <c r="C664" s="1275"/>
      <c r="D664" s="1275"/>
      <c r="E664" s="1275"/>
      <c r="F664" s="1275"/>
      <c r="G664" s="1275"/>
      <c r="H664" s="1275"/>
      <c r="I664" s="1275"/>
      <c r="J664" s="1275"/>
      <c r="K664" s="1275"/>
      <c r="L664" s="1275"/>
    </row>
    <row r="665" spans="2:12" ht="15" customHeight="1">
      <c r="B665" s="1256"/>
      <c r="C665" s="1256"/>
      <c r="D665" s="1256"/>
      <c r="E665" s="1256"/>
      <c r="F665" s="1256"/>
      <c r="H665" s="1257"/>
      <c r="I665" s="1257"/>
      <c r="J665" s="1257"/>
      <c r="K665" s="1257"/>
      <c r="L665" s="1257"/>
    </row>
    <row r="666" spans="2:12">
      <c r="B666" s="1256"/>
      <c r="C666" s="1256"/>
      <c r="D666" s="1256"/>
      <c r="E666" s="1256"/>
      <c r="F666" s="1256"/>
      <c r="H666" s="1257"/>
      <c r="I666" s="1257"/>
      <c r="J666" s="1257"/>
      <c r="K666" s="1257"/>
      <c r="L666" s="1257"/>
    </row>
    <row r="668" spans="2:12">
      <c r="B668" s="2"/>
      <c r="H668" s="2"/>
    </row>
    <row r="670" spans="2:12">
      <c r="B670" s="2"/>
      <c r="H670" s="2"/>
    </row>
    <row r="673" spans="1:12">
      <c r="B673" s="1258"/>
      <c r="C673" s="1258"/>
      <c r="D673" s="1258"/>
      <c r="E673" s="1258"/>
      <c r="F673" s="1258"/>
      <c r="H673" s="1258"/>
      <c r="I673" s="1258"/>
      <c r="J673" s="1258"/>
      <c r="K673" s="1258"/>
      <c r="L673" s="1258"/>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8"/>
      <c r="B680" s="1273"/>
      <c r="C680" s="1273"/>
      <c r="D680" s="1273"/>
      <c r="E680" s="1273"/>
      <c r="F680" s="1273"/>
      <c r="G680" s="1273"/>
      <c r="H680" s="1270"/>
      <c r="I680" s="1271"/>
      <c r="J680" s="1271"/>
      <c r="K680" s="1271"/>
      <c r="L680" s="1271"/>
    </row>
    <row r="681" spans="1:12" ht="27.95" customHeight="1">
      <c r="A681" s="8"/>
      <c r="B681" s="1257"/>
      <c r="C681" s="1257"/>
      <c r="D681" s="1257"/>
      <c r="E681" s="1257"/>
      <c r="F681" s="1257"/>
      <c r="G681" s="1257"/>
      <c r="H681" s="1270"/>
      <c r="I681" s="1271"/>
      <c r="J681" s="1271"/>
      <c r="K681" s="1271"/>
      <c r="L681" s="1271"/>
    </row>
    <row r="682" spans="1:12" ht="27.95" customHeight="1">
      <c r="A682" s="8"/>
      <c r="B682" s="1273"/>
      <c r="C682" s="1273"/>
      <c r="D682" s="1273"/>
      <c r="E682" s="1273"/>
      <c r="F682" s="1273"/>
      <c r="G682" s="1273"/>
      <c r="H682" s="1270"/>
      <c r="I682" s="1271"/>
      <c r="J682" s="1271"/>
      <c r="K682" s="1271"/>
      <c r="L682" s="1271"/>
    </row>
    <row r="683" spans="1:12" ht="27.95" customHeight="1">
      <c r="A683" s="8"/>
      <c r="B683" s="1273"/>
      <c r="C683" s="1273"/>
      <c r="D683" s="1273"/>
      <c r="E683" s="1273"/>
      <c r="F683" s="1273"/>
      <c r="G683" s="1273"/>
      <c r="H683" s="1274"/>
      <c r="I683" s="1271"/>
      <c r="J683" s="1271"/>
      <c r="K683" s="1271"/>
      <c r="L683" s="1271"/>
    </row>
    <row r="684" spans="1:12" ht="27.95" customHeight="1">
      <c r="A684" s="8"/>
      <c r="B684" s="173"/>
      <c r="C684" s="169"/>
      <c r="D684" s="169"/>
      <c r="E684" s="169"/>
      <c r="F684" s="169"/>
      <c r="G684" s="169"/>
      <c r="H684" s="158"/>
      <c r="I684" s="8"/>
      <c r="J684" s="242"/>
      <c r="K684" s="158"/>
      <c r="L684" s="158"/>
    </row>
    <row r="685" spans="1:12" ht="27.95" customHeight="1">
      <c r="A685" s="8"/>
      <c r="B685" s="173"/>
      <c r="C685" s="169"/>
      <c r="D685" s="169"/>
      <c r="E685" s="169"/>
      <c r="F685" s="169"/>
      <c r="G685" s="169"/>
      <c r="H685" s="158"/>
      <c r="I685" s="158"/>
      <c r="J685" s="242"/>
      <c r="K685" s="158"/>
      <c r="L685" s="158"/>
    </row>
    <row r="686" spans="1:12" ht="27.95" customHeight="1">
      <c r="A686" s="8"/>
      <c r="B686" s="1257"/>
      <c r="C686" s="1257"/>
      <c r="D686" s="1257"/>
      <c r="E686" s="1257"/>
      <c r="F686" s="1257"/>
      <c r="G686" s="1257"/>
      <c r="H686" s="1270"/>
      <c r="I686" s="1271"/>
      <c r="J686" s="1271"/>
      <c r="K686" s="1271"/>
      <c r="L686" s="1271"/>
    </row>
    <row r="687" spans="1:12" ht="27.95" customHeight="1">
      <c r="A687" s="8"/>
      <c r="B687" s="1273"/>
      <c r="C687" s="1273"/>
      <c r="D687" s="1273"/>
      <c r="E687" s="1273"/>
      <c r="F687" s="1273"/>
      <c r="G687" s="1273"/>
      <c r="H687" s="1276"/>
      <c r="I687" s="1271"/>
      <c r="J687" s="1271"/>
      <c r="K687" s="1271"/>
      <c r="L687" s="1271"/>
    </row>
    <row r="688" spans="1:12" ht="27.95" customHeight="1">
      <c r="B688" s="1273"/>
      <c r="C688" s="1273"/>
      <c r="D688" s="1273"/>
      <c r="E688" s="1273"/>
      <c r="F688" s="1273"/>
      <c r="G688" s="1273"/>
      <c r="H688" s="1271"/>
      <c r="I688" s="1271"/>
      <c r="J688" s="1271"/>
      <c r="K688" s="1271"/>
      <c r="L688" s="1271"/>
    </row>
    <row r="689" spans="2:12" ht="27.95" customHeight="1">
      <c r="B689" s="173"/>
      <c r="C689" s="169"/>
      <c r="D689" s="169"/>
      <c r="E689" s="169"/>
      <c r="F689" s="169"/>
      <c r="G689" s="169"/>
      <c r="H689" s="158"/>
      <c r="I689" s="158"/>
      <c r="J689" s="158"/>
      <c r="K689" s="158"/>
      <c r="L689" s="158"/>
    </row>
    <row r="690" spans="2:12" ht="27.95" customHeight="1">
      <c r="B690" s="173"/>
      <c r="C690" s="169"/>
      <c r="D690" s="169"/>
      <c r="E690" s="169"/>
      <c r="F690" s="169"/>
      <c r="G690" s="169"/>
      <c r="H690" s="158"/>
      <c r="I690" s="158"/>
      <c r="J690" s="158"/>
      <c r="K690" s="158"/>
      <c r="L690" s="158"/>
    </row>
    <row r="691" spans="2:12" ht="27.95" customHeight="1">
      <c r="B691" s="173"/>
      <c r="C691" s="169"/>
      <c r="D691" s="169"/>
      <c r="E691" s="169"/>
      <c r="F691" s="169"/>
      <c r="G691" s="169"/>
      <c r="H691" s="158"/>
      <c r="I691" s="158"/>
      <c r="J691" s="159"/>
      <c r="K691" s="158"/>
      <c r="L691" s="158"/>
    </row>
    <row r="692" spans="2:12" ht="27.95" customHeight="1">
      <c r="B692" s="173"/>
      <c r="C692" s="169"/>
      <c r="D692" s="169"/>
      <c r="E692" s="169"/>
      <c r="F692" s="169"/>
      <c r="G692" s="169"/>
      <c r="H692" s="158"/>
      <c r="I692" s="158"/>
      <c r="J692" s="158"/>
      <c r="K692" s="158"/>
      <c r="L692" s="158"/>
    </row>
    <row r="693" spans="2:12" ht="27.95" customHeight="1">
      <c r="B693" s="173"/>
      <c r="C693" s="169"/>
      <c r="D693" s="169"/>
      <c r="E693" s="169"/>
      <c r="F693" s="169"/>
      <c r="G693" s="169"/>
      <c r="H693" s="158"/>
      <c r="I693" s="158"/>
      <c r="J693" s="159"/>
      <c r="K693" s="158"/>
      <c r="L693" s="158"/>
    </row>
    <row r="694" spans="2:12" ht="27.95" customHeight="1">
      <c r="B694" s="173"/>
      <c r="C694" s="169"/>
      <c r="D694" s="158"/>
      <c r="E694" s="159"/>
      <c r="F694" s="158"/>
      <c r="G694" s="159"/>
      <c r="H694" s="158"/>
      <c r="I694" s="159"/>
      <c r="J694" s="158"/>
      <c r="K694" s="159"/>
      <c r="L694" s="159"/>
    </row>
    <row r="695" spans="2:12" ht="27.95" customHeight="1">
      <c r="B695" s="173"/>
      <c r="C695" s="169"/>
      <c r="D695" s="169"/>
      <c r="E695" s="169"/>
      <c r="F695" s="169"/>
      <c r="G695" s="169"/>
      <c r="H695" s="158"/>
      <c r="I695" s="158"/>
      <c r="J695" s="243"/>
      <c r="K695" s="158"/>
      <c r="L695" s="158"/>
    </row>
    <row r="696" spans="2:12" ht="27.95" customHeight="1">
      <c r="B696" s="173"/>
      <c r="C696" s="2"/>
      <c r="D696" s="2"/>
      <c r="E696" s="2"/>
      <c r="F696" s="2"/>
      <c r="G696" s="2"/>
    </row>
    <row r="697" spans="2:12" ht="27.95" customHeight="1">
      <c r="B697" s="173"/>
      <c r="C697" s="2"/>
      <c r="D697" s="2"/>
      <c r="E697" s="2"/>
      <c r="F697" s="2"/>
      <c r="G697" s="2"/>
    </row>
    <row r="701" spans="2:12" ht="32.25">
      <c r="B701" s="1277"/>
      <c r="C701" s="1278"/>
      <c r="D701" s="1278"/>
      <c r="E701" s="1278"/>
      <c r="F701" s="1278"/>
      <c r="G701" s="1278"/>
      <c r="H701" s="1278"/>
      <c r="I701" s="1278"/>
      <c r="J701" s="1278"/>
      <c r="K701" s="1278"/>
      <c r="L701" s="1278"/>
    </row>
    <row r="702" spans="2:12" ht="23.25">
      <c r="B702" s="1255"/>
      <c r="C702" s="1255"/>
      <c r="D702" s="1255"/>
      <c r="E702" s="1255"/>
      <c r="F702" s="1255"/>
      <c r="G702" s="1255"/>
      <c r="H702" s="1255"/>
      <c r="I702" s="1255"/>
      <c r="J702" s="1255"/>
      <c r="K702" s="1255"/>
      <c r="L702" s="1255"/>
    </row>
    <row r="703" spans="2:12" ht="15.75">
      <c r="B703" s="1275"/>
      <c r="C703" s="1275"/>
      <c r="D703" s="1275"/>
      <c r="E703" s="1275"/>
      <c r="F703" s="1275"/>
      <c r="G703" s="1275"/>
      <c r="H703" s="1275"/>
      <c r="I703" s="1275"/>
      <c r="J703" s="1275"/>
      <c r="K703" s="1275"/>
      <c r="L703" s="1275"/>
    </row>
    <row r="704" spans="2:12" ht="15" customHeight="1">
      <c r="B704" s="1256"/>
      <c r="C704" s="1256"/>
      <c r="D704" s="1256"/>
      <c r="E704" s="1256"/>
      <c r="F704" s="1256"/>
      <c r="H704" s="1257"/>
      <c r="I704" s="1257"/>
      <c r="J704" s="1257"/>
      <c r="K704" s="1257"/>
      <c r="L704" s="1257"/>
    </row>
    <row r="705" spans="1:12">
      <c r="B705" s="1256"/>
      <c r="C705" s="1256"/>
      <c r="D705" s="1256"/>
      <c r="E705" s="1256"/>
      <c r="F705" s="1256"/>
      <c r="H705" s="1257"/>
      <c r="I705" s="1257"/>
      <c r="J705" s="1257"/>
      <c r="K705" s="1257"/>
      <c r="L705" s="1257"/>
    </row>
    <row r="707" spans="1:12">
      <c r="B707" s="2"/>
      <c r="H707" s="2"/>
    </row>
    <row r="709" spans="1:12">
      <c r="B709" s="2"/>
      <c r="H709" s="2"/>
    </row>
    <row r="712" spans="1:12">
      <c r="B712" s="1258"/>
      <c r="C712" s="1258"/>
      <c r="D712" s="1258"/>
      <c r="E712" s="1258"/>
      <c r="F712" s="1258"/>
      <c r="H712" s="1258"/>
      <c r="I712" s="1258"/>
      <c r="J712" s="1258"/>
      <c r="K712" s="1258"/>
      <c r="L712" s="1258"/>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8"/>
      <c r="B719" s="1273"/>
      <c r="C719" s="1273"/>
      <c r="D719" s="1273"/>
      <c r="E719" s="1273"/>
      <c r="F719" s="1273"/>
      <c r="G719" s="1273"/>
      <c r="H719" s="1270"/>
      <c r="I719" s="1271"/>
      <c r="J719" s="1271"/>
      <c r="K719" s="1271"/>
      <c r="L719" s="1271"/>
    </row>
    <row r="720" spans="1:12" ht="27.95" customHeight="1">
      <c r="A720" s="8"/>
      <c r="B720" s="1257"/>
      <c r="C720" s="1257"/>
      <c r="D720" s="1257"/>
      <c r="E720" s="1257"/>
      <c r="F720" s="1257"/>
      <c r="G720" s="1257"/>
      <c r="H720" s="1270"/>
      <c r="I720" s="1271"/>
      <c r="J720" s="1271"/>
      <c r="K720" s="1271"/>
      <c r="L720" s="1271"/>
    </row>
    <row r="721" spans="1:12" ht="27.95" customHeight="1">
      <c r="A721" s="8"/>
      <c r="B721" s="1273"/>
      <c r="C721" s="1273"/>
      <c r="D721" s="1273"/>
      <c r="E721" s="1273"/>
      <c r="F721" s="1273"/>
      <c r="G721" s="1273"/>
      <c r="H721" s="1270"/>
      <c r="I721" s="1271"/>
      <c r="J721" s="1271"/>
      <c r="K721" s="1271"/>
      <c r="L721" s="1271"/>
    </row>
    <row r="722" spans="1:12" ht="27.95" customHeight="1">
      <c r="A722" s="8"/>
      <c r="B722" s="1273"/>
      <c r="C722" s="1273"/>
      <c r="D722" s="1273"/>
      <c r="E722" s="1273"/>
      <c r="F722" s="1273"/>
      <c r="G722" s="1273"/>
      <c r="H722" s="1274"/>
      <c r="I722" s="1271"/>
      <c r="J722" s="1271"/>
      <c r="K722" s="1271"/>
      <c r="L722" s="1271"/>
    </row>
    <row r="723" spans="1:12" ht="27.95" customHeight="1">
      <c r="A723" s="8"/>
      <c r="B723" s="173"/>
      <c r="C723" s="169"/>
      <c r="D723" s="169"/>
      <c r="E723" s="169"/>
      <c r="F723" s="169"/>
      <c r="G723" s="169"/>
      <c r="H723" s="158"/>
      <c r="I723" s="8"/>
      <c r="J723" s="242"/>
      <c r="K723" s="158"/>
      <c r="L723" s="158"/>
    </row>
    <row r="724" spans="1:12" ht="27.95" customHeight="1">
      <c r="A724" s="8"/>
      <c r="B724" s="173"/>
      <c r="C724" s="169"/>
      <c r="D724" s="169"/>
      <c r="E724" s="169"/>
      <c r="F724" s="169"/>
      <c r="G724" s="169"/>
      <c r="H724" s="158"/>
      <c r="I724" s="158"/>
      <c r="J724" s="242"/>
      <c r="K724" s="158"/>
      <c r="L724" s="158"/>
    </row>
    <row r="725" spans="1:12" ht="27.95" customHeight="1">
      <c r="A725" s="8"/>
      <c r="B725" s="1257"/>
      <c r="C725" s="1257"/>
      <c r="D725" s="1257"/>
      <c r="E725" s="1257"/>
      <c r="F725" s="1257"/>
      <c r="G725" s="1257"/>
      <c r="H725" s="1270"/>
      <c r="I725" s="1271"/>
      <c r="J725" s="1271"/>
      <c r="K725" s="1271"/>
      <c r="L725" s="1271"/>
    </row>
    <row r="726" spans="1:12" ht="27.95" customHeight="1">
      <c r="A726" s="8"/>
      <c r="B726" s="1273"/>
      <c r="C726" s="1273"/>
      <c r="D726" s="1273"/>
      <c r="E726" s="1273"/>
      <c r="F726" s="1273"/>
      <c r="G726" s="1273"/>
      <c r="H726" s="1276"/>
      <c r="I726" s="1271"/>
      <c r="J726" s="1271"/>
      <c r="K726" s="1271"/>
      <c r="L726" s="1271"/>
    </row>
    <row r="727" spans="1:12" ht="27.95" customHeight="1">
      <c r="B727" s="1273"/>
      <c r="C727" s="1273"/>
      <c r="D727" s="1273"/>
      <c r="E727" s="1273"/>
      <c r="F727" s="1273"/>
      <c r="G727" s="1273"/>
      <c r="H727" s="1271"/>
      <c r="I727" s="1271"/>
      <c r="J727" s="1271"/>
      <c r="K727" s="1271"/>
      <c r="L727" s="1271"/>
    </row>
    <row r="728" spans="1:12" ht="27.95" customHeight="1">
      <c r="B728" s="173"/>
      <c r="C728" s="169"/>
      <c r="D728" s="169"/>
      <c r="E728" s="169"/>
      <c r="F728" s="169"/>
      <c r="G728" s="169"/>
      <c r="H728" s="158"/>
      <c r="I728" s="158"/>
      <c r="J728" s="158"/>
      <c r="K728" s="158"/>
      <c r="L728" s="158"/>
    </row>
    <row r="729" spans="1:12" ht="27.95" customHeight="1">
      <c r="B729" s="173"/>
      <c r="C729" s="169"/>
      <c r="D729" s="169"/>
      <c r="E729" s="169"/>
      <c r="F729" s="169"/>
      <c r="G729" s="169"/>
      <c r="H729" s="158"/>
      <c r="I729" s="158"/>
      <c r="J729" s="158"/>
      <c r="K729" s="158"/>
      <c r="L729" s="158"/>
    </row>
    <row r="730" spans="1:12" ht="27.95" customHeight="1">
      <c r="B730" s="173"/>
      <c r="C730" s="169"/>
      <c r="D730" s="169"/>
      <c r="E730" s="169"/>
      <c r="F730" s="169"/>
      <c r="G730" s="169"/>
      <c r="H730" s="158"/>
      <c r="I730" s="158"/>
      <c r="J730" s="159"/>
      <c r="K730" s="158"/>
      <c r="L730" s="158"/>
    </row>
    <row r="731" spans="1:12" ht="27.95" customHeight="1">
      <c r="B731" s="173"/>
      <c r="C731" s="169"/>
      <c r="D731" s="169"/>
      <c r="E731" s="169"/>
      <c r="F731" s="169"/>
      <c r="G731" s="169"/>
      <c r="H731" s="158"/>
      <c r="I731" s="158"/>
      <c r="J731" s="158"/>
      <c r="K731" s="158"/>
      <c r="L731" s="158"/>
    </row>
    <row r="732" spans="1:12" ht="27.95" customHeight="1">
      <c r="B732" s="173"/>
      <c r="C732" s="169"/>
      <c r="D732" s="169"/>
      <c r="E732" s="169"/>
      <c r="F732" s="169"/>
      <c r="G732" s="169"/>
      <c r="H732" s="158"/>
      <c r="I732" s="158"/>
      <c r="J732" s="159"/>
      <c r="K732" s="158"/>
      <c r="L732" s="158"/>
    </row>
    <row r="733" spans="1:12" ht="27.95" customHeight="1">
      <c r="B733" s="173"/>
      <c r="C733" s="169"/>
      <c r="D733" s="158"/>
      <c r="E733" s="159"/>
      <c r="F733" s="158"/>
      <c r="G733" s="159"/>
      <c r="H733" s="158"/>
      <c r="I733" s="159"/>
      <c r="J733" s="158"/>
      <c r="K733" s="159"/>
      <c r="L733" s="159"/>
    </row>
    <row r="734" spans="1:12" ht="27.95" customHeight="1">
      <c r="B734" s="173"/>
      <c r="C734" s="169"/>
      <c r="D734" s="169"/>
      <c r="E734" s="169"/>
      <c r="F734" s="169"/>
      <c r="G734" s="169"/>
      <c r="H734" s="158"/>
      <c r="I734" s="158"/>
      <c r="J734" s="243"/>
      <c r="K734" s="158"/>
      <c r="L734" s="158"/>
    </row>
    <row r="735" spans="1:12" ht="27.95" customHeight="1">
      <c r="B735" s="173"/>
      <c r="C735" s="2"/>
      <c r="D735" s="2"/>
      <c r="E735" s="2"/>
      <c r="F735" s="2"/>
      <c r="G735" s="2"/>
    </row>
    <row r="736" spans="1:12" ht="27.95" customHeight="1">
      <c r="B736" s="173"/>
      <c r="C736" s="2"/>
      <c r="D736" s="2"/>
      <c r="E736" s="2"/>
      <c r="F736" s="2"/>
      <c r="G736" s="2"/>
    </row>
    <row r="740" spans="2:12" ht="32.25">
      <c r="B740" s="1277"/>
      <c r="C740" s="1278"/>
      <c r="D740" s="1278"/>
      <c r="E740" s="1278"/>
      <c r="F740" s="1278"/>
      <c r="G740" s="1278"/>
      <c r="H740" s="1278"/>
      <c r="I740" s="1278"/>
      <c r="J740" s="1278"/>
      <c r="K740" s="1278"/>
      <c r="L740" s="1278"/>
    </row>
    <row r="741" spans="2:12" ht="23.25">
      <c r="B741" s="1255"/>
      <c r="C741" s="1255"/>
      <c r="D741" s="1255"/>
      <c r="E741" s="1255"/>
      <c r="F741" s="1255"/>
      <c r="G741" s="1255"/>
      <c r="H741" s="1255"/>
      <c r="I741" s="1255"/>
      <c r="J741" s="1255"/>
      <c r="K741" s="1255"/>
      <c r="L741" s="1255"/>
    </row>
    <row r="742" spans="2:12" ht="15.75">
      <c r="B742" s="1275"/>
      <c r="C742" s="1275"/>
      <c r="D742" s="1275"/>
      <c r="E742" s="1275"/>
      <c r="F742" s="1275"/>
      <c r="G742" s="1275"/>
      <c r="H742" s="1275"/>
      <c r="I742" s="1275"/>
      <c r="J742" s="1275"/>
      <c r="K742" s="1275"/>
      <c r="L742" s="1275"/>
    </row>
    <row r="743" spans="2:12" ht="15" customHeight="1">
      <c r="B743" s="1256"/>
      <c r="C743" s="1256"/>
      <c r="D743" s="1256"/>
      <c r="E743" s="1256"/>
      <c r="F743" s="1256"/>
      <c r="H743" s="1257"/>
      <c r="I743" s="1257"/>
      <c r="J743" s="1257"/>
      <c r="K743" s="1257"/>
      <c r="L743" s="1257"/>
    </row>
    <row r="744" spans="2:12">
      <c r="B744" s="1256"/>
      <c r="C744" s="1256"/>
      <c r="D744" s="1256"/>
      <c r="E744" s="1256"/>
      <c r="F744" s="1256"/>
      <c r="H744" s="1257"/>
      <c r="I744" s="1257"/>
      <c r="J744" s="1257"/>
      <c r="K744" s="1257"/>
      <c r="L744" s="1257"/>
    </row>
    <row r="746" spans="2:12">
      <c r="B746" s="2"/>
      <c r="H746" s="2"/>
    </row>
    <row r="748" spans="2:12">
      <c r="B748" s="2"/>
      <c r="H748" s="2"/>
    </row>
    <row r="749" spans="2:12" ht="15" customHeight="1"/>
    <row r="751" spans="2:12">
      <c r="B751" s="1258"/>
      <c r="C751" s="1258"/>
      <c r="D751" s="1258"/>
      <c r="E751" s="1258"/>
      <c r="F751" s="1258"/>
      <c r="H751" s="1258"/>
      <c r="I751" s="1258"/>
      <c r="J751" s="1258"/>
      <c r="K751" s="1258"/>
      <c r="L751" s="1258"/>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8"/>
      <c r="B758" s="1273"/>
      <c r="C758" s="1273"/>
      <c r="D758" s="1273"/>
      <c r="E758" s="1273"/>
      <c r="F758" s="1273"/>
      <c r="G758" s="1273"/>
      <c r="H758" s="1270"/>
      <c r="I758" s="1271"/>
      <c r="J758" s="1271"/>
      <c r="K758" s="1271"/>
      <c r="L758" s="1271"/>
    </row>
    <row r="759" spans="1:12" ht="27.95" customHeight="1">
      <c r="A759" s="8"/>
      <c r="B759" s="1257"/>
      <c r="C759" s="1257"/>
      <c r="D759" s="1257"/>
      <c r="E759" s="1257"/>
      <c r="F759" s="1257"/>
      <c r="G759" s="1257"/>
      <c r="H759" s="1270"/>
      <c r="I759" s="1271"/>
      <c r="J759" s="1271"/>
      <c r="K759" s="1271"/>
      <c r="L759" s="1271"/>
    </row>
    <row r="760" spans="1:12" ht="27.95" customHeight="1">
      <c r="A760" s="8"/>
      <c r="B760" s="1273"/>
      <c r="C760" s="1273"/>
      <c r="D760" s="1273"/>
      <c r="E760" s="1273"/>
      <c r="F760" s="1273"/>
      <c r="G760" s="1273"/>
      <c r="H760" s="1270"/>
      <c r="I760" s="1271"/>
      <c r="J760" s="1271"/>
      <c r="K760" s="1271"/>
      <c r="L760" s="1271"/>
    </row>
    <row r="761" spans="1:12" ht="27.95" customHeight="1">
      <c r="A761" s="8"/>
      <c r="B761" s="1273"/>
      <c r="C761" s="1273"/>
      <c r="D761" s="1273"/>
      <c r="E761" s="1273"/>
      <c r="F761" s="1273"/>
      <c r="G761" s="1273"/>
      <c r="H761" s="1274"/>
      <c r="I761" s="1271"/>
      <c r="J761" s="1271"/>
      <c r="K761" s="1271"/>
      <c r="L761" s="1271"/>
    </row>
    <row r="762" spans="1:12" ht="27.95" customHeight="1">
      <c r="A762" s="8"/>
      <c r="B762" s="173"/>
      <c r="C762" s="169"/>
      <c r="D762" s="169"/>
      <c r="E762" s="169"/>
      <c r="F762" s="169"/>
      <c r="G762" s="169"/>
      <c r="H762" s="158"/>
      <c r="I762" s="8"/>
      <c r="J762" s="242"/>
      <c r="K762" s="158"/>
      <c r="L762" s="158"/>
    </row>
    <row r="763" spans="1:12" ht="27.95" customHeight="1">
      <c r="A763" s="8"/>
      <c r="B763" s="173"/>
      <c r="C763" s="169"/>
      <c r="D763" s="169"/>
      <c r="E763" s="169"/>
      <c r="F763" s="169"/>
      <c r="G763" s="169"/>
      <c r="H763" s="158"/>
      <c r="I763" s="158"/>
      <c r="J763" s="242"/>
      <c r="K763" s="158"/>
      <c r="L763" s="158"/>
    </row>
    <row r="764" spans="1:12" ht="27.95" customHeight="1">
      <c r="A764" s="8"/>
      <c r="B764" s="1257"/>
      <c r="C764" s="1257"/>
      <c r="D764" s="1257"/>
      <c r="E764" s="1257"/>
      <c r="F764" s="1257"/>
      <c r="G764" s="1257"/>
      <c r="H764" s="1270"/>
      <c r="I764" s="1271"/>
      <c r="J764" s="1271"/>
      <c r="K764" s="1271"/>
      <c r="L764" s="1271"/>
    </row>
    <row r="765" spans="1:12" ht="27.95" customHeight="1">
      <c r="A765" s="8"/>
      <c r="B765" s="1273"/>
      <c r="C765" s="1273"/>
      <c r="D765" s="1273"/>
      <c r="E765" s="1273"/>
      <c r="F765" s="1273"/>
      <c r="G765" s="1273"/>
      <c r="H765" s="1276"/>
      <c r="I765" s="1271"/>
      <c r="J765" s="1271"/>
      <c r="K765" s="1271"/>
      <c r="L765" s="1271"/>
    </row>
    <row r="766" spans="1:12" ht="27.95" customHeight="1">
      <c r="B766" s="1273"/>
      <c r="C766" s="1273"/>
      <c r="D766" s="1273"/>
      <c r="E766" s="1273"/>
      <c r="F766" s="1273"/>
      <c r="G766" s="1273"/>
      <c r="H766" s="1271"/>
      <c r="I766" s="1271"/>
      <c r="J766" s="1271"/>
      <c r="K766" s="1271"/>
      <c r="L766" s="1271"/>
    </row>
    <row r="767" spans="1:12" ht="27.95" customHeight="1">
      <c r="B767" s="173"/>
      <c r="C767" s="169"/>
      <c r="D767" s="169"/>
      <c r="E767" s="169"/>
      <c r="F767" s="169"/>
      <c r="G767" s="169"/>
      <c r="H767" s="158"/>
      <c r="I767" s="158"/>
      <c r="J767" s="158"/>
      <c r="K767" s="158"/>
      <c r="L767" s="158"/>
    </row>
    <row r="768" spans="1:12" ht="27.95" customHeight="1">
      <c r="B768" s="173"/>
      <c r="C768" s="169"/>
      <c r="D768" s="169"/>
      <c r="E768" s="169"/>
      <c r="F768" s="169"/>
      <c r="G768" s="169"/>
      <c r="H768" s="158"/>
      <c r="I768" s="158"/>
      <c r="J768" s="158"/>
      <c r="K768" s="158"/>
      <c r="L768" s="158"/>
    </row>
    <row r="769" spans="2:12" ht="27.95" customHeight="1">
      <c r="B769" s="173"/>
      <c r="C769" s="169"/>
      <c r="D769" s="169"/>
      <c r="E769" s="169"/>
      <c r="F769" s="169"/>
      <c r="G769" s="169"/>
      <c r="H769" s="158"/>
      <c r="I769" s="158"/>
      <c r="J769" s="159"/>
      <c r="K769" s="158"/>
      <c r="L769" s="158"/>
    </row>
    <row r="770" spans="2:12" ht="27.95" customHeight="1">
      <c r="B770" s="173"/>
      <c r="C770" s="169"/>
      <c r="D770" s="169"/>
      <c r="E770" s="169"/>
      <c r="F770" s="169"/>
      <c r="G770" s="169"/>
      <c r="H770" s="158"/>
      <c r="I770" s="158"/>
      <c r="J770" s="158"/>
      <c r="K770" s="158"/>
      <c r="L770" s="158"/>
    </row>
    <row r="771" spans="2:12" ht="27.95" customHeight="1">
      <c r="B771" s="173"/>
      <c r="C771" s="169"/>
      <c r="D771" s="169"/>
      <c r="E771" s="169"/>
      <c r="F771" s="169"/>
      <c r="G771" s="169"/>
      <c r="H771" s="158"/>
      <c r="I771" s="158"/>
      <c r="J771" s="159"/>
      <c r="K771" s="158"/>
      <c r="L771" s="158"/>
    </row>
    <row r="772" spans="2:12" ht="27.95" customHeight="1">
      <c r="B772" s="173"/>
      <c r="C772" s="169"/>
      <c r="D772" s="158"/>
      <c r="E772" s="159"/>
      <c r="F772" s="158"/>
      <c r="G772" s="159"/>
      <c r="H772" s="158"/>
      <c r="I772" s="159"/>
      <c r="J772" s="158"/>
      <c r="K772" s="159"/>
      <c r="L772" s="159"/>
    </row>
    <row r="773" spans="2:12" ht="27.95" customHeight="1">
      <c r="B773" s="173"/>
      <c r="C773" s="169"/>
      <c r="D773" s="169"/>
      <c r="E773" s="169"/>
      <c r="F773" s="169"/>
      <c r="G773" s="169"/>
      <c r="H773" s="158"/>
      <c r="I773" s="158"/>
      <c r="J773" s="243"/>
      <c r="K773" s="158"/>
      <c r="L773" s="158"/>
    </row>
    <row r="774" spans="2:12" ht="27.95" customHeight="1">
      <c r="B774" s="173"/>
      <c r="C774" s="2"/>
      <c r="D774" s="2"/>
      <c r="E774" s="2"/>
      <c r="F774" s="2"/>
      <c r="G774" s="2"/>
    </row>
    <row r="775" spans="2:12" ht="27.95" customHeight="1">
      <c r="B775" s="173"/>
      <c r="C775" s="2"/>
      <c r="D775" s="2"/>
      <c r="E775" s="2"/>
      <c r="F775" s="2"/>
      <c r="G775" s="2"/>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44"/>
  <sheetViews>
    <sheetView topLeftCell="A10" workbookViewId="0">
      <selection activeCell="A33" sqref="A33:B33"/>
    </sheetView>
  </sheetViews>
  <sheetFormatPr defaultRowHeight="15"/>
  <cols>
    <col min="1" max="1" width="20.140625" customWidth="1"/>
    <col min="2" max="2" width="30.42578125" customWidth="1"/>
    <col min="3" max="3" width="19.7109375" customWidth="1"/>
    <col min="4" max="4" width="63.28515625" customWidth="1"/>
  </cols>
  <sheetData>
    <row r="1" spans="1:4" ht="20.25">
      <c r="A1" s="1342" t="s">
        <v>306</v>
      </c>
      <c r="B1" s="1343"/>
      <c r="C1" s="1343"/>
      <c r="D1" s="1344"/>
    </row>
    <row r="2" spans="1:4">
      <c r="A2" s="1345" t="s">
        <v>307</v>
      </c>
      <c r="B2" s="1346"/>
      <c r="C2" s="1346"/>
      <c r="D2" s="1347"/>
    </row>
    <row r="3" spans="1:4" ht="18">
      <c r="A3" s="1348" t="s">
        <v>308</v>
      </c>
      <c r="B3" s="1349"/>
      <c r="C3" s="1349"/>
      <c r="D3" s="1350"/>
    </row>
    <row r="4" spans="1:4">
      <c r="A4" s="11" t="s">
        <v>136</v>
      </c>
      <c r="D4" s="12"/>
    </row>
    <row r="5" spans="1:4" ht="18">
      <c r="A5" s="267" t="str">
        <f>'4-22MASTER'!G5</f>
        <v>Burgeon IT Services Pvt.Ltd.</v>
      </c>
      <c r="B5" s="244"/>
      <c r="D5" s="12"/>
    </row>
    <row r="6" spans="1:4" ht="18">
      <c r="A6" s="267" t="str">
        <f>'4-22MASTER'!G6</f>
        <v>Siri Mansion LIGB 436 Dr.A S Rao Nagar,Hyderabad</v>
      </c>
      <c r="B6" s="244"/>
      <c r="D6" s="12"/>
    </row>
    <row r="7" spans="1:4" ht="18">
      <c r="A7" s="246"/>
      <c r="B7" s="3"/>
      <c r="D7" s="12"/>
    </row>
    <row r="8" spans="1:4" ht="15.75">
      <c r="A8" s="245" t="s">
        <v>309</v>
      </c>
      <c r="B8" s="268"/>
      <c r="C8" s="269" t="e">
        <f>'4-22MASTER'!#REF!</f>
        <v>#REF!</v>
      </c>
      <c r="D8" s="68"/>
    </row>
    <row r="9" spans="1:4">
      <c r="A9" s="1339" t="s">
        <v>310</v>
      </c>
      <c r="B9" s="1340"/>
      <c r="C9" s="1340"/>
      <c r="D9" s="1341"/>
    </row>
    <row r="10" spans="1:4">
      <c r="A10" s="11"/>
      <c r="D10" s="12"/>
    </row>
    <row r="11" spans="1:4">
      <c r="A11" s="1339" t="s">
        <v>311</v>
      </c>
      <c r="B11" s="1340"/>
      <c r="C11" s="1340"/>
      <c r="D11" s="1341"/>
    </row>
    <row r="12" spans="1:4">
      <c r="A12" s="247"/>
      <c r="B12" s="248"/>
      <c r="C12" s="248"/>
      <c r="D12" s="249"/>
    </row>
    <row r="13" spans="1:4">
      <c r="A13" s="1332" t="s">
        <v>312</v>
      </c>
      <c r="B13" s="1333"/>
      <c r="C13" s="1333"/>
      <c r="D13" s="1334"/>
    </row>
    <row r="14" spans="1:4">
      <c r="A14" s="11"/>
      <c r="D14" s="12"/>
    </row>
    <row r="15" spans="1:4">
      <c r="A15" s="1332" t="s">
        <v>313</v>
      </c>
      <c r="B15" s="1333"/>
      <c r="C15" s="1333"/>
      <c r="D15" s="1334"/>
    </row>
    <row r="16" spans="1:4">
      <c r="A16" s="1332" t="s">
        <v>314</v>
      </c>
      <c r="B16" s="1333"/>
      <c r="C16" s="1333"/>
      <c r="D16" s="1334"/>
    </row>
    <row r="17" spans="1:4">
      <c r="A17" s="245"/>
      <c r="B17" s="250"/>
      <c r="C17" s="250"/>
      <c r="D17" s="251"/>
    </row>
    <row r="18" spans="1:4">
      <c r="A18" s="1339" t="s">
        <v>315</v>
      </c>
      <c r="B18" s="1340"/>
      <c r="C18" s="1340"/>
      <c r="D18" s="1341"/>
    </row>
    <row r="19" spans="1:4">
      <c r="A19" s="245"/>
      <c r="B19" s="250"/>
      <c r="C19" s="250"/>
      <c r="D19" s="251"/>
    </row>
    <row r="20" spans="1:4">
      <c r="A20" s="1332" t="s">
        <v>316</v>
      </c>
      <c r="B20" s="1333"/>
      <c r="C20" s="1333"/>
      <c r="D20" s="1334"/>
    </row>
    <row r="21" spans="1:4">
      <c r="A21" s="11"/>
      <c r="D21" s="12"/>
    </row>
    <row r="22" spans="1:4">
      <c r="A22" s="1329" t="s">
        <v>317</v>
      </c>
      <c r="B22" s="1330"/>
      <c r="C22" s="1330"/>
      <c r="D22" s="1331"/>
    </row>
    <row r="23" spans="1:4" ht="42.75">
      <c r="A23" s="252" t="s">
        <v>318</v>
      </c>
      <c r="B23" s="253" t="s">
        <v>319</v>
      </c>
      <c r="C23" s="253" t="s">
        <v>320</v>
      </c>
      <c r="D23" s="254" t="s">
        <v>321</v>
      </c>
    </row>
    <row r="24" spans="1:4">
      <c r="A24" s="255">
        <v>1</v>
      </c>
      <c r="B24" s="256">
        <v>2</v>
      </c>
      <c r="C24" s="256">
        <v>3</v>
      </c>
      <c r="D24" s="257">
        <v>4</v>
      </c>
    </row>
    <row r="25" spans="1:4">
      <c r="A25" s="11" t="e">
        <f>'4-22MASTER'!#REF!</f>
        <v>#REF!</v>
      </c>
      <c r="B25" s="9" t="s">
        <v>363</v>
      </c>
      <c r="C25" s="9" t="s">
        <v>370</v>
      </c>
      <c r="D25" s="289">
        <v>1</v>
      </c>
    </row>
    <row r="26" spans="1:4">
      <c r="A26" s="273"/>
      <c r="B26" s="9"/>
      <c r="C26" s="9"/>
      <c r="D26" s="258"/>
    </row>
    <row r="27" spans="1:4">
      <c r="A27" s="270"/>
      <c r="B27" s="9"/>
      <c r="C27" s="9"/>
      <c r="D27" s="258"/>
    </row>
    <row r="28" spans="1:4">
      <c r="A28" s="11"/>
      <c r="D28" s="12"/>
    </row>
    <row r="29" spans="1:4">
      <c r="A29" s="1329" t="s">
        <v>322</v>
      </c>
      <c r="B29" s="1330"/>
      <c r="C29" s="1330"/>
      <c r="D29" s="1331"/>
    </row>
    <row r="30" spans="1:4">
      <c r="A30" s="161"/>
      <c r="B30" s="4"/>
      <c r="C30" s="4"/>
      <c r="D30" s="162"/>
    </row>
    <row r="31" spans="1:4">
      <c r="A31" s="1335" t="s">
        <v>323</v>
      </c>
      <c r="B31" s="1336"/>
      <c r="C31" s="1351" t="e">
        <f>'4-22MASTER'!#REF!</f>
        <v>#REF!</v>
      </c>
      <c r="D31" s="1338"/>
    </row>
    <row r="32" spans="1:4">
      <c r="A32" s="1335" t="s">
        <v>324</v>
      </c>
      <c r="B32" s="1336"/>
      <c r="C32" s="1337" t="e">
        <f>'4-22MASTER'!#REF!</f>
        <v>#REF!</v>
      </c>
      <c r="D32" s="1338"/>
    </row>
    <row r="33" spans="1:4">
      <c r="A33" s="1335" t="s">
        <v>325</v>
      </c>
      <c r="B33" s="1336"/>
      <c r="C33" s="1337" t="s">
        <v>372</v>
      </c>
      <c r="D33" s="1338"/>
    </row>
    <row r="34" spans="1:4">
      <c r="A34" s="1335" t="s">
        <v>326</v>
      </c>
      <c r="B34" s="1336"/>
      <c r="C34" s="1337" t="s">
        <v>369</v>
      </c>
      <c r="D34" s="1338"/>
    </row>
    <row r="35" spans="1:4">
      <c r="A35" s="1335" t="s">
        <v>327</v>
      </c>
      <c r="B35" s="1336"/>
      <c r="C35" s="1351" t="e">
        <f>'4-22MASTER'!#REF!</f>
        <v>#REF!</v>
      </c>
      <c r="D35" s="1338"/>
    </row>
    <row r="36" spans="1:4">
      <c r="A36" s="1335" t="s">
        <v>328</v>
      </c>
      <c r="B36" s="1336"/>
      <c r="C36" s="1351" t="e">
        <f>'4-22MASTER'!#REF!</f>
        <v>#REF!</v>
      </c>
      <c r="D36" s="1338"/>
    </row>
    <row r="37" spans="1:4">
      <c r="A37" s="1335" t="s">
        <v>329</v>
      </c>
      <c r="B37" s="1336"/>
      <c r="C37" s="1352" t="e">
        <f>'4-22MASTER'!#REF!</f>
        <v>#REF!</v>
      </c>
      <c r="D37" s="1338"/>
    </row>
    <row r="38" spans="1:4">
      <c r="A38" s="1335" t="s">
        <v>330</v>
      </c>
      <c r="B38" s="1336"/>
      <c r="C38" s="1337"/>
      <c r="D38" s="1338"/>
    </row>
    <row r="39" spans="1:4">
      <c r="A39" s="1335"/>
      <c r="B39" s="1336"/>
      <c r="C39" s="1351" t="e">
        <f>'4-22MASTER'!#REF!</f>
        <v>#REF!</v>
      </c>
      <c r="D39" s="1338"/>
    </row>
    <row r="40" spans="1:4">
      <c r="A40" s="1335"/>
      <c r="B40" s="1336"/>
      <c r="C40" s="1351" t="e">
        <f>'4-22MASTER'!#REF!</f>
        <v>#REF!</v>
      </c>
      <c r="D40" s="1338"/>
    </row>
    <row r="41" spans="1:4">
      <c r="A41" s="1335"/>
      <c r="B41" s="1336"/>
      <c r="C41" s="1351" t="e">
        <f>'4-22MASTER'!#REF!</f>
        <v>#REF!</v>
      </c>
      <c r="D41" s="1338"/>
    </row>
    <row r="42" spans="1:4">
      <c r="A42" s="245" t="s">
        <v>272</v>
      </c>
      <c r="B42" s="250" t="s">
        <v>361</v>
      </c>
      <c r="C42" s="250"/>
      <c r="D42" s="251"/>
    </row>
    <row r="43" spans="1:4">
      <c r="A43" s="245" t="s">
        <v>331</v>
      </c>
      <c r="B43" s="290" t="e">
        <f>'4-22MASTER'!#REF!</f>
        <v>#REF!</v>
      </c>
      <c r="C43" s="259" t="s">
        <v>332</v>
      </c>
      <c r="D43" s="251"/>
    </row>
    <row r="44" spans="1:4">
      <c r="A44" s="245"/>
      <c r="B44" s="250"/>
      <c r="C44" s="250"/>
      <c r="D44" s="251"/>
    </row>
    <row r="45" spans="1:4">
      <c r="A45" s="1329" t="s">
        <v>333</v>
      </c>
      <c r="B45" s="1330"/>
      <c r="C45" s="1330"/>
      <c r="D45" s="1331"/>
    </row>
    <row r="46" spans="1:4">
      <c r="A46" s="245" t="s">
        <v>334</v>
      </c>
      <c r="B46" s="250"/>
      <c r="C46" s="250"/>
      <c r="D46" s="251"/>
    </row>
    <row r="47" spans="1:4">
      <c r="A47" s="245"/>
      <c r="B47" s="250"/>
      <c r="C47" s="250"/>
      <c r="D47" s="251"/>
    </row>
    <row r="48" spans="1:4">
      <c r="A48" s="1332" t="s">
        <v>335</v>
      </c>
      <c r="B48" s="1333"/>
      <c r="C48" s="1333" t="s">
        <v>336</v>
      </c>
      <c r="D48" s="1334"/>
    </row>
    <row r="49" spans="1:4">
      <c r="A49" s="1319">
        <v>1</v>
      </c>
      <c r="B49" s="1320"/>
      <c r="C49" s="1320">
        <v>1</v>
      </c>
      <c r="D49" s="1321"/>
    </row>
    <row r="50" spans="1:4">
      <c r="A50" s="1319">
        <v>2</v>
      </c>
      <c r="B50" s="1320"/>
      <c r="C50" s="1320">
        <v>2</v>
      </c>
      <c r="D50" s="1321"/>
    </row>
    <row r="51" spans="1:4">
      <c r="A51" s="260"/>
      <c r="C51" s="1322" t="s">
        <v>341</v>
      </c>
      <c r="D51" s="1323"/>
    </row>
    <row r="52" spans="1:4">
      <c r="A52" s="1324" t="s">
        <v>337</v>
      </c>
      <c r="B52" s="1325"/>
      <c r="C52" s="1325"/>
      <c r="D52" s="1326"/>
    </row>
    <row r="53" spans="1:4">
      <c r="A53" s="263" t="s">
        <v>338</v>
      </c>
      <c r="B53" s="264"/>
      <c r="C53" s="264"/>
      <c r="D53" s="265"/>
    </row>
    <row r="54" spans="1:4">
      <c r="A54" s="263"/>
      <c r="B54" s="264"/>
      <c r="C54" s="264"/>
      <c r="D54" s="265"/>
    </row>
    <row r="55" spans="1:4">
      <c r="A55" s="263"/>
      <c r="B55" s="264"/>
      <c r="C55" s="264" t="s">
        <v>339</v>
      </c>
      <c r="D55" s="265"/>
    </row>
    <row r="56" spans="1:4">
      <c r="A56" s="260"/>
      <c r="B56" s="261"/>
      <c r="C56" s="160" t="s">
        <v>146</v>
      </c>
      <c r="D56" s="262"/>
    </row>
    <row r="57" spans="1:4">
      <c r="A57" s="260"/>
      <c r="C57" t="s">
        <v>340</v>
      </c>
      <c r="D57" s="266"/>
    </row>
    <row r="58" spans="1:4" ht="25.5" customHeight="1">
      <c r="A58" s="260"/>
      <c r="C58" s="1327" t="str">
        <f>'4-22MASTER'!G5</f>
        <v>Burgeon IT Services Pvt.Ltd.</v>
      </c>
      <c r="D58" s="1328"/>
    </row>
    <row r="59" spans="1:4">
      <c r="A59" s="245" t="s">
        <v>272</v>
      </c>
      <c r="B59" t="str">
        <f>B42</f>
        <v>Hyderabad</v>
      </c>
      <c r="C59" s="2" t="str">
        <f>'4-22MASTER'!G6</f>
        <v>Siri Mansion LIGB 436 Dr.A S Rao Nagar,Hyderabad</v>
      </c>
      <c r="D59" s="12"/>
    </row>
    <row r="60" spans="1:4" ht="15.75" thickBot="1">
      <c r="A60" s="245" t="s">
        <v>331</v>
      </c>
      <c r="B60" s="282" t="e">
        <f>B43</f>
        <v>#REF!</v>
      </c>
      <c r="C60" s="2"/>
      <c r="D60" s="12"/>
    </row>
    <row r="61" spans="1:4" ht="15.75" thickBot="1">
      <c r="A61" s="271"/>
      <c r="B61" s="272" t="s">
        <v>344</v>
      </c>
      <c r="C61" s="272"/>
      <c r="D61" s="19"/>
    </row>
    <row r="62" spans="1:4">
      <c r="A62" s="245" t="s">
        <v>342</v>
      </c>
      <c r="C62" s="2"/>
      <c r="D62" s="12"/>
    </row>
    <row r="63" spans="1:4">
      <c r="A63" s="245" t="s">
        <v>331</v>
      </c>
      <c r="B63" s="282" t="e">
        <f>B60</f>
        <v>#REF!</v>
      </c>
      <c r="C63" s="2"/>
      <c r="D63" s="12"/>
    </row>
    <row r="64" spans="1:4" ht="15.75" thickBot="1">
      <c r="A64" s="274" t="s">
        <v>343</v>
      </c>
      <c r="B64" s="14"/>
      <c r="C64" s="14"/>
      <c r="D64" s="15" t="s">
        <v>137</v>
      </c>
    </row>
    <row r="68" spans="1:4" ht="15.75" thickBot="1"/>
    <row r="69" spans="1:4" ht="20.25">
      <c r="A69" s="1342" t="s">
        <v>306</v>
      </c>
      <c r="B69" s="1343"/>
      <c r="C69" s="1343"/>
      <c r="D69" s="1344"/>
    </row>
    <row r="70" spans="1:4">
      <c r="A70" s="1345" t="s">
        <v>307</v>
      </c>
      <c r="B70" s="1346"/>
      <c r="C70" s="1346"/>
      <c r="D70" s="1347"/>
    </row>
    <row r="71" spans="1:4" ht="18">
      <c r="A71" s="1348" t="s">
        <v>308</v>
      </c>
      <c r="B71" s="1349"/>
      <c r="C71" s="1349"/>
      <c r="D71" s="1350"/>
    </row>
    <row r="72" spans="1:4">
      <c r="A72" s="11" t="s">
        <v>136</v>
      </c>
      <c r="D72" s="12"/>
    </row>
    <row r="73" spans="1:4" ht="18">
      <c r="A73" s="267" t="str">
        <f>'4-22MASTER'!G5</f>
        <v>Burgeon IT Services Pvt.Ltd.</v>
      </c>
      <c r="B73" s="244"/>
      <c r="D73" s="12"/>
    </row>
    <row r="74" spans="1:4" ht="18">
      <c r="A74" s="267" t="str">
        <f>'4-22MASTER'!G6</f>
        <v>Siri Mansion LIGB 436 Dr.A S Rao Nagar,Hyderabad</v>
      </c>
      <c r="B74" s="244"/>
      <c r="D74" s="12"/>
    </row>
    <row r="75" spans="1:4" ht="18">
      <c r="A75" s="246"/>
      <c r="B75" s="3"/>
      <c r="D75" s="12"/>
    </row>
    <row r="76" spans="1:4" ht="15.75">
      <c r="A76" s="245" t="s">
        <v>309</v>
      </c>
      <c r="B76" s="268"/>
      <c r="C76" s="269" t="e">
        <f>'4-22MASTER'!#REF!</f>
        <v>#REF!</v>
      </c>
      <c r="D76" s="68"/>
    </row>
    <row r="77" spans="1:4">
      <c r="A77" s="1339" t="s">
        <v>310</v>
      </c>
      <c r="B77" s="1340"/>
      <c r="C77" s="1340"/>
      <c r="D77" s="1341"/>
    </row>
    <row r="78" spans="1:4">
      <c r="A78" s="11"/>
      <c r="D78" s="12"/>
    </row>
    <row r="79" spans="1:4">
      <c r="A79" s="1339" t="s">
        <v>311</v>
      </c>
      <c r="B79" s="1340"/>
      <c r="C79" s="1340"/>
      <c r="D79" s="1341"/>
    </row>
    <row r="80" spans="1:4">
      <c r="A80" s="247"/>
      <c r="B80" s="248"/>
      <c r="C80" s="248"/>
      <c r="D80" s="249"/>
    </row>
    <row r="81" spans="1:4">
      <c r="A81" s="1332" t="s">
        <v>312</v>
      </c>
      <c r="B81" s="1333"/>
      <c r="C81" s="1333"/>
      <c r="D81" s="1334"/>
    </row>
    <row r="82" spans="1:4">
      <c r="A82" s="11"/>
      <c r="D82" s="12"/>
    </row>
    <row r="83" spans="1:4">
      <c r="A83" s="1332" t="s">
        <v>313</v>
      </c>
      <c r="B83" s="1333"/>
      <c r="C83" s="1333"/>
      <c r="D83" s="1334"/>
    </row>
    <row r="84" spans="1:4">
      <c r="A84" s="1332" t="s">
        <v>314</v>
      </c>
      <c r="B84" s="1333"/>
      <c r="C84" s="1333"/>
      <c r="D84" s="1334"/>
    </row>
    <row r="85" spans="1:4">
      <c r="A85" s="245"/>
      <c r="B85" s="250"/>
      <c r="C85" s="250"/>
      <c r="D85" s="251"/>
    </row>
    <row r="86" spans="1:4">
      <c r="A86" s="1339" t="s">
        <v>315</v>
      </c>
      <c r="B86" s="1340"/>
      <c r="C86" s="1340"/>
      <c r="D86" s="1341"/>
    </row>
    <row r="87" spans="1:4">
      <c r="A87" s="245"/>
      <c r="B87" s="250"/>
      <c r="C87" s="250"/>
      <c r="D87" s="251"/>
    </row>
    <row r="88" spans="1:4">
      <c r="A88" s="1332" t="s">
        <v>316</v>
      </c>
      <c r="B88" s="1333"/>
      <c r="C88" s="1333"/>
      <c r="D88" s="1334"/>
    </row>
    <row r="89" spans="1:4">
      <c r="A89" s="11"/>
      <c r="D89" s="12"/>
    </row>
    <row r="90" spans="1:4">
      <c r="A90" s="1329" t="s">
        <v>317</v>
      </c>
      <c r="B90" s="1330"/>
      <c r="C90" s="1330"/>
      <c r="D90" s="1331"/>
    </row>
    <row r="91" spans="1:4" ht="42.75">
      <c r="A91" s="252" t="s">
        <v>318</v>
      </c>
      <c r="B91" s="253" t="s">
        <v>319</v>
      </c>
      <c r="C91" s="253" t="s">
        <v>320</v>
      </c>
      <c r="D91" s="254" t="s">
        <v>321</v>
      </c>
    </row>
    <row r="92" spans="1:4">
      <c r="A92" s="255">
        <v>1</v>
      </c>
      <c r="B92" s="256">
        <v>2</v>
      </c>
      <c r="C92" s="256">
        <v>3</v>
      </c>
      <c r="D92" s="257">
        <v>4</v>
      </c>
    </row>
    <row r="93" spans="1:4">
      <c r="A93" s="11" t="e">
        <f>'4-22MASTER'!#REF!</f>
        <v>#REF!</v>
      </c>
      <c r="B93" s="9" t="s">
        <v>363</v>
      </c>
      <c r="C93" s="9" t="s">
        <v>370</v>
      </c>
      <c r="D93" s="289">
        <v>1</v>
      </c>
    </row>
    <row r="94" spans="1:4">
      <c r="A94" s="273"/>
      <c r="B94" s="9"/>
      <c r="C94" s="9"/>
      <c r="D94" s="258"/>
    </row>
    <row r="95" spans="1:4">
      <c r="A95" s="270"/>
      <c r="B95" s="9"/>
      <c r="C95" s="9"/>
      <c r="D95" s="258"/>
    </row>
    <row r="96" spans="1:4">
      <c r="A96" s="11"/>
      <c r="D96" s="12"/>
    </row>
    <row r="97" spans="1:4">
      <c r="A97" s="1329" t="s">
        <v>322</v>
      </c>
      <c r="B97" s="1330"/>
      <c r="C97" s="1330"/>
      <c r="D97" s="1331"/>
    </row>
    <row r="98" spans="1:4">
      <c r="A98" s="161"/>
      <c r="B98" s="4"/>
      <c r="C98" s="4"/>
      <c r="D98" s="162"/>
    </row>
    <row r="99" spans="1:4">
      <c r="A99" s="1335" t="s">
        <v>323</v>
      </c>
      <c r="B99" s="1336"/>
      <c r="C99" s="1351" t="e">
        <f>'4-22MASTER'!#REF!</f>
        <v>#REF!</v>
      </c>
      <c r="D99" s="1338"/>
    </row>
    <row r="100" spans="1:4">
      <c r="A100" s="1335" t="s">
        <v>324</v>
      </c>
      <c r="B100" s="1336"/>
      <c r="C100" s="1337" t="e">
        <f>'4-22MASTER'!#REF!</f>
        <v>#REF!</v>
      </c>
      <c r="D100" s="1338"/>
    </row>
    <row r="101" spans="1:4">
      <c r="A101" s="1335" t="s">
        <v>325</v>
      </c>
      <c r="B101" s="1336"/>
      <c r="C101" s="1337" t="s">
        <v>371</v>
      </c>
      <c r="D101" s="1338"/>
    </row>
    <row r="102" spans="1:4">
      <c r="A102" s="1335" t="s">
        <v>326</v>
      </c>
      <c r="B102" s="1336"/>
      <c r="C102" s="1337" t="s">
        <v>369</v>
      </c>
      <c r="D102" s="1338"/>
    </row>
    <row r="103" spans="1:4">
      <c r="A103" s="1335" t="s">
        <v>327</v>
      </c>
      <c r="B103" s="1336"/>
      <c r="C103" s="1351" t="e">
        <f>'4-22MASTER'!#REF!</f>
        <v>#REF!</v>
      </c>
      <c r="D103" s="1338"/>
    </row>
    <row r="104" spans="1:4">
      <c r="A104" s="1335" t="s">
        <v>328</v>
      </c>
      <c r="B104" s="1336"/>
      <c r="C104" s="1351" t="e">
        <f>'4-22MASTER'!#REF!</f>
        <v>#REF!</v>
      </c>
      <c r="D104" s="1338"/>
    </row>
    <row r="105" spans="1:4">
      <c r="A105" s="1335" t="s">
        <v>329</v>
      </c>
      <c r="B105" s="1336"/>
      <c r="C105" s="1352" t="e">
        <f>'4-22MASTER'!#REF!</f>
        <v>#REF!</v>
      </c>
      <c r="D105" s="1338"/>
    </row>
    <row r="106" spans="1:4">
      <c r="A106" s="1335" t="s">
        <v>330</v>
      </c>
      <c r="B106" s="1336"/>
      <c r="C106" s="1337"/>
      <c r="D106" s="1338"/>
    </row>
    <row r="107" spans="1:4">
      <c r="A107" s="1335"/>
      <c r="B107" s="1336"/>
      <c r="C107" s="1351" t="e">
        <f>'4-22MASTER'!#REF!</f>
        <v>#REF!</v>
      </c>
      <c r="D107" s="1338"/>
    </row>
    <row r="108" spans="1:4">
      <c r="A108" s="1335"/>
      <c r="B108" s="1336"/>
      <c r="C108" s="1351" t="e">
        <f>'4-22MASTER'!#REF!</f>
        <v>#REF!</v>
      </c>
      <c r="D108" s="1338"/>
    </row>
    <row r="109" spans="1:4">
      <c r="A109" s="1335"/>
      <c r="B109" s="1336"/>
      <c r="C109" s="1351" t="e">
        <f>'4-22MASTER'!#REF!</f>
        <v>#REF!</v>
      </c>
      <c r="D109" s="1338"/>
    </row>
    <row r="110" spans="1:4">
      <c r="A110" s="245" t="s">
        <v>272</v>
      </c>
      <c r="B110" s="250" t="s">
        <v>361</v>
      </c>
      <c r="C110" s="250"/>
      <c r="D110" s="251"/>
    </row>
    <row r="111" spans="1:4">
      <c r="A111" s="245" t="s">
        <v>331</v>
      </c>
      <c r="B111" s="290" t="e">
        <f>'4-22MASTER'!#REF!</f>
        <v>#REF!</v>
      </c>
      <c r="C111" s="259" t="s">
        <v>332</v>
      </c>
      <c r="D111" s="251"/>
    </row>
    <row r="112" spans="1:4">
      <c r="A112" s="245"/>
      <c r="B112" s="250"/>
      <c r="C112" s="250"/>
      <c r="D112" s="251"/>
    </row>
    <row r="113" spans="1:4">
      <c r="A113" s="1329" t="s">
        <v>333</v>
      </c>
      <c r="B113" s="1330"/>
      <c r="C113" s="1330"/>
      <c r="D113" s="1331"/>
    </row>
    <row r="114" spans="1:4">
      <c r="A114" s="245" t="s">
        <v>334</v>
      </c>
      <c r="B114" s="250"/>
      <c r="C114" s="250"/>
      <c r="D114" s="251"/>
    </row>
    <row r="115" spans="1:4">
      <c r="A115" s="245"/>
      <c r="B115" s="250"/>
      <c r="C115" s="250"/>
      <c r="D115" s="251"/>
    </row>
    <row r="116" spans="1:4">
      <c r="A116" s="1332" t="s">
        <v>335</v>
      </c>
      <c r="B116" s="1333"/>
      <c r="C116" s="1333" t="s">
        <v>336</v>
      </c>
      <c r="D116" s="1334"/>
    </row>
    <row r="117" spans="1:4">
      <c r="A117" s="1319">
        <v>1</v>
      </c>
      <c r="B117" s="1320"/>
      <c r="C117" s="1320">
        <v>1</v>
      </c>
      <c r="D117" s="1321"/>
    </row>
    <row r="118" spans="1:4">
      <c r="A118" s="1319">
        <v>2</v>
      </c>
      <c r="B118" s="1320"/>
      <c r="C118" s="1320">
        <v>2</v>
      </c>
      <c r="D118" s="1321"/>
    </row>
    <row r="119" spans="1:4">
      <c r="A119" s="260"/>
      <c r="C119" s="1322" t="s">
        <v>341</v>
      </c>
      <c r="D119" s="1323"/>
    </row>
    <row r="120" spans="1:4">
      <c r="A120" s="1324" t="s">
        <v>337</v>
      </c>
      <c r="B120" s="1325"/>
      <c r="C120" s="1325"/>
      <c r="D120" s="1326"/>
    </row>
    <row r="121" spans="1:4">
      <c r="A121" s="263" t="s">
        <v>338</v>
      </c>
      <c r="B121" s="264"/>
      <c r="C121" s="264"/>
      <c r="D121" s="265"/>
    </row>
    <row r="122" spans="1:4">
      <c r="A122" s="263"/>
      <c r="B122" s="264"/>
      <c r="C122" s="264"/>
      <c r="D122" s="265"/>
    </row>
    <row r="123" spans="1:4">
      <c r="A123" s="263"/>
      <c r="B123" s="264"/>
      <c r="C123" s="264" t="s">
        <v>339</v>
      </c>
      <c r="D123" s="265"/>
    </row>
    <row r="124" spans="1:4">
      <c r="A124" s="260"/>
      <c r="B124" s="261"/>
      <c r="C124" s="160" t="s">
        <v>146</v>
      </c>
      <c r="D124" s="262"/>
    </row>
    <row r="125" spans="1:4">
      <c r="A125" s="260"/>
      <c r="C125" t="s">
        <v>340</v>
      </c>
      <c r="D125" s="266"/>
    </row>
    <row r="126" spans="1:4">
      <c r="A126" s="260"/>
      <c r="C126" s="1327" t="str">
        <f>'4-22MASTER'!G5</f>
        <v>Burgeon IT Services Pvt.Ltd.</v>
      </c>
      <c r="D126" s="1328"/>
    </row>
    <row r="127" spans="1:4">
      <c r="A127" s="245" t="s">
        <v>272</v>
      </c>
      <c r="B127" t="str">
        <f>B110</f>
        <v>Hyderabad</v>
      </c>
      <c r="C127" s="2" t="str">
        <f>'4-22MASTER'!G6</f>
        <v>Siri Mansion LIGB 436 Dr.A S Rao Nagar,Hyderabad</v>
      </c>
      <c r="D127" s="12"/>
    </row>
    <row r="128" spans="1:4" ht="15.75" thickBot="1">
      <c r="A128" s="245" t="s">
        <v>331</v>
      </c>
      <c r="B128" s="282" t="e">
        <f>B111</f>
        <v>#REF!</v>
      </c>
      <c r="C128" s="2"/>
      <c r="D128" s="12"/>
    </row>
    <row r="129" spans="1:4" ht="15.75" thickBot="1">
      <c r="A129" s="271"/>
      <c r="B129" s="272" t="s">
        <v>344</v>
      </c>
      <c r="C129" s="272"/>
      <c r="D129" s="19"/>
    </row>
    <row r="130" spans="1:4">
      <c r="A130" s="245" t="s">
        <v>342</v>
      </c>
      <c r="C130" s="2"/>
      <c r="D130" s="12"/>
    </row>
    <row r="131" spans="1:4">
      <c r="A131" s="245" t="s">
        <v>331</v>
      </c>
      <c r="B131" s="282" t="e">
        <f>B128</f>
        <v>#REF!</v>
      </c>
      <c r="C131" s="2"/>
      <c r="D131" s="12"/>
    </row>
    <row r="132" spans="1:4" ht="15.75" thickBot="1">
      <c r="A132" s="274" t="s">
        <v>343</v>
      </c>
      <c r="B132" s="14"/>
      <c r="C132" s="14"/>
      <c r="D132" s="15" t="s">
        <v>137</v>
      </c>
    </row>
    <row r="136" spans="1:4" ht="15.75" thickBot="1"/>
    <row r="137" spans="1:4" ht="20.25">
      <c r="A137" s="1342" t="s">
        <v>306</v>
      </c>
      <c r="B137" s="1343"/>
      <c r="C137" s="1343"/>
      <c r="D137" s="1344"/>
    </row>
    <row r="138" spans="1:4">
      <c r="A138" s="1345" t="s">
        <v>307</v>
      </c>
      <c r="B138" s="1346"/>
      <c r="C138" s="1346"/>
      <c r="D138" s="1347"/>
    </row>
    <row r="139" spans="1:4" ht="18">
      <c r="A139" s="1348" t="s">
        <v>308</v>
      </c>
      <c r="B139" s="1349"/>
      <c r="C139" s="1349"/>
      <c r="D139" s="1350"/>
    </row>
    <row r="140" spans="1:4">
      <c r="A140" s="11" t="s">
        <v>136</v>
      </c>
      <c r="D140" s="12"/>
    </row>
    <row r="141" spans="1:4" ht="18">
      <c r="A141" s="267" t="str">
        <f>'4-22MASTER'!G5</f>
        <v>Burgeon IT Services Pvt.Ltd.</v>
      </c>
      <c r="B141" s="244"/>
      <c r="D141" s="12"/>
    </row>
    <row r="142" spans="1:4" ht="18">
      <c r="A142" s="267" t="str">
        <f>'4-22MASTER'!G6</f>
        <v>Siri Mansion LIGB 436 Dr.A S Rao Nagar,Hyderabad</v>
      </c>
      <c r="B142" s="244"/>
      <c r="D142" s="12"/>
    </row>
    <row r="143" spans="1:4" ht="18">
      <c r="A143" s="246"/>
      <c r="B143" s="3"/>
      <c r="D143" s="12"/>
    </row>
    <row r="144" spans="1:4" ht="15.75">
      <c r="A144" s="245" t="s">
        <v>309</v>
      </c>
      <c r="B144" s="268"/>
      <c r="C144" s="269" t="e">
        <f>'4-22MASTER'!#REF!</f>
        <v>#REF!</v>
      </c>
      <c r="D144" s="68"/>
    </row>
    <row r="145" spans="1:4">
      <c r="A145" s="1339" t="s">
        <v>310</v>
      </c>
      <c r="B145" s="1340"/>
      <c r="C145" s="1340"/>
      <c r="D145" s="1341"/>
    </row>
    <row r="146" spans="1:4">
      <c r="A146" s="11"/>
      <c r="D146" s="12"/>
    </row>
    <row r="147" spans="1:4">
      <c r="A147" s="1339" t="s">
        <v>311</v>
      </c>
      <c r="B147" s="1340"/>
      <c r="C147" s="1340"/>
      <c r="D147" s="1341"/>
    </row>
    <row r="148" spans="1:4">
      <c r="A148" s="247"/>
      <c r="B148" s="248"/>
      <c r="C148" s="248"/>
      <c r="D148" s="249"/>
    </row>
    <row r="149" spans="1:4">
      <c r="A149" s="1332" t="s">
        <v>312</v>
      </c>
      <c r="B149" s="1333"/>
      <c r="C149" s="1333"/>
      <c r="D149" s="1334"/>
    </row>
    <row r="150" spans="1:4">
      <c r="A150" s="11"/>
      <c r="D150" s="12"/>
    </row>
    <row r="151" spans="1:4">
      <c r="A151" s="1332" t="s">
        <v>313</v>
      </c>
      <c r="B151" s="1333"/>
      <c r="C151" s="1333"/>
      <c r="D151" s="1334"/>
    </row>
    <row r="152" spans="1:4">
      <c r="A152" s="1332" t="s">
        <v>314</v>
      </c>
      <c r="B152" s="1333"/>
      <c r="C152" s="1333"/>
      <c r="D152" s="1334"/>
    </row>
    <row r="153" spans="1:4">
      <c r="A153" s="245"/>
      <c r="B153" s="250"/>
      <c r="C153" s="250"/>
      <c r="D153" s="251"/>
    </row>
    <row r="154" spans="1:4">
      <c r="A154" s="1339" t="s">
        <v>315</v>
      </c>
      <c r="B154" s="1340"/>
      <c r="C154" s="1340"/>
      <c r="D154" s="1341"/>
    </row>
    <row r="155" spans="1:4">
      <c r="A155" s="245"/>
      <c r="B155" s="250"/>
      <c r="C155" s="250"/>
      <c r="D155" s="251"/>
    </row>
    <row r="156" spans="1:4">
      <c r="A156" s="1332" t="s">
        <v>316</v>
      </c>
      <c r="B156" s="1333"/>
      <c r="C156" s="1333"/>
      <c r="D156" s="1334"/>
    </row>
    <row r="157" spans="1:4">
      <c r="A157" s="11"/>
      <c r="D157" s="12"/>
    </row>
    <row r="158" spans="1:4">
      <c r="A158" s="1329" t="s">
        <v>317</v>
      </c>
      <c r="B158" s="1330"/>
      <c r="C158" s="1330"/>
      <c r="D158" s="1331"/>
    </row>
    <row r="159" spans="1:4" ht="42.75">
      <c r="A159" s="252" t="s">
        <v>318</v>
      </c>
      <c r="B159" s="253" t="s">
        <v>319</v>
      </c>
      <c r="C159" s="253" t="s">
        <v>320</v>
      </c>
      <c r="D159" s="254" t="s">
        <v>321</v>
      </c>
    </row>
    <row r="160" spans="1:4">
      <c r="A160" s="255">
        <v>1</v>
      </c>
      <c r="B160" s="256">
        <v>2</v>
      </c>
      <c r="C160" s="256">
        <v>3</v>
      </c>
      <c r="D160" s="257">
        <v>4</v>
      </c>
    </row>
    <row r="161" spans="1:4">
      <c r="A161" s="291" t="e">
        <f>'4-22MASTER'!#REF!</f>
        <v>#REF!</v>
      </c>
      <c r="B161" s="9" t="s">
        <v>363</v>
      </c>
      <c r="C161" s="9" t="s">
        <v>370</v>
      </c>
      <c r="D161" s="289">
        <v>1</v>
      </c>
    </row>
    <row r="162" spans="1:4">
      <c r="A162" s="273"/>
      <c r="B162" s="9"/>
      <c r="C162" s="9"/>
      <c r="D162" s="258"/>
    </row>
    <row r="163" spans="1:4">
      <c r="A163" s="270"/>
      <c r="B163" s="9"/>
      <c r="C163" s="9"/>
      <c r="D163" s="258"/>
    </row>
    <row r="164" spans="1:4">
      <c r="A164" s="11"/>
      <c r="D164" s="12"/>
    </row>
    <row r="165" spans="1:4">
      <c r="A165" s="1329" t="s">
        <v>322</v>
      </c>
      <c r="B165" s="1330"/>
      <c r="C165" s="1330"/>
      <c r="D165" s="1331"/>
    </row>
    <row r="166" spans="1:4">
      <c r="A166" s="161"/>
      <c r="B166" s="4"/>
      <c r="C166" s="4"/>
      <c r="D166" s="162"/>
    </row>
    <row r="167" spans="1:4">
      <c r="A167" s="1335" t="s">
        <v>323</v>
      </c>
      <c r="B167" s="1336"/>
      <c r="C167" s="1351" t="e">
        <f>'4-22MASTER'!#REF!</f>
        <v>#REF!</v>
      </c>
      <c r="D167" s="1338"/>
    </row>
    <row r="168" spans="1:4">
      <c r="A168" s="1335" t="s">
        <v>324</v>
      </c>
      <c r="B168" s="1336"/>
      <c r="C168" s="1337" t="e">
        <f>'4-22MASTER'!#REF!</f>
        <v>#REF!</v>
      </c>
      <c r="D168" s="1338"/>
    </row>
    <row r="169" spans="1:4">
      <c r="A169" s="1335" t="s">
        <v>325</v>
      </c>
      <c r="B169" s="1336"/>
      <c r="C169" s="1337" t="s">
        <v>372</v>
      </c>
      <c r="D169" s="1338"/>
    </row>
    <row r="170" spans="1:4">
      <c r="A170" s="1335" t="s">
        <v>326</v>
      </c>
      <c r="B170" s="1336"/>
      <c r="C170" s="1337" t="s">
        <v>369</v>
      </c>
      <c r="D170" s="1338"/>
    </row>
    <row r="171" spans="1:4">
      <c r="A171" s="1335" t="s">
        <v>327</v>
      </c>
      <c r="B171" s="1336"/>
      <c r="C171" s="1351" t="e">
        <f>'4-22MASTER'!#REF!</f>
        <v>#REF!</v>
      </c>
      <c r="D171" s="1338"/>
    </row>
    <row r="172" spans="1:4">
      <c r="A172" s="1335" t="s">
        <v>328</v>
      </c>
      <c r="B172" s="1336"/>
      <c r="C172" s="1351" t="e">
        <f>'4-22MASTER'!#REF!</f>
        <v>#REF!</v>
      </c>
      <c r="D172" s="1338"/>
    </row>
    <row r="173" spans="1:4">
      <c r="A173" s="1335" t="s">
        <v>329</v>
      </c>
      <c r="B173" s="1336"/>
      <c r="C173" s="1352" t="e">
        <f>'4-22MASTER'!#REF!</f>
        <v>#REF!</v>
      </c>
      <c r="D173" s="1338"/>
    </row>
    <row r="174" spans="1:4">
      <c r="A174" s="1335" t="s">
        <v>330</v>
      </c>
      <c r="B174" s="1336"/>
      <c r="C174" s="1337"/>
      <c r="D174" s="1338"/>
    </row>
    <row r="175" spans="1:4">
      <c r="A175" s="1335"/>
      <c r="B175" s="1336"/>
      <c r="C175" s="1351" t="e">
        <f>'4-22MASTER'!#REF!</f>
        <v>#REF!</v>
      </c>
      <c r="D175" s="1338"/>
    </row>
    <row r="176" spans="1:4">
      <c r="A176" s="1335"/>
      <c r="B176" s="1336"/>
      <c r="C176" s="1351" t="e">
        <f>'4-22MASTER'!#REF!</f>
        <v>#REF!</v>
      </c>
      <c r="D176" s="1338"/>
    </row>
    <row r="177" spans="1:4">
      <c r="A177" s="1335"/>
      <c r="B177" s="1336"/>
      <c r="C177" s="1351" t="e">
        <f>'4-22MASTER'!#REF!</f>
        <v>#REF!</v>
      </c>
      <c r="D177" s="1338"/>
    </row>
    <row r="178" spans="1:4">
      <c r="A178" s="245" t="s">
        <v>272</v>
      </c>
      <c r="B178" s="250" t="s">
        <v>361</v>
      </c>
      <c r="C178" s="250"/>
      <c r="D178" s="251"/>
    </row>
    <row r="179" spans="1:4">
      <c r="A179" s="245" t="s">
        <v>331</v>
      </c>
      <c r="B179" s="290" t="e">
        <f>'4-22MASTER'!#REF!</f>
        <v>#REF!</v>
      </c>
      <c r="C179" s="259" t="s">
        <v>332</v>
      </c>
      <c r="D179" s="251"/>
    </row>
    <row r="180" spans="1:4">
      <c r="A180" s="245"/>
      <c r="B180" s="250"/>
      <c r="C180" s="250"/>
      <c r="D180" s="251"/>
    </row>
    <row r="181" spans="1:4">
      <c r="A181" s="1329" t="s">
        <v>333</v>
      </c>
      <c r="B181" s="1330"/>
      <c r="C181" s="1330"/>
      <c r="D181" s="1331"/>
    </row>
    <row r="182" spans="1:4">
      <c r="A182" s="245" t="s">
        <v>334</v>
      </c>
      <c r="B182" s="250"/>
      <c r="C182" s="250"/>
      <c r="D182" s="251"/>
    </row>
    <row r="183" spans="1:4">
      <c r="A183" s="245"/>
      <c r="B183" s="250"/>
      <c r="C183" s="250"/>
      <c r="D183" s="251"/>
    </row>
    <row r="184" spans="1:4">
      <c r="A184" s="1332" t="s">
        <v>335</v>
      </c>
      <c r="B184" s="1333"/>
      <c r="C184" s="1333" t="s">
        <v>336</v>
      </c>
      <c r="D184" s="1334"/>
    </row>
    <row r="185" spans="1:4">
      <c r="A185" s="1319">
        <v>1</v>
      </c>
      <c r="B185" s="1320"/>
      <c r="C185" s="1320">
        <v>1</v>
      </c>
      <c r="D185" s="1321"/>
    </row>
    <row r="186" spans="1:4">
      <c r="A186" s="1319">
        <v>2</v>
      </c>
      <c r="B186" s="1320"/>
      <c r="C186" s="1320">
        <v>2</v>
      </c>
      <c r="D186" s="1321"/>
    </row>
    <row r="187" spans="1:4">
      <c r="A187" s="260"/>
      <c r="C187" s="1322" t="s">
        <v>341</v>
      </c>
      <c r="D187" s="1323"/>
    </row>
    <row r="188" spans="1:4">
      <c r="A188" s="1324" t="s">
        <v>337</v>
      </c>
      <c r="B188" s="1325"/>
      <c r="C188" s="1325"/>
      <c r="D188" s="1326"/>
    </row>
    <row r="189" spans="1:4">
      <c r="A189" s="263" t="s">
        <v>338</v>
      </c>
      <c r="B189" s="264"/>
      <c r="C189" s="264"/>
      <c r="D189" s="265"/>
    </row>
    <row r="190" spans="1:4">
      <c r="A190" s="263"/>
      <c r="B190" s="264"/>
      <c r="C190" s="264"/>
      <c r="D190" s="265"/>
    </row>
    <row r="191" spans="1:4">
      <c r="A191" s="263"/>
      <c r="B191" s="264"/>
      <c r="C191" s="264" t="s">
        <v>339</v>
      </c>
      <c r="D191" s="265"/>
    </row>
    <row r="192" spans="1:4">
      <c r="A192" s="260"/>
      <c r="B192" s="261"/>
      <c r="C192" s="160" t="s">
        <v>146</v>
      </c>
      <c r="D192" s="262"/>
    </row>
    <row r="193" spans="1:4">
      <c r="A193" s="260"/>
      <c r="C193" t="s">
        <v>340</v>
      </c>
      <c r="D193" s="266"/>
    </row>
    <row r="194" spans="1:4">
      <c r="A194" s="260"/>
      <c r="C194" s="1327" t="str">
        <f>'4-22MASTER'!G5</f>
        <v>Burgeon IT Services Pvt.Ltd.</v>
      </c>
      <c r="D194" s="1328"/>
    </row>
    <row r="195" spans="1:4">
      <c r="A195" s="245" t="s">
        <v>272</v>
      </c>
      <c r="B195" t="str">
        <f>B178</f>
        <v>Hyderabad</v>
      </c>
      <c r="C195" s="2" t="str">
        <f>'4-22MASTER'!G6</f>
        <v>Siri Mansion LIGB 436 Dr.A S Rao Nagar,Hyderabad</v>
      </c>
      <c r="D195" s="12"/>
    </row>
    <row r="196" spans="1:4" ht="15.75" thickBot="1">
      <c r="A196" s="245" t="s">
        <v>331</v>
      </c>
      <c r="B196" s="282" t="e">
        <f>B179</f>
        <v>#REF!</v>
      </c>
      <c r="C196" s="2"/>
      <c r="D196" s="12"/>
    </row>
    <row r="197" spans="1:4" ht="15.75" thickBot="1">
      <c r="A197" s="271"/>
      <c r="B197" s="272" t="s">
        <v>344</v>
      </c>
      <c r="C197" s="272"/>
      <c r="D197" s="19"/>
    </row>
    <row r="198" spans="1:4">
      <c r="A198" s="245" t="s">
        <v>342</v>
      </c>
      <c r="C198" s="2"/>
      <c r="D198" s="12"/>
    </row>
    <row r="199" spans="1:4">
      <c r="A199" s="245" t="s">
        <v>331</v>
      </c>
      <c r="B199" s="282" t="e">
        <f>B196</f>
        <v>#REF!</v>
      </c>
      <c r="C199" s="2"/>
      <c r="D199" s="12"/>
    </row>
    <row r="200" spans="1:4" ht="15.75" thickBot="1">
      <c r="A200" s="274" t="s">
        <v>343</v>
      </c>
      <c r="B200" s="14"/>
      <c r="C200" s="14"/>
      <c r="D200" s="15" t="s">
        <v>137</v>
      </c>
    </row>
    <row r="204" spans="1:4" ht="15.75" thickBot="1"/>
    <row r="205" spans="1:4" ht="20.25">
      <c r="A205" s="1342" t="s">
        <v>306</v>
      </c>
      <c r="B205" s="1343"/>
      <c r="C205" s="1343"/>
      <c r="D205" s="1344"/>
    </row>
    <row r="206" spans="1:4">
      <c r="A206" s="1345" t="s">
        <v>307</v>
      </c>
      <c r="B206" s="1346"/>
      <c r="C206" s="1346"/>
      <c r="D206" s="1347"/>
    </row>
    <row r="207" spans="1:4" ht="18">
      <c r="A207" s="1348" t="s">
        <v>308</v>
      </c>
      <c r="B207" s="1349"/>
      <c r="C207" s="1349"/>
      <c r="D207" s="1350"/>
    </row>
    <row r="208" spans="1:4">
      <c r="A208" s="11" t="s">
        <v>136</v>
      </c>
      <c r="D208" s="12"/>
    </row>
    <row r="209" spans="1:4" ht="18">
      <c r="A209" s="267" t="str">
        <f>'4-22MASTER'!G5</f>
        <v>Burgeon IT Services Pvt.Ltd.</v>
      </c>
      <c r="B209" s="244"/>
      <c r="D209" s="12"/>
    </row>
    <row r="210" spans="1:4" ht="18">
      <c r="A210" s="267" t="str">
        <f>'4-22MASTER'!G6</f>
        <v>Siri Mansion LIGB 436 Dr.A S Rao Nagar,Hyderabad</v>
      </c>
      <c r="B210" s="244"/>
      <c r="D210" s="12"/>
    </row>
    <row r="211" spans="1:4" ht="18">
      <c r="A211" s="246"/>
      <c r="B211" s="3"/>
      <c r="D211" s="12"/>
    </row>
    <row r="212" spans="1:4" ht="15.75">
      <c r="A212" s="245" t="s">
        <v>309</v>
      </c>
      <c r="B212" s="268"/>
      <c r="C212" s="269" t="e">
        <f>'4-22MASTER'!#REF!</f>
        <v>#REF!</v>
      </c>
      <c r="D212" s="68"/>
    </row>
    <row r="213" spans="1:4">
      <c r="A213" s="1339" t="s">
        <v>310</v>
      </c>
      <c r="B213" s="1340"/>
      <c r="C213" s="1340"/>
      <c r="D213" s="1341"/>
    </row>
    <row r="214" spans="1:4">
      <c r="A214" s="11"/>
      <c r="D214" s="12"/>
    </row>
    <row r="215" spans="1:4">
      <c r="A215" s="1339" t="s">
        <v>311</v>
      </c>
      <c r="B215" s="1340"/>
      <c r="C215" s="1340"/>
      <c r="D215" s="1341"/>
    </row>
    <row r="216" spans="1:4">
      <c r="A216" s="247"/>
      <c r="B216" s="248"/>
      <c r="C216" s="248"/>
      <c r="D216" s="249"/>
    </row>
    <row r="217" spans="1:4">
      <c r="A217" s="1332" t="s">
        <v>312</v>
      </c>
      <c r="B217" s="1333"/>
      <c r="C217" s="1333"/>
      <c r="D217" s="1334"/>
    </row>
    <row r="218" spans="1:4">
      <c r="A218" s="11"/>
      <c r="D218" s="12"/>
    </row>
    <row r="219" spans="1:4">
      <c r="A219" s="1332" t="s">
        <v>313</v>
      </c>
      <c r="B219" s="1333"/>
      <c r="C219" s="1333"/>
      <c r="D219" s="1334"/>
    </row>
    <row r="220" spans="1:4">
      <c r="A220" s="1332" t="s">
        <v>314</v>
      </c>
      <c r="B220" s="1333"/>
      <c r="C220" s="1333"/>
      <c r="D220" s="1334"/>
    </row>
    <row r="221" spans="1:4">
      <c r="A221" s="245"/>
      <c r="B221" s="250"/>
      <c r="C221" s="250"/>
      <c r="D221" s="251"/>
    </row>
    <row r="222" spans="1:4">
      <c r="A222" s="1339" t="s">
        <v>315</v>
      </c>
      <c r="B222" s="1340"/>
      <c r="C222" s="1340"/>
      <c r="D222" s="1341"/>
    </row>
    <row r="223" spans="1:4">
      <c r="A223" s="245"/>
      <c r="B223" s="250"/>
      <c r="C223" s="250"/>
      <c r="D223" s="251"/>
    </row>
    <row r="224" spans="1:4">
      <c r="A224" s="1332" t="s">
        <v>316</v>
      </c>
      <c r="B224" s="1333"/>
      <c r="C224" s="1333"/>
      <c r="D224" s="1334"/>
    </row>
    <row r="225" spans="1:4">
      <c r="A225" s="11"/>
      <c r="D225" s="12"/>
    </row>
    <row r="226" spans="1:4">
      <c r="A226" s="1329" t="s">
        <v>317</v>
      </c>
      <c r="B226" s="1330"/>
      <c r="C226" s="1330"/>
      <c r="D226" s="1331"/>
    </row>
    <row r="227" spans="1:4" ht="42.75">
      <c r="A227" s="252" t="s">
        <v>318</v>
      </c>
      <c r="B227" s="253" t="s">
        <v>319</v>
      </c>
      <c r="C227" s="253" t="s">
        <v>320</v>
      </c>
      <c r="D227" s="254" t="s">
        <v>321</v>
      </c>
    </row>
    <row r="228" spans="1:4">
      <c r="A228" s="255">
        <v>1</v>
      </c>
      <c r="B228" s="256">
        <v>2</v>
      </c>
      <c r="C228" s="256">
        <v>3</v>
      </c>
      <c r="D228" s="257">
        <v>4</v>
      </c>
    </row>
    <row r="229" spans="1:4">
      <c r="A229" s="11" t="e">
        <f>'4-22MASTER'!#REF!</f>
        <v>#REF!</v>
      </c>
      <c r="B229" s="9" t="s">
        <v>363</v>
      </c>
      <c r="C229" s="9" t="s">
        <v>370</v>
      </c>
      <c r="D229" s="289">
        <v>1</v>
      </c>
    </row>
    <row r="230" spans="1:4">
      <c r="A230" s="273"/>
      <c r="B230" s="9"/>
      <c r="C230" s="9"/>
      <c r="D230" s="258"/>
    </row>
    <row r="231" spans="1:4">
      <c r="A231" s="270"/>
      <c r="B231" s="9"/>
      <c r="C231" s="9"/>
      <c r="D231" s="258"/>
    </row>
    <row r="232" spans="1:4">
      <c r="A232" s="11"/>
      <c r="D232" s="12"/>
    </row>
    <row r="233" spans="1:4">
      <c r="A233" s="1329" t="s">
        <v>322</v>
      </c>
      <c r="B233" s="1330"/>
      <c r="C233" s="1330"/>
      <c r="D233" s="1331"/>
    </row>
    <row r="234" spans="1:4">
      <c r="A234" s="161"/>
      <c r="B234" s="4"/>
      <c r="C234" s="4"/>
      <c r="D234" s="162"/>
    </row>
    <row r="235" spans="1:4">
      <c r="A235" s="1335" t="s">
        <v>323</v>
      </c>
      <c r="B235" s="1336"/>
      <c r="C235" s="1351" t="e">
        <f>'4-22MASTER'!#REF!</f>
        <v>#REF!</v>
      </c>
      <c r="D235" s="1338"/>
    </row>
    <row r="236" spans="1:4">
      <c r="A236" s="1335" t="s">
        <v>324</v>
      </c>
      <c r="B236" s="1336"/>
      <c r="C236" s="1337" t="e">
        <f>'4-22MASTER'!#REF!</f>
        <v>#REF!</v>
      </c>
      <c r="D236" s="1338"/>
    </row>
    <row r="237" spans="1:4">
      <c r="A237" s="1335" t="s">
        <v>325</v>
      </c>
      <c r="B237" s="1336"/>
      <c r="C237" s="1337" t="s">
        <v>371</v>
      </c>
      <c r="D237" s="1338"/>
    </row>
    <row r="238" spans="1:4">
      <c r="A238" s="1335" t="s">
        <v>326</v>
      </c>
      <c r="B238" s="1336"/>
      <c r="C238" s="1337" t="s">
        <v>369</v>
      </c>
      <c r="D238" s="1338"/>
    </row>
    <row r="239" spans="1:4">
      <c r="A239" s="1335" t="s">
        <v>327</v>
      </c>
      <c r="B239" s="1336"/>
      <c r="C239" s="1351" t="e">
        <f>'4-22MASTER'!#REF!</f>
        <v>#REF!</v>
      </c>
      <c r="D239" s="1338"/>
    </row>
    <row r="240" spans="1:4">
      <c r="A240" s="1335" t="s">
        <v>328</v>
      </c>
      <c r="B240" s="1336"/>
      <c r="C240" s="1351" t="e">
        <f>'4-22MASTER'!#REF!</f>
        <v>#REF!</v>
      </c>
      <c r="D240" s="1338"/>
    </row>
    <row r="241" spans="1:4">
      <c r="A241" s="1335" t="s">
        <v>329</v>
      </c>
      <c r="B241" s="1336"/>
      <c r="C241" s="1352" t="e">
        <f>'4-22MASTER'!#REF!</f>
        <v>#REF!</v>
      </c>
      <c r="D241" s="1338"/>
    </row>
    <row r="242" spans="1:4">
      <c r="A242" s="1335" t="s">
        <v>330</v>
      </c>
      <c r="B242" s="1336"/>
      <c r="C242" s="1337"/>
      <c r="D242" s="1338"/>
    </row>
    <row r="243" spans="1:4">
      <c r="A243" s="1335"/>
      <c r="B243" s="1336"/>
      <c r="C243" s="1351" t="e">
        <f>'4-22MASTER'!#REF!</f>
        <v>#REF!</v>
      </c>
      <c r="D243" s="1338"/>
    </row>
    <row r="244" spans="1:4">
      <c r="A244" s="1335"/>
      <c r="B244" s="1336"/>
      <c r="C244" s="1351" t="e">
        <f>'4-22MASTER'!#REF!</f>
        <v>#REF!</v>
      </c>
      <c r="D244" s="1338"/>
    </row>
    <row r="245" spans="1:4">
      <c r="A245" s="1335"/>
      <c r="B245" s="1336"/>
      <c r="C245" s="1351" t="e">
        <f>'4-22MASTER'!#REF!</f>
        <v>#REF!</v>
      </c>
      <c r="D245" s="1338"/>
    </row>
    <row r="246" spans="1:4">
      <c r="A246" s="245" t="s">
        <v>272</v>
      </c>
      <c r="B246" s="250" t="s">
        <v>361</v>
      </c>
      <c r="C246" s="250"/>
      <c r="D246" s="251"/>
    </row>
    <row r="247" spans="1:4">
      <c r="A247" s="245" t="s">
        <v>331</v>
      </c>
      <c r="B247" s="290" t="e">
        <f>'4-22MASTER'!#REF!</f>
        <v>#REF!</v>
      </c>
      <c r="C247" s="259" t="s">
        <v>332</v>
      </c>
      <c r="D247" s="251"/>
    </row>
    <row r="248" spans="1:4">
      <c r="A248" s="245"/>
      <c r="B248" s="250"/>
      <c r="C248" s="250"/>
      <c r="D248" s="251"/>
    </row>
    <row r="249" spans="1:4">
      <c r="A249" s="1329" t="s">
        <v>333</v>
      </c>
      <c r="B249" s="1330"/>
      <c r="C249" s="1330"/>
      <c r="D249" s="1331"/>
    </row>
    <row r="250" spans="1:4">
      <c r="A250" s="245" t="s">
        <v>334</v>
      </c>
      <c r="B250" s="250"/>
      <c r="C250" s="250"/>
      <c r="D250" s="251"/>
    </row>
    <row r="251" spans="1:4">
      <c r="A251" s="245"/>
      <c r="B251" s="250"/>
      <c r="C251" s="250"/>
      <c r="D251" s="251"/>
    </row>
    <row r="252" spans="1:4">
      <c r="A252" s="1332" t="s">
        <v>335</v>
      </c>
      <c r="B252" s="1333"/>
      <c r="C252" s="1333" t="s">
        <v>336</v>
      </c>
      <c r="D252" s="1334"/>
    </row>
    <row r="253" spans="1:4">
      <c r="A253" s="1319">
        <v>1</v>
      </c>
      <c r="B253" s="1320"/>
      <c r="C253" s="1320">
        <v>1</v>
      </c>
      <c r="D253" s="1321"/>
    </row>
    <row r="254" spans="1:4">
      <c r="A254" s="1319">
        <v>2</v>
      </c>
      <c r="B254" s="1320"/>
      <c r="C254" s="1320">
        <v>2</v>
      </c>
      <c r="D254" s="1321"/>
    </row>
    <row r="255" spans="1:4">
      <c r="A255" s="260"/>
      <c r="C255" s="1322" t="s">
        <v>341</v>
      </c>
      <c r="D255" s="1323"/>
    </row>
    <row r="256" spans="1:4">
      <c r="A256" s="1324" t="s">
        <v>337</v>
      </c>
      <c r="B256" s="1325"/>
      <c r="C256" s="1325"/>
      <c r="D256" s="1326"/>
    </row>
    <row r="257" spans="1:4">
      <c r="A257" s="263" t="s">
        <v>338</v>
      </c>
      <c r="B257" s="264"/>
      <c r="C257" s="264"/>
      <c r="D257" s="265"/>
    </row>
    <row r="258" spans="1:4">
      <c r="A258" s="263"/>
      <c r="B258" s="264"/>
      <c r="C258" s="264"/>
      <c r="D258" s="265"/>
    </row>
    <row r="259" spans="1:4">
      <c r="A259" s="263"/>
      <c r="B259" s="264"/>
      <c r="C259" s="264" t="s">
        <v>339</v>
      </c>
      <c r="D259" s="265"/>
    </row>
    <row r="260" spans="1:4">
      <c r="A260" s="260"/>
      <c r="B260" s="261"/>
      <c r="C260" s="160" t="s">
        <v>146</v>
      </c>
      <c r="D260" s="262"/>
    </row>
    <row r="261" spans="1:4">
      <c r="A261" s="260"/>
      <c r="C261" t="s">
        <v>340</v>
      </c>
      <c r="D261" s="266"/>
    </row>
    <row r="262" spans="1:4">
      <c r="A262" s="260"/>
      <c r="C262" s="1327" t="str">
        <f>'4-22MASTER'!G5</f>
        <v>Burgeon IT Services Pvt.Ltd.</v>
      </c>
      <c r="D262" s="1328"/>
    </row>
    <row r="263" spans="1:4">
      <c r="A263" s="245" t="s">
        <v>272</v>
      </c>
      <c r="B263" t="str">
        <f>B246</f>
        <v>Hyderabad</v>
      </c>
      <c r="C263" s="2" t="str">
        <f>'4-22MASTER'!G6</f>
        <v>Siri Mansion LIGB 436 Dr.A S Rao Nagar,Hyderabad</v>
      </c>
      <c r="D263" s="12"/>
    </row>
    <row r="264" spans="1:4" ht="15.75" thickBot="1">
      <c r="A264" s="245" t="s">
        <v>331</v>
      </c>
      <c r="B264" s="282" t="e">
        <f>B247</f>
        <v>#REF!</v>
      </c>
      <c r="C264" s="2"/>
      <c r="D264" s="12"/>
    </row>
    <row r="265" spans="1:4" ht="15.75" thickBot="1">
      <c r="A265" s="271"/>
      <c r="B265" s="272" t="s">
        <v>344</v>
      </c>
      <c r="C265" s="272"/>
      <c r="D265" s="19"/>
    </row>
    <row r="266" spans="1:4">
      <c r="A266" s="245" t="s">
        <v>342</v>
      </c>
      <c r="C266" s="2"/>
      <c r="D266" s="12"/>
    </row>
    <row r="267" spans="1:4">
      <c r="A267" s="245" t="s">
        <v>331</v>
      </c>
      <c r="B267" s="282" t="e">
        <f>B264</f>
        <v>#REF!</v>
      </c>
      <c r="C267" s="2"/>
      <c r="D267" s="12"/>
    </row>
    <row r="268" spans="1:4" ht="15.75" thickBot="1">
      <c r="A268" s="274" t="s">
        <v>343</v>
      </c>
      <c r="B268" s="14"/>
      <c r="C268" s="14"/>
      <c r="D268" s="15" t="s">
        <v>137</v>
      </c>
    </row>
    <row r="272" spans="1:4" ht="15.75" thickBot="1"/>
    <row r="273" spans="1:4" ht="20.25">
      <c r="A273" s="1342" t="s">
        <v>306</v>
      </c>
      <c r="B273" s="1343"/>
      <c r="C273" s="1343"/>
      <c r="D273" s="1344"/>
    </row>
    <row r="274" spans="1:4">
      <c r="A274" s="1345" t="s">
        <v>307</v>
      </c>
      <c r="B274" s="1346"/>
      <c r="C274" s="1346"/>
      <c r="D274" s="1347"/>
    </row>
    <row r="275" spans="1:4" ht="18">
      <c r="A275" s="1348" t="s">
        <v>308</v>
      </c>
      <c r="B275" s="1349"/>
      <c r="C275" s="1349"/>
      <c r="D275" s="1350"/>
    </row>
    <row r="276" spans="1:4">
      <c r="A276" s="11" t="s">
        <v>136</v>
      </c>
      <c r="D276" s="12"/>
    </row>
    <row r="277" spans="1:4" ht="18">
      <c r="A277" s="267" t="str">
        <f>'4-22MASTER'!G5</f>
        <v>Burgeon IT Services Pvt.Ltd.</v>
      </c>
      <c r="B277" s="244"/>
      <c r="D277" s="12"/>
    </row>
    <row r="278" spans="1:4" ht="18">
      <c r="A278" s="267" t="str">
        <f>'4-22MASTER'!G6</f>
        <v>Siri Mansion LIGB 436 Dr.A S Rao Nagar,Hyderabad</v>
      </c>
      <c r="B278" s="244"/>
      <c r="D278" s="12"/>
    </row>
    <row r="279" spans="1:4" ht="18">
      <c r="A279" s="246"/>
      <c r="B279" s="3"/>
      <c r="D279" s="12"/>
    </row>
    <row r="280" spans="1:4" ht="15.75">
      <c r="A280" s="245" t="s">
        <v>309</v>
      </c>
      <c r="B280" s="268"/>
      <c r="C280" s="269" t="e">
        <f>'4-22MASTER'!#REF!</f>
        <v>#REF!</v>
      </c>
      <c r="D280" s="68"/>
    </row>
    <row r="281" spans="1:4">
      <c r="A281" s="1339" t="s">
        <v>310</v>
      </c>
      <c r="B281" s="1340"/>
      <c r="C281" s="1340"/>
      <c r="D281" s="1341"/>
    </row>
    <row r="282" spans="1:4">
      <c r="A282" s="11"/>
      <c r="D282" s="12"/>
    </row>
    <row r="283" spans="1:4">
      <c r="A283" s="1339" t="s">
        <v>311</v>
      </c>
      <c r="B283" s="1340"/>
      <c r="C283" s="1340"/>
      <c r="D283" s="1341"/>
    </row>
    <row r="284" spans="1:4">
      <c r="A284" s="247"/>
      <c r="B284" s="248"/>
      <c r="C284" s="248"/>
      <c r="D284" s="249"/>
    </row>
    <row r="285" spans="1:4">
      <c r="A285" s="1332" t="s">
        <v>312</v>
      </c>
      <c r="B285" s="1333"/>
      <c r="C285" s="1333"/>
      <c r="D285" s="1334"/>
    </row>
    <row r="286" spans="1:4">
      <c r="A286" s="11"/>
      <c r="D286" s="12"/>
    </row>
    <row r="287" spans="1:4">
      <c r="A287" s="1332" t="s">
        <v>313</v>
      </c>
      <c r="B287" s="1333"/>
      <c r="C287" s="1333"/>
      <c r="D287" s="1334"/>
    </row>
    <row r="288" spans="1:4">
      <c r="A288" s="1332" t="s">
        <v>314</v>
      </c>
      <c r="B288" s="1333"/>
      <c r="C288" s="1333"/>
      <c r="D288" s="1334"/>
    </row>
    <row r="289" spans="1:4">
      <c r="A289" s="245"/>
      <c r="B289" s="250"/>
      <c r="C289" s="250"/>
      <c r="D289" s="251"/>
    </row>
    <row r="290" spans="1:4">
      <c r="A290" s="1339" t="s">
        <v>315</v>
      </c>
      <c r="B290" s="1340"/>
      <c r="C290" s="1340"/>
      <c r="D290" s="1341"/>
    </row>
    <row r="291" spans="1:4">
      <c r="A291" s="245"/>
      <c r="B291" s="250"/>
      <c r="C291" s="250"/>
      <c r="D291" s="251"/>
    </row>
    <row r="292" spans="1:4">
      <c r="A292" s="1332" t="s">
        <v>316</v>
      </c>
      <c r="B292" s="1333"/>
      <c r="C292" s="1333"/>
      <c r="D292" s="1334"/>
    </row>
    <row r="293" spans="1:4">
      <c r="A293" s="11"/>
      <c r="D293" s="12"/>
    </row>
    <row r="294" spans="1:4">
      <c r="A294" s="1329" t="s">
        <v>317</v>
      </c>
      <c r="B294" s="1330"/>
      <c r="C294" s="1330"/>
      <c r="D294" s="1331"/>
    </row>
    <row r="295" spans="1:4" ht="42.75">
      <c r="A295" s="252" t="s">
        <v>318</v>
      </c>
      <c r="B295" s="253" t="s">
        <v>319</v>
      </c>
      <c r="C295" s="253" t="s">
        <v>320</v>
      </c>
      <c r="D295" s="254" t="s">
        <v>321</v>
      </c>
    </row>
    <row r="296" spans="1:4">
      <c r="A296" s="255">
        <v>1</v>
      </c>
      <c r="B296" s="256">
        <v>2</v>
      </c>
      <c r="C296" s="256">
        <v>3</v>
      </c>
      <c r="D296" s="257">
        <v>4</v>
      </c>
    </row>
    <row r="297" spans="1:4">
      <c r="A297" s="11" t="e">
        <f>'4-22MASTER'!#REF!</f>
        <v>#REF!</v>
      </c>
      <c r="B297" s="9" t="s">
        <v>363</v>
      </c>
      <c r="C297" s="9" t="s">
        <v>370</v>
      </c>
      <c r="D297" s="289">
        <v>1</v>
      </c>
    </row>
    <row r="298" spans="1:4">
      <c r="A298" s="273"/>
      <c r="B298" s="9"/>
      <c r="C298" s="9"/>
      <c r="D298" s="258"/>
    </row>
    <row r="299" spans="1:4">
      <c r="A299" s="270"/>
      <c r="B299" s="9"/>
      <c r="C299" s="9"/>
      <c r="D299" s="258"/>
    </row>
    <row r="300" spans="1:4">
      <c r="A300" s="11"/>
      <c r="D300" s="12"/>
    </row>
    <row r="301" spans="1:4">
      <c r="A301" s="1329" t="s">
        <v>322</v>
      </c>
      <c r="B301" s="1330"/>
      <c r="C301" s="1330"/>
      <c r="D301" s="1331"/>
    </row>
    <row r="302" spans="1:4">
      <c r="A302" s="161"/>
      <c r="B302" s="4"/>
      <c r="C302" s="4"/>
      <c r="D302" s="162"/>
    </row>
    <row r="303" spans="1:4">
      <c r="A303" s="1335" t="s">
        <v>323</v>
      </c>
      <c r="B303" s="1336"/>
      <c r="C303" s="1351" t="e">
        <f>'4-22MASTER'!#REF!</f>
        <v>#REF!</v>
      </c>
      <c r="D303" s="1338"/>
    </row>
    <row r="304" spans="1:4">
      <c r="A304" s="1335" t="s">
        <v>324</v>
      </c>
      <c r="B304" s="1336"/>
      <c r="C304" s="1337" t="e">
        <f>'4-22MASTER'!#REF!</f>
        <v>#REF!</v>
      </c>
      <c r="D304" s="1338"/>
    </row>
    <row r="305" spans="1:4">
      <c r="A305" s="1335" t="s">
        <v>325</v>
      </c>
      <c r="B305" s="1336"/>
      <c r="C305" s="1337" t="s">
        <v>371</v>
      </c>
      <c r="D305" s="1338"/>
    </row>
    <row r="306" spans="1:4">
      <c r="A306" s="1335" t="s">
        <v>326</v>
      </c>
      <c r="B306" s="1336"/>
      <c r="C306" s="1337" t="s">
        <v>369</v>
      </c>
      <c r="D306" s="1338"/>
    </row>
    <row r="307" spans="1:4">
      <c r="A307" s="1335" t="s">
        <v>327</v>
      </c>
      <c r="B307" s="1336"/>
      <c r="C307" s="1351" t="e">
        <f>'4-22MASTER'!#REF!</f>
        <v>#REF!</v>
      </c>
      <c r="D307" s="1338"/>
    </row>
    <row r="308" spans="1:4">
      <c r="A308" s="1335" t="s">
        <v>328</v>
      </c>
      <c r="B308" s="1336"/>
      <c r="C308" s="1351" t="e">
        <f>'4-22MASTER'!#REF!</f>
        <v>#REF!</v>
      </c>
      <c r="D308" s="1338"/>
    </row>
    <row r="309" spans="1:4">
      <c r="A309" s="1335" t="s">
        <v>329</v>
      </c>
      <c r="B309" s="1336"/>
      <c r="C309" s="1352" t="e">
        <f>'4-22MASTER'!#REF!</f>
        <v>#REF!</v>
      </c>
      <c r="D309" s="1338"/>
    </row>
    <row r="310" spans="1:4">
      <c r="A310" s="1335" t="s">
        <v>330</v>
      </c>
      <c r="B310" s="1336"/>
      <c r="C310" s="1337"/>
      <c r="D310" s="1338"/>
    </row>
    <row r="311" spans="1:4">
      <c r="A311" s="1335"/>
      <c r="B311" s="1336"/>
      <c r="C311" s="1351" t="e">
        <f>'4-22MASTER'!#REF!</f>
        <v>#REF!</v>
      </c>
      <c r="D311" s="1338"/>
    </row>
    <row r="312" spans="1:4">
      <c r="A312" s="1335"/>
      <c r="B312" s="1336"/>
      <c r="C312" s="1351" t="e">
        <f>'4-22MASTER'!#REF!</f>
        <v>#REF!</v>
      </c>
      <c r="D312" s="1338"/>
    </row>
    <row r="313" spans="1:4">
      <c r="A313" s="1335"/>
      <c r="B313" s="1336"/>
      <c r="C313" s="1351" t="e">
        <f>'4-22MASTER'!#REF!</f>
        <v>#REF!</v>
      </c>
      <c r="D313" s="1338"/>
    </row>
    <row r="314" spans="1:4">
      <c r="A314" s="245" t="s">
        <v>272</v>
      </c>
      <c r="B314" s="250" t="s">
        <v>361</v>
      </c>
      <c r="C314" s="250"/>
      <c r="D314" s="251"/>
    </row>
    <row r="315" spans="1:4">
      <c r="A315" s="245" t="s">
        <v>331</v>
      </c>
      <c r="B315" s="290" t="e">
        <f>'4-22MASTER'!#REF!</f>
        <v>#REF!</v>
      </c>
      <c r="C315" s="259" t="s">
        <v>332</v>
      </c>
      <c r="D315" s="251"/>
    </row>
    <row r="316" spans="1:4">
      <c r="A316" s="245"/>
      <c r="B316" s="250"/>
      <c r="C316" s="250"/>
      <c r="D316" s="251"/>
    </row>
    <row r="317" spans="1:4">
      <c r="A317" s="1329" t="s">
        <v>333</v>
      </c>
      <c r="B317" s="1330"/>
      <c r="C317" s="1330"/>
      <c r="D317" s="1331"/>
    </row>
    <row r="318" spans="1:4">
      <c r="A318" s="245" t="s">
        <v>334</v>
      </c>
      <c r="B318" s="250"/>
      <c r="C318" s="250"/>
      <c r="D318" s="251"/>
    </row>
    <row r="319" spans="1:4">
      <c r="A319" s="245"/>
      <c r="B319" s="250"/>
      <c r="C319" s="250"/>
      <c r="D319" s="251"/>
    </row>
    <row r="320" spans="1:4">
      <c r="A320" s="1332" t="s">
        <v>335</v>
      </c>
      <c r="B320" s="1333"/>
      <c r="C320" s="1333" t="s">
        <v>336</v>
      </c>
      <c r="D320" s="1334"/>
    </row>
    <row r="321" spans="1:4">
      <c r="A321" s="1319">
        <v>1</v>
      </c>
      <c r="B321" s="1320"/>
      <c r="C321" s="1320">
        <v>1</v>
      </c>
      <c r="D321" s="1321"/>
    </row>
    <row r="322" spans="1:4">
      <c r="A322" s="1319">
        <v>2</v>
      </c>
      <c r="B322" s="1320"/>
      <c r="C322" s="1320">
        <v>2</v>
      </c>
      <c r="D322" s="1321"/>
    </row>
    <row r="323" spans="1:4">
      <c r="A323" s="260"/>
      <c r="C323" s="1322" t="s">
        <v>341</v>
      </c>
      <c r="D323" s="1323"/>
    </row>
    <row r="324" spans="1:4">
      <c r="A324" s="1324" t="s">
        <v>337</v>
      </c>
      <c r="B324" s="1325"/>
      <c r="C324" s="1325"/>
      <c r="D324" s="1326"/>
    </row>
    <row r="325" spans="1:4">
      <c r="A325" s="263" t="s">
        <v>338</v>
      </c>
      <c r="B325" s="264"/>
      <c r="C325" s="264"/>
      <c r="D325" s="265"/>
    </row>
    <row r="326" spans="1:4">
      <c r="A326" s="263"/>
      <c r="B326" s="264"/>
      <c r="C326" s="264"/>
      <c r="D326" s="265"/>
    </row>
    <row r="327" spans="1:4">
      <c r="A327" s="263"/>
      <c r="B327" s="264"/>
      <c r="C327" s="264" t="s">
        <v>339</v>
      </c>
      <c r="D327" s="265"/>
    </row>
    <row r="328" spans="1:4">
      <c r="A328" s="260"/>
      <c r="B328" s="261"/>
      <c r="C328" s="160" t="s">
        <v>146</v>
      </c>
      <c r="D328" s="262"/>
    </row>
    <row r="329" spans="1:4">
      <c r="A329" s="260"/>
      <c r="C329" t="s">
        <v>340</v>
      </c>
      <c r="D329" s="266"/>
    </row>
    <row r="330" spans="1:4">
      <c r="A330" s="260"/>
      <c r="C330" s="1327" t="str">
        <f>'4-22MASTER'!G5</f>
        <v>Burgeon IT Services Pvt.Ltd.</v>
      </c>
      <c r="D330" s="1328"/>
    </row>
    <row r="331" spans="1:4">
      <c r="A331" s="245" t="s">
        <v>272</v>
      </c>
      <c r="B331" t="str">
        <f>B314</f>
        <v>Hyderabad</v>
      </c>
      <c r="C331" s="2" t="str">
        <f>'4-22MASTER'!G6</f>
        <v>Siri Mansion LIGB 436 Dr.A S Rao Nagar,Hyderabad</v>
      </c>
      <c r="D331" s="12"/>
    </row>
    <row r="332" spans="1:4" ht="15.75" thickBot="1">
      <c r="A332" s="245" t="s">
        <v>331</v>
      </c>
      <c r="B332" s="282" t="e">
        <f>B315</f>
        <v>#REF!</v>
      </c>
      <c r="C332" s="2"/>
      <c r="D332" s="12"/>
    </row>
    <row r="333" spans="1:4" ht="15.75" thickBot="1">
      <c r="A333" s="271"/>
      <c r="B333" s="272" t="s">
        <v>344</v>
      </c>
      <c r="C333" s="272"/>
      <c r="D333" s="19"/>
    </row>
    <row r="334" spans="1:4">
      <c r="A334" s="245" t="s">
        <v>342</v>
      </c>
      <c r="C334" s="2"/>
      <c r="D334" s="12"/>
    </row>
    <row r="335" spans="1:4">
      <c r="A335" s="245" t="s">
        <v>331</v>
      </c>
      <c r="B335" s="282" t="e">
        <f>B332</f>
        <v>#REF!</v>
      </c>
      <c r="C335" s="2"/>
      <c r="D335" s="12"/>
    </row>
    <row r="336" spans="1:4" ht="15.75" thickBot="1">
      <c r="A336" s="274" t="s">
        <v>343</v>
      </c>
      <c r="B336" s="14"/>
      <c r="C336" s="14"/>
      <c r="D336" s="15" t="s">
        <v>137</v>
      </c>
    </row>
    <row r="340" spans="1:4" ht="15.75" thickBot="1"/>
    <row r="341" spans="1:4" ht="20.25">
      <c r="A341" s="1342" t="s">
        <v>306</v>
      </c>
      <c r="B341" s="1343"/>
      <c r="C341" s="1343"/>
      <c r="D341" s="1344"/>
    </row>
    <row r="342" spans="1:4">
      <c r="A342" s="1345" t="s">
        <v>307</v>
      </c>
      <c r="B342" s="1346"/>
      <c r="C342" s="1346"/>
      <c r="D342" s="1347"/>
    </row>
    <row r="343" spans="1:4" ht="18">
      <c r="A343" s="1348" t="s">
        <v>308</v>
      </c>
      <c r="B343" s="1349"/>
      <c r="C343" s="1349"/>
      <c r="D343" s="1350"/>
    </row>
    <row r="344" spans="1:4">
      <c r="A344" s="11" t="s">
        <v>136</v>
      </c>
      <c r="D344" s="12"/>
    </row>
    <row r="345" spans="1:4" ht="18">
      <c r="A345" s="267" t="str">
        <f>'4-22MASTER'!G5</f>
        <v>Burgeon IT Services Pvt.Ltd.</v>
      </c>
      <c r="B345" s="244"/>
      <c r="D345" s="12"/>
    </row>
    <row r="346" spans="1:4" ht="18">
      <c r="A346" s="267" t="str">
        <f>'4-22MASTER'!G6</f>
        <v>Siri Mansion LIGB 436 Dr.A S Rao Nagar,Hyderabad</v>
      </c>
      <c r="B346" s="244"/>
      <c r="D346" s="12"/>
    </row>
    <row r="347" spans="1:4" ht="18">
      <c r="A347" s="246"/>
      <c r="B347" s="3"/>
      <c r="D347" s="12"/>
    </row>
    <row r="348" spans="1:4" ht="15.75">
      <c r="A348" s="245" t="s">
        <v>309</v>
      </c>
      <c r="B348" s="268"/>
      <c r="C348" s="269" t="e">
        <f>'4-22MASTER'!#REF!</f>
        <v>#REF!</v>
      </c>
      <c r="D348" s="68"/>
    </row>
    <row r="349" spans="1:4">
      <c r="A349" s="1339" t="s">
        <v>310</v>
      </c>
      <c r="B349" s="1340"/>
      <c r="C349" s="1340"/>
      <c r="D349" s="1341"/>
    </row>
    <row r="350" spans="1:4">
      <c r="A350" s="11"/>
      <c r="D350" s="12"/>
    </row>
    <row r="351" spans="1:4">
      <c r="A351" s="1339" t="s">
        <v>311</v>
      </c>
      <c r="B351" s="1340"/>
      <c r="C351" s="1340"/>
      <c r="D351" s="1341"/>
    </row>
    <row r="352" spans="1:4">
      <c r="A352" s="247"/>
      <c r="B352" s="248"/>
      <c r="C352" s="248"/>
      <c r="D352" s="249"/>
    </row>
    <row r="353" spans="1:4">
      <c r="A353" s="1332" t="s">
        <v>312</v>
      </c>
      <c r="B353" s="1333"/>
      <c r="C353" s="1333"/>
      <c r="D353" s="1334"/>
    </row>
    <row r="354" spans="1:4">
      <c r="A354" s="11"/>
      <c r="D354" s="12"/>
    </row>
    <row r="355" spans="1:4">
      <c r="A355" s="1332" t="s">
        <v>313</v>
      </c>
      <c r="B355" s="1333"/>
      <c r="C355" s="1333"/>
      <c r="D355" s="1334"/>
    </row>
    <row r="356" spans="1:4">
      <c r="A356" s="1332" t="s">
        <v>314</v>
      </c>
      <c r="B356" s="1333"/>
      <c r="C356" s="1333"/>
      <c r="D356" s="1334"/>
    </row>
    <row r="357" spans="1:4">
      <c r="A357" s="245"/>
      <c r="B357" s="250"/>
      <c r="C357" s="250"/>
      <c r="D357" s="251"/>
    </row>
    <row r="358" spans="1:4">
      <c r="A358" s="1339" t="s">
        <v>315</v>
      </c>
      <c r="B358" s="1340"/>
      <c r="C358" s="1340"/>
      <c r="D358" s="1341"/>
    </row>
    <row r="359" spans="1:4">
      <c r="A359" s="245"/>
      <c r="B359" s="250"/>
      <c r="C359" s="250"/>
      <c r="D359" s="251"/>
    </row>
    <row r="360" spans="1:4">
      <c r="A360" s="1332" t="s">
        <v>316</v>
      </c>
      <c r="B360" s="1333"/>
      <c r="C360" s="1333"/>
      <c r="D360" s="1334"/>
    </row>
    <row r="361" spans="1:4">
      <c r="A361" s="11"/>
      <c r="D361" s="12"/>
    </row>
    <row r="362" spans="1:4">
      <c r="A362" s="1329" t="s">
        <v>317</v>
      </c>
      <c r="B362" s="1330"/>
      <c r="C362" s="1330"/>
      <c r="D362" s="1331"/>
    </row>
    <row r="363" spans="1:4" ht="42.75">
      <c r="A363" s="252" t="s">
        <v>318</v>
      </c>
      <c r="B363" s="253" t="s">
        <v>319</v>
      </c>
      <c r="C363" s="253" t="s">
        <v>320</v>
      </c>
      <c r="D363" s="254" t="s">
        <v>321</v>
      </c>
    </row>
    <row r="364" spans="1:4">
      <c r="A364" s="255">
        <v>1</v>
      </c>
      <c r="B364" s="256">
        <v>2</v>
      </c>
      <c r="C364" s="256">
        <v>3</v>
      </c>
      <c r="D364" s="257">
        <v>4</v>
      </c>
    </row>
    <row r="365" spans="1:4">
      <c r="A365" s="11" t="e">
        <f>'4-22MASTER'!#REF!</f>
        <v>#REF!</v>
      </c>
      <c r="B365" s="9" t="s">
        <v>363</v>
      </c>
      <c r="C365" s="9" t="s">
        <v>370</v>
      </c>
      <c r="D365" s="289">
        <v>1</v>
      </c>
    </row>
    <row r="366" spans="1:4">
      <c r="A366" s="273"/>
      <c r="B366" s="9"/>
      <c r="C366" s="9"/>
      <c r="D366" s="258"/>
    </row>
    <row r="367" spans="1:4">
      <c r="A367" s="270"/>
      <c r="B367" s="9"/>
      <c r="C367" s="9"/>
      <c r="D367" s="258"/>
    </row>
    <row r="368" spans="1:4">
      <c r="A368" s="11"/>
      <c r="D368" s="12"/>
    </row>
    <row r="369" spans="1:4">
      <c r="A369" s="1329" t="s">
        <v>322</v>
      </c>
      <c r="B369" s="1330"/>
      <c r="C369" s="1330"/>
      <c r="D369" s="1331"/>
    </row>
    <row r="370" spans="1:4">
      <c r="A370" s="161"/>
      <c r="B370" s="4"/>
      <c r="C370" s="4"/>
      <c r="D370" s="162"/>
    </row>
    <row r="371" spans="1:4">
      <c r="A371" s="1335" t="s">
        <v>323</v>
      </c>
      <c r="B371" s="1336"/>
      <c r="C371" s="1351" t="e">
        <f>'4-22MASTER'!#REF!</f>
        <v>#REF!</v>
      </c>
      <c r="D371" s="1338"/>
    </row>
    <row r="372" spans="1:4">
      <c r="A372" s="1335" t="s">
        <v>324</v>
      </c>
      <c r="B372" s="1336"/>
      <c r="C372" s="1337" t="e">
        <f>'4-22MASTER'!#REF!</f>
        <v>#REF!</v>
      </c>
      <c r="D372" s="1338"/>
    </row>
    <row r="373" spans="1:4">
      <c r="A373" s="1335" t="s">
        <v>325</v>
      </c>
      <c r="B373" s="1336"/>
      <c r="C373" s="1337" t="s">
        <v>371</v>
      </c>
      <c r="D373" s="1338"/>
    </row>
    <row r="374" spans="1:4">
      <c r="A374" s="1335" t="s">
        <v>326</v>
      </c>
      <c r="B374" s="1336"/>
      <c r="C374" s="1337" t="s">
        <v>369</v>
      </c>
      <c r="D374" s="1338"/>
    </row>
    <row r="375" spans="1:4">
      <c r="A375" s="1335" t="s">
        <v>327</v>
      </c>
      <c r="B375" s="1336"/>
      <c r="C375" s="1351" t="e">
        <f>'4-22MASTER'!#REF!</f>
        <v>#REF!</v>
      </c>
      <c r="D375" s="1338"/>
    </row>
    <row r="376" spans="1:4">
      <c r="A376" s="1335" t="s">
        <v>328</v>
      </c>
      <c r="B376" s="1336"/>
      <c r="C376" s="1351" t="e">
        <f>'4-22MASTER'!#REF!</f>
        <v>#REF!</v>
      </c>
      <c r="D376" s="1338"/>
    </row>
    <row r="377" spans="1:4">
      <c r="A377" s="1335" t="s">
        <v>329</v>
      </c>
      <c r="B377" s="1336"/>
      <c r="C377" s="1352" t="e">
        <f>'4-22MASTER'!#REF!</f>
        <v>#REF!</v>
      </c>
      <c r="D377" s="1338"/>
    </row>
    <row r="378" spans="1:4">
      <c r="A378" s="1335" t="s">
        <v>330</v>
      </c>
      <c r="B378" s="1336"/>
      <c r="C378" s="1337"/>
      <c r="D378" s="1338"/>
    </row>
    <row r="379" spans="1:4">
      <c r="A379" s="1335"/>
      <c r="B379" s="1336"/>
      <c r="C379" s="1351" t="e">
        <f>'4-22MASTER'!#REF!</f>
        <v>#REF!</v>
      </c>
      <c r="D379" s="1338"/>
    </row>
    <row r="380" spans="1:4">
      <c r="A380" s="1335"/>
      <c r="B380" s="1336"/>
      <c r="C380" s="1351" t="e">
        <f>'4-22MASTER'!#REF!</f>
        <v>#REF!</v>
      </c>
      <c r="D380" s="1338"/>
    </row>
    <row r="381" spans="1:4">
      <c r="A381" s="1335"/>
      <c r="B381" s="1336"/>
      <c r="C381" s="1351" t="e">
        <f>'4-22MASTER'!#REF!</f>
        <v>#REF!</v>
      </c>
      <c r="D381" s="1338"/>
    </row>
    <row r="382" spans="1:4">
      <c r="A382" s="245" t="s">
        <v>272</v>
      </c>
      <c r="B382" s="250" t="s">
        <v>361</v>
      </c>
      <c r="C382" s="250"/>
      <c r="D382" s="251"/>
    </row>
    <row r="383" spans="1:4">
      <c r="A383" s="245" t="s">
        <v>331</v>
      </c>
      <c r="B383" s="290" t="e">
        <f>'4-22MASTER'!#REF!</f>
        <v>#REF!</v>
      </c>
      <c r="C383" s="259" t="s">
        <v>332</v>
      </c>
      <c r="D383" s="251"/>
    </row>
    <row r="384" spans="1:4">
      <c r="A384" s="245"/>
      <c r="B384" s="250"/>
      <c r="C384" s="250"/>
      <c r="D384" s="251"/>
    </row>
    <row r="385" spans="1:4">
      <c r="A385" s="1329" t="s">
        <v>333</v>
      </c>
      <c r="B385" s="1330"/>
      <c r="C385" s="1330"/>
      <c r="D385" s="1331"/>
    </row>
    <row r="386" spans="1:4">
      <c r="A386" s="245" t="s">
        <v>334</v>
      </c>
      <c r="B386" s="250"/>
      <c r="C386" s="250"/>
      <c r="D386" s="251"/>
    </row>
    <row r="387" spans="1:4">
      <c r="A387" s="245"/>
      <c r="B387" s="250"/>
      <c r="C387" s="250"/>
      <c r="D387" s="251"/>
    </row>
    <row r="388" spans="1:4">
      <c r="A388" s="1332" t="s">
        <v>335</v>
      </c>
      <c r="B388" s="1333"/>
      <c r="C388" s="1333" t="s">
        <v>336</v>
      </c>
      <c r="D388" s="1334"/>
    </row>
    <row r="389" spans="1:4">
      <c r="A389" s="1319">
        <v>1</v>
      </c>
      <c r="B389" s="1320"/>
      <c r="C389" s="1320">
        <v>1</v>
      </c>
      <c r="D389" s="1321"/>
    </row>
    <row r="390" spans="1:4">
      <c r="A390" s="1319">
        <v>2</v>
      </c>
      <c r="B390" s="1320"/>
      <c r="C390" s="1320">
        <v>2</v>
      </c>
      <c r="D390" s="1321"/>
    </row>
    <row r="391" spans="1:4">
      <c r="A391" s="260"/>
      <c r="C391" s="1322" t="s">
        <v>341</v>
      </c>
      <c r="D391" s="1323"/>
    </row>
    <row r="392" spans="1:4">
      <c r="A392" s="1324" t="s">
        <v>337</v>
      </c>
      <c r="B392" s="1325"/>
      <c r="C392" s="1325"/>
      <c r="D392" s="1326"/>
    </row>
    <row r="393" spans="1:4">
      <c r="A393" s="263" t="s">
        <v>338</v>
      </c>
      <c r="B393" s="264"/>
      <c r="C393" s="264"/>
      <c r="D393" s="265"/>
    </row>
    <row r="394" spans="1:4">
      <c r="A394" s="263"/>
      <c r="B394" s="264"/>
      <c r="C394" s="264"/>
      <c r="D394" s="265"/>
    </row>
    <row r="395" spans="1:4">
      <c r="A395" s="263"/>
      <c r="B395" s="264"/>
      <c r="C395" s="264" t="s">
        <v>339</v>
      </c>
      <c r="D395" s="265"/>
    </row>
    <row r="396" spans="1:4">
      <c r="A396" s="260"/>
      <c r="B396" s="261"/>
      <c r="C396" s="160" t="s">
        <v>146</v>
      </c>
      <c r="D396" s="262"/>
    </row>
    <row r="397" spans="1:4">
      <c r="A397" s="260"/>
      <c r="C397" t="s">
        <v>340</v>
      </c>
      <c r="D397" s="266"/>
    </row>
    <row r="398" spans="1:4">
      <c r="A398" s="260"/>
      <c r="C398" s="1327" t="str">
        <f>'4-22MASTER'!G5</f>
        <v>Burgeon IT Services Pvt.Ltd.</v>
      </c>
      <c r="D398" s="1328"/>
    </row>
    <row r="399" spans="1:4">
      <c r="A399" s="245" t="s">
        <v>272</v>
      </c>
      <c r="B399" t="str">
        <f>B382</f>
        <v>Hyderabad</v>
      </c>
      <c r="C399" s="2" t="str">
        <f>'4-22MASTER'!G6</f>
        <v>Siri Mansion LIGB 436 Dr.A S Rao Nagar,Hyderabad</v>
      </c>
      <c r="D399" s="12"/>
    </row>
    <row r="400" spans="1:4" ht="15.75" thickBot="1">
      <c r="A400" s="245" t="s">
        <v>331</v>
      </c>
      <c r="B400" s="282" t="e">
        <f>B383</f>
        <v>#REF!</v>
      </c>
      <c r="C400" s="2"/>
      <c r="D400" s="12"/>
    </row>
    <row r="401" spans="1:4" ht="15.75" thickBot="1">
      <c r="A401" s="271"/>
      <c r="B401" s="272" t="s">
        <v>344</v>
      </c>
      <c r="C401" s="272"/>
      <c r="D401" s="19"/>
    </row>
    <row r="402" spans="1:4">
      <c r="A402" s="245" t="s">
        <v>342</v>
      </c>
      <c r="C402" s="2"/>
      <c r="D402" s="12"/>
    </row>
    <row r="403" spans="1:4">
      <c r="A403" s="245" t="s">
        <v>331</v>
      </c>
      <c r="B403" s="282" t="e">
        <f>B400</f>
        <v>#REF!</v>
      </c>
      <c r="C403" s="2"/>
      <c r="D403" s="12"/>
    </row>
    <row r="404" spans="1:4" ht="15.75" thickBot="1">
      <c r="A404" s="274" t="s">
        <v>343</v>
      </c>
      <c r="B404" s="14"/>
      <c r="C404" s="14"/>
      <c r="D404" s="15" t="s">
        <v>137</v>
      </c>
    </row>
    <row r="408" spans="1:4" ht="15.75" thickBot="1"/>
    <row r="409" spans="1:4" ht="20.25">
      <c r="A409" s="1342" t="s">
        <v>306</v>
      </c>
      <c r="B409" s="1343"/>
      <c r="C409" s="1343"/>
      <c r="D409" s="1344"/>
    </row>
    <row r="410" spans="1:4">
      <c r="A410" s="1345" t="s">
        <v>307</v>
      </c>
      <c r="B410" s="1346"/>
      <c r="C410" s="1346"/>
      <c r="D410" s="1347"/>
    </row>
    <row r="411" spans="1:4" ht="18">
      <c r="A411" s="1348" t="s">
        <v>308</v>
      </c>
      <c r="B411" s="1349"/>
      <c r="C411" s="1349"/>
      <c r="D411" s="1350"/>
    </row>
    <row r="412" spans="1:4">
      <c r="A412" s="11" t="s">
        <v>136</v>
      </c>
      <c r="D412" s="12"/>
    </row>
    <row r="413" spans="1:4" ht="18">
      <c r="A413" s="267" t="str">
        <f>'4-22MASTER'!G5</f>
        <v>Burgeon IT Services Pvt.Ltd.</v>
      </c>
      <c r="B413" s="244"/>
      <c r="D413" s="12"/>
    </row>
    <row r="414" spans="1:4" ht="18">
      <c r="A414" s="267" t="str">
        <f>'4-22MASTER'!G6</f>
        <v>Siri Mansion LIGB 436 Dr.A S Rao Nagar,Hyderabad</v>
      </c>
      <c r="B414" s="244"/>
      <c r="D414" s="12"/>
    </row>
    <row r="415" spans="1:4" ht="18">
      <c r="A415" s="246"/>
      <c r="B415" s="3"/>
      <c r="D415" s="12"/>
    </row>
    <row r="416" spans="1:4" ht="15.75">
      <c r="A416" s="245" t="s">
        <v>309</v>
      </c>
      <c r="B416" s="268"/>
      <c r="C416" s="269" t="e">
        <f>'4-22MASTER'!#REF!</f>
        <v>#REF!</v>
      </c>
      <c r="D416" s="68"/>
    </row>
    <row r="417" spans="1:4">
      <c r="A417" s="1339" t="s">
        <v>310</v>
      </c>
      <c r="B417" s="1340"/>
      <c r="C417" s="1340"/>
      <c r="D417" s="1341"/>
    </row>
    <row r="418" spans="1:4">
      <c r="A418" s="11"/>
      <c r="D418" s="12"/>
    </row>
    <row r="419" spans="1:4">
      <c r="A419" s="1339" t="s">
        <v>311</v>
      </c>
      <c r="B419" s="1340"/>
      <c r="C419" s="1340"/>
      <c r="D419" s="1341"/>
    </row>
    <row r="420" spans="1:4">
      <c r="A420" s="247"/>
      <c r="B420" s="248"/>
      <c r="C420" s="248"/>
      <c r="D420" s="249"/>
    </row>
    <row r="421" spans="1:4">
      <c r="A421" s="1332" t="s">
        <v>312</v>
      </c>
      <c r="B421" s="1333"/>
      <c r="C421" s="1333"/>
      <c r="D421" s="1334"/>
    </row>
    <row r="422" spans="1:4">
      <c r="A422" s="11"/>
      <c r="D422" s="12"/>
    </row>
    <row r="423" spans="1:4">
      <c r="A423" s="1332" t="s">
        <v>313</v>
      </c>
      <c r="B423" s="1333"/>
      <c r="C423" s="1333"/>
      <c r="D423" s="1334"/>
    </row>
    <row r="424" spans="1:4">
      <c r="A424" s="1332" t="s">
        <v>314</v>
      </c>
      <c r="B424" s="1333"/>
      <c r="C424" s="1333"/>
      <c r="D424" s="1334"/>
    </row>
    <row r="425" spans="1:4">
      <c r="A425" s="245"/>
      <c r="B425" s="250"/>
      <c r="C425" s="250"/>
      <c r="D425" s="251"/>
    </row>
    <row r="426" spans="1:4">
      <c r="A426" s="1339" t="s">
        <v>315</v>
      </c>
      <c r="B426" s="1340"/>
      <c r="C426" s="1340"/>
      <c r="D426" s="1341"/>
    </row>
    <row r="427" spans="1:4">
      <c r="A427" s="245"/>
      <c r="B427" s="250"/>
      <c r="C427" s="250"/>
      <c r="D427" s="251"/>
    </row>
    <row r="428" spans="1:4">
      <c r="A428" s="1332" t="s">
        <v>316</v>
      </c>
      <c r="B428" s="1333"/>
      <c r="C428" s="1333"/>
      <c r="D428" s="1334"/>
    </row>
    <row r="429" spans="1:4">
      <c r="A429" s="11"/>
      <c r="D429" s="12"/>
    </row>
    <row r="430" spans="1:4">
      <c r="A430" s="1329" t="s">
        <v>317</v>
      </c>
      <c r="B430" s="1330"/>
      <c r="C430" s="1330"/>
      <c r="D430" s="1331"/>
    </row>
    <row r="431" spans="1:4" ht="42.75">
      <c r="A431" s="252" t="s">
        <v>318</v>
      </c>
      <c r="B431" s="253" t="s">
        <v>319</v>
      </c>
      <c r="C431" s="253" t="s">
        <v>320</v>
      </c>
      <c r="D431" s="254" t="s">
        <v>321</v>
      </c>
    </row>
    <row r="432" spans="1:4">
      <c r="A432" s="255">
        <v>1</v>
      </c>
      <c r="B432" s="256">
        <v>2</v>
      </c>
      <c r="C432" s="256">
        <v>3</v>
      </c>
      <c r="D432" s="257">
        <v>4</v>
      </c>
    </row>
    <row r="433" spans="1:4">
      <c r="A433" s="11" t="e">
        <f>'4-22MASTER'!#REF!</f>
        <v>#REF!</v>
      </c>
      <c r="B433" s="9" t="s">
        <v>363</v>
      </c>
      <c r="C433" s="9" t="s">
        <v>370</v>
      </c>
      <c r="D433" s="289">
        <v>1</v>
      </c>
    </row>
    <row r="434" spans="1:4">
      <c r="A434" s="273"/>
      <c r="B434" s="9"/>
      <c r="C434" s="9"/>
      <c r="D434" s="258"/>
    </row>
    <row r="435" spans="1:4">
      <c r="A435" s="270"/>
      <c r="B435" s="9"/>
      <c r="C435" s="9"/>
      <c r="D435" s="258"/>
    </row>
    <row r="436" spans="1:4">
      <c r="A436" s="11"/>
      <c r="D436" s="12"/>
    </row>
    <row r="437" spans="1:4">
      <c r="A437" s="1329" t="s">
        <v>322</v>
      </c>
      <c r="B437" s="1330"/>
      <c r="C437" s="1330"/>
      <c r="D437" s="1331"/>
    </row>
    <row r="438" spans="1:4">
      <c r="A438" s="161"/>
      <c r="B438" s="4"/>
      <c r="C438" s="4"/>
      <c r="D438" s="162"/>
    </row>
    <row r="439" spans="1:4">
      <c r="A439" s="1335" t="s">
        <v>323</v>
      </c>
      <c r="B439" s="1336"/>
      <c r="C439" s="1351" t="e">
        <f>'4-22MASTER'!#REF!</f>
        <v>#REF!</v>
      </c>
      <c r="D439" s="1338"/>
    </row>
    <row r="440" spans="1:4">
      <c r="A440" s="1335" t="s">
        <v>324</v>
      </c>
      <c r="B440" s="1336"/>
      <c r="C440" s="1337" t="e">
        <f>'4-22MASTER'!#REF!</f>
        <v>#REF!</v>
      </c>
      <c r="D440" s="1338"/>
    </row>
    <row r="441" spans="1:4">
      <c r="A441" s="1335" t="s">
        <v>325</v>
      </c>
      <c r="B441" s="1336"/>
      <c r="C441" s="1337" t="s">
        <v>371</v>
      </c>
      <c r="D441" s="1338"/>
    </row>
    <row r="442" spans="1:4">
      <c r="A442" s="1335" t="s">
        <v>326</v>
      </c>
      <c r="B442" s="1336"/>
      <c r="C442" s="1337" t="s">
        <v>369</v>
      </c>
      <c r="D442" s="1338"/>
    </row>
    <row r="443" spans="1:4">
      <c r="A443" s="1335" t="s">
        <v>327</v>
      </c>
      <c r="B443" s="1336"/>
      <c r="C443" s="1351" t="e">
        <f>'4-22MASTER'!#REF!</f>
        <v>#REF!</v>
      </c>
      <c r="D443" s="1338"/>
    </row>
    <row r="444" spans="1:4">
      <c r="A444" s="1335" t="s">
        <v>328</v>
      </c>
      <c r="B444" s="1336"/>
      <c r="C444" s="1351" t="e">
        <f>'4-22MASTER'!#REF!</f>
        <v>#REF!</v>
      </c>
      <c r="D444" s="1338"/>
    </row>
    <row r="445" spans="1:4">
      <c r="A445" s="1335" t="s">
        <v>329</v>
      </c>
      <c r="B445" s="1336"/>
      <c r="C445" s="1352" t="e">
        <f>'4-22MASTER'!#REF!</f>
        <v>#REF!</v>
      </c>
      <c r="D445" s="1338"/>
    </row>
    <row r="446" spans="1:4">
      <c r="A446" s="1335" t="s">
        <v>330</v>
      </c>
      <c r="B446" s="1336"/>
      <c r="C446" s="1337"/>
      <c r="D446" s="1338"/>
    </row>
    <row r="447" spans="1:4">
      <c r="A447" s="1335"/>
      <c r="B447" s="1336"/>
      <c r="C447" s="1351" t="e">
        <f>'4-22MASTER'!#REF!</f>
        <v>#REF!</v>
      </c>
      <c r="D447" s="1338"/>
    </row>
    <row r="448" spans="1:4">
      <c r="A448" s="1335"/>
      <c r="B448" s="1336"/>
      <c r="C448" s="1351" t="e">
        <f>'4-22MASTER'!#REF!</f>
        <v>#REF!</v>
      </c>
      <c r="D448" s="1338"/>
    </row>
    <row r="449" spans="1:4">
      <c r="A449" s="1335"/>
      <c r="B449" s="1336"/>
      <c r="C449" s="1351" t="e">
        <f>'4-22MASTER'!#REF!</f>
        <v>#REF!</v>
      </c>
      <c r="D449" s="1338"/>
    </row>
    <row r="450" spans="1:4">
      <c r="A450" s="245" t="s">
        <v>272</v>
      </c>
      <c r="B450" s="250" t="s">
        <v>361</v>
      </c>
      <c r="C450" s="250"/>
      <c r="D450" s="251"/>
    </row>
    <row r="451" spans="1:4">
      <c r="A451" s="245" t="s">
        <v>331</v>
      </c>
      <c r="B451" s="290" t="e">
        <f>'4-22MASTER'!#REF!</f>
        <v>#REF!</v>
      </c>
      <c r="C451" s="259" t="s">
        <v>332</v>
      </c>
      <c r="D451" s="251"/>
    </row>
    <row r="452" spans="1:4">
      <c r="A452" s="245"/>
      <c r="B452" s="250"/>
      <c r="C452" s="250"/>
      <c r="D452" s="251"/>
    </row>
    <row r="453" spans="1:4">
      <c r="A453" s="1329" t="s">
        <v>333</v>
      </c>
      <c r="B453" s="1330"/>
      <c r="C453" s="1330"/>
      <c r="D453" s="1331"/>
    </row>
    <row r="454" spans="1:4">
      <c r="A454" s="245" t="s">
        <v>334</v>
      </c>
      <c r="B454" s="250"/>
      <c r="C454" s="250"/>
      <c r="D454" s="251"/>
    </row>
    <row r="455" spans="1:4">
      <c r="A455" s="245"/>
      <c r="B455" s="250"/>
      <c r="C455" s="250"/>
      <c r="D455" s="251"/>
    </row>
    <row r="456" spans="1:4">
      <c r="A456" s="1332" t="s">
        <v>335</v>
      </c>
      <c r="B456" s="1333"/>
      <c r="C456" s="1333" t="s">
        <v>336</v>
      </c>
      <c r="D456" s="1334"/>
    </row>
    <row r="457" spans="1:4">
      <c r="A457" s="1319">
        <v>1</v>
      </c>
      <c r="B457" s="1320"/>
      <c r="C457" s="1320">
        <v>1</v>
      </c>
      <c r="D457" s="1321"/>
    </row>
    <row r="458" spans="1:4">
      <c r="A458" s="1319">
        <v>2</v>
      </c>
      <c r="B458" s="1320"/>
      <c r="C458" s="1320">
        <v>2</v>
      </c>
      <c r="D458" s="1321"/>
    </row>
    <row r="459" spans="1:4">
      <c r="A459" s="260"/>
      <c r="C459" s="1322" t="s">
        <v>341</v>
      </c>
      <c r="D459" s="1323"/>
    </row>
    <row r="460" spans="1:4">
      <c r="A460" s="1324" t="s">
        <v>337</v>
      </c>
      <c r="B460" s="1325"/>
      <c r="C460" s="1325"/>
      <c r="D460" s="1326"/>
    </row>
    <row r="461" spans="1:4">
      <c r="A461" s="263" t="s">
        <v>338</v>
      </c>
      <c r="B461" s="264"/>
      <c r="C461" s="264"/>
      <c r="D461" s="265"/>
    </row>
    <row r="462" spans="1:4">
      <c r="A462" s="263"/>
      <c r="B462" s="264"/>
      <c r="C462" s="264"/>
      <c r="D462" s="265"/>
    </row>
    <row r="463" spans="1:4">
      <c r="A463" s="263"/>
      <c r="B463" s="264"/>
      <c r="C463" s="264" t="s">
        <v>339</v>
      </c>
      <c r="D463" s="265"/>
    </row>
    <row r="464" spans="1:4">
      <c r="A464" s="260"/>
      <c r="B464" s="261"/>
      <c r="C464" s="160" t="s">
        <v>146</v>
      </c>
      <c r="D464" s="262"/>
    </row>
    <row r="465" spans="1:4">
      <c r="A465" s="260"/>
      <c r="C465" t="s">
        <v>340</v>
      </c>
      <c r="D465" s="266"/>
    </row>
    <row r="466" spans="1:4">
      <c r="A466" s="260"/>
      <c r="C466" s="1327" t="str">
        <f>'4-22MASTER'!G5</f>
        <v>Burgeon IT Services Pvt.Ltd.</v>
      </c>
      <c r="D466" s="1328"/>
    </row>
    <row r="467" spans="1:4">
      <c r="A467" s="245" t="s">
        <v>272</v>
      </c>
      <c r="B467" t="str">
        <f>B450</f>
        <v>Hyderabad</v>
      </c>
      <c r="C467" s="2" t="str">
        <f>'4-22MASTER'!G6</f>
        <v>Siri Mansion LIGB 436 Dr.A S Rao Nagar,Hyderabad</v>
      </c>
      <c r="D467" s="12"/>
    </row>
    <row r="468" spans="1:4" ht="15.75" thickBot="1">
      <c r="A468" s="245" t="s">
        <v>331</v>
      </c>
      <c r="B468" s="282" t="e">
        <f>B451</f>
        <v>#REF!</v>
      </c>
      <c r="C468" s="2"/>
      <c r="D468" s="12"/>
    </row>
    <row r="469" spans="1:4" ht="15.75" thickBot="1">
      <c r="A469" s="271"/>
      <c r="B469" s="272" t="s">
        <v>344</v>
      </c>
      <c r="C469" s="272"/>
      <c r="D469" s="19"/>
    </row>
    <row r="470" spans="1:4">
      <c r="A470" s="245" t="s">
        <v>342</v>
      </c>
      <c r="C470" s="2"/>
      <c r="D470" s="12"/>
    </row>
    <row r="471" spans="1:4">
      <c r="A471" s="245" t="s">
        <v>331</v>
      </c>
      <c r="B471" s="282" t="e">
        <f>B468</f>
        <v>#REF!</v>
      </c>
      <c r="C471" s="2"/>
      <c r="D471" s="12"/>
    </row>
    <row r="472" spans="1:4" ht="15.75" thickBot="1">
      <c r="A472" s="274" t="s">
        <v>343</v>
      </c>
      <c r="B472" s="14"/>
      <c r="C472" s="14"/>
      <c r="D472" s="15" t="s">
        <v>137</v>
      </c>
    </row>
    <row r="476" spans="1:4" ht="15.75" thickBot="1"/>
    <row r="477" spans="1:4" ht="20.25">
      <c r="A477" s="1342" t="s">
        <v>306</v>
      </c>
      <c r="B477" s="1343"/>
      <c r="C477" s="1343"/>
      <c r="D477" s="1344"/>
    </row>
    <row r="478" spans="1:4">
      <c r="A478" s="1345" t="s">
        <v>307</v>
      </c>
      <c r="B478" s="1346"/>
      <c r="C478" s="1346"/>
      <c r="D478" s="1347"/>
    </row>
    <row r="479" spans="1:4" ht="18">
      <c r="A479" s="1348" t="s">
        <v>308</v>
      </c>
      <c r="B479" s="1349"/>
      <c r="C479" s="1349"/>
      <c r="D479" s="1350"/>
    </row>
    <row r="480" spans="1:4">
      <c r="A480" s="11" t="s">
        <v>136</v>
      </c>
      <c r="D480" s="12"/>
    </row>
    <row r="481" spans="1:4" ht="18">
      <c r="A481" s="267" t="str">
        <f>'4-22MASTER'!G5</f>
        <v>Burgeon IT Services Pvt.Ltd.</v>
      </c>
      <c r="B481" s="244"/>
      <c r="D481" s="12"/>
    </row>
    <row r="482" spans="1:4" ht="18">
      <c r="A482" s="267" t="str">
        <f>'4-22MASTER'!G6</f>
        <v>Siri Mansion LIGB 436 Dr.A S Rao Nagar,Hyderabad</v>
      </c>
      <c r="B482" s="244"/>
      <c r="D482" s="12"/>
    </row>
    <row r="483" spans="1:4" ht="18">
      <c r="A483" s="246"/>
      <c r="B483" s="3"/>
      <c r="D483" s="12"/>
    </row>
    <row r="484" spans="1:4" ht="15.75">
      <c r="A484" s="245" t="s">
        <v>309</v>
      </c>
      <c r="B484" s="268"/>
      <c r="C484" s="269" t="e">
        <f>'4-22MASTER'!#REF!</f>
        <v>#REF!</v>
      </c>
      <c r="D484" s="68"/>
    </row>
    <row r="485" spans="1:4">
      <c r="A485" s="1339" t="s">
        <v>310</v>
      </c>
      <c r="B485" s="1340"/>
      <c r="C485" s="1340"/>
      <c r="D485" s="1341"/>
    </row>
    <row r="486" spans="1:4">
      <c r="A486" s="11"/>
      <c r="D486" s="12"/>
    </row>
    <row r="487" spans="1:4">
      <c r="A487" s="1339" t="s">
        <v>311</v>
      </c>
      <c r="B487" s="1340"/>
      <c r="C487" s="1340"/>
      <c r="D487" s="1341"/>
    </row>
    <row r="488" spans="1:4">
      <c r="A488" s="247"/>
      <c r="B488" s="248"/>
      <c r="C488" s="248"/>
      <c r="D488" s="249"/>
    </row>
    <row r="489" spans="1:4">
      <c r="A489" s="1332" t="s">
        <v>312</v>
      </c>
      <c r="B489" s="1333"/>
      <c r="C489" s="1333"/>
      <c r="D489" s="1334"/>
    </row>
    <row r="490" spans="1:4">
      <c r="A490" s="11"/>
      <c r="D490" s="12"/>
    </row>
    <row r="491" spans="1:4">
      <c r="A491" s="1332" t="s">
        <v>313</v>
      </c>
      <c r="B491" s="1333"/>
      <c r="C491" s="1333"/>
      <c r="D491" s="1334"/>
    </row>
    <row r="492" spans="1:4">
      <c r="A492" s="1332" t="s">
        <v>314</v>
      </c>
      <c r="B492" s="1333"/>
      <c r="C492" s="1333"/>
      <c r="D492" s="1334"/>
    </row>
    <row r="493" spans="1:4">
      <c r="A493" s="245"/>
      <c r="B493" s="250"/>
      <c r="C493" s="250"/>
      <c r="D493" s="251"/>
    </row>
    <row r="494" spans="1:4">
      <c r="A494" s="1339" t="s">
        <v>315</v>
      </c>
      <c r="B494" s="1340"/>
      <c r="C494" s="1340"/>
      <c r="D494" s="1341"/>
    </row>
    <row r="495" spans="1:4">
      <c r="A495" s="245"/>
      <c r="B495" s="250"/>
      <c r="C495" s="250"/>
      <c r="D495" s="251"/>
    </row>
    <row r="496" spans="1:4">
      <c r="A496" s="1332" t="s">
        <v>316</v>
      </c>
      <c r="B496" s="1333"/>
      <c r="C496" s="1333"/>
      <c r="D496" s="1334"/>
    </row>
    <row r="497" spans="1:4">
      <c r="A497" s="11"/>
      <c r="D497" s="12"/>
    </row>
    <row r="498" spans="1:4">
      <c r="A498" s="1329" t="s">
        <v>317</v>
      </c>
      <c r="B498" s="1330"/>
      <c r="C498" s="1330"/>
      <c r="D498" s="1331"/>
    </row>
    <row r="499" spans="1:4" ht="42.75">
      <c r="A499" s="252" t="s">
        <v>318</v>
      </c>
      <c r="B499" s="253" t="s">
        <v>319</v>
      </c>
      <c r="C499" s="253" t="s">
        <v>320</v>
      </c>
      <c r="D499" s="254" t="s">
        <v>321</v>
      </c>
    </row>
    <row r="500" spans="1:4">
      <c r="A500" s="255">
        <v>1</v>
      </c>
      <c r="B500" s="256">
        <v>2</v>
      </c>
      <c r="C500" s="256">
        <v>3</v>
      </c>
      <c r="D500" s="257">
        <v>4</v>
      </c>
    </row>
    <row r="501" spans="1:4">
      <c r="A501" s="11" t="e">
        <f>'4-22MASTER'!#REF!</f>
        <v>#REF!</v>
      </c>
      <c r="B501" s="9" t="s">
        <v>363</v>
      </c>
      <c r="C501" s="9" t="s">
        <v>370</v>
      </c>
      <c r="D501" s="289">
        <v>1</v>
      </c>
    </row>
    <row r="502" spans="1:4">
      <c r="A502" s="273"/>
      <c r="B502" s="9"/>
      <c r="C502" s="9"/>
      <c r="D502" s="258"/>
    </row>
    <row r="503" spans="1:4">
      <c r="A503" s="270"/>
      <c r="B503" s="9"/>
      <c r="C503" s="9"/>
      <c r="D503" s="258"/>
    </row>
    <row r="504" spans="1:4">
      <c r="A504" s="11"/>
      <c r="D504" s="12"/>
    </row>
    <row r="505" spans="1:4">
      <c r="A505" s="1329" t="s">
        <v>322</v>
      </c>
      <c r="B505" s="1330"/>
      <c r="C505" s="1330"/>
      <c r="D505" s="1331"/>
    </row>
    <row r="506" spans="1:4">
      <c r="A506" s="161"/>
      <c r="B506" s="4"/>
      <c r="C506" s="4"/>
      <c r="D506" s="162"/>
    </row>
    <row r="507" spans="1:4">
      <c r="A507" s="1335" t="s">
        <v>323</v>
      </c>
      <c r="B507" s="1336"/>
      <c r="C507" s="1351" t="e">
        <f>'4-22MASTER'!#REF!</f>
        <v>#REF!</v>
      </c>
      <c r="D507" s="1338"/>
    </row>
    <row r="508" spans="1:4">
      <c r="A508" s="1335" t="s">
        <v>324</v>
      </c>
      <c r="B508" s="1336"/>
      <c r="C508" s="1337" t="e">
        <f>'4-22MASTER'!#REF!</f>
        <v>#REF!</v>
      </c>
      <c r="D508" s="1338"/>
    </row>
    <row r="509" spans="1:4">
      <c r="A509" s="1335" t="s">
        <v>325</v>
      </c>
      <c r="B509" s="1336"/>
      <c r="C509" s="1337" t="s">
        <v>371</v>
      </c>
      <c r="D509" s="1338"/>
    </row>
    <row r="510" spans="1:4">
      <c r="A510" s="1335" t="s">
        <v>326</v>
      </c>
      <c r="B510" s="1336"/>
      <c r="C510" s="1337" t="s">
        <v>369</v>
      </c>
      <c r="D510" s="1338"/>
    </row>
    <row r="511" spans="1:4">
      <c r="A511" s="1335" t="s">
        <v>327</v>
      </c>
      <c r="B511" s="1336"/>
      <c r="C511" s="1351" t="e">
        <f>'4-22MASTER'!#REF!</f>
        <v>#REF!</v>
      </c>
      <c r="D511" s="1338"/>
    </row>
    <row r="512" spans="1:4">
      <c r="A512" s="1335" t="s">
        <v>328</v>
      </c>
      <c r="B512" s="1336"/>
      <c r="C512" s="1351" t="e">
        <f>'4-22MASTER'!#REF!</f>
        <v>#REF!</v>
      </c>
      <c r="D512" s="1338"/>
    </row>
    <row r="513" spans="1:4">
      <c r="A513" s="1335" t="s">
        <v>329</v>
      </c>
      <c r="B513" s="1336"/>
      <c r="C513" s="1352" t="e">
        <f>'4-22MASTER'!#REF!</f>
        <v>#REF!</v>
      </c>
      <c r="D513" s="1338"/>
    </row>
    <row r="514" spans="1:4">
      <c r="A514" s="1335" t="s">
        <v>330</v>
      </c>
      <c r="B514" s="1336"/>
      <c r="C514" s="1337"/>
      <c r="D514" s="1338"/>
    </row>
    <row r="515" spans="1:4">
      <c r="A515" s="1335"/>
      <c r="B515" s="1336"/>
      <c r="C515" s="1351" t="e">
        <f>'4-22MASTER'!#REF!</f>
        <v>#REF!</v>
      </c>
      <c r="D515" s="1338"/>
    </row>
    <row r="516" spans="1:4">
      <c r="A516" s="1335"/>
      <c r="B516" s="1336"/>
      <c r="C516" s="1351" t="e">
        <f>'4-22MASTER'!#REF!</f>
        <v>#REF!</v>
      </c>
      <c r="D516" s="1338"/>
    </row>
    <row r="517" spans="1:4">
      <c r="A517" s="1335"/>
      <c r="B517" s="1336"/>
      <c r="C517" s="1351" t="e">
        <f>'4-22MASTER'!#REF!</f>
        <v>#REF!</v>
      </c>
      <c r="D517" s="1338"/>
    </row>
    <row r="518" spans="1:4">
      <c r="A518" s="245" t="s">
        <v>272</v>
      </c>
      <c r="B518" s="250" t="s">
        <v>361</v>
      </c>
      <c r="C518" s="250"/>
      <c r="D518" s="251"/>
    </row>
    <row r="519" spans="1:4">
      <c r="A519" s="245" t="s">
        <v>331</v>
      </c>
      <c r="B519" s="290" t="e">
        <f>'4-22MASTER'!#REF!</f>
        <v>#REF!</v>
      </c>
      <c r="C519" s="259" t="s">
        <v>332</v>
      </c>
      <c r="D519" s="251"/>
    </row>
    <row r="520" spans="1:4">
      <c r="A520" s="245"/>
      <c r="B520" s="250"/>
      <c r="C520" s="250"/>
      <c r="D520" s="251"/>
    </row>
    <row r="521" spans="1:4">
      <c r="A521" s="1329" t="s">
        <v>333</v>
      </c>
      <c r="B521" s="1330"/>
      <c r="C521" s="1330"/>
      <c r="D521" s="1331"/>
    </row>
    <row r="522" spans="1:4">
      <c r="A522" s="245" t="s">
        <v>334</v>
      </c>
      <c r="B522" s="250"/>
      <c r="C522" s="250"/>
      <c r="D522" s="251"/>
    </row>
    <row r="523" spans="1:4">
      <c r="A523" s="245"/>
      <c r="B523" s="250"/>
      <c r="C523" s="250"/>
      <c r="D523" s="251"/>
    </row>
    <row r="524" spans="1:4">
      <c r="A524" s="1332" t="s">
        <v>335</v>
      </c>
      <c r="B524" s="1333"/>
      <c r="C524" s="1333" t="s">
        <v>336</v>
      </c>
      <c r="D524" s="1334"/>
    </row>
    <row r="525" spans="1:4">
      <c r="A525" s="1319">
        <v>1</v>
      </c>
      <c r="B525" s="1320"/>
      <c r="C525" s="1320">
        <v>1</v>
      </c>
      <c r="D525" s="1321"/>
    </row>
    <row r="526" spans="1:4">
      <c r="A526" s="1319">
        <v>2</v>
      </c>
      <c r="B526" s="1320"/>
      <c r="C526" s="1320">
        <v>2</v>
      </c>
      <c r="D526" s="1321"/>
    </row>
    <row r="527" spans="1:4">
      <c r="A527" s="260"/>
      <c r="C527" s="1322" t="s">
        <v>341</v>
      </c>
      <c r="D527" s="1323"/>
    </row>
    <row r="528" spans="1:4">
      <c r="A528" s="1324" t="s">
        <v>337</v>
      </c>
      <c r="B528" s="1325"/>
      <c r="C528" s="1325"/>
      <c r="D528" s="1326"/>
    </row>
    <row r="529" spans="1:4">
      <c r="A529" s="263" t="s">
        <v>338</v>
      </c>
      <c r="B529" s="264"/>
      <c r="C529" s="264"/>
      <c r="D529" s="265"/>
    </row>
    <row r="530" spans="1:4">
      <c r="A530" s="263"/>
      <c r="B530" s="264"/>
      <c r="C530" s="264"/>
      <c r="D530" s="265"/>
    </row>
    <row r="531" spans="1:4">
      <c r="A531" s="263"/>
      <c r="B531" s="264"/>
      <c r="C531" s="264" t="s">
        <v>339</v>
      </c>
      <c r="D531" s="265"/>
    </row>
    <row r="532" spans="1:4">
      <c r="A532" s="260"/>
      <c r="B532" s="261"/>
      <c r="C532" s="160" t="s">
        <v>146</v>
      </c>
      <c r="D532" s="262"/>
    </row>
    <row r="533" spans="1:4">
      <c r="A533" s="260"/>
      <c r="C533" t="s">
        <v>340</v>
      </c>
      <c r="D533" s="266"/>
    </row>
    <row r="534" spans="1:4">
      <c r="A534" s="260"/>
      <c r="C534" s="1327" t="str">
        <f>'4-22MASTER'!G5</f>
        <v>Burgeon IT Services Pvt.Ltd.</v>
      </c>
      <c r="D534" s="1328"/>
    </row>
    <row r="535" spans="1:4">
      <c r="A535" s="245" t="s">
        <v>272</v>
      </c>
      <c r="B535" t="str">
        <f>B518</f>
        <v>Hyderabad</v>
      </c>
      <c r="C535" s="2" t="str">
        <f>'4-22MASTER'!G6</f>
        <v>Siri Mansion LIGB 436 Dr.A S Rao Nagar,Hyderabad</v>
      </c>
      <c r="D535" s="12"/>
    </row>
    <row r="536" spans="1:4" ht="15.75" thickBot="1">
      <c r="A536" s="245" t="s">
        <v>331</v>
      </c>
      <c r="B536" s="282" t="e">
        <f>B519</f>
        <v>#REF!</v>
      </c>
      <c r="C536" s="2"/>
      <c r="D536" s="12"/>
    </row>
    <row r="537" spans="1:4" ht="15.75" thickBot="1">
      <c r="A537" s="271"/>
      <c r="B537" s="272" t="s">
        <v>344</v>
      </c>
      <c r="C537" s="272"/>
      <c r="D537" s="19"/>
    </row>
    <row r="538" spans="1:4">
      <c r="A538" s="245" t="s">
        <v>342</v>
      </c>
      <c r="C538" s="2"/>
      <c r="D538" s="12"/>
    </row>
    <row r="539" spans="1:4">
      <c r="A539" s="245" t="s">
        <v>331</v>
      </c>
      <c r="B539" s="282" t="e">
        <f>B536</f>
        <v>#REF!</v>
      </c>
      <c r="C539" s="2"/>
      <c r="D539" s="12"/>
    </row>
    <row r="540" spans="1:4" ht="15.75" thickBot="1">
      <c r="A540" s="274" t="s">
        <v>343</v>
      </c>
      <c r="B540" s="14"/>
      <c r="C540" s="14"/>
      <c r="D540" s="15" t="s">
        <v>137</v>
      </c>
    </row>
    <row r="544" spans="1:4" ht="15.75" thickBot="1"/>
    <row r="545" spans="1:4" ht="20.25">
      <c r="A545" s="1342" t="s">
        <v>306</v>
      </c>
      <c r="B545" s="1343"/>
      <c r="C545" s="1343"/>
      <c r="D545" s="1344"/>
    </row>
    <row r="546" spans="1:4">
      <c r="A546" s="1345" t="s">
        <v>307</v>
      </c>
      <c r="B546" s="1346"/>
      <c r="C546" s="1346"/>
      <c r="D546" s="1347"/>
    </row>
    <row r="547" spans="1:4" ht="18">
      <c r="A547" s="1348" t="s">
        <v>308</v>
      </c>
      <c r="B547" s="1349"/>
      <c r="C547" s="1349"/>
      <c r="D547" s="1350"/>
    </row>
    <row r="548" spans="1:4">
      <c r="A548" s="11" t="s">
        <v>136</v>
      </c>
      <c r="D548" s="12"/>
    </row>
    <row r="549" spans="1:4" ht="18">
      <c r="A549" s="267" t="str">
        <f>'4-22MASTER'!G5</f>
        <v>Burgeon IT Services Pvt.Ltd.</v>
      </c>
      <c r="B549" s="244"/>
      <c r="D549" s="12"/>
    </row>
    <row r="550" spans="1:4" ht="18">
      <c r="A550" s="267" t="str">
        <f>'4-22MASTER'!G6</f>
        <v>Siri Mansion LIGB 436 Dr.A S Rao Nagar,Hyderabad</v>
      </c>
      <c r="B550" s="244"/>
      <c r="D550" s="12"/>
    </row>
    <row r="551" spans="1:4" ht="18">
      <c r="A551" s="246"/>
      <c r="B551" s="3"/>
      <c r="D551" s="12"/>
    </row>
    <row r="552" spans="1:4" ht="15.75">
      <c r="A552" s="245" t="s">
        <v>309</v>
      </c>
      <c r="B552" s="268"/>
      <c r="C552" s="269" t="e">
        <f>'4-22MASTER'!#REF!</f>
        <v>#REF!</v>
      </c>
      <c r="D552" s="68"/>
    </row>
    <row r="553" spans="1:4">
      <c r="A553" s="1339" t="s">
        <v>310</v>
      </c>
      <c r="B553" s="1340"/>
      <c r="C553" s="1340"/>
      <c r="D553" s="1341"/>
    </row>
    <row r="554" spans="1:4">
      <c r="A554" s="11"/>
      <c r="D554" s="12"/>
    </row>
    <row r="555" spans="1:4">
      <c r="A555" s="1339" t="s">
        <v>311</v>
      </c>
      <c r="B555" s="1340"/>
      <c r="C555" s="1340"/>
      <c r="D555" s="1341"/>
    </row>
    <row r="556" spans="1:4">
      <c r="A556" s="247"/>
      <c r="B556" s="248"/>
      <c r="C556" s="248"/>
      <c r="D556" s="249"/>
    </row>
    <row r="557" spans="1:4">
      <c r="A557" s="1332" t="s">
        <v>312</v>
      </c>
      <c r="B557" s="1333"/>
      <c r="C557" s="1333"/>
      <c r="D557" s="1334"/>
    </row>
    <row r="558" spans="1:4">
      <c r="A558" s="11"/>
      <c r="D558" s="12"/>
    </row>
    <row r="559" spans="1:4">
      <c r="A559" s="1332" t="s">
        <v>313</v>
      </c>
      <c r="B559" s="1333"/>
      <c r="C559" s="1333"/>
      <c r="D559" s="1334"/>
    </row>
    <row r="560" spans="1:4">
      <c r="A560" s="1332" t="s">
        <v>314</v>
      </c>
      <c r="B560" s="1333"/>
      <c r="C560" s="1333"/>
      <c r="D560" s="1334"/>
    </row>
    <row r="561" spans="1:4">
      <c r="A561" s="245"/>
      <c r="B561" s="250"/>
      <c r="C561" s="250"/>
      <c r="D561" s="251"/>
    </row>
    <row r="562" spans="1:4">
      <c r="A562" s="1339" t="s">
        <v>315</v>
      </c>
      <c r="B562" s="1340"/>
      <c r="C562" s="1340"/>
      <c r="D562" s="1341"/>
    </row>
    <row r="563" spans="1:4">
      <c r="A563" s="245"/>
      <c r="B563" s="250"/>
      <c r="C563" s="250"/>
      <c r="D563" s="251"/>
    </row>
    <row r="564" spans="1:4">
      <c r="A564" s="1332" t="s">
        <v>316</v>
      </c>
      <c r="B564" s="1333"/>
      <c r="C564" s="1333"/>
      <c r="D564" s="1334"/>
    </row>
    <row r="565" spans="1:4">
      <c r="A565" s="11"/>
      <c r="D565" s="12"/>
    </row>
    <row r="566" spans="1:4">
      <c r="A566" s="1329" t="s">
        <v>317</v>
      </c>
      <c r="B566" s="1330"/>
      <c r="C566" s="1330"/>
      <c r="D566" s="1331"/>
    </row>
    <row r="567" spans="1:4" ht="42.75">
      <c r="A567" s="252" t="s">
        <v>318</v>
      </c>
      <c r="B567" s="253" t="s">
        <v>319</v>
      </c>
      <c r="C567" s="253" t="s">
        <v>320</v>
      </c>
      <c r="D567" s="254" t="s">
        <v>321</v>
      </c>
    </row>
    <row r="568" spans="1:4">
      <c r="A568" s="255">
        <v>1</v>
      </c>
      <c r="B568" s="256">
        <v>2</v>
      </c>
      <c r="C568" s="256">
        <v>3</v>
      </c>
      <c r="D568" s="257">
        <v>4</v>
      </c>
    </row>
    <row r="569" spans="1:4">
      <c r="A569" s="11" t="e">
        <f>'4-22MASTER'!#REF!</f>
        <v>#REF!</v>
      </c>
      <c r="B569" s="9" t="s">
        <v>363</v>
      </c>
      <c r="C569" s="9" t="s">
        <v>370</v>
      </c>
      <c r="D569" s="289">
        <v>1</v>
      </c>
    </row>
    <row r="570" spans="1:4">
      <c r="A570" s="273"/>
      <c r="B570" s="9"/>
      <c r="C570" s="9"/>
      <c r="D570" s="258"/>
    </row>
    <row r="571" spans="1:4">
      <c r="A571" s="270"/>
      <c r="B571" s="9"/>
      <c r="C571" s="9"/>
      <c r="D571" s="258"/>
    </row>
    <row r="572" spans="1:4">
      <c r="A572" s="11"/>
      <c r="D572" s="12"/>
    </row>
    <row r="573" spans="1:4">
      <c r="A573" s="1329" t="s">
        <v>322</v>
      </c>
      <c r="B573" s="1330"/>
      <c r="C573" s="1330"/>
      <c r="D573" s="1331"/>
    </row>
    <row r="574" spans="1:4">
      <c r="A574" s="161"/>
      <c r="B574" s="4"/>
      <c r="C574" s="4"/>
      <c r="D574" s="162"/>
    </row>
    <row r="575" spans="1:4">
      <c r="A575" s="1335" t="s">
        <v>323</v>
      </c>
      <c r="B575" s="1336"/>
      <c r="C575" s="1351" t="e">
        <f>'4-22MASTER'!#REF!</f>
        <v>#REF!</v>
      </c>
      <c r="D575" s="1338"/>
    </row>
    <row r="576" spans="1:4">
      <c r="A576" s="1335" t="s">
        <v>324</v>
      </c>
      <c r="B576" s="1336"/>
      <c r="C576" s="1337" t="e">
        <f>'4-22MASTER'!#REF!</f>
        <v>#REF!</v>
      </c>
      <c r="D576" s="1338"/>
    </row>
    <row r="577" spans="1:4">
      <c r="A577" s="1335" t="s">
        <v>325</v>
      </c>
      <c r="B577" s="1336"/>
      <c r="C577" s="1337" t="s">
        <v>371</v>
      </c>
      <c r="D577" s="1338"/>
    </row>
    <row r="578" spans="1:4">
      <c r="A578" s="1335" t="s">
        <v>326</v>
      </c>
      <c r="B578" s="1336"/>
      <c r="C578" s="1337" t="s">
        <v>369</v>
      </c>
      <c r="D578" s="1338"/>
    </row>
    <row r="579" spans="1:4">
      <c r="A579" s="1335" t="s">
        <v>327</v>
      </c>
      <c r="B579" s="1336"/>
      <c r="C579" s="1351" t="e">
        <f>'4-22MASTER'!#REF!</f>
        <v>#REF!</v>
      </c>
      <c r="D579" s="1338"/>
    </row>
    <row r="580" spans="1:4">
      <c r="A580" s="1335" t="s">
        <v>328</v>
      </c>
      <c r="B580" s="1336"/>
      <c r="C580" s="1351" t="e">
        <f>'4-22MASTER'!#REF!</f>
        <v>#REF!</v>
      </c>
      <c r="D580" s="1338"/>
    </row>
    <row r="581" spans="1:4">
      <c r="A581" s="1335" t="s">
        <v>329</v>
      </c>
      <c r="B581" s="1336"/>
      <c r="C581" s="1352" t="e">
        <f>'4-22MASTER'!#REF!</f>
        <v>#REF!</v>
      </c>
      <c r="D581" s="1338"/>
    </row>
    <row r="582" spans="1:4">
      <c r="A582" s="1335" t="s">
        <v>330</v>
      </c>
      <c r="B582" s="1336"/>
      <c r="C582" s="1337"/>
      <c r="D582" s="1338"/>
    </row>
    <row r="583" spans="1:4">
      <c r="A583" s="1335"/>
      <c r="B583" s="1336"/>
      <c r="C583" s="1351" t="e">
        <f>'4-22MASTER'!#REF!</f>
        <v>#REF!</v>
      </c>
      <c r="D583" s="1338"/>
    </row>
    <row r="584" spans="1:4">
      <c r="A584" s="1335"/>
      <c r="B584" s="1336"/>
      <c r="C584" s="1351" t="e">
        <f>'4-22MASTER'!#REF!</f>
        <v>#REF!</v>
      </c>
      <c r="D584" s="1338"/>
    </row>
    <row r="585" spans="1:4">
      <c r="A585" s="1335"/>
      <c r="B585" s="1336"/>
      <c r="C585" s="1351" t="e">
        <f>'4-22MASTER'!#REF!</f>
        <v>#REF!</v>
      </c>
      <c r="D585" s="1338"/>
    </row>
    <row r="586" spans="1:4">
      <c r="A586" s="245" t="s">
        <v>272</v>
      </c>
      <c r="B586" s="250" t="s">
        <v>361</v>
      </c>
      <c r="C586" s="250"/>
      <c r="D586" s="251"/>
    </row>
    <row r="587" spans="1:4">
      <c r="A587" s="245" t="s">
        <v>331</v>
      </c>
      <c r="B587" s="290" t="e">
        <f>'4-22MASTER'!#REF!</f>
        <v>#REF!</v>
      </c>
      <c r="C587" s="259" t="s">
        <v>332</v>
      </c>
      <c r="D587" s="251"/>
    </row>
    <row r="588" spans="1:4">
      <c r="A588" s="245"/>
      <c r="B588" s="250"/>
      <c r="C588" s="250"/>
      <c r="D588" s="251"/>
    </row>
    <row r="589" spans="1:4">
      <c r="A589" s="1329" t="s">
        <v>333</v>
      </c>
      <c r="B589" s="1330"/>
      <c r="C589" s="1330"/>
      <c r="D589" s="1331"/>
    </row>
    <row r="590" spans="1:4">
      <c r="A590" s="245" t="s">
        <v>334</v>
      </c>
      <c r="B590" s="250"/>
      <c r="C590" s="250"/>
      <c r="D590" s="251"/>
    </row>
    <row r="591" spans="1:4">
      <c r="A591" s="245"/>
      <c r="B591" s="250"/>
      <c r="C591" s="250"/>
      <c r="D591" s="251"/>
    </row>
    <row r="592" spans="1:4">
      <c r="A592" s="1332" t="s">
        <v>335</v>
      </c>
      <c r="B592" s="1333"/>
      <c r="C592" s="1333" t="s">
        <v>336</v>
      </c>
      <c r="D592" s="1334"/>
    </row>
    <row r="593" spans="1:4">
      <c r="A593" s="1319">
        <v>1</v>
      </c>
      <c r="B593" s="1320"/>
      <c r="C593" s="1320">
        <v>1</v>
      </c>
      <c r="D593" s="1321"/>
    </row>
    <row r="594" spans="1:4">
      <c r="A594" s="1319">
        <v>2</v>
      </c>
      <c r="B594" s="1320"/>
      <c r="C594" s="1320">
        <v>2</v>
      </c>
      <c r="D594" s="1321"/>
    </row>
    <row r="595" spans="1:4">
      <c r="A595" s="260"/>
      <c r="C595" s="1322" t="s">
        <v>341</v>
      </c>
      <c r="D595" s="1323"/>
    </row>
    <row r="596" spans="1:4">
      <c r="A596" s="1324" t="s">
        <v>337</v>
      </c>
      <c r="B596" s="1325"/>
      <c r="C596" s="1325"/>
      <c r="D596" s="1326"/>
    </row>
    <row r="597" spans="1:4">
      <c r="A597" s="263" t="s">
        <v>338</v>
      </c>
      <c r="B597" s="264"/>
      <c r="C597" s="264"/>
      <c r="D597" s="265"/>
    </row>
    <row r="598" spans="1:4">
      <c r="A598" s="263"/>
      <c r="B598" s="264"/>
      <c r="C598" s="264"/>
      <c r="D598" s="265"/>
    </row>
    <row r="599" spans="1:4">
      <c r="A599" s="263"/>
      <c r="B599" s="264"/>
      <c r="C599" s="264" t="s">
        <v>339</v>
      </c>
      <c r="D599" s="265"/>
    </row>
    <row r="600" spans="1:4">
      <c r="A600" s="260"/>
      <c r="B600" s="261"/>
      <c r="C600" s="160" t="s">
        <v>146</v>
      </c>
      <c r="D600" s="262"/>
    </row>
    <row r="601" spans="1:4">
      <c r="A601" s="260"/>
      <c r="C601" t="s">
        <v>340</v>
      </c>
      <c r="D601" s="266"/>
    </row>
    <row r="602" spans="1:4">
      <c r="A602" s="260"/>
      <c r="C602" s="1327">
        <f>'4-22MASTER'!G475</f>
        <v>0</v>
      </c>
      <c r="D602" s="1328"/>
    </row>
    <row r="603" spans="1:4">
      <c r="A603" s="245" t="s">
        <v>272</v>
      </c>
      <c r="B603" t="str">
        <f>B586</f>
        <v>Hyderabad</v>
      </c>
      <c r="C603" s="2">
        <f>'4-22MASTER'!G476</f>
        <v>0</v>
      </c>
      <c r="D603" s="12"/>
    </row>
    <row r="604" spans="1:4" ht="15.75" thickBot="1">
      <c r="A604" s="245" t="s">
        <v>331</v>
      </c>
      <c r="B604" s="282" t="e">
        <f>B587</f>
        <v>#REF!</v>
      </c>
      <c r="C604" s="2"/>
      <c r="D604" s="12"/>
    </row>
    <row r="605" spans="1:4" ht="15.75" thickBot="1">
      <c r="A605" s="271"/>
      <c r="B605" s="272" t="s">
        <v>344</v>
      </c>
      <c r="C605" s="272"/>
      <c r="D605" s="19"/>
    </row>
    <row r="606" spans="1:4">
      <c r="A606" s="245" t="s">
        <v>342</v>
      </c>
      <c r="C606" s="2"/>
      <c r="D606" s="12"/>
    </row>
    <row r="607" spans="1:4">
      <c r="A607" s="245" t="s">
        <v>331</v>
      </c>
      <c r="B607" s="282" t="e">
        <f>B604</f>
        <v>#REF!</v>
      </c>
      <c r="C607" s="2"/>
      <c r="D607" s="12"/>
    </row>
    <row r="608" spans="1:4" ht="15.75" thickBot="1">
      <c r="A608" s="274" t="s">
        <v>343</v>
      </c>
      <c r="B608" s="14"/>
      <c r="C608" s="14"/>
      <c r="D608" s="15" t="s">
        <v>137</v>
      </c>
    </row>
    <row r="612" spans="1:4" ht="15.75" thickBot="1"/>
    <row r="613" spans="1:4" ht="20.25">
      <c r="A613" s="1342" t="s">
        <v>306</v>
      </c>
      <c r="B613" s="1343"/>
      <c r="C613" s="1343"/>
      <c r="D613" s="1344"/>
    </row>
    <row r="614" spans="1:4">
      <c r="A614" s="1345" t="s">
        <v>307</v>
      </c>
      <c r="B614" s="1346"/>
      <c r="C614" s="1346"/>
      <c r="D614" s="1347"/>
    </row>
    <row r="615" spans="1:4" ht="18">
      <c r="A615" s="1348" t="s">
        <v>308</v>
      </c>
      <c r="B615" s="1349"/>
      <c r="C615" s="1349"/>
      <c r="D615" s="1350"/>
    </row>
    <row r="616" spans="1:4">
      <c r="A616" s="11" t="s">
        <v>136</v>
      </c>
      <c r="D616" s="12"/>
    </row>
    <row r="617" spans="1:4" ht="18">
      <c r="A617" s="267">
        <f>'4-22MASTER'!G543</f>
        <v>0</v>
      </c>
      <c r="B617" s="244"/>
      <c r="D617" s="12"/>
    </row>
    <row r="618" spans="1:4" ht="18">
      <c r="A618" s="267">
        <f>'4-22MASTER'!G544</f>
        <v>0</v>
      </c>
      <c r="B618" s="244"/>
      <c r="D618" s="12"/>
    </row>
    <row r="619" spans="1:4" ht="18">
      <c r="A619" s="246"/>
      <c r="B619" s="3"/>
      <c r="D619" s="12"/>
    </row>
    <row r="620" spans="1:4" ht="15.75">
      <c r="A620" s="245" t="s">
        <v>309</v>
      </c>
      <c r="B620" s="268"/>
      <c r="C620" s="269">
        <f>'4-22MASTER'!C553</f>
        <v>0</v>
      </c>
      <c r="D620" s="68"/>
    </row>
    <row r="621" spans="1:4">
      <c r="A621" s="1339" t="s">
        <v>310</v>
      </c>
      <c r="B621" s="1340"/>
      <c r="C621" s="1340"/>
      <c r="D621" s="1341"/>
    </row>
    <row r="622" spans="1:4">
      <c r="A622" s="11"/>
      <c r="D622" s="12"/>
    </row>
    <row r="623" spans="1:4">
      <c r="A623" s="1339" t="s">
        <v>311</v>
      </c>
      <c r="B623" s="1340"/>
      <c r="C623" s="1340"/>
      <c r="D623" s="1341"/>
    </row>
    <row r="624" spans="1:4">
      <c r="A624" s="247"/>
      <c r="B624" s="248"/>
      <c r="C624" s="248"/>
      <c r="D624" s="249"/>
    </row>
    <row r="625" spans="1:4">
      <c r="A625" s="1332" t="s">
        <v>312</v>
      </c>
      <c r="B625" s="1333"/>
      <c r="C625" s="1333"/>
      <c r="D625" s="1334"/>
    </row>
    <row r="626" spans="1:4">
      <c r="A626" s="11"/>
      <c r="D626" s="12"/>
    </row>
    <row r="627" spans="1:4">
      <c r="A627" s="1332" t="s">
        <v>313</v>
      </c>
      <c r="B627" s="1333"/>
      <c r="C627" s="1333"/>
      <c r="D627" s="1334"/>
    </row>
    <row r="628" spans="1:4">
      <c r="A628" s="1332" t="s">
        <v>314</v>
      </c>
      <c r="B628" s="1333"/>
      <c r="C628" s="1333"/>
      <c r="D628" s="1334"/>
    </row>
    <row r="629" spans="1:4">
      <c r="A629" s="245"/>
      <c r="B629" s="250"/>
      <c r="C629" s="250"/>
      <c r="D629" s="251"/>
    </row>
    <row r="630" spans="1:4">
      <c r="A630" s="1339" t="s">
        <v>315</v>
      </c>
      <c r="B630" s="1340"/>
      <c r="C630" s="1340"/>
      <c r="D630" s="1341"/>
    </row>
    <row r="631" spans="1:4">
      <c r="A631" s="245"/>
      <c r="B631" s="250"/>
      <c r="C631" s="250"/>
      <c r="D631" s="251"/>
    </row>
    <row r="632" spans="1:4">
      <c r="A632" s="1332" t="s">
        <v>316</v>
      </c>
      <c r="B632" s="1333"/>
      <c r="C632" s="1333"/>
      <c r="D632" s="1334"/>
    </row>
    <row r="633" spans="1:4">
      <c r="A633" s="11"/>
      <c r="D633" s="12"/>
    </row>
    <row r="634" spans="1:4">
      <c r="A634" s="1329" t="s">
        <v>317</v>
      </c>
      <c r="B634" s="1330"/>
      <c r="C634" s="1330"/>
      <c r="D634" s="1331"/>
    </row>
    <row r="635" spans="1:4" ht="42.75">
      <c r="A635" s="252" t="s">
        <v>318</v>
      </c>
      <c r="B635" s="253" t="s">
        <v>319</v>
      </c>
      <c r="C635" s="253" t="s">
        <v>320</v>
      </c>
      <c r="D635" s="254" t="s">
        <v>321</v>
      </c>
    </row>
    <row r="636" spans="1:4">
      <c r="A636" s="255">
        <v>1</v>
      </c>
      <c r="B636" s="256">
        <v>2</v>
      </c>
      <c r="C636" s="256">
        <v>3</v>
      </c>
      <c r="D636" s="257">
        <v>4</v>
      </c>
    </row>
    <row r="637" spans="1:4">
      <c r="A637" s="11"/>
      <c r="B637" s="9" t="s">
        <v>363</v>
      </c>
      <c r="C637" s="9" t="s">
        <v>370</v>
      </c>
      <c r="D637" s="289">
        <v>1</v>
      </c>
    </row>
    <row r="638" spans="1:4">
      <c r="A638" s="273"/>
      <c r="B638" s="9"/>
      <c r="C638" s="9"/>
      <c r="D638" s="258"/>
    </row>
    <row r="639" spans="1:4">
      <c r="A639" s="270"/>
      <c r="B639" s="9"/>
      <c r="C639" s="9"/>
      <c r="D639" s="258"/>
    </row>
    <row r="640" spans="1:4">
      <c r="A640" s="11"/>
      <c r="D640" s="12"/>
    </row>
    <row r="641" spans="1:4">
      <c r="A641" s="1329" t="s">
        <v>322</v>
      </c>
      <c r="B641" s="1330"/>
      <c r="C641" s="1330"/>
      <c r="D641" s="1331"/>
    </row>
    <row r="642" spans="1:4">
      <c r="A642" s="161"/>
      <c r="B642" s="4"/>
      <c r="C642" s="4"/>
      <c r="D642" s="162"/>
    </row>
    <row r="643" spans="1:4">
      <c r="A643" s="1335" t="s">
        <v>323</v>
      </c>
      <c r="B643" s="1336"/>
      <c r="C643" s="1337"/>
      <c r="D643" s="1338"/>
    </row>
    <row r="644" spans="1:4">
      <c r="A644" s="1335" t="s">
        <v>324</v>
      </c>
      <c r="B644" s="1336"/>
      <c r="C644" s="1337"/>
      <c r="D644" s="1338"/>
    </row>
    <row r="645" spans="1:4">
      <c r="A645" s="1335" t="s">
        <v>325</v>
      </c>
      <c r="B645" s="1336"/>
      <c r="C645" s="1337"/>
      <c r="D645" s="1338"/>
    </row>
    <row r="646" spans="1:4">
      <c r="A646" s="1335" t="s">
        <v>326</v>
      </c>
      <c r="B646" s="1336"/>
      <c r="C646" s="1337"/>
      <c r="D646" s="1338"/>
    </row>
    <row r="647" spans="1:4">
      <c r="A647" s="1335" t="s">
        <v>327</v>
      </c>
      <c r="B647" s="1336"/>
      <c r="C647" s="1337"/>
      <c r="D647" s="1338"/>
    </row>
    <row r="648" spans="1:4">
      <c r="A648" s="1335" t="s">
        <v>328</v>
      </c>
      <c r="B648" s="1336"/>
      <c r="C648" s="1337"/>
      <c r="D648" s="1338"/>
    </row>
    <row r="649" spans="1:4">
      <c r="A649" s="1335" t="s">
        <v>329</v>
      </c>
      <c r="B649" s="1336"/>
      <c r="C649" s="1337"/>
      <c r="D649" s="1338"/>
    </row>
    <row r="650" spans="1:4">
      <c r="A650" s="1335" t="s">
        <v>330</v>
      </c>
      <c r="B650" s="1336"/>
      <c r="C650" s="1337"/>
      <c r="D650" s="1338"/>
    </row>
    <row r="651" spans="1:4">
      <c r="A651" s="1335"/>
      <c r="B651" s="1336"/>
      <c r="C651" s="1337"/>
      <c r="D651" s="1338"/>
    </row>
    <row r="652" spans="1:4">
      <c r="A652" s="1335"/>
      <c r="B652" s="1336"/>
      <c r="C652" s="1337"/>
      <c r="D652" s="1338"/>
    </row>
    <row r="653" spans="1:4">
      <c r="A653" s="1335"/>
      <c r="B653" s="1336"/>
      <c r="C653" s="1337"/>
      <c r="D653" s="1338"/>
    </row>
    <row r="654" spans="1:4">
      <c r="A654" s="245" t="s">
        <v>272</v>
      </c>
      <c r="B654" s="250"/>
      <c r="C654" s="250"/>
      <c r="D654" s="251"/>
    </row>
    <row r="655" spans="1:4">
      <c r="A655" s="245" t="s">
        <v>331</v>
      </c>
      <c r="B655" s="250"/>
      <c r="C655" s="259" t="s">
        <v>332</v>
      </c>
      <c r="D655" s="251"/>
    </row>
    <row r="656" spans="1:4">
      <c r="A656" s="245"/>
      <c r="B656" s="250"/>
      <c r="C656" s="250"/>
      <c r="D656" s="251"/>
    </row>
    <row r="657" spans="1:4">
      <c r="A657" s="1329" t="s">
        <v>333</v>
      </c>
      <c r="B657" s="1330"/>
      <c r="C657" s="1330"/>
      <c r="D657" s="1331"/>
    </row>
    <row r="658" spans="1:4">
      <c r="A658" s="245" t="s">
        <v>334</v>
      </c>
      <c r="B658" s="250"/>
      <c r="C658" s="250"/>
      <c r="D658" s="251"/>
    </row>
    <row r="659" spans="1:4">
      <c r="A659" s="245"/>
      <c r="B659" s="250"/>
      <c r="C659" s="250"/>
      <c r="D659" s="251"/>
    </row>
    <row r="660" spans="1:4">
      <c r="A660" s="1332" t="s">
        <v>335</v>
      </c>
      <c r="B660" s="1333"/>
      <c r="C660" s="1333" t="s">
        <v>336</v>
      </c>
      <c r="D660" s="1334"/>
    </row>
    <row r="661" spans="1:4">
      <c r="A661" s="1319">
        <v>1</v>
      </c>
      <c r="B661" s="1320"/>
      <c r="C661" s="1320">
        <v>1</v>
      </c>
      <c r="D661" s="1321"/>
    </row>
    <row r="662" spans="1:4">
      <c r="A662" s="1319">
        <v>2</v>
      </c>
      <c r="B662" s="1320"/>
      <c r="C662" s="1320">
        <v>2</v>
      </c>
      <c r="D662" s="1321"/>
    </row>
    <row r="663" spans="1:4">
      <c r="A663" s="260"/>
      <c r="C663" s="1322" t="s">
        <v>341</v>
      </c>
      <c r="D663" s="1323"/>
    </row>
    <row r="664" spans="1:4">
      <c r="A664" s="1324" t="s">
        <v>337</v>
      </c>
      <c r="B664" s="1325"/>
      <c r="C664" s="1325"/>
      <c r="D664" s="1326"/>
    </row>
    <row r="665" spans="1:4">
      <c r="A665" s="263" t="s">
        <v>338</v>
      </c>
      <c r="B665" s="264"/>
      <c r="C665" s="264"/>
      <c r="D665" s="265"/>
    </row>
    <row r="666" spans="1:4">
      <c r="A666" s="263"/>
      <c r="B666" s="264"/>
      <c r="C666" s="264"/>
      <c r="D666" s="265"/>
    </row>
    <row r="667" spans="1:4">
      <c r="A667" s="263"/>
      <c r="B667" s="264"/>
      <c r="C667" s="264" t="s">
        <v>339</v>
      </c>
      <c r="D667" s="265"/>
    </row>
    <row r="668" spans="1:4">
      <c r="A668" s="260"/>
      <c r="B668" s="261"/>
      <c r="C668" s="160" t="s">
        <v>146</v>
      </c>
      <c r="D668" s="262"/>
    </row>
    <row r="669" spans="1:4">
      <c r="A669" s="260"/>
      <c r="C669" t="s">
        <v>340</v>
      </c>
      <c r="D669" s="266"/>
    </row>
    <row r="670" spans="1:4">
      <c r="A670" s="260"/>
      <c r="C670" s="1327">
        <f>'4-22MASTER'!G543</f>
        <v>0</v>
      </c>
      <c r="D670" s="1328"/>
    </row>
    <row r="671" spans="1:4">
      <c r="A671" s="245" t="s">
        <v>272</v>
      </c>
      <c r="C671" s="2">
        <f>'4-22MASTER'!G544</f>
        <v>0</v>
      </c>
      <c r="D671" s="12"/>
    </row>
    <row r="672" spans="1:4" ht="15.75" thickBot="1">
      <c r="A672" s="245" t="s">
        <v>331</v>
      </c>
      <c r="C672" s="2"/>
      <c r="D672" s="12"/>
    </row>
    <row r="673" spans="1:4" ht="15.75" thickBot="1">
      <c r="A673" s="271"/>
      <c r="B673" s="272" t="s">
        <v>344</v>
      </c>
      <c r="C673" s="272"/>
      <c r="D673" s="19"/>
    </row>
    <row r="674" spans="1:4">
      <c r="A674" s="245" t="s">
        <v>342</v>
      </c>
      <c r="C674" s="2"/>
      <c r="D674" s="12"/>
    </row>
    <row r="675" spans="1:4">
      <c r="A675" s="245" t="s">
        <v>331</v>
      </c>
      <c r="C675" s="2"/>
      <c r="D675" s="12"/>
    </row>
    <row r="676" spans="1:4" ht="15.75" thickBot="1">
      <c r="A676" s="274" t="s">
        <v>343</v>
      </c>
      <c r="B676" s="14"/>
      <c r="C676" s="14"/>
      <c r="D676" s="15" t="s">
        <v>137</v>
      </c>
    </row>
    <row r="680" spans="1:4" ht="15.75" thickBot="1"/>
    <row r="681" spans="1:4" ht="20.25">
      <c r="A681" s="1342" t="s">
        <v>306</v>
      </c>
      <c r="B681" s="1343"/>
      <c r="C681" s="1343"/>
      <c r="D681" s="1344"/>
    </row>
    <row r="682" spans="1:4">
      <c r="A682" s="1345" t="s">
        <v>307</v>
      </c>
      <c r="B682" s="1346"/>
      <c r="C682" s="1346"/>
      <c r="D682" s="1347"/>
    </row>
    <row r="683" spans="1:4" ht="18">
      <c r="A683" s="1348" t="s">
        <v>308</v>
      </c>
      <c r="B683" s="1349"/>
      <c r="C683" s="1349"/>
      <c r="D683" s="1350"/>
    </row>
    <row r="684" spans="1:4">
      <c r="A684" s="11" t="s">
        <v>136</v>
      </c>
      <c r="D684" s="12"/>
    </row>
    <row r="685" spans="1:4" ht="18">
      <c r="A685" s="267">
        <f>'4-22MASTER'!G611</f>
        <v>0</v>
      </c>
      <c r="B685" s="244"/>
      <c r="D685" s="12"/>
    </row>
    <row r="686" spans="1:4" ht="18">
      <c r="A686" s="267">
        <f>'4-22MASTER'!G612</f>
        <v>0</v>
      </c>
      <c r="B686" s="244"/>
      <c r="D686" s="12"/>
    </row>
    <row r="687" spans="1:4" ht="18">
      <c r="A687" s="246"/>
      <c r="B687" s="3"/>
      <c r="D687" s="12"/>
    </row>
    <row r="688" spans="1:4" ht="15.75">
      <c r="A688" s="245" t="s">
        <v>309</v>
      </c>
      <c r="B688" s="268"/>
      <c r="C688" s="269">
        <f>'4-22MASTER'!C621</f>
        <v>0</v>
      </c>
      <c r="D688" s="68"/>
    </row>
    <row r="689" spans="1:4">
      <c r="A689" s="1339" t="s">
        <v>310</v>
      </c>
      <c r="B689" s="1340"/>
      <c r="C689" s="1340"/>
      <c r="D689" s="1341"/>
    </row>
    <row r="690" spans="1:4">
      <c r="A690" s="11"/>
      <c r="D690" s="12"/>
    </row>
    <row r="691" spans="1:4">
      <c r="A691" s="1339" t="s">
        <v>311</v>
      </c>
      <c r="B691" s="1340"/>
      <c r="C691" s="1340"/>
      <c r="D691" s="1341"/>
    </row>
    <row r="692" spans="1:4">
      <c r="A692" s="247"/>
      <c r="B692" s="248"/>
      <c r="C692" s="248"/>
      <c r="D692" s="249"/>
    </row>
    <row r="693" spans="1:4">
      <c r="A693" s="1332" t="s">
        <v>312</v>
      </c>
      <c r="B693" s="1333"/>
      <c r="C693" s="1333"/>
      <c r="D693" s="1334"/>
    </row>
    <row r="694" spans="1:4">
      <c r="A694" s="11"/>
      <c r="D694" s="12"/>
    </row>
    <row r="695" spans="1:4">
      <c r="A695" s="1332" t="s">
        <v>313</v>
      </c>
      <c r="B695" s="1333"/>
      <c r="C695" s="1333"/>
      <c r="D695" s="1334"/>
    </row>
    <row r="696" spans="1:4">
      <c r="A696" s="1332" t="s">
        <v>314</v>
      </c>
      <c r="B696" s="1333"/>
      <c r="C696" s="1333"/>
      <c r="D696" s="1334"/>
    </row>
    <row r="697" spans="1:4">
      <c r="A697" s="245"/>
      <c r="B697" s="250"/>
      <c r="C697" s="250"/>
      <c r="D697" s="251"/>
    </row>
    <row r="698" spans="1:4">
      <c r="A698" s="1339" t="s">
        <v>315</v>
      </c>
      <c r="B698" s="1340"/>
      <c r="C698" s="1340"/>
      <c r="D698" s="1341"/>
    </row>
    <row r="699" spans="1:4">
      <c r="A699" s="245"/>
      <c r="B699" s="250"/>
      <c r="C699" s="250"/>
      <c r="D699" s="251"/>
    </row>
    <row r="700" spans="1:4">
      <c r="A700" s="1332" t="s">
        <v>316</v>
      </c>
      <c r="B700" s="1333"/>
      <c r="C700" s="1333"/>
      <c r="D700" s="1334"/>
    </row>
    <row r="701" spans="1:4">
      <c r="A701" s="11"/>
      <c r="D701" s="12"/>
    </row>
    <row r="702" spans="1:4">
      <c r="A702" s="1329" t="s">
        <v>317</v>
      </c>
      <c r="B702" s="1330"/>
      <c r="C702" s="1330"/>
      <c r="D702" s="1331"/>
    </row>
    <row r="703" spans="1:4" ht="42.75">
      <c r="A703" s="252" t="s">
        <v>318</v>
      </c>
      <c r="B703" s="253" t="s">
        <v>319</v>
      </c>
      <c r="C703" s="253" t="s">
        <v>320</v>
      </c>
      <c r="D703" s="254" t="s">
        <v>321</v>
      </c>
    </row>
    <row r="704" spans="1:4">
      <c r="A704" s="255">
        <v>1</v>
      </c>
      <c r="B704" s="256">
        <v>2</v>
      </c>
      <c r="C704" s="256">
        <v>3</v>
      </c>
      <c r="D704" s="257">
        <v>4</v>
      </c>
    </row>
    <row r="705" spans="1:4">
      <c r="A705" s="11"/>
      <c r="B705" s="9" t="s">
        <v>363</v>
      </c>
      <c r="C705" s="9" t="s">
        <v>370</v>
      </c>
      <c r="D705" s="289">
        <v>1</v>
      </c>
    </row>
    <row r="706" spans="1:4">
      <c r="A706" s="273"/>
      <c r="B706" s="9"/>
      <c r="C706" s="9"/>
      <c r="D706" s="258"/>
    </row>
    <row r="707" spans="1:4">
      <c r="A707" s="270"/>
      <c r="B707" s="9"/>
      <c r="C707" s="9"/>
      <c r="D707" s="258"/>
    </row>
    <row r="708" spans="1:4">
      <c r="A708" s="11"/>
      <c r="D708" s="12"/>
    </row>
    <row r="709" spans="1:4">
      <c r="A709" s="1329" t="s">
        <v>322</v>
      </c>
      <c r="B709" s="1330"/>
      <c r="C709" s="1330"/>
      <c r="D709" s="1331"/>
    </row>
    <row r="710" spans="1:4">
      <c r="A710" s="161"/>
      <c r="B710" s="4"/>
      <c r="C710" s="4"/>
      <c r="D710" s="162"/>
    </row>
    <row r="711" spans="1:4">
      <c r="A711" s="1335" t="s">
        <v>323</v>
      </c>
      <c r="B711" s="1336"/>
      <c r="C711" s="1337"/>
      <c r="D711" s="1338"/>
    </row>
    <row r="712" spans="1:4">
      <c r="A712" s="1335" t="s">
        <v>324</v>
      </c>
      <c r="B712" s="1336"/>
      <c r="C712" s="1337"/>
      <c r="D712" s="1338"/>
    </row>
    <row r="713" spans="1:4">
      <c r="A713" s="1335" t="s">
        <v>325</v>
      </c>
      <c r="B713" s="1336"/>
      <c r="C713" s="1337"/>
      <c r="D713" s="1338"/>
    </row>
    <row r="714" spans="1:4">
      <c r="A714" s="1335" t="s">
        <v>326</v>
      </c>
      <c r="B714" s="1336"/>
      <c r="C714" s="1337"/>
      <c r="D714" s="1338"/>
    </row>
    <row r="715" spans="1:4">
      <c r="A715" s="1335" t="s">
        <v>327</v>
      </c>
      <c r="B715" s="1336"/>
      <c r="C715" s="1337"/>
      <c r="D715" s="1338"/>
    </row>
    <row r="716" spans="1:4">
      <c r="A716" s="1335" t="s">
        <v>328</v>
      </c>
      <c r="B716" s="1336"/>
      <c r="C716" s="1337"/>
      <c r="D716" s="1338"/>
    </row>
    <row r="717" spans="1:4">
      <c r="A717" s="1335" t="s">
        <v>329</v>
      </c>
      <c r="B717" s="1336"/>
      <c r="C717" s="1337"/>
      <c r="D717" s="1338"/>
    </row>
    <row r="718" spans="1:4">
      <c r="A718" s="1335" t="s">
        <v>330</v>
      </c>
      <c r="B718" s="1336"/>
      <c r="C718" s="1337"/>
      <c r="D718" s="1338"/>
    </row>
    <row r="719" spans="1:4">
      <c r="A719" s="1335"/>
      <c r="B719" s="1336"/>
      <c r="C719" s="1337"/>
      <c r="D719" s="1338"/>
    </row>
    <row r="720" spans="1:4">
      <c r="A720" s="1335"/>
      <c r="B720" s="1336"/>
      <c r="C720" s="1337"/>
      <c r="D720" s="1338"/>
    </row>
    <row r="721" spans="1:4">
      <c r="A721" s="1335"/>
      <c r="B721" s="1336"/>
      <c r="C721" s="1337"/>
      <c r="D721" s="1338"/>
    </row>
    <row r="722" spans="1:4">
      <c r="A722" s="245" t="s">
        <v>272</v>
      </c>
      <c r="B722" s="250"/>
      <c r="C722" s="250"/>
      <c r="D722" s="251"/>
    </row>
    <row r="723" spans="1:4">
      <c r="A723" s="245" t="s">
        <v>331</v>
      </c>
      <c r="B723" s="250"/>
      <c r="C723" s="259" t="s">
        <v>332</v>
      </c>
      <c r="D723" s="251"/>
    </row>
    <row r="724" spans="1:4">
      <c r="A724" s="245"/>
      <c r="B724" s="250"/>
      <c r="C724" s="250"/>
      <c r="D724" s="251"/>
    </row>
    <row r="725" spans="1:4">
      <c r="A725" s="1329" t="s">
        <v>333</v>
      </c>
      <c r="B725" s="1330"/>
      <c r="C725" s="1330"/>
      <c r="D725" s="1331"/>
    </row>
    <row r="726" spans="1:4">
      <c r="A726" s="245" t="s">
        <v>334</v>
      </c>
      <c r="B726" s="250"/>
      <c r="C726" s="250"/>
      <c r="D726" s="251"/>
    </row>
    <row r="727" spans="1:4">
      <c r="A727" s="245"/>
      <c r="B727" s="250"/>
      <c r="C727" s="250"/>
      <c r="D727" s="251"/>
    </row>
    <row r="728" spans="1:4">
      <c r="A728" s="1332" t="s">
        <v>335</v>
      </c>
      <c r="B728" s="1333"/>
      <c r="C728" s="1333" t="s">
        <v>336</v>
      </c>
      <c r="D728" s="1334"/>
    </row>
    <row r="729" spans="1:4">
      <c r="A729" s="1319">
        <v>1</v>
      </c>
      <c r="B729" s="1320"/>
      <c r="C729" s="1320">
        <v>1</v>
      </c>
      <c r="D729" s="1321"/>
    </row>
    <row r="730" spans="1:4">
      <c r="A730" s="1319">
        <v>2</v>
      </c>
      <c r="B730" s="1320"/>
      <c r="C730" s="1320">
        <v>2</v>
      </c>
      <c r="D730" s="1321"/>
    </row>
    <row r="731" spans="1:4">
      <c r="A731" s="260"/>
      <c r="C731" s="1322" t="s">
        <v>341</v>
      </c>
      <c r="D731" s="1323"/>
    </row>
    <row r="732" spans="1:4">
      <c r="A732" s="1324" t="s">
        <v>337</v>
      </c>
      <c r="B732" s="1325"/>
      <c r="C732" s="1325"/>
      <c r="D732" s="1326"/>
    </row>
    <row r="733" spans="1:4">
      <c r="A733" s="263" t="s">
        <v>338</v>
      </c>
      <c r="B733" s="264"/>
      <c r="C733" s="264"/>
      <c r="D733" s="265"/>
    </row>
    <row r="734" spans="1:4">
      <c r="A734" s="263"/>
      <c r="B734" s="264"/>
      <c r="C734" s="264"/>
      <c r="D734" s="265"/>
    </row>
    <row r="735" spans="1:4">
      <c r="A735" s="263"/>
      <c r="B735" s="264"/>
      <c r="C735" s="264" t="s">
        <v>339</v>
      </c>
      <c r="D735" s="265"/>
    </row>
    <row r="736" spans="1:4">
      <c r="A736" s="260"/>
      <c r="B736" s="261"/>
      <c r="C736" s="160" t="s">
        <v>146</v>
      </c>
      <c r="D736" s="262"/>
    </row>
    <row r="737" spans="1:4">
      <c r="A737" s="260"/>
      <c r="C737" t="s">
        <v>340</v>
      </c>
      <c r="D737" s="266"/>
    </row>
    <row r="738" spans="1:4">
      <c r="A738" s="260"/>
      <c r="C738" s="1327">
        <f>'4-22MASTER'!G611</f>
        <v>0</v>
      </c>
      <c r="D738" s="1328"/>
    </row>
    <row r="739" spans="1:4">
      <c r="A739" s="245" t="s">
        <v>272</v>
      </c>
      <c r="C739" s="2">
        <f>'4-22MASTER'!G612</f>
        <v>0</v>
      </c>
      <c r="D739" s="12"/>
    </row>
    <row r="740" spans="1:4" ht="15.75" thickBot="1">
      <c r="A740" s="245" t="s">
        <v>331</v>
      </c>
      <c r="C740" s="2"/>
      <c r="D740" s="12"/>
    </row>
    <row r="741" spans="1:4" ht="15.75" thickBot="1">
      <c r="A741" s="271"/>
      <c r="B741" s="272" t="s">
        <v>344</v>
      </c>
      <c r="C741" s="272"/>
      <c r="D741" s="19"/>
    </row>
    <row r="742" spans="1:4">
      <c r="A742" s="245" t="s">
        <v>342</v>
      </c>
      <c r="C742" s="2"/>
      <c r="D742" s="12"/>
    </row>
    <row r="743" spans="1:4">
      <c r="A743" s="245" t="s">
        <v>331</v>
      </c>
      <c r="C743" s="2"/>
      <c r="D743" s="12"/>
    </row>
    <row r="744" spans="1:4" ht="15.75" thickBot="1">
      <c r="A744" s="274" t="s">
        <v>343</v>
      </c>
      <c r="B744" s="14"/>
      <c r="C744" s="14"/>
      <c r="D744" s="15" t="s">
        <v>137</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K56"/>
  <sheetViews>
    <sheetView workbookViewId="0">
      <selection activeCell="F13" sqref="F13"/>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61"/>
      <c r="B4" s="1355" t="s">
        <v>345</v>
      </c>
      <c r="C4" s="1355"/>
      <c r="D4" s="1355"/>
      <c r="E4" s="1355"/>
      <c r="F4" s="1355"/>
      <c r="G4" s="1355"/>
      <c r="H4" s="1355"/>
      <c r="I4" s="1355"/>
      <c r="J4" s="1355"/>
      <c r="K4" s="63"/>
    </row>
    <row r="5" spans="1:11">
      <c r="A5" s="11"/>
      <c r="B5" s="1278" t="s">
        <v>346</v>
      </c>
      <c r="C5" s="1278"/>
      <c r="D5" s="1278"/>
      <c r="E5" s="1278"/>
      <c r="F5" s="1278"/>
      <c r="G5" s="1278"/>
      <c r="H5" s="1278"/>
      <c r="I5" s="1278"/>
      <c r="J5" s="1278"/>
      <c r="K5" s="12"/>
    </row>
    <row r="6" spans="1:11">
      <c r="A6" s="11"/>
      <c r="B6" s="4"/>
      <c r="C6" s="4"/>
      <c r="D6" s="4"/>
      <c r="E6" s="4"/>
      <c r="F6" s="4"/>
      <c r="G6" s="4"/>
      <c r="H6" s="4"/>
      <c r="I6" s="4"/>
      <c r="J6" s="4"/>
      <c r="K6" s="12"/>
    </row>
    <row r="7" spans="1:11" ht="23.25">
      <c r="A7" s="11"/>
      <c r="B7" s="1356" t="s">
        <v>347</v>
      </c>
      <c r="C7" s="1356"/>
      <c r="D7" s="1356"/>
      <c r="E7" s="1356"/>
      <c r="F7" s="1356"/>
      <c r="G7" s="1356"/>
      <c r="H7" s="1356"/>
      <c r="I7" s="1356"/>
      <c r="J7" s="1356"/>
      <c r="K7" s="12"/>
    </row>
    <row r="8" spans="1:11">
      <c r="A8" s="11"/>
      <c r="B8" s="1278"/>
      <c r="C8" s="1278"/>
      <c r="D8" s="1278"/>
      <c r="E8" s="1278"/>
      <c r="F8" s="1278"/>
      <c r="G8" s="1278"/>
      <c r="H8" s="1278"/>
      <c r="I8" s="1278"/>
      <c r="J8" s="1278"/>
      <c r="K8" s="12"/>
    </row>
    <row r="9" spans="1:11" ht="15.75" thickBot="1">
      <c r="A9" s="11"/>
      <c r="B9" s="1353" t="s">
        <v>163</v>
      </c>
      <c r="C9" s="1353"/>
      <c r="D9" s="1353"/>
      <c r="E9" s="1353"/>
      <c r="F9" s="275"/>
      <c r="G9" s="1354" t="s">
        <v>348</v>
      </c>
      <c r="H9" s="1354"/>
      <c r="I9" s="1354"/>
      <c r="J9" s="1354"/>
      <c r="K9" s="12"/>
    </row>
    <row r="10" spans="1:11">
      <c r="A10" s="11"/>
      <c r="B10" s="61"/>
      <c r="C10" s="62"/>
      <c r="D10" s="62"/>
      <c r="E10" s="63"/>
      <c r="F10" s="4"/>
      <c r="G10" s="61"/>
      <c r="H10" s="62"/>
      <c r="I10" s="62"/>
      <c r="J10" s="63"/>
      <c r="K10" s="12"/>
    </row>
    <row r="11" spans="1:11">
      <c r="A11" s="11"/>
      <c r="B11" s="11" t="str">
        <f>'4-22MASTER'!G5</f>
        <v>Burgeon IT Services Pvt.Ltd.</v>
      </c>
      <c r="E11" s="12"/>
      <c r="F11" s="4"/>
      <c r="G11" s="11" t="str">
        <f>'4-22MASTER'!AQ5</f>
        <v>Burgeon IT Services Pvt.Ltd.</v>
      </c>
      <c r="J11" s="12"/>
      <c r="K11" s="12"/>
    </row>
    <row r="12" spans="1:11">
      <c r="A12" s="11"/>
      <c r="B12" s="11"/>
      <c r="E12" s="12"/>
      <c r="F12" s="4"/>
      <c r="G12" s="11"/>
      <c r="J12" s="12"/>
      <c r="K12" s="12"/>
    </row>
    <row r="13" spans="1:11">
      <c r="A13" s="11"/>
      <c r="B13" s="11" t="str">
        <f>'4-22MASTER'!G6</f>
        <v>Siri Mansion LIGB 436 Dr.A S Rao Nagar,Hyderabad</v>
      </c>
      <c r="E13" s="12"/>
      <c r="F13" s="4"/>
      <c r="G13" s="11" t="str">
        <f>'4-22MASTER'!AQ6</f>
        <v>Siri Mansion LIGB 436 Dr.A S Rao Nagar,Hyderabad</v>
      </c>
      <c r="J13" s="12"/>
      <c r="K13" s="12"/>
    </row>
    <row r="14" spans="1:11">
      <c r="A14" s="11"/>
      <c r="B14" s="11"/>
      <c r="E14" s="12"/>
      <c r="F14" s="4"/>
      <c r="G14" s="11"/>
      <c r="J14" s="12"/>
      <c r="K14" s="12"/>
    </row>
    <row r="15" spans="1:11" ht="15.75" thickBot="1">
      <c r="A15" s="11"/>
      <c r="B15" s="16"/>
      <c r="C15" s="14"/>
      <c r="D15" s="14"/>
      <c r="E15" s="15"/>
      <c r="F15" s="4"/>
      <c r="G15" s="16"/>
      <c r="H15" s="14"/>
      <c r="I15" s="14"/>
      <c r="J15" s="15"/>
      <c r="K15" s="12"/>
    </row>
    <row r="16" spans="1:11">
      <c r="A16" s="11"/>
      <c r="K16" s="12"/>
    </row>
    <row r="17" spans="1:11" ht="15.75" thickBot="1">
      <c r="A17" s="11"/>
      <c r="B17" s="1353" t="s">
        <v>349</v>
      </c>
      <c r="C17" s="1353"/>
      <c r="D17" s="1353"/>
      <c r="E17" s="1353"/>
      <c r="F17" s="275"/>
      <c r="G17" s="1354" t="s">
        <v>350</v>
      </c>
      <c r="H17" s="1354"/>
      <c r="I17" s="1354"/>
      <c r="J17" s="1354"/>
      <c r="K17" s="12"/>
    </row>
    <row r="18" spans="1:11">
      <c r="A18" s="11"/>
      <c r="B18" s="61"/>
      <c r="C18" s="62"/>
      <c r="D18" s="62"/>
      <c r="E18" s="63"/>
      <c r="F18" s="4"/>
      <c r="G18" s="61"/>
      <c r="H18" s="62"/>
      <c r="I18" s="62"/>
      <c r="J18" s="63"/>
      <c r="K18" s="12"/>
    </row>
    <row r="19" spans="1:11">
      <c r="A19" s="11"/>
      <c r="B19" s="11"/>
      <c r="E19" s="12"/>
      <c r="F19" s="4"/>
      <c r="G19" s="11" t="str">
        <f>'4-22MASTER'!AQ10</f>
        <v>INFOSYS  LTD.IL Ascendas SEZ Unit,Building Juniper</v>
      </c>
      <c r="J19" s="12"/>
      <c r="K19" s="12"/>
    </row>
    <row r="20" spans="1:11">
      <c r="A20" s="11"/>
      <c r="B20" s="11"/>
      <c r="E20" s="12"/>
      <c r="F20" s="4"/>
      <c r="G20" s="11"/>
      <c r="J20" s="12"/>
      <c r="K20" s="12"/>
    </row>
    <row r="21" spans="1:11">
      <c r="A21" s="11"/>
      <c r="B21" s="11" t="str">
        <f>'4-22MASTER'!G8</f>
        <v>IT SUPPORTIVE SERVICES &amp; PUNE ASC SEZ</v>
      </c>
      <c r="E21" s="12"/>
      <c r="F21" s="4"/>
      <c r="G21" s="11" t="str">
        <f>'4-22MASTER'!AQ11</f>
        <v>International Tech Park,Rajiv Gandhi Infotech Park,Hinjawadi,Pune,Maharashtra</v>
      </c>
      <c r="J21" s="12"/>
      <c r="K21" s="12"/>
    </row>
    <row r="22" spans="1:11">
      <c r="A22" s="11"/>
      <c r="B22" s="11"/>
      <c r="E22" s="12"/>
      <c r="F22" s="4"/>
      <c r="G22" s="11"/>
      <c r="J22" s="12"/>
      <c r="K22" s="12"/>
    </row>
    <row r="23" spans="1:11" ht="15.75" thickBot="1">
      <c r="A23" s="11"/>
      <c r="B23" s="16"/>
      <c r="C23" s="14"/>
      <c r="D23" s="14"/>
      <c r="E23" s="15"/>
      <c r="F23" s="4"/>
      <c r="G23" s="16"/>
      <c r="H23" s="14"/>
      <c r="I23" s="14"/>
      <c r="J23" s="15"/>
      <c r="K23" s="12"/>
    </row>
    <row r="24" spans="1:11">
      <c r="A24" s="11"/>
      <c r="K24" s="12"/>
    </row>
    <row r="25" spans="1:11">
      <c r="A25" s="11"/>
      <c r="K25" s="12"/>
    </row>
    <row r="26" spans="1:11">
      <c r="A26" s="11"/>
      <c r="B26" s="1357" t="s">
        <v>351</v>
      </c>
      <c r="C26" s="1357"/>
      <c r="D26" s="1357"/>
      <c r="E26" s="1357"/>
      <c r="F26" s="13"/>
      <c r="G26" s="13"/>
      <c r="H26" s="13"/>
      <c r="I26" s="13"/>
      <c r="J26" s="13"/>
      <c r="K26" s="12"/>
    </row>
    <row r="27" spans="1:11">
      <c r="A27" s="11"/>
      <c r="B27" s="276"/>
      <c r="C27" s="276"/>
      <c r="D27" s="276"/>
      <c r="E27" s="276"/>
      <c r="F27" s="53"/>
      <c r="G27" s="53"/>
      <c r="H27" s="53"/>
      <c r="I27" s="53"/>
      <c r="J27" s="53"/>
      <c r="K27" s="12"/>
    </row>
    <row r="28" spans="1:11">
      <c r="A28" s="11"/>
      <c r="B28" s="276"/>
      <c r="C28" s="276"/>
      <c r="D28" s="276"/>
      <c r="E28" s="276"/>
      <c r="F28" s="13"/>
      <c r="G28" s="13"/>
      <c r="H28" s="13"/>
      <c r="I28" s="13"/>
      <c r="J28" s="13"/>
      <c r="K28" s="12"/>
    </row>
    <row r="29" spans="1:11">
      <c r="A29" s="11"/>
      <c r="B29" s="276"/>
      <c r="C29" s="276"/>
      <c r="D29" s="276"/>
      <c r="E29" s="276"/>
      <c r="F29" s="53"/>
      <c r="G29" s="53"/>
      <c r="H29" s="53"/>
      <c r="I29" s="53"/>
      <c r="J29" s="53"/>
      <c r="K29" s="12"/>
    </row>
    <row r="30" spans="1:11">
      <c r="A30" s="11"/>
      <c r="B30" s="276"/>
      <c r="C30" s="276"/>
      <c r="D30" s="276"/>
      <c r="E30" s="276"/>
      <c r="K30" s="12"/>
    </row>
    <row r="31" spans="1:11">
      <c r="A31" s="11"/>
      <c r="B31" s="1357" t="s">
        <v>352</v>
      </c>
      <c r="C31" s="1357"/>
      <c r="D31" s="1357"/>
      <c r="E31" s="1357"/>
      <c r="F31" s="13"/>
      <c r="G31" s="13"/>
      <c r="H31" s="13"/>
      <c r="I31" s="13"/>
      <c r="J31" s="13"/>
      <c r="K31" s="12"/>
    </row>
    <row r="32" spans="1:11">
      <c r="A32" s="11"/>
      <c r="B32" s="276"/>
      <c r="C32" s="276"/>
      <c r="D32" s="276"/>
      <c r="E32" s="276"/>
      <c r="K32" s="12"/>
    </row>
    <row r="33" spans="1:11">
      <c r="A33" s="11"/>
      <c r="B33" s="1357" t="s">
        <v>353</v>
      </c>
      <c r="C33" s="1357"/>
      <c r="D33" s="1357"/>
      <c r="E33" s="1357"/>
      <c r="F33" s="13"/>
      <c r="G33" s="13"/>
      <c r="H33" s="13"/>
      <c r="I33" s="13"/>
      <c r="J33" s="13"/>
      <c r="K33" s="12"/>
    </row>
    <row r="34" spans="1:11">
      <c r="A34" s="11"/>
      <c r="B34" s="276"/>
      <c r="C34" s="276"/>
      <c r="D34" s="276"/>
      <c r="E34" s="276"/>
      <c r="K34" s="12"/>
    </row>
    <row r="35" spans="1:11">
      <c r="A35" s="11"/>
      <c r="B35" s="1357" t="s">
        <v>354</v>
      </c>
      <c r="C35" s="1357"/>
      <c r="D35" s="1357"/>
      <c r="E35" s="1357"/>
      <c r="F35" s="13"/>
      <c r="G35" s="13"/>
      <c r="H35" s="13"/>
      <c r="I35" s="13"/>
      <c r="J35" s="13"/>
      <c r="K35" s="12"/>
    </row>
    <row r="36" spans="1:11">
      <c r="A36" s="11"/>
      <c r="B36" s="276"/>
      <c r="C36" s="276"/>
      <c r="D36" s="276"/>
      <c r="E36" s="276"/>
      <c r="K36" s="12"/>
    </row>
    <row r="37" spans="1:11" ht="15.75" thickBot="1">
      <c r="A37" s="11"/>
      <c r="K37" s="12"/>
    </row>
    <row r="38" spans="1:11">
      <c r="A38" s="11"/>
      <c r="B38" s="1358" t="s">
        <v>355</v>
      </c>
      <c r="C38" s="1360" t="s">
        <v>356</v>
      </c>
      <c r="D38" s="1360"/>
      <c r="E38" s="1360" t="s">
        <v>357</v>
      </c>
      <c r="F38" s="1360"/>
      <c r="G38" s="1360" t="s">
        <v>358</v>
      </c>
      <c r="H38" s="1360"/>
      <c r="I38" s="1360"/>
      <c r="J38" s="1362" t="s">
        <v>40</v>
      </c>
      <c r="K38" s="12"/>
    </row>
    <row r="39" spans="1:11">
      <c r="A39" s="11"/>
      <c r="B39" s="1359"/>
      <c r="C39" s="1361"/>
      <c r="D39" s="1361"/>
      <c r="E39" s="1361"/>
      <c r="F39" s="1361"/>
      <c r="G39" s="1361"/>
      <c r="H39" s="1361"/>
      <c r="I39" s="1361"/>
      <c r="J39" s="1363"/>
      <c r="K39" s="12"/>
    </row>
    <row r="40" spans="1:11">
      <c r="A40" s="11"/>
      <c r="B40" s="1359"/>
      <c r="C40" s="277" t="s">
        <v>359</v>
      </c>
      <c r="D40" s="277" t="s">
        <v>136</v>
      </c>
      <c r="E40" s="1361"/>
      <c r="F40" s="1361"/>
      <c r="G40" s="1361"/>
      <c r="H40" s="1361"/>
      <c r="I40" s="1361"/>
      <c r="J40" s="1363"/>
      <c r="K40" s="12"/>
    </row>
    <row r="41" spans="1:11">
      <c r="A41" s="11"/>
      <c r="B41" s="278">
        <v>1</v>
      </c>
      <c r="C41" s="279">
        <v>2</v>
      </c>
      <c r="D41" s="279">
        <v>3</v>
      </c>
      <c r="E41" s="1364">
        <v>4</v>
      </c>
      <c r="F41" s="1364"/>
      <c r="G41" s="1364">
        <v>5</v>
      </c>
      <c r="H41" s="1364"/>
      <c r="I41" s="1364"/>
      <c r="J41" s="280">
        <v>6</v>
      </c>
      <c r="K41" s="12"/>
    </row>
    <row r="42" spans="1:11">
      <c r="A42" s="11"/>
      <c r="B42" s="279"/>
      <c r="C42" s="279"/>
      <c r="D42" s="279"/>
      <c r="E42" s="1337"/>
      <c r="F42" s="1337"/>
      <c r="G42" s="1337"/>
      <c r="H42" s="1337"/>
      <c r="I42" s="1337"/>
      <c r="J42" s="279"/>
      <c r="K42" s="12"/>
    </row>
    <row r="43" spans="1:11">
      <c r="A43" s="11"/>
      <c r="B43" s="279"/>
      <c r="C43" s="279"/>
      <c r="D43" s="279"/>
      <c r="E43" s="1337"/>
      <c r="F43" s="1337"/>
      <c r="G43" s="1337"/>
      <c r="H43" s="1337"/>
      <c r="I43" s="1337"/>
      <c r="J43" s="279"/>
      <c r="K43" s="12"/>
    </row>
    <row r="44" spans="1:11">
      <c r="A44" s="11"/>
      <c r="B44" s="279"/>
      <c r="C44" s="279"/>
      <c r="D44" s="279"/>
      <c r="E44" s="1337"/>
      <c r="F44" s="1337"/>
      <c r="G44" s="1337"/>
      <c r="H44" s="1337"/>
      <c r="I44" s="1337"/>
      <c r="J44" s="279"/>
      <c r="K44" s="12"/>
    </row>
    <row r="45" spans="1:11">
      <c r="A45" s="11"/>
      <c r="B45" s="9"/>
      <c r="C45" s="9"/>
      <c r="D45" s="9"/>
      <c r="E45" s="1337"/>
      <c r="F45" s="1337"/>
      <c r="G45" s="1337"/>
      <c r="H45" s="1337"/>
      <c r="I45" s="1337"/>
      <c r="J45" s="9"/>
      <c r="K45" s="12"/>
    </row>
    <row r="46" spans="1:11">
      <c r="A46" s="11"/>
      <c r="B46" s="9"/>
      <c r="C46" s="9"/>
      <c r="D46" s="9"/>
      <c r="E46" s="1337"/>
      <c r="F46" s="1337"/>
      <c r="G46" s="1337"/>
      <c r="H46" s="1337"/>
      <c r="I46" s="1337"/>
      <c r="J46" s="9"/>
      <c r="K46" s="12"/>
    </row>
    <row r="47" spans="1:11">
      <c r="A47" s="11"/>
      <c r="B47" s="9"/>
      <c r="C47" s="9"/>
      <c r="D47" s="9"/>
      <c r="E47" s="1337"/>
      <c r="F47" s="1337"/>
      <c r="G47" s="1337"/>
      <c r="H47" s="1337"/>
      <c r="I47" s="1337"/>
      <c r="J47" s="9"/>
      <c r="K47" s="12"/>
    </row>
    <row r="48" spans="1:11">
      <c r="A48" s="11"/>
      <c r="B48" s="9"/>
      <c r="C48" s="9"/>
      <c r="D48" s="9"/>
      <c r="E48" s="1337"/>
      <c r="F48" s="1337"/>
      <c r="G48" s="1337"/>
      <c r="H48" s="1337"/>
      <c r="I48" s="1337"/>
      <c r="J48" s="9"/>
      <c r="K48" s="12"/>
    </row>
    <row r="49" spans="1:11">
      <c r="A49" s="11"/>
      <c r="B49" s="9"/>
      <c r="C49" s="9"/>
      <c r="D49" s="9"/>
      <c r="E49" s="1337"/>
      <c r="F49" s="1337"/>
      <c r="G49" s="1337"/>
      <c r="H49" s="1337"/>
      <c r="I49" s="1337"/>
      <c r="J49" s="9"/>
      <c r="K49" s="12"/>
    </row>
    <row r="50" spans="1:11">
      <c r="A50" s="11"/>
      <c r="B50" s="9"/>
      <c r="C50" s="9"/>
      <c r="D50" s="9"/>
      <c r="E50" s="1337"/>
      <c r="F50" s="1337"/>
      <c r="G50" s="1337"/>
      <c r="H50" s="1337"/>
      <c r="I50" s="1337"/>
      <c r="J50" s="9"/>
      <c r="K50" s="12"/>
    </row>
    <row r="51" spans="1:11">
      <c r="A51" s="11"/>
      <c r="B51" s="9"/>
      <c r="C51" s="9"/>
      <c r="D51" s="9"/>
      <c r="E51" s="1337"/>
      <c r="F51" s="1337"/>
      <c r="G51" s="1337"/>
      <c r="H51" s="1337"/>
      <c r="I51" s="1337"/>
      <c r="J51" s="9"/>
      <c r="K51" s="12"/>
    </row>
    <row r="52" spans="1:11">
      <c r="A52" s="11"/>
      <c r="B52" s="9"/>
      <c r="C52" s="9"/>
      <c r="D52" s="9"/>
      <c r="E52" s="1337"/>
      <c r="F52" s="1337"/>
      <c r="G52" s="1337"/>
      <c r="H52" s="1337"/>
      <c r="I52" s="1337"/>
      <c r="J52" s="9"/>
      <c r="K52" s="12"/>
    </row>
    <row r="53" spans="1:11">
      <c r="A53" s="11"/>
      <c r="K53" s="12"/>
    </row>
    <row r="54" spans="1:11">
      <c r="A54" s="11"/>
      <c r="K54" s="12"/>
    </row>
    <row r="55" spans="1:11" ht="15.75" thickBot="1">
      <c r="A55" s="11"/>
      <c r="H55" s="1365"/>
      <c r="I55" s="1365"/>
      <c r="J55" s="1365"/>
      <c r="K55" s="12"/>
    </row>
    <row r="56" spans="1:11" ht="15.75" thickBot="1">
      <c r="A56" s="16"/>
      <c r="B56" s="14"/>
      <c r="C56" s="14"/>
      <c r="D56" s="14"/>
      <c r="E56" s="14"/>
      <c r="F56" s="14"/>
      <c r="G56" s="14"/>
      <c r="H56" s="281" t="s">
        <v>360</v>
      </c>
      <c r="I56" s="18"/>
      <c r="J56" s="18"/>
      <c r="K56" s="15"/>
    </row>
  </sheetData>
  <mergeCells count="42">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 ref="G46:I46"/>
    <mergeCell ref="E47:F47"/>
    <mergeCell ref="G47:I47"/>
    <mergeCell ref="E48:F48"/>
    <mergeCell ref="G48:I48"/>
    <mergeCell ref="G38:I40"/>
    <mergeCell ref="J38:J40"/>
    <mergeCell ref="E41:F41"/>
    <mergeCell ref="G41:I41"/>
    <mergeCell ref="E45:F45"/>
    <mergeCell ref="G45:I45"/>
    <mergeCell ref="B26:E26"/>
    <mergeCell ref="B31:E31"/>
    <mergeCell ref="B33:E33"/>
    <mergeCell ref="B35:E35"/>
    <mergeCell ref="B38:B40"/>
    <mergeCell ref="C38:D39"/>
    <mergeCell ref="E38:F40"/>
    <mergeCell ref="B17:E17"/>
    <mergeCell ref="G17:J17"/>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PUNE ASC-APRIL 22WM REG</vt:lpstr>
      <vt:lpstr>4-22MASTER</vt:lpstr>
      <vt:lpstr>4-22Eq Rrem</vt:lpstr>
      <vt:lpstr>APRIL  22 MH_MusT</vt:lpstr>
      <vt:lpstr>F-M Leav</vt:lpstr>
      <vt:lpstr>MH_Reg Wage</vt:lpstr>
      <vt:lpstr>Emp Cards</vt:lpstr>
      <vt:lpstr>wage sllips</vt:lpstr>
      <vt:lpstr>4-22Bonus</vt:lpstr>
      <vt:lpstr>Deductions</vt:lpstr>
      <vt:lpstr>Fines</vt:lpstr>
      <vt:lpstr>Advances</vt:lpstr>
      <vt:lpstr>Overtime</vt:lpstr>
      <vt:lpstr>Accident</vt:lpstr>
      <vt:lpstr>ESI cards Reg</vt:lpstr>
      <vt:lpstr>Form-I</vt:lpstr>
      <vt:lpstr>Form-2</vt:lpstr>
      <vt:lpstr>Form 11</vt:lpstr>
      <vt:lpstr>Form-F</vt:lpstr>
      <vt:lpstr>Serive Certificate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2022-04-20T04:25:59Z</cp:lastPrinted>
  <dcterms:created xsi:type="dcterms:W3CDTF">2018-12-21T09:44:49Z</dcterms:created>
  <dcterms:modified xsi:type="dcterms:W3CDTF">2022-06-08T09:18:56Z</dcterms:modified>
</cp:coreProperties>
</file>